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_General" sheetId="2" state="visible" r:id="rId4"/>
    <sheet name="Inputs_Treatments" sheetId="3" state="visible" r:id="rId5"/>
    <sheet name="Parameters" sheetId="4" state="visible" r:id="rId6"/>
    <sheet name="Severity_Classes" sheetId="5" state="visible" r:id="rId7"/>
    <sheet name="Response_Table" sheetId="6" state="visible" r:id="rId8"/>
    <sheet name="Weather" sheetId="7" state="visible" r:id="rId9"/>
    <sheet name="Context" sheetId="8" state="visible" r:id="rId10"/>
    <sheet name="Simulation" sheetId="9" state="visible" r:id="rId11"/>
    <sheet name="Stage_Comparison" sheetId="10" state="visible" r:id="rId12"/>
    <sheet name="Quick_View" sheetId="11" state="visible" r:id="rId13"/>
    <sheet name="Thermal_Parameters" sheetId="12" state="visible" r:id="rId14"/>
    <sheet name="Texture_Colour" sheetId="13" state="visible" r:id="rId15"/>
    <sheet name="Sourc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Healthy peak LAI assumed lower with later sowing (Jain &amp; Sandhu, PAU: LAI highest in 10 Oct sowing, lowest in 1 Dec). Your Dec-Jan sowings are later still. LOW confidence - replace with canopy-analyser data.</t>
        </r>
      </text>
    </comment>
    <comment ref="D3" authorId="0">
      <text>
        <r>
          <rPr>
            <sz val="10"/>
            <rFont val="Arial"/>
            <family val="2"/>
          </rPr>
          <t xml:space="preserve">Relative disease exposure used only for the EXPECTED DI scenario: earlier-sown crops reached the &gt;=36 DAS susceptible window during the 18 Dec-4 Feb favourable spell (Chattopadhyay et al. 2011 criteria).</t>
        </r>
      </text>
    </comment>
    <comment ref="D11" authorId="0">
      <text>
        <r>
          <rPr>
            <sz val="10"/>
            <rFont val="Arial"/>
            <family val="2"/>
          </rPr>
          <t xml:space="preserve">Multiplies the severity-response R(s): at the same DI a more tolerant genotype loses slightly less (similar-experiment slides; Rai et al. 2024 pigment retention in resistant NIL).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8" authorId="0">
      <text>
        <r>
          <rPr>
            <sz val="10"/>
            <rFont val="Arial"/>
            <family val="2"/>
          </rPr>
          <t xml:space="preserve">06/12/2025 RH II = 3.1 in source file: likely a typing error for 31 (before any sowing; does not affect results).</t>
        </r>
      </text>
    </comment>
    <comment ref="K1" authorId="0">
      <text>
        <r>
          <rPr>
            <sz val="10"/>
            <rFont val="Arial"/>
            <family val="2"/>
          </rPr>
          <t xml:space="preserve">Chattopadhyay et al. 2011 leaf criteria: RH II &gt;40%, RH I &gt;97%, Tmax 16-24 C, mean RH &gt;72%, mean T &gt;10 C.</t>
        </r>
      </text>
    </comment>
    <comment ref="L1" authorId="0">
      <text>
        <r>
          <rPr>
            <sz val="10"/>
            <rFont val="Arial"/>
            <family val="2"/>
          </rPr>
          <t xml:space="preserve">Chattopadhyay et al. 2011 staghead criteria: Tmax 20-29 C, Tmin &gt;12 C, RH I &gt;97%, mean RH &gt;72%.</t>
        </r>
      </text>
    </comment>
  </commentList>
</comments>
</file>

<file path=xl/sharedStrings.xml><?xml version="1.0" encoding="utf-8"?>
<sst xmlns="http://schemas.openxmlformats.org/spreadsheetml/2006/main" count="3235" uniqueCount="650">
  <si>
    <t xml:space="preserve">WHITE RUST OF MUSTARD - EXPECTED-VALUE (SIMULATION) MODEL</t>
  </si>
  <si>
    <t xml:space="preserve">IARI New Delhi, rabi 2025-26 | 4 sowing dates x 3 varieties | assessments 11/02, 24/02, 03/03, 13/03/2026</t>
  </si>
  <si>
    <t xml:space="preserve">STATUS OF THESE NUMBERS: SIMULATED / EXPECTED VALUES - NOT MEASURED DATA</t>
  </si>
  <si>
    <t xml:space="preserve">All values are model outputs built from published baselines, white-rust and analogous-disease effect sizes, the IARI 2025-26 daily weather, your DAS/GDD/phenology and your sampling leaf. Use them as hypotheses, expected ranges, priors for sanity-checking field data, synthetic data for testing analysis/ML pipelines, and as the 'expected' column when you discuss your results. Do NOT report them in the thesis as observations. Where your measured data exist, they replace these values.</t>
  </si>
  <si>
    <t xml:space="preserve">HOW THE MODEL WORKS</t>
  </si>
  <si>
    <t xml:space="preserve">1. Healthy value (same treatment, date, stage, leaf) = reference value x stage factor x (1 - heat sensitivity x heat index h) x variety factor [x cold-legacy factor for anthocyanin]. LAI uses a GDD-driven canopy curve.</t>
  </si>
  <si>
    <t xml:space="preserve">2. Diseased value = Healthy x (1 + R(s) x variety tolerance x lesion-age factor), where s = disease index (fraction) and R(s) is the parameter's severity-response curve (Response_Table).</t>
  </si>
  <si>
    <t xml:space="preserve">3. Range = values at the lower and upper DI limit of the class, widened by +/- 1.645 x CV (approx. 90% interval) for plant-to-plant and assay variability.</t>
  </si>
  <si>
    <t xml:space="preserve">4. E (transpiration) = gs x leaf-to-air VPD / P, using the measurement-time VPD from the weather of the 7 days to the assessment date, plus extra cuticular loss through ruptured pustules.</t>
  </si>
  <si>
    <t xml:space="preserve">5. Thermal parameters come from an energy-balance CWSI logic: CWSI = 1 - (1 - CWSI_healthy) x E_diseased / E_healthy, Tc = Twet + CWSI x (Tdry - Twet), with Twet/Tdry baselines from flight-time air temperature and VPD.</t>
  </si>
  <si>
    <t xml:space="preserve">SHEETS</t>
  </si>
  <si>
    <t xml:space="preserve">Inputs_General - all global assumptions (blue = editable input).</t>
  </si>
  <si>
    <t xml:space="preserve">Inputs_Treatments - sowing dates, variety reactions, LAI maxima, expected-DI drivers, anthocyanin cold legacy.</t>
  </si>
  <si>
    <t xml:space="preserve">Parameters - reference values, CV, stage factors, heat sensitivity, variety factors, severity-response coefficients, sources.</t>
  </si>
  <si>
    <t xml:space="preserve">Severity_Classes - your 6 DI classes and the DI fractions used.</t>
  </si>
  <si>
    <t xml:space="preserve">Response_Table - relative change R(s) of each parameter at each class (low / mid / high DI).</t>
  </si>
  <si>
    <t xml:space="preserve">Weather - IARI daily weather 31/10/2025-06/04/2026 (your file) + GDD and Chattopadhyay et al. (2011) favourability flags.</t>
  </si>
  <si>
    <t xml:space="preserve">Context - per treatment x date: DAS, DAI, GDD, stage, sampled leaf, weekly weather, VPD, heat index, thermal baselines, healthy LAI, expected DI and the plausibility of each severity class.</t>
  </si>
  <si>
    <t xml:space="preserve">Simulation - 288 rows (12 treatments x 4 dates x 6 classes): mean, low, high, % change vs healthy for 12 parameters, derived ratios and thermal parameters.</t>
  </si>
  <si>
    <t xml:space="preserve">Stage_Comparison - healthy vs each severity class at each growth stage (V/F/P), pooled and by date.</t>
  </si>
  <si>
    <t xml:space="preserve">Quick_View - choose a treatment and date to see healthy vs all severity classes side by side.</t>
  </si>
  <si>
    <t xml:space="preserve">Thermal_Parameters - definitions and formulas of thermal indices. Texture_Colour - expected GLCM and colour-index changes.</t>
  </si>
  <si>
    <t xml:space="preserve">Sources - references and evidence level behind each number.</t>
  </si>
  <si>
    <t xml:space="preserve">SAMPLED LEAF: 3rd fully expanded leaf from top at vegetative stage; 5th fully expanded leaf from top at flowering and pod formation (as specified by you). The model applies stage factors for this.</t>
  </si>
  <si>
    <t xml:space="preserve">KEY CAVEATS</t>
  </si>
  <si>
    <t xml:space="preserve">- Only chlorophyll, carotenoids and total protein have any direct white-rust data in B. juncea; RWC, MSI, Pn, E, gs, LAI and anthocyanin responses are built from mechanism and analogous pathosystems (evidence level shown in Parameters).</t>
  </si>
  <si>
    <t xml:space="preserve">- Classes flagged 'Unlikely' in the Context / Simulation sheets are not expected under your 2025-26 weather and timing; their values are still given so every class can be compared at every stage.</t>
  </si>
  <si>
    <t xml:space="preserve">- The resistance labels of V3 (PM 37) are unverified in the literature you supplied; V1 (PM 26, susceptible) and V2 (Pusa Vijay, highly susceptible) follow Shrivastava et al. (2023).</t>
  </si>
  <si>
    <t xml:space="preserve">- The 11/02 assessment is 6 days after inoculation; any visible disease then most likely comes from natural infection during the favourable spell of 18 Dec-4 Feb (see Weather flags).</t>
  </si>
  <si>
    <t xml:space="preserve">GLOBAL INPUTS (blue cells on yellow are editable assumptions)</t>
  </si>
  <si>
    <t xml:space="preserve">Key</t>
  </si>
  <si>
    <t xml:space="preserve">Assumption</t>
  </si>
  <si>
    <t xml:space="preserve">Value</t>
  </si>
  <si>
    <t xml:space="preserve">Unit</t>
  </si>
  <si>
    <t xml:space="preserve">Basis / source</t>
  </si>
  <si>
    <t xml:space="preserve">Tbase</t>
  </si>
  <si>
    <t xml:space="preserve">Base temperature for GDD</t>
  </si>
  <si>
    <t xml:space="preserve">deg C</t>
  </si>
  <si>
    <t xml:space="preserve">Rana et al. 2017 (Nanda et al. 1996) base 5 C for B. juncea</t>
  </si>
  <si>
    <t xml:space="preserve">EmergGDD</t>
  </si>
  <si>
    <t xml:space="preserve">GDD from sowing to emergence</t>
  </si>
  <si>
    <t xml:space="preserve">deg C d</t>
  </si>
  <si>
    <t xml:space="preserve">Rana et al. 2017: 100-125 GDD</t>
  </si>
  <si>
    <t xml:space="preserve">Inoc</t>
  </si>
  <si>
    <t xml:space="preserve">Inoculation date</t>
  </si>
  <si>
    <t xml:space="preserve">date</t>
  </si>
  <si>
    <t xml:space="preserve">User: all treatments inoculated on 05/02/2026</t>
  </si>
  <si>
    <t xml:space="preserve">HeatThr</t>
  </si>
  <si>
    <t xml:space="preserve">Heat-index threshold (weekly mean Tmax)</t>
  </si>
  <si>
    <t xml:space="preserve">Assumption: above ~27 C Tmax late-sown mustard shows heat stress</t>
  </si>
  <si>
    <t xml:space="preserve">HeatSpan</t>
  </si>
  <si>
    <t xml:space="preserve">Heat-index span (Tmax rise giving h = 1)</t>
  </si>
  <si>
    <t xml:space="preserve">Assumption: h = (Tmax_wk - 27)/8, so h ~ 1 at 35 C</t>
  </si>
  <si>
    <t xml:space="preserve">fMeas</t>
  </si>
  <si>
    <t xml:space="preserve">Fraction of diurnal T range at IRGA time (~10:30-11:30 h)</t>
  </si>
  <si>
    <t xml:space="preserve">-</t>
  </si>
  <si>
    <t xml:space="preserve">Assumption for leaf-to-air VPD at gas-exchange time</t>
  </si>
  <si>
    <t xml:space="preserve">gMeas</t>
  </si>
  <si>
    <t xml:space="preserve">Weight of morning RH at IRGA time</t>
  </si>
  <si>
    <t xml:space="preserve">RH_meas = RH II + g x (RH I - RH II)</t>
  </si>
  <si>
    <t xml:space="preserve">fFlight</t>
  </si>
  <si>
    <t xml:space="preserve">Fraction of diurnal T range at UAV thermal flight (~12:30 h)</t>
  </si>
  <si>
    <t xml:space="preserve">Flights 11:00-14:00 per review draft</t>
  </si>
  <si>
    <t xml:space="preserve">gFlight</t>
  </si>
  <si>
    <t xml:space="preserve">Weight of morning RH at flight time</t>
  </si>
  <si>
    <t xml:space="preserve">Patm</t>
  </si>
  <si>
    <t xml:space="preserve">Atmospheric pressure, New Delhi (~216 m asl)</t>
  </si>
  <si>
    <t xml:space="preserve">kPa</t>
  </si>
  <si>
    <t xml:space="preserve">Standard atmosphere at 216 m</t>
  </si>
  <si>
    <t xml:space="preserve">a_wet</t>
  </si>
  <si>
    <t xml:space="preserve">Non-water-stressed baseline intercept (Tc - Ta at VPD = 0)</t>
  </si>
  <si>
    <t xml:space="preserve">Idso-type NWSB: Tc - Ta = a - b x VPD</t>
  </si>
  <si>
    <t xml:space="preserve">b_wet</t>
  </si>
  <si>
    <t xml:space="preserve">Non-water-stressed baseline slope</t>
  </si>
  <si>
    <t xml:space="preserve">deg C/kPa</t>
  </si>
  <si>
    <t xml:space="preserve">Typical crop NWSB slopes 1.5-2.2 C/kPa</t>
  </si>
  <si>
    <t xml:space="preserve">dT_dry</t>
  </si>
  <si>
    <t xml:space="preserve">Upper (non-transpiring) baseline: Tdry - Ta</t>
  </si>
  <si>
    <t xml:space="preserve">Typical 3-5 C under midday radiation</t>
  </si>
  <si>
    <t xml:space="preserve">CWSI_V</t>
  </si>
  <si>
    <t xml:space="preserve">Healthy-canopy CWSI, vegetative</t>
  </si>
  <si>
    <t xml:space="preserve">Irrigated, transpiring canopy</t>
  </si>
  <si>
    <t xml:space="preserve">CWSI_F</t>
  </si>
  <si>
    <t xml:space="preserve">Healthy-canopy CWSI, flowering</t>
  </si>
  <si>
    <t xml:space="preserve">Yellow petals raise canopy temperature</t>
  </si>
  <si>
    <t xml:space="preserve">CWSI_P</t>
  </si>
  <si>
    <t xml:space="preserve">Healthy-canopy CWSI, pod formation</t>
  </si>
  <si>
    <t xml:space="preserve">Senescing lower canopy, pods</t>
  </si>
  <si>
    <t xml:space="preserve">CWSI_heat</t>
  </si>
  <si>
    <t xml:space="preserve">Extra healthy CWSI per unit heat index h</t>
  </si>
  <si>
    <t xml:space="preserve">Cuticle</t>
  </si>
  <si>
    <t xml:space="preserve">Extra water loss through ruptured pustules (fraction per unit s)</t>
  </si>
  <si>
    <t xml:space="preserve">Field-crop review: rust pustule rupture can raise cuticular loss</t>
  </si>
  <si>
    <t xml:space="preserve">z</t>
  </si>
  <si>
    <t xml:space="preserve">z for range (90% interval)</t>
  </si>
  <si>
    <t xml:space="preserve">TcSD0</t>
  </si>
  <si>
    <t xml:space="preserve">Within-plot canopy-temperature SD, healthy</t>
  </si>
  <si>
    <t xml:space="preserve">Assumption for 2-cm FLIR pixels</t>
  </si>
  <si>
    <t xml:space="preserve">TcSDslope</t>
  </si>
  <si>
    <t xml:space="preserve">Increase of within-plot Tc SD per unit s</t>
  </si>
  <si>
    <t xml:space="preserve">Patchy lesions raise thermal heterogeneity</t>
  </si>
  <si>
    <t xml:space="preserve">gsVPDm</t>
  </si>
  <si>
    <t xml:space="preserve">Stomatal sensitivity to VPD: gs = gs_ref x (VPD/VPDref)^-m</t>
  </si>
  <si>
    <t xml:space="preserve">Leuning/Oren-type response; m ~0.5 for C3 crops</t>
  </si>
  <si>
    <t xml:space="preserve">VPDref</t>
  </si>
  <si>
    <t xml:space="preserve">Reference VPD for gs reference value</t>
  </si>
  <si>
    <t xml:space="preserve">gs reference value applies at ~1 kPa</t>
  </si>
  <si>
    <t xml:space="preserve">G50</t>
  </si>
  <si>
    <t xml:space="preserve">LAI curve: GDD (from emergence) at half of LAImax</t>
  </si>
  <si>
    <t xml:space="preserve">Calibrated so canopy closes near flowering</t>
  </si>
  <si>
    <t xml:space="preserve">Gscale</t>
  </si>
  <si>
    <t xml:space="preserve">LAI curve: logistic scale</t>
  </si>
  <si>
    <t xml:space="preserve">Gdecl</t>
  </si>
  <si>
    <t xml:space="preserve">LAI decline starts (GDD from emergence)</t>
  </si>
  <si>
    <t xml:space="preserve">Around pod initiation (Rana et al. 2017: 685-816)</t>
  </si>
  <si>
    <t xml:space="preserve">Gdeclsc</t>
  </si>
  <si>
    <t xml:space="preserve">LAI decline scale</t>
  </si>
  <si>
    <t xml:space="preserve">TREATMENT INPUTS (blue on yellow = editable)</t>
  </si>
  <si>
    <t xml:space="preserve">Sowing</t>
  </si>
  <si>
    <t xml:space="preserve">Sowing date</t>
  </si>
  <si>
    <t xml:space="preserve">LAImax healthy</t>
  </si>
  <si>
    <t xml:space="preserve">Exposure factor (expected DI)</t>
  </si>
  <si>
    <t xml:space="preserve">Anth cold factor 11/02</t>
  </si>
  <si>
    <t xml:space="preserve">Anth cold factor 24/02</t>
  </si>
  <si>
    <t xml:space="preserve">Anth cold factor 03/03</t>
  </si>
  <si>
    <t xml:space="preserve">Anth cold factor 13/03</t>
  </si>
  <si>
    <t xml:space="preserve">Note</t>
  </si>
  <si>
    <t xml:space="preserve">D1</t>
  </si>
  <si>
    <t xml:space="preserve">Sown 09/12/2025 (ORW slide 11 says 08/12 - DAS table fits 09/12). Inoculated at 58 DAS; &gt;=36 DAS from 14 Jan inside the favourable spell</t>
  </si>
  <si>
    <t xml:space="preserve">D2</t>
  </si>
  <si>
    <t xml:space="preserve">Inoculated at 49 DAS; &gt;=36 DAS from 23 Jan</t>
  </si>
  <si>
    <t xml:space="preserve">D3</t>
  </si>
  <si>
    <t xml:space="preserve">Inoculated at 40 DAS; leaves formed in Jan cold spell</t>
  </si>
  <si>
    <t xml:space="preserve">D4</t>
  </si>
  <si>
    <t xml:space="preserve">Inoculated at 27 DAS; emerged during 10-17 Jan cold (Tmin 1.6-4 C) -&gt; cold-induced anthocyanin in young leaves</t>
  </si>
  <si>
    <t xml:space="preserve">Variety</t>
  </si>
  <si>
    <t xml:space="preserve">Name</t>
  </si>
  <si>
    <t xml:space="preserve">Reported reaction</t>
  </si>
  <si>
    <t xml:space="preserve">Tolerance factor on R(s)</t>
  </si>
  <si>
    <t xml:space="preserve">Susceptibility (expected DI)</t>
  </si>
  <si>
    <t xml:space="preserve">LAI factor</t>
  </si>
  <si>
    <t xml:space="preserve">Basis</t>
  </si>
  <si>
    <t xml:space="preserve">V1</t>
  </si>
  <si>
    <t xml:space="preserve">Pusa Mustard 26</t>
  </si>
  <si>
    <t xml:space="preserve">Susceptible (PDI 44.4)</t>
  </si>
  <si>
    <t xml:space="preserve">Shrivastava et al. 2023. Early-maturing: flowered first in your phenology table</t>
  </si>
  <si>
    <t xml:space="preserve">V2</t>
  </si>
  <si>
    <t xml:space="preserve">Pusa Vijay</t>
  </si>
  <si>
    <t xml:space="preserve">Highly susceptible (PDI 55.6)</t>
  </si>
  <si>
    <t xml:space="preserve">Shrivastava et al. 2023</t>
  </si>
  <si>
    <t xml:space="preserve">V3</t>
  </si>
  <si>
    <t xml:space="preserve">Pusa Mustard 37</t>
  </si>
  <si>
    <t xml:space="preserve">Moderately resistant (UNVERIFIED)</t>
  </si>
  <si>
    <t xml:space="preserve">Label from ORW slide 27; no verified source yet - treat as assumption</t>
  </si>
  <si>
    <t xml:space="preserve">Assessment dates</t>
  </si>
  <si>
    <t xml:space="preserve">Date code</t>
  </si>
  <si>
    <t xml:space="preserve">Date</t>
  </si>
  <si>
    <t xml:space="preserve">Reference expected DI (V2 x D1)</t>
  </si>
  <si>
    <t xml:space="preserve">11/02/2026</t>
  </si>
  <si>
    <t xml:space="preserve">6 DAI: before the 8-13 d incubation of inoculated infections; only natural pre-inoculation infection visible</t>
  </si>
  <si>
    <t xml:space="preserve">24/02/2026</t>
  </si>
  <si>
    <t xml:space="preserve">19 DAI: first inoculated cycle sporulated; borderline-favourable week after inoculation</t>
  </si>
  <si>
    <t xml:space="preserve">03/03/2026</t>
  </si>
  <si>
    <t xml:space="preserve">26 DAI: secondary cycle limited by dry, warm weather (no favourable days after 5 Feb)</t>
  </si>
  <si>
    <t xml:space="preserve">13/03/2026</t>
  </si>
  <si>
    <t xml:space="preserve">36 DAI: near plateau; onset-to-peak ~40 d (Singh M. et al. 2024); heat (Tmax ~35 C) halts spread</t>
  </si>
  <si>
    <t xml:space="preserve">Expected DI = reference DI (date) x variety susceptibility x sowing exposure. It is a scenario only; overwrite column C or the factors with your observed plot DI when available.</t>
  </si>
  <si>
    <t xml:space="preserve">PARAMETER BASELINES, MODIFIERS AND SEVERITY-RESPONSE COEFFICIENTS (blue on yellow = editable)</t>
  </si>
  <si>
    <t xml:space="preserve">Healthy-value modifiers</t>
  </si>
  <si>
    <t xml:space="preserve">Severity-response curve R(s)</t>
  </si>
  <si>
    <t xml:space="preserve">Lesion-age factor by date (damage lag behind sporulation; Chou et al. 2000)</t>
  </si>
  <si>
    <t xml:space="preserve">Code</t>
  </si>
  <si>
    <t xml:space="preserve">Parameter</t>
  </si>
  <si>
    <t xml:space="preserve">Method</t>
  </si>
  <si>
    <t xml:space="preserve">Reference healthy value</t>
  </si>
  <si>
    <t xml:space="preserve">CV</t>
  </si>
  <si>
    <t xml:space="preserve">Ref range low</t>
  </si>
  <si>
    <t xml:space="preserve">Ref range high</t>
  </si>
  <si>
    <t xml:space="preserve">Stage factor V (3rd leaf)</t>
  </si>
  <si>
    <t xml:space="preserve">Stage factor F (5th leaf)</t>
  </si>
  <si>
    <t xml:space="preserve">Stage factor P (5th leaf)</t>
  </si>
  <si>
    <t xml:space="preserve">Heat sensitivity</t>
  </si>
  <si>
    <t xml:space="preserve">Variety factor V1</t>
  </si>
  <si>
    <t xml:space="preserve">Variety factor V2</t>
  </si>
  <si>
    <t xml:space="preserve">Variety factor V3</t>
  </si>
  <si>
    <t xml:space="preserve">Response type</t>
  </si>
  <si>
    <t xml:space="preserve">Sign</t>
  </si>
  <si>
    <t xml:space="preserve">Rmax</t>
  </si>
  <si>
    <t xml:space="preserve">k</t>
  </si>
  <si>
    <t xml:space="preserve">Logistic centre</t>
  </si>
  <si>
    <t xml:space="preserve">Logistic scale</t>
  </si>
  <si>
    <t xml:space="preserve">Hump amplitude</t>
  </si>
  <si>
    <t xml:space="preserve">Hump peak s</t>
  </si>
  <si>
    <t xml:space="preserve">Evidence level</t>
  </si>
  <si>
    <t xml:space="preserve">Basis / sources</t>
  </si>
  <si>
    <t xml:space="preserve">RWC</t>
  </si>
  <si>
    <t xml:space="preserve">Relative water content</t>
  </si>
  <si>
    <t xml:space="preserve">%</t>
  </si>
  <si>
    <t xml:space="preserve">Dehydration &amp; imbibition (Barrs &amp; Weatherley 1962)</t>
  </si>
  <si>
    <t xml:space="preserve">logistic</t>
  </si>
  <si>
    <t xml:space="preserve">E4 + E3</t>
  </si>
  <si>
    <t xml:space="preserve">Healthy 86% at flowering (Jobner field study, RGN-229); 85% max (PLOS ONE 2021 K study). Threshold decline once pustules rupture epidermis (mechanism); your ASD SWIR spectra showed lower water in diseased leaves on 03/03 and 13/03.</t>
  </si>
  <si>
    <t xml:space="preserve">MSI</t>
  </si>
  <si>
    <t xml:space="preserve">Membrane stability index</t>
  </si>
  <si>
    <t xml:space="preserve">Electrolyte leakage (Sairam 1994)</t>
  </si>
  <si>
    <t xml:space="preserve">Healthy ~72% (similar-experiment HR class; PLOS ONE 2021: 57-73%). Late, steep collapse at high severity (similar-experiment S class 66 -&gt; 31 -&gt; 14%); heat lowers MSI independently.</t>
  </si>
  <si>
    <t xml:space="preserve">Pn</t>
  </si>
  <si>
    <t xml:space="preserve">Net photosynthetic rate</t>
  </si>
  <si>
    <t xml:space="preserve">umol CO2 m-2 s-1</t>
  </si>
  <si>
    <t xml:space="preserve">LI-6400</t>
  </si>
  <si>
    <t xml:space="preserve">exp</t>
  </si>
  <si>
    <t xml:space="preserve">E2 + E3</t>
  </si>
  <si>
    <t xml:space="preserve">Healthy 15-20 (similar-experiment HR), 18-31 (Plants 2025, green B. juncea). Chou et al. 2000: whole-leaf A fell to 30% of control by 14 DAI (~30% leaf colonised); decline is non-stomatal.</t>
  </si>
  <si>
    <t xml:space="preserve">gs</t>
  </si>
  <si>
    <t xml:space="preserve">Stomatal conductance</t>
  </si>
  <si>
    <t xml:space="preserve">mol H2O m-2 s-1</t>
  </si>
  <si>
    <t xml:space="preserve">E2(indirect) + E3</t>
  </si>
  <si>
    <t xml:space="preserve">Healthy 0.38-0.52 (similar-experiment HR); 0.62-0.85 in pots (Plants 2025). Healthy gs declines with VPD (gs_ref x (VPD/1 kPa)^-0.5, Inputs_General). Chou et al. 2000: transpiration unchanged at 8 DAI, so gs declines later and less steeply than Pn.</t>
  </si>
  <si>
    <t xml:space="preserve">E</t>
  </si>
  <si>
    <t xml:space="preserve">Transpiration rate</t>
  </si>
  <si>
    <t xml:space="preserve">mmol H2O m-2 s-1</t>
  </si>
  <si>
    <t xml:space="preserve">LI-6400 (derived: gs x VPD / P)</t>
  </si>
  <si>
    <t xml:space="preserve">derived</t>
  </si>
  <si>
    <t xml:space="preserve">Physics + E3</t>
  </si>
  <si>
    <t xml:space="preserve">E = gs x leaf-to-air VPD / P (LI-6400 relation); extra cuticular loss through ruptured pustules. Similar-experiment HR values 4.0-6.6 rising with VPD through the season.</t>
  </si>
  <si>
    <t xml:space="preserve">Ci</t>
  </si>
  <si>
    <t xml:space="preserve">Intercellular CO2 (extra, from LI-6400)</t>
  </si>
  <si>
    <t xml:space="preserve">umol mol-1</t>
  </si>
  <si>
    <t xml:space="preserve">E3</t>
  </si>
  <si>
    <t xml:space="preserve">Healthy ~285 (similar-experiment HR). Ci rises while gs falls = non-stomatal limitation (Tatagiba et al. 2015; similar-experiment S class +27%). Not in your list but recorded by the LI-6400 - report it.</t>
  </si>
  <si>
    <t xml:space="preserve">LAI</t>
  </si>
  <si>
    <t xml:space="preserve">Leaf area index</t>
  </si>
  <si>
    <t xml:space="preserve">m2 m-2</t>
  </si>
  <si>
    <t xml:space="preserve">Canopy analyser</t>
  </si>
  <si>
    <t xml:space="preserve">E4</t>
  </si>
  <si>
    <t xml:space="preserve">Healthy LAI from GDD canopy curve and LAImax per sowing (Inputs_Treatments). Disease: premature senescence and defoliation (Bal &amp; Kumar 2014: total defoliation in unsprayed plots at PDI ~70).</t>
  </si>
  <si>
    <t xml:space="preserve">ChlA</t>
  </si>
  <si>
    <t xml:space="preserve">Chlorophyll a</t>
  </si>
  <si>
    <t xml:space="preserve">ug mg-1 FW (= mg g-1 FW)</t>
  </si>
  <si>
    <t xml:space="preserve">DMSO (Wellburn 1994)</t>
  </si>
  <si>
    <t xml:space="preserve">E1(qual) + E2</t>
  </si>
  <si>
    <t xml:space="preserve">Total chl 0.86-1.75 mg g-1 FW in B. juncea leaves at 45-65 DAS (phytojournal 2019). Chou et al. 2000: chl stable to 12 DAI then -60% in invaded tissue by 14 DAI. Rai et al. 2024: higher in resistant NIL.</t>
  </si>
  <si>
    <t xml:space="preserve">ChlB</t>
  </si>
  <si>
    <t xml:space="preserve">Chlorophyll b</t>
  </si>
  <si>
    <t xml:space="preserve">E1(indirect) + E2</t>
  </si>
  <si>
    <t xml:space="preserve">a:b ~2.8 in healthy leaves. Chou et al. 2000: both a and b lost. DMSO can overestimate chl b (Quercus study) - use one extraction protocol throughout.</t>
  </si>
  <si>
    <t xml:space="preserve">Car</t>
  </si>
  <si>
    <t xml:space="preserve">Carotenoids</t>
  </si>
  <si>
    <t xml:space="preserve">mg g-1 FW</t>
  </si>
  <si>
    <t xml:space="preserve">Spectrophotometric (Wellburn 1994 DMSO eq.)</t>
  </si>
  <si>
    <t xml:space="preserve">hump</t>
  </si>
  <si>
    <t xml:space="preserve">E1(qual) + E3</t>
  </si>
  <si>
    <t xml:space="preserve">Rai et al. 2024: carotenoids ROSE continuously 0-96 hpi in the susceptible line; field-crop review: Car/Chl rises at intermediate severity. Modelled as small early rise then decline.</t>
  </si>
  <si>
    <t xml:space="preserve">Anth</t>
  </si>
  <si>
    <t xml:space="preserve">Anthocyanin</t>
  </si>
  <si>
    <t xml:space="preserve">ug g-1 FW (cyanidin-3-glucoside eq.)</t>
  </si>
  <si>
    <t xml:space="preserve">pH differential (Lee et al. 2005)</t>
  </si>
  <si>
    <t xml:space="preserve">E4 (speculative)</t>
  </si>
  <si>
    <t xml:space="preserve">No white-rust data at any level. Green B. juncea leaves: anthocyanins near detection limit (PMC4992693). Rise assumed from stress/phenylpropanoid induction (field-crop review); cold (Jan) and senescence also raise it.</t>
  </si>
  <si>
    <t xml:space="preserve">Prot</t>
  </si>
  <si>
    <t xml:space="preserve">Total soluble protein</t>
  </si>
  <si>
    <t xml:space="preserve">ug mg-1 FW</t>
  </si>
  <si>
    <t xml:space="preserve">Bradford (1976), colorimetric</t>
  </si>
  <si>
    <t xml:space="preserve">E1</t>
  </si>
  <si>
    <t xml:space="preserve">Mishra et al. 2009: inoculated leaves 4-10% lower than uninoculated in all 6 genotypes; susceptible genotypes have higher constitutive protein (variety factors). Conversion from %DW (Lowry) to Bradford FW basis is approximate.</t>
  </si>
  <si>
    <t xml:space="preserve">Response types: exp: R = sign x Rmax x (1 - exp(-k s)); logistic: R = sign x Rmax x (L(s) - L(0)) / (1 - L(0)), L(s) = 1/(1 + exp(-(s - centre)/scale)); hump: exp decline plus A x (s/peak) x exp(1 - s/peak). s = disease index as a fraction (0.18 = 18%).</t>
  </si>
  <si>
    <t xml:space="preserve">Evidence levels: E1 direct white rust on B. juncea; E2 A. candida on another host (Arabidopsis); E3 other Brassica / foliar pathogen; E4 mechanism or abiotic analogue only.</t>
  </si>
  <si>
    <t xml:space="preserve">Units: ug mg-1 FW is numerically identical to mg g-1 FW (chlorophyll, protein).</t>
  </si>
  <si>
    <t xml:space="preserve">DISEASE-INDEX CLASSES (plot DI = sum(x f) / (n sum f) x 100, n = 9, Bisht/AICRP 0-9 scale)</t>
  </si>
  <si>
    <t xml:space="preserve">Class</t>
  </si>
  <si>
    <t xml:space="preserve">DI range (%)</t>
  </si>
  <si>
    <t xml:space="preserve">s low</t>
  </si>
  <si>
    <t xml:space="preserve">s mid</t>
  </si>
  <si>
    <t xml:space="preserve">s high</t>
  </si>
  <si>
    <t xml:space="preserve">Class index</t>
  </si>
  <si>
    <t xml:space="preserve">Healthy</t>
  </si>
  <si>
    <t xml:space="preserve">0</t>
  </si>
  <si>
    <t xml:space="preserve">Very low</t>
  </si>
  <si>
    <t xml:space="preserve">1-5</t>
  </si>
  <si>
    <t xml:space="preserve">Low</t>
  </si>
  <si>
    <t xml:space="preserve">6-10</t>
  </si>
  <si>
    <t xml:space="preserve">Moderate</t>
  </si>
  <si>
    <t xml:space="preserve">11-25</t>
  </si>
  <si>
    <t xml:space="preserve">High</t>
  </si>
  <si>
    <t xml:space="preserve">26-50</t>
  </si>
  <si>
    <t xml:space="preserve">Very high</t>
  </si>
  <si>
    <t xml:space="preserve">&gt;50</t>
  </si>
  <si>
    <t xml:space="preserve">s = DI as a fraction. Mid values are used for the mean; low/high values bound the range. The sampled leaf is assumed to carry the plot-mean severity (ORW slide 23: leaves closest to plot-mean DI). The 'Very high' upper limit is capped at 85% because leaves beyond that are usually shed.</t>
  </si>
  <si>
    <t xml:space="preserve">RELATIVE CHANGE R(s) vs HEALTHY (before variety tolerance and lesion-age factors). -0.25 = 25% lower than healthy.</t>
  </si>
  <si>
    <t xml:space="preserve">Point</t>
  </si>
  <si>
    <t xml:space="preserve">s</t>
  </si>
  <si>
    <t xml:space="preserve">low</t>
  </si>
  <si>
    <t xml:space="preserve">mid</t>
  </si>
  <si>
    <t xml:space="preserve">high</t>
  </si>
  <si>
    <t xml:space="preserve">Tmax (C)</t>
  </si>
  <si>
    <t xml:space="preserve">Tmin (C)</t>
  </si>
  <si>
    <t xml:space="preserve">Rainfall (mm)</t>
  </si>
  <si>
    <t xml:space="preserve">RH I morning (%)</t>
  </si>
  <si>
    <t xml:space="preserve">RH II afternoon (%)</t>
  </si>
  <si>
    <t xml:space="preserve">Sunshine (h)</t>
  </si>
  <si>
    <t xml:space="preserve">GDD (base Tbase)</t>
  </si>
  <si>
    <t xml:space="preserve">Mean T (C)</t>
  </si>
  <si>
    <t xml:space="preserve">Mean RH (%)</t>
  </si>
  <si>
    <t xml:space="preserve">Leaf-WR favourable (1/0)</t>
  </si>
  <si>
    <t xml:space="preserve">Staghead favourable (1/0)</t>
  </si>
  <si>
    <t xml:space="preserve">TREATMENT x DATE CONTEXT (formulas; Stage column is your field observation)</t>
  </si>
  <si>
    <t xml:space="preserve">Treatment</t>
  </si>
  <si>
    <t xml:space="preserve">DAS</t>
  </si>
  <si>
    <t xml:space="preserve">DAI</t>
  </si>
  <si>
    <t xml:space="preserve">GDD from sowing</t>
  </si>
  <si>
    <t xml:space="preserve">GDD from emergence</t>
  </si>
  <si>
    <t xml:space="preserve">Stage (obs.)</t>
  </si>
  <si>
    <t xml:space="preserve">Leaf sampled</t>
  </si>
  <si>
    <t xml:space="preserve">Tmax wk</t>
  </si>
  <si>
    <t xml:space="preserve">Tmin wk</t>
  </si>
  <si>
    <t xml:space="preserve">RH I wk</t>
  </si>
  <si>
    <t xml:space="preserve">RH II wk</t>
  </si>
  <si>
    <t xml:space="preserve">Heat index h</t>
  </si>
  <si>
    <t xml:space="preserve">T at IRGA</t>
  </si>
  <si>
    <t xml:space="preserve">RH at IRGA</t>
  </si>
  <si>
    <t xml:space="preserve">VPD at IRGA (kPa)</t>
  </si>
  <si>
    <t xml:space="preserve">Ta at flight</t>
  </si>
  <si>
    <t xml:space="preserve">RH at flight</t>
  </si>
  <si>
    <t xml:space="preserve">VPD at flight (kPa)</t>
  </si>
  <si>
    <t xml:space="preserve">Twet (C)</t>
  </si>
  <si>
    <t xml:space="preserve">Tdry (C)</t>
  </si>
  <si>
    <t xml:space="preserve">Healthy CWSI</t>
  </si>
  <si>
    <t xml:space="preserve">Healthy LAI</t>
  </si>
  <si>
    <t xml:space="preserve">Anth cold factor</t>
  </si>
  <si>
    <t xml:space="preserve">Tolerance factor</t>
  </si>
  <si>
    <t xml:space="preserve">Leaf-favourable days from 36 DAS</t>
  </si>
  <si>
    <t xml:space="preserve">Expected DI (%)</t>
  </si>
  <si>
    <t xml:space="preserve">Expected class</t>
  </si>
  <si>
    <t xml:space="preserve">Expected class index</t>
  </si>
  <si>
    <t xml:space="preserve">Plausibility: Healthy</t>
  </si>
  <si>
    <t xml:space="preserve">Plausibility: Very low</t>
  </si>
  <si>
    <t xml:space="preserve">Plausibility: Low</t>
  </si>
  <si>
    <t xml:space="preserve">Plausibility: Moderate</t>
  </si>
  <si>
    <t xml:space="preserve">Plausibility: High</t>
  </si>
  <si>
    <t xml:space="preserve">Plausibility: Very high</t>
  </si>
  <si>
    <t xml:space="preserve">D1V1</t>
  </si>
  <si>
    <t xml:space="preserve">F</t>
  </si>
  <si>
    <t xml:space="preserve">P</t>
  </si>
  <si>
    <t xml:space="preserve">D1V2</t>
  </si>
  <si>
    <t xml:space="preserve">V</t>
  </si>
  <si>
    <t xml:space="preserve">D1V3</t>
  </si>
  <si>
    <t xml:space="preserve">D2V1</t>
  </si>
  <si>
    <t xml:space="preserve">D2V2</t>
  </si>
  <si>
    <t xml:space="preserve">D2V3</t>
  </si>
  <si>
    <t xml:space="preserve">D3V1</t>
  </si>
  <si>
    <t xml:space="preserve">D3V2</t>
  </si>
  <si>
    <t xml:space="preserve">D3V3</t>
  </si>
  <si>
    <t xml:space="preserve">D4V1</t>
  </si>
  <si>
    <t xml:space="preserve">D4V2</t>
  </si>
  <si>
    <t xml:space="preserve">D4V3</t>
  </si>
  <si>
    <t xml:space="preserve">SIMULATED (EXPECTED) VALUES - NOT MEASURED DATA. Mean = class mid-DI; Low-High = approx. 90% range; '% vs H' = change relative to the healthy plot of the same treatment, date, stage and leaf.</t>
  </si>
  <si>
    <t xml:space="preserve">Severity class</t>
  </si>
  <si>
    <t xml:space="preserve">Context row</t>
  </si>
  <si>
    <t xml:space="preserve">Stage</t>
  </si>
  <si>
    <t xml:space="preserve">Tolerance</t>
  </si>
  <si>
    <t xml:space="preserve">Plausibility of class</t>
  </si>
  <si>
    <t xml:space="preserve">RWC healthy</t>
  </si>
  <si>
    <t xml:space="preserve">RWC mean</t>
  </si>
  <si>
    <t xml:space="preserve">RWC low</t>
  </si>
  <si>
    <t xml:space="preserve">RWC high</t>
  </si>
  <si>
    <t xml:space="preserve">RWC % vs H</t>
  </si>
  <si>
    <t xml:space="preserve">MSI healthy</t>
  </si>
  <si>
    <t xml:space="preserve">MSI mean</t>
  </si>
  <si>
    <t xml:space="preserve">MSI low</t>
  </si>
  <si>
    <t xml:space="preserve">MSI high</t>
  </si>
  <si>
    <t xml:space="preserve">MSI % vs H</t>
  </si>
  <si>
    <t xml:space="preserve">Pn healthy</t>
  </si>
  <si>
    <t xml:space="preserve">Pn mean</t>
  </si>
  <si>
    <t xml:space="preserve">Pn low</t>
  </si>
  <si>
    <t xml:space="preserve">Pn high</t>
  </si>
  <si>
    <t xml:space="preserve">Pn % vs H</t>
  </si>
  <si>
    <t xml:space="preserve">gs healthy</t>
  </si>
  <si>
    <t xml:space="preserve">gs mean</t>
  </si>
  <si>
    <t xml:space="preserve">gs low</t>
  </si>
  <si>
    <t xml:space="preserve">gs high</t>
  </si>
  <si>
    <t xml:space="preserve">gs % vs H</t>
  </si>
  <si>
    <t xml:space="preserve">E healthy</t>
  </si>
  <si>
    <t xml:space="preserve">E mean</t>
  </si>
  <si>
    <t xml:space="preserve">E low</t>
  </si>
  <si>
    <t xml:space="preserve">E high</t>
  </si>
  <si>
    <t xml:space="preserve">E % vs H</t>
  </si>
  <si>
    <t xml:space="preserve">Ci healthy</t>
  </si>
  <si>
    <t xml:space="preserve">Ci mean</t>
  </si>
  <si>
    <t xml:space="preserve">Ci low</t>
  </si>
  <si>
    <t xml:space="preserve">Ci high</t>
  </si>
  <si>
    <t xml:space="preserve">Ci % vs H</t>
  </si>
  <si>
    <t xml:space="preserve">LAI healthy</t>
  </si>
  <si>
    <t xml:space="preserve">LAI mean</t>
  </si>
  <si>
    <t xml:space="preserve">LAI low</t>
  </si>
  <si>
    <t xml:space="preserve">LAI high</t>
  </si>
  <si>
    <t xml:space="preserve">LAI % vs H</t>
  </si>
  <si>
    <t xml:space="preserve">ChlA healthy</t>
  </si>
  <si>
    <t xml:space="preserve">ChlA mean</t>
  </si>
  <si>
    <t xml:space="preserve">ChlA low</t>
  </si>
  <si>
    <t xml:space="preserve">ChlA high</t>
  </si>
  <si>
    <t xml:space="preserve">ChlA % vs H</t>
  </si>
  <si>
    <t xml:space="preserve">ChlB healthy</t>
  </si>
  <si>
    <t xml:space="preserve">ChlB mean</t>
  </si>
  <si>
    <t xml:space="preserve">ChlB low</t>
  </si>
  <si>
    <t xml:space="preserve">ChlB high</t>
  </si>
  <si>
    <t xml:space="preserve">ChlB % vs H</t>
  </si>
  <si>
    <t xml:space="preserve">Car healthy</t>
  </si>
  <si>
    <t xml:space="preserve">Car mean</t>
  </si>
  <si>
    <t xml:space="preserve">Car low</t>
  </si>
  <si>
    <t xml:space="preserve">Car high</t>
  </si>
  <si>
    <t xml:space="preserve">Car % vs H</t>
  </si>
  <si>
    <t xml:space="preserve">Anth healthy</t>
  </si>
  <si>
    <t xml:space="preserve">Anth mean</t>
  </si>
  <si>
    <t xml:space="preserve">Anth low</t>
  </si>
  <si>
    <t xml:space="preserve">Anth high</t>
  </si>
  <si>
    <t xml:space="preserve">Anth % vs H</t>
  </si>
  <si>
    <t xml:space="preserve">Prot healthy</t>
  </si>
  <si>
    <t xml:space="preserve">Prot mean</t>
  </si>
  <si>
    <t xml:space="preserve">Prot low</t>
  </si>
  <si>
    <t xml:space="preserve">Prot high</t>
  </si>
  <si>
    <t xml:space="preserve">Prot % vs H</t>
  </si>
  <si>
    <t xml:space="preserve">Total chl mean</t>
  </si>
  <si>
    <t xml:space="preserve">Chl a/b</t>
  </si>
  <si>
    <t xml:space="preserve">Car/Total chl</t>
  </si>
  <si>
    <t xml:space="preserve">WUE Pn/E (umol/mmol)</t>
  </si>
  <si>
    <t xml:space="preserve">iWUE Pn/gs (umol/mol)</t>
  </si>
  <si>
    <t xml:space="preserve">Ta flight (C)</t>
  </si>
  <si>
    <t xml:space="preserve">CWSI healthy</t>
  </si>
  <si>
    <t xml:space="preserve">CWSI</t>
  </si>
  <si>
    <t xml:space="preserve">Tc (C)</t>
  </si>
  <si>
    <t xml:space="preserve">Tc low (C)</t>
  </si>
  <si>
    <t xml:space="preserve">Tc high (C)</t>
  </si>
  <si>
    <t xml:space="preserve">CTD = Tc - Ta (C)</t>
  </si>
  <si>
    <t xml:space="preserve">dTc vs healthy (C)</t>
  </si>
  <si>
    <t xml:space="preserve">CTR = Tc/Ta</t>
  </si>
  <si>
    <t xml:space="preserve">IG = (Tdry-Tc)/(Tc-Twet)</t>
  </si>
  <si>
    <t xml:space="preserve">I3 = (Tc-Twet)/(Tdry-Tc)</t>
  </si>
  <si>
    <t xml:space="preserve">Tc SD within plot (C)</t>
  </si>
  <si>
    <t xml:space="preserve">Tc P95-P5 spread / MTD proxy (C)</t>
  </si>
  <si>
    <t xml:space="preserve">HEALTHY vs EACH SEVERITY CLASS AT EACH GROWTH STAGE (simulated means; averages over all treatment-dates at that stage)</t>
  </si>
  <si>
    <t xml:space="preserve">Upper block: absolute values. Lower block: % change vs the healthy value of the same stage. Third block: stage x date. V = vegetative (3rd leaf), F = flowering (5th leaf), P = pod formation (5th leaf).</t>
  </si>
  <si>
    <t xml:space="preserve">n treatment-dates</t>
  </si>
  <si>
    <t xml:space="preserve">RWC (%)</t>
  </si>
  <si>
    <t xml:space="preserve">MSI (%)</t>
  </si>
  <si>
    <t xml:space="preserve">Pn (umol m-2 s-1)</t>
  </si>
  <si>
    <t xml:space="preserve">gs (mol m-2 s-1)</t>
  </si>
  <si>
    <t xml:space="preserve">E (mmol m-2 s-1)</t>
  </si>
  <si>
    <t xml:space="preserve">Ci (umol mol-1)</t>
  </si>
  <si>
    <t xml:space="preserve">Chl a (ug mg-1 FW)</t>
  </si>
  <si>
    <t xml:space="preserve">Chl b (ug mg-1 FW)</t>
  </si>
  <si>
    <t xml:space="preserve">Carotenoid (mg g-1 FW)</t>
  </si>
  <si>
    <t xml:space="preserve">Anthocyanin (ug g-1 FW)</t>
  </si>
  <si>
    <t xml:space="preserve">Protein (ug mg-1 FW)</t>
  </si>
  <si>
    <t xml:space="preserve">CTD (C)</t>
  </si>
  <si>
    <t xml:space="preserve">Vegetative</t>
  </si>
  <si>
    <t xml:space="preserve">All dates</t>
  </si>
  <si>
    <t xml:space="preserve">Flowering</t>
  </si>
  <si>
    <t xml:space="preserve">Pod formation</t>
  </si>
  <si>
    <t xml:space="preserve">% CHANGE vs HEALTHY AT THE SAME STAGE (thermal columns: difference in C or CWSI units)</t>
  </si>
  <si>
    <t xml:space="preserve">STAGE x DATE: absolute simulated means (empty rows = that stage does not occur on that date)</t>
  </si>
  <si>
    <t xml:space="preserve">QUICK VIEW - healthy vs every severity class for one treatment and date (simulated)</t>
  </si>
  <si>
    <t xml:space="preserve">DAS / DAI</t>
  </si>
  <si>
    <t xml:space="preserve">Leaf</t>
  </si>
  <si>
    <t xml:space="preserve">Edit the yellow cells (drop-down lists). Each parameter shows mean, then range, then % change vs healthy.</t>
  </si>
  <si>
    <t xml:space="preserve">Plausibility</t>
  </si>
  <si>
    <t xml:space="preserve">RWC (%) mean</t>
  </si>
  <si>
    <t xml:space="preserve">range</t>
  </si>
  <si>
    <t xml:space="preserve">% vs H</t>
  </si>
  <si>
    <t xml:space="preserve">MSI (%) mean</t>
  </si>
  <si>
    <t xml:space="preserve">Pn (umol m-2 s-1) mean</t>
  </si>
  <si>
    <t xml:space="preserve">gs (mol m-2 s-1) mean</t>
  </si>
  <si>
    <t xml:space="preserve">E (mmol m-2 s-1) mean</t>
  </si>
  <si>
    <t xml:space="preserve">Ci (umol mol-1) mean</t>
  </si>
  <si>
    <t xml:space="preserve">Chl a (ug mg-1 FW) mean</t>
  </si>
  <si>
    <t xml:space="preserve">Chl b (ug mg-1 FW) mean</t>
  </si>
  <si>
    <t xml:space="preserve">Carotenoid (mg g-1 FW) mean</t>
  </si>
  <si>
    <t xml:space="preserve">Anthocyanin (ug g-1 FW) mean</t>
  </si>
  <si>
    <t xml:space="preserve">Protein (ug mg-1 FW) mean</t>
  </si>
  <si>
    <t xml:space="preserve">THERMAL PARAMETERS FOR UAV (FLIR Vue Pro R) AND HANDHELD THERMAL DATA</t>
  </si>
  <si>
    <t xml:space="preserve">Formula</t>
  </si>
  <si>
    <t xml:space="preserve">Expected direction with white rust</t>
  </si>
  <si>
    <t xml:space="preserve">Notes for your field (IARI, Feb-Mar 2026)</t>
  </si>
  <si>
    <t xml:space="preserve">Canopy temperature Tc</t>
  </si>
  <si>
    <t xml:space="preserve">Mean of canopy pixels after soil/shadow masking (K-means or NDVI mask)</t>
  </si>
  <si>
    <t xml:space="preserve">C</t>
  </si>
  <si>
    <t xml:space="preserve">Increases (less transpirational cooling)</t>
  </si>
  <si>
    <t xml:space="preserve">Fly 11:00-14:00 under clear sky; record Ta and RH at flight time.</t>
  </si>
  <si>
    <t xml:space="preserve">Canopy temperature depression CTD</t>
  </si>
  <si>
    <t xml:space="preserve">Tc - Ta (your ORW definition; many papers use Ta - Tc)</t>
  </si>
  <si>
    <t xml:space="preserve">Becomes less negative / positive</t>
  </si>
  <si>
    <t xml:space="preserve">State the sign convention explicitly in the thesis.</t>
  </si>
  <si>
    <t xml:space="preserve">Canopy temperature ratio CTR</t>
  </si>
  <si>
    <t xml:space="preserve">Tc / Ta</t>
  </si>
  <si>
    <t xml:space="preserve">Increases</t>
  </si>
  <si>
    <t xml:space="preserve">Use K if comparing across dates with very different Ta.</t>
  </si>
  <si>
    <t xml:space="preserve">Normalised relative canopy temperature NRCT</t>
  </si>
  <si>
    <t xml:space="preserve">(Tc - Tc,min field) / (Tc,max field - Tc,min field)</t>
  </si>
  <si>
    <t xml:space="preserve">0-1</t>
  </si>
  <si>
    <t xml:space="preserve">Computed within each flight across all 48 plots.</t>
  </si>
  <si>
    <t xml:space="preserve">Crop water stress index CWSI</t>
  </si>
  <si>
    <t xml:space="preserve">(Tc - Twet) / (Tdry - Twet); Twet = Ta + a - b VPD, Tdry = Ta + 3-5 C</t>
  </si>
  <si>
    <t xml:space="preserve">Empirical baselines; wet/dry reference surfaces (wet cloth, petroleum-jelly leaf) improve it.</t>
  </si>
  <si>
    <t xml:space="preserve">Stomatal conductance index IG</t>
  </si>
  <si>
    <t xml:space="preserve">(Tdry - Tc) / (Tc - Twet)</t>
  </si>
  <si>
    <t xml:space="preserve">Decreases (proportional to gs)</t>
  </si>
  <si>
    <t xml:space="preserve">Validate against LI-6400 gs on the same plots.</t>
  </si>
  <si>
    <t xml:space="preserve">Index I3</t>
  </si>
  <si>
    <t xml:space="preserve">(Tc - Twet) / (Tdry - Tc)</t>
  </si>
  <si>
    <t xml:space="preserve">Increases (proportional to 1/gs)</t>
  </si>
  <si>
    <t xml:space="preserve">Within-plot Tc SD</t>
  </si>
  <si>
    <t xml:space="preserve">SD of canopy pixels</t>
  </si>
  <si>
    <t xml:space="preserve">Increases (patchy lesions)</t>
  </si>
  <si>
    <t xml:space="preserve">Sensitive to pixel size (2 cm at 30 m).</t>
  </si>
  <si>
    <t xml:space="preserve">Maximum temperature difference MTD</t>
  </si>
  <si>
    <t xml:space="preserve">P95 - P5 (or max - min) of canopy pixels</t>
  </si>
  <si>
    <t xml:space="preserve">Thermal percentiles</t>
  </si>
  <si>
    <t xml:space="preserve">P10, P50, P90 of canopy Tc</t>
  </si>
  <si>
    <t xml:space="preserve">Upper percentiles rise first</t>
  </si>
  <si>
    <t xml:space="preserve">Liu et al. 2024 used percentile features.</t>
  </si>
  <si>
    <t xml:space="preserve">Thermal GLCM texture</t>
  </si>
  <si>
    <t xml:space="preserve">Contrast, homogeneity, entropy, ASM, correlation, dissimilarity of the thermal image (0, 45, 90, 135 deg; d = 1-5 px)</t>
  </si>
  <si>
    <t xml:space="preserve">Contrast/entropy up, homogeneity/ASM down</t>
  </si>
  <si>
    <t xml:space="preserve">As in ORW slide 21.</t>
  </si>
  <si>
    <t xml:space="preserve">CAVEATS</t>
  </si>
  <si>
    <t xml:space="preserve">1. Pustules form on the LOWER leaf surface; a nadir camera sees the upper surface. Thermal change before 8-11 DAI is not expected (Chou et al. 2000: transpiration unchanged at 8 DAI while photosynthesis already fell).</t>
  </si>
  <si>
    <t xml:space="preserve">2. White pustules may change surface emissivity; rupture can raise cuticular water loss and partly cancel warming.</t>
  </si>
  <si>
    <t xml:space="preserve">3. At flowering, yellow petals dominate the canopy view and are warmer than leaves - mask flowers or compare within stage only.</t>
  </si>
  <si>
    <t xml:space="preserve">4. Late-season heat (Tmax 30-35 C from 28 Feb) and VPD 2-3 kPa raise Tc of healthy plots too; always use the healthy plot of the same variety and sowing date as reference (your design allows this).</t>
  </si>
  <si>
    <t xml:space="preserve">5. Simulated Tc values (Simulation sheet) use flight-time Ta and VPD estimated from daily data; replace with logged values.</t>
  </si>
  <si>
    <t xml:space="preserve">RGB TEXTURE (GLCM) AND COLOUR INDICES - EXPECTED % CHANGE vs HEALTHY (simulated; LOW confidence)</t>
  </si>
  <si>
    <t xml:space="preserve">Change = sign x Rmax x (1 - exp(-k s)) x stage damping. Leaf-level = abaxial (lower) surface photographed at fixed exposure with colour card; canopy = UAV nadir view (upper surface). Absolute GLCM values depend on grey-level quantisation, window size, offset and GSD, so only relative changes are given.</t>
  </si>
  <si>
    <t xml:space="preserve">Feature</t>
  </si>
  <si>
    <t xml:space="preserve">Group</t>
  </si>
  <si>
    <t xml:space="preserve">Definition</t>
  </si>
  <si>
    <t xml:space="preserve">Rmax leaf (abaxial)</t>
  </si>
  <si>
    <t xml:space="preserve">Rmax canopy (nadir)</t>
  </si>
  <si>
    <t xml:space="preserve">Rationale</t>
  </si>
  <si>
    <t xml:space="preserve">GLCM mean</t>
  </si>
  <si>
    <t xml:space="preserve">GLCM</t>
  </si>
  <si>
    <t xml:space="preserve">sum_i sum_j i P(i,j)</t>
  </si>
  <si>
    <t xml:space="preserve">White pustules brighten the abaxial surface; slight canopy yellowing</t>
  </si>
  <si>
    <t xml:space="preserve">GLCM variance</t>
  </si>
  <si>
    <t xml:space="preserve">sum (i - mu)^2 P(i,j)</t>
  </si>
  <si>
    <t xml:space="preserve">Bright pustules on green tissue</t>
  </si>
  <si>
    <t xml:space="preserve">GLCM contrast</t>
  </si>
  <si>
    <t xml:space="preserve">sum (i - j)^2 P(i,j)</t>
  </si>
  <si>
    <t xml:space="preserve">Local grey-level jumps at pustule edges</t>
  </si>
  <si>
    <t xml:space="preserve">GLCM dissimilarity</t>
  </si>
  <si>
    <t xml:space="preserve">sum |i - j| P(i,j)</t>
  </si>
  <si>
    <t xml:space="preserve">As contrast, linear weighting</t>
  </si>
  <si>
    <t xml:space="preserve">GLCM homogeneity</t>
  </si>
  <si>
    <t xml:space="preserve">sum P(i,j) / (1 + (i - j)^2)</t>
  </si>
  <si>
    <t xml:space="preserve">Uniform healthy lamina becomes patchy</t>
  </si>
  <si>
    <t xml:space="preserve">GLCM entropy</t>
  </si>
  <si>
    <t xml:space="preserve">-sum P(i,j) log P(i,j)</t>
  </si>
  <si>
    <t xml:space="preserve">More grey-level randomness</t>
  </si>
  <si>
    <t xml:space="preserve">GLCM second moment (ASM)</t>
  </si>
  <si>
    <t xml:space="preserve">sum P(i,j)^2</t>
  </si>
  <si>
    <t xml:space="preserve">Less uniformity</t>
  </si>
  <si>
    <t xml:space="preserve">GLCM correlation</t>
  </si>
  <si>
    <t xml:space="preserve">sum (i - mu_i)(j - mu_j) P(i,j) / (sd_i sd_j)</t>
  </si>
  <si>
    <t xml:space="preserve">Random pustule pattern breaks linear structure</t>
  </si>
  <si>
    <t xml:space="preserve">NGRDI (G-R)/(G+R)</t>
  </si>
  <si>
    <t xml:space="preserve">Colour</t>
  </si>
  <si>
    <t xml:space="preserve">(G - R)/(G + R)</t>
  </si>
  <si>
    <t xml:space="preserve">Chlorosis lowers green relative to red</t>
  </si>
  <si>
    <t xml:space="preserve">ExG 2g-r-b (chromatic)</t>
  </si>
  <si>
    <t xml:space="preserve">2g - r - b, with r,g,b chromatic coordinates</t>
  </si>
  <si>
    <t xml:space="preserve">Loss of greenness</t>
  </si>
  <si>
    <t xml:space="preserve">VARI</t>
  </si>
  <si>
    <t xml:space="preserve">(G - R)/(G + R - B)</t>
  </si>
  <si>
    <t xml:space="preserve">GLI</t>
  </si>
  <si>
    <t xml:space="preserve">(2G - R - B)/(2G + R + B)</t>
  </si>
  <si>
    <t xml:space="preserve">RGRI R/G</t>
  </si>
  <si>
    <t xml:space="preserve">R / G</t>
  </si>
  <si>
    <t xml:space="preserve">Yellowing</t>
  </si>
  <si>
    <t xml:space="preserve">Brightness / whiteness (abaxial)</t>
  </si>
  <si>
    <t xml:space="preserve">(R + G + B)/3 or HSV value</t>
  </si>
  <si>
    <t xml:space="preserve">Pustule area fraction; best objective severity proxy</t>
  </si>
  <si>
    <t xml:space="preserve">Canopy stage damping (flowers mask leaves at F)</t>
  </si>
  <si>
    <t xml:space="preserve">LEAF LEVEL (abaxial surface, any stage)</t>
  </si>
  <si>
    <t xml:space="preserve">CANOPY - vegetative (UAV nadir)</t>
  </si>
  <si>
    <t xml:space="preserve">CANOPY - flowering (UAV nadir; petals mask leaves)</t>
  </si>
  <si>
    <t xml:space="preserve">CANOPY - pod formation (UAV nadir)</t>
  </si>
  <si>
    <t xml:space="preserve">SOURCES AND EVIDENCE BEHIND THE INPUTS</t>
  </si>
  <si>
    <t xml:space="preserve">#</t>
  </si>
  <si>
    <t xml:space="preserve">Reference</t>
  </si>
  <si>
    <t xml:space="preserve">Used for</t>
  </si>
  <si>
    <t xml:space="preserve">Link / note</t>
  </si>
  <si>
    <t xml:space="preserve">Chattopadhyay C. et al. (2011) Epidemiology and development of forecasting models for white rust of Brassica juncea in India. Archives of Phytopathology and Plant Protection 44(8): 751-763.</t>
  </si>
  <si>
    <t xml:space="preserve">Leaf and staghead weather criteria; later sowing = more disease; onset &gt;=36 DAS</t>
  </si>
  <si>
    <t xml:space="preserve">https://doi.org/10.1080/03235400903458571</t>
  </si>
  <si>
    <t xml:space="preserve">Chou H.-M. et al. (2000) Infection of Arabidopsis thaliana leaves with Albugo candida causes a reprogramming of host metabolism. Molecular Plant Pathology 1(2): 99-113.</t>
  </si>
  <si>
    <t xml:space="preserve">Timeline: no change at 6 DAI, Pn decline from 8 DAI, A 30% of control at 14 DAI; chl stable to 12 DAI then 40% of control; Fv/Fm unchanged; transpiration unchanged at 8 DAI</t>
  </si>
  <si>
    <t xml:space="preserve">https://doi.org/10.1046/j.1364-3703.2000.00013.x</t>
  </si>
  <si>
    <t xml:space="preserve">Mishra K.K. et al. (2009) Pathological and biochemical changes in Brassica juncea infected with Albugo candida. Plant Pathology 58: 80-86.</t>
  </si>
  <si>
    <t xml:space="preserve">Protein 4-10% lower in inoculated leaves; incubation 10-13 d; sugars and phenols lower</t>
  </si>
  <si>
    <t xml:space="preserve">https://doi.org/10.1111/j.1365-3059.2008.01939.x</t>
  </si>
  <si>
    <t xml:space="preserve">Pandey P., Tewari A.K., Awasthi R.P. (2013) Morphological and pathogenic variability of Albugo candida isolates. The Bioscan 8(3): 835-838.</t>
  </si>
  <si>
    <t xml:space="preserve">Incubation 4-9 d, latent 9-12 d (cotyledons); Delhi isolate least virulent, small pustules</t>
  </si>
  <si>
    <t xml:space="preserve">User-supplied PDF</t>
  </si>
  <si>
    <t xml:space="preserve">Rai P. et al. (2024) Transcriptional, biochemical and histochemical response of resistant and susceptible B. juncea to A. candida. Frontiers in Plant Science 15: 1426302.</t>
  </si>
  <si>
    <t xml:space="preserve">Chl and carotenoids higher in resistant NIL; carotenoids rise in susceptible line early; protein</t>
  </si>
  <si>
    <t xml:space="preserve">https://doi.org/10.3389/fpls.2024.1426302</t>
  </si>
  <si>
    <t xml:space="preserve">Shrivastava A. et al. (2023) Screening of Indian mustard genotypes against white rust based on disease indexing. Biological Forum 15(4): 268-272.</t>
  </si>
  <si>
    <t xml:space="preserve">PM-26 susceptible (PDI 44.4); Pusa Vijay highly susceptible (PDI 55.6)</t>
  </si>
  <si>
    <t xml:space="preserve">Singh M. et al. (2024) Multivariate analysis of the effects of weather variables on white rust epidemics. Plant Pathology 73: 791-809.</t>
  </si>
  <si>
    <t xml:space="preserve">Onset-to-peak ~40 d; maximum severity 40-46%; later sowing earlier onset</t>
  </si>
  <si>
    <t xml:space="preserve">https://doi.org/10.1111/ppa.13851</t>
  </si>
  <si>
    <t xml:space="preserve">Rana R.S. et al. (2017) Forecasting phenology of mustard crop in North-western Himalayas. J. Appl. Nat. Sci. 9(1): 230-236.</t>
  </si>
  <si>
    <t xml:space="preserve">GDD (base 5 C) stage thresholds; emergence 100-125 GDD</t>
  </si>
  <si>
    <t xml:space="preserve">Bal R.S., Kumar A. (2014) Studies on the epidemiology of white rust and Alternaria leaf blight. African J. Agric. Res. 9(2): 302-306.</t>
  </si>
  <si>
    <t xml:space="preserve">Defoliation at high PDI; lagged weather effect</t>
  </si>
  <si>
    <t xml:space="preserve">https://doi.org/10.5897/AJAR2013.7352</t>
  </si>
  <si>
    <t xml:space="preserve">Ram L., Awasthi R.P. (2018) Comparative assessment of white rust disease in improved varieties of Indian mustard. IJCMAS 7(5): 1431-1438.</t>
  </si>
  <si>
    <t xml:space="preserve">Staghead incidence and severity formulas</t>
  </si>
  <si>
    <t xml:space="preserve">https://doi.org/10.20546/ijcmas.2018.705.170</t>
  </si>
  <si>
    <t xml:space="preserve">Similar-experiment slides (HR/MR/MS/S classes, 45-85 DAS; unpublished)</t>
  </si>
  <si>
    <t xml:space="preserve">Magnitude anchors for Pn, gs, E, Ci, MSI only. Data-integrity concerns noted (duplicated seasons, tables not matching bars).</t>
  </si>
  <si>
    <t xml:space="preserve">User-supplied slides</t>
  </si>
  <si>
    <t xml:space="preserve">Effect of sowing time, varieties and salicylic acid on physiological parameters of Indian mustard (Jobner).</t>
  </si>
  <si>
    <t xml:space="preserve">Healthy RWC ~86% at flowering</t>
  </si>
  <si>
    <t xml:space="preserve">https://www.microbiologyjournal.org/influence-of-sowing-time-varieties-and-salicylic-acid-application-on-different-physiological-parameters-of-indian-mustard-brassica-juncea-l/</t>
  </si>
  <si>
    <t xml:space="preserve">Effect of potassium fertilizer on growth, physiology and water status of Brassica juncea cultivars (PLOS ONE 2021).</t>
  </si>
  <si>
    <t xml:space="preserve">MSI 57-73%, RWC up to 85%, chlorophyll and carotenoid ranges</t>
  </si>
  <si>
    <t xml:space="preserve">https://journals.plos.org/plosone/article?id=10.1371%2Fjournal.pone.0257023</t>
  </si>
  <si>
    <t xml:space="preserve">The photosynthetic characteristics of leaves in different-colored Brassica juncea. Plants 14(20): 3197 (2025).</t>
  </si>
  <si>
    <t xml:space="preserve">Pn 18-31 umol m-2 s-1 and gs 0.62-0.85 mol m-2 s-1 in green lines</t>
  </si>
  <si>
    <t xml:space="preserve">https://doi.org/10.3390/plants14203197</t>
  </si>
  <si>
    <t xml:space="preserve">Chlorophyll content of B. juncea M4 mutants (J. Pharmacogn. Phytochem. 2019).</t>
  </si>
  <si>
    <t xml:space="preserve">Total chl 0.86-1.75 mg g-1 FW at 45-65 DAS</t>
  </si>
  <si>
    <t xml:space="preserve">https://phytojournal.com/archives/2019/vol8issue3/PartAB/8-2-592-868.pdf</t>
  </si>
  <si>
    <t xml:space="preserve">Anthocyanins in purple vs green B. juncea leaves (PMC4992693, Table 1).</t>
  </si>
  <si>
    <t xml:space="preserve">Green leaves near detection limit; purple ~22-25 ug g-1 FW per compound</t>
  </si>
  <si>
    <t xml:space="preserve">https://pmc.ncbi.nlm.nih.gov/articles/PMC4992693/table/T1</t>
  </si>
  <si>
    <t xml:space="preserve">Tripathi S.K. et al. (2020) Late-sown Indian mustard, Kanpur (IJCMAS 9(1)).</t>
  </si>
  <si>
    <t xml:space="preserve">CTD ~3.5-3.7 C post-flowering in tolerant genotypes</t>
  </si>
  <si>
    <t xml:space="preserve">https://www.ijcmas.com/9-1-2020/Sanjay Kumar Tripathi, et al.pdf</t>
  </si>
  <si>
    <t xml:space="preserve">JIRCAS JARQ 25(1): remote sensing of physiological depression with thermal imagery.</t>
  </si>
  <si>
    <t xml:space="preserve">Stressed canopy up to 3.1-4.2 C warmer</t>
  </si>
  <si>
    <t xml:space="preserve">https://www.jircas.go.jp/en/publication/jarq/25/1/1</t>
  </si>
  <si>
    <t xml:space="preserve">Jain G., Sandhu S.K. (PAU) Mustard under different dates of sowing.</t>
  </si>
  <si>
    <t xml:space="preserve">LAI highest in early sowing, lowest in 1 Dec sowing</t>
  </si>
  <si>
    <t xml:space="preserve">https://phytojournal.com/archives/2018/vol7issue3/PartAI/7-3-493-188.pdf</t>
  </si>
  <si>
    <t xml:space="preserve">Methods: Barrs &amp; Weatherley 1962 (RWC); Sairam 1994 (MSI); Wellburn 1994 (DMSO pigments); Lee, Durst &amp; Wrolstad 2005 (pH differential); Bradford 1976 (protein); Haralick et al. 1973 (GLCM); Idso et al. 1981 / Jackson et al. 1981 (CWSI).</t>
  </si>
  <si>
    <t xml:space="preserve">Assay definitions, units and index formulas</t>
  </si>
  <si>
    <t xml:space="preserve">Standard method papers</t>
  </si>
  <si>
    <t xml:space="preserve">IARI weather 31/10/2025-06/04/2026 (user file WEATHER_DATA_Jan_2024_to_tilldate.xlsx).</t>
  </si>
  <si>
    <t xml:space="preserve">All weather-driven terms</t>
  </si>
  <si>
    <t xml:space="preserve">User-supplied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</si>
</sst>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dd/mm/yyyy"/>
    <numFmt numFmtId="167" formatCode="0.00"/>
    <numFmt numFmtId="168" formatCode="0.0"/>
    <numFmt numFmtId="169" formatCode="0.0%"/>
    <numFmt numFmtId="170" formatCode="General"/>
    <numFmt numFmtId="171" formatCode="0"/>
    <numFmt numFmtId="172" formatCode="\+0.0;\-0.0;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1"/>
      <color theme="1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35.0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23.8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23.8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3"/>
    </row>
    <row r="28" customFormat="false" ht="23.8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2" t="s">
        <v>24</v>
      </c>
    </row>
    <row r="31" customFormat="false" ht="23.85" hidden="false" customHeight="false" outlineLevel="0" collapsed="false">
      <c r="A31" s="3" t="s">
        <v>25</v>
      </c>
    </row>
    <row r="32" customFormat="false" ht="23.8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4" min="3" style="0" width="1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5" t="s">
        <v>29</v>
      </c>
    </row>
    <row r="3" customFormat="false" ht="15" hidden="false" customHeight="false" outlineLevel="0" collapsed="false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</row>
    <row r="4" customFormat="false" ht="15" hidden="false" customHeight="false" outlineLevel="0" collapsed="false">
      <c r="A4" s="7" t="s">
        <v>35</v>
      </c>
      <c r="B4" s="3" t="s">
        <v>36</v>
      </c>
      <c r="C4" s="8" t="n">
        <v>5</v>
      </c>
      <c r="D4" s="9" t="s">
        <v>37</v>
      </c>
      <c r="E4" s="3" t="s">
        <v>38</v>
      </c>
    </row>
    <row r="5" customFormat="false" ht="15" hidden="false" customHeight="false" outlineLevel="0" collapsed="false">
      <c r="A5" s="7" t="s">
        <v>39</v>
      </c>
      <c r="B5" s="3" t="s">
        <v>40</v>
      </c>
      <c r="C5" s="8" t="n">
        <v>110</v>
      </c>
      <c r="D5" s="9" t="s">
        <v>41</v>
      </c>
      <c r="E5" s="3" t="s">
        <v>42</v>
      </c>
    </row>
    <row r="6" customFormat="false" ht="15" hidden="false" customHeight="false" outlineLevel="0" collapsed="false">
      <c r="A6" s="7" t="s">
        <v>43</v>
      </c>
      <c r="B6" s="3" t="s">
        <v>44</v>
      </c>
      <c r="C6" s="10" t="n">
        <v>46058</v>
      </c>
      <c r="D6" s="9" t="s">
        <v>45</v>
      </c>
      <c r="E6" s="3" t="s">
        <v>46</v>
      </c>
    </row>
    <row r="7" customFormat="false" ht="15" hidden="false" customHeight="false" outlineLevel="0" collapsed="false">
      <c r="A7" s="7" t="s">
        <v>47</v>
      </c>
      <c r="B7" s="3" t="s">
        <v>48</v>
      </c>
      <c r="C7" s="8" t="n">
        <v>27</v>
      </c>
      <c r="D7" s="9" t="s">
        <v>37</v>
      </c>
      <c r="E7" s="3" t="s">
        <v>49</v>
      </c>
    </row>
    <row r="8" customFormat="false" ht="15" hidden="false" customHeight="false" outlineLevel="0" collapsed="false">
      <c r="A8" s="7" t="s">
        <v>50</v>
      </c>
      <c r="B8" s="3" t="s">
        <v>51</v>
      </c>
      <c r="C8" s="8" t="n">
        <v>8</v>
      </c>
      <c r="D8" s="9" t="s">
        <v>37</v>
      </c>
      <c r="E8" s="3" t="s">
        <v>52</v>
      </c>
    </row>
    <row r="9" customFormat="false" ht="15" hidden="false" customHeight="false" outlineLevel="0" collapsed="false">
      <c r="A9" s="7" t="s">
        <v>53</v>
      </c>
      <c r="B9" s="3" t="s">
        <v>54</v>
      </c>
      <c r="C9" s="8" t="n">
        <v>0.8</v>
      </c>
      <c r="D9" s="9" t="s">
        <v>55</v>
      </c>
      <c r="E9" s="3" t="s">
        <v>56</v>
      </c>
    </row>
    <row r="10" customFormat="false" ht="15" hidden="false" customHeight="false" outlineLevel="0" collapsed="false">
      <c r="A10" s="7" t="s">
        <v>57</v>
      </c>
      <c r="B10" s="3" t="s">
        <v>58</v>
      </c>
      <c r="C10" s="8" t="n">
        <v>0.3</v>
      </c>
      <c r="D10" s="9" t="s">
        <v>55</v>
      </c>
      <c r="E10" s="3" t="s">
        <v>59</v>
      </c>
    </row>
    <row r="11" customFormat="false" ht="15" hidden="false" customHeight="false" outlineLevel="0" collapsed="false">
      <c r="A11" s="7" t="s">
        <v>60</v>
      </c>
      <c r="B11" s="3" t="s">
        <v>61</v>
      </c>
      <c r="C11" s="8" t="n">
        <v>0.9</v>
      </c>
      <c r="D11" s="9" t="s">
        <v>55</v>
      </c>
      <c r="E11" s="3" t="s">
        <v>62</v>
      </c>
    </row>
    <row r="12" customFormat="false" ht="15" hidden="false" customHeight="false" outlineLevel="0" collapsed="false">
      <c r="A12" s="7" t="s">
        <v>63</v>
      </c>
      <c r="B12" s="3" t="s">
        <v>64</v>
      </c>
      <c r="C12" s="8" t="n">
        <v>0.15</v>
      </c>
      <c r="D12" s="9" t="s">
        <v>55</v>
      </c>
      <c r="E12" s="3"/>
    </row>
    <row r="13" customFormat="false" ht="15" hidden="false" customHeight="false" outlineLevel="0" collapsed="false">
      <c r="A13" s="7" t="s">
        <v>65</v>
      </c>
      <c r="B13" s="3" t="s">
        <v>66</v>
      </c>
      <c r="C13" s="8" t="n">
        <v>99.3</v>
      </c>
      <c r="D13" s="9" t="s">
        <v>67</v>
      </c>
      <c r="E13" s="3" t="s">
        <v>68</v>
      </c>
    </row>
    <row r="14" customFormat="false" ht="15" hidden="false" customHeight="false" outlineLevel="0" collapsed="false">
      <c r="A14" s="7" t="s">
        <v>69</v>
      </c>
      <c r="B14" s="3" t="s">
        <v>70</v>
      </c>
      <c r="C14" s="8" t="n">
        <v>1</v>
      </c>
      <c r="D14" s="9" t="s">
        <v>37</v>
      </c>
      <c r="E14" s="3" t="s">
        <v>71</v>
      </c>
    </row>
    <row r="15" customFormat="false" ht="15" hidden="false" customHeight="false" outlineLevel="0" collapsed="false">
      <c r="A15" s="7" t="s">
        <v>72</v>
      </c>
      <c r="B15" s="3" t="s">
        <v>73</v>
      </c>
      <c r="C15" s="8" t="n">
        <v>1.9</v>
      </c>
      <c r="D15" s="9" t="s">
        <v>74</v>
      </c>
      <c r="E15" s="3" t="s">
        <v>75</v>
      </c>
    </row>
    <row r="16" customFormat="false" ht="15" hidden="false" customHeight="false" outlineLevel="0" collapsed="false">
      <c r="A16" s="7" t="s">
        <v>76</v>
      </c>
      <c r="B16" s="3" t="s">
        <v>77</v>
      </c>
      <c r="C16" s="8" t="n">
        <v>4</v>
      </c>
      <c r="D16" s="9" t="s">
        <v>37</v>
      </c>
      <c r="E16" s="3" t="s">
        <v>78</v>
      </c>
    </row>
    <row r="17" customFormat="false" ht="15" hidden="false" customHeight="false" outlineLevel="0" collapsed="false">
      <c r="A17" s="7" t="s">
        <v>79</v>
      </c>
      <c r="B17" s="3" t="s">
        <v>80</v>
      </c>
      <c r="C17" s="8" t="n">
        <v>0.12</v>
      </c>
      <c r="D17" s="9" t="s">
        <v>55</v>
      </c>
      <c r="E17" s="3" t="s">
        <v>81</v>
      </c>
    </row>
    <row r="18" customFormat="false" ht="15" hidden="false" customHeight="false" outlineLevel="0" collapsed="false">
      <c r="A18" s="7" t="s">
        <v>82</v>
      </c>
      <c r="B18" s="3" t="s">
        <v>83</v>
      </c>
      <c r="C18" s="8" t="n">
        <v>0.2</v>
      </c>
      <c r="D18" s="9" t="s">
        <v>55</v>
      </c>
      <c r="E18" s="3" t="s">
        <v>84</v>
      </c>
    </row>
    <row r="19" customFormat="false" ht="15" hidden="false" customHeight="false" outlineLevel="0" collapsed="false">
      <c r="A19" s="7" t="s">
        <v>85</v>
      </c>
      <c r="B19" s="3" t="s">
        <v>86</v>
      </c>
      <c r="C19" s="8" t="n">
        <v>0.3</v>
      </c>
      <c r="D19" s="9" t="s">
        <v>55</v>
      </c>
      <c r="E19" s="3" t="s">
        <v>87</v>
      </c>
    </row>
    <row r="20" customFormat="false" ht="15" hidden="false" customHeight="false" outlineLevel="0" collapsed="false">
      <c r="A20" s="7" t="s">
        <v>88</v>
      </c>
      <c r="B20" s="3" t="s">
        <v>89</v>
      </c>
      <c r="C20" s="8" t="n">
        <v>0.05</v>
      </c>
      <c r="D20" s="9" t="s">
        <v>55</v>
      </c>
      <c r="E20" s="3"/>
    </row>
    <row r="21" customFormat="false" ht="15" hidden="false" customHeight="false" outlineLevel="0" collapsed="false">
      <c r="A21" s="7" t="s">
        <v>90</v>
      </c>
      <c r="B21" s="3" t="s">
        <v>91</v>
      </c>
      <c r="C21" s="8" t="n">
        <v>0.25</v>
      </c>
      <c r="D21" s="9" t="s">
        <v>55</v>
      </c>
      <c r="E21" s="3" t="s">
        <v>92</v>
      </c>
    </row>
    <row r="22" customFormat="false" ht="15" hidden="false" customHeight="false" outlineLevel="0" collapsed="false">
      <c r="A22" s="7" t="s">
        <v>93</v>
      </c>
      <c r="B22" s="3" t="s">
        <v>94</v>
      </c>
      <c r="C22" s="8" t="n">
        <v>1.645</v>
      </c>
      <c r="D22" s="9" t="s">
        <v>55</v>
      </c>
      <c r="E22" s="3"/>
    </row>
    <row r="23" customFormat="false" ht="15" hidden="false" customHeight="false" outlineLevel="0" collapsed="false">
      <c r="A23" s="7" t="s">
        <v>95</v>
      </c>
      <c r="B23" s="3" t="s">
        <v>96</v>
      </c>
      <c r="C23" s="8" t="n">
        <v>0.6</v>
      </c>
      <c r="D23" s="9" t="s">
        <v>37</v>
      </c>
      <c r="E23" s="3" t="s">
        <v>97</v>
      </c>
    </row>
    <row r="24" customFormat="false" ht="15" hidden="false" customHeight="false" outlineLevel="0" collapsed="false">
      <c r="A24" s="7" t="s">
        <v>98</v>
      </c>
      <c r="B24" s="3" t="s">
        <v>99</v>
      </c>
      <c r="C24" s="8" t="n">
        <v>2</v>
      </c>
      <c r="D24" s="9" t="s">
        <v>37</v>
      </c>
      <c r="E24" s="3" t="s">
        <v>100</v>
      </c>
    </row>
    <row r="25" customFormat="false" ht="15" hidden="false" customHeight="false" outlineLevel="0" collapsed="false">
      <c r="A25" s="7" t="s">
        <v>101</v>
      </c>
      <c r="B25" s="3" t="s">
        <v>102</v>
      </c>
      <c r="C25" s="8" t="n">
        <v>0.5</v>
      </c>
      <c r="D25" s="9" t="s">
        <v>55</v>
      </c>
      <c r="E25" s="3" t="s">
        <v>103</v>
      </c>
    </row>
    <row r="26" customFormat="false" ht="15" hidden="false" customHeight="false" outlineLevel="0" collapsed="false">
      <c r="A26" s="7" t="s">
        <v>104</v>
      </c>
      <c r="B26" s="3" t="s">
        <v>105</v>
      </c>
      <c r="C26" s="8" t="n">
        <v>1</v>
      </c>
      <c r="D26" s="9" t="s">
        <v>67</v>
      </c>
      <c r="E26" s="3" t="s">
        <v>106</v>
      </c>
    </row>
    <row r="27" customFormat="false" ht="15" hidden="false" customHeight="false" outlineLevel="0" collapsed="false">
      <c r="A27" s="7" t="s">
        <v>107</v>
      </c>
      <c r="B27" s="3" t="s">
        <v>108</v>
      </c>
      <c r="C27" s="8" t="n">
        <v>330</v>
      </c>
      <c r="D27" s="9" t="s">
        <v>41</v>
      </c>
      <c r="E27" s="3" t="s">
        <v>109</v>
      </c>
    </row>
    <row r="28" customFormat="false" ht="15" hidden="false" customHeight="false" outlineLevel="0" collapsed="false">
      <c r="A28" s="7" t="s">
        <v>110</v>
      </c>
      <c r="B28" s="3" t="s">
        <v>111</v>
      </c>
      <c r="C28" s="8" t="n">
        <v>100</v>
      </c>
      <c r="D28" s="9" t="s">
        <v>41</v>
      </c>
      <c r="E28" s="3"/>
    </row>
    <row r="29" customFormat="false" ht="15" hidden="false" customHeight="false" outlineLevel="0" collapsed="false">
      <c r="A29" s="7" t="s">
        <v>112</v>
      </c>
      <c r="B29" s="3" t="s">
        <v>113</v>
      </c>
      <c r="C29" s="8" t="n">
        <v>800</v>
      </c>
      <c r="D29" s="9" t="s">
        <v>41</v>
      </c>
      <c r="E29" s="3" t="s">
        <v>114</v>
      </c>
    </row>
    <row r="30" customFormat="false" ht="15" hidden="false" customHeight="false" outlineLevel="0" collapsed="false">
      <c r="A30" s="7" t="s">
        <v>115</v>
      </c>
      <c r="B30" s="3" t="s">
        <v>116</v>
      </c>
      <c r="C30" s="8" t="n">
        <v>300</v>
      </c>
      <c r="D30" s="9" t="s">
        <v>41</v>
      </c>
      <c r="E3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117</v>
      </c>
    </row>
    <row r="3" customFormat="false" ht="23.85" hidden="false" customHeight="false" outlineLevel="0" collapsed="false">
      <c r="A3" s="6" t="s">
        <v>118</v>
      </c>
      <c r="B3" s="6" t="s">
        <v>119</v>
      </c>
      <c r="C3" s="6" t="s">
        <v>120</v>
      </c>
      <c r="D3" s="6" t="s">
        <v>121</v>
      </c>
      <c r="E3" s="6" t="s">
        <v>122</v>
      </c>
      <c r="F3" s="6" t="s">
        <v>123</v>
      </c>
      <c r="G3" s="6" t="s">
        <v>124</v>
      </c>
      <c r="H3" s="6" t="s">
        <v>125</v>
      </c>
      <c r="I3" s="6" t="s">
        <v>126</v>
      </c>
    </row>
    <row r="4" customFormat="false" ht="23.85" hidden="false" customHeight="false" outlineLevel="0" collapsed="false">
      <c r="A4" s="7" t="s">
        <v>127</v>
      </c>
      <c r="B4" s="10" t="n">
        <v>46000</v>
      </c>
      <c r="C4" s="11" t="n">
        <v>3.4</v>
      </c>
      <c r="D4" s="11" t="n">
        <v>1</v>
      </c>
      <c r="E4" s="11" t="n">
        <v>1</v>
      </c>
      <c r="F4" s="11" t="n">
        <v>1</v>
      </c>
      <c r="G4" s="11" t="n">
        <v>1</v>
      </c>
      <c r="H4" s="11" t="n">
        <v>1</v>
      </c>
      <c r="I4" s="3" t="s">
        <v>128</v>
      </c>
    </row>
    <row r="5" customFormat="false" ht="15" hidden="false" customHeight="false" outlineLevel="0" collapsed="false">
      <c r="A5" s="7" t="s">
        <v>129</v>
      </c>
      <c r="B5" s="10" t="n">
        <v>46009</v>
      </c>
      <c r="C5" s="11" t="n">
        <v>3.2</v>
      </c>
      <c r="D5" s="11" t="n">
        <v>0.9</v>
      </c>
      <c r="E5" s="11" t="n">
        <v>1.05</v>
      </c>
      <c r="F5" s="11" t="n">
        <v>1</v>
      </c>
      <c r="G5" s="11" t="n">
        <v>1</v>
      </c>
      <c r="H5" s="11" t="n">
        <v>1</v>
      </c>
      <c r="I5" s="3" t="s">
        <v>130</v>
      </c>
    </row>
    <row r="6" customFormat="false" ht="15" hidden="false" customHeight="false" outlineLevel="0" collapsed="false">
      <c r="A6" s="7" t="s">
        <v>131</v>
      </c>
      <c r="B6" s="10" t="n">
        <v>46018</v>
      </c>
      <c r="C6" s="11" t="n">
        <v>2.9</v>
      </c>
      <c r="D6" s="11" t="n">
        <v>0.75</v>
      </c>
      <c r="E6" s="11" t="n">
        <v>1.2</v>
      </c>
      <c r="F6" s="11" t="n">
        <v>1.05</v>
      </c>
      <c r="G6" s="11" t="n">
        <v>1</v>
      </c>
      <c r="H6" s="11" t="n">
        <v>1</v>
      </c>
      <c r="I6" s="3" t="s">
        <v>132</v>
      </c>
    </row>
    <row r="7" customFormat="false" ht="23.85" hidden="false" customHeight="false" outlineLevel="0" collapsed="false">
      <c r="A7" s="7" t="s">
        <v>133</v>
      </c>
      <c r="B7" s="10" t="n">
        <v>46031</v>
      </c>
      <c r="C7" s="11" t="n">
        <v>2.5</v>
      </c>
      <c r="D7" s="11" t="n">
        <v>0.6</v>
      </c>
      <c r="E7" s="11" t="n">
        <v>1.4</v>
      </c>
      <c r="F7" s="11" t="n">
        <v>1.15</v>
      </c>
      <c r="G7" s="11" t="n">
        <v>1</v>
      </c>
      <c r="H7" s="11" t="n">
        <v>1</v>
      </c>
      <c r="I7" s="3" t="s">
        <v>134</v>
      </c>
    </row>
    <row r="10" customFormat="false" ht="15" hidden="false" customHeight="false" outlineLevel="0" collapsed="false">
      <c r="A10" s="7" t="s">
        <v>135</v>
      </c>
    </row>
    <row r="11" customFormat="false" ht="23.85" hidden="false" customHeight="false" outlineLevel="0" collapsed="false">
      <c r="A11" s="6" t="s">
        <v>135</v>
      </c>
      <c r="B11" s="6" t="s">
        <v>136</v>
      </c>
      <c r="C11" s="6" t="s">
        <v>137</v>
      </c>
      <c r="D11" s="6" t="s">
        <v>138</v>
      </c>
      <c r="E11" s="6" t="s">
        <v>139</v>
      </c>
      <c r="F11" s="6" t="s">
        <v>140</v>
      </c>
      <c r="G11" s="6" t="s">
        <v>141</v>
      </c>
    </row>
    <row r="12" customFormat="false" ht="46.25" hidden="false" customHeight="false" outlineLevel="0" collapsed="false">
      <c r="A12" s="7" t="s">
        <v>142</v>
      </c>
      <c r="B12" s="9" t="s">
        <v>143</v>
      </c>
      <c r="C12" s="9" t="s">
        <v>144</v>
      </c>
      <c r="D12" s="11" t="n">
        <v>1</v>
      </c>
      <c r="E12" s="11" t="n">
        <v>0.8</v>
      </c>
      <c r="F12" s="11" t="n">
        <v>0.95</v>
      </c>
      <c r="G12" s="3" t="s">
        <v>145</v>
      </c>
    </row>
    <row r="13" customFormat="false" ht="15" hidden="false" customHeight="false" outlineLevel="0" collapsed="false">
      <c r="A13" s="7" t="s">
        <v>146</v>
      </c>
      <c r="B13" s="9" t="s">
        <v>147</v>
      </c>
      <c r="C13" s="9" t="s">
        <v>148</v>
      </c>
      <c r="D13" s="11" t="n">
        <v>1.1</v>
      </c>
      <c r="E13" s="11" t="n">
        <v>1</v>
      </c>
      <c r="F13" s="11" t="n">
        <v>1</v>
      </c>
      <c r="G13" s="3" t="s">
        <v>149</v>
      </c>
    </row>
    <row r="14" customFormat="false" ht="35.05" hidden="false" customHeight="false" outlineLevel="0" collapsed="false">
      <c r="A14" s="7" t="s">
        <v>150</v>
      </c>
      <c r="B14" s="9" t="s">
        <v>151</v>
      </c>
      <c r="C14" s="9" t="s">
        <v>152</v>
      </c>
      <c r="D14" s="11" t="n">
        <v>0.85</v>
      </c>
      <c r="E14" s="11" t="n">
        <v>0.5</v>
      </c>
      <c r="F14" s="11" t="n">
        <v>1</v>
      </c>
      <c r="G14" s="3" t="s">
        <v>153</v>
      </c>
    </row>
    <row r="17" customFormat="false" ht="15" hidden="false" customHeight="false" outlineLevel="0" collapsed="false">
      <c r="A17" s="7" t="s">
        <v>154</v>
      </c>
    </row>
    <row r="18" customFormat="false" ht="23.85" hidden="false" customHeight="false" outlineLevel="0" collapsed="false">
      <c r="A18" s="6" t="s">
        <v>155</v>
      </c>
      <c r="B18" s="6" t="s">
        <v>156</v>
      </c>
      <c r="C18" s="6" t="s">
        <v>157</v>
      </c>
      <c r="D18" s="6" t="s">
        <v>141</v>
      </c>
    </row>
    <row r="19" customFormat="false" ht="46.25" hidden="false" customHeight="false" outlineLevel="0" collapsed="false">
      <c r="A19" s="7" t="s">
        <v>158</v>
      </c>
      <c r="B19" s="10" t="n">
        <v>46064</v>
      </c>
      <c r="C19" s="12" t="n">
        <v>3</v>
      </c>
      <c r="D19" s="3" t="s">
        <v>159</v>
      </c>
    </row>
    <row r="20" customFormat="false" ht="46.25" hidden="false" customHeight="false" outlineLevel="0" collapsed="false">
      <c r="A20" s="7" t="s">
        <v>160</v>
      </c>
      <c r="B20" s="10" t="n">
        <v>46077</v>
      </c>
      <c r="C20" s="12" t="n">
        <v>18</v>
      </c>
      <c r="D20" s="3" t="s">
        <v>161</v>
      </c>
    </row>
    <row r="21" customFormat="false" ht="35.05" hidden="false" customHeight="false" outlineLevel="0" collapsed="false">
      <c r="A21" s="7" t="s">
        <v>162</v>
      </c>
      <c r="B21" s="10" t="n">
        <v>46084</v>
      </c>
      <c r="C21" s="12" t="n">
        <v>28</v>
      </c>
      <c r="D21" s="3" t="s">
        <v>163</v>
      </c>
    </row>
    <row r="22" customFormat="false" ht="46.25" hidden="false" customHeight="false" outlineLevel="0" collapsed="false">
      <c r="A22" s="7" t="s">
        <v>164</v>
      </c>
      <c r="B22" s="10" t="n">
        <v>46094</v>
      </c>
      <c r="C22" s="12" t="n">
        <v>35</v>
      </c>
      <c r="D22" s="3" t="s">
        <v>165</v>
      </c>
    </row>
    <row r="24" customFormat="false" ht="15" hidden="false" customHeight="false" outlineLevel="0" collapsed="false">
      <c r="A24" s="7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11" min="9" style="0" width="10"/>
    <col collapsed="false" customWidth="true" hidden="false" outlineLevel="0" max="15" min="12" style="0" width="9"/>
    <col collapsed="false" customWidth="true" hidden="false" outlineLevel="0" max="16" min="16" style="0" width="10"/>
    <col collapsed="false" customWidth="true" hidden="false" outlineLevel="0" max="17" min="17" style="0" width="6"/>
    <col collapsed="false" customWidth="true" hidden="false" outlineLevel="0" max="18" min="18" style="0" width="7"/>
    <col collapsed="false" customWidth="true" hidden="false" outlineLevel="0" max="19" min="19" style="0" width="6"/>
    <col collapsed="false" customWidth="true" hidden="false" outlineLevel="0" max="23" min="20" style="0" width="9"/>
    <col collapsed="false" customWidth="true" hidden="false" outlineLevel="0" max="27" min="24" style="0" width="10"/>
    <col collapsed="false" customWidth="true" hidden="false" outlineLevel="0" max="28" min="28" style="0" width="16"/>
    <col collapsed="false" customWidth="true" hidden="false" outlineLevel="0" max="29" min="29" style="0" width="90"/>
  </cols>
  <sheetData>
    <row r="1" customFormat="false" ht="17.35" hidden="false" customHeight="false" outlineLevel="0" collapsed="false">
      <c r="A1" s="5" t="s">
        <v>167</v>
      </c>
    </row>
    <row r="2" customFormat="false" ht="15" hidden="false" customHeight="false" outlineLevel="0" collapsed="false">
      <c r="I2" s="7" t="s">
        <v>168</v>
      </c>
      <c r="P2" s="7" t="s">
        <v>169</v>
      </c>
      <c r="X2" s="7" t="s">
        <v>170</v>
      </c>
    </row>
    <row r="3" customFormat="false" ht="35.05" hidden="false" customHeight="false" outlineLevel="0" collapsed="false">
      <c r="A3" s="6" t="s">
        <v>171</v>
      </c>
      <c r="B3" s="6" t="s">
        <v>172</v>
      </c>
      <c r="C3" s="6" t="s">
        <v>33</v>
      </c>
      <c r="D3" s="6" t="s">
        <v>173</v>
      </c>
      <c r="E3" s="6" t="s">
        <v>174</v>
      </c>
      <c r="F3" s="6" t="s">
        <v>175</v>
      </c>
      <c r="G3" s="6" t="s">
        <v>176</v>
      </c>
      <c r="H3" s="6" t="s">
        <v>177</v>
      </c>
      <c r="I3" s="6" t="s">
        <v>178</v>
      </c>
      <c r="J3" s="6" t="s">
        <v>179</v>
      </c>
      <c r="K3" s="6" t="s">
        <v>180</v>
      </c>
      <c r="L3" s="6" t="s">
        <v>181</v>
      </c>
      <c r="M3" s="6" t="s">
        <v>182</v>
      </c>
      <c r="N3" s="6" t="s">
        <v>183</v>
      </c>
      <c r="O3" s="6" t="s">
        <v>184</v>
      </c>
      <c r="P3" s="6" t="s">
        <v>185</v>
      </c>
      <c r="Q3" s="6" t="s">
        <v>186</v>
      </c>
      <c r="R3" s="6" t="s">
        <v>187</v>
      </c>
      <c r="S3" s="6" t="s">
        <v>188</v>
      </c>
      <c r="T3" s="6" t="s">
        <v>189</v>
      </c>
      <c r="U3" s="6" t="s">
        <v>190</v>
      </c>
      <c r="V3" s="6" t="s">
        <v>191</v>
      </c>
      <c r="W3" s="6" t="s">
        <v>192</v>
      </c>
      <c r="X3" s="6" t="s">
        <v>158</v>
      </c>
      <c r="Y3" s="6" t="s">
        <v>160</v>
      </c>
      <c r="Z3" s="6" t="s">
        <v>162</v>
      </c>
      <c r="AA3" s="6" t="s">
        <v>164</v>
      </c>
      <c r="AB3" s="6" t="s">
        <v>193</v>
      </c>
      <c r="AC3" s="6" t="s">
        <v>194</v>
      </c>
    </row>
    <row r="4" customFormat="false" ht="35.05" hidden="false" customHeight="false" outlineLevel="0" collapsed="false">
      <c r="A4" s="13" t="s">
        <v>195</v>
      </c>
      <c r="B4" s="14" t="s">
        <v>196</v>
      </c>
      <c r="C4" s="13" t="s">
        <v>197</v>
      </c>
      <c r="D4" s="14" t="s">
        <v>198</v>
      </c>
      <c r="E4" s="15" t="n">
        <v>86</v>
      </c>
      <c r="F4" s="15" t="n">
        <v>0.04</v>
      </c>
      <c r="G4" s="15" t="n">
        <v>82</v>
      </c>
      <c r="H4" s="15" t="n">
        <v>90</v>
      </c>
      <c r="I4" s="15" t="n">
        <v>1</v>
      </c>
      <c r="J4" s="15" t="n">
        <v>0.99</v>
      </c>
      <c r="K4" s="15" t="n">
        <v>0.95</v>
      </c>
      <c r="L4" s="15" t="n">
        <v>0.05</v>
      </c>
      <c r="M4" s="15" t="n">
        <v>1</v>
      </c>
      <c r="N4" s="15" t="n">
        <v>1</v>
      </c>
      <c r="O4" s="15" t="n">
        <v>1</v>
      </c>
      <c r="P4" s="13" t="s">
        <v>199</v>
      </c>
      <c r="Q4" s="15" t="n">
        <v>-1</v>
      </c>
      <c r="R4" s="15" t="n">
        <v>0.3</v>
      </c>
      <c r="S4" s="15" t="n">
        <v>0</v>
      </c>
      <c r="T4" s="15" t="n">
        <v>0.35</v>
      </c>
      <c r="U4" s="15" t="n">
        <v>0.12</v>
      </c>
      <c r="V4" s="15" t="n">
        <v>0</v>
      </c>
      <c r="W4" s="15" t="n">
        <v>0</v>
      </c>
      <c r="X4" s="15" t="n">
        <v>0.5</v>
      </c>
      <c r="Y4" s="15" t="n">
        <v>1</v>
      </c>
      <c r="Z4" s="15" t="n">
        <v>1</v>
      </c>
      <c r="AA4" s="15" t="n">
        <v>1</v>
      </c>
      <c r="AB4" s="14" t="s">
        <v>200</v>
      </c>
      <c r="AC4" s="14" t="s">
        <v>201</v>
      </c>
    </row>
    <row r="5" customFormat="false" ht="23.85" hidden="false" customHeight="false" outlineLevel="0" collapsed="false">
      <c r="A5" s="13" t="s">
        <v>202</v>
      </c>
      <c r="B5" s="14" t="s">
        <v>203</v>
      </c>
      <c r="C5" s="13" t="s">
        <v>197</v>
      </c>
      <c r="D5" s="14" t="s">
        <v>204</v>
      </c>
      <c r="E5" s="15" t="n">
        <v>72</v>
      </c>
      <c r="F5" s="15" t="n">
        <v>0.07</v>
      </c>
      <c r="G5" s="15" t="n">
        <v>62</v>
      </c>
      <c r="H5" s="15" t="n">
        <v>78</v>
      </c>
      <c r="I5" s="15" t="n">
        <v>1</v>
      </c>
      <c r="J5" s="15" t="n">
        <v>0.98</v>
      </c>
      <c r="K5" s="15" t="n">
        <v>0.92</v>
      </c>
      <c r="L5" s="15" t="n">
        <v>0.12</v>
      </c>
      <c r="M5" s="15" t="n">
        <v>1</v>
      </c>
      <c r="N5" s="15" t="n">
        <v>1</v>
      </c>
      <c r="O5" s="15" t="n">
        <v>1</v>
      </c>
      <c r="P5" s="13" t="s">
        <v>199</v>
      </c>
      <c r="Q5" s="15" t="n">
        <v>-1</v>
      </c>
      <c r="R5" s="15" t="n">
        <v>0.7</v>
      </c>
      <c r="S5" s="15" t="n">
        <v>0</v>
      </c>
      <c r="T5" s="15" t="n">
        <v>0.28</v>
      </c>
      <c r="U5" s="15" t="n">
        <v>0.1</v>
      </c>
      <c r="V5" s="15" t="n">
        <v>0</v>
      </c>
      <c r="W5" s="15" t="n">
        <v>0</v>
      </c>
      <c r="X5" s="15" t="n">
        <v>0.5</v>
      </c>
      <c r="Y5" s="15" t="n">
        <v>1</v>
      </c>
      <c r="Z5" s="15" t="n">
        <v>1</v>
      </c>
      <c r="AA5" s="15" t="n">
        <v>1</v>
      </c>
      <c r="AB5" s="14" t="s">
        <v>200</v>
      </c>
      <c r="AC5" s="14" t="s">
        <v>205</v>
      </c>
    </row>
    <row r="6" customFormat="false" ht="23.85" hidden="false" customHeight="false" outlineLevel="0" collapsed="false">
      <c r="A6" s="13" t="s">
        <v>206</v>
      </c>
      <c r="B6" s="14" t="s">
        <v>207</v>
      </c>
      <c r="C6" s="13" t="s">
        <v>208</v>
      </c>
      <c r="D6" s="14" t="s">
        <v>209</v>
      </c>
      <c r="E6" s="15" t="n">
        <v>19</v>
      </c>
      <c r="F6" s="15" t="n">
        <v>0.12</v>
      </c>
      <c r="G6" s="15" t="n">
        <v>15</v>
      </c>
      <c r="H6" s="15" t="n">
        <v>24</v>
      </c>
      <c r="I6" s="15" t="n">
        <v>1</v>
      </c>
      <c r="J6" s="15" t="n">
        <v>1</v>
      </c>
      <c r="K6" s="15" t="n">
        <v>0.85</v>
      </c>
      <c r="L6" s="15" t="n">
        <v>0.12</v>
      </c>
      <c r="M6" s="15" t="n">
        <v>1</v>
      </c>
      <c r="N6" s="15" t="n">
        <v>1</v>
      </c>
      <c r="O6" s="15" t="n">
        <v>1.03</v>
      </c>
      <c r="P6" s="13" t="s">
        <v>210</v>
      </c>
      <c r="Q6" s="15" t="n">
        <v>-1</v>
      </c>
      <c r="R6" s="15" t="n">
        <v>0.75</v>
      </c>
      <c r="S6" s="15" t="n">
        <v>4.4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0.8</v>
      </c>
      <c r="Y6" s="15" t="n">
        <v>1</v>
      </c>
      <c r="Z6" s="15" t="n">
        <v>1</v>
      </c>
      <c r="AA6" s="15" t="n">
        <v>1</v>
      </c>
      <c r="AB6" s="14" t="s">
        <v>211</v>
      </c>
      <c r="AC6" s="14" t="s">
        <v>212</v>
      </c>
    </row>
    <row r="7" customFormat="false" ht="35.05" hidden="false" customHeight="false" outlineLevel="0" collapsed="false">
      <c r="A7" s="13" t="s">
        <v>213</v>
      </c>
      <c r="B7" s="14" t="s">
        <v>214</v>
      </c>
      <c r="C7" s="13" t="s">
        <v>215</v>
      </c>
      <c r="D7" s="14" t="s">
        <v>209</v>
      </c>
      <c r="E7" s="15" t="n">
        <v>0.45</v>
      </c>
      <c r="F7" s="15" t="n">
        <v>0.18</v>
      </c>
      <c r="G7" s="15" t="n">
        <v>0.3</v>
      </c>
      <c r="H7" s="15" t="n">
        <v>0.65</v>
      </c>
      <c r="I7" s="15" t="n">
        <v>1</v>
      </c>
      <c r="J7" s="15" t="n">
        <v>1</v>
      </c>
      <c r="K7" s="15" t="n">
        <v>0.85</v>
      </c>
      <c r="L7" s="15" t="n">
        <v>0</v>
      </c>
      <c r="M7" s="15" t="n">
        <v>1</v>
      </c>
      <c r="N7" s="15" t="n">
        <v>1</v>
      </c>
      <c r="O7" s="15" t="n">
        <v>1</v>
      </c>
      <c r="P7" s="13" t="s">
        <v>210</v>
      </c>
      <c r="Q7" s="15" t="n">
        <v>-1</v>
      </c>
      <c r="R7" s="15" t="n">
        <v>0.65</v>
      </c>
      <c r="S7" s="15" t="n">
        <v>3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0.8</v>
      </c>
      <c r="Y7" s="15" t="n">
        <v>1</v>
      </c>
      <c r="Z7" s="15" t="n">
        <v>1</v>
      </c>
      <c r="AA7" s="15" t="n">
        <v>1</v>
      </c>
      <c r="AB7" s="14" t="s">
        <v>216</v>
      </c>
      <c r="AC7" s="14" t="s">
        <v>217</v>
      </c>
    </row>
    <row r="8" customFormat="false" ht="23.85" hidden="false" customHeight="false" outlineLevel="0" collapsed="false">
      <c r="A8" s="13" t="s">
        <v>218</v>
      </c>
      <c r="B8" s="14" t="s">
        <v>219</v>
      </c>
      <c r="C8" s="13" t="s">
        <v>220</v>
      </c>
      <c r="D8" s="14" t="s">
        <v>221</v>
      </c>
      <c r="E8" s="15" t="n">
        <v>0</v>
      </c>
      <c r="F8" s="15" t="n">
        <v>0.18</v>
      </c>
      <c r="G8" s="15" t="n">
        <v>2</v>
      </c>
      <c r="H8" s="15" t="n">
        <v>7</v>
      </c>
      <c r="I8" s="15" t="n">
        <v>1</v>
      </c>
      <c r="J8" s="15" t="n">
        <v>1</v>
      </c>
      <c r="K8" s="15" t="n">
        <v>1</v>
      </c>
      <c r="L8" s="15" t="n">
        <v>0</v>
      </c>
      <c r="M8" s="15" t="n">
        <v>1</v>
      </c>
      <c r="N8" s="15" t="n">
        <v>1</v>
      </c>
      <c r="O8" s="15" t="n">
        <v>1</v>
      </c>
      <c r="P8" s="13" t="s">
        <v>222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0.8</v>
      </c>
      <c r="Y8" s="15" t="n">
        <v>1</v>
      </c>
      <c r="Z8" s="15" t="n">
        <v>1</v>
      </c>
      <c r="AA8" s="15" t="n">
        <v>1</v>
      </c>
      <c r="AB8" s="14" t="s">
        <v>223</v>
      </c>
      <c r="AC8" s="14" t="s">
        <v>224</v>
      </c>
    </row>
    <row r="9" customFormat="false" ht="23.85" hidden="false" customHeight="false" outlineLevel="0" collapsed="false">
      <c r="A9" s="13" t="s">
        <v>225</v>
      </c>
      <c r="B9" s="14" t="s">
        <v>226</v>
      </c>
      <c r="C9" s="13" t="s">
        <v>227</v>
      </c>
      <c r="D9" s="14" t="s">
        <v>209</v>
      </c>
      <c r="E9" s="15" t="n">
        <v>285</v>
      </c>
      <c r="F9" s="15" t="n">
        <v>0.06</v>
      </c>
      <c r="G9" s="15" t="n">
        <v>270</v>
      </c>
      <c r="H9" s="15" t="n">
        <v>320</v>
      </c>
      <c r="I9" s="15" t="n">
        <v>1</v>
      </c>
      <c r="J9" s="15" t="n">
        <v>1</v>
      </c>
      <c r="K9" s="15" t="n">
        <v>1.03</v>
      </c>
      <c r="L9" s="15" t="n">
        <v>0</v>
      </c>
      <c r="M9" s="15" t="n">
        <v>1</v>
      </c>
      <c r="N9" s="15" t="n">
        <v>1</v>
      </c>
      <c r="O9" s="15" t="n">
        <v>1</v>
      </c>
      <c r="P9" s="13" t="s">
        <v>210</v>
      </c>
      <c r="Q9" s="15" t="n">
        <v>1</v>
      </c>
      <c r="R9" s="15" t="n">
        <v>0.3</v>
      </c>
      <c r="S9" s="15" t="n">
        <v>4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0.8</v>
      </c>
      <c r="Y9" s="15" t="n">
        <v>1</v>
      </c>
      <c r="Z9" s="15" t="n">
        <v>1</v>
      </c>
      <c r="AA9" s="15" t="n">
        <v>1</v>
      </c>
      <c r="AB9" s="14" t="s">
        <v>228</v>
      </c>
      <c r="AC9" s="14" t="s">
        <v>229</v>
      </c>
    </row>
    <row r="10" customFormat="false" ht="23.85" hidden="false" customHeight="false" outlineLevel="0" collapsed="false">
      <c r="A10" s="13" t="s">
        <v>230</v>
      </c>
      <c r="B10" s="14" t="s">
        <v>231</v>
      </c>
      <c r="C10" s="13" t="s">
        <v>232</v>
      </c>
      <c r="D10" s="14" t="s">
        <v>233</v>
      </c>
      <c r="E10" s="15" t="n">
        <v>0</v>
      </c>
      <c r="F10" s="15" t="n">
        <v>0.12</v>
      </c>
      <c r="G10" s="15" t="n">
        <v>0.3</v>
      </c>
      <c r="H10" s="15" t="n">
        <v>4</v>
      </c>
      <c r="I10" s="15" t="n">
        <v>1</v>
      </c>
      <c r="J10" s="15" t="n">
        <v>1</v>
      </c>
      <c r="K10" s="15" t="n">
        <v>1</v>
      </c>
      <c r="L10" s="15" t="n">
        <v>0</v>
      </c>
      <c r="M10" s="15" t="n">
        <v>1</v>
      </c>
      <c r="N10" s="15" t="n">
        <v>1</v>
      </c>
      <c r="O10" s="15" t="n">
        <v>1</v>
      </c>
      <c r="P10" s="13" t="s">
        <v>210</v>
      </c>
      <c r="Q10" s="15" t="n">
        <v>-1</v>
      </c>
      <c r="R10" s="15" t="n">
        <v>0.45</v>
      </c>
      <c r="S10" s="15" t="n">
        <v>2.5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0.5</v>
      </c>
      <c r="Y10" s="15" t="n">
        <v>1</v>
      </c>
      <c r="Z10" s="15" t="n">
        <v>1</v>
      </c>
      <c r="AA10" s="15" t="n">
        <v>1</v>
      </c>
      <c r="AB10" s="14" t="s">
        <v>234</v>
      </c>
      <c r="AC10" s="14" t="s">
        <v>235</v>
      </c>
    </row>
    <row r="11" customFormat="false" ht="23.85" hidden="false" customHeight="false" outlineLevel="0" collapsed="false">
      <c r="A11" s="13" t="s">
        <v>236</v>
      </c>
      <c r="B11" s="14" t="s">
        <v>237</v>
      </c>
      <c r="C11" s="13" t="s">
        <v>238</v>
      </c>
      <c r="D11" s="14" t="s">
        <v>239</v>
      </c>
      <c r="E11" s="15" t="n">
        <v>1.25</v>
      </c>
      <c r="F11" s="15" t="n">
        <v>0.1</v>
      </c>
      <c r="G11" s="15" t="n">
        <v>1</v>
      </c>
      <c r="H11" s="15" t="n">
        <v>1.6</v>
      </c>
      <c r="I11" s="15" t="n">
        <v>0.95</v>
      </c>
      <c r="J11" s="15" t="n">
        <v>1</v>
      </c>
      <c r="K11" s="15" t="n">
        <v>0.85</v>
      </c>
      <c r="L11" s="15" t="n">
        <v>0.06</v>
      </c>
      <c r="M11" s="15" t="n">
        <v>1</v>
      </c>
      <c r="N11" s="15" t="n">
        <v>1</v>
      </c>
      <c r="O11" s="15" t="n">
        <v>1.03</v>
      </c>
      <c r="P11" s="13" t="s">
        <v>210</v>
      </c>
      <c r="Q11" s="15" t="n">
        <v>-1</v>
      </c>
      <c r="R11" s="15" t="n">
        <v>0.65</v>
      </c>
      <c r="S11" s="15" t="n">
        <v>3.2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0.5</v>
      </c>
      <c r="Y11" s="15" t="n">
        <v>1</v>
      </c>
      <c r="Z11" s="15" t="n">
        <v>1</v>
      </c>
      <c r="AA11" s="15" t="n">
        <v>1</v>
      </c>
      <c r="AB11" s="14" t="s">
        <v>240</v>
      </c>
      <c r="AC11" s="14" t="s">
        <v>241</v>
      </c>
    </row>
    <row r="12" customFormat="false" ht="23.85" hidden="false" customHeight="false" outlineLevel="0" collapsed="false">
      <c r="A12" s="13" t="s">
        <v>242</v>
      </c>
      <c r="B12" s="14" t="s">
        <v>243</v>
      </c>
      <c r="C12" s="13" t="s">
        <v>238</v>
      </c>
      <c r="D12" s="14" t="s">
        <v>239</v>
      </c>
      <c r="E12" s="15" t="n">
        <v>0.45</v>
      </c>
      <c r="F12" s="15" t="n">
        <v>0.12</v>
      </c>
      <c r="G12" s="15" t="n">
        <v>0.35</v>
      </c>
      <c r="H12" s="15" t="n">
        <v>0.6</v>
      </c>
      <c r="I12" s="15" t="n">
        <v>0.95</v>
      </c>
      <c r="J12" s="15" t="n">
        <v>1</v>
      </c>
      <c r="K12" s="15" t="n">
        <v>0.88</v>
      </c>
      <c r="L12" s="15" t="n">
        <v>0.06</v>
      </c>
      <c r="M12" s="15" t="n">
        <v>1</v>
      </c>
      <c r="N12" s="15" t="n">
        <v>1</v>
      </c>
      <c r="O12" s="15" t="n">
        <v>1.03</v>
      </c>
      <c r="P12" s="13" t="s">
        <v>210</v>
      </c>
      <c r="Q12" s="15" t="n">
        <v>-1</v>
      </c>
      <c r="R12" s="15" t="n">
        <v>0.55</v>
      </c>
      <c r="S12" s="15" t="n">
        <v>3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0.5</v>
      </c>
      <c r="Y12" s="15" t="n">
        <v>1</v>
      </c>
      <c r="Z12" s="15" t="n">
        <v>1</v>
      </c>
      <c r="AA12" s="15" t="n">
        <v>1</v>
      </c>
      <c r="AB12" s="14" t="s">
        <v>244</v>
      </c>
      <c r="AC12" s="14" t="s">
        <v>245</v>
      </c>
    </row>
    <row r="13" customFormat="false" ht="23.85" hidden="false" customHeight="false" outlineLevel="0" collapsed="false">
      <c r="A13" s="13" t="s">
        <v>246</v>
      </c>
      <c r="B13" s="14" t="s">
        <v>247</v>
      </c>
      <c r="C13" s="13" t="s">
        <v>248</v>
      </c>
      <c r="D13" s="14" t="s">
        <v>249</v>
      </c>
      <c r="E13" s="15" t="n">
        <v>0.3</v>
      </c>
      <c r="F13" s="15" t="n">
        <v>0.12</v>
      </c>
      <c r="G13" s="15" t="n">
        <v>0.22</v>
      </c>
      <c r="H13" s="15" t="n">
        <v>0.45</v>
      </c>
      <c r="I13" s="15" t="n">
        <v>0.95</v>
      </c>
      <c r="J13" s="15" t="n">
        <v>1</v>
      </c>
      <c r="K13" s="15" t="n">
        <v>0.9</v>
      </c>
      <c r="L13" s="15" t="n">
        <v>0.03</v>
      </c>
      <c r="M13" s="15" t="n">
        <v>1</v>
      </c>
      <c r="N13" s="15" t="n">
        <v>1</v>
      </c>
      <c r="O13" s="15" t="n">
        <v>1.03</v>
      </c>
      <c r="P13" s="13" t="s">
        <v>250</v>
      </c>
      <c r="Q13" s="15" t="n">
        <v>-1</v>
      </c>
      <c r="R13" s="15" t="n">
        <v>0.4</v>
      </c>
      <c r="S13" s="15" t="n">
        <v>3</v>
      </c>
      <c r="T13" s="15" t="n">
        <v>0</v>
      </c>
      <c r="U13" s="15" t="n">
        <v>0</v>
      </c>
      <c r="V13" s="15" t="n">
        <v>0.1</v>
      </c>
      <c r="W13" s="15" t="n">
        <v>0.1</v>
      </c>
      <c r="X13" s="15" t="n">
        <v>0.5</v>
      </c>
      <c r="Y13" s="15" t="n">
        <v>1</v>
      </c>
      <c r="Z13" s="15" t="n">
        <v>1</v>
      </c>
      <c r="AA13" s="15" t="n">
        <v>1</v>
      </c>
      <c r="AB13" s="14" t="s">
        <v>251</v>
      </c>
      <c r="AC13" s="14" t="s">
        <v>252</v>
      </c>
    </row>
    <row r="14" customFormat="false" ht="23.85" hidden="false" customHeight="false" outlineLevel="0" collapsed="false">
      <c r="A14" s="13" t="s">
        <v>253</v>
      </c>
      <c r="B14" s="14" t="s">
        <v>254</v>
      </c>
      <c r="C14" s="13" t="s">
        <v>255</v>
      </c>
      <c r="D14" s="14" t="s">
        <v>256</v>
      </c>
      <c r="E14" s="15" t="n">
        <v>15</v>
      </c>
      <c r="F14" s="15" t="n">
        <v>0.3</v>
      </c>
      <c r="G14" s="15" t="n">
        <v>5</v>
      </c>
      <c r="H14" s="15" t="n">
        <v>35</v>
      </c>
      <c r="I14" s="15" t="n">
        <v>1.1</v>
      </c>
      <c r="J14" s="15" t="n">
        <v>1</v>
      </c>
      <c r="K14" s="15" t="n">
        <v>1.15</v>
      </c>
      <c r="L14" s="15" t="n">
        <v>0</v>
      </c>
      <c r="M14" s="15" t="n">
        <v>1</v>
      </c>
      <c r="N14" s="15" t="n">
        <v>1</v>
      </c>
      <c r="O14" s="15" t="n">
        <v>1</v>
      </c>
      <c r="P14" s="13" t="s">
        <v>210</v>
      </c>
      <c r="Q14" s="15" t="n">
        <v>1</v>
      </c>
      <c r="R14" s="15" t="n">
        <v>0.6</v>
      </c>
      <c r="S14" s="15" t="n">
        <v>3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0.5</v>
      </c>
      <c r="Y14" s="15" t="n">
        <v>1</v>
      </c>
      <c r="Z14" s="15" t="n">
        <v>1</v>
      </c>
      <c r="AA14" s="15" t="n">
        <v>1</v>
      </c>
      <c r="AB14" s="14" t="s">
        <v>257</v>
      </c>
      <c r="AC14" s="14" t="s">
        <v>258</v>
      </c>
    </row>
    <row r="15" customFormat="false" ht="35.05" hidden="false" customHeight="false" outlineLevel="0" collapsed="false">
      <c r="A15" s="13" t="s">
        <v>259</v>
      </c>
      <c r="B15" s="14" t="s">
        <v>260</v>
      </c>
      <c r="C15" s="13" t="s">
        <v>261</v>
      </c>
      <c r="D15" s="14" t="s">
        <v>262</v>
      </c>
      <c r="E15" s="15" t="n">
        <v>10</v>
      </c>
      <c r="F15" s="15" t="n">
        <v>0.12</v>
      </c>
      <c r="G15" s="15" t="n">
        <v>6</v>
      </c>
      <c r="H15" s="15" t="n">
        <v>15</v>
      </c>
      <c r="I15" s="15" t="n">
        <v>1.08</v>
      </c>
      <c r="J15" s="15" t="n">
        <v>1</v>
      </c>
      <c r="K15" s="15" t="n">
        <v>0.82</v>
      </c>
      <c r="L15" s="15" t="n">
        <v>0.06</v>
      </c>
      <c r="M15" s="15" t="n">
        <v>1.04</v>
      </c>
      <c r="N15" s="15" t="n">
        <v>1.08</v>
      </c>
      <c r="O15" s="15" t="n">
        <v>1</v>
      </c>
      <c r="P15" s="13" t="s">
        <v>210</v>
      </c>
      <c r="Q15" s="15" t="n">
        <v>-1</v>
      </c>
      <c r="R15" s="15" t="n">
        <v>0.15</v>
      </c>
      <c r="S15" s="15" t="n">
        <v>3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0.5</v>
      </c>
      <c r="Y15" s="15" t="n">
        <v>1</v>
      </c>
      <c r="Z15" s="15" t="n">
        <v>1</v>
      </c>
      <c r="AA15" s="15" t="n">
        <v>1</v>
      </c>
      <c r="AB15" s="14" t="s">
        <v>263</v>
      </c>
      <c r="AC15" s="14" t="s">
        <v>264</v>
      </c>
    </row>
    <row r="17" customFormat="false" ht="15" hidden="false" customHeight="false" outlineLevel="0" collapsed="false">
      <c r="A17" s="7" t="s">
        <v>265</v>
      </c>
    </row>
    <row r="18" customFormat="false" ht="15" hidden="false" customHeight="false" outlineLevel="0" collapsed="false">
      <c r="A18" s="7" t="s">
        <v>266</v>
      </c>
    </row>
    <row r="19" customFormat="false" ht="15" hidden="false" customHeight="false" outlineLevel="0" collapsed="false">
      <c r="A19" s="7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9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5" t="s">
        <v>268</v>
      </c>
    </row>
    <row r="3" customFormat="false" ht="15" hidden="false" customHeight="false" outlineLevel="0" collapsed="false">
      <c r="A3" s="6" t="s">
        <v>269</v>
      </c>
      <c r="B3" s="6" t="s">
        <v>270</v>
      </c>
      <c r="C3" s="6" t="s">
        <v>271</v>
      </c>
      <c r="D3" s="6" t="s">
        <v>272</v>
      </c>
      <c r="E3" s="6" t="s">
        <v>273</v>
      </c>
      <c r="F3" s="6" t="s">
        <v>274</v>
      </c>
    </row>
    <row r="4" customFormat="false" ht="15" hidden="false" customHeight="false" outlineLevel="0" collapsed="false">
      <c r="A4" s="7" t="s">
        <v>275</v>
      </c>
      <c r="B4" s="9" t="s">
        <v>276</v>
      </c>
      <c r="C4" s="11" t="n">
        <v>0</v>
      </c>
      <c r="D4" s="11" t="n">
        <v>0</v>
      </c>
      <c r="E4" s="11" t="n">
        <v>0</v>
      </c>
      <c r="F4" s="9" t="n">
        <v>1</v>
      </c>
    </row>
    <row r="5" customFormat="false" ht="15" hidden="false" customHeight="false" outlineLevel="0" collapsed="false">
      <c r="A5" s="7" t="s">
        <v>277</v>
      </c>
      <c r="B5" s="9" t="s">
        <v>278</v>
      </c>
      <c r="C5" s="11" t="n">
        <v>0.01</v>
      </c>
      <c r="D5" s="11" t="n">
        <v>0.03</v>
      </c>
      <c r="E5" s="11" t="n">
        <v>0.05</v>
      </c>
      <c r="F5" s="9" t="n">
        <v>2</v>
      </c>
    </row>
    <row r="6" customFormat="false" ht="15" hidden="false" customHeight="false" outlineLevel="0" collapsed="false">
      <c r="A6" s="7" t="s">
        <v>279</v>
      </c>
      <c r="B6" s="9" t="s">
        <v>280</v>
      </c>
      <c r="C6" s="11" t="n">
        <v>0.06</v>
      </c>
      <c r="D6" s="11" t="n">
        <v>0.08</v>
      </c>
      <c r="E6" s="11" t="n">
        <v>0.1</v>
      </c>
      <c r="F6" s="9" t="n">
        <v>3</v>
      </c>
    </row>
    <row r="7" customFormat="false" ht="15" hidden="false" customHeight="false" outlineLevel="0" collapsed="false">
      <c r="A7" s="7" t="s">
        <v>281</v>
      </c>
      <c r="B7" s="9" t="s">
        <v>282</v>
      </c>
      <c r="C7" s="11" t="n">
        <v>0.11</v>
      </c>
      <c r="D7" s="11" t="n">
        <v>0.18</v>
      </c>
      <c r="E7" s="11" t="n">
        <v>0.25</v>
      </c>
      <c r="F7" s="9" t="n">
        <v>4</v>
      </c>
    </row>
    <row r="8" customFormat="false" ht="15" hidden="false" customHeight="false" outlineLevel="0" collapsed="false">
      <c r="A8" s="7" t="s">
        <v>283</v>
      </c>
      <c r="B8" s="9" t="s">
        <v>284</v>
      </c>
      <c r="C8" s="11" t="n">
        <v>0.26</v>
      </c>
      <c r="D8" s="11" t="n">
        <v>0.38</v>
      </c>
      <c r="E8" s="11" t="n">
        <v>0.5</v>
      </c>
      <c r="F8" s="9" t="n">
        <v>5</v>
      </c>
    </row>
    <row r="9" customFormat="false" ht="15" hidden="false" customHeight="false" outlineLevel="0" collapsed="false">
      <c r="A9" s="7" t="s">
        <v>285</v>
      </c>
      <c r="B9" s="9" t="s">
        <v>286</v>
      </c>
      <c r="C9" s="11" t="n">
        <v>0.51</v>
      </c>
      <c r="D9" s="11" t="n">
        <v>0.65</v>
      </c>
      <c r="E9" s="11" t="n">
        <v>0.85</v>
      </c>
      <c r="F9" s="9" t="n">
        <v>6</v>
      </c>
    </row>
    <row r="11" customFormat="false" ht="15" hidden="false" customHeight="true" outlineLevel="0" collapsed="false">
      <c r="A11" s="16" t="s">
        <v>287</v>
      </c>
      <c r="B11" s="16"/>
      <c r="C11" s="16"/>
      <c r="D11" s="16"/>
      <c r="E11" s="16"/>
      <c r="F11" s="16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</row>
  </sheetData>
  <mergeCells count="1">
    <mergeCell ref="A11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5" t="s">
        <v>288</v>
      </c>
    </row>
    <row r="3" customFormat="false" ht="15" hidden="false" customHeight="false" outlineLevel="0" collapsed="false">
      <c r="A3" s="6" t="s">
        <v>30</v>
      </c>
      <c r="B3" s="6" t="s">
        <v>269</v>
      </c>
      <c r="C3" s="6" t="s">
        <v>289</v>
      </c>
      <c r="D3" s="6" t="s">
        <v>290</v>
      </c>
      <c r="E3" s="6" t="s">
        <v>195</v>
      </c>
      <c r="F3" s="6" t="s">
        <v>202</v>
      </c>
      <c r="G3" s="6" t="s">
        <v>206</v>
      </c>
      <c r="H3" s="6" t="s">
        <v>213</v>
      </c>
      <c r="I3" s="6" t="s">
        <v>225</v>
      </c>
      <c r="J3" s="6" t="s">
        <v>230</v>
      </c>
      <c r="K3" s="6" t="s">
        <v>236</v>
      </c>
      <c r="L3" s="6" t="s">
        <v>242</v>
      </c>
      <c r="M3" s="6" t="s">
        <v>246</v>
      </c>
      <c r="N3" s="6" t="s">
        <v>253</v>
      </c>
      <c r="O3" s="6" t="s">
        <v>259</v>
      </c>
    </row>
    <row r="4" customFormat="false" ht="15" hidden="false" customHeight="false" outlineLevel="0" collapsed="false">
      <c r="A4" s="17" t="str">
        <f aca="false">B4&amp;"|"&amp;C4</f>
        <v>Healthy|low</v>
      </c>
      <c r="B4" s="17" t="s">
        <v>275</v>
      </c>
      <c r="C4" s="17" t="s">
        <v>291</v>
      </c>
      <c r="D4" s="18" t="n">
        <f aca="false">Severity_Classes!$C$4</f>
        <v>0</v>
      </c>
      <c r="E4" s="19" t="n">
        <f aca="false">IF(Parameters!$P$4="logistic",Parameters!$Q$4*Parameters!$R$4*((1/(1+EXP(-($D4-Parameters!$T$4)/Parameters!$U$4)))-(1/(1+EXP(Parameters!$T$4/Parameters!$U$4))))/(1-(1/(1+EXP(Parameters!$T$4/Parameters!$U$4)))),Parameters!$Q$4*Parameters!$R$4*(1-EXP(-Parameters!$S$4*$D4))+IF(Parameters!$P$4="hump",Parameters!$V$4*($D4/Parameters!$W$4)*EXP(1-$D4/Parameters!$W$4),0))</f>
        <v>-0</v>
      </c>
      <c r="F4" s="19" t="n">
        <f aca="false">IF(Parameters!$P$5="logistic",Parameters!$Q$5*Parameters!$R$5*((1/(1+EXP(-($D4-Parameters!$T$5)/Parameters!$U$5)))-(1/(1+EXP(Parameters!$T$5/Parameters!$U$5))))/(1-(1/(1+EXP(Parameters!$T$5/Parameters!$U$5)))),Parameters!$Q$5*Parameters!$R$5*(1-EXP(-Parameters!$S$5*$D4))+IF(Parameters!$P$5="hump",Parameters!$V$5*($D4/Parameters!$W$5)*EXP(1-$D4/Parameters!$W$5),0))</f>
        <v>-0</v>
      </c>
      <c r="G4" s="19" t="n">
        <f aca="false">IF(Parameters!$P$6="logistic",Parameters!$Q$6*Parameters!$R$6*((1/(1+EXP(-($D4-Parameters!$T$6)/Parameters!$U$6)))-(1/(1+EXP(Parameters!$T$6/Parameters!$U$6))))/(1-(1/(1+EXP(Parameters!$T$6/Parameters!$U$6)))),Parameters!$Q$6*Parameters!$R$6*(1-EXP(-Parameters!$S$6*$D4))+IF(Parameters!$P$6="hump",Parameters!$V$6*($D4/Parameters!$W$6)*EXP(1-$D4/Parameters!$W$6),0))</f>
        <v>0</v>
      </c>
      <c r="H4" s="19" t="n">
        <f aca="false">IF(Parameters!$P$7="logistic",Parameters!$Q$7*Parameters!$R$7*((1/(1+EXP(-($D4-Parameters!$T$7)/Parameters!$U$7)))-(1/(1+EXP(Parameters!$T$7/Parameters!$U$7))))/(1-(1/(1+EXP(Parameters!$T$7/Parameters!$U$7)))),Parameters!$Q$7*Parameters!$R$7*(1-EXP(-Parameters!$S$7*$D4))+IF(Parameters!$P$7="hump",Parameters!$V$7*($D4/Parameters!$W$7)*EXP(1-$D4/Parameters!$W$7),0))</f>
        <v>0</v>
      </c>
      <c r="I4" s="19" t="n">
        <f aca="false">IF(Parameters!$P$9="logistic",Parameters!$Q$9*Parameters!$R$9*((1/(1+EXP(-($D4-Parameters!$T$9)/Parameters!$U$9)))-(1/(1+EXP(Parameters!$T$9/Parameters!$U$9))))/(1-(1/(1+EXP(Parameters!$T$9/Parameters!$U$9)))),Parameters!$Q$9*Parameters!$R$9*(1-EXP(-Parameters!$S$9*$D4))+IF(Parameters!$P$9="hump",Parameters!$V$9*($D4/Parameters!$W$9)*EXP(1-$D4/Parameters!$W$9),0))</f>
        <v>0</v>
      </c>
      <c r="J4" s="19" t="n">
        <f aca="false">IF(Parameters!$P$10="logistic",Parameters!$Q$10*Parameters!$R$10*((1/(1+EXP(-($D4-Parameters!$T$10)/Parameters!$U$10)))-(1/(1+EXP(Parameters!$T$10/Parameters!$U$10))))/(1-(1/(1+EXP(Parameters!$T$10/Parameters!$U$10)))),Parameters!$Q$10*Parameters!$R$10*(1-EXP(-Parameters!$S$10*$D4))+IF(Parameters!$P$10="hump",Parameters!$V$10*($D4/Parameters!$W$10)*EXP(1-$D4/Parameters!$W$10),0))</f>
        <v>0</v>
      </c>
      <c r="K4" s="19" t="n">
        <f aca="false">IF(Parameters!$P$11="logistic",Parameters!$Q$11*Parameters!$R$11*((1/(1+EXP(-($D4-Parameters!$T$11)/Parameters!$U$11)))-(1/(1+EXP(Parameters!$T$11/Parameters!$U$11))))/(1-(1/(1+EXP(Parameters!$T$11/Parameters!$U$11)))),Parameters!$Q$11*Parameters!$R$11*(1-EXP(-Parameters!$S$11*$D4))+IF(Parameters!$P$11="hump",Parameters!$V$11*($D4/Parameters!$W$11)*EXP(1-$D4/Parameters!$W$11),0))</f>
        <v>0</v>
      </c>
      <c r="L4" s="19" t="n">
        <f aca="false">IF(Parameters!$P$12="logistic",Parameters!$Q$12*Parameters!$R$12*((1/(1+EXP(-($D4-Parameters!$T$12)/Parameters!$U$12)))-(1/(1+EXP(Parameters!$T$12/Parameters!$U$12))))/(1-(1/(1+EXP(Parameters!$T$12/Parameters!$U$12)))),Parameters!$Q$12*Parameters!$R$12*(1-EXP(-Parameters!$S$12*$D4))+IF(Parameters!$P$12="hump",Parameters!$V$12*($D4/Parameters!$W$12)*EXP(1-$D4/Parameters!$W$12),0))</f>
        <v>0</v>
      </c>
      <c r="M4" s="19" t="n">
        <f aca="false">IF(Parameters!$P$13="logistic",Parameters!$Q$13*Parameters!$R$13*((1/(1+EXP(-($D4-Parameters!$T$13)/Parameters!$U$13)))-(1/(1+EXP(Parameters!$T$13/Parameters!$U$13))))/(1-(1/(1+EXP(Parameters!$T$13/Parameters!$U$13)))),Parameters!$Q$13*Parameters!$R$13*(1-EXP(-Parameters!$S$13*$D4))+IF(Parameters!$P$13="hump",Parameters!$V$13*($D4/Parameters!$W$13)*EXP(1-$D4/Parameters!$W$13),0))</f>
        <v>0</v>
      </c>
      <c r="N4" s="19" t="n">
        <f aca="false">IF(Parameters!$P$14="logistic",Parameters!$Q$14*Parameters!$R$14*((1/(1+EXP(-($D4-Parameters!$T$14)/Parameters!$U$14)))-(1/(1+EXP(Parameters!$T$14/Parameters!$U$14))))/(1-(1/(1+EXP(Parameters!$T$14/Parameters!$U$14)))),Parameters!$Q$14*Parameters!$R$14*(1-EXP(-Parameters!$S$14*$D4))+IF(Parameters!$P$14="hump",Parameters!$V$14*($D4/Parameters!$W$14)*EXP(1-$D4/Parameters!$W$14),0))</f>
        <v>0</v>
      </c>
      <c r="O4" s="19" t="n">
        <f aca="false">IF(Parameters!$P$15="logistic",Parameters!$Q$15*Parameters!$R$15*((1/(1+EXP(-($D4-Parameters!$T$15)/Parameters!$U$15)))-(1/(1+EXP(Parameters!$T$15/Parameters!$U$15))))/(1-(1/(1+EXP(Parameters!$T$15/Parameters!$U$15)))),Parameters!$Q$15*Parameters!$R$15*(1-EXP(-Parameters!$S$15*$D4))+IF(Parameters!$P$15="hump",Parameters!$V$15*($D4/Parameters!$W$15)*EXP(1-$D4/Parameters!$W$15),0))</f>
        <v>0</v>
      </c>
    </row>
    <row r="5" customFormat="false" ht="15" hidden="false" customHeight="false" outlineLevel="0" collapsed="false">
      <c r="A5" s="17" t="str">
        <f aca="false">B5&amp;"|"&amp;C5</f>
        <v>Healthy|mid</v>
      </c>
      <c r="B5" s="17" t="s">
        <v>275</v>
      </c>
      <c r="C5" s="17" t="s">
        <v>292</v>
      </c>
      <c r="D5" s="18" t="n">
        <f aca="false">Severity_Classes!$D$4</f>
        <v>0</v>
      </c>
      <c r="E5" s="19" t="n">
        <f aca="false">IF(Parameters!$P$4="logistic",Parameters!$Q$4*Parameters!$R$4*((1/(1+EXP(-($D5-Parameters!$T$4)/Parameters!$U$4)))-(1/(1+EXP(Parameters!$T$4/Parameters!$U$4))))/(1-(1/(1+EXP(Parameters!$T$4/Parameters!$U$4)))),Parameters!$Q$4*Parameters!$R$4*(1-EXP(-Parameters!$S$4*$D5))+IF(Parameters!$P$4="hump",Parameters!$V$4*($D5/Parameters!$W$4)*EXP(1-$D5/Parameters!$W$4),0))</f>
        <v>-0</v>
      </c>
      <c r="F5" s="19" t="n">
        <f aca="false">IF(Parameters!$P$5="logistic",Parameters!$Q$5*Parameters!$R$5*((1/(1+EXP(-($D5-Parameters!$T$5)/Parameters!$U$5)))-(1/(1+EXP(Parameters!$T$5/Parameters!$U$5))))/(1-(1/(1+EXP(Parameters!$T$5/Parameters!$U$5)))),Parameters!$Q$5*Parameters!$R$5*(1-EXP(-Parameters!$S$5*$D5))+IF(Parameters!$P$5="hump",Parameters!$V$5*($D5/Parameters!$W$5)*EXP(1-$D5/Parameters!$W$5),0))</f>
        <v>-0</v>
      </c>
      <c r="G5" s="19" t="n">
        <f aca="false">IF(Parameters!$P$6="logistic",Parameters!$Q$6*Parameters!$R$6*((1/(1+EXP(-($D5-Parameters!$T$6)/Parameters!$U$6)))-(1/(1+EXP(Parameters!$T$6/Parameters!$U$6))))/(1-(1/(1+EXP(Parameters!$T$6/Parameters!$U$6)))),Parameters!$Q$6*Parameters!$R$6*(1-EXP(-Parameters!$S$6*$D5))+IF(Parameters!$P$6="hump",Parameters!$V$6*($D5/Parameters!$W$6)*EXP(1-$D5/Parameters!$W$6),0))</f>
        <v>0</v>
      </c>
      <c r="H5" s="19" t="n">
        <f aca="false">IF(Parameters!$P$7="logistic",Parameters!$Q$7*Parameters!$R$7*((1/(1+EXP(-($D5-Parameters!$T$7)/Parameters!$U$7)))-(1/(1+EXP(Parameters!$T$7/Parameters!$U$7))))/(1-(1/(1+EXP(Parameters!$T$7/Parameters!$U$7)))),Parameters!$Q$7*Parameters!$R$7*(1-EXP(-Parameters!$S$7*$D5))+IF(Parameters!$P$7="hump",Parameters!$V$7*($D5/Parameters!$W$7)*EXP(1-$D5/Parameters!$W$7),0))</f>
        <v>0</v>
      </c>
      <c r="I5" s="19" t="n">
        <f aca="false">IF(Parameters!$P$9="logistic",Parameters!$Q$9*Parameters!$R$9*((1/(1+EXP(-($D5-Parameters!$T$9)/Parameters!$U$9)))-(1/(1+EXP(Parameters!$T$9/Parameters!$U$9))))/(1-(1/(1+EXP(Parameters!$T$9/Parameters!$U$9)))),Parameters!$Q$9*Parameters!$R$9*(1-EXP(-Parameters!$S$9*$D5))+IF(Parameters!$P$9="hump",Parameters!$V$9*($D5/Parameters!$W$9)*EXP(1-$D5/Parameters!$W$9),0))</f>
        <v>0</v>
      </c>
      <c r="J5" s="19" t="n">
        <f aca="false">IF(Parameters!$P$10="logistic",Parameters!$Q$10*Parameters!$R$10*((1/(1+EXP(-($D5-Parameters!$T$10)/Parameters!$U$10)))-(1/(1+EXP(Parameters!$T$10/Parameters!$U$10))))/(1-(1/(1+EXP(Parameters!$T$10/Parameters!$U$10)))),Parameters!$Q$10*Parameters!$R$10*(1-EXP(-Parameters!$S$10*$D5))+IF(Parameters!$P$10="hump",Parameters!$V$10*($D5/Parameters!$W$10)*EXP(1-$D5/Parameters!$W$10),0))</f>
        <v>0</v>
      </c>
      <c r="K5" s="19" t="n">
        <f aca="false">IF(Parameters!$P$11="logistic",Parameters!$Q$11*Parameters!$R$11*((1/(1+EXP(-($D5-Parameters!$T$11)/Parameters!$U$11)))-(1/(1+EXP(Parameters!$T$11/Parameters!$U$11))))/(1-(1/(1+EXP(Parameters!$T$11/Parameters!$U$11)))),Parameters!$Q$11*Parameters!$R$11*(1-EXP(-Parameters!$S$11*$D5))+IF(Parameters!$P$11="hump",Parameters!$V$11*($D5/Parameters!$W$11)*EXP(1-$D5/Parameters!$W$11),0))</f>
        <v>0</v>
      </c>
      <c r="L5" s="19" t="n">
        <f aca="false">IF(Parameters!$P$12="logistic",Parameters!$Q$12*Parameters!$R$12*((1/(1+EXP(-($D5-Parameters!$T$12)/Parameters!$U$12)))-(1/(1+EXP(Parameters!$T$12/Parameters!$U$12))))/(1-(1/(1+EXP(Parameters!$T$12/Parameters!$U$12)))),Parameters!$Q$12*Parameters!$R$12*(1-EXP(-Parameters!$S$12*$D5))+IF(Parameters!$P$12="hump",Parameters!$V$12*($D5/Parameters!$W$12)*EXP(1-$D5/Parameters!$W$12),0))</f>
        <v>0</v>
      </c>
      <c r="M5" s="19" t="n">
        <f aca="false">IF(Parameters!$P$13="logistic",Parameters!$Q$13*Parameters!$R$13*((1/(1+EXP(-($D5-Parameters!$T$13)/Parameters!$U$13)))-(1/(1+EXP(Parameters!$T$13/Parameters!$U$13))))/(1-(1/(1+EXP(Parameters!$T$13/Parameters!$U$13)))),Parameters!$Q$13*Parameters!$R$13*(1-EXP(-Parameters!$S$13*$D5))+IF(Parameters!$P$13="hump",Parameters!$V$13*($D5/Parameters!$W$13)*EXP(1-$D5/Parameters!$W$13),0))</f>
        <v>0</v>
      </c>
      <c r="N5" s="19" t="n">
        <f aca="false">IF(Parameters!$P$14="logistic",Parameters!$Q$14*Parameters!$R$14*((1/(1+EXP(-($D5-Parameters!$T$14)/Parameters!$U$14)))-(1/(1+EXP(Parameters!$T$14/Parameters!$U$14))))/(1-(1/(1+EXP(Parameters!$T$14/Parameters!$U$14)))),Parameters!$Q$14*Parameters!$R$14*(1-EXP(-Parameters!$S$14*$D5))+IF(Parameters!$P$14="hump",Parameters!$V$14*($D5/Parameters!$W$14)*EXP(1-$D5/Parameters!$W$14),0))</f>
        <v>0</v>
      </c>
      <c r="O5" s="19" t="n">
        <f aca="false">IF(Parameters!$P$15="logistic",Parameters!$Q$15*Parameters!$R$15*((1/(1+EXP(-($D5-Parameters!$T$15)/Parameters!$U$15)))-(1/(1+EXP(Parameters!$T$15/Parameters!$U$15))))/(1-(1/(1+EXP(Parameters!$T$15/Parameters!$U$15)))),Parameters!$Q$15*Parameters!$R$15*(1-EXP(-Parameters!$S$15*$D5))+IF(Parameters!$P$15="hump",Parameters!$V$15*($D5/Parameters!$W$15)*EXP(1-$D5/Parameters!$W$15),0))</f>
        <v>0</v>
      </c>
    </row>
    <row r="6" customFormat="false" ht="15" hidden="false" customHeight="false" outlineLevel="0" collapsed="false">
      <c r="A6" s="17" t="str">
        <f aca="false">B6&amp;"|"&amp;C6</f>
        <v>Healthy|high</v>
      </c>
      <c r="B6" s="17" t="s">
        <v>275</v>
      </c>
      <c r="C6" s="17" t="s">
        <v>293</v>
      </c>
      <c r="D6" s="18" t="n">
        <f aca="false">Severity_Classes!$E$4</f>
        <v>0</v>
      </c>
      <c r="E6" s="19" t="n">
        <f aca="false">IF(Parameters!$P$4="logistic",Parameters!$Q$4*Parameters!$R$4*((1/(1+EXP(-($D6-Parameters!$T$4)/Parameters!$U$4)))-(1/(1+EXP(Parameters!$T$4/Parameters!$U$4))))/(1-(1/(1+EXP(Parameters!$T$4/Parameters!$U$4)))),Parameters!$Q$4*Parameters!$R$4*(1-EXP(-Parameters!$S$4*$D6))+IF(Parameters!$P$4="hump",Parameters!$V$4*($D6/Parameters!$W$4)*EXP(1-$D6/Parameters!$W$4),0))</f>
        <v>-0</v>
      </c>
      <c r="F6" s="19" t="n">
        <f aca="false">IF(Parameters!$P$5="logistic",Parameters!$Q$5*Parameters!$R$5*((1/(1+EXP(-($D6-Parameters!$T$5)/Parameters!$U$5)))-(1/(1+EXP(Parameters!$T$5/Parameters!$U$5))))/(1-(1/(1+EXP(Parameters!$T$5/Parameters!$U$5)))),Parameters!$Q$5*Parameters!$R$5*(1-EXP(-Parameters!$S$5*$D6))+IF(Parameters!$P$5="hump",Parameters!$V$5*($D6/Parameters!$W$5)*EXP(1-$D6/Parameters!$W$5),0))</f>
        <v>-0</v>
      </c>
      <c r="G6" s="19" t="n">
        <f aca="false">IF(Parameters!$P$6="logistic",Parameters!$Q$6*Parameters!$R$6*((1/(1+EXP(-($D6-Parameters!$T$6)/Parameters!$U$6)))-(1/(1+EXP(Parameters!$T$6/Parameters!$U$6))))/(1-(1/(1+EXP(Parameters!$T$6/Parameters!$U$6)))),Parameters!$Q$6*Parameters!$R$6*(1-EXP(-Parameters!$S$6*$D6))+IF(Parameters!$P$6="hump",Parameters!$V$6*($D6/Parameters!$W$6)*EXP(1-$D6/Parameters!$W$6),0))</f>
        <v>0</v>
      </c>
      <c r="H6" s="19" t="n">
        <f aca="false">IF(Parameters!$P$7="logistic",Parameters!$Q$7*Parameters!$R$7*((1/(1+EXP(-($D6-Parameters!$T$7)/Parameters!$U$7)))-(1/(1+EXP(Parameters!$T$7/Parameters!$U$7))))/(1-(1/(1+EXP(Parameters!$T$7/Parameters!$U$7)))),Parameters!$Q$7*Parameters!$R$7*(1-EXP(-Parameters!$S$7*$D6))+IF(Parameters!$P$7="hump",Parameters!$V$7*($D6/Parameters!$W$7)*EXP(1-$D6/Parameters!$W$7),0))</f>
        <v>0</v>
      </c>
      <c r="I6" s="19" t="n">
        <f aca="false">IF(Parameters!$P$9="logistic",Parameters!$Q$9*Parameters!$R$9*((1/(1+EXP(-($D6-Parameters!$T$9)/Parameters!$U$9)))-(1/(1+EXP(Parameters!$T$9/Parameters!$U$9))))/(1-(1/(1+EXP(Parameters!$T$9/Parameters!$U$9)))),Parameters!$Q$9*Parameters!$R$9*(1-EXP(-Parameters!$S$9*$D6))+IF(Parameters!$P$9="hump",Parameters!$V$9*($D6/Parameters!$W$9)*EXP(1-$D6/Parameters!$W$9),0))</f>
        <v>0</v>
      </c>
      <c r="J6" s="19" t="n">
        <f aca="false">IF(Parameters!$P$10="logistic",Parameters!$Q$10*Parameters!$R$10*((1/(1+EXP(-($D6-Parameters!$T$10)/Parameters!$U$10)))-(1/(1+EXP(Parameters!$T$10/Parameters!$U$10))))/(1-(1/(1+EXP(Parameters!$T$10/Parameters!$U$10)))),Parameters!$Q$10*Parameters!$R$10*(1-EXP(-Parameters!$S$10*$D6))+IF(Parameters!$P$10="hump",Parameters!$V$10*($D6/Parameters!$W$10)*EXP(1-$D6/Parameters!$W$10),0))</f>
        <v>0</v>
      </c>
      <c r="K6" s="19" t="n">
        <f aca="false">IF(Parameters!$P$11="logistic",Parameters!$Q$11*Parameters!$R$11*((1/(1+EXP(-($D6-Parameters!$T$11)/Parameters!$U$11)))-(1/(1+EXP(Parameters!$T$11/Parameters!$U$11))))/(1-(1/(1+EXP(Parameters!$T$11/Parameters!$U$11)))),Parameters!$Q$11*Parameters!$R$11*(1-EXP(-Parameters!$S$11*$D6))+IF(Parameters!$P$11="hump",Parameters!$V$11*($D6/Parameters!$W$11)*EXP(1-$D6/Parameters!$W$11),0))</f>
        <v>0</v>
      </c>
      <c r="L6" s="19" t="n">
        <f aca="false">IF(Parameters!$P$12="logistic",Parameters!$Q$12*Parameters!$R$12*((1/(1+EXP(-($D6-Parameters!$T$12)/Parameters!$U$12)))-(1/(1+EXP(Parameters!$T$12/Parameters!$U$12))))/(1-(1/(1+EXP(Parameters!$T$12/Parameters!$U$12)))),Parameters!$Q$12*Parameters!$R$12*(1-EXP(-Parameters!$S$12*$D6))+IF(Parameters!$P$12="hump",Parameters!$V$12*($D6/Parameters!$W$12)*EXP(1-$D6/Parameters!$W$12),0))</f>
        <v>0</v>
      </c>
      <c r="M6" s="19" t="n">
        <f aca="false">IF(Parameters!$P$13="logistic",Parameters!$Q$13*Parameters!$R$13*((1/(1+EXP(-($D6-Parameters!$T$13)/Parameters!$U$13)))-(1/(1+EXP(Parameters!$T$13/Parameters!$U$13))))/(1-(1/(1+EXP(Parameters!$T$13/Parameters!$U$13)))),Parameters!$Q$13*Parameters!$R$13*(1-EXP(-Parameters!$S$13*$D6))+IF(Parameters!$P$13="hump",Parameters!$V$13*($D6/Parameters!$W$13)*EXP(1-$D6/Parameters!$W$13),0))</f>
        <v>0</v>
      </c>
      <c r="N6" s="19" t="n">
        <f aca="false">IF(Parameters!$P$14="logistic",Parameters!$Q$14*Parameters!$R$14*((1/(1+EXP(-($D6-Parameters!$T$14)/Parameters!$U$14)))-(1/(1+EXP(Parameters!$T$14/Parameters!$U$14))))/(1-(1/(1+EXP(Parameters!$T$14/Parameters!$U$14)))),Parameters!$Q$14*Parameters!$R$14*(1-EXP(-Parameters!$S$14*$D6))+IF(Parameters!$P$14="hump",Parameters!$V$14*($D6/Parameters!$W$14)*EXP(1-$D6/Parameters!$W$14),0))</f>
        <v>0</v>
      </c>
      <c r="O6" s="19" t="n">
        <f aca="false">IF(Parameters!$P$15="logistic",Parameters!$Q$15*Parameters!$R$15*((1/(1+EXP(-($D6-Parameters!$T$15)/Parameters!$U$15)))-(1/(1+EXP(Parameters!$T$15/Parameters!$U$15))))/(1-(1/(1+EXP(Parameters!$T$15/Parameters!$U$15)))),Parameters!$Q$15*Parameters!$R$15*(1-EXP(-Parameters!$S$15*$D6))+IF(Parameters!$P$15="hump",Parameters!$V$15*($D6/Parameters!$W$15)*EXP(1-$D6/Parameters!$W$15),0))</f>
        <v>0</v>
      </c>
    </row>
    <row r="7" customFormat="false" ht="15" hidden="false" customHeight="false" outlineLevel="0" collapsed="false">
      <c r="A7" s="20" t="str">
        <f aca="false">B7&amp;"|"&amp;C7</f>
        <v>Very low|low</v>
      </c>
      <c r="B7" s="20" t="s">
        <v>277</v>
      </c>
      <c r="C7" s="20" t="s">
        <v>291</v>
      </c>
      <c r="D7" s="21" t="n">
        <f aca="false">Severity_Classes!$C$5</f>
        <v>0.01</v>
      </c>
      <c r="E7" s="22" t="n">
        <f aca="false">IF(Parameters!$P$4="logistic",Parameters!$Q$4*Parameters!$R$4*((1/(1+EXP(-($D7-Parameters!$T$4)/Parameters!$U$4)))-(1/(1+EXP(Parameters!$T$4/Parameters!$U$4))))/(1-(1/(1+EXP(Parameters!$T$4/Parameters!$U$4)))),Parameters!$Q$4*Parameters!$R$4*(1-EXP(-Parameters!$S$4*$D7))+IF(Parameters!$P$4="hump",Parameters!$V$4*($D7/Parameters!$W$4)*EXP(1-$D7/Parameters!$W$4),0))</f>
        <v>-0.00133244208384296</v>
      </c>
      <c r="F7" s="22" t="n">
        <f aca="false">IF(Parameters!$P$5="logistic",Parameters!$Q$5*Parameters!$R$5*((1/(1+EXP(-($D7-Parameters!$T$5)/Parameters!$U$5)))-(1/(1+EXP(Parameters!$T$5/Parameters!$U$5))))/(1-(1/(1+EXP(Parameters!$T$5/Parameters!$U$5)))),Parameters!$Q$5*Parameters!$R$5*(1-EXP(-Parameters!$S$5*$D7))+IF(Parameters!$P$5="hump",Parameters!$V$5*($D7/Parameters!$W$5)*EXP(1-$D7/Parameters!$W$5),0))</f>
        <v>-0.00419489501012725</v>
      </c>
      <c r="G7" s="22" t="n">
        <f aca="false">IF(Parameters!$P$6="logistic",Parameters!$Q$6*Parameters!$R$6*((1/(1+EXP(-($D7-Parameters!$T$6)/Parameters!$U$6)))-(1/(1+EXP(Parameters!$T$6/Parameters!$U$6))))/(1-(1/(1+EXP(Parameters!$T$6/Parameters!$U$6)))),Parameters!$Q$6*Parameters!$R$6*(1-EXP(-Parameters!$S$6*$D7))+IF(Parameters!$P$6="hump",Parameters!$V$6*($D7/Parameters!$W$6)*EXP(1-$D7/Parameters!$W$6),0))</f>
        <v>-0.032284531895215</v>
      </c>
      <c r="H7" s="22" t="n">
        <f aca="false">IF(Parameters!$P$7="logistic",Parameters!$Q$7*Parameters!$R$7*((1/(1+EXP(-($D7-Parameters!$T$7)/Parameters!$U$7)))-(1/(1+EXP(Parameters!$T$7/Parameters!$U$7))))/(1-(1/(1+EXP(Parameters!$T$7/Parameters!$U$7)))),Parameters!$Q$7*Parameters!$R$7*(1-EXP(-Parameters!$S$7*$D7))+IF(Parameters!$P$7="hump",Parameters!$V$7*($D7/Parameters!$W$7)*EXP(1-$D7/Parameters!$W$7),0))</f>
        <v>-0.0192104031934697</v>
      </c>
      <c r="I7" s="22" t="n">
        <f aca="false">IF(Parameters!$P$9="logistic",Parameters!$Q$9*Parameters!$R$9*((1/(1+EXP(-($D7-Parameters!$T$9)/Parameters!$U$9)))-(1/(1+EXP(Parameters!$T$9/Parameters!$U$9))))/(1-(1/(1+EXP(Parameters!$T$9/Parameters!$U$9)))),Parameters!$Q$9*Parameters!$R$9*(1-EXP(-Parameters!$S$9*$D7))+IF(Parameters!$P$9="hump",Parameters!$V$9*($D7/Parameters!$W$9)*EXP(1-$D7/Parameters!$W$9),0))</f>
        <v>0.011763168254303</v>
      </c>
      <c r="J7" s="22" t="n">
        <f aca="false">IF(Parameters!$P$10="logistic",Parameters!$Q$10*Parameters!$R$10*((1/(1+EXP(-($D7-Parameters!$T$10)/Parameters!$U$10)))-(1/(1+EXP(Parameters!$T$10/Parameters!$U$10))))/(1-(1/(1+EXP(Parameters!$T$10/Parameters!$U$10)))),Parameters!$Q$10*Parameters!$R$10*(1-EXP(-Parameters!$S$10*$D7))+IF(Parameters!$P$10="hump",Parameters!$V$10*($D7/Parameters!$W$10)*EXP(1-$D7/Parameters!$W$10),0))</f>
        <v>-0.0111105395872503</v>
      </c>
      <c r="K7" s="22" t="n">
        <f aca="false">IF(Parameters!$P$11="logistic",Parameters!$Q$11*Parameters!$R$11*((1/(1+EXP(-($D7-Parameters!$T$11)/Parameters!$U$11)))-(1/(1+EXP(Parameters!$T$11/Parameters!$U$11))))/(1-(1/(1+EXP(Parameters!$T$11/Parameters!$U$11)))),Parameters!$Q$11*Parameters!$R$11*(1-EXP(-Parameters!$S$11*$D7))+IF(Parameters!$P$11="hump",Parameters!$V$11*($D7/Parameters!$W$11)*EXP(1-$D7/Parameters!$W$11),0))</f>
        <v>-0.0204707216485216</v>
      </c>
      <c r="L7" s="22" t="n">
        <f aca="false">IF(Parameters!$P$12="logistic",Parameters!$Q$12*Parameters!$R$12*((1/(1+EXP(-($D7-Parameters!$T$12)/Parameters!$U$12)))-(1/(1+EXP(Parameters!$T$12/Parameters!$U$12))))/(1-(1/(1+EXP(Parameters!$T$12/Parameters!$U$12)))),Parameters!$Q$12*Parameters!$R$12*(1-EXP(-Parameters!$S$12*$D7))+IF(Parameters!$P$12="hump",Parameters!$V$12*($D7/Parameters!$W$12)*EXP(1-$D7/Parameters!$W$12),0))</f>
        <v>-0.0162549565483205</v>
      </c>
      <c r="M7" s="22" t="n">
        <f aca="false">IF(Parameters!$P$13="logistic",Parameters!$Q$13*Parameters!$R$13*((1/(1+EXP(-($D7-Parameters!$T$13)/Parameters!$U$13)))-(1/(1+EXP(Parameters!$T$13/Parameters!$U$13))))/(1-(1/(1+EXP(Parameters!$T$13/Parameters!$U$13)))),Parameters!$Q$13*Parameters!$R$13*(1-EXP(-Parameters!$S$13*$D7))+IF(Parameters!$P$13="hump",Parameters!$V$13*($D7/Parameters!$W$13)*EXP(1-$D7/Parameters!$W$13),0))</f>
        <v>0.0127742445309728</v>
      </c>
      <c r="N7" s="22" t="n">
        <f aca="false">IF(Parameters!$P$14="logistic",Parameters!$Q$14*Parameters!$R$14*((1/(1+EXP(-($D7-Parameters!$T$14)/Parameters!$U$14)))-(1/(1+EXP(Parameters!$T$14/Parameters!$U$14))))/(1-(1/(1+EXP(Parameters!$T$14/Parameters!$U$14)))),Parameters!$Q$14*Parameters!$R$14*(1-EXP(-Parameters!$S$14*$D7))+IF(Parameters!$P$14="hump",Parameters!$V$14*($D7/Parameters!$W$14)*EXP(1-$D7/Parameters!$W$14),0))</f>
        <v>0.0177326798708951</v>
      </c>
      <c r="O7" s="22" t="n">
        <f aca="false">IF(Parameters!$P$15="logistic",Parameters!$Q$15*Parameters!$R$15*((1/(1+EXP(-($D7-Parameters!$T$15)/Parameters!$U$15)))-(1/(1+EXP(Parameters!$T$15/Parameters!$U$15))))/(1-(1/(1+EXP(Parameters!$T$15/Parameters!$U$15)))),Parameters!$Q$15*Parameters!$R$15*(1-EXP(-Parameters!$S$15*$D7))+IF(Parameters!$P$15="hump",Parameters!$V$15*($D7/Parameters!$W$15)*EXP(1-$D7/Parameters!$W$15),0))</f>
        <v>-0.00443316996772378</v>
      </c>
    </row>
    <row r="8" customFormat="false" ht="15" hidden="false" customHeight="false" outlineLevel="0" collapsed="false">
      <c r="A8" s="20" t="str">
        <f aca="false">B8&amp;"|"&amp;C8</f>
        <v>Very low|mid</v>
      </c>
      <c r="B8" s="20" t="s">
        <v>277</v>
      </c>
      <c r="C8" s="20" t="s">
        <v>292</v>
      </c>
      <c r="D8" s="21" t="n">
        <f aca="false">Severity_Classes!$D$5</f>
        <v>0.03</v>
      </c>
      <c r="E8" s="22" t="n">
        <f aca="false">IF(Parameters!$P$4="logistic",Parameters!$Q$4*Parameters!$R$4*((1/(1+EXP(-($D8-Parameters!$T$4)/Parameters!$U$4)))-(1/(1+EXP(Parameters!$T$4/Parameters!$U$4))))/(1-(1/(1+EXP(Parameters!$T$4/Parameters!$U$4)))),Parameters!$Q$4*Parameters!$R$4*(1-EXP(-Parameters!$S$4*$D8))+IF(Parameters!$P$4="hump",Parameters!$V$4*($D8/Parameters!$W$4)*EXP(1-$D8/Parameters!$W$4),0))</f>
        <v>-0.00431133880072859</v>
      </c>
      <c r="F8" s="22" t="n">
        <f aca="false">IF(Parameters!$P$5="logistic",Parameters!$Q$5*Parameters!$R$5*((1/(1+EXP(-($D8-Parameters!$T$5)/Parameters!$U$5)))-(1/(1+EXP(Parameters!$T$5/Parameters!$U$5))))/(1-(1/(1+EXP(Parameters!$T$5/Parameters!$U$5)))),Parameters!$Q$5*Parameters!$R$5*(1-EXP(-Parameters!$S$5*$D8))+IF(Parameters!$P$5="hump",Parameters!$V$5*($D8/Parameters!$W$5)*EXP(1-$D8/Parameters!$W$5),0))</f>
        <v>-0.0137627406516267</v>
      </c>
      <c r="G8" s="22" t="n">
        <f aca="false">IF(Parameters!$P$6="logistic",Parameters!$Q$6*Parameters!$R$6*((1/(1+EXP(-($D8-Parameters!$T$6)/Parameters!$U$6)))-(1/(1+EXP(Parameters!$T$6/Parameters!$U$6))))/(1-(1/(1+EXP(Parameters!$T$6/Parameters!$U$6)))),Parameters!$Q$6*Parameters!$R$6*(1-EXP(-Parameters!$S$6*$D8))+IF(Parameters!$P$6="hump",Parameters!$V$6*($D8/Parameters!$W$6)*EXP(1-$D8/Parameters!$W$6),0))</f>
        <v>-0.0927442536904701</v>
      </c>
      <c r="H8" s="22" t="n">
        <f aca="false">IF(Parameters!$P$7="logistic",Parameters!$Q$7*Parameters!$R$7*((1/(1+EXP(-($D8-Parameters!$T$7)/Parameters!$U$7)))-(1/(1+EXP(Parameters!$T$7/Parameters!$U$7))))/(1-(1/(1+EXP(Parameters!$T$7/Parameters!$U$7)))),Parameters!$Q$7*Parameters!$R$7*(1-EXP(-Parameters!$S$7*$D8))+IF(Parameters!$P$7="hump",Parameters!$V$7*($D8/Parameters!$W$7)*EXP(1-$D8/Parameters!$W$7),0))</f>
        <v>-0.0559447295737017</v>
      </c>
      <c r="I8" s="22" t="n">
        <f aca="false">IF(Parameters!$P$9="logistic",Parameters!$Q$9*Parameters!$R$9*((1/(1+EXP(-($D8-Parameters!$T$9)/Parameters!$U$9)))-(1/(1+EXP(Parameters!$T$9/Parameters!$U$9))))/(1-(1/(1+EXP(Parameters!$T$9/Parameters!$U$9)))),Parameters!$Q$9*Parameters!$R$9*(1-EXP(-Parameters!$S$9*$D8))+IF(Parameters!$P$9="hump",Parameters!$V$9*($D8/Parameters!$W$9)*EXP(1-$D8/Parameters!$W$9),0))</f>
        <v>0.0339238689848528</v>
      </c>
      <c r="J8" s="22" t="n">
        <f aca="false">IF(Parameters!$P$10="logistic",Parameters!$Q$10*Parameters!$R$10*((1/(1+EXP(-($D8-Parameters!$T$10)/Parameters!$U$10)))-(1/(1+EXP(Parameters!$T$10/Parameters!$U$10))))/(1-(1/(1+EXP(Parameters!$T$10/Parameters!$U$10)))),Parameters!$Q$10*Parameters!$R$10*(1-EXP(-Parameters!$S$10*$D8))+IF(Parameters!$P$10="hump",Parameters!$V$10*($D8/Parameters!$W$10)*EXP(1-$D8/Parameters!$W$10),0))</f>
        <v>-0.0325154311521512</v>
      </c>
      <c r="K8" s="22" t="n">
        <f aca="false">IF(Parameters!$P$11="logistic",Parameters!$Q$11*Parameters!$R$11*((1/(1+EXP(-($D8-Parameters!$T$11)/Parameters!$U$11)))-(1/(1+EXP(Parameters!$T$11/Parameters!$U$11))))/(1-(1/(1+EXP(Parameters!$T$11/Parameters!$U$11)))),Parameters!$Q$11*Parameters!$R$11*(1-EXP(-Parameters!$S$11*$D8))+IF(Parameters!$P$11="hump",Parameters!$V$11*($D8/Parameters!$W$11)*EXP(1-$D8/Parameters!$W$11),0))</f>
        <v>-0.059498389555341</v>
      </c>
      <c r="L8" s="22" t="n">
        <f aca="false">IF(Parameters!$P$12="logistic",Parameters!$Q$12*Parameters!$R$12*((1/(1+EXP(-($D8-Parameters!$T$12)/Parameters!$U$12)))-(1/(1+EXP(Parameters!$T$12/Parameters!$U$12))))/(1-(1/(1+EXP(Parameters!$T$12/Parameters!$U$12)))),Parameters!$Q$12*Parameters!$R$12*(1-EXP(-Parameters!$S$12*$D8))+IF(Parameters!$P$12="hump",Parameters!$V$12*($D8/Parameters!$W$12)*EXP(1-$D8/Parameters!$W$12),0))</f>
        <v>-0.0473378481008245</v>
      </c>
      <c r="M8" s="22" t="n">
        <f aca="false">IF(Parameters!$P$13="logistic",Parameters!$Q$13*Parameters!$R$13*((1/(1+EXP(-($D8-Parameters!$T$13)/Parameters!$U$13)))-(1/(1+EXP(Parameters!$T$13/Parameters!$U$13))))/(1-(1/(1+EXP(Parameters!$T$13/Parameters!$U$13)))),Parameters!$Q$13*Parameters!$R$13*(1-EXP(-Parameters!$S$13*$D8))+IF(Parameters!$P$13="hump",Parameters!$V$13*($D8/Parameters!$W$13)*EXP(1-$D8/Parameters!$W$13),0))</f>
        <v>0.0259850553326056</v>
      </c>
      <c r="N8" s="22" t="n">
        <f aca="false">IF(Parameters!$P$14="logistic",Parameters!$Q$14*Parameters!$R$14*((1/(1+EXP(-($D8-Parameters!$T$14)/Parameters!$U$14)))-(1/(1+EXP(Parameters!$T$14/Parameters!$U$14))))/(1-(1/(1+EXP(Parameters!$T$14/Parameters!$U$14)))),Parameters!$Q$14*Parameters!$R$14*(1-EXP(-Parameters!$S$14*$D8))+IF(Parameters!$P$14="hump",Parameters!$V$14*($D8/Parameters!$W$14)*EXP(1-$D8/Parameters!$W$14),0))</f>
        <v>0.0516412888372631</v>
      </c>
      <c r="O8" s="22" t="n">
        <f aca="false">IF(Parameters!$P$15="logistic",Parameters!$Q$15*Parameters!$R$15*((1/(1+EXP(-($D8-Parameters!$T$15)/Parameters!$U$15)))-(1/(1+EXP(Parameters!$T$15/Parameters!$U$15))))/(1-(1/(1+EXP(Parameters!$T$15/Parameters!$U$15)))),Parameters!$Q$15*Parameters!$R$15*(1-EXP(-Parameters!$S$15*$D8))+IF(Parameters!$P$15="hump",Parameters!$V$15*($D8/Parameters!$W$15)*EXP(1-$D8/Parameters!$W$15),0))</f>
        <v>-0.0129103222093158</v>
      </c>
    </row>
    <row r="9" customFormat="false" ht="15" hidden="false" customHeight="false" outlineLevel="0" collapsed="false">
      <c r="A9" s="20" t="str">
        <f aca="false">B9&amp;"|"&amp;C9</f>
        <v>Very low|high</v>
      </c>
      <c r="B9" s="20" t="s">
        <v>277</v>
      </c>
      <c r="C9" s="20" t="s">
        <v>293</v>
      </c>
      <c r="D9" s="21" t="n">
        <f aca="false">Severity_Classes!$E$5</f>
        <v>0.05</v>
      </c>
      <c r="E9" s="22" t="n">
        <f aca="false">IF(Parameters!$P$4="logistic",Parameters!$Q$4*Parameters!$R$4*((1/(1+EXP(-($D9-Parameters!$T$4)/Parameters!$U$4)))-(1/(1+EXP(Parameters!$T$4/Parameters!$U$4))))/(1-(1/(1+EXP(Parameters!$T$4/Parameters!$U$4)))),Parameters!$Q$4*Parameters!$R$4*(1-EXP(-Parameters!$S$4*$D9))+IF(Parameters!$P$4="hump",Parameters!$V$4*($D9/Parameters!$W$4)*EXP(1-$D9/Parameters!$W$4),0))</f>
        <v>-0.00775481568545407</v>
      </c>
      <c r="F9" s="22" t="n">
        <f aca="false">IF(Parameters!$P$5="logistic",Parameters!$Q$5*Parameters!$R$5*((1/(1+EXP(-($D9-Parameters!$T$5)/Parameters!$U$5)))-(1/(1+EXP(Parameters!$T$5/Parameters!$U$5))))/(1-(1/(1+EXP(Parameters!$T$5/Parameters!$U$5)))),Parameters!$Q$5*Parameters!$R$5*(1-EXP(-Parameters!$S$5*$D9))+IF(Parameters!$P$5="hump",Parameters!$V$5*($D9/Parameters!$W$5)*EXP(1-$D9/Parameters!$W$5),0))</f>
        <v>-0.0250978639488828</v>
      </c>
      <c r="G9" s="22" t="n">
        <f aca="false">IF(Parameters!$P$6="logistic",Parameters!$Q$6*Parameters!$R$6*((1/(1+EXP(-($D9-Parameters!$T$6)/Parameters!$U$6)))-(1/(1+EXP(Parameters!$T$6/Parameters!$U$6))))/(1-(1/(1+EXP(Parameters!$T$6/Parameters!$U$6)))),Parameters!$Q$6*Parameters!$R$6*(1-EXP(-Parameters!$S$6*$D9))+IF(Parameters!$P$6="hump",Parameters!$V$6*($D9/Parameters!$W$6)*EXP(1-$D9/Parameters!$W$6),0))</f>
        <v>-0.148110901528141</v>
      </c>
      <c r="H9" s="22" t="n">
        <f aca="false">IF(Parameters!$P$7="logistic",Parameters!$Q$7*Parameters!$R$7*((1/(1+EXP(-($D9-Parameters!$T$7)/Parameters!$U$7)))-(1/(1+EXP(Parameters!$T$7/Parameters!$U$7))))/(1-(1/(1+EXP(Parameters!$T$7/Parameters!$U$7)))),Parameters!$Q$7*Parameters!$R$7*(1-EXP(-Parameters!$S$7*$D9))+IF(Parameters!$P$7="hump",Parameters!$V$7*($D9/Parameters!$W$7)*EXP(1-$D9/Parameters!$W$7),0))</f>
        <v>-0.0905398153237124</v>
      </c>
      <c r="I9" s="22" t="n">
        <f aca="false">IF(Parameters!$P$9="logistic",Parameters!$Q$9*Parameters!$R$9*((1/(1+EXP(-($D9-Parameters!$T$9)/Parameters!$U$9)))-(1/(1+EXP(Parameters!$T$9/Parameters!$U$9))))/(1-(1/(1+EXP(Parameters!$T$9/Parameters!$U$9)))),Parameters!$Q$9*Parameters!$R$9*(1-EXP(-Parameters!$S$9*$D9))+IF(Parameters!$P$9="hump",Parameters!$V$9*($D9/Parameters!$W$9)*EXP(1-$D9/Parameters!$W$9),0))</f>
        <v>0.0543807740766055</v>
      </c>
      <c r="J9" s="22" t="n">
        <f aca="false">IF(Parameters!$P$10="logistic",Parameters!$Q$10*Parameters!$R$10*((1/(1+EXP(-($D9-Parameters!$T$10)/Parameters!$U$10)))-(1/(1+EXP(Parameters!$T$10/Parameters!$U$10))))/(1-(1/(1+EXP(Parameters!$T$10/Parameters!$U$10)))),Parameters!$Q$10*Parameters!$R$10*(1-EXP(-Parameters!$S$10*$D9))+IF(Parameters!$P$10="hump",Parameters!$V$10*($D9/Parameters!$W$10)*EXP(1-$D9/Parameters!$W$10),0))</f>
        <v>-0.052876393836932</v>
      </c>
      <c r="K9" s="22" t="n">
        <f aca="false">IF(Parameters!$P$11="logistic",Parameters!$Q$11*Parameters!$R$11*((1/(1+EXP(-($D9-Parameters!$T$11)/Parameters!$U$11)))-(1/(1+EXP(Parameters!$T$11/Parameters!$U$11))))/(1-(1/(1+EXP(Parameters!$T$11/Parameters!$U$11)))),Parameters!$Q$11*Parameters!$R$11*(1-EXP(-Parameters!$S$11*$D9))+IF(Parameters!$P$11="hump",Parameters!$V$11*($D9/Parameters!$W$11)*EXP(1-$D9/Parameters!$W$11),0))</f>
        <v>-0.0961065371719626</v>
      </c>
      <c r="L9" s="22" t="n">
        <f aca="false">IF(Parameters!$P$12="logistic",Parameters!$Q$12*Parameters!$R$12*((1/(1+EXP(-($D9-Parameters!$T$12)/Parameters!$U$12)))-(1/(1+EXP(Parameters!$T$12/Parameters!$U$12))))/(1-(1/(1+EXP(Parameters!$T$12/Parameters!$U$12)))),Parameters!$Q$12*Parameters!$R$12*(1-EXP(-Parameters!$S$12*$D9))+IF(Parameters!$P$12="hump",Parameters!$V$12*($D9/Parameters!$W$12)*EXP(1-$D9/Parameters!$W$12),0))</f>
        <v>-0.0766106129662182</v>
      </c>
      <c r="M9" s="22" t="n">
        <f aca="false">IF(Parameters!$P$13="logistic",Parameters!$Q$13*Parameters!$R$13*((1/(1+EXP(-($D9-Parameters!$T$13)/Parameters!$U$13)))-(1/(1+EXP(Parameters!$T$13/Parameters!$U$13))))/(1-(1/(1+EXP(Parameters!$T$13/Parameters!$U$13)))),Parameters!$Q$13*Parameters!$R$13*(1-EXP(-Parameters!$S$13*$D9))+IF(Parameters!$P$13="hump",Parameters!$V$13*($D9/Parameters!$W$13)*EXP(1-$D9/Parameters!$W$13),0))</f>
        <v>0.0267192541050295</v>
      </c>
      <c r="N9" s="22" t="n">
        <f aca="false">IF(Parameters!$P$14="logistic",Parameters!$Q$14*Parameters!$R$14*((1/(1+EXP(-($D9-Parameters!$T$14)/Parameters!$U$14)))-(1/(1+EXP(Parameters!$T$14/Parameters!$U$14))))/(1-(1/(1+EXP(Parameters!$T$14/Parameters!$U$14)))),Parameters!$Q$14*Parameters!$R$14*(1-EXP(-Parameters!$S$14*$D9))+IF(Parameters!$P$14="hump",Parameters!$V$14*($D9/Parameters!$W$14)*EXP(1-$D9/Parameters!$W$14),0))</f>
        <v>0.0835752141449653</v>
      </c>
      <c r="O9" s="22" t="n">
        <f aca="false">IF(Parameters!$P$15="logistic",Parameters!$Q$15*Parameters!$R$15*((1/(1+EXP(-($D9-Parameters!$T$15)/Parameters!$U$15)))-(1/(1+EXP(Parameters!$T$15/Parameters!$U$15))))/(1-(1/(1+EXP(Parameters!$T$15/Parameters!$U$15)))),Parameters!$Q$15*Parameters!$R$15*(1-EXP(-Parameters!$S$15*$D9))+IF(Parameters!$P$15="hump",Parameters!$V$15*($D9/Parameters!$W$15)*EXP(1-$D9/Parameters!$W$15),0))</f>
        <v>-0.0208938035362413</v>
      </c>
    </row>
    <row r="10" customFormat="false" ht="15" hidden="false" customHeight="false" outlineLevel="0" collapsed="false">
      <c r="A10" s="20" t="str">
        <f aca="false">B10&amp;"|"&amp;C10</f>
        <v>Low|low</v>
      </c>
      <c r="B10" s="20" t="s">
        <v>279</v>
      </c>
      <c r="C10" s="20" t="s">
        <v>291</v>
      </c>
      <c r="D10" s="21" t="n">
        <f aca="false">Severity_Classes!$C$6</f>
        <v>0.06</v>
      </c>
      <c r="E10" s="22" t="n">
        <f aca="false">IF(Parameters!$P$4="logistic",Parameters!$Q$4*Parameters!$R$4*((1/(1+EXP(-($D10-Parameters!$T$4)/Parameters!$U$4)))-(1/(1+EXP(Parameters!$T$4/Parameters!$U$4))))/(1-(1/(1+EXP(Parameters!$T$4/Parameters!$U$4)))),Parameters!$Q$4*Parameters!$R$4*(1-EXP(-Parameters!$S$4*$D10))+IF(Parameters!$P$4="hump",Parameters!$V$4*($D10/Parameters!$W$4)*EXP(1-$D10/Parameters!$W$4),0))</f>
        <v>-0.00966879022675897</v>
      </c>
      <c r="F10" s="22" t="n">
        <f aca="false">IF(Parameters!$P$5="logistic",Parameters!$Q$5*Parameters!$R$5*((1/(1+EXP(-($D10-Parameters!$T$5)/Parameters!$U$5)))-(1/(1+EXP(Parameters!$T$5/Parameters!$U$5))))/(1-(1/(1+EXP(Parameters!$T$5/Parameters!$U$5)))),Parameters!$Q$5*Parameters!$R$5*(1-EXP(-Parameters!$S$5*$D10))+IF(Parameters!$P$5="hump",Parameters!$V$5*($D10/Parameters!$W$5)*EXP(1-$D10/Parameters!$W$5),0))</f>
        <v>-0.031504381989312</v>
      </c>
      <c r="G10" s="22" t="n">
        <f aca="false">IF(Parameters!$P$6="logistic",Parameters!$Q$6*Parameters!$R$6*((1/(1+EXP(-($D10-Parameters!$T$6)/Parameters!$U$6)))-(1/(1+EXP(Parameters!$T$6/Parameters!$U$6))))/(1-(1/(1+EXP(Parameters!$T$6/Parameters!$U$6)))),Parameters!$Q$6*Parameters!$R$6*(1-EXP(-Parameters!$S$6*$D10))+IF(Parameters!$P$6="hump",Parameters!$V$6*($D10/Parameters!$W$6)*EXP(1-$D10/Parameters!$W$6),0))</f>
        <v>-0.17401984525747</v>
      </c>
      <c r="H10" s="22" t="n">
        <f aca="false">IF(Parameters!$P$7="logistic",Parameters!$Q$7*Parameters!$R$7*((1/(1+EXP(-($D10-Parameters!$T$7)/Parameters!$U$7)))-(1/(1+EXP(Parameters!$T$7/Parameters!$U$7))))/(1-(1/(1+EXP(Parameters!$T$7/Parameters!$U$7)))),Parameters!$Q$7*Parameters!$R$7*(1-EXP(-Parameters!$S$7*$D10))+IF(Parameters!$P$7="hump",Parameters!$V$7*($D10/Parameters!$W$7)*EXP(1-$D10/Parameters!$W$7),0))</f>
        <v>-0.107074362582673</v>
      </c>
      <c r="I10" s="22" t="n">
        <f aca="false">IF(Parameters!$P$9="logistic",Parameters!$Q$9*Parameters!$R$9*((1/(1+EXP(-($D10-Parameters!$T$9)/Parameters!$U$9)))-(1/(1+EXP(Parameters!$T$9/Parameters!$U$9))))/(1-(1/(1+EXP(Parameters!$T$9/Parameters!$U$9)))),Parameters!$Q$9*Parameters!$R$9*(1-EXP(-Parameters!$S$9*$D10))+IF(Parameters!$P$9="hump",Parameters!$V$9*($D10/Parameters!$W$9)*EXP(1-$D10/Parameters!$W$9),0))</f>
        <v>0.064011641680034</v>
      </c>
      <c r="J10" s="22" t="n">
        <f aca="false">IF(Parameters!$P$10="logistic",Parameters!$Q$10*Parameters!$R$10*((1/(1+EXP(-($D10-Parameters!$T$10)/Parameters!$U$10)))-(1/(1+EXP(Parameters!$T$10/Parameters!$U$10))))/(1-(1/(1+EXP(Parameters!$T$10/Parameters!$U$10)))),Parameters!$Q$10*Parameters!$R$10*(1-EXP(-Parameters!$S$10*$D10))+IF(Parameters!$P$10="hump",Parameters!$V$10*($D10/Parameters!$W$10)*EXP(1-$D10/Parameters!$W$10),0))</f>
        <v>-0.062681410608724</v>
      </c>
      <c r="K10" s="22" t="n">
        <f aca="false">IF(Parameters!$P$11="logistic",Parameters!$Q$11*Parameters!$R$11*((1/(1+EXP(-($D10-Parameters!$T$11)/Parameters!$U$11)))-(1/(1+EXP(Parameters!$T$11/Parameters!$U$11))))/(1-(1/(1+EXP(Parameters!$T$11/Parameters!$U$11)))),Parameters!$Q$11*Parameters!$R$11*(1-EXP(-Parameters!$S$11*$D10))+IF(Parameters!$P$11="hump",Parameters!$V$11*($D10/Parameters!$W$11)*EXP(1-$D10/Parameters!$W$11),0))</f>
        <v>-0.113550535480406</v>
      </c>
      <c r="L10" s="22" t="n">
        <f aca="false">IF(Parameters!$P$12="logistic",Parameters!$Q$12*Parameters!$R$12*((1/(1+EXP(-($D10-Parameters!$T$12)/Parameters!$U$12)))-(1/(1+EXP(Parameters!$T$12/Parameters!$U$12))))/(1-(1/(1+EXP(Parameters!$T$12/Parameters!$U$12)))),Parameters!$Q$12*Parameters!$R$12*(1-EXP(-Parameters!$S$12*$D10))+IF(Parameters!$P$12="hump",Parameters!$V$12*($D10/Parameters!$W$12)*EXP(1-$D10/Parameters!$W$12),0))</f>
        <v>-0.0906013837238004</v>
      </c>
      <c r="M10" s="22" t="n">
        <f aca="false">IF(Parameters!$P$13="logistic",Parameters!$Q$13*Parameters!$R$13*((1/(1+EXP(-($D10-Parameters!$T$13)/Parameters!$U$13)))-(1/(1+EXP(Parameters!$T$13/Parameters!$U$13))))/(1-(1/(1+EXP(Parameters!$T$13/Parameters!$U$13)))),Parameters!$Q$13*Parameters!$R$13*(1-EXP(-Parameters!$S$13*$D10))+IF(Parameters!$P$13="hump",Parameters!$V$13*($D10/Parameters!$W$13)*EXP(1-$D10/Parameters!$W$13),0))</f>
        <v>0.023617566422985</v>
      </c>
      <c r="N10" s="22" t="n">
        <f aca="false">IF(Parameters!$P$14="logistic",Parameters!$Q$14*Parameters!$R$14*((1/(1+EXP(-($D10-Parameters!$T$14)/Parameters!$U$14)))-(1/(1+EXP(Parameters!$T$14/Parameters!$U$14))))/(1-(1/(1+EXP(Parameters!$T$14/Parameters!$U$14)))),Parameters!$Q$14*Parameters!$R$14*(1-EXP(-Parameters!$S$14*$D10))+IF(Parameters!$P$14="hump",Parameters!$V$14*($D10/Parameters!$W$14)*EXP(1-$D10/Parameters!$W$14),0))</f>
        <v>0.0988378731532368</v>
      </c>
      <c r="O10" s="22" t="n">
        <f aca="false">IF(Parameters!$P$15="logistic",Parameters!$Q$15*Parameters!$R$15*((1/(1+EXP(-($D10-Parameters!$T$15)/Parameters!$U$15)))-(1/(1+EXP(Parameters!$T$15/Parameters!$U$15))))/(1-(1/(1+EXP(Parameters!$T$15/Parameters!$U$15)))),Parameters!$Q$15*Parameters!$R$15*(1-EXP(-Parameters!$S$15*$D10))+IF(Parameters!$P$15="hump",Parameters!$V$15*($D10/Parameters!$W$15)*EXP(1-$D10/Parameters!$W$15),0))</f>
        <v>-0.0247094682883092</v>
      </c>
    </row>
    <row r="11" customFormat="false" ht="15" hidden="false" customHeight="false" outlineLevel="0" collapsed="false">
      <c r="A11" s="20" t="str">
        <f aca="false">B11&amp;"|"&amp;C11</f>
        <v>Low|mid</v>
      </c>
      <c r="B11" s="20" t="s">
        <v>279</v>
      </c>
      <c r="C11" s="20" t="s">
        <v>292</v>
      </c>
      <c r="D11" s="21" t="n">
        <f aca="false">Severity_Classes!$D$6</f>
        <v>0.08</v>
      </c>
      <c r="E11" s="22" t="n">
        <f aca="false">IF(Parameters!$P$4="logistic",Parameters!$Q$4*Parameters!$R$4*((1/(1+EXP(-($D11-Parameters!$T$4)/Parameters!$U$4)))-(1/(1+EXP(Parameters!$T$4/Parameters!$U$4))))/(1-(1/(1+EXP(Parameters!$T$4/Parameters!$U$4)))),Parameters!$Q$4*Parameters!$R$4*(1-EXP(-Parameters!$S$4*$D11))+IF(Parameters!$P$4="hump",Parameters!$V$4*($D11/Parameters!$W$4)*EXP(1-$D11/Parameters!$W$4),0))</f>
        <v>-0.0139186251987928</v>
      </c>
      <c r="F11" s="22" t="n">
        <f aca="false">IF(Parameters!$P$5="logistic",Parameters!$Q$5*Parameters!$R$5*((1/(1+EXP(-($D11-Parameters!$T$5)/Parameters!$U$5)))-(1/(1+EXP(Parameters!$T$5/Parameters!$U$5))))/(1-(1/(1+EXP(Parameters!$T$5/Parameters!$U$5)))),Parameters!$Q$5*Parameters!$R$5*(1-EXP(-Parameters!$S$5*$D11))+IF(Parameters!$P$5="hump",Parameters!$V$5*($D11/Parameters!$W$5)*EXP(1-$D11/Parameters!$W$5),0))</f>
        <v>-0.0459491175851215</v>
      </c>
      <c r="G11" s="22" t="n">
        <f aca="false">IF(Parameters!$P$6="logistic",Parameters!$Q$6*Parameters!$R$6*((1/(1+EXP(-($D11-Parameters!$T$6)/Parameters!$U$6)))-(1/(1+EXP(Parameters!$T$6/Parameters!$U$6))))/(1-(1/(1+EXP(Parameters!$T$6/Parameters!$U$6)))),Parameters!$Q$6*Parameters!$R$6*(1-EXP(-Parameters!$S$6*$D11))+IF(Parameters!$P$6="hump",Parameters!$V$6*($D11/Parameters!$W$6)*EXP(1-$D11/Parameters!$W$6),0))</f>
        <v>-0.222539908517744</v>
      </c>
      <c r="H11" s="22" t="n">
        <f aca="false">IF(Parameters!$P$7="logistic",Parameters!$Q$7*Parameters!$R$7*((1/(1+EXP(-($D11-Parameters!$T$7)/Parameters!$U$7)))-(1/(1+EXP(Parameters!$T$7/Parameters!$U$7))))/(1-(1/(1+EXP(Parameters!$T$7/Parameters!$U$7)))),Parameters!$Q$7*Parameters!$R$7*(1-EXP(-Parameters!$S$7*$D11))+IF(Parameters!$P$7="hump",Parameters!$V$7*($D11/Parameters!$W$7)*EXP(1-$D11/Parameters!$W$7),0))</f>
        <v>-0.13869189030674</v>
      </c>
      <c r="I11" s="22" t="n">
        <f aca="false">IF(Parameters!$P$9="logistic",Parameters!$Q$9*Parameters!$R$9*((1/(1+EXP(-($D11-Parameters!$T$9)/Parameters!$U$9)))-(1/(1+EXP(Parameters!$T$9/Parameters!$U$9))))/(1-(1/(1+EXP(Parameters!$T$9/Parameters!$U$9)))),Parameters!$Q$9*Parameters!$R$9*(1-EXP(-Parameters!$S$9*$D11))+IF(Parameters!$P$9="hump",Parameters!$V$9*($D11/Parameters!$W$9)*EXP(1-$D11/Parameters!$W$9),0))</f>
        <v>0.0821552888778927</v>
      </c>
      <c r="J11" s="22" t="n">
        <f aca="false">IF(Parameters!$P$10="logistic",Parameters!$Q$10*Parameters!$R$10*((1/(1+EXP(-($D11-Parameters!$T$10)/Parameters!$U$10)))-(1/(1+EXP(Parameters!$T$10/Parameters!$U$10))))/(1-(1/(1+EXP(Parameters!$T$10/Parameters!$U$10)))),Parameters!$Q$10*Parameters!$R$10*(1-EXP(-Parameters!$S$10*$D11))+IF(Parameters!$P$10="hump",Parameters!$V$10*($D11/Parameters!$W$10)*EXP(1-$D11/Parameters!$W$10),0))</f>
        <v>-0.0815711611149082</v>
      </c>
      <c r="K11" s="22" t="n">
        <f aca="false">IF(Parameters!$P$11="logistic",Parameters!$Q$11*Parameters!$R$11*((1/(1+EXP(-($D11-Parameters!$T$11)/Parameters!$U$11)))-(1/(1+EXP(Parameters!$T$11/Parameters!$U$11))))/(1-(1/(1+EXP(Parameters!$T$11/Parameters!$U$11)))),Parameters!$Q$11*Parameters!$R$11*(1-EXP(-Parameters!$S$11*$D11))+IF(Parameters!$P$11="hump",Parameters!$V$11*($D11/Parameters!$W$11)*EXP(1-$D11/Parameters!$W$11),0))</f>
        <v>-0.146807720285039</v>
      </c>
      <c r="L11" s="22" t="n">
        <f aca="false">IF(Parameters!$P$12="logistic",Parameters!$Q$12*Parameters!$R$12*((1/(1+EXP(-($D11-Parameters!$T$12)/Parameters!$U$12)))-(1/(1+EXP(Parameters!$T$12/Parameters!$U$12))))/(1-(1/(1+EXP(Parameters!$T$12/Parameters!$U$12)))),Parameters!$Q$12*Parameters!$R$12*(1-EXP(-Parameters!$S$12*$D11))+IF(Parameters!$P$12="hump",Parameters!$V$12*($D11/Parameters!$W$12)*EXP(1-$D11/Parameters!$W$12),0))</f>
        <v>-0.117354676413396</v>
      </c>
      <c r="M11" s="22" t="n">
        <f aca="false">IF(Parameters!$P$13="logistic",Parameters!$Q$13*Parameters!$R$13*((1/(1+EXP(-($D11-Parameters!$T$13)/Parameters!$U$13)))-(1/(1+EXP(Parameters!$T$13/Parameters!$U$13))))/(1-(1/(1+EXP(Parameters!$T$13/Parameters!$U$13)))),Parameters!$Q$13*Parameters!$R$13*(1-EXP(-Parameters!$S$13*$D11))+IF(Parameters!$P$13="hump",Parameters!$V$13*($D11/Parameters!$W$13)*EXP(1-$D11/Parameters!$W$13),0))</f>
        <v>0.012363365079435</v>
      </c>
      <c r="N11" s="22" t="n">
        <f aca="false">IF(Parameters!$P$14="logistic",Parameters!$Q$14*Parameters!$R$14*((1/(1+EXP(-($D11-Parameters!$T$14)/Parameters!$U$14)))-(1/(1+EXP(Parameters!$T$14/Parameters!$U$14))))/(1-(1/(1+EXP(Parameters!$T$14/Parameters!$U$14)))),Parameters!$Q$14*Parameters!$R$14*(1-EXP(-Parameters!$S$14*$D11))+IF(Parameters!$P$14="hump",Parameters!$V$14*($D11/Parameters!$W$14)*EXP(1-$D11/Parameters!$W$14),0))</f>
        <v>0.128023283360068</v>
      </c>
      <c r="O11" s="22" t="n">
        <f aca="false">IF(Parameters!$P$15="logistic",Parameters!$Q$15*Parameters!$R$15*((1/(1+EXP(-($D11-Parameters!$T$15)/Parameters!$U$15)))-(1/(1+EXP(Parameters!$T$15/Parameters!$U$15))))/(1-(1/(1+EXP(Parameters!$T$15/Parameters!$U$15)))),Parameters!$Q$15*Parameters!$R$15*(1-EXP(-Parameters!$S$15*$D11))+IF(Parameters!$P$15="hump",Parameters!$V$15*($D11/Parameters!$W$15)*EXP(1-$D11/Parameters!$W$15),0))</f>
        <v>-0.032005820840017</v>
      </c>
    </row>
    <row r="12" customFormat="false" ht="15" hidden="false" customHeight="false" outlineLevel="0" collapsed="false">
      <c r="A12" s="20" t="str">
        <f aca="false">B12&amp;"|"&amp;C12</f>
        <v>Low|high</v>
      </c>
      <c r="B12" s="20" t="s">
        <v>279</v>
      </c>
      <c r="C12" s="20" t="s">
        <v>293</v>
      </c>
      <c r="D12" s="21" t="n">
        <f aca="false">Severity_Classes!$E$6</f>
        <v>0.1</v>
      </c>
      <c r="E12" s="22" t="n">
        <f aca="false">IF(Parameters!$P$4="logistic",Parameters!$Q$4*Parameters!$R$4*((1/(1+EXP(-($D12-Parameters!$T$4)/Parameters!$U$4)))-(1/(1+EXP(Parameters!$T$4/Parameters!$U$4))))/(1-(1/(1+EXP(Parameters!$T$4/Parameters!$U$4)))),Parameters!$Q$4*Parameters!$R$4*(1-EXP(-Parameters!$S$4*$D12))+IF(Parameters!$P$4="hump",Parameters!$V$4*($D12/Parameters!$W$4)*EXP(1-$D12/Parameters!$W$4),0))</f>
        <v>-0.018781627184635</v>
      </c>
      <c r="F12" s="22" t="n">
        <f aca="false">IF(Parameters!$P$5="logistic",Parameters!$Q$5*Parameters!$R$5*((1/(1+EXP(-($D12-Parameters!$T$5)/Parameters!$U$5)))-(1/(1+EXP(Parameters!$T$5/Parameters!$U$5))))/(1-(1/(1+EXP(Parameters!$T$5/Parameters!$U$5)))),Parameters!$Q$5*Parameters!$R$5*(1-EXP(-Parameters!$S$5*$D12))+IF(Parameters!$P$5="hump",Parameters!$V$5*($D12/Parameters!$W$5)*EXP(1-$D12/Parameters!$W$5),0))</f>
        <v>-0.0627668820907256</v>
      </c>
      <c r="G12" s="22" t="n">
        <f aca="false">IF(Parameters!$P$6="logistic",Parameters!$Q$6*Parameters!$R$6*((1/(1+EXP(-($D12-Parameters!$T$6)/Parameters!$U$6)))-(1/(1+EXP(Parameters!$T$6/Parameters!$U$6))))/(1-(1/(1+EXP(Parameters!$T$6/Parameters!$U$6)))),Parameters!$Q$6*Parameters!$R$6*(1-EXP(-Parameters!$S$6*$D12))+IF(Parameters!$P$6="hump",Parameters!$V$6*($D12/Parameters!$W$6)*EXP(1-$D12/Parameters!$W$6),0))</f>
        <v>-0.266972684187644</v>
      </c>
      <c r="H12" s="22" t="n">
        <f aca="false">IF(Parameters!$P$7="logistic",Parameters!$Q$7*Parameters!$R$7*((1/(1+EXP(-($D12-Parameters!$T$7)/Parameters!$U$7)))-(1/(1+EXP(Parameters!$T$7/Parameters!$U$7))))/(1-(1/(1+EXP(Parameters!$T$7/Parameters!$U$7)))),Parameters!$Q$7*Parameters!$R$7*(1-EXP(-Parameters!$S$7*$D12))+IF(Parameters!$P$7="hump",Parameters!$V$7*($D12/Parameters!$W$7)*EXP(1-$D12/Parameters!$W$7),0))</f>
        <v>-0.168468156556883</v>
      </c>
      <c r="I12" s="22" t="n">
        <f aca="false">IF(Parameters!$P$9="logistic",Parameters!$Q$9*Parameters!$R$9*((1/(1+EXP(-($D12-Parameters!$T$9)/Parameters!$U$9)))-(1/(1+EXP(Parameters!$T$9/Parameters!$U$9))))/(1-(1/(1+EXP(Parameters!$T$9/Parameters!$U$9)))),Parameters!$Q$9*Parameters!$R$9*(1-EXP(-Parameters!$S$9*$D12))+IF(Parameters!$P$9="hump",Parameters!$V$9*($D12/Parameters!$W$9)*EXP(1-$D12/Parameters!$W$9),0))</f>
        <v>0.0989039861893082</v>
      </c>
      <c r="J12" s="22" t="n">
        <f aca="false">IF(Parameters!$P$10="logistic",Parameters!$Q$10*Parameters!$R$10*((1/(1+EXP(-($D12-Parameters!$T$10)/Parameters!$U$10)))-(1/(1+EXP(Parameters!$T$10/Parameters!$U$10))))/(1-(1/(1+EXP(Parameters!$T$10/Parameters!$U$10)))),Parameters!$Q$10*Parameters!$R$10*(1-EXP(-Parameters!$S$10*$D12))+IF(Parameters!$P$10="hump",Parameters!$V$10*($D12/Parameters!$W$10)*EXP(1-$D12/Parameters!$W$10),0))</f>
        <v>-0.0995396476178678</v>
      </c>
      <c r="K12" s="22" t="n">
        <f aca="false">IF(Parameters!$P$11="logistic",Parameters!$Q$11*Parameters!$R$11*((1/(1+EXP(-($D12-Parameters!$T$11)/Parameters!$U$11)))-(1/(1+EXP(Parameters!$T$11/Parameters!$U$11))))/(1-(1/(1+EXP(Parameters!$T$11/Parameters!$U$11)))),Parameters!$Q$11*Parameters!$R$11*(1-EXP(-Parameters!$S$11*$D12))+IF(Parameters!$P$11="hump",Parameters!$V$11*($D12/Parameters!$W$11)*EXP(1-$D12/Parameters!$W$11),0))</f>
        <v>-0.178003125902101</v>
      </c>
      <c r="L12" s="22" t="n">
        <f aca="false">IF(Parameters!$P$12="logistic",Parameters!$Q$12*Parameters!$R$12*((1/(1+EXP(-($D12-Parameters!$T$12)/Parameters!$U$12)))-(1/(1+EXP(Parameters!$T$12/Parameters!$U$12))))/(1-(1/(1+EXP(Parameters!$T$12/Parameters!$U$12)))),Parameters!$Q$12*Parameters!$R$12*(1-EXP(-Parameters!$S$12*$D12))+IF(Parameters!$P$12="hump",Parameters!$V$12*($D12/Parameters!$W$12)*EXP(1-$D12/Parameters!$W$12),0))</f>
        <v>-0.142549978625055</v>
      </c>
      <c r="M12" s="22" t="n">
        <f aca="false">IF(Parameters!$P$13="logistic",Parameters!$Q$13*Parameters!$R$13*((1/(1+EXP(-($D12-Parameters!$T$13)/Parameters!$U$13)))-(1/(1+EXP(Parameters!$T$13/Parameters!$U$13))))/(1-(1/(1+EXP(Parameters!$T$13/Parameters!$U$13)))),Parameters!$Q$13*Parameters!$R$13*(1-EXP(-Parameters!$S$13*$D12))+IF(Parameters!$P$13="hump",Parameters!$V$13*($D12/Parameters!$W$13)*EXP(1-$D12/Parameters!$W$13),0))</f>
        <v>-0.00367271172731284</v>
      </c>
      <c r="N12" s="22" t="n">
        <f aca="false">IF(Parameters!$P$14="logistic",Parameters!$Q$14*Parameters!$R$14*((1/(1+EXP(-($D12-Parameters!$T$14)/Parameters!$U$14)))-(1/(1+EXP(Parameters!$T$14/Parameters!$U$14))))/(1-(1/(1+EXP(Parameters!$T$14/Parameters!$U$14)))),Parameters!$Q$14*Parameters!$R$14*(1-EXP(-Parameters!$S$14*$D12))+IF(Parameters!$P$14="hump",Parameters!$V$14*($D12/Parameters!$W$14)*EXP(1-$D12/Parameters!$W$14),0))</f>
        <v>0.155509067590969</v>
      </c>
      <c r="O12" s="22" t="n">
        <f aca="false">IF(Parameters!$P$15="logistic",Parameters!$Q$15*Parameters!$R$15*((1/(1+EXP(-($D12-Parameters!$T$15)/Parameters!$U$15)))-(1/(1+EXP(Parameters!$T$15/Parameters!$U$15))))/(1-(1/(1+EXP(Parameters!$T$15/Parameters!$U$15)))),Parameters!$Q$15*Parameters!$R$15*(1-EXP(-Parameters!$S$15*$D12))+IF(Parameters!$P$15="hump",Parameters!$V$15*($D12/Parameters!$W$15)*EXP(1-$D12/Parameters!$W$15),0))</f>
        <v>-0.0388772668977423</v>
      </c>
    </row>
    <row r="13" customFormat="false" ht="15" hidden="false" customHeight="false" outlineLevel="0" collapsed="false">
      <c r="A13" s="20" t="str">
        <f aca="false">B13&amp;"|"&amp;C13</f>
        <v>Moderate|low</v>
      </c>
      <c r="B13" s="20" t="s">
        <v>281</v>
      </c>
      <c r="C13" s="20" t="s">
        <v>291</v>
      </c>
      <c r="D13" s="21" t="n">
        <f aca="false">Severity_Classes!$C$7</f>
        <v>0.11</v>
      </c>
      <c r="E13" s="22" t="n">
        <f aca="false">IF(Parameters!$P$4="logistic",Parameters!$Q$4*Parameters!$R$4*((1/(1+EXP(-($D13-Parameters!$T$4)/Parameters!$U$4)))-(1/(1+EXP(Parameters!$T$4/Parameters!$U$4))))/(1-(1/(1+EXP(Parameters!$T$4/Parameters!$U$4)))),Parameters!$Q$4*Parameters!$R$4*(1-EXP(-Parameters!$S$4*$D13))+IF(Parameters!$P$4="hump",Parameters!$V$4*($D13/Parameters!$W$4)*EXP(1-$D13/Parameters!$W$4),0))</f>
        <v>-0.0214619024564034</v>
      </c>
      <c r="F13" s="22" t="n">
        <f aca="false">IF(Parameters!$P$5="logistic",Parameters!$Q$5*Parameters!$R$5*((1/(1+EXP(-($D13-Parameters!$T$5)/Parameters!$U$5)))-(1/(1+EXP(Parameters!$T$5/Parameters!$U$5))))/(1-(1/(1+EXP(Parameters!$T$5/Parameters!$U$5)))),Parameters!$Q$5*Parameters!$R$5*(1-EXP(-Parameters!$S$5*$D13))+IF(Parameters!$P$5="hump",Parameters!$V$5*($D13/Parameters!$W$5)*EXP(1-$D13/Parameters!$W$5),0))</f>
        <v>-0.0721337714310271</v>
      </c>
      <c r="G13" s="22" t="n">
        <f aca="false">IF(Parameters!$P$6="logistic",Parameters!$Q$6*Parameters!$R$6*((1/(1+EXP(-($D13-Parameters!$T$6)/Parameters!$U$6)))-(1/(1+EXP(Parameters!$T$6/Parameters!$U$6))))/(1-(1/(1+EXP(Parameters!$T$6/Parameters!$U$6)))),Parameters!$Q$6*Parameters!$R$6*(1-EXP(-Parameters!$S$6*$D13))+IF(Parameters!$P$6="hump",Parameters!$V$6*($D13/Parameters!$W$6)*EXP(1-$D13/Parameters!$W$6),0))</f>
        <v>-0.287765098565783</v>
      </c>
      <c r="H13" s="22" t="n">
        <f aca="false">IF(Parameters!$P$7="logistic",Parameters!$Q$7*Parameters!$R$7*((1/(1+EXP(-($D13-Parameters!$T$7)/Parameters!$U$7)))-(1/(1+EXP(Parameters!$T$7/Parameters!$U$7))))/(1-(1/(1+EXP(Parameters!$T$7/Parameters!$U$7)))),Parameters!$Q$7*Parameters!$R$7*(1-EXP(-Parameters!$S$7*$D13))+IF(Parameters!$P$7="hump",Parameters!$V$7*($D13/Parameters!$W$7)*EXP(1-$D13/Parameters!$W$7),0))</f>
        <v>-0.182699573269248</v>
      </c>
      <c r="I13" s="22" t="n">
        <f aca="false">IF(Parameters!$P$9="logistic",Parameters!$Q$9*Parameters!$R$9*((1/(1+EXP(-($D13-Parameters!$T$9)/Parameters!$U$9)))-(1/(1+EXP(Parameters!$T$9/Parameters!$U$9))))/(1-(1/(1+EXP(Parameters!$T$9/Parameters!$U$9)))),Parameters!$Q$9*Parameters!$R$9*(1-EXP(-Parameters!$S$9*$D13))+IF(Parameters!$P$9="hump",Parameters!$V$9*($D13/Parameters!$W$9)*EXP(1-$D13/Parameters!$W$9),0))</f>
        <v>0.106789073675058</v>
      </c>
      <c r="J13" s="22" t="n">
        <f aca="false">IF(Parameters!$P$10="logistic",Parameters!$Q$10*Parameters!$R$10*((1/(1+EXP(-($D13-Parameters!$T$10)/Parameters!$U$10)))-(1/(1+EXP(Parameters!$T$10/Parameters!$U$10))))/(1-(1/(1+EXP(Parameters!$T$10/Parameters!$U$10)))),Parameters!$Q$10*Parameters!$R$10*(1-EXP(-Parameters!$S$10*$D13))+IF(Parameters!$P$10="hump",Parameters!$V$10*($D13/Parameters!$W$10)*EXP(1-$D13/Parameters!$W$10),0))</f>
        <v>-0.108192544548764</v>
      </c>
      <c r="K13" s="22" t="n">
        <f aca="false">IF(Parameters!$P$11="logistic",Parameters!$Q$11*Parameters!$R$11*((1/(1+EXP(-($D13-Parameters!$T$11)/Parameters!$U$11)))-(1/(1+EXP(Parameters!$T$11/Parameters!$U$11))))/(1-(1/(1+EXP(Parameters!$T$11/Parameters!$U$11)))),Parameters!$Q$11*Parameters!$R$11*(1-EXP(-Parameters!$S$11*$D13))+IF(Parameters!$P$11="hump",Parameters!$V$11*($D13/Parameters!$W$11)*EXP(1-$D13/Parameters!$W$11),0))</f>
        <v>-0.192867920715378</v>
      </c>
      <c r="L13" s="22" t="n">
        <f aca="false">IF(Parameters!$P$12="logistic",Parameters!$Q$12*Parameters!$R$12*((1/(1+EXP(-($D13-Parameters!$T$12)/Parameters!$U$12)))-(1/(1+EXP(Parameters!$T$12/Parameters!$U$12))))/(1-(1/(1+EXP(Parameters!$T$12/Parameters!$U$12)))),Parameters!$Q$12*Parameters!$R$12*(1-EXP(-Parameters!$S$12*$D13))+IF(Parameters!$P$12="hump",Parameters!$V$12*($D13/Parameters!$W$12)*EXP(1-$D13/Parameters!$W$12),0))</f>
        <v>-0.154591946612441</v>
      </c>
      <c r="M13" s="22" t="n">
        <f aca="false">IF(Parameters!$P$13="logistic",Parameters!$Q$13*Parameters!$R$13*((1/(1+EXP(-($D13-Parameters!$T$13)/Parameters!$U$13)))-(1/(1+EXP(Parameters!$T$13/Parameters!$U$13))))/(1-(1/(1+EXP(Parameters!$T$13/Parameters!$U$13)))),Parameters!$Q$13*Parameters!$R$13*(1-EXP(-Parameters!$S$13*$D13))+IF(Parameters!$P$13="hump",Parameters!$V$13*($D13/Parameters!$W$13)*EXP(1-$D13/Parameters!$W$13),0))</f>
        <v>-0.012898390643274</v>
      </c>
      <c r="N13" s="22" t="n">
        <f aca="false">IF(Parameters!$P$14="logistic",Parameters!$Q$14*Parameters!$R$14*((1/(1+EXP(-($D13-Parameters!$T$14)/Parameters!$U$14)))-(1/(1+EXP(Parameters!$T$14/Parameters!$U$14))))/(1-(1/(1+EXP(Parameters!$T$14/Parameters!$U$14)))),Parameters!$Q$14*Parameters!$R$14*(1-EXP(-Parameters!$S$14*$D13))+IF(Parameters!$P$14="hump",Parameters!$V$14*($D13/Parameters!$W$14)*EXP(1-$D13/Parameters!$W$14),0))</f>
        <v>0.168645759940844</v>
      </c>
      <c r="O13" s="22" t="n">
        <f aca="false">IF(Parameters!$P$15="logistic",Parameters!$Q$15*Parameters!$R$15*((1/(1+EXP(-($D13-Parameters!$T$15)/Parameters!$U$15)))-(1/(1+EXP(Parameters!$T$15/Parameters!$U$15))))/(1-(1/(1+EXP(Parameters!$T$15/Parameters!$U$15)))),Parameters!$Q$15*Parameters!$R$15*(1-EXP(-Parameters!$S$15*$D13))+IF(Parameters!$P$15="hump",Parameters!$V$15*($D13/Parameters!$W$15)*EXP(1-$D13/Parameters!$W$15),0))</f>
        <v>-0.0421614399852111</v>
      </c>
    </row>
    <row r="14" customFormat="false" ht="15" hidden="false" customHeight="false" outlineLevel="0" collapsed="false">
      <c r="A14" s="20" t="str">
        <f aca="false">B14&amp;"|"&amp;C14</f>
        <v>Moderate|mid</v>
      </c>
      <c r="B14" s="20" t="s">
        <v>281</v>
      </c>
      <c r="C14" s="20" t="s">
        <v>292</v>
      </c>
      <c r="D14" s="21" t="n">
        <f aca="false">Severity_Classes!$D$7</f>
        <v>0.18</v>
      </c>
      <c r="E14" s="22" t="n">
        <f aca="false">IF(Parameters!$P$4="logistic",Parameters!$Q$4*Parameters!$R$4*((1/(1+EXP(-($D14-Parameters!$T$4)/Parameters!$U$4)))-(1/(1+EXP(Parameters!$T$4/Parameters!$U$4))))/(1-(1/(1+EXP(Parameters!$T$4/Parameters!$U$4)))),Parameters!$Q$4*Parameters!$R$4*(1-EXP(-Parameters!$S$4*$D14))+IF(Parameters!$P$4="hump",Parameters!$V$4*($D14/Parameters!$W$4)*EXP(1-$D14/Parameters!$W$4),0))</f>
        <v>-0.0454899266319668</v>
      </c>
      <c r="F14" s="22" t="n">
        <f aca="false">IF(Parameters!$P$5="logistic",Parameters!$Q$5*Parameters!$R$5*((1/(1+EXP(-($D14-Parameters!$T$5)/Parameters!$U$5)))-(1/(1+EXP(Parameters!$T$5/Parameters!$U$5))))/(1-(1/(1+EXP(Parameters!$T$5/Parameters!$U$5)))),Parameters!$Q$5*Parameters!$R$5*(1-EXP(-Parameters!$S$5*$D14))+IF(Parameters!$P$5="hump",Parameters!$V$5*($D14/Parameters!$W$5)*EXP(1-$D14/Parameters!$W$5),0))</f>
        <v>-0.157139992394561</v>
      </c>
      <c r="G14" s="22" t="n">
        <f aca="false">IF(Parameters!$P$6="logistic",Parameters!$Q$6*Parameters!$R$6*((1/(1+EXP(-($D14-Parameters!$T$6)/Parameters!$U$6)))-(1/(1+EXP(Parameters!$T$6/Parameters!$U$6))))/(1-(1/(1+EXP(Parameters!$T$6/Parameters!$U$6)))),Parameters!$Q$6*Parameters!$R$6*(1-EXP(-Parameters!$S$6*$D14))+IF(Parameters!$P$6="hump",Parameters!$V$6*($D14/Parameters!$W$6)*EXP(1-$D14/Parameters!$W$6),0))</f>
        <v>-0.410296490417582</v>
      </c>
      <c r="H14" s="22" t="n">
        <f aca="false">IF(Parameters!$P$7="logistic",Parameters!$Q$7*Parameters!$R$7*((1/(1+EXP(-($D14-Parameters!$T$7)/Parameters!$U$7)))-(1/(1+EXP(Parameters!$T$7/Parameters!$U$7))))/(1-(1/(1+EXP(Parameters!$T$7/Parameters!$U$7)))),Parameters!$Q$7*Parameters!$R$7*(1-EXP(-Parameters!$S$7*$D14))+IF(Parameters!$P$7="hump",Parameters!$V$7*($D14/Parameters!$W$7)*EXP(1-$D14/Parameters!$W$7),0))</f>
        <v>-0.271213635956907</v>
      </c>
      <c r="I14" s="22" t="n">
        <f aca="false">IF(Parameters!$P$9="logistic",Parameters!$Q$9*Parameters!$R$9*((1/(1+EXP(-($D14-Parameters!$T$9)/Parameters!$U$9)))-(1/(1+EXP(Parameters!$T$9/Parameters!$U$9))))/(1-(1/(1+EXP(Parameters!$T$9/Parameters!$U$9)))),Parameters!$Q$9*Parameters!$R$9*(1-EXP(-Parameters!$S$9*$D14))+IF(Parameters!$P$9="hump",Parameters!$V$9*($D14/Parameters!$W$9)*EXP(1-$D14/Parameters!$W$9),0))</f>
        <v>0.153974323212008</v>
      </c>
      <c r="J14" s="22" t="n">
        <f aca="false">IF(Parameters!$P$10="logistic",Parameters!$Q$10*Parameters!$R$10*((1/(1+EXP(-($D14-Parameters!$T$10)/Parameters!$U$10)))-(1/(1+EXP(Parameters!$T$10/Parameters!$U$10))))/(1-(1/(1+EXP(Parameters!$T$10/Parameters!$U$10)))),Parameters!$Q$10*Parameters!$R$10*(1-EXP(-Parameters!$S$10*$D14))+IF(Parameters!$P$10="hump",Parameters!$V$10*($D14/Parameters!$W$10)*EXP(1-$D14/Parameters!$W$10),0))</f>
        <v>-0.163067331770202</v>
      </c>
      <c r="K14" s="22" t="n">
        <f aca="false">IF(Parameters!$P$11="logistic",Parameters!$Q$11*Parameters!$R$11*((1/(1+EXP(-($D14-Parameters!$T$11)/Parameters!$U$11)))-(1/(1+EXP(Parameters!$T$11/Parameters!$U$11))))/(1-(1/(1+EXP(Parameters!$T$11/Parameters!$U$11)))),Parameters!$Q$11*Parameters!$R$11*(1-EXP(-Parameters!$S$11*$D14))+IF(Parameters!$P$11="hump",Parameters!$V$11*($D14/Parameters!$W$11)*EXP(1-$D14/Parameters!$W$11),0))</f>
        <v>-0.284607410622065</v>
      </c>
      <c r="L14" s="22" t="n">
        <f aca="false">IF(Parameters!$P$12="logistic",Parameters!$Q$12*Parameters!$R$12*((1/(1+EXP(-($D14-Parameters!$T$12)/Parameters!$U$12)))-(1/(1+EXP(Parameters!$T$12/Parameters!$U$12))))/(1-(1/(1+EXP(Parameters!$T$12/Parameters!$U$12)))),Parameters!$Q$12*Parameters!$R$12*(1-EXP(-Parameters!$S$12*$D14))+IF(Parameters!$P$12="hump",Parameters!$V$12*($D14/Parameters!$W$12)*EXP(1-$D14/Parameters!$W$12),0))</f>
        <v>-0.229488461194306</v>
      </c>
      <c r="M14" s="22" t="n">
        <f aca="false">IF(Parameters!$P$13="logistic",Parameters!$Q$13*Parameters!$R$13*((1/(1+EXP(-($D14-Parameters!$T$13)/Parameters!$U$13)))-(1/(1+EXP(Parameters!$T$13/Parameters!$U$13))))/(1-(1/(1+EXP(Parameters!$T$13/Parameters!$U$13)))),Parameters!$Q$13*Parameters!$R$13*(1-EXP(-Parameters!$S$13*$D14))+IF(Parameters!$P$13="hump",Parameters!$V$13*($D14/Parameters!$W$13)*EXP(1-$D14/Parameters!$W$13),0))</f>
        <v>-0.0860214855093043</v>
      </c>
      <c r="N14" s="22" t="n">
        <f aca="false">IF(Parameters!$P$14="logistic",Parameters!$Q$14*Parameters!$R$14*((1/(1+EXP(-($D14-Parameters!$T$14)/Parameters!$U$14)))-(1/(1+EXP(Parameters!$T$14/Parameters!$U$14))))/(1-(1/(1+EXP(Parameters!$T$14/Parameters!$U$14)))),Parameters!$Q$14*Parameters!$R$14*(1-EXP(-Parameters!$S$14*$D14))+IF(Parameters!$P$14="hump",Parameters!$V$14*($D14/Parameters!$W$14)*EXP(1-$D14/Parameters!$W$14),0))</f>
        <v>0.250351048575606</v>
      </c>
      <c r="O14" s="22" t="n">
        <f aca="false">IF(Parameters!$P$15="logistic",Parameters!$Q$15*Parameters!$R$15*((1/(1+EXP(-($D14-Parameters!$T$15)/Parameters!$U$15)))-(1/(1+EXP(Parameters!$T$15/Parameters!$U$15))))/(1-(1/(1+EXP(Parameters!$T$15/Parameters!$U$15)))),Parameters!$Q$15*Parameters!$R$15*(1-EXP(-Parameters!$S$15*$D14))+IF(Parameters!$P$15="hump",Parameters!$V$15*($D14/Parameters!$W$15)*EXP(1-$D14/Parameters!$W$15),0))</f>
        <v>-0.0625877621439016</v>
      </c>
    </row>
    <row r="15" customFormat="false" ht="15" hidden="false" customHeight="false" outlineLevel="0" collapsed="false">
      <c r="A15" s="20" t="str">
        <f aca="false">B15&amp;"|"&amp;C15</f>
        <v>Moderate|high</v>
      </c>
      <c r="B15" s="20" t="s">
        <v>281</v>
      </c>
      <c r="C15" s="20" t="s">
        <v>293</v>
      </c>
      <c r="D15" s="21" t="n">
        <f aca="false">Severity_Classes!$E$7</f>
        <v>0.25</v>
      </c>
      <c r="E15" s="22" t="n">
        <f aca="false">IF(Parameters!$P$4="logistic",Parameters!$Q$4*Parameters!$R$4*((1/(1+EXP(-($D15-Parameters!$T$4)/Parameters!$U$4)))-(1/(1+EXP(Parameters!$T$4/Parameters!$U$4))))/(1-(1/(1+EXP(Parameters!$T$4/Parameters!$U$4)))),Parameters!$Q$4*Parameters!$R$4*(1-EXP(-Parameters!$S$4*$D15))+IF(Parameters!$P$4="hump",Parameters!$V$4*($D15/Parameters!$W$4)*EXP(1-$D15/Parameters!$W$4),0))</f>
        <v>-0.0795660638695924</v>
      </c>
      <c r="F15" s="22" t="n">
        <f aca="false">IF(Parameters!$P$5="logistic",Parameters!$Q$5*Parameters!$R$5*((1/(1+EXP(-($D15-Parameters!$T$5)/Parameters!$U$5)))-(1/(1+EXP(Parameters!$T$5/Parameters!$U$5))))/(1-(1/(1+EXP(Parameters!$T$5/Parameters!$U$5)))),Parameters!$Q$5*Parameters!$R$5*(1-EXP(-Parameters!$S$5*$D15))+IF(Parameters!$P$5="hump",Parameters!$V$5*($D15/Parameters!$W$5)*EXP(1-$D15/Parameters!$W$5),0))</f>
        <v>-0.273437918436505</v>
      </c>
      <c r="G15" s="22" t="n">
        <f aca="false">IF(Parameters!$P$6="logistic",Parameters!$Q$6*Parameters!$R$6*((1/(1+EXP(-($D15-Parameters!$T$6)/Parameters!$U$6)))-(1/(1+EXP(Parameters!$T$6/Parameters!$U$6))))/(1-(1/(1+EXP(Parameters!$T$6/Parameters!$U$6)))),Parameters!$Q$6*Parameters!$R$6*(1-EXP(-Parameters!$S$6*$D15))+IF(Parameters!$P$6="hump",Parameters!$V$6*($D15/Parameters!$W$6)*EXP(1-$D15/Parameters!$W$6),0))</f>
        <v>-0.50034668722644</v>
      </c>
      <c r="H15" s="22" t="n">
        <f aca="false">IF(Parameters!$P$7="logistic",Parameters!$Q$7*Parameters!$R$7*((1/(1+EXP(-($D15-Parameters!$T$7)/Parameters!$U$7)))-(1/(1+EXP(Parameters!$T$7/Parameters!$U$7))))/(1-(1/(1+EXP(Parameters!$T$7/Parameters!$U$7)))),Parameters!$Q$7*Parameters!$R$7*(1-EXP(-Parameters!$S$7*$D15))+IF(Parameters!$P$7="hump",Parameters!$V$7*($D15/Parameters!$W$7)*EXP(1-$D15/Parameters!$W$7),0))</f>
        <v>-0.34296174071834</v>
      </c>
      <c r="I15" s="22" t="n">
        <f aca="false">IF(Parameters!$P$9="logistic",Parameters!$Q$9*Parameters!$R$9*((1/(1+EXP(-($D15-Parameters!$T$9)/Parameters!$U$9)))-(1/(1+EXP(Parameters!$T$9/Parameters!$U$9))))/(1-(1/(1+EXP(Parameters!$T$9/Parameters!$U$9)))),Parameters!$Q$9*Parameters!$R$9*(1-EXP(-Parameters!$S$9*$D15))+IF(Parameters!$P$9="hump",Parameters!$V$9*($D15/Parameters!$W$9)*EXP(1-$D15/Parameters!$W$9),0))</f>
        <v>0.189636167648567</v>
      </c>
      <c r="J15" s="22" t="n">
        <f aca="false">IF(Parameters!$P$10="logistic",Parameters!$Q$10*Parameters!$R$10*((1/(1+EXP(-($D15-Parameters!$T$10)/Parameters!$U$10)))-(1/(1+EXP(Parameters!$T$10/Parameters!$U$10))))/(1-(1/(1+EXP(Parameters!$T$10/Parameters!$U$10)))),Parameters!$Q$10*Parameters!$R$10*(1-EXP(-Parameters!$S$10*$D15))+IF(Parameters!$P$10="hump",Parameters!$V$10*($D15/Parameters!$W$10)*EXP(1-$D15/Parameters!$W$10),0))</f>
        <v>-0.209132357166454</v>
      </c>
      <c r="K15" s="22" t="n">
        <f aca="false">IF(Parameters!$P$11="logistic",Parameters!$Q$11*Parameters!$R$11*((1/(1+EXP(-($D15-Parameters!$T$11)/Parameters!$U$11)))-(1/(1+EXP(Parameters!$T$11/Parameters!$U$11))))/(1-(1/(1+EXP(Parameters!$T$11/Parameters!$U$11)))),Parameters!$Q$11*Parameters!$R$11*(1-EXP(-Parameters!$S$11*$D15))+IF(Parameters!$P$11="hump",Parameters!$V$11*($D15/Parameters!$W$11)*EXP(1-$D15/Parameters!$W$11),0))</f>
        <v>-0.357936173323806</v>
      </c>
      <c r="L15" s="22" t="n">
        <f aca="false">IF(Parameters!$P$12="logistic",Parameters!$Q$12*Parameters!$R$12*((1/(1+EXP(-($D15-Parameters!$T$12)/Parameters!$U$12)))-(1/(1+EXP(Parameters!$T$12/Parameters!$U$12))))/(1-(1/(1+EXP(Parameters!$T$12/Parameters!$U$12)))),Parameters!$Q$12*Parameters!$R$12*(1-EXP(-Parameters!$S$12*$D15))+IF(Parameters!$P$12="hump",Parameters!$V$12*($D15/Parameters!$W$12)*EXP(1-$D15/Parameters!$W$12),0))</f>
        <v>-0.290198395992442</v>
      </c>
      <c r="M15" s="22" t="n">
        <f aca="false">IF(Parameters!$P$13="logistic",Parameters!$Q$13*Parameters!$R$13*((1/(1+EXP(-($D15-Parameters!$T$13)/Parameters!$U$13)))-(1/(1+EXP(Parameters!$T$13/Parameters!$U$13))))/(1-(1/(1+EXP(Parameters!$T$13/Parameters!$U$13)))),Parameters!$Q$13*Parameters!$R$13*(1-EXP(-Parameters!$S$13*$D15))+IF(Parameters!$P$13="hump",Parameters!$V$13*($D15/Parameters!$W$13)*EXP(1-$D15/Parameters!$W$13),0))</f>
        <v>-0.155270838866487</v>
      </c>
      <c r="N15" s="22" t="n">
        <f aca="false">IF(Parameters!$P$14="logistic",Parameters!$Q$14*Parameters!$R$14*((1/(1+EXP(-($D15-Parameters!$T$14)/Parameters!$U$14)))-(1/(1+EXP(Parameters!$T$14/Parameters!$U$14))))/(1-(1/(1+EXP(Parameters!$T$14/Parameters!$U$14)))),Parameters!$Q$14*Parameters!$R$14*(1-EXP(-Parameters!$S$14*$D15))+IF(Parameters!$P$14="hump",Parameters!$V$14*($D15/Parameters!$W$14)*EXP(1-$D15/Parameters!$W$14),0))</f>
        <v>0.316580068355391</v>
      </c>
      <c r="O15" s="22" t="n">
        <f aca="false">IF(Parameters!$P$15="logistic",Parameters!$Q$15*Parameters!$R$15*((1/(1+EXP(-($D15-Parameters!$T$15)/Parameters!$U$15)))-(1/(1+EXP(Parameters!$T$15/Parameters!$U$15))))/(1-(1/(1+EXP(Parameters!$T$15/Parameters!$U$15)))),Parameters!$Q$15*Parameters!$R$15*(1-EXP(-Parameters!$S$15*$D15))+IF(Parameters!$P$15="hump",Parameters!$V$15*($D15/Parameters!$W$15)*EXP(1-$D15/Parameters!$W$15),0))</f>
        <v>-0.0791450170888478</v>
      </c>
    </row>
    <row r="16" customFormat="false" ht="15" hidden="false" customHeight="false" outlineLevel="0" collapsed="false">
      <c r="A16" s="20" t="str">
        <f aca="false">B16&amp;"|"&amp;C16</f>
        <v>High|low</v>
      </c>
      <c r="B16" s="20" t="s">
        <v>283</v>
      </c>
      <c r="C16" s="20" t="s">
        <v>291</v>
      </c>
      <c r="D16" s="21" t="n">
        <f aca="false">Severity_Classes!$C$8</f>
        <v>0.26</v>
      </c>
      <c r="E16" s="22" t="n">
        <f aca="false">IF(Parameters!$P$4="logistic",Parameters!$Q$4*Parameters!$R$4*((1/(1+EXP(-($D16-Parameters!$T$4)/Parameters!$U$4)))-(1/(1+EXP(Parameters!$T$4/Parameters!$U$4))))/(1-(1/(1+EXP(Parameters!$T$4/Parameters!$U$4)))),Parameters!$Q$4*Parameters!$R$4*(1-EXP(-Parameters!$S$4*$D16))+IF(Parameters!$P$4="hump",Parameters!$V$4*($D16/Parameters!$W$4)*EXP(1-$D16/Parameters!$W$4),0))</f>
        <v>-0.0852205150421729</v>
      </c>
      <c r="F16" s="22" t="n">
        <f aca="false">IF(Parameters!$P$5="logistic",Parameters!$Q$5*Parameters!$R$5*((1/(1+EXP(-($D16-Parameters!$T$5)/Parameters!$U$5)))-(1/(1+EXP(Parameters!$T$5/Parameters!$U$5))))/(1-(1/(1+EXP(Parameters!$T$5/Parameters!$U$5)))),Parameters!$Q$5*Parameters!$R$5*(1-EXP(-Parameters!$S$5*$D16))+IF(Parameters!$P$5="hump",Parameters!$V$5*($D16/Parameters!$W$5)*EXP(1-$D16/Parameters!$W$5),0))</f>
        <v>-0.291711394014233</v>
      </c>
      <c r="G16" s="22" t="n">
        <f aca="false">IF(Parameters!$P$6="logistic",Parameters!$Q$6*Parameters!$R$6*((1/(1+EXP(-($D16-Parameters!$T$6)/Parameters!$U$6)))-(1/(1+EXP(Parameters!$T$6/Parameters!$U$6))))/(1-(1/(1+EXP(Parameters!$T$6/Parameters!$U$6)))),Parameters!$Q$6*Parameters!$R$6*(1-EXP(-Parameters!$S$6*$D16))+IF(Parameters!$P$6="hump",Parameters!$V$6*($D16/Parameters!$W$6)*EXP(1-$D16/Parameters!$W$6),0))</f>
        <v>-0.511093274345086</v>
      </c>
      <c r="H16" s="22" t="n">
        <f aca="false">IF(Parameters!$P$7="logistic",Parameters!$Q$7*Parameters!$R$7*((1/(1+EXP(-($D16-Parameters!$T$7)/Parameters!$U$7)))-(1/(1+EXP(Parameters!$T$7/Parameters!$U$7))))/(1-(1/(1+EXP(Parameters!$T$7/Parameters!$U$7)))),Parameters!$Q$7*Parameters!$R$7*(1-EXP(-Parameters!$S$7*$D16))+IF(Parameters!$P$7="hump",Parameters!$V$7*($D16/Parameters!$W$7)*EXP(1-$D16/Parameters!$W$7),0))</f>
        <v>-0.352036092651605</v>
      </c>
      <c r="I16" s="22" t="n">
        <f aca="false">IF(Parameters!$P$9="logistic",Parameters!$Q$9*Parameters!$R$9*((1/(1+EXP(-($D16-Parameters!$T$9)/Parameters!$U$9)))-(1/(1+EXP(Parameters!$T$9/Parameters!$U$9))))/(1-(1/(1+EXP(Parameters!$T$9/Parameters!$U$9)))),Parameters!$Q$9*Parameters!$R$9*(1-EXP(-Parameters!$S$9*$D16))+IF(Parameters!$P$9="hump",Parameters!$V$9*($D16/Parameters!$W$9)*EXP(1-$D16/Parameters!$W$9),0))</f>
        <v>0.193963595412366</v>
      </c>
      <c r="J16" s="22" t="n">
        <f aca="false">IF(Parameters!$P$10="logistic",Parameters!$Q$10*Parameters!$R$10*((1/(1+EXP(-($D16-Parameters!$T$10)/Parameters!$U$10)))-(1/(1+EXP(Parameters!$T$10/Parameters!$U$10))))/(1-(1/(1+EXP(Parameters!$T$10/Parameters!$U$10)))),Parameters!$Q$10*Parameters!$R$10*(1-EXP(-Parameters!$S$10*$D16))+IF(Parameters!$P$10="hump",Parameters!$V$10*($D16/Parameters!$W$10)*EXP(1-$D16/Parameters!$W$10),0))</f>
        <v>-0.215079400457543</v>
      </c>
      <c r="K16" s="22" t="n">
        <f aca="false">IF(Parameters!$P$11="logistic",Parameters!$Q$11*Parameters!$R$11*((1/(1+EXP(-($D16-Parameters!$T$11)/Parameters!$U$11)))-(1/(1+EXP(Parameters!$T$11/Parameters!$U$11))))/(1-(1/(1+EXP(Parameters!$T$11/Parameters!$U$11)))),Parameters!$Q$11*Parameters!$R$11*(1-EXP(-Parameters!$S$11*$D16))+IF(Parameters!$P$11="hump",Parameters!$V$11*($D16/Parameters!$W$11)*EXP(1-$D16/Parameters!$W$11),0))</f>
        <v>-0.367134261476868</v>
      </c>
      <c r="L16" s="22" t="n">
        <f aca="false">IF(Parameters!$P$12="logistic",Parameters!$Q$12*Parameters!$R$12*((1/(1+EXP(-($D16-Parameters!$T$12)/Parameters!$U$12)))-(1/(1+EXP(Parameters!$T$12/Parameters!$U$12))))/(1-(1/(1+EXP(Parameters!$T$12/Parameters!$U$12)))),Parameters!$Q$12*Parameters!$R$12*(1-EXP(-Parameters!$S$12*$D16))+IF(Parameters!$P$12="hump",Parameters!$V$12*($D16/Parameters!$W$12)*EXP(1-$D16/Parameters!$W$12),0))</f>
        <v>-0.297876693782127</v>
      </c>
      <c r="M16" s="22" t="n">
        <f aca="false">IF(Parameters!$P$13="logistic",Parameters!$Q$13*Parameters!$R$13*((1/(1+EXP(-($D16-Parameters!$T$13)/Parameters!$U$13)))-(1/(1+EXP(Parameters!$T$13/Parameters!$U$13))))/(1-(1/(1+EXP(Parameters!$T$13/Parameters!$U$13)))),Parameters!$Q$13*Parameters!$R$13*(1-EXP(-Parameters!$S$13*$D16))+IF(Parameters!$P$13="hump",Parameters!$V$13*($D16/Parameters!$W$13)*EXP(1-$D16/Parameters!$W$13),0))</f>
        <v>-0.1641445007993</v>
      </c>
      <c r="N16" s="22" t="n">
        <f aca="false">IF(Parameters!$P$14="logistic",Parameters!$Q$14*Parameters!$R$14*((1/(1+EXP(-($D16-Parameters!$T$14)/Parameters!$U$14)))-(1/(1+EXP(Parameters!$T$14/Parameters!$U$14))))/(1-(1/(1+EXP(Parameters!$T$14/Parameters!$U$14)))),Parameters!$Q$14*Parameters!$R$14*(1-EXP(-Parameters!$S$14*$D16))+IF(Parameters!$P$14="hump",Parameters!$V$14*($D16/Parameters!$W$14)*EXP(1-$D16/Parameters!$W$14),0))</f>
        <v>0.324956393216866</v>
      </c>
      <c r="O16" s="22" t="n">
        <f aca="false">IF(Parameters!$P$15="logistic",Parameters!$Q$15*Parameters!$R$15*((1/(1+EXP(-($D16-Parameters!$T$15)/Parameters!$U$15)))-(1/(1+EXP(Parameters!$T$15/Parameters!$U$15))))/(1-(1/(1+EXP(Parameters!$T$15/Parameters!$U$15)))),Parameters!$Q$15*Parameters!$R$15*(1-EXP(-Parameters!$S$15*$D16))+IF(Parameters!$P$15="hump",Parameters!$V$15*($D16/Parameters!$W$15)*EXP(1-$D16/Parameters!$W$15),0))</f>
        <v>-0.0812390983042165</v>
      </c>
    </row>
    <row r="17" customFormat="false" ht="15" hidden="false" customHeight="false" outlineLevel="0" collapsed="false">
      <c r="A17" s="20" t="str">
        <f aca="false">B17&amp;"|"&amp;C17</f>
        <v>High|mid</v>
      </c>
      <c r="B17" s="20" t="s">
        <v>283</v>
      </c>
      <c r="C17" s="20" t="s">
        <v>292</v>
      </c>
      <c r="D17" s="21" t="n">
        <f aca="false">Severity_Classes!$D$8</f>
        <v>0.38</v>
      </c>
      <c r="E17" s="22" t="n">
        <f aca="false">IF(Parameters!$P$4="logistic",Parameters!$Q$4*Parameters!$R$4*((1/(1+EXP(-($D17-Parameters!$T$4)/Parameters!$U$4)))-(1/(1+EXP(Parameters!$T$4/Parameters!$U$4))))/(1-(1/(1+EXP(Parameters!$T$4/Parameters!$U$4)))),Parameters!$Q$4*Parameters!$R$4*(1-EXP(-Parameters!$S$4*$D17))+IF(Parameters!$P$4="hump",Parameters!$V$4*($D17/Parameters!$W$4)*EXP(1-$D17/Parameters!$W$4),0))</f>
        <v>-0.161545266722362</v>
      </c>
      <c r="F17" s="22" t="n">
        <f aca="false">IF(Parameters!$P$5="logistic",Parameters!$Q$5*Parameters!$R$5*((1/(1+EXP(-($D17-Parameters!$T$5)/Parameters!$U$5)))-(1/(1+EXP(Parameters!$T$5/Parameters!$U$5))))/(1-(1/(1+EXP(Parameters!$T$5/Parameters!$U$5)))),Parameters!$Q$5*Parameters!$R$5*(1-EXP(-Parameters!$S$5*$D17))+IF(Parameters!$P$5="hump",Parameters!$V$5*($D17/Parameters!$W$5)*EXP(1-$D17/Parameters!$W$5),0))</f>
        <v>-0.500292963767786</v>
      </c>
      <c r="G17" s="22" t="n">
        <f aca="false">IF(Parameters!$P$6="logistic",Parameters!$Q$6*Parameters!$R$6*((1/(1+EXP(-($D17-Parameters!$T$6)/Parameters!$U$6)))-(1/(1+EXP(Parameters!$T$6/Parameters!$U$6))))/(1-(1/(1+EXP(Parameters!$T$6/Parameters!$U$6)))),Parameters!$Q$6*Parameters!$R$6*(1-EXP(-Parameters!$S$6*$D17))+IF(Parameters!$P$6="hump",Parameters!$V$6*($D17/Parameters!$W$6)*EXP(1-$D17/Parameters!$W$6),0))</f>
        <v>-0.609096789186953</v>
      </c>
      <c r="H17" s="22" t="n">
        <f aca="false">IF(Parameters!$P$7="logistic",Parameters!$Q$7*Parameters!$R$7*((1/(1+EXP(-($D17-Parameters!$T$7)/Parameters!$U$7)))-(1/(1+EXP(Parameters!$T$7/Parameters!$U$7))))/(1-(1/(1+EXP(Parameters!$T$7/Parameters!$U$7)))),Parameters!$Q$7*Parameters!$R$7*(1-EXP(-Parameters!$S$7*$D17))+IF(Parameters!$P$7="hump",Parameters!$V$7*($D17/Parameters!$W$7)*EXP(1-$D17/Parameters!$W$7),0))</f>
        <v>-0.442117635819403</v>
      </c>
      <c r="I17" s="22" t="n">
        <f aca="false">IF(Parameters!$P$9="logistic",Parameters!$Q$9*Parameters!$R$9*((1/(1+EXP(-($D17-Parameters!$T$9)/Parameters!$U$9)))-(1/(1+EXP(Parameters!$T$9/Parameters!$U$9))))/(1-(1/(1+EXP(Parameters!$T$9/Parameters!$U$9)))),Parameters!$Q$9*Parameters!$R$9*(1-EXP(-Parameters!$S$9*$D17))+IF(Parameters!$P$9="hump",Parameters!$V$9*($D17/Parameters!$W$9)*EXP(1-$D17/Parameters!$W$9),0))</f>
        <v>0.234386433914336</v>
      </c>
      <c r="J17" s="22" t="n">
        <f aca="false">IF(Parameters!$P$10="logistic",Parameters!$Q$10*Parameters!$R$10*((1/(1+EXP(-($D17-Parameters!$T$10)/Parameters!$U$10)))-(1/(1+EXP(Parameters!$T$10/Parameters!$U$10))))/(1-(1/(1+EXP(Parameters!$T$10/Parameters!$U$10)))),Parameters!$Q$10*Parameters!$R$10*(1-EXP(-Parameters!$S$10*$D17))+IF(Parameters!$P$10="hump",Parameters!$V$10*($D17/Parameters!$W$10)*EXP(1-$D17/Parameters!$W$10),0))</f>
        <v>-0.275966539445474</v>
      </c>
      <c r="K17" s="22" t="n">
        <f aca="false">IF(Parameters!$P$11="logistic",Parameters!$Q$11*Parameters!$R$11*((1/(1+EXP(-($D17-Parameters!$T$11)/Parameters!$U$11)))-(1/(1+EXP(Parameters!$T$11/Parameters!$U$11))))/(1-(1/(1+EXP(Parameters!$T$11/Parameters!$U$11)))),Parameters!$Q$11*Parameters!$R$11*(1-EXP(-Parameters!$S$11*$D17))+IF(Parameters!$P$11="hump",Parameters!$V$11*($D17/Parameters!$W$11)*EXP(1-$D17/Parameters!$W$11),0))</f>
        <v>-0.457331255819543</v>
      </c>
      <c r="L17" s="22" t="n">
        <f aca="false">IF(Parameters!$P$12="logistic",Parameters!$Q$12*Parameters!$R$12*((1/(1+EXP(-($D17-Parameters!$T$12)/Parameters!$U$12)))-(1/(1+EXP(Parameters!$T$12/Parameters!$U$12))))/(1-(1/(1+EXP(Parameters!$T$12/Parameters!$U$12)))),Parameters!$Q$12*Parameters!$R$12*(1-EXP(-Parameters!$S$12*$D17))+IF(Parameters!$P$12="hump",Parameters!$V$12*($D17/Parameters!$W$12)*EXP(1-$D17/Parameters!$W$12),0))</f>
        <v>-0.374099538001033</v>
      </c>
      <c r="M17" s="22" t="n">
        <f aca="false">IF(Parameters!$P$13="logistic",Parameters!$Q$13*Parameters!$R$13*((1/(1+EXP(-($D17-Parameters!$T$13)/Parameters!$U$13)))-(1/(1+EXP(Parameters!$T$13/Parameters!$U$13))))/(1-(1/(1+EXP(Parameters!$T$13/Parameters!$U$13)))),Parameters!$Q$13*Parameters!$R$13*(1-EXP(-Parameters!$S$13*$D17))+IF(Parameters!$P$13="hump",Parameters!$V$13*($D17/Parameters!$W$13)*EXP(1-$D17/Parameters!$W$13),0))</f>
        <v>-0.248964567475896</v>
      </c>
      <c r="N17" s="22" t="n">
        <f aca="false">IF(Parameters!$P$14="logistic",Parameters!$Q$14*Parameters!$R$14*((1/(1+EXP(-($D17-Parameters!$T$14)/Parameters!$U$14)))-(1/(1+EXP(Parameters!$T$14/Parameters!$U$14))))/(1-(1/(1+EXP(Parameters!$T$14/Parameters!$U$14)))),Parameters!$Q$14*Parameters!$R$14*(1-EXP(-Parameters!$S$14*$D17))+IF(Parameters!$P$14="hump",Parameters!$V$14*($D17/Parameters!$W$14)*EXP(1-$D17/Parameters!$W$14),0))</f>
        <v>0.408108586910218</v>
      </c>
      <c r="O17" s="22" t="n">
        <f aca="false">IF(Parameters!$P$15="logistic",Parameters!$Q$15*Parameters!$R$15*((1/(1+EXP(-($D17-Parameters!$T$15)/Parameters!$U$15)))-(1/(1+EXP(Parameters!$T$15/Parameters!$U$15))))/(1-(1/(1+EXP(Parameters!$T$15/Parameters!$U$15)))),Parameters!$Q$15*Parameters!$R$15*(1-EXP(-Parameters!$S$15*$D17))+IF(Parameters!$P$15="hump",Parameters!$V$15*($D17/Parameters!$W$15)*EXP(1-$D17/Parameters!$W$15),0))</f>
        <v>-0.102027146727554</v>
      </c>
    </row>
    <row r="18" customFormat="false" ht="15" hidden="false" customHeight="false" outlineLevel="0" collapsed="false">
      <c r="A18" s="20" t="str">
        <f aca="false">B18&amp;"|"&amp;C18</f>
        <v>High|high</v>
      </c>
      <c r="B18" s="20" t="s">
        <v>283</v>
      </c>
      <c r="C18" s="20" t="s">
        <v>293</v>
      </c>
      <c r="D18" s="21" t="n">
        <f aca="false">Severity_Classes!$E$8</f>
        <v>0.5</v>
      </c>
      <c r="E18" s="22" t="n">
        <f aca="false">IF(Parameters!$P$4="logistic",Parameters!$Q$4*Parameters!$R$4*((1/(1+EXP(-($D18-Parameters!$T$4)/Parameters!$U$4)))-(1/(1+EXP(Parameters!$T$4/Parameters!$U$4))))/(1-(1/(1+EXP(Parameters!$T$4/Parameters!$U$4)))),Parameters!$Q$4*Parameters!$R$4*(1-EXP(-Parameters!$S$4*$D18))+IF(Parameters!$P$4="hump",Parameters!$V$4*($D18/Parameters!$W$4)*EXP(1-$D18/Parameters!$W$4),0))</f>
        <v>-0.229574615377353</v>
      </c>
      <c r="F18" s="22" t="n">
        <f aca="false">IF(Parameters!$P$5="logistic",Parameters!$Q$5*Parameters!$R$5*((1/(1+EXP(-($D18-Parameters!$T$5)/Parameters!$U$5)))-(1/(1+EXP(Parameters!$T$5/Parameters!$U$5))))/(1-(1/(1+EXP(Parameters!$T$5/Parameters!$U$5)))),Parameters!$Q$5*Parameters!$R$5*(1-EXP(-Parameters!$S$5*$D18))+IF(Parameters!$P$5="hump",Parameters!$V$5*($D18/Parameters!$W$5)*EXP(1-$D18/Parameters!$W$5),0))</f>
        <v>-0.625928574173035</v>
      </c>
      <c r="G18" s="22" t="n">
        <f aca="false">IF(Parameters!$P$6="logistic",Parameters!$Q$6*Parameters!$R$6*((1/(1+EXP(-($D18-Parameters!$T$6)/Parameters!$U$6)))-(1/(1+EXP(Parameters!$T$6/Parameters!$U$6))))/(1-(1/(1+EXP(Parameters!$T$6/Parameters!$U$6)))),Parameters!$Q$6*Parameters!$R$6*(1-EXP(-Parameters!$S$6*$D18))+IF(Parameters!$P$6="hump",Parameters!$V$6*($D18/Parameters!$W$6)*EXP(1-$D18/Parameters!$W$6),0))</f>
        <v>-0.66689763122825</v>
      </c>
      <c r="H18" s="22" t="n">
        <f aca="false">IF(Parameters!$P$7="logistic",Parameters!$Q$7*Parameters!$R$7*((1/(1+EXP(-($D18-Parameters!$T$7)/Parameters!$U$7)))-(1/(1+EXP(Parameters!$T$7/Parameters!$U$7))))/(1-(1/(1+EXP(Parameters!$T$7/Parameters!$U$7)))),Parameters!$Q$7*Parameters!$R$7*(1-EXP(-Parameters!$S$7*$D18))+IF(Parameters!$P$7="hump",Parameters!$V$7*($D18/Parameters!$W$7)*EXP(1-$D18/Parameters!$W$7),0))</f>
        <v>-0.504965395903521</v>
      </c>
      <c r="I18" s="22" t="n">
        <f aca="false">IF(Parameters!$P$9="logistic",Parameters!$Q$9*Parameters!$R$9*((1/(1+EXP(-($D18-Parameters!$T$9)/Parameters!$U$9)))-(1/(1+EXP(Parameters!$T$9/Parameters!$U$9))))/(1-(1/(1+EXP(Parameters!$T$9/Parameters!$U$9)))),Parameters!$Q$9*Parameters!$R$9*(1-EXP(-Parameters!$S$9*$D18))+IF(Parameters!$P$9="hump",Parameters!$V$9*($D18/Parameters!$W$9)*EXP(1-$D18/Parameters!$W$9),0))</f>
        <v>0.259399415029016</v>
      </c>
      <c r="J18" s="22" t="n">
        <f aca="false">IF(Parameters!$P$10="logistic",Parameters!$Q$10*Parameters!$R$10*((1/(1+EXP(-($D18-Parameters!$T$10)/Parameters!$U$10)))-(1/(1+EXP(Parameters!$T$10/Parameters!$U$10))))/(1-(1/(1+EXP(Parameters!$T$10/Parameters!$U$10)))),Parameters!$Q$10*Parameters!$R$10*(1-EXP(-Parameters!$S$10*$D18))+IF(Parameters!$P$10="hump",Parameters!$V$10*($D18/Parameters!$W$10)*EXP(1-$D18/Parameters!$W$10),0))</f>
        <v>-0.321072841412914</v>
      </c>
      <c r="K18" s="22" t="n">
        <f aca="false">IF(Parameters!$P$11="logistic",Parameters!$Q$11*Parameters!$R$11*((1/(1+EXP(-($D18-Parameters!$T$11)/Parameters!$U$11)))-(1/(1+EXP(Parameters!$T$11/Parameters!$U$11))))/(1-(1/(1+EXP(Parameters!$T$11/Parameters!$U$11)))),Parameters!$Q$11*Parameters!$R$11*(1-EXP(-Parameters!$S$11*$D18))+IF(Parameters!$P$11="hump",Parameters!$V$11*($D18/Parameters!$W$11)*EXP(1-$D18/Parameters!$W$11),0))</f>
        <v>-0.518767263303474</v>
      </c>
      <c r="L18" s="22" t="n">
        <f aca="false">IF(Parameters!$P$12="logistic",Parameters!$Q$12*Parameters!$R$12*((1/(1+EXP(-($D18-Parameters!$T$12)/Parameters!$U$12)))-(1/(1+EXP(Parameters!$T$12/Parameters!$U$12))))/(1-(1/(1+EXP(Parameters!$T$12/Parameters!$U$12)))),Parameters!$Q$12*Parameters!$R$12*(1-EXP(-Parameters!$S$12*$D18))+IF(Parameters!$P$12="hump",Parameters!$V$12*($D18/Parameters!$W$12)*EXP(1-$D18/Parameters!$W$12),0))</f>
        <v>-0.427278411918364</v>
      </c>
      <c r="M18" s="22" t="n">
        <f aca="false">IF(Parameters!$P$13="logistic",Parameters!$Q$13*Parameters!$R$13*((1/(1+EXP(-($D18-Parameters!$T$13)/Parameters!$U$13)))-(1/(1+EXP(Parameters!$T$13/Parameters!$U$13))))/(1-(1/(1+EXP(Parameters!$T$13/Parameters!$U$13)))),Parameters!$Q$13*Parameters!$R$13*(1-EXP(-Parameters!$S$13*$D18))+IF(Parameters!$P$13="hump",Parameters!$V$13*($D18/Parameters!$W$13)*EXP(1-$D18/Parameters!$W$13),0))</f>
        <v>-0.301590116496261</v>
      </c>
      <c r="N18" s="22" t="n">
        <f aca="false">IF(Parameters!$P$14="logistic",Parameters!$Q$14*Parameters!$R$14*((1/(1+EXP(-($D18-Parameters!$T$14)/Parameters!$U$14)))-(1/(1+EXP(Parameters!$T$14/Parameters!$U$14))))/(1-(1/(1+EXP(Parameters!$T$14/Parameters!$U$14)))),Parameters!$Q$14*Parameters!$R$14*(1-EXP(-Parameters!$S$14*$D18))+IF(Parameters!$P$14="hump",Parameters!$V$14*($D18/Parameters!$W$14)*EXP(1-$D18/Parameters!$W$14),0))</f>
        <v>0.466121903910942</v>
      </c>
      <c r="O18" s="22" t="n">
        <f aca="false">IF(Parameters!$P$15="logistic",Parameters!$Q$15*Parameters!$R$15*((1/(1+EXP(-($D18-Parameters!$T$15)/Parameters!$U$15)))-(1/(1+EXP(Parameters!$T$15/Parameters!$U$15))))/(1-(1/(1+EXP(Parameters!$T$15/Parameters!$U$15)))),Parameters!$Q$15*Parameters!$R$15*(1-EXP(-Parameters!$S$15*$D18))+IF(Parameters!$P$15="hump",Parameters!$V$15*($D18/Parameters!$W$15)*EXP(1-$D18/Parameters!$W$15),0))</f>
        <v>-0.116530475977736</v>
      </c>
    </row>
    <row r="19" customFormat="false" ht="15" hidden="false" customHeight="false" outlineLevel="0" collapsed="false">
      <c r="A19" s="20" t="str">
        <f aca="false">B19&amp;"|"&amp;C19</f>
        <v>Very high|low</v>
      </c>
      <c r="B19" s="20" t="s">
        <v>285</v>
      </c>
      <c r="C19" s="20" t="s">
        <v>291</v>
      </c>
      <c r="D19" s="21" t="n">
        <f aca="false">Severity_Classes!$C$9</f>
        <v>0.51</v>
      </c>
      <c r="E19" s="22" t="n">
        <f aca="false">IF(Parameters!$P$4="logistic",Parameters!$Q$4*Parameters!$R$4*((1/(1+EXP(-($D19-Parameters!$T$4)/Parameters!$U$4)))-(1/(1+EXP(Parameters!$T$4/Parameters!$U$4))))/(1-(1/(1+EXP(Parameters!$T$4/Parameters!$U$4)))),Parameters!$Q$4*Parameters!$R$4*(1-EXP(-Parameters!$S$4*$D19))+IF(Parameters!$P$4="hump",Parameters!$V$4*($D19/Parameters!$W$4)*EXP(1-$D19/Parameters!$W$4),0))</f>
        <v>-0.234030863878244</v>
      </c>
      <c r="F19" s="22" t="n">
        <f aca="false">IF(Parameters!$P$5="logistic",Parameters!$Q$5*Parameters!$R$5*((1/(1+EXP(-($D19-Parameters!$T$5)/Parameters!$U$5)))-(1/(1+EXP(Parameters!$T$5/Parameters!$U$5))))/(1-(1/(1+EXP(Parameters!$T$5/Parameters!$U$5)))),Parameters!$Q$5*Parameters!$R$5*(1-EXP(-Parameters!$S$5*$D19))+IF(Parameters!$P$5="hump",Parameters!$V$5*($D19/Parameters!$W$5)*EXP(1-$D19/Parameters!$W$5),0))</f>
        <v>-0.632335092213465</v>
      </c>
      <c r="G19" s="22" t="n">
        <f aca="false">IF(Parameters!$P$6="logistic",Parameters!$Q$6*Parameters!$R$6*((1/(1+EXP(-($D19-Parameters!$T$6)/Parameters!$U$6)))-(1/(1+EXP(Parameters!$T$6/Parameters!$U$6))))/(1-(1/(1+EXP(Parameters!$T$6/Parameters!$U$6)))),Parameters!$Q$6*Parameters!$R$6*(1-EXP(-Parameters!$S$6*$D19))+IF(Parameters!$P$6="hump",Parameters!$V$6*($D19/Parameters!$W$6)*EXP(1-$D19/Parameters!$W$6),0))</f>
        <v>-0.670474859328489</v>
      </c>
      <c r="H19" s="22" t="n">
        <f aca="false">IF(Parameters!$P$7="logistic",Parameters!$Q$7*Parameters!$R$7*((1/(1+EXP(-($D19-Parameters!$T$7)/Parameters!$U$7)))-(1/(1+EXP(Parameters!$T$7/Parameters!$U$7))))/(1-(1/(1+EXP(Parameters!$T$7/Parameters!$U$7)))),Parameters!$Q$7*Parameters!$R$7*(1-EXP(-Parameters!$S$7*$D19))+IF(Parameters!$P$7="hump",Parameters!$V$7*($D19/Parameters!$W$7)*EXP(1-$D19/Parameters!$W$7),0))</f>
        <v>-0.509251816244596</v>
      </c>
      <c r="I19" s="22" t="n">
        <f aca="false">IF(Parameters!$P$9="logistic",Parameters!$Q$9*Parameters!$R$9*((1/(1+EXP(-($D19-Parameters!$T$9)/Parameters!$U$9)))-(1/(1+EXP(Parameters!$T$9/Parameters!$U$9))))/(1-(1/(1+EXP(Parameters!$T$9/Parameters!$U$9)))),Parameters!$Q$9*Parameters!$R$9*(1-EXP(-Parameters!$S$9*$D19))+IF(Parameters!$P$9="hump",Parameters!$V$9*($D19/Parameters!$W$9)*EXP(1-$D19/Parameters!$W$9),0))</f>
        <v>0.260991386736472</v>
      </c>
      <c r="J19" s="22" t="n">
        <f aca="false">IF(Parameters!$P$10="logistic",Parameters!$Q$10*Parameters!$R$10*((1/(1+EXP(-($D19-Parameters!$T$10)/Parameters!$U$10)))-(1/(1+EXP(Parameters!$T$10/Parameters!$U$10))))/(1-(1/(1+EXP(Parameters!$T$10/Parameters!$U$10)))),Parameters!$Q$10*Parameters!$R$10*(1-EXP(-Parameters!$S$10*$D19))+IF(Parameters!$P$10="hump",Parameters!$V$10*($D19/Parameters!$W$10)*EXP(1-$D19/Parameters!$W$10),0))</f>
        <v>-0.324256064300367</v>
      </c>
      <c r="K19" s="22" t="n">
        <f aca="false">IF(Parameters!$P$11="logistic",Parameters!$Q$11*Parameters!$R$11*((1/(1+EXP(-($D19-Parameters!$T$11)/Parameters!$U$11)))-(1/(1+EXP(Parameters!$T$11/Parameters!$U$11))))/(1-(1/(1+EXP(Parameters!$T$11/Parameters!$U$11)))),Parameters!$Q$11*Parameters!$R$11*(1-EXP(-Parameters!$S$11*$D19))+IF(Parameters!$P$11="hump",Parameters!$V$11*($D19/Parameters!$W$11)*EXP(1-$D19/Parameters!$W$11),0))</f>
        <v>-0.522900230725148</v>
      </c>
      <c r="L19" s="22" t="n">
        <f aca="false">IF(Parameters!$P$12="logistic",Parameters!$Q$12*Parameters!$R$12*((1/(1+EXP(-($D19-Parameters!$T$12)/Parameters!$U$12)))-(1/(1+EXP(Parameters!$T$12/Parameters!$U$12))))/(1-(1/(1+EXP(Parameters!$T$12/Parameters!$U$12)))),Parameters!$Q$12*Parameters!$R$12*(1-EXP(-Parameters!$S$12*$D19))+IF(Parameters!$P$12="hump",Parameters!$V$12*($D19/Parameters!$W$12)*EXP(1-$D19/Parameters!$W$12),0))</f>
        <v>-0.430905382976196</v>
      </c>
      <c r="M19" s="22" t="n">
        <f aca="false">IF(Parameters!$P$13="logistic",Parameters!$Q$13*Parameters!$R$13*((1/(1+EXP(-($D19-Parameters!$T$13)/Parameters!$U$13)))-(1/(1+EXP(Parameters!$T$13/Parameters!$U$13))))/(1-(1/(1+EXP(Parameters!$T$13/Parameters!$U$13)))),Parameters!$Q$13*Parameters!$R$13*(1-EXP(-Parameters!$S$13*$D19))+IF(Parameters!$P$13="hump",Parameters!$V$13*($D19/Parameters!$W$13)*EXP(1-$D19/Parameters!$W$13),0))</f>
        <v>-0.304933668618699</v>
      </c>
      <c r="N19" s="22" t="n">
        <f aca="false">IF(Parameters!$P$14="logistic",Parameters!$Q$14*Parameters!$R$14*((1/(1+EXP(-($D19-Parameters!$T$14)/Parameters!$U$14)))-(1/(1+EXP(Parameters!$T$14/Parameters!$U$14))))/(1-(1/(1+EXP(Parameters!$T$14/Parameters!$U$14)))),Parameters!$Q$14*Parameters!$R$14*(1-EXP(-Parameters!$S$14*$D19))+IF(Parameters!$P$14="hump",Parameters!$V$14*($D19/Parameters!$W$14)*EXP(1-$D19/Parameters!$W$14),0))</f>
        <v>0.470078599610396</v>
      </c>
      <c r="O19" s="22" t="n">
        <f aca="false">IF(Parameters!$P$15="logistic",Parameters!$Q$15*Parameters!$R$15*((1/(1+EXP(-($D19-Parameters!$T$15)/Parameters!$U$15)))-(1/(1+EXP(Parameters!$T$15/Parameters!$U$15))))/(1-(1/(1+EXP(Parameters!$T$15/Parameters!$U$15)))),Parameters!$Q$15*Parameters!$R$15*(1-EXP(-Parameters!$S$15*$D19))+IF(Parameters!$P$15="hump",Parameters!$V$15*($D19/Parameters!$W$15)*EXP(1-$D19/Parameters!$W$15),0))</f>
        <v>-0.117519649902599</v>
      </c>
    </row>
    <row r="20" customFormat="false" ht="15" hidden="false" customHeight="false" outlineLevel="0" collapsed="false">
      <c r="A20" s="20" t="str">
        <f aca="false">B20&amp;"|"&amp;C20</f>
        <v>Very high|mid</v>
      </c>
      <c r="B20" s="20" t="s">
        <v>285</v>
      </c>
      <c r="C20" s="20" t="s">
        <v>292</v>
      </c>
      <c r="D20" s="21" t="n">
        <f aca="false">Severity_Classes!$D$9</f>
        <v>0.65</v>
      </c>
      <c r="E20" s="22" t="n">
        <f aca="false">IF(Parameters!$P$4="logistic",Parameters!$Q$4*Parameters!$R$4*((1/(1+EXP(-($D20-Parameters!$T$4)/Parameters!$U$4)))-(1/(1+EXP(Parameters!$T$4/Parameters!$U$4))))/(1-(1/(1+EXP(Parameters!$T$4/Parameters!$U$4)))),Parameters!$Q$4*Parameters!$R$4*(1-EXP(-Parameters!$S$4*$D20))+IF(Parameters!$P$4="hump",Parameters!$V$4*($D20/Parameters!$W$4)*EXP(1-$D20/Parameters!$W$4),0))</f>
        <v>-0.276011054447699</v>
      </c>
      <c r="F20" s="22" t="n">
        <f aca="false">IF(Parameters!$P$5="logistic",Parameters!$Q$5*Parameters!$R$5*((1/(1+EXP(-($D20-Parameters!$T$5)/Parameters!$U$5)))-(1/(1+EXP(Parameters!$T$5/Parameters!$U$5))))/(1-(1/(1+EXP(Parameters!$T$5/Parameters!$U$5)))),Parameters!$Q$5*Parameters!$R$5*(1-EXP(-Parameters!$S$5*$D20))+IF(Parameters!$P$5="hump",Parameters!$V$5*($D20/Parameters!$W$5)*EXP(1-$D20/Parameters!$W$5),0))</f>
        <v>-0.682084069029274</v>
      </c>
      <c r="G20" s="22" t="n">
        <f aca="false">IF(Parameters!$P$6="logistic",Parameters!$Q$6*Parameters!$R$6*((1/(1+EXP(-($D20-Parameters!$T$6)/Parameters!$U$6)))-(1/(1+EXP(Parameters!$T$6/Parameters!$U$6))))/(1-(1/(1+EXP(Parameters!$T$6/Parameters!$U$6)))),Parameters!$Q$6*Parameters!$R$6*(1-EXP(-Parameters!$S$6*$D20))+IF(Parameters!$P$6="hump",Parameters!$V$6*($D20/Parameters!$W$6)*EXP(1-$D20/Parameters!$W$6),0))</f>
        <v>-0.707048429800899</v>
      </c>
      <c r="H20" s="22" t="n">
        <f aca="false">IF(Parameters!$P$7="logistic",Parameters!$Q$7*Parameters!$R$7*((1/(1+EXP(-($D20-Parameters!$T$7)/Parameters!$U$7)))-(1/(1+EXP(Parameters!$T$7/Parameters!$U$7))))/(1-(1/(1+EXP(Parameters!$T$7/Parameters!$U$7)))),Parameters!$Q$7*Parameters!$R$7*(1-EXP(-Parameters!$S$7*$D20))+IF(Parameters!$P$7="hump",Parameters!$V$7*($D20/Parameters!$W$7)*EXP(1-$D20/Parameters!$W$7),0))</f>
        <v>-0.557521853468766</v>
      </c>
      <c r="I20" s="22" t="n">
        <f aca="false">IF(Parameters!$P$9="logistic",Parameters!$Q$9*Parameters!$R$9*((1/(1+EXP(-($D20-Parameters!$T$9)/Parameters!$U$9)))-(1/(1+EXP(Parameters!$T$9/Parameters!$U$9))))/(1-(1/(1+EXP(Parameters!$T$9/Parameters!$U$9)))),Parameters!$Q$9*Parameters!$R$9*(1-EXP(-Parameters!$S$9*$D20))+IF(Parameters!$P$9="hump",Parameters!$V$9*($D20/Parameters!$W$9)*EXP(1-$D20/Parameters!$W$9),0))</f>
        <v>0.2777179265357</v>
      </c>
      <c r="J20" s="22" t="n">
        <f aca="false">IF(Parameters!$P$10="logistic",Parameters!$Q$10*Parameters!$R$10*((1/(1+EXP(-($D20-Parameters!$T$10)/Parameters!$U$10)))-(1/(1+EXP(Parameters!$T$10/Parameters!$U$10))))/(1-(1/(1+EXP(Parameters!$T$10/Parameters!$U$10)))),Parameters!$Q$10*Parameters!$R$10*(1-EXP(-Parameters!$S$10*$D20))+IF(Parameters!$P$10="hump",Parameters!$V$10*($D20/Parameters!$W$10)*EXP(1-$D20/Parameters!$W$10),0))</f>
        <v>-0.361389746158113</v>
      </c>
      <c r="K20" s="22" t="n">
        <f aca="false">IF(Parameters!$P$11="logistic",Parameters!$Q$11*Parameters!$R$11*((1/(1+EXP(-($D20-Parameters!$T$11)/Parameters!$U$11)))-(1/(1+EXP(Parameters!$T$11/Parameters!$U$11))))/(1-(1/(1+EXP(Parameters!$T$11/Parameters!$U$11)))),Parameters!$Q$11*Parameters!$R$11*(1-EXP(-Parameters!$S$11*$D20))+IF(Parameters!$P$11="hump",Parameters!$V$11*($D20/Parameters!$W$11)*EXP(1-$D20/Parameters!$W$11),0))</f>
        <v>-0.568795362070921</v>
      </c>
      <c r="L20" s="22" t="n">
        <f aca="false">IF(Parameters!$P$12="logistic",Parameters!$Q$12*Parameters!$R$12*((1/(1+EXP(-($D20-Parameters!$T$12)/Parameters!$U$12)))-(1/(1+EXP(Parameters!$T$12/Parameters!$U$12))))/(1-(1/(1+EXP(Parameters!$T$12/Parameters!$U$12)))),Parameters!$Q$12*Parameters!$R$12*(1-EXP(-Parameters!$S$12*$D20))+IF(Parameters!$P$12="hump",Parameters!$V$12*($D20/Parameters!$W$12)*EXP(1-$D20/Parameters!$W$12),0))</f>
        <v>-0.471749260627418</v>
      </c>
      <c r="M20" s="22" t="n">
        <f aca="false">IF(Parameters!$P$13="logistic",Parameters!$Q$13*Parameters!$R$13*((1/(1+EXP(-($D20-Parameters!$T$13)/Parameters!$U$13)))-(1/(1+EXP(Parameters!$T$13/Parameters!$U$13))))/(1-(1/(1+EXP(Parameters!$T$13/Parameters!$U$13)))),Parameters!$Q$13*Parameters!$R$13*(1-EXP(-Parameters!$S$13*$D20))+IF(Parameters!$P$13="hump",Parameters!$V$13*($D20/Parameters!$W$13)*EXP(1-$D20/Parameters!$W$13),0))</f>
        <v>-0.340433969930393</v>
      </c>
      <c r="N20" s="22" t="n">
        <f aca="false">IF(Parameters!$P$14="logistic",Parameters!$Q$14*Parameters!$R$14*((1/(1+EXP(-($D20-Parameters!$T$14)/Parameters!$U$14)))-(1/(1+EXP(Parameters!$T$14/Parameters!$U$14))))/(1-(1/(1+EXP(Parameters!$T$14/Parameters!$U$14)))),Parameters!$Q$14*Parameters!$R$14*(1-EXP(-Parameters!$S$14*$D20))+IF(Parameters!$P$14="hump",Parameters!$V$14*($D20/Parameters!$W$14)*EXP(1-$D20/Parameters!$W$14),0))</f>
        <v>0.514635557048092</v>
      </c>
      <c r="O20" s="22" t="n">
        <f aca="false">IF(Parameters!$P$15="logistic",Parameters!$Q$15*Parameters!$R$15*((1/(1+EXP(-($D20-Parameters!$T$15)/Parameters!$U$15)))-(1/(1+EXP(Parameters!$T$15/Parameters!$U$15))))/(1-(1/(1+EXP(Parameters!$T$15/Parameters!$U$15)))),Parameters!$Q$15*Parameters!$R$15*(1-EXP(-Parameters!$S$15*$D20))+IF(Parameters!$P$15="hump",Parameters!$V$15*($D20/Parameters!$W$15)*EXP(1-$D20/Parameters!$W$15),0))</f>
        <v>-0.128658889262023</v>
      </c>
    </row>
    <row r="21" customFormat="false" ht="15" hidden="false" customHeight="false" outlineLevel="0" collapsed="false">
      <c r="A21" s="20" t="str">
        <f aca="false">B21&amp;"|"&amp;C21</f>
        <v>Very high|high</v>
      </c>
      <c r="B21" s="20" t="s">
        <v>285</v>
      </c>
      <c r="C21" s="20" t="s">
        <v>293</v>
      </c>
      <c r="D21" s="21" t="n">
        <f aca="false">Severity_Classes!$E$9</f>
        <v>0.85</v>
      </c>
      <c r="E21" s="22" t="n">
        <f aca="false">IF(Parameters!$P$4="logistic",Parameters!$Q$4*Parameters!$R$4*((1/(1+EXP(-($D21-Parameters!$T$4)/Parameters!$U$4)))-(1/(1+EXP(Parameters!$T$4/Parameters!$U$4))))/(1-(1/(1+EXP(Parameters!$T$4/Parameters!$U$4)))),Parameters!$Q$4*Parameters!$R$4*(1-EXP(-Parameters!$S$4*$D21))+IF(Parameters!$P$4="hump",Parameters!$V$4*($D21/Parameters!$W$4)*EXP(1-$D21/Parameters!$W$4),0))</f>
        <v>-0.295172004877097</v>
      </c>
      <c r="F21" s="22" t="n">
        <f aca="false">IF(Parameters!$P$5="logistic",Parameters!$Q$5*Parameters!$R$5*((1/(1+EXP(-($D21-Parameters!$T$5)/Parameters!$U$5)))-(1/(1+EXP(Parameters!$T$5/Parameters!$U$5))))/(1-(1/(1+EXP(Parameters!$T$5/Parameters!$U$5)))),Parameters!$Q$5*Parameters!$R$5*(1-EXP(-Parameters!$S$5*$D21))+IF(Parameters!$P$5="hump",Parameters!$V$5*($D21/Parameters!$W$5)*EXP(1-$D21/Parameters!$W$5),0))</f>
        <v>-0.697523681995966</v>
      </c>
      <c r="G21" s="22" t="n">
        <f aca="false">IF(Parameters!$P$6="logistic",Parameters!$Q$6*Parameters!$R$6*((1/(1+EXP(-($D21-Parameters!$T$6)/Parameters!$U$6)))-(1/(1+EXP(Parameters!$T$6/Parameters!$U$6))))/(1-(1/(1+EXP(Parameters!$T$6/Parameters!$U$6)))),Parameters!$Q$6*Parameters!$R$6*(1-EXP(-Parameters!$S$6*$D21))+IF(Parameters!$P$6="hump",Parameters!$V$6*($D21/Parameters!$W$6)*EXP(1-$D21/Parameters!$W$6),0))</f>
        <v>-0.732184422651521</v>
      </c>
      <c r="H21" s="22" t="n">
        <f aca="false">IF(Parameters!$P$7="logistic",Parameters!$Q$7*Parameters!$R$7*((1/(1+EXP(-($D21-Parameters!$T$7)/Parameters!$U$7)))-(1/(1+EXP(Parameters!$T$7/Parameters!$U$7))))/(1-(1/(1+EXP(Parameters!$T$7/Parameters!$U$7)))),Parameters!$Q$7*Parameters!$R$7*(1-EXP(-Parameters!$S$7*$D21))+IF(Parameters!$P$7="hump",Parameters!$V$7*($D21/Parameters!$W$7)*EXP(1-$D21/Parameters!$W$7),0))</f>
        <v>-0.599246917099251</v>
      </c>
      <c r="I21" s="22" t="n">
        <f aca="false">IF(Parameters!$P$9="logistic",Parameters!$Q$9*Parameters!$R$9*((1/(1+EXP(-($D21-Parameters!$T$9)/Parameters!$U$9)))-(1/(1+EXP(Parameters!$T$9/Parameters!$U$9))))/(1-(1/(1+EXP(Parameters!$T$9/Parameters!$U$9)))),Parameters!$Q$9*Parameters!$R$9*(1-EXP(-Parameters!$S$9*$D21))+IF(Parameters!$P$9="hump",Parameters!$V$9*($D21/Parameters!$W$9)*EXP(1-$D21/Parameters!$W$9),0))</f>
        <v>0.289988019011902</v>
      </c>
      <c r="J21" s="22" t="n">
        <f aca="false">IF(Parameters!$P$10="logistic",Parameters!$Q$10*Parameters!$R$10*((1/(1+EXP(-($D21-Parameters!$T$10)/Parameters!$U$10)))-(1/(1+EXP(Parameters!$T$10/Parameters!$U$10))))/(1-(1/(1+EXP(Parameters!$T$10/Parameters!$U$10)))),Parameters!$Q$10*Parameters!$R$10*(1-EXP(-Parameters!$S$10*$D21))+IF(Parameters!$P$10="hump",Parameters!$V$10*($D21/Parameters!$W$10)*EXP(1-$D21/Parameters!$W$10),0))</f>
        <v>-0.396255164279976</v>
      </c>
      <c r="K21" s="22" t="n">
        <f aca="false">IF(Parameters!$P$11="logistic",Parameters!$Q$11*Parameters!$R$11*((1/(1+EXP(-($D21-Parameters!$T$11)/Parameters!$U$11)))-(1/(1+EXP(Parameters!$T$11/Parameters!$U$11))))/(1-(1/(1+EXP(Parameters!$T$11/Parameters!$U$11)))),Parameters!$Q$11*Parameters!$R$11*(1-EXP(-Parameters!$S$11*$D21))+IF(Parameters!$P$11="hump",Parameters!$V$11*($D21/Parameters!$W$11)*EXP(1-$D21/Parameters!$W$11),0))</f>
        <v>-0.607181409622838</v>
      </c>
      <c r="L21" s="22" t="n">
        <f aca="false">IF(Parameters!$P$12="logistic",Parameters!$Q$12*Parameters!$R$12*((1/(1+EXP(-($D21-Parameters!$T$12)/Parameters!$U$12)))-(1/(1+EXP(Parameters!$T$12/Parameters!$U$12))))/(1-(1/(1+EXP(Parameters!$T$12/Parameters!$U$12)))),Parameters!$Q$12*Parameters!$R$12*(1-EXP(-Parameters!$S$12*$D21))+IF(Parameters!$P$12="hump",Parameters!$V$12*($D21/Parameters!$W$12)*EXP(1-$D21/Parameters!$W$12),0))</f>
        <v>-0.507055083699366</v>
      </c>
      <c r="M21" s="22" t="n">
        <f aca="false">IF(Parameters!$P$13="logistic",Parameters!$Q$13*Parameters!$R$13*((1/(1+EXP(-($D21-Parameters!$T$13)/Parameters!$U$13)))-(1/(1+EXP(Parameters!$T$13/Parameters!$U$13))))/(1-(1/(1+EXP(Parameters!$T$13/Parameters!$U$13)))),Parameters!$Q$13*Parameters!$R$13*(1-EXP(-Parameters!$S$13*$D21))+IF(Parameters!$P$13="hump",Parameters!$V$13*($D21/Parameters!$W$13)*EXP(1-$D21/Parameters!$W$13),0))</f>
        <v>-0.368297211884913</v>
      </c>
      <c r="N21" s="22" t="n">
        <f aca="false">IF(Parameters!$P$14="logistic",Parameters!$Q$14*Parameters!$R$14*((1/(1+EXP(-($D21-Parameters!$T$14)/Parameters!$U$14)))-(1/(1+EXP(Parameters!$T$14/Parameters!$U$14))))/(1-(1/(1+EXP(Parameters!$T$14/Parameters!$U$14)))),Parameters!$Q$14*Parameters!$R$14*(1-EXP(-Parameters!$S$14*$D21))+IF(Parameters!$P$14="hump",Parameters!$V$14*($D21/Parameters!$W$14)*EXP(1-$D21/Parameters!$W$14),0))</f>
        <v>0.553151000399308</v>
      </c>
      <c r="O21" s="22" t="n">
        <f aca="false">IF(Parameters!$P$15="logistic",Parameters!$Q$15*Parameters!$R$15*((1/(1+EXP(-($D21-Parameters!$T$15)/Parameters!$U$15)))-(1/(1+EXP(Parameters!$T$15/Parameters!$U$15))))/(1-(1/(1+EXP(Parameters!$T$15/Parameters!$U$15)))),Parameters!$Q$15*Parameters!$R$15*(1-EXP(-Parameters!$S$15*$D21))+IF(Parameters!$P$15="hump",Parameters!$V$15*($D21/Parameters!$W$15)*EXP(1-$D21/Parameters!$W$15),0))</f>
        <v>-0.138287750099827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23.85" hidden="false" customHeight="false" outlineLevel="0" collapsed="false">
      <c r="A1" s="6" t="s">
        <v>156</v>
      </c>
      <c r="B1" s="6" t="s">
        <v>294</v>
      </c>
      <c r="C1" s="6" t="s">
        <v>295</v>
      </c>
      <c r="D1" s="6" t="s">
        <v>296</v>
      </c>
      <c r="E1" s="6" t="s">
        <v>297</v>
      </c>
      <c r="F1" s="6" t="s">
        <v>298</v>
      </c>
      <c r="G1" s="6" t="s">
        <v>299</v>
      </c>
      <c r="H1" s="6" t="s">
        <v>300</v>
      </c>
      <c r="I1" s="6" t="s">
        <v>301</v>
      </c>
      <c r="J1" s="6" t="s">
        <v>302</v>
      </c>
      <c r="K1" s="6" t="s">
        <v>303</v>
      </c>
      <c r="L1" s="6" t="s">
        <v>304</v>
      </c>
    </row>
    <row r="2" customFormat="false" ht="15" hidden="false" customHeight="false" outlineLevel="0" collapsed="false">
      <c r="A2" s="23" t="n">
        <v>45961</v>
      </c>
      <c r="B2" s="24" t="n">
        <v>28.8</v>
      </c>
      <c r="C2" s="24" t="n">
        <v>20.2</v>
      </c>
      <c r="D2" s="24" t="n">
        <v>0</v>
      </c>
      <c r="E2" s="24" t="n">
        <v>94</v>
      </c>
      <c r="F2" s="24" t="n">
        <v>64</v>
      </c>
      <c r="G2" s="24" t="n">
        <v>0</v>
      </c>
      <c r="H2" s="25" t="n">
        <f aca="false">MAX(0,(B2+C2)/2-Inputs_General!$C$4)</f>
        <v>19.5</v>
      </c>
      <c r="I2" s="25" t="n">
        <f aca="false">(B2+C2)/2</f>
        <v>24.5</v>
      </c>
      <c r="J2" s="25" t="n">
        <f aca="false">(E2+F2)/2</f>
        <v>79</v>
      </c>
      <c r="K2" s="26" t="n">
        <f aca="false">IF(AND(F2&gt;40,E2&gt;97,B2&gt;=16,B2&lt;=24,J2&gt;72,I2&gt;10),1,0)</f>
        <v>0</v>
      </c>
      <c r="L2" s="26" t="n">
        <f aca="false">IF(AND(B2&gt;=20,B2&lt;=29,C2&gt;12,E2&gt;97,J2&gt;72),1,0)</f>
        <v>0</v>
      </c>
    </row>
    <row r="3" customFormat="false" ht="15" hidden="false" customHeight="false" outlineLevel="0" collapsed="false">
      <c r="A3" s="23" t="n">
        <v>45962</v>
      </c>
      <c r="B3" s="24" t="n">
        <v>30</v>
      </c>
      <c r="C3" s="24" t="n">
        <v>18.5</v>
      </c>
      <c r="D3" s="24" t="n">
        <v>0</v>
      </c>
      <c r="E3" s="24" t="n">
        <v>92</v>
      </c>
      <c r="F3" s="24" t="n">
        <v>63</v>
      </c>
      <c r="G3" s="24" t="n">
        <v>1.7</v>
      </c>
      <c r="H3" s="25" t="n">
        <f aca="false">MAX(0,(B3+C3)/2-Inputs_General!$C$4)</f>
        <v>19.25</v>
      </c>
      <c r="I3" s="25" t="n">
        <f aca="false">(B3+C3)/2</f>
        <v>24.25</v>
      </c>
      <c r="J3" s="25" t="n">
        <f aca="false">(E3+F3)/2</f>
        <v>77.5</v>
      </c>
      <c r="K3" s="26" t="n">
        <f aca="false">IF(AND(F3&gt;40,E3&gt;97,B3&gt;=16,B3&lt;=24,J3&gt;72,I3&gt;10),1,0)</f>
        <v>0</v>
      </c>
      <c r="L3" s="26" t="n">
        <f aca="false">IF(AND(B3&gt;=20,B3&lt;=29,C3&gt;12,E3&gt;97,J3&gt;72),1,0)</f>
        <v>0</v>
      </c>
    </row>
    <row r="4" customFormat="false" ht="15" hidden="false" customHeight="false" outlineLevel="0" collapsed="false">
      <c r="A4" s="23" t="n">
        <v>45963</v>
      </c>
      <c r="B4" s="24" t="n">
        <v>30.9</v>
      </c>
      <c r="C4" s="24" t="n">
        <v>17</v>
      </c>
      <c r="D4" s="24" t="n">
        <v>0</v>
      </c>
      <c r="E4" s="24" t="n">
        <v>94</v>
      </c>
      <c r="F4" s="24" t="n">
        <v>66</v>
      </c>
      <c r="G4" s="24" t="n">
        <v>0.6</v>
      </c>
      <c r="H4" s="25" t="n">
        <f aca="false">MAX(0,(B4+C4)/2-Inputs_General!$C$4)</f>
        <v>18.95</v>
      </c>
      <c r="I4" s="25" t="n">
        <f aca="false">(B4+C4)/2</f>
        <v>23.95</v>
      </c>
      <c r="J4" s="25" t="n">
        <f aca="false">(E4+F4)/2</f>
        <v>80</v>
      </c>
      <c r="K4" s="26" t="n">
        <f aca="false">IF(AND(F4&gt;40,E4&gt;97,B4&gt;=16,B4&lt;=24,J4&gt;72,I4&gt;10),1,0)</f>
        <v>0</v>
      </c>
      <c r="L4" s="26" t="n">
        <f aca="false">IF(AND(B4&gt;=20,B4&lt;=29,C4&gt;12,E4&gt;97,J4&gt;72),1,0)</f>
        <v>0</v>
      </c>
    </row>
    <row r="5" customFormat="false" ht="15" hidden="false" customHeight="false" outlineLevel="0" collapsed="false">
      <c r="A5" s="23" t="n">
        <v>45964</v>
      </c>
      <c r="B5" s="24" t="n">
        <v>29.6</v>
      </c>
      <c r="C5" s="24" t="n">
        <v>16.2</v>
      </c>
      <c r="D5" s="24" t="n">
        <v>0</v>
      </c>
      <c r="E5" s="24" t="n">
        <v>90</v>
      </c>
      <c r="F5" s="24" t="n">
        <v>47</v>
      </c>
      <c r="G5" s="24" t="n">
        <v>6.2</v>
      </c>
      <c r="H5" s="25" t="n">
        <f aca="false">MAX(0,(B5+C5)/2-Inputs_General!$C$4)</f>
        <v>17.9</v>
      </c>
      <c r="I5" s="25" t="n">
        <f aca="false">(B5+C5)/2</f>
        <v>22.9</v>
      </c>
      <c r="J5" s="25" t="n">
        <f aca="false">(E5+F5)/2</f>
        <v>68.5</v>
      </c>
      <c r="K5" s="26" t="n">
        <f aca="false">IF(AND(F5&gt;40,E5&gt;97,B5&gt;=16,B5&lt;=24,J5&gt;72,I5&gt;10),1,0)</f>
        <v>0</v>
      </c>
      <c r="L5" s="26" t="n">
        <f aca="false">IF(AND(B5&gt;=20,B5&lt;=29,C5&gt;12,E5&gt;97,J5&gt;72),1,0)</f>
        <v>0</v>
      </c>
    </row>
    <row r="6" customFormat="false" ht="15" hidden="false" customHeight="false" outlineLevel="0" collapsed="false">
      <c r="A6" s="23" t="n">
        <v>45965</v>
      </c>
      <c r="B6" s="24" t="n">
        <v>30.5</v>
      </c>
      <c r="C6" s="24" t="n">
        <v>15</v>
      </c>
      <c r="D6" s="24" t="n">
        <v>0</v>
      </c>
      <c r="E6" s="24" t="n">
        <v>88</v>
      </c>
      <c r="F6" s="24" t="n">
        <v>46</v>
      </c>
      <c r="G6" s="24" t="n">
        <v>6.9</v>
      </c>
      <c r="H6" s="25" t="n">
        <f aca="false">MAX(0,(B6+C6)/2-Inputs_General!$C$4)</f>
        <v>17.75</v>
      </c>
      <c r="I6" s="25" t="n">
        <f aca="false">(B6+C6)/2</f>
        <v>22.75</v>
      </c>
      <c r="J6" s="25" t="n">
        <f aca="false">(E6+F6)/2</f>
        <v>67</v>
      </c>
      <c r="K6" s="26" t="n">
        <f aca="false">IF(AND(F6&gt;40,E6&gt;97,B6&gt;=16,B6&lt;=24,J6&gt;72,I6&gt;10),1,0)</f>
        <v>0</v>
      </c>
      <c r="L6" s="26" t="n">
        <f aca="false">IF(AND(B6&gt;=20,B6&lt;=29,C6&gt;12,E6&gt;97,J6&gt;72),1,0)</f>
        <v>0</v>
      </c>
    </row>
    <row r="7" customFormat="false" ht="15" hidden="false" customHeight="false" outlineLevel="0" collapsed="false">
      <c r="A7" s="23" t="n">
        <v>45966</v>
      </c>
      <c r="B7" s="24" t="n">
        <v>31</v>
      </c>
      <c r="C7" s="24" t="n">
        <v>16.3</v>
      </c>
      <c r="D7" s="24" t="n">
        <v>0</v>
      </c>
      <c r="E7" s="24" t="n">
        <v>86</v>
      </c>
      <c r="F7" s="24" t="n">
        <v>44</v>
      </c>
      <c r="G7" s="24" t="n">
        <v>7.1</v>
      </c>
      <c r="H7" s="25" t="n">
        <f aca="false">MAX(0,(B7+C7)/2-Inputs_General!$C$4)</f>
        <v>18.65</v>
      </c>
      <c r="I7" s="25" t="n">
        <f aca="false">(B7+C7)/2</f>
        <v>23.65</v>
      </c>
      <c r="J7" s="25" t="n">
        <f aca="false">(E7+F7)/2</f>
        <v>65</v>
      </c>
      <c r="K7" s="26" t="n">
        <f aca="false">IF(AND(F7&gt;40,E7&gt;97,B7&gt;=16,B7&lt;=24,J7&gt;72,I7&gt;10),1,0)</f>
        <v>0</v>
      </c>
      <c r="L7" s="26" t="n">
        <f aca="false">IF(AND(B7&gt;=20,B7&lt;=29,C7&gt;12,E7&gt;97,J7&gt;72),1,0)</f>
        <v>0</v>
      </c>
    </row>
    <row r="8" customFormat="false" ht="15" hidden="false" customHeight="false" outlineLevel="0" collapsed="false">
      <c r="A8" s="23" t="n">
        <v>45967</v>
      </c>
      <c r="B8" s="24" t="n">
        <v>29</v>
      </c>
      <c r="C8" s="24" t="n">
        <v>13.5</v>
      </c>
      <c r="D8" s="24" t="n">
        <v>0</v>
      </c>
      <c r="E8" s="24" t="n">
        <v>83</v>
      </c>
      <c r="F8" s="24" t="n">
        <v>35</v>
      </c>
      <c r="G8" s="24" t="n">
        <v>7.5</v>
      </c>
      <c r="H8" s="25" t="n">
        <f aca="false">MAX(0,(B8+C8)/2-Inputs_General!$C$4)</f>
        <v>16.25</v>
      </c>
      <c r="I8" s="25" t="n">
        <f aca="false">(B8+C8)/2</f>
        <v>21.25</v>
      </c>
      <c r="J8" s="25" t="n">
        <f aca="false">(E8+F8)/2</f>
        <v>59</v>
      </c>
      <c r="K8" s="26" t="n">
        <f aca="false">IF(AND(F8&gt;40,E8&gt;97,B8&gt;=16,B8&lt;=24,J8&gt;72,I8&gt;10),1,0)</f>
        <v>0</v>
      </c>
      <c r="L8" s="26" t="n">
        <f aca="false">IF(AND(B8&gt;=20,B8&lt;=29,C8&gt;12,E8&gt;97,J8&gt;72),1,0)</f>
        <v>0</v>
      </c>
    </row>
    <row r="9" customFormat="false" ht="15" hidden="false" customHeight="false" outlineLevel="0" collapsed="false">
      <c r="A9" s="23" t="n">
        <v>45968</v>
      </c>
      <c r="B9" s="24" t="n">
        <v>26.4</v>
      </c>
      <c r="C9" s="24" t="n">
        <v>12.7</v>
      </c>
      <c r="D9" s="24" t="n">
        <v>0</v>
      </c>
      <c r="E9" s="24" t="n">
        <v>65</v>
      </c>
      <c r="F9" s="24" t="n">
        <v>32</v>
      </c>
      <c r="G9" s="24" t="n">
        <v>8.1</v>
      </c>
      <c r="H9" s="25" t="n">
        <f aca="false">MAX(0,(B9+C9)/2-Inputs_General!$C$4)</f>
        <v>14.55</v>
      </c>
      <c r="I9" s="25" t="n">
        <f aca="false">(B9+C9)/2</f>
        <v>19.55</v>
      </c>
      <c r="J9" s="25" t="n">
        <f aca="false">(E9+F9)/2</f>
        <v>48.5</v>
      </c>
      <c r="K9" s="26" t="n">
        <f aca="false">IF(AND(F9&gt;40,E9&gt;97,B9&gt;=16,B9&lt;=24,J9&gt;72,I9&gt;10),1,0)</f>
        <v>0</v>
      </c>
      <c r="L9" s="26" t="n">
        <f aca="false">IF(AND(B9&gt;=20,B9&lt;=29,C9&gt;12,E9&gt;97,J9&gt;72),1,0)</f>
        <v>0</v>
      </c>
    </row>
    <row r="10" customFormat="false" ht="15" hidden="false" customHeight="false" outlineLevel="0" collapsed="false">
      <c r="A10" s="23" t="n">
        <v>45969</v>
      </c>
      <c r="B10" s="24" t="n">
        <v>27.8</v>
      </c>
      <c r="C10" s="24" t="n">
        <v>10</v>
      </c>
      <c r="D10" s="24" t="n">
        <v>0</v>
      </c>
      <c r="E10" s="24" t="n">
        <v>84</v>
      </c>
      <c r="F10" s="24" t="n">
        <v>37</v>
      </c>
      <c r="G10" s="24" t="n">
        <v>8.4</v>
      </c>
      <c r="H10" s="25" t="n">
        <f aca="false">MAX(0,(B10+C10)/2-Inputs_General!$C$4)</f>
        <v>13.9</v>
      </c>
      <c r="I10" s="25" t="n">
        <f aca="false">(B10+C10)/2</f>
        <v>18.9</v>
      </c>
      <c r="J10" s="25" t="n">
        <f aca="false">(E10+F10)/2</f>
        <v>60.5</v>
      </c>
      <c r="K10" s="26" t="n">
        <f aca="false">IF(AND(F10&gt;40,E10&gt;97,B10&gt;=16,B10&lt;=24,J10&gt;72,I10&gt;10),1,0)</f>
        <v>0</v>
      </c>
      <c r="L10" s="26" t="n">
        <f aca="false">IF(AND(B10&gt;=20,B10&lt;=29,C10&gt;12,E10&gt;97,J10&gt;72),1,0)</f>
        <v>0</v>
      </c>
    </row>
    <row r="11" customFormat="false" ht="15" hidden="false" customHeight="false" outlineLevel="0" collapsed="false">
      <c r="A11" s="23" t="n">
        <v>45970</v>
      </c>
      <c r="B11" s="24" t="n">
        <v>26.6</v>
      </c>
      <c r="C11" s="24" t="n">
        <v>9.2</v>
      </c>
      <c r="D11" s="24" t="n">
        <v>0</v>
      </c>
      <c r="E11" s="24" t="n">
        <v>84</v>
      </c>
      <c r="F11" s="24" t="n">
        <v>30</v>
      </c>
      <c r="G11" s="24" t="n">
        <v>6.5</v>
      </c>
      <c r="H11" s="25" t="n">
        <f aca="false">MAX(0,(B11+C11)/2-Inputs_General!$C$4)</f>
        <v>12.9</v>
      </c>
      <c r="I11" s="25" t="n">
        <f aca="false">(B11+C11)/2</f>
        <v>17.9</v>
      </c>
      <c r="J11" s="25" t="n">
        <f aca="false">(E11+F11)/2</f>
        <v>57</v>
      </c>
      <c r="K11" s="26" t="n">
        <f aca="false">IF(AND(F11&gt;40,E11&gt;97,B11&gt;=16,B11&lt;=24,J11&gt;72,I11&gt;10),1,0)</f>
        <v>0</v>
      </c>
      <c r="L11" s="26" t="n">
        <f aca="false">IF(AND(B11&gt;=20,B11&lt;=29,C11&gt;12,E11&gt;97,J11&gt;72),1,0)</f>
        <v>0</v>
      </c>
    </row>
    <row r="12" customFormat="false" ht="15" hidden="false" customHeight="false" outlineLevel="0" collapsed="false">
      <c r="A12" s="23" t="n">
        <v>45971</v>
      </c>
      <c r="B12" s="24" t="n">
        <v>27.2</v>
      </c>
      <c r="C12" s="24" t="n">
        <v>9.1</v>
      </c>
      <c r="D12" s="24" t="n">
        <v>0</v>
      </c>
      <c r="E12" s="24" t="n">
        <v>95</v>
      </c>
      <c r="F12" s="24" t="n">
        <v>33</v>
      </c>
      <c r="G12" s="24" t="n">
        <v>7.2</v>
      </c>
      <c r="H12" s="25" t="n">
        <f aca="false">MAX(0,(B12+C12)/2-Inputs_General!$C$4)</f>
        <v>13.15</v>
      </c>
      <c r="I12" s="25" t="n">
        <f aca="false">(B12+C12)/2</f>
        <v>18.15</v>
      </c>
      <c r="J12" s="25" t="n">
        <f aca="false">(E12+F12)/2</f>
        <v>64</v>
      </c>
      <c r="K12" s="26" t="n">
        <f aca="false">IF(AND(F12&gt;40,E12&gt;97,B12&gt;=16,B12&lt;=24,J12&gt;72,I12&gt;10),1,0)</f>
        <v>0</v>
      </c>
      <c r="L12" s="26" t="n">
        <f aca="false">IF(AND(B12&gt;=20,B12&lt;=29,C12&gt;12,E12&gt;97,J12&gt;72),1,0)</f>
        <v>0</v>
      </c>
    </row>
    <row r="13" customFormat="false" ht="15" hidden="false" customHeight="false" outlineLevel="0" collapsed="false">
      <c r="A13" s="23" t="n">
        <v>45972</v>
      </c>
      <c r="B13" s="24" t="n">
        <v>26.9</v>
      </c>
      <c r="C13" s="24" t="n">
        <v>9.1</v>
      </c>
      <c r="D13" s="24" t="n">
        <v>0</v>
      </c>
      <c r="E13" s="24" t="n">
        <v>95</v>
      </c>
      <c r="F13" s="24" t="n">
        <v>26</v>
      </c>
      <c r="G13" s="24" t="n">
        <v>5.4</v>
      </c>
      <c r="H13" s="25" t="n">
        <f aca="false">MAX(0,(B13+C13)/2-Inputs_General!$C$4)</f>
        <v>13</v>
      </c>
      <c r="I13" s="25" t="n">
        <f aca="false">(B13+C13)/2</f>
        <v>18</v>
      </c>
      <c r="J13" s="25" t="n">
        <f aca="false">(E13+F13)/2</f>
        <v>60.5</v>
      </c>
      <c r="K13" s="26" t="n">
        <f aca="false">IF(AND(F13&gt;40,E13&gt;97,B13&gt;=16,B13&lt;=24,J13&gt;72,I13&gt;10),1,0)</f>
        <v>0</v>
      </c>
      <c r="L13" s="26" t="n">
        <f aca="false">IF(AND(B13&gt;=20,B13&lt;=29,C13&gt;12,E13&gt;97,J13&gt;72),1,0)</f>
        <v>0</v>
      </c>
    </row>
    <row r="14" customFormat="false" ht="15" hidden="false" customHeight="false" outlineLevel="0" collapsed="false">
      <c r="A14" s="23" t="n">
        <v>45973</v>
      </c>
      <c r="B14" s="24" t="n">
        <v>27.1</v>
      </c>
      <c r="C14" s="24" t="n">
        <v>9.5</v>
      </c>
      <c r="D14" s="24" t="n">
        <v>0</v>
      </c>
      <c r="E14" s="24" t="n">
        <v>78</v>
      </c>
      <c r="F14" s="24" t="n">
        <v>31</v>
      </c>
      <c r="G14" s="24" t="n">
        <v>6.1</v>
      </c>
      <c r="H14" s="25" t="n">
        <f aca="false">MAX(0,(B14+C14)/2-Inputs_General!$C$4)</f>
        <v>13.3</v>
      </c>
      <c r="I14" s="25" t="n">
        <f aca="false">(B14+C14)/2</f>
        <v>18.3</v>
      </c>
      <c r="J14" s="25" t="n">
        <f aca="false">(E14+F14)/2</f>
        <v>54.5</v>
      </c>
      <c r="K14" s="26" t="n">
        <f aca="false">IF(AND(F14&gt;40,E14&gt;97,B14&gt;=16,B14&lt;=24,J14&gt;72,I14&gt;10),1,0)</f>
        <v>0</v>
      </c>
      <c r="L14" s="26" t="n">
        <f aca="false">IF(AND(B14&gt;=20,B14&lt;=29,C14&gt;12,E14&gt;97,J14&gt;72),1,0)</f>
        <v>0</v>
      </c>
    </row>
    <row r="15" customFormat="false" ht="15" hidden="false" customHeight="false" outlineLevel="0" collapsed="false">
      <c r="A15" s="23" t="n">
        <v>45974</v>
      </c>
      <c r="B15" s="24" t="n">
        <v>27.2</v>
      </c>
      <c r="C15" s="24" t="n">
        <v>9.1</v>
      </c>
      <c r="D15" s="24" t="n">
        <v>0</v>
      </c>
      <c r="E15" s="24" t="n">
        <v>92</v>
      </c>
      <c r="F15" s="24" t="n">
        <v>38</v>
      </c>
      <c r="G15" s="24" t="n">
        <v>5.3</v>
      </c>
      <c r="H15" s="25" t="n">
        <f aca="false">MAX(0,(B15+C15)/2-Inputs_General!$C$4)</f>
        <v>13.15</v>
      </c>
      <c r="I15" s="25" t="n">
        <f aca="false">(B15+C15)/2</f>
        <v>18.15</v>
      </c>
      <c r="J15" s="25" t="n">
        <f aca="false">(E15+F15)/2</f>
        <v>65</v>
      </c>
      <c r="K15" s="26" t="n">
        <f aca="false">IF(AND(F15&gt;40,E15&gt;97,B15&gt;=16,B15&lt;=24,J15&gt;72,I15&gt;10),1,0)</f>
        <v>0</v>
      </c>
      <c r="L15" s="26" t="n">
        <f aca="false">IF(AND(B15&gt;=20,B15&lt;=29,C15&gt;12,E15&gt;97,J15&gt;72),1,0)</f>
        <v>0</v>
      </c>
    </row>
    <row r="16" customFormat="false" ht="15" hidden="false" customHeight="false" outlineLevel="0" collapsed="false">
      <c r="A16" s="23" t="n">
        <v>45975</v>
      </c>
      <c r="B16" s="24" t="n">
        <v>26.2</v>
      </c>
      <c r="C16" s="24" t="n">
        <v>8.8</v>
      </c>
      <c r="D16" s="24" t="n">
        <v>0</v>
      </c>
      <c r="E16" s="24" t="n">
        <v>92</v>
      </c>
      <c r="F16" s="24" t="n">
        <v>34</v>
      </c>
      <c r="G16" s="24" t="n">
        <v>4</v>
      </c>
      <c r="H16" s="25" t="n">
        <f aca="false">MAX(0,(B16+C16)/2-Inputs_General!$C$4)</f>
        <v>12.5</v>
      </c>
      <c r="I16" s="25" t="n">
        <f aca="false">(B16+C16)/2</f>
        <v>17.5</v>
      </c>
      <c r="J16" s="25" t="n">
        <f aca="false">(E16+F16)/2</f>
        <v>63</v>
      </c>
      <c r="K16" s="26" t="n">
        <f aca="false">IF(AND(F16&gt;40,E16&gt;97,B16&gt;=16,B16&lt;=24,J16&gt;72,I16&gt;10),1,0)</f>
        <v>0</v>
      </c>
      <c r="L16" s="26" t="n">
        <f aca="false">IF(AND(B16&gt;=20,B16&lt;=29,C16&gt;12,E16&gt;97,J16&gt;72),1,0)</f>
        <v>0</v>
      </c>
    </row>
    <row r="17" customFormat="false" ht="15" hidden="false" customHeight="false" outlineLevel="0" collapsed="false">
      <c r="A17" s="23" t="n">
        <v>45976</v>
      </c>
      <c r="B17" s="24" t="n">
        <v>25.9</v>
      </c>
      <c r="C17" s="24" t="n">
        <v>8.5</v>
      </c>
      <c r="D17" s="24" t="n">
        <v>0</v>
      </c>
      <c r="E17" s="24" t="n">
        <v>88</v>
      </c>
      <c r="F17" s="24" t="n">
        <v>35</v>
      </c>
      <c r="G17" s="24" t="n">
        <v>4.9</v>
      </c>
      <c r="H17" s="25" t="n">
        <f aca="false">MAX(0,(B17+C17)/2-Inputs_General!$C$4)</f>
        <v>12.2</v>
      </c>
      <c r="I17" s="25" t="n">
        <f aca="false">(B17+C17)/2</f>
        <v>17.2</v>
      </c>
      <c r="J17" s="25" t="n">
        <f aca="false">(E17+F17)/2</f>
        <v>61.5</v>
      </c>
      <c r="K17" s="26" t="n">
        <f aca="false">IF(AND(F17&gt;40,E17&gt;97,B17&gt;=16,B17&lt;=24,J17&gt;72,I17&gt;10),1,0)</f>
        <v>0</v>
      </c>
      <c r="L17" s="26" t="n">
        <f aca="false">IF(AND(B17&gt;=20,B17&lt;=29,C17&gt;12,E17&gt;97,J17&gt;72),1,0)</f>
        <v>0</v>
      </c>
    </row>
    <row r="18" customFormat="false" ht="15" hidden="false" customHeight="false" outlineLevel="0" collapsed="false">
      <c r="A18" s="23" t="n">
        <v>45977</v>
      </c>
      <c r="B18" s="24" t="n">
        <v>26.1</v>
      </c>
      <c r="C18" s="24" t="n">
        <v>7.9</v>
      </c>
      <c r="D18" s="24" t="n">
        <v>0</v>
      </c>
      <c r="E18" s="24" t="n">
        <v>82</v>
      </c>
      <c r="F18" s="24" t="n">
        <v>23</v>
      </c>
      <c r="G18" s="24" t="n">
        <v>6.2</v>
      </c>
      <c r="H18" s="25" t="n">
        <f aca="false">MAX(0,(B18+C18)/2-Inputs_General!$C$4)</f>
        <v>12</v>
      </c>
      <c r="I18" s="25" t="n">
        <f aca="false">(B18+C18)/2</f>
        <v>17</v>
      </c>
      <c r="J18" s="25" t="n">
        <f aca="false">(E18+F18)/2</f>
        <v>52.5</v>
      </c>
      <c r="K18" s="26" t="n">
        <f aca="false">IF(AND(F18&gt;40,E18&gt;97,B18&gt;=16,B18&lt;=24,J18&gt;72,I18&gt;10),1,0)</f>
        <v>0</v>
      </c>
      <c r="L18" s="26" t="n">
        <f aca="false">IF(AND(B18&gt;=20,B18&lt;=29,C18&gt;12,E18&gt;97,J18&gt;72),1,0)</f>
        <v>0</v>
      </c>
    </row>
    <row r="19" customFormat="false" ht="15" hidden="false" customHeight="false" outlineLevel="0" collapsed="false">
      <c r="A19" s="23" t="n">
        <v>45978</v>
      </c>
      <c r="B19" s="24" t="n">
        <v>26.7</v>
      </c>
      <c r="C19" s="24" t="n">
        <v>8.1</v>
      </c>
      <c r="D19" s="24" t="n">
        <v>0</v>
      </c>
      <c r="E19" s="24" t="n">
        <v>87</v>
      </c>
      <c r="F19" s="24" t="n">
        <v>34</v>
      </c>
      <c r="G19" s="24" t="n">
        <v>6.6</v>
      </c>
      <c r="H19" s="25" t="n">
        <f aca="false">MAX(0,(B19+C19)/2-Inputs_General!$C$4)</f>
        <v>12.4</v>
      </c>
      <c r="I19" s="25" t="n">
        <f aca="false">(B19+C19)/2</f>
        <v>17.4</v>
      </c>
      <c r="J19" s="25" t="n">
        <f aca="false">(E19+F19)/2</f>
        <v>60.5</v>
      </c>
      <c r="K19" s="26" t="n">
        <f aca="false">IF(AND(F19&gt;40,E19&gt;97,B19&gt;=16,B19&lt;=24,J19&gt;72,I19&gt;10),1,0)</f>
        <v>0</v>
      </c>
      <c r="L19" s="26" t="n">
        <f aca="false">IF(AND(B19&gt;=20,B19&lt;=29,C19&gt;12,E19&gt;97,J19&gt;72),1,0)</f>
        <v>0</v>
      </c>
    </row>
    <row r="20" customFormat="false" ht="15" hidden="false" customHeight="false" outlineLevel="0" collapsed="false">
      <c r="A20" s="23" t="n">
        <v>45979</v>
      </c>
      <c r="B20" s="24" t="n">
        <v>26.1</v>
      </c>
      <c r="C20" s="24" t="n">
        <v>8.6</v>
      </c>
      <c r="D20" s="24" t="n">
        <v>0</v>
      </c>
      <c r="E20" s="24" t="n">
        <v>90</v>
      </c>
      <c r="F20" s="24" t="n">
        <v>41</v>
      </c>
      <c r="G20" s="24" t="n">
        <v>7</v>
      </c>
      <c r="H20" s="25" t="n">
        <f aca="false">MAX(0,(B20+C20)/2-Inputs_General!$C$4)</f>
        <v>12.35</v>
      </c>
      <c r="I20" s="25" t="n">
        <f aca="false">(B20+C20)/2</f>
        <v>17.35</v>
      </c>
      <c r="J20" s="25" t="n">
        <f aca="false">(E20+F20)/2</f>
        <v>65.5</v>
      </c>
      <c r="K20" s="26" t="n">
        <f aca="false">IF(AND(F20&gt;40,E20&gt;97,B20&gt;=16,B20&lt;=24,J20&gt;72,I20&gt;10),1,0)</f>
        <v>0</v>
      </c>
      <c r="L20" s="26" t="n">
        <f aca="false">IF(AND(B20&gt;=20,B20&lt;=29,C20&gt;12,E20&gt;97,J20&gt;72),1,0)</f>
        <v>0</v>
      </c>
    </row>
    <row r="21" customFormat="false" ht="15" hidden="false" customHeight="false" outlineLevel="0" collapsed="false">
      <c r="A21" s="23" t="n">
        <v>45980</v>
      </c>
      <c r="B21" s="24" t="n">
        <v>26.1</v>
      </c>
      <c r="C21" s="24" t="n">
        <v>9.6</v>
      </c>
      <c r="D21" s="24" t="n">
        <v>0</v>
      </c>
      <c r="E21" s="24" t="n">
        <v>93</v>
      </c>
      <c r="F21" s="24" t="n">
        <v>47</v>
      </c>
      <c r="G21" s="24" t="n">
        <v>5</v>
      </c>
      <c r="H21" s="25" t="n">
        <f aca="false">MAX(0,(B21+C21)/2-Inputs_General!$C$4)</f>
        <v>12.85</v>
      </c>
      <c r="I21" s="25" t="n">
        <f aca="false">(B21+C21)/2</f>
        <v>17.85</v>
      </c>
      <c r="J21" s="25" t="n">
        <f aca="false">(E21+F21)/2</f>
        <v>70</v>
      </c>
      <c r="K21" s="26" t="n">
        <f aca="false">IF(AND(F21&gt;40,E21&gt;97,B21&gt;=16,B21&lt;=24,J21&gt;72,I21&gt;10),1,0)</f>
        <v>0</v>
      </c>
      <c r="L21" s="26" t="n">
        <f aca="false">IF(AND(B21&gt;=20,B21&lt;=29,C21&gt;12,E21&gt;97,J21&gt;72),1,0)</f>
        <v>0</v>
      </c>
    </row>
    <row r="22" customFormat="false" ht="15" hidden="false" customHeight="false" outlineLevel="0" collapsed="false">
      <c r="A22" s="23" t="n">
        <v>45981</v>
      </c>
      <c r="B22" s="24" t="n">
        <v>26.4</v>
      </c>
      <c r="C22" s="24" t="n">
        <v>11</v>
      </c>
      <c r="D22" s="24" t="n">
        <v>0</v>
      </c>
      <c r="E22" s="24" t="n">
        <v>95</v>
      </c>
      <c r="F22" s="24" t="n">
        <v>45</v>
      </c>
      <c r="G22" s="24" t="n">
        <v>4</v>
      </c>
      <c r="H22" s="25" t="n">
        <f aca="false">MAX(0,(B22+C22)/2-Inputs_General!$C$4)</f>
        <v>13.7</v>
      </c>
      <c r="I22" s="25" t="n">
        <f aca="false">(B22+C22)/2</f>
        <v>18.7</v>
      </c>
      <c r="J22" s="25" t="n">
        <f aca="false">(E22+F22)/2</f>
        <v>70</v>
      </c>
      <c r="K22" s="26" t="n">
        <f aca="false">IF(AND(F22&gt;40,E22&gt;97,B22&gt;=16,B22&lt;=24,J22&gt;72,I22&gt;10),1,0)</f>
        <v>0</v>
      </c>
      <c r="L22" s="26" t="n">
        <f aca="false">IF(AND(B22&gt;=20,B22&lt;=29,C22&gt;12,E22&gt;97,J22&gt;72),1,0)</f>
        <v>0</v>
      </c>
    </row>
    <row r="23" customFormat="false" ht="15" hidden="false" customHeight="false" outlineLevel="0" collapsed="false">
      <c r="A23" s="23" t="n">
        <v>45982</v>
      </c>
      <c r="B23" s="24" t="n">
        <v>27.1</v>
      </c>
      <c r="C23" s="24" t="n">
        <v>10.7</v>
      </c>
      <c r="D23" s="24" t="n">
        <v>0</v>
      </c>
      <c r="E23" s="24" t="n">
        <v>95</v>
      </c>
      <c r="F23" s="24" t="n">
        <v>47</v>
      </c>
      <c r="G23" s="24" t="n">
        <v>4.8</v>
      </c>
      <c r="H23" s="25" t="n">
        <f aca="false">MAX(0,(B23+C23)/2-Inputs_General!$C$4)</f>
        <v>13.9</v>
      </c>
      <c r="I23" s="25" t="n">
        <f aca="false">(B23+C23)/2</f>
        <v>18.9</v>
      </c>
      <c r="J23" s="25" t="n">
        <f aca="false">(E23+F23)/2</f>
        <v>71</v>
      </c>
      <c r="K23" s="26" t="n">
        <f aca="false">IF(AND(F23&gt;40,E23&gt;97,B23&gt;=16,B23&lt;=24,J23&gt;72,I23&gt;10),1,0)</f>
        <v>0</v>
      </c>
      <c r="L23" s="26" t="n">
        <f aca="false">IF(AND(B23&gt;=20,B23&lt;=29,C23&gt;12,E23&gt;97,J23&gt;72),1,0)</f>
        <v>0</v>
      </c>
    </row>
    <row r="24" customFormat="false" ht="15" hidden="false" customHeight="false" outlineLevel="0" collapsed="false">
      <c r="A24" s="23" t="n">
        <v>45983</v>
      </c>
      <c r="B24" s="24" t="n">
        <v>27.2</v>
      </c>
      <c r="C24" s="24" t="n">
        <v>10.9</v>
      </c>
      <c r="D24" s="24" t="n">
        <v>0</v>
      </c>
      <c r="E24" s="24" t="n">
        <v>90</v>
      </c>
      <c r="F24" s="24" t="n">
        <v>47</v>
      </c>
      <c r="G24" s="24" t="n">
        <v>5.7</v>
      </c>
      <c r="H24" s="25" t="n">
        <f aca="false">MAX(0,(B24+C24)/2-Inputs_General!$C$4)</f>
        <v>14.05</v>
      </c>
      <c r="I24" s="25" t="n">
        <f aca="false">(B24+C24)/2</f>
        <v>19.05</v>
      </c>
      <c r="J24" s="25" t="n">
        <f aca="false">(E24+F24)/2</f>
        <v>68.5</v>
      </c>
      <c r="K24" s="26" t="n">
        <f aca="false">IF(AND(F24&gt;40,E24&gt;97,B24&gt;=16,B24&lt;=24,J24&gt;72,I24&gt;10),1,0)</f>
        <v>0</v>
      </c>
      <c r="L24" s="26" t="n">
        <f aca="false">IF(AND(B24&gt;=20,B24&lt;=29,C24&gt;12,E24&gt;97,J24&gt;72),1,0)</f>
        <v>0</v>
      </c>
    </row>
    <row r="25" customFormat="false" ht="15" hidden="false" customHeight="false" outlineLevel="0" collapsed="false">
      <c r="A25" s="23" t="n">
        <v>45984</v>
      </c>
      <c r="B25" s="24" t="n">
        <v>26.4</v>
      </c>
      <c r="C25" s="24" t="n">
        <v>9.5</v>
      </c>
      <c r="D25" s="24" t="n">
        <v>0</v>
      </c>
      <c r="E25" s="24" t="n">
        <v>95</v>
      </c>
      <c r="F25" s="24" t="n">
        <v>39</v>
      </c>
      <c r="G25" s="24" t="n">
        <v>4.4</v>
      </c>
      <c r="H25" s="25" t="n">
        <f aca="false">MAX(0,(B25+C25)/2-Inputs_General!$C$4)</f>
        <v>12.95</v>
      </c>
      <c r="I25" s="25" t="n">
        <f aca="false">(B25+C25)/2</f>
        <v>17.95</v>
      </c>
      <c r="J25" s="25" t="n">
        <f aca="false">(E25+F25)/2</f>
        <v>67</v>
      </c>
      <c r="K25" s="26" t="n">
        <f aca="false">IF(AND(F25&gt;40,E25&gt;97,B25&gt;=16,B25&lt;=24,J25&gt;72,I25&gt;10),1,0)</f>
        <v>0</v>
      </c>
      <c r="L25" s="26" t="n">
        <f aca="false">IF(AND(B25&gt;=20,B25&lt;=29,C25&gt;12,E25&gt;97,J25&gt;72),1,0)</f>
        <v>0</v>
      </c>
    </row>
    <row r="26" customFormat="false" ht="15" hidden="false" customHeight="false" outlineLevel="0" collapsed="false">
      <c r="A26" s="23" t="n">
        <v>45985</v>
      </c>
      <c r="B26" s="24" t="n">
        <v>25.8</v>
      </c>
      <c r="C26" s="24" t="n">
        <v>8.6</v>
      </c>
      <c r="D26" s="24" t="n">
        <v>0</v>
      </c>
      <c r="E26" s="24" t="n">
        <v>93</v>
      </c>
      <c r="F26" s="24" t="n">
        <v>41</v>
      </c>
      <c r="G26" s="24" t="n">
        <v>4.3</v>
      </c>
      <c r="H26" s="25" t="n">
        <f aca="false">MAX(0,(B26+C26)/2-Inputs_General!$C$4)</f>
        <v>12.2</v>
      </c>
      <c r="I26" s="25" t="n">
        <f aca="false">(B26+C26)/2</f>
        <v>17.2</v>
      </c>
      <c r="J26" s="25" t="n">
        <f aca="false">(E26+F26)/2</f>
        <v>67</v>
      </c>
      <c r="K26" s="26" t="n">
        <f aca="false">IF(AND(F26&gt;40,E26&gt;97,B26&gt;=16,B26&lt;=24,J26&gt;72,I26&gt;10),1,0)</f>
        <v>0</v>
      </c>
      <c r="L26" s="26" t="n">
        <f aca="false">IF(AND(B26&gt;=20,B26&lt;=29,C26&gt;12,E26&gt;97,J26&gt;72),1,0)</f>
        <v>0</v>
      </c>
    </row>
    <row r="27" customFormat="false" ht="15" hidden="false" customHeight="false" outlineLevel="0" collapsed="false">
      <c r="A27" s="23" t="n">
        <v>45986</v>
      </c>
      <c r="B27" s="24" t="n">
        <v>25.2</v>
      </c>
      <c r="C27" s="24" t="n">
        <v>7.5</v>
      </c>
      <c r="D27" s="24" t="n">
        <v>0</v>
      </c>
      <c r="E27" s="24" t="n">
        <v>95</v>
      </c>
      <c r="F27" s="24" t="n">
        <v>37</v>
      </c>
      <c r="G27" s="24" t="n">
        <v>6.2</v>
      </c>
      <c r="H27" s="25" t="n">
        <f aca="false">MAX(0,(B27+C27)/2-Inputs_General!$C$4)</f>
        <v>11.35</v>
      </c>
      <c r="I27" s="25" t="n">
        <f aca="false">(B27+C27)/2</f>
        <v>16.35</v>
      </c>
      <c r="J27" s="25" t="n">
        <f aca="false">(E27+F27)/2</f>
        <v>66</v>
      </c>
      <c r="K27" s="26" t="n">
        <f aca="false">IF(AND(F27&gt;40,E27&gt;97,B27&gt;=16,B27&lt;=24,J27&gt;72,I27&gt;10),1,0)</f>
        <v>0</v>
      </c>
      <c r="L27" s="26" t="n">
        <f aca="false">IF(AND(B27&gt;=20,B27&lt;=29,C27&gt;12,E27&gt;97,J27&gt;72),1,0)</f>
        <v>0</v>
      </c>
    </row>
    <row r="28" customFormat="false" ht="15" hidden="false" customHeight="false" outlineLevel="0" collapsed="false">
      <c r="A28" s="23" t="n">
        <v>45987</v>
      </c>
      <c r="B28" s="24" t="n">
        <v>24.1</v>
      </c>
      <c r="C28" s="24" t="n">
        <v>7.9</v>
      </c>
      <c r="D28" s="24" t="n">
        <v>0</v>
      </c>
      <c r="E28" s="24" t="n">
        <v>90</v>
      </c>
      <c r="F28" s="24" t="n">
        <v>32</v>
      </c>
      <c r="G28" s="24" t="n">
        <v>6</v>
      </c>
      <c r="H28" s="25" t="n">
        <f aca="false">MAX(0,(B28+C28)/2-Inputs_General!$C$4)</f>
        <v>11</v>
      </c>
      <c r="I28" s="25" t="n">
        <f aca="false">(B28+C28)/2</f>
        <v>16</v>
      </c>
      <c r="J28" s="25" t="n">
        <f aca="false">(E28+F28)/2</f>
        <v>61</v>
      </c>
      <c r="K28" s="26" t="n">
        <f aca="false">IF(AND(F28&gt;40,E28&gt;97,B28&gt;=16,B28&lt;=24,J28&gt;72,I28&gt;10),1,0)</f>
        <v>0</v>
      </c>
      <c r="L28" s="26" t="n">
        <f aca="false">IF(AND(B28&gt;=20,B28&lt;=29,C28&gt;12,E28&gt;97,J28&gt;72),1,0)</f>
        <v>0</v>
      </c>
    </row>
    <row r="29" customFormat="false" ht="15" hidden="false" customHeight="false" outlineLevel="0" collapsed="false">
      <c r="A29" s="23" t="n">
        <v>45988</v>
      </c>
      <c r="B29" s="24" t="n">
        <v>24.5</v>
      </c>
      <c r="C29" s="24" t="n">
        <v>7.4</v>
      </c>
      <c r="D29" s="24" t="n">
        <v>0</v>
      </c>
      <c r="E29" s="24" t="n">
        <v>92</v>
      </c>
      <c r="F29" s="24" t="n">
        <v>42</v>
      </c>
      <c r="G29" s="24" t="n">
        <v>6.4</v>
      </c>
      <c r="H29" s="25" t="n">
        <f aca="false">MAX(0,(B29+C29)/2-Inputs_General!$C$4)</f>
        <v>10.95</v>
      </c>
      <c r="I29" s="25" t="n">
        <f aca="false">(B29+C29)/2</f>
        <v>15.95</v>
      </c>
      <c r="J29" s="25" t="n">
        <f aca="false">(E29+F29)/2</f>
        <v>67</v>
      </c>
      <c r="K29" s="26" t="n">
        <f aca="false">IF(AND(F29&gt;40,E29&gt;97,B29&gt;=16,B29&lt;=24,J29&gt;72,I29&gt;10),1,0)</f>
        <v>0</v>
      </c>
      <c r="L29" s="26" t="n">
        <f aca="false">IF(AND(B29&gt;=20,B29&lt;=29,C29&gt;12,E29&gt;97,J29&gt;72),1,0)</f>
        <v>0</v>
      </c>
    </row>
    <row r="30" customFormat="false" ht="15" hidden="false" customHeight="false" outlineLevel="0" collapsed="false">
      <c r="A30" s="23" t="n">
        <v>45989</v>
      </c>
      <c r="B30" s="24" t="n">
        <v>24.9</v>
      </c>
      <c r="C30" s="24" t="n">
        <v>7.1</v>
      </c>
      <c r="D30" s="24" t="n">
        <v>0</v>
      </c>
      <c r="E30" s="24" t="n">
        <v>95</v>
      </c>
      <c r="F30" s="24" t="n">
        <v>37</v>
      </c>
      <c r="G30" s="24" t="n">
        <v>3.6</v>
      </c>
      <c r="H30" s="25" t="n">
        <f aca="false">MAX(0,(B30+C30)/2-Inputs_General!$C$4)</f>
        <v>11</v>
      </c>
      <c r="I30" s="25" t="n">
        <f aca="false">(B30+C30)/2</f>
        <v>16</v>
      </c>
      <c r="J30" s="25" t="n">
        <f aca="false">(E30+F30)/2</f>
        <v>66</v>
      </c>
      <c r="K30" s="26" t="n">
        <f aca="false">IF(AND(F30&gt;40,E30&gt;97,B30&gt;=16,B30&lt;=24,J30&gt;72,I30&gt;10),1,0)</f>
        <v>0</v>
      </c>
      <c r="L30" s="26" t="n">
        <f aca="false">IF(AND(B30&gt;=20,B30&lt;=29,C30&gt;12,E30&gt;97,J30&gt;72),1,0)</f>
        <v>0</v>
      </c>
    </row>
    <row r="31" customFormat="false" ht="15" hidden="false" customHeight="false" outlineLevel="0" collapsed="false">
      <c r="A31" s="23" t="n">
        <v>45990</v>
      </c>
      <c r="B31" s="24" t="n">
        <v>25</v>
      </c>
      <c r="C31" s="24" t="n">
        <v>7</v>
      </c>
      <c r="D31" s="24" t="n">
        <v>0</v>
      </c>
      <c r="E31" s="24" t="n">
        <v>81</v>
      </c>
      <c r="F31" s="24" t="n">
        <v>27</v>
      </c>
      <c r="G31" s="24" t="n">
        <v>6.6</v>
      </c>
      <c r="H31" s="25" t="n">
        <f aca="false">MAX(0,(B31+C31)/2-Inputs_General!$C$4)</f>
        <v>11</v>
      </c>
      <c r="I31" s="25" t="n">
        <f aca="false">(B31+C31)/2</f>
        <v>16</v>
      </c>
      <c r="J31" s="25" t="n">
        <f aca="false">(E31+F31)/2</f>
        <v>54</v>
      </c>
      <c r="K31" s="26" t="n">
        <f aca="false">IF(AND(F31&gt;40,E31&gt;97,B31&gt;=16,B31&lt;=24,J31&gt;72,I31&gt;10),1,0)</f>
        <v>0</v>
      </c>
      <c r="L31" s="26" t="n">
        <f aca="false">IF(AND(B31&gt;=20,B31&lt;=29,C31&gt;12,E31&gt;97,J31&gt;72),1,0)</f>
        <v>0</v>
      </c>
    </row>
    <row r="32" customFormat="false" ht="15" hidden="false" customHeight="false" outlineLevel="0" collapsed="false">
      <c r="A32" s="23" t="n">
        <v>45991</v>
      </c>
      <c r="B32" s="24" t="n">
        <v>25.8</v>
      </c>
      <c r="C32" s="24" t="n">
        <v>7.7</v>
      </c>
      <c r="D32" s="24" t="n">
        <v>0</v>
      </c>
      <c r="E32" s="24" t="n">
        <v>95</v>
      </c>
      <c r="F32" s="24" t="n">
        <v>25</v>
      </c>
      <c r="G32" s="24" t="n">
        <v>7</v>
      </c>
      <c r="H32" s="25" t="n">
        <f aca="false">MAX(0,(B32+C32)/2-Inputs_General!$C$4)</f>
        <v>11.75</v>
      </c>
      <c r="I32" s="25" t="n">
        <f aca="false">(B32+C32)/2</f>
        <v>16.75</v>
      </c>
      <c r="J32" s="25" t="n">
        <f aca="false">(E32+F32)/2</f>
        <v>60</v>
      </c>
      <c r="K32" s="26" t="n">
        <f aca="false">IF(AND(F32&gt;40,E32&gt;97,B32&gt;=16,B32&lt;=24,J32&gt;72,I32&gt;10),1,0)</f>
        <v>0</v>
      </c>
      <c r="L32" s="26" t="n">
        <f aca="false">IF(AND(B32&gt;=20,B32&lt;=29,C32&gt;12,E32&gt;97,J32&gt;72),1,0)</f>
        <v>0</v>
      </c>
    </row>
    <row r="33" customFormat="false" ht="15" hidden="false" customHeight="false" outlineLevel="0" collapsed="false">
      <c r="A33" s="23" t="n">
        <v>45992</v>
      </c>
      <c r="B33" s="24" t="n">
        <v>24.8</v>
      </c>
      <c r="C33" s="24" t="n">
        <v>4.8</v>
      </c>
      <c r="D33" s="24" t="n">
        <v>0</v>
      </c>
      <c r="E33" s="24" t="n">
        <v>91</v>
      </c>
      <c r="F33" s="24" t="n">
        <v>25</v>
      </c>
      <c r="G33" s="24" t="n">
        <v>4.5</v>
      </c>
      <c r="H33" s="25" t="n">
        <f aca="false">MAX(0,(B33+C33)/2-Inputs_General!$C$4)</f>
        <v>9.8</v>
      </c>
      <c r="I33" s="25" t="n">
        <f aca="false">(B33+C33)/2</f>
        <v>14.8</v>
      </c>
      <c r="J33" s="25" t="n">
        <f aca="false">(E33+F33)/2</f>
        <v>58</v>
      </c>
      <c r="K33" s="26" t="n">
        <f aca="false">IF(AND(F33&gt;40,E33&gt;97,B33&gt;=16,B33&lt;=24,J33&gt;72,I33&gt;10),1,0)</f>
        <v>0</v>
      </c>
      <c r="L33" s="26" t="n">
        <f aca="false">IF(AND(B33&gt;=20,B33&lt;=29,C33&gt;12,E33&gt;97,J33&gt;72),1,0)</f>
        <v>0</v>
      </c>
    </row>
    <row r="34" customFormat="false" ht="15" hidden="false" customHeight="false" outlineLevel="0" collapsed="false">
      <c r="A34" s="23" t="n">
        <v>45993</v>
      </c>
      <c r="B34" s="24" t="n">
        <v>25.1</v>
      </c>
      <c r="C34" s="24" t="n">
        <v>9.1</v>
      </c>
      <c r="D34" s="24" t="n">
        <v>0</v>
      </c>
      <c r="E34" s="24" t="n">
        <v>95</v>
      </c>
      <c r="F34" s="24" t="n">
        <v>36</v>
      </c>
      <c r="G34" s="24" t="n">
        <v>7</v>
      </c>
      <c r="H34" s="25" t="n">
        <f aca="false">MAX(0,(B34+C34)/2-Inputs_General!$C$4)</f>
        <v>12.1</v>
      </c>
      <c r="I34" s="25" t="n">
        <f aca="false">(B34+C34)/2</f>
        <v>17.1</v>
      </c>
      <c r="J34" s="25" t="n">
        <f aca="false">(E34+F34)/2</f>
        <v>65.5</v>
      </c>
      <c r="K34" s="26" t="n">
        <f aca="false">IF(AND(F34&gt;40,E34&gt;97,B34&gt;=16,B34&lt;=24,J34&gt;72,I34&gt;10),1,0)</f>
        <v>0</v>
      </c>
      <c r="L34" s="26" t="n">
        <f aca="false">IF(AND(B34&gt;=20,B34&lt;=29,C34&gt;12,E34&gt;97,J34&gt;72),1,0)</f>
        <v>0</v>
      </c>
    </row>
    <row r="35" customFormat="false" ht="15" hidden="false" customHeight="false" outlineLevel="0" collapsed="false">
      <c r="A35" s="23" t="n">
        <v>45994</v>
      </c>
      <c r="B35" s="24" t="n">
        <v>24.3</v>
      </c>
      <c r="C35" s="24" t="n">
        <v>5.3</v>
      </c>
      <c r="D35" s="24" t="n">
        <v>0</v>
      </c>
      <c r="E35" s="24" t="n">
        <v>100</v>
      </c>
      <c r="F35" s="24" t="n">
        <v>31</v>
      </c>
      <c r="G35" s="24" t="n">
        <v>1.8</v>
      </c>
      <c r="H35" s="25" t="n">
        <f aca="false">MAX(0,(B35+C35)/2-Inputs_General!$C$4)</f>
        <v>9.8</v>
      </c>
      <c r="I35" s="25" t="n">
        <f aca="false">(B35+C35)/2</f>
        <v>14.8</v>
      </c>
      <c r="J35" s="25" t="n">
        <f aca="false">(E35+F35)/2</f>
        <v>65.5</v>
      </c>
      <c r="K35" s="26" t="n">
        <f aca="false">IF(AND(F35&gt;40,E35&gt;97,B35&gt;=16,B35&lt;=24,J35&gt;72,I35&gt;10),1,0)</f>
        <v>0</v>
      </c>
      <c r="L35" s="26" t="n">
        <f aca="false">IF(AND(B35&gt;=20,B35&lt;=29,C35&gt;12,E35&gt;97,J35&gt;72),1,0)</f>
        <v>0</v>
      </c>
    </row>
    <row r="36" customFormat="false" ht="15" hidden="false" customHeight="false" outlineLevel="0" collapsed="false">
      <c r="A36" s="23" t="n">
        <v>45995</v>
      </c>
      <c r="B36" s="24" t="n">
        <v>23</v>
      </c>
      <c r="C36" s="24" t="n">
        <v>4.2</v>
      </c>
      <c r="D36" s="24" t="n">
        <v>0</v>
      </c>
      <c r="E36" s="24" t="n">
        <v>94</v>
      </c>
      <c r="F36" s="24" t="n">
        <v>32</v>
      </c>
      <c r="G36" s="24" t="n">
        <v>6.6</v>
      </c>
      <c r="H36" s="25" t="n">
        <f aca="false">MAX(0,(B36+C36)/2-Inputs_General!$C$4)</f>
        <v>8.6</v>
      </c>
      <c r="I36" s="25" t="n">
        <f aca="false">(B36+C36)/2</f>
        <v>13.6</v>
      </c>
      <c r="J36" s="25" t="n">
        <f aca="false">(E36+F36)/2</f>
        <v>63</v>
      </c>
      <c r="K36" s="26" t="n">
        <f aca="false">IF(AND(F36&gt;40,E36&gt;97,B36&gt;=16,B36&lt;=24,J36&gt;72,I36&gt;10),1,0)</f>
        <v>0</v>
      </c>
      <c r="L36" s="26" t="n">
        <f aca="false">IF(AND(B36&gt;=20,B36&lt;=29,C36&gt;12,E36&gt;97,J36&gt;72),1,0)</f>
        <v>0</v>
      </c>
    </row>
    <row r="37" customFormat="false" ht="15" hidden="false" customHeight="false" outlineLevel="0" collapsed="false">
      <c r="A37" s="23" t="n">
        <v>45996</v>
      </c>
      <c r="B37" s="24" t="n">
        <v>22.2</v>
      </c>
      <c r="C37" s="24" t="n">
        <v>4.1</v>
      </c>
      <c r="D37" s="24" t="n">
        <v>0</v>
      </c>
      <c r="E37" s="24" t="n">
        <v>97</v>
      </c>
      <c r="F37" s="24" t="n">
        <v>37</v>
      </c>
      <c r="G37" s="24" t="n">
        <v>6.8</v>
      </c>
      <c r="H37" s="25" t="n">
        <f aca="false">MAX(0,(B37+C37)/2-Inputs_General!$C$4)</f>
        <v>8.15</v>
      </c>
      <c r="I37" s="25" t="n">
        <f aca="false">(B37+C37)/2</f>
        <v>13.15</v>
      </c>
      <c r="J37" s="25" t="n">
        <f aca="false">(E37+F37)/2</f>
        <v>67</v>
      </c>
      <c r="K37" s="26" t="n">
        <f aca="false">IF(AND(F37&gt;40,E37&gt;97,B37&gt;=16,B37&lt;=24,J37&gt;72,I37&gt;10),1,0)</f>
        <v>0</v>
      </c>
      <c r="L37" s="26" t="n">
        <f aca="false">IF(AND(B37&gt;=20,B37&lt;=29,C37&gt;12,E37&gt;97,J37&gt;72),1,0)</f>
        <v>0</v>
      </c>
    </row>
    <row r="38" customFormat="false" ht="15" hidden="false" customHeight="false" outlineLevel="0" collapsed="false">
      <c r="A38" s="23" t="n">
        <v>45997</v>
      </c>
      <c r="B38" s="24" t="n">
        <v>22.9</v>
      </c>
      <c r="C38" s="24" t="n">
        <v>5.3</v>
      </c>
      <c r="D38" s="24" t="n">
        <v>0</v>
      </c>
      <c r="E38" s="24" t="n">
        <v>87</v>
      </c>
      <c r="F38" s="24" t="n">
        <v>3.1</v>
      </c>
      <c r="G38" s="24" t="n">
        <v>6.5</v>
      </c>
      <c r="H38" s="25" t="n">
        <f aca="false">MAX(0,(B38+C38)/2-Inputs_General!$C$4)</f>
        <v>9.1</v>
      </c>
      <c r="I38" s="25" t="n">
        <f aca="false">(B38+C38)/2</f>
        <v>14.1</v>
      </c>
      <c r="J38" s="25" t="n">
        <f aca="false">(E38+F38)/2</f>
        <v>45.05</v>
      </c>
      <c r="K38" s="26" t="n">
        <f aca="false">IF(AND(F38&gt;40,E38&gt;97,B38&gt;=16,B38&lt;=24,J38&gt;72,I38&gt;10),1,0)</f>
        <v>0</v>
      </c>
      <c r="L38" s="26" t="n">
        <f aca="false">IF(AND(B38&gt;=20,B38&lt;=29,C38&gt;12,E38&gt;97,J38&gt;72),1,0)</f>
        <v>0</v>
      </c>
    </row>
    <row r="39" customFormat="false" ht="15" hidden="false" customHeight="false" outlineLevel="0" collapsed="false">
      <c r="A39" s="23" t="n">
        <v>45998</v>
      </c>
      <c r="B39" s="24" t="n">
        <v>24.9</v>
      </c>
      <c r="C39" s="24" t="n">
        <v>9.1</v>
      </c>
      <c r="D39" s="24" t="n">
        <v>0</v>
      </c>
      <c r="E39" s="24" t="n">
        <v>76</v>
      </c>
      <c r="F39" s="24" t="n">
        <v>34</v>
      </c>
      <c r="G39" s="24" t="n">
        <v>6.9</v>
      </c>
      <c r="H39" s="25" t="n">
        <f aca="false">MAX(0,(B39+C39)/2-Inputs_General!$C$4)</f>
        <v>12</v>
      </c>
      <c r="I39" s="25" t="n">
        <f aca="false">(B39+C39)/2</f>
        <v>17</v>
      </c>
      <c r="J39" s="25" t="n">
        <f aca="false">(E39+F39)/2</f>
        <v>55</v>
      </c>
      <c r="K39" s="26" t="n">
        <f aca="false">IF(AND(F39&gt;40,E39&gt;97,B39&gt;=16,B39&lt;=24,J39&gt;72,I39&gt;10),1,0)</f>
        <v>0</v>
      </c>
      <c r="L39" s="26" t="n">
        <f aca="false">IF(AND(B39&gt;=20,B39&lt;=29,C39&gt;12,E39&gt;97,J39&gt;72),1,0)</f>
        <v>0</v>
      </c>
    </row>
    <row r="40" customFormat="false" ht="15" hidden="false" customHeight="false" outlineLevel="0" collapsed="false">
      <c r="A40" s="23" t="n">
        <v>45999</v>
      </c>
      <c r="B40" s="24" t="n">
        <v>25</v>
      </c>
      <c r="C40" s="24" t="n">
        <v>7.5</v>
      </c>
      <c r="D40" s="24" t="n">
        <v>0</v>
      </c>
      <c r="E40" s="24" t="n">
        <v>94</v>
      </c>
      <c r="F40" s="24" t="n">
        <v>29</v>
      </c>
      <c r="G40" s="24" t="n">
        <v>7.2</v>
      </c>
      <c r="H40" s="25" t="n">
        <f aca="false">MAX(0,(B40+C40)/2-Inputs_General!$C$4)</f>
        <v>11.25</v>
      </c>
      <c r="I40" s="25" t="n">
        <f aca="false">(B40+C40)/2</f>
        <v>16.25</v>
      </c>
      <c r="J40" s="25" t="n">
        <f aca="false">(E40+F40)/2</f>
        <v>61.5</v>
      </c>
      <c r="K40" s="26" t="n">
        <f aca="false">IF(AND(F40&gt;40,E40&gt;97,B40&gt;=16,B40&lt;=24,J40&gt;72,I40&gt;10),1,0)</f>
        <v>0</v>
      </c>
      <c r="L40" s="26" t="n">
        <f aca="false">IF(AND(B40&gt;=20,B40&lt;=29,C40&gt;12,E40&gt;97,J40&gt;72),1,0)</f>
        <v>0</v>
      </c>
    </row>
    <row r="41" customFormat="false" ht="15" hidden="false" customHeight="false" outlineLevel="0" collapsed="false">
      <c r="A41" s="23" t="n">
        <v>46000</v>
      </c>
      <c r="B41" s="24" t="n">
        <v>25.4</v>
      </c>
      <c r="C41" s="24" t="n">
        <v>6</v>
      </c>
      <c r="D41" s="24" t="n">
        <v>0</v>
      </c>
      <c r="E41" s="24" t="n">
        <v>97</v>
      </c>
      <c r="F41" s="24" t="n">
        <v>26</v>
      </c>
      <c r="G41" s="24" t="n">
        <v>7.5</v>
      </c>
      <c r="H41" s="25" t="n">
        <f aca="false">MAX(0,(B41+C41)/2-Inputs_General!$C$4)</f>
        <v>10.7</v>
      </c>
      <c r="I41" s="25" t="n">
        <f aca="false">(B41+C41)/2</f>
        <v>15.7</v>
      </c>
      <c r="J41" s="25" t="n">
        <f aca="false">(E41+F41)/2</f>
        <v>61.5</v>
      </c>
      <c r="K41" s="26" t="n">
        <f aca="false">IF(AND(F41&gt;40,E41&gt;97,B41&gt;=16,B41&lt;=24,J41&gt;72,I41&gt;10),1,0)</f>
        <v>0</v>
      </c>
      <c r="L41" s="26" t="n">
        <f aca="false">IF(AND(B41&gt;=20,B41&lt;=29,C41&gt;12,E41&gt;97,J41&gt;72),1,0)</f>
        <v>0</v>
      </c>
    </row>
    <row r="42" customFormat="false" ht="15" hidden="false" customHeight="false" outlineLevel="0" collapsed="false">
      <c r="A42" s="23" t="n">
        <v>46001</v>
      </c>
      <c r="B42" s="24" t="n">
        <v>25</v>
      </c>
      <c r="C42" s="24" t="n">
        <v>7.6</v>
      </c>
      <c r="D42" s="24" t="n">
        <v>0</v>
      </c>
      <c r="E42" s="24" t="n">
        <v>91</v>
      </c>
      <c r="F42" s="24" t="n">
        <v>34</v>
      </c>
      <c r="G42" s="24" t="n">
        <v>7.6</v>
      </c>
      <c r="H42" s="25" t="n">
        <f aca="false">MAX(0,(B42+C42)/2-Inputs_General!$C$4)</f>
        <v>11.3</v>
      </c>
      <c r="I42" s="25" t="n">
        <f aca="false">(B42+C42)/2</f>
        <v>16.3</v>
      </c>
      <c r="J42" s="25" t="n">
        <f aca="false">(E42+F42)/2</f>
        <v>62.5</v>
      </c>
      <c r="K42" s="26" t="n">
        <f aca="false">IF(AND(F42&gt;40,E42&gt;97,B42&gt;=16,B42&lt;=24,J42&gt;72,I42&gt;10),1,0)</f>
        <v>0</v>
      </c>
      <c r="L42" s="26" t="n">
        <f aca="false">IF(AND(B42&gt;=20,B42&lt;=29,C42&gt;12,E42&gt;97,J42&gt;72),1,0)</f>
        <v>0</v>
      </c>
    </row>
    <row r="43" customFormat="false" ht="15" hidden="false" customHeight="false" outlineLevel="0" collapsed="false">
      <c r="A43" s="23" t="n">
        <v>46002</v>
      </c>
      <c r="B43" s="24" t="n">
        <v>24.8</v>
      </c>
      <c r="C43" s="24" t="n">
        <v>6.9</v>
      </c>
      <c r="D43" s="24" t="n">
        <v>0</v>
      </c>
      <c r="E43" s="24" t="n">
        <v>97</v>
      </c>
      <c r="F43" s="24" t="n">
        <v>40</v>
      </c>
      <c r="G43" s="24" t="n">
        <v>7.7</v>
      </c>
      <c r="H43" s="25" t="n">
        <f aca="false">MAX(0,(B43+C43)/2-Inputs_General!$C$4)</f>
        <v>10.85</v>
      </c>
      <c r="I43" s="25" t="n">
        <f aca="false">(B43+C43)/2</f>
        <v>15.85</v>
      </c>
      <c r="J43" s="25" t="n">
        <f aca="false">(E43+F43)/2</f>
        <v>68.5</v>
      </c>
      <c r="K43" s="26" t="n">
        <f aca="false">IF(AND(F43&gt;40,E43&gt;97,B43&gt;=16,B43&lt;=24,J43&gt;72,I43&gt;10),1,0)</f>
        <v>0</v>
      </c>
      <c r="L43" s="26" t="n">
        <f aca="false">IF(AND(B43&gt;=20,B43&lt;=29,C43&gt;12,E43&gt;97,J43&gt;72),1,0)</f>
        <v>0</v>
      </c>
    </row>
    <row r="44" customFormat="false" ht="15" hidden="false" customHeight="false" outlineLevel="0" collapsed="false">
      <c r="A44" s="23" t="n">
        <v>46003</v>
      </c>
      <c r="B44" s="24" t="n">
        <v>25.3</v>
      </c>
      <c r="C44" s="24" t="n">
        <v>6.9</v>
      </c>
      <c r="D44" s="24" t="n">
        <v>0</v>
      </c>
      <c r="E44" s="24" t="n">
        <v>97</v>
      </c>
      <c r="F44" s="24" t="n">
        <v>39</v>
      </c>
      <c r="G44" s="24" t="n">
        <v>7.1</v>
      </c>
      <c r="H44" s="25" t="n">
        <f aca="false">MAX(0,(B44+C44)/2-Inputs_General!$C$4)</f>
        <v>11.1</v>
      </c>
      <c r="I44" s="25" t="n">
        <f aca="false">(B44+C44)/2</f>
        <v>16.1</v>
      </c>
      <c r="J44" s="25" t="n">
        <f aca="false">(E44+F44)/2</f>
        <v>68</v>
      </c>
      <c r="K44" s="26" t="n">
        <f aca="false">IF(AND(F44&gt;40,E44&gt;97,B44&gt;=16,B44&lt;=24,J44&gt;72,I44&gt;10),1,0)</f>
        <v>0</v>
      </c>
      <c r="L44" s="26" t="n">
        <f aca="false">IF(AND(B44&gt;=20,B44&lt;=29,C44&gt;12,E44&gt;97,J44&gt;72),1,0)</f>
        <v>0</v>
      </c>
    </row>
    <row r="45" customFormat="false" ht="15" hidden="false" customHeight="false" outlineLevel="0" collapsed="false">
      <c r="A45" s="23" t="n">
        <v>46004</v>
      </c>
      <c r="B45" s="24" t="n">
        <v>25.3</v>
      </c>
      <c r="C45" s="24" t="n">
        <v>7.2</v>
      </c>
      <c r="D45" s="24" t="n">
        <v>0</v>
      </c>
      <c r="E45" s="24" t="n">
        <v>97</v>
      </c>
      <c r="F45" s="24" t="n">
        <v>46</v>
      </c>
      <c r="G45" s="24" t="n">
        <v>5.9</v>
      </c>
      <c r="H45" s="25" t="n">
        <f aca="false">MAX(0,(B45+C45)/2-Inputs_General!$C$4)</f>
        <v>11.25</v>
      </c>
      <c r="I45" s="25" t="n">
        <f aca="false">(B45+C45)/2</f>
        <v>16.25</v>
      </c>
      <c r="J45" s="25" t="n">
        <f aca="false">(E45+F45)/2</f>
        <v>71.5</v>
      </c>
      <c r="K45" s="26" t="n">
        <f aca="false">IF(AND(F45&gt;40,E45&gt;97,B45&gt;=16,B45&lt;=24,J45&gt;72,I45&gt;10),1,0)</f>
        <v>0</v>
      </c>
      <c r="L45" s="26" t="n">
        <f aca="false">IF(AND(B45&gt;=20,B45&lt;=29,C45&gt;12,E45&gt;97,J45&gt;72),1,0)</f>
        <v>0</v>
      </c>
    </row>
    <row r="46" customFormat="false" ht="15" hidden="false" customHeight="false" outlineLevel="0" collapsed="false">
      <c r="A46" s="23" t="n">
        <v>46005</v>
      </c>
      <c r="B46" s="24" t="n">
        <v>24.2</v>
      </c>
      <c r="C46" s="24" t="n">
        <v>7.2</v>
      </c>
      <c r="D46" s="24" t="n">
        <v>0</v>
      </c>
      <c r="E46" s="24" t="n">
        <v>74</v>
      </c>
      <c r="F46" s="24" t="n">
        <v>47</v>
      </c>
      <c r="G46" s="24" t="n">
        <v>0.7</v>
      </c>
      <c r="H46" s="25" t="n">
        <f aca="false">MAX(0,(B46+C46)/2-Inputs_General!$C$4)</f>
        <v>10.7</v>
      </c>
      <c r="I46" s="25" t="n">
        <f aca="false">(B46+C46)/2</f>
        <v>15.7</v>
      </c>
      <c r="J46" s="25" t="n">
        <f aca="false">(E46+F46)/2</f>
        <v>60.5</v>
      </c>
      <c r="K46" s="26" t="n">
        <f aca="false">IF(AND(F46&gt;40,E46&gt;97,B46&gt;=16,B46&lt;=24,J46&gt;72,I46&gt;10),1,0)</f>
        <v>0</v>
      </c>
      <c r="L46" s="26" t="n">
        <f aca="false">IF(AND(B46&gt;=20,B46&lt;=29,C46&gt;12,E46&gt;97,J46&gt;72),1,0)</f>
        <v>0</v>
      </c>
    </row>
    <row r="47" customFormat="false" ht="15" hidden="false" customHeight="false" outlineLevel="0" collapsed="false">
      <c r="A47" s="23" t="n">
        <v>46006</v>
      </c>
      <c r="B47" s="24" t="n">
        <v>23</v>
      </c>
      <c r="C47" s="24" t="n">
        <v>7.1</v>
      </c>
      <c r="D47" s="24" t="n">
        <v>0</v>
      </c>
      <c r="E47" s="24" t="n">
        <v>94</v>
      </c>
      <c r="F47" s="24" t="n">
        <v>48</v>
      </c>
      <c r="G47" s="24" t="n">
        <v>0</v>
      </c>
      <c r="H47" s="25" t="n">
        <f aca="false">MAX(0,(B47+C47)/2-Inputs_General!$C$4)</f>
        <v>10.05</v>
      </c>
      <c r="I47" s="25" t="n">
        <f aca="false">(B47+C47)/2</f>
        <v>15.05</v>
      </c>
      <c r="J47" s="25" t="n">
        <f aca="false">(E47+F47)/2</f>
        <v>71</v>
      </c>
      <c r="K47" s="26" t="n">
        <f aca="false">IF(AND(F47&gt;40,E47&gt;97,B47&gt;=16,B47&lt;=24,J47&gt;72,I47&gt;10),1,0)</f>
        <v>0</v>
      </c>
      <c r="L47" s="26" t="n">
        <f aca="false">IF(AND(B47&gt;=20,B47&lt;=29,C47&gt;12,E47&gt;97,J47&gt;72),1,0)</f>
        <v>0</v>
      </c>
    </row>
    <row r="48" customFormat="false" ht="15" hidden="false" customHeight="false" outlineLevel="0" collapsed="false">
      <c r="A48" s="23" t="n">
        <v>46007</v>
      </c>
      <c r="B48" s="24" t="n">
        <v>22.6</v>
      </c>
      <c r="C48" s="24" t="n">
        <v>6.6</v>
      </c>
      <c r="D48" s="24" t="n">
        <v>0</v>
      </c>
      <c r="E48" s="24" t="n">
        <v>87</v>
      </c>
      <c r="F48" s="24" t="n">
        <v>36</v>
      </c>
      <c r="G48" s="24" t="n">
        <v>4.5</v>
      </c>
      <c r="H48" s="25" t="n">
        <f aca="false">MAX(0,(B48+C48)/2-Inputs_General!$C$4)</f>
        <v>9.6</v>
      </c>
      <c r="I48" s="25" t="n">
        <f aca="false">(B48+C48)/2</f>
        <v>14.6</v>
      </c>
      <c r="J48" s="25" t="n">
        <f aca="false">(E48+F48)/2</f>
        <v>61.5</v>
      </c>
      <c r="K48" s="26" t="n">
        <f aca="false">IF(AND(F48&gt;40,E48&gt;97,B48&gt;=16,B48&lt;=24,J48&gt;72,I48&gt;10),1,0)</f>
        <v>0</v>
      </c>
      <c r="L48" s="26" t="n">
        <f aca="false">IF(AND(B48&gt;=20,B48&lt;=29,C48&gt;12,E48&gt;97,J48&gt;72),1,0)</f>
        <v>0</v>
      </c>
    </row>
    <row r="49" customFormat="false" ht="15" hidden="false" customHeight="false" outlineLevel="0" collapsed="false">
      <c r="A49" s="23" t="n">
        <v>46008</v>
      </c>
      <c r="B49" s="24" t="n">
        <v>23.9</v>
      </c>
      <c r="C49" s="24" t="n">
        <v>8.2</v>
      </c>
      <c r="D49" s="24" t="n">
        <v>0</v>
      </c>
      <c r="E49" s="24" t="n">
        <v>92</v>
      </c>
      <c r="F49" s="24" t="n">
        <v>47</v>
      </c>
      <c r="G49" s="24" t="n">
        <v>7.1</v>
      </c>
      <c r="H49" s="25" t="n">
        <f aca="false">MAX(0,(B49+C49)/2-Inputs_General!$C$4)</f>
        <v>11.05</v>
      </c>
      <c r="I49" s="25" t="n">
        <f aca="false">(B49+C49)/2</f>
        <v>16.05</v>
      </c>
      <c r="J49" s="25" t="n">
        <f aca="false">(E49+F49)/2</f>
        <v>69.5</v>
      </c>
      <c r="K49" s="26" t="n">
        <f aca="false">IF(AND(F49&gt;40,E49&gt;97,B49&gt;=16,B49&lt;=24,J49&gt;72,I49&gt;10),1,0)</f>
        <v>0</v>
      </c>
      <c r="L49" s="26" t="n">
        <f aca="false">IF(AND(B49&gt;=20,B49&lt;=29,C49&gt;12,E49&gt;97,J49&gt;72),1,0)</f>
        <v>0</v>
      </c>
    </row>
    <row r="50" customFormat="false" ht="15" hidden="false" customHeight="false" outlineLevel="0" collapsed="false">
      <c r="A50" s="23" t="n">
        <v>46009</v>
      </c>
      <c r="B50" s="24" t="n">
        <v>23.9</v>
      </c>
      <c r="C50" s="24" t="n">
        <v>7.6</v>
      </c>
      <c r="D50" s="24" t="n">
        <v>0</v>
      </c>
      <c r="E50" s="24" t="n">
        <v>100</v>
      </c>
      <c r="F50" s="24" t="n">
        <v>75</v>
      </c>
      <c r="G50" s="24" t="n">
        <v>6</v>
      </c>
      <c r="H50" s="25" t="n">
        <f aca="false">MAX(0,(B50+C50)/2-Inputs_General!$C$4)</f>
        <v>10.75</v>
      </c>
      <c r="I50" s="25" t="n">
        <f aca="false">(B50+C50)/2</f>
        <v>15.75</v>
      </c>
      <c r="J50" s="25" t="n">
        <f aca="false">(E50+F50)/2</f>
        <v>87.5</v>
      </c>
      <c r="K50" s="26" t="n">
        <f aca="false">IF(AND(F50&gt;40,E50&gt;97,B50&gt;=16,B50&lt;=24,J50&gt;72,I50&gt;10),1,0)</f>
        <v>1</v>
      </c>
      <c r="L50" s="26" t="n">
        <f aca="false">IF(AND(B50&gt;=20,B50&lt;=29,C50&gt;12,E50&gt;97,J50&gt;72),1,0)</f>
        <v>0</v>
      </c>
    </row>
    <row r="51" customFormat="false" ht="15" hidden="false" customHeight="false" outlineLevel="0" collapsed="false">
      <c r="A51" s="23" t="n">
        <v>46010</v>
      </c>
      <c r="B51" s="24" t="n">
        <v>20.2</v>
      </c>
      <c r="C51" s="24" t="n">
        <v>8.2</v>
      </c>
      <c r="D51" s="24" t="n">
        <v>0</v>
      </c>
      <c r="E51" s="24" t="n">
        <v>100</v>
      </c>
      <c r="F51" s="24" t="n">
        <v>59</v>
      </c>
      <c r="G51" s="24" t="n">
        <v>0.2</v>
      </c>
      <c r="H51" s="25" t="n">
        <f aca="false">MAX(0,(B51+C51)/2-Inputs_General!$C$4)</f>
        <v>9.2</v>
      </c>
      <c r="I51" s="25" t="n">
        <f aca="false">(B51+C51)/2</f>
        <v>14.2</v>
      </c>
      <c r="J51" s="25" t="n">
        <f aca="false">(E51+F51)/2</f>
        <v>79.5</v>
      </c>
      <c r="K51" s="26" t="n">
        <f aca="false">IF(AND(F51&gt;40,E51&gt;97,B51&gt;=16,B51&lt;=24,J51&gt;72,I51&gt;10),1,0)</f>
        <v>1</v>
      </c>
      <c r="L51" s="26" t="n">
        <f aca="false">IF(AND(B51&gt;=20,B51&lt;=29,C51&gt;12,E51&gt;97,J51&gt;72),1,0)</f>
        <v>0</v>
      </c>
    </row>
    <row r="52" customFormat="false" ht="15" hidden="false" customHeight="false" outlineLevel="0" collapsed="false">
      <c r="A52" s="23" t="n">
        <v>46011</v>
      </c>
      <c r="B52" s="24" t="n">
        <v>21.3</v>
      </c>
      <c r="C52" s="24" t="n">
        <v>5.6</v>
      </c>
      <c r="D52" s="24" t="n">
        <v>0</v>
      </c>
      <c r="E52" s="24" t="n">
        <v>89</v>
      </c>
      <c r="F52" s="24" t="n">
        <v>80</v>
      </c>
      <c r="G52" s="24" t="n">
        <v>4.4</v>
      </c>
      <c r="H52" s="25" t="n">
        <f aca="false">MAX(0,(B52+C52)/2-Inputs_General!$C$4)</f>
        <v>8.45</v>
      </c>
      <c r="I52" s="25" t="n">
        <f aca="false">(B52+C52)/2</f>
        <v>13.45</v>
      </c>
      <c r="J52" s="25" t="n">
        <f aca="false">(E52+F52)/2</f>
        <v>84.5</v>
      </c>
      <c r="K52" s="26" t="n">
        <f aca="false">IF(AND(F52&gt;40,E52&gt;97,B52&gt;=16,B52&lt;=24,J52&gt;72,I52&gt;10),1,0)</f>
        <v>0</v>
      </c>
      <c r="L52" s="26" t="n">
        <f aca="false">IF(AND(B52&gt;=20,B52&lt;=29,C52&gt;12,E52&gt;97,J52&gt;72),1,0)</f>
        <v>0</v>
      </c>
    </row>
    <row r="53" customFormat="false" ht="15" hidden="false" customHeight="false" outlineLevel="0" collapsed="false">
      <c r="A53" s="23" t="n">
        <v>46012</v>
      </c>
      <c r="B53" s="24" t="n">
        <v>16.7</v>
      </c>
      <c r="C53" s="24" t="n">
        <v>9.5</v>
      </c>
      <c r="D53" s="24" t="n">
        <v>0</v>
      </c>
      <c r="E53" s="24" t="n">
        <v>97</v>
      </c>
      <c r="F53" s="24" t="n">
        <v>95</v>
      </c>
      <c r="G53" s="24" t="n">
        <v>0</v>
      </c>
      <c r="H53" s="25" t="n">
        <f aca="false">MAX(0,(B53+C53)/2-Inputs_General!$C$4)</f>
        <v>8.1</v>
      </c>
      <c r="I53" s="25" t="n">
        <f aca="false">(B53+C53)/2</f>
        <v>13.1</v>
      </c>
      <c r="J53" s="25" t="n">
        <f aca="false">(E53+F53)/2</f>
        <v>96</v>
      </c>
      <c r="K53" s="26" t="n">
        <f aca="false">IF(AND(F53&gt;40,E53&gt;97,B53&gt;=16,B53&lt;=24,J53&gt;72,I53&gt;10),1,0)</f>
        <v>0</v>
      </c>
      <c r="L53" s="26" t="n">
        <f aca="false">IF(AND(B53&gt;=20,B53&lt;=29,C53&gt;12,E53&gt;97,J53&gt;72),1,0)</f>
        <v>0</v>
      </c>
    </row>
    <row r="54" customFormat="false" ht="15" hidden="false" customHeight="false" outlineLevel="0" collapsed="false">
      <c r="A54" s="23" t="n">
        <v>46013</v>
      </c>
      <c r="B54" s="24" t="n">
        <v>18</v>
      </c>
      <c r="C54" s="24" t="n">
        <v>9.2</v>
      </c>
      <c r="D54" s="24" t="n">
        <v>0</v>
      </c>
      <c r="E54" s="24" t="n">
        <v>98</v>
      </c>
      <c r="F54" s="24" t="n">
        <v>64</v>
      </c>
      <c r="G54" s="24" t="n">
        <v>0</v>
      </c>
      <c r="H54" s="25" t="n">
        <f aca="false">MAX(0,(B54+C54)/2-Inputs_General!$C$4)</f>
        <v>8.6</v>
      </c>
      <c r="I54" s="25" t="n">
        <f aca="false">(B54+C54)/2</f>
        <v>13.6</v>
      </c>
      <c r="J54" s="25" t="n">
        <f aca="false">(E54+F54)/2</f>
        <v>81</v>
      </c>
      <c r="K54" s="26" t="n">
        <f aca="false">IF(AND(F54&gt;40,E54&gt;97,B54&gt;=16,B54&lt;=24,J54&gt;72,I54&gt;10),1,0)</f>
        <v>1</v>
      </c>
      <c r="L54" s="26" t="n">
        <f aca="false">IF(AND(B54&gt;=20,B54&lt;=29,C54&gt;12,E54&gt;97,J54&gt;72),1,0)</f>
        <v>0</v>
      </c>
    </row>
    <row r="55" customFormat="false" ht="15" hidden="false" customHeight="false" outlineLevel="0" collapsed="false">
      <c r="A55" s="23" t="n">
        <v>46014</v>
      </c>
      <c r="B55" s="24" t="n">
        <v>21.4</v>
      </c>
      <c r="C55" s="24" t="n">
        <v>7.8</v>
      </c>
      <c r="D55" s="24" t="n">
        <v>0</v>
      </c>
      <c r="E55" s="24" t="n">
        <v>97</v>
      </c>
      <c r="F55" s="24" t="n">
        <v>58</v>
      </c>
      <c r="G55" s="24" t="n">
        <v>3.4</v>
      </c>
      <c r="H55" s="25" t="n">
        <f aca="false">MAX(0,(B55+C55)/2-Inputs_General!$C$4)</f>
        <v>9.6</v>
      </c>
      <c r="I55" s="25" t="n">
        <f aca="false">(B55+C55)/2</f>
        <v>14.6</v>
      </c>
      <c r="J55" s="25" t="n">
        <f aca="false">(E55+F55)/2</f>
        <v>77.5</v>
      </c>
      <c r="K55" s="26" t="n">
        <f aca="false">IF(AND(F55&gt;40,E55&gt;97,B55&gt;=16,B55&lt;=24,J55&gt;72,I55&gt;10),1,0)</f>
        <v>0</v>
      </c>
      <c r="L55" s="26" t="n">
        <f aca="false">IF(AND(B55&gt;=20,B55&lt;=29,C55&gt;12,E55&gt;97,J55&gt;72),1,0)</f>
        <v>0</v>
      </c>
    </row>
    <row r="56" customFormat="false" ht="15" hidden="false" customHeight="false" outlineLevel="0" collapsed="false">
      <c r="A56" s="23" t="n">
        <v>46015</v>
      </c>
      <c r="B56" s="24" t="n">
        <v>22.8</v>
      </c>
      <c r="C56" s="24" t="n">
        <v>10</v>
      </c>
      <c r="D56" s="24" t="n">
        <v>0</v>
      </c>
      <c r="E56" s="24" t="n">
        <v>100</v>
      </c>
      <c r="F56" s="24" t="n">
        <v>38</v>
      </c>
      <c r="G56" s="24" t="n">
        <v>5.7</v>
      </c>
      <c r="H56" s="25" t="n">
        <f aca="false">MAX(0,(B56+C56)/2-Inputs_General!$C$4)</f>
        <v>11.4</v>
      </c>
      <c r="I56" s="25" t="n">
        <f aca="false">(B56+C56)/2</f>
        <v>16.4</v>
      </c>
      <c r="J56" s="25" t="n">
        <f aca="false">(E56+F56)/2</f>
        <v>69</v>
      </c>
      <c r="K56" s="26" t="n">
        <f aca="false">IF(AND(F56&gt;40,E56&gt;97,B56&gt;=16,B56&lt;=24,J56&gt;72,I56&gt;10),1,0)</f>
        <v>0</v>
      </c>
      <c r="L56" s="26" t="n">
        <f aca="false">IF(AND(B56&gt;=20,B56&lt;=29,C56&gt;12,E56&gt;97,J56&gt;72),1,0)</f>
        <v>0</v>
      </c>
    </row>
    <row r="57" customFormat="false" ht="15" hidden="false" customHeight="false" outlineLevel="0" collapsed="false">
      <c r="A57" s="23" t="n">
        <v>46016</v>
      </c>
      <c r="B57" s="24" t="n">
        <v>22.2</v>
      </c>
      <c r="C57" s="24" t="n">
        <v>8.4</v>
      </c>
      <c r="D57" s="24" t="n">
        <v>0</v>
      </c>
      <c r="E57" s="24" t="n">
        <v>97</v>
      </c>
      <c r="F57" s="24" t="n">
        <v>43</v>
      </c>
      <c r="G57" s="24" t="n">
        <v>7.2</v>
      </c>
      <c r="H57" s="25" t="n">
        <f aca="false">MAX(0,(B57+C57)/2-Inputs_General!$C$4)</f>
        <v>10.3</v>
      </c>
      <c r="I57" s="25" t="n">
        <f aca="false">(B57+C57)/2</f>
        <v>15.3</v>
      </c>
      <c r="J57" s="25" t="n">
        <f aca="false">(E57+F57)/2</f>
        <v>70</v>
      </c>
      <c r="K57" s="26" t="n">
        <f aca="false">IF(AND(F57&gt;40,E57&gt;97,B57&gt;=16,B57&lt;=24,J57&gt;72,I57&gt;10),1,0)</f>
        <v>0</v>
      </c>
      <c r="L57" s="26" t="n">
        <f aca="false">IF(AND(B57&gt;=20,B57&lt;=29,C57&gt;12,E57&gt;97,J57&gt;72),1,0)</f>
        <v>0</v>
      </c>
    </row>
    <row r="58" customFormat="false" ht="15" hidden="false" customHeight="false" outlineLevel="0" collapsed="false">
      <c r="A58" s="23" t="n">
        <v>46017</v>
      </c>
      <c r="B58" s="24" t="n">
        <v>22</v>
      </c>
      <c r="C58" s="24" t="n">
        <v>6.9</v>
      </c>
      <c r="D58" s="24" t="n">
        <v>0</v>
      </c>
      <c r="E58" s="24" t="n">
        <v>100</v>
      </c>
      <c r="F58" s="24" t="n">
        <v>49</v>
      </c>
      <c r="G58" s="24" t="n">
        <v>7.7</v>
      </c>
      <c r="H58" s="25" t="n">
        <f aca="false">MAX(0,(B58+C58)/2-Inputs_General!$C$4)</f>
        <v>9.45</v>
      </c>
      <c r="I58" s="25" t="n">
        <f aca="false">(B58+C58)/2</f>
        <v>14.45</v>
      </c>
      <c r="J58" s="25" t="n">
        <f aca="false">(E58+F58)/2</f>
        <v>74.5</v>
      </c>
      <c r="K58" s="26" t="n">
        <f aca="false">IF(AND(F58&gt;40,E58&gt;97,B58&gt;=16,B58&lt;=24,J58&gt;72,I58&gt;10),1,0)</f>
        <v>1</v>
      </c>
      <c r="L58" s="26" t="n">
        <f aca="false">IF(AND(B58&gt;=20,B58&lt;=29,C58&gt;12,E58&gt;97,J58&gt;72),1,0)</f>
        <v>0</v>
      </c>
    </row>
    <row r="59" customFormat="false" ht="15" hidden="false" customHeight="false" outlineLevel="0" collapsed="false">
      <c r="A59" s="23" t="n">
        <v>46018</v>
      </c>
      <c r="B59" s="24" t="n">
        <v>21.6</v>
      </c>
      <c r="C59" s="24" t="n">
        <v>6.2</v>
      </c>
      <c r="D59" s="24" t="n">
        <v>0</v>
      </c>
      <c r="E59" s="24" t="n">
        <v>97</v>
      </c>
      <c r="F59" s="24" t="n">
        <v>66</v>
      </c>
      <c r="G59" s="24" t="n">
        <v>5.8</v>
      </c>
      <c r="H59" s="25" t="n">
        <f aca="false">MAX(0,(B59+C59)/2-Inputs_General!$C$4)</f>
        <v>8.9</v>
      </c>
      <c r="I59" s="25" t="n">
        <f aca="false">(B59+C59)/2</f>
        <v>13.9</v>
      </c>
      <c r="J59" s="25" t="n">
        <f aca="false">(E59+F59)/2</f>
        <v>81.5</v>
      </c>
      <c r="K59" s="26" t="n">
        <f aca="false">IF(AND(F59&gt;40,E59&gt;97,B59&gt;=16,B59&lt;=24,J59&gt;72,I59&gt;10),1,0)</f>
        <v>0</v>
      </c>
      <c r="L59" s="26" t="n">
        <f aca="false">IF(AND(B59&gt;=20,B59&lt;=29,C59&gt;12,E59&gt;97,J59&gt;72),1,0)</f>
        <v>0</v>
      </c>
    </row>
    <row r="60" customFormat="false" ht="15" hidden="false" customHeight="false" outlineLevel="0" collapsed="false">
      <c r="A60" s="23" t="n">
        <v>46019</v>
      </c>
      <c r="B60" s="24" t="n">
        <v>20.8</v>
      </c>
      <c r="C60" s="24" t="n">
        <v>5</v>
      </c>
      <c r="D60" s="24" t="n">
        <v>0</v>
      </c>
      <c r="E60" s="24" t="n">
        <v>100</v>
      </c>
      <c r="F60" s="24" t="n">
        <v>58</v>
      </c>
      <c r="G60" s="24" t="n">
        <v>4.9</v>
      </c>
      <c r="H60" s="25" t="n">
        <f aca="false">MAX(0,(B60+C60)/2-Inputs_General!$C$4)</f>
        <v>7.9</v>
      </c>
      <c r="I60" s="25" t="n">
        <f aca="false">(B60+C60)/2</f>
        <v>12.9</v>
      </c>
      <c r="J60" s="25" t="n">
        <f aca="false">(E60+F60)/2</f>
        <v>79</v>
      </c>
      <c r="K60" s="26" t="n">
        <f aca="false">IF(AND(F60&gt;40,E60&gt;97,B60&gt;=16,B60&lt;=24,J60&gt;72,I60&gt;10),1,0)</f>
        <v>1</v>
      </c>
      <c r="L60" s="26" t="n">
        <f aca="false">IF(AND(B60&gt;=20,B60&lt;=29,C60&gt;12,E60&gt;97,J60&gt;72),1,0)</f>
        <v>0</v>
      </c>
    </row>
    <row r="61" customFormat="false" ht="15" hidden="false" customHeight="false" outlineLevel="0" collapsed="false">
      <c r="A61" s="23" t="n">
        <v>46020</v>
      </c>
      <c r="B61" s="24" t="n">
        <v>21</v>
      </c>
      <c r="C61" s="24" t="n">
        <v>4.2</v>
      </c>
      <c r="D61" s="24" t="n">
        <v>0</v>
      </c>
      <c r="E61" s="24" t="n">
        <v>97</v>
      </c>
      <c r="F61" s="24" t="n">
        <v>61</v>
      </c>
      <c r="G61" s="24" t="n">
        <v>4.5</v>
      </c>
      <c r="H61" s="25" t="n">
        <f aca="false">MAX(0,(B61+C61)/2-Inputs_General!$C$4)</f>
        <v>7.6</v>
      </c>
      <c r="I61" s="25" t="n">
        <f aca="false">(B61+C61)/2</f>
        <v>12.6</v>
      </c>
      <c r="J61" s="25" t="n">
        <f aca="false">(E61+F61)/2</f>
        <v>79</v>
      </c>
      <c r="K61" s="26" t="n">
        <f aca="false">IF(AND(F61&gt;40,E61&gt;97,B61&gt;=16,B61&lt;=24,J61&gt;72,I61&gt;10),1,0)</f>
        <v>0</v>
      </c>
      <c r="L61" s="26" t="n">
        <f aca="false">IF(AND(B61&gt;=20,B61&lt;=29,C61&gt;12,E61&gt;97,J61&gt;72),1,0)</f>
        <v>0</v>
      </c>
    </row>
    <row r="62" customFormat="false" ht="15" hidden="false" customHeight="false" outlineLevel="0" collapsed="false">
      <c r="A62" s="23" t="n">
        <v>46021</v>
      </c>
      <c r="B62" s="24" t="n">
        <v>19.8</v>
      </c>
      <c r="C62" s="24" t="n">
        <v>6.5</v>
      </c>
      <c r="D62" s="24" t="n">
        <v>0</v>
      </c>
      <c r="E62" s="24" t="n">
        <v>100</v>
      </c>
      <c r="F62" s="24" t="n">
        <v>76</v>
      </c>
      <c r="G62" s="24" t="n">
        <v>2.1</v>
      </c>
      <c r="H62" s="25" t="n">
        <f aca="false">MAX(0,(B62+C62)/2-Inputs_General!$C$4)</f>
        <v>8.15</v>
      </c>
      <c r="I62" s="25" t="n">
        <f aca="false">(B62+C62)/2</f>
        <v>13.15</v>
      </c>
      <c r="J62" s="25" t="n">
        <f aca="false">(E62+F62)/2</f>
        <v>88</v>
      </c>
      <c r="K62" s="26" t="n">
        <f aca="false">IF(AND(F62&gt;40,E62&gt;97,B62&gt;=16,B62&lt;=24,J62&gt;72,I62&gt;10),1,0)</f>
        <v>1</v>
      </c>
      <c r="L62" s="26" t="n">
        <f aca="false">IF(AND(B62&gt;=20,B62&lt;=29,C62&gt;12,E62&gt;97,J62&gt;72),1,0)</f>
        <v>0</v>
      </c>
    </row>
    <row r="63" customFormat="false" ht="15" hidden="false" customHeight="false" outlineLevel="0" collapsed="false">
      <c r="A63" s="23" t="n">
        <v>46022</v>
      </c>
      <c r="B63" s="24" t="n">
        <v>20.7</v>
      </c>
      <c r="C63" s="24" t="n">
        <v>5.5</v>
      </c>
      <c r="D63" s="24" t="n">
        <v>0</v>
      </c>
      <c r="E63" s="24" t="n">
        <v>100</v>
      </c>
      <c r="F63" s="24" t="n">
        <v>91</v>
      </c>
      <c r="G63" s="24" t="n">
        <v>3.9</v>
      </c>
      <c r="H63" s="25" t="n">
        <f aca="false">MAX(0,(B63+C63)/2-Inputs_General!$C$4)</f>
        <v>8.1</v>
      </c>
      <c r="I63" s="25" t="n">
        <f aca="false">(B63+C63)/2</f>
        <v>13.1</v>
      </c>
      <c r="J63" s="25" t="n">
        <f aca="false">(E63+F63)/2</f>
        <v>95.5</v>
      </c>
      <c r="K63" s="26" t="n">
        <f aca="false">IF(AND(F63&gt;40,E63&gt;97,B63&gt;=16,B63&lt;=24,J63&gt;72,I63&gt;10),1,0)</f>
        <v>1</v>
      </c>
      <c r="L63" s="26" t="n">
        <f aca="false">IF(AND(B63&gt;=20,B63&lt;=29,C63&gt;12,E63&gt;97,J63&gt;72),1,0)</f>
        <v>0</v>
      </c>
    </row>
    <row r="64" customFormat="false" ht="15" hidden="false" customHeight="false" outlineLevel="0" collapsed="false">
      <c r="A64" s="23" t="n">
        <v>46023</v>
      </c>
      <c r="B64" s="24" t="n">
        <v>14</v>
      </c>
      <c r="C64" s="24" t="n">
        <v>10.5</v>
      </c>
      <c r="D64" s="24" t="n">
        <v>0</v>
      </c>
      <c r="E64" s="24" t="n">
        <v>93</v>
      </c>
      <c r="F64" s="24" t="n">
        <v>79</v>
      </c>
      <c r="G64" s="24" t="n">
        <v>0</v>
      </c>
      <c r="H64" s="25" t="n">
        <f aca="false">MAX(0,(B64+C64)/2-Inputs_General!$C$4)</f>
        <v>7.25</v>
      </c>
      <c r="I64" s="25" t="n">
        <f aca="false">(B64+C64)/2</f>
        <v>12.25</v>
      </c>
      <c r="J64" s="25" t="n">
        <f aca="false">(E64+F64)/2</f>
        <v>86</v>
      </c>
      <c r="K64" s="26" t="n">
        <f aca="false">IF(AND(F64&gt;40,E64&gt;97,B64&gt;=16,B64&lt;=24,J64&gt;72,I64&gt;10),1,0)</f>
        <v>0</v>
      </c>
      <c r="L64" s="26" t="n">
        <f aca="false">IF(AND(B64&gt;=20,B64&lt;=29,C64&gt;12,E64&gt;97,J64&gt;72),1,0)</f>
        <v>0</v>
      </c>
    </row>
    <row r="65" customFormat="false" ht="15" hidden="false" customHeight="false" outlineLevel="0" collapsed="false">
      <c r="A65" s="23" t="n">
        <v>46024</v>
      </c>
      <c r="B65" s="24" t="n">
        <v>16.9</v>
      </c>
      <c r="C65" s="24" t="n">
        <v>9.3</v>
      </c>
      <c r="D65" s="24" t="n">
        <v>0</v>
      </c>
      <c r="E65" s="24" t="n">
        <v>100</v>
      </c>
      <c r="F65" s="24" t="n">
        <v>69</v>
      </c>
      <c r="G65" s="24" t="n">
        <v>0</v>
      </c>
      <c r="H65" s="25" t="n">
        <f aca="false">MAX(0,(B65+C65)/2-Inputs_General!$C$4)</f>
        <v>8.1</v>
      </c>
      <c r="I65" s="25" t="n">
        <f aca="false">(B65+C65)/2</f>
        <v>13.1</v>
      </c>
      <c r="J65" s="25" t="n">
        <f aca="false">(E65+F65)/2</f>
        <v>84.5</v>
      </c>
      <c r="K65" s="26" t="n">
        <f aca="false">IF(AND(F65&gt;40,E65&gt;97,B65&gt;=16,B65&lt;=24,J65&gt;72,I65&gt;10),1,0)</f>
        <v>1</v>
      </c>
      <c r="L65" s="26" t="n">
        <f aca="false">IF(AND(B65&gt;=20,B65&lt;=29,C65&gt;12,E65&gt;97,J65&gt;72),1,0)</f>
        <v>0</v>
      </c>
    </row>
    <row r="66" customFormat="false" ht="15" hidden="false" customHeight="false" outlineLevel="0" collapsed="false">
      <c r="A66" s="23" t="n">
        <v>46025</v>
      </c>
      <c r="B66" s="24" t="n">
        <v>17</v>
      </c>
      <c r="C66" s="24" t="n">
        <v>8.4</v>
      </c>
      <c r="D66" s="24" t="n">
        <v>0</v>
      </c>
      <c r="E66" s="24" t="n">
        <v>95</v>
      </c>
      <c r="F66" s="24" t="n">
        <v>73</v>
      </c>
      <c r="G66" s="24" t="n">
        <v>0.2</v>
      </c>
      <c r="H66" s="25" t="n">
        <f aca="false">MAX(0,(B66+C66)/2-Inputs_General!$C$4)</f>
        <v>7.7</v>
      </c>
      <c r="I66" s="25" t="n">
        <f aca="false">(B66+C66)/2</f>
        <v>12.7</v>
      </c>
      <c r="J66" s="25" t="n">
        <f aca="false">(E66+F66)/2</f>
        <v>84</v>
      </c>
      <c r="K66" s="26" t="n">
        <f aca="false">IF(AND(F66&gt;40,E66&gt;97,B66&gt;=16,B66&lt;=24,J66&gt;72,I66&gt;10),1,0)</f>
        <v>0</v>
      </c>
      <c r="L66" s="26" t="n">
        <f aca="false">IF(AND(B66&gt;=20,B66&lt;=29,C66&gt;12,E66&gt;97,J66&gt;72),1,0)</f>
        <v>0</v>
      </c>
    </row>
    <row r="67" customFormat="false" ht="15" hidden="false" customHeight="false" outlineLevel="0" collapsed="false">
      <c r="A67" s="23" t="n">
        <v>46026</v>
      </c>
      <c r="B67" s="24" t="n">
        <v>16.6</v>
      </c>
      <c r="C67" s="24" t="n">
        <v>8.5</v>
      </c>
      <c r="D67" s="24" t="n">
        <v>0</v>
      </c>
      <c r="E67" s="24" t="n">
        <v>98</v>
      </c>
      <c r="F67" s="24" t="n">
        <v>71</v>
      </c>
      <c r="G67" s="24" t="n">
        <v>0</v>
      </c>
      <c r="H67" s="25" t="n">
        <f aca="false">MAX(0,(B67+C67)/2-Inputs_General!$C$4)</f>
        <v>7.55</v>
      </c>
      <c r="I67" s="25" t="n">
        <f aca="false">(B67+C67)/2</f>
        <v>12.55</v>
      </c>
      <c r="J67" s="25" t="n">
        <f aca="false">(E67+F67)/2</f>
        <v>84.5</v>
      </c>
      <c r="K67" s="26" t="n">
        <f aca="false">IF(AND(F67&gt;40,E67&gt;97,B67&gt;=16,B67&lt;=24,J67&gt;72,I67&gt;10),1,0)</f>
        <v>1</v>
      </c>
      <c r="L67" s="26" t="n">
        <f aca="false">IF(AND(B67&gt;=20,B67&lt;=29,C67&gt;12,E67&gt;97,J67&gt;72),1,0)</f>
        <v>0</v>
      </c>
    </row>
    <row r="68" customFormat="false" ht="15" hidden="false" customHeight="false" outlineLevel="0" collapsed="false">
      <c r="A68" s="23" t="n">
        <v>46027</v>
      </c>
      <c r="B68" s="24" t="n">
        <v>17.1</v>
      </c>
      <c r="C68" s="24" t="n">
        <v>8.6</v>
      </c>
      <c r="D68" s="24" t="n">
        <v>0</v>
      </c>
      <c r="E68" s="24" t="n">
        <v>87</v>
      </c>
      <c r="F68" s="24" t="n">
        <v>62</v>
      </c>
      <c r="G68" s="24" t="n">
        <v>0</v>
      </c>
      <c r="H68" s="25" t="n">
        <f aca="false">MAX(0,(B68+C68)/2-Inputs_General!$C$4)</f>
        <v>7.85</v>
      </c>
      <c r="I68" s="25" t="n">
        <f aca="false">(B68+C68)/2</f>
        <v>12.85</v>
      </c>
      <c r="J68" s="25" t="n">
        <f aca="false">(E68+F68)/2</f>
        <v>74.5</v>
      </c>
      <c r="K68" s="26" t="n">
        <f aca="false">IF(AND(F68&gt;40,E68&gt;97,B68&gt;=16,B68&lt;=24,J68&gt;72,I68&gt;10),1,0)</f>
        <v>0</v>
      </c>
      <c r="L68" s="26" t="n">
        <f aca="false">IF(AND(B68&gt;=20,B68&lt;=29,C68&gt;12,E68&gt;97,J68&gt;72),1,0)</f>
        <v>0</v>
      </c>
    </row>
    <row r="69" customFormat="false" ht="15" hidden="false" customHeight="false" outlineLevel="0" collapsed="false">
      <c r="A69" s="23" t="n">
        <v>46028</v>
      </c>
      <c r="B69" s="24" t="n">
        <v>17.9</v>
      </c>
      <c r="C69" s="24" t="n">
        <v>8.5</v>
      </c>
      <c r="D69" s="24" t="n">
        <v>0</v>
      </c>
      <c r="E69" s="24" t="n">
        <v>100</v>
      </c>
      <c r="F69" s="24" t="n">
        <v>77</v>
      </c>
      <c r="G69" s="24" t="n">
        <v>4.5</v>
      </c>
      <c r="H69" s="25" t="n">
        <f aca="false">MAX(0,(B69+C69)/2-Inputs_General!$C$4)</f>
        <v>8.2</v>
      </c>
      <c r="I69" s="25" t="n">
        <f aca="false">(B69+C69)/2</f>
        <v>13.2</v>
      </c>
      <c r="J69" s="25" t="n">
        <f aca="false">(E69+F69)/2</f>
        <v>88.5</v>
      </c>
      <c r="K69" s="26" t="n">
        <f aca="false">IF(AND(F69&gt;40,E69&gt;97,B69&gt;=16,B69&lt;=24,J69&gt;72,I69&gt;10),1,0)</f>
        <v>1</v>
      </c>
      <c r="L69" s="26" t="n">
        <f aca="false">IF(AND(B69&gt;=20,B69&lt;=29,C69&gt;12,E69&gt;97,J69&gt;72),1,0)</f>
        <v>0</v>
      </c>
    </row>
    <row r="70" customFormat="false" ht="15" hidden="false" customHeight="false" outlineLevel="0" collapsed="false">
      <c r="A70" s="23" t="n">
        <v>46029</v>
      </c>
      <c r="B70" s="24" t="n">
        <v>13.9</v>
      </c>
      <c r="C70" s="24" t="n">
        <v>8.5</v>
      </c>
      <c r="D70" s="24" t="n">
        <v>0</v>
      </c>
      <c r="E70" s="24" t="n">
        <v>93</v>
      </c>
      <c r="F70" s="24" t="n">
        <v>65</v>
      </c>
      <c r="G70" s="24" t="n">
        <v>0</v>
      </c>
      <c r="H70" s="25" t="n">
        <f aca="false">MAX(0,(B70+C70)/2-Inputs_General!$C$4)</f>
        <v>6.2</v>
      </c>
      <c r="I70" s="25" t="n">
        <f aca="false">(B70+C70)/2</f>
        <v>11.2</v>
      </c>
      <c r="J70" s="25" t="n">
        <f aca="false">(E70+F70)/2</f>
        <v>79</v>
      </c>
      <c r="K70" s="26" t="n">
        <f aca="false">IF(AND(F70&gt;40,E70&gt;97,B70&gt;=16,B70&lt;=24,J70&gt;72,I70&gt;10),1,0)</f>
        <v>0</v>
      </c>
      <c r="L70" s="26" t="n">
        <f aca="false">IF(AND(B70&gt;=20,B70&lt;=29,C70&gt;12,E70&gt;97,J70&gt;72),1,0)</f>
        <v>0</v>
      </c>
    </row>
    <row r="71" customFormat="false" ht="15" hidden="false" customHeight="false" outlineLevel="0" collapsed="false">
      <c r="A71" s="23" t="n">
        <v>46030</v>
      </c>
      <c r="B71" s="24" t="n">
        <v>15.3</v>
      </c>
      <c r="C71" s="24" t="n">
        <v>6.2</v>
      </c>
      <c r="D71" s="24" t="n">
        <v>0</v>
      </c>
      <c r="E71" s="24" t="n">
        <v>97</v>
      </c>
      <c r="F71" s="24" t="n">
        <v>69</v>
      </c>
      <c r="G71" s="24" t="n">
        <v>2.1</v>
      </c>
      <c r="H71" s="25" t="n">
        <f aca="false">MAX(0,(B71+C71)/2-Inputs_General!$C$4)</f>
        <v>5.75</v>
      </c>
      <c r="I71" s="25" t="n">
        <f aca="false">(B71+C71)/2</f>
        <v>10.75</v>
      </c>
      <c r="J71" s="25" t="n">
        <f aca="false">(E71+F71)/2</f>
        <v>83</v>
      </c>
      <c r="K71" s="26" t="n">
        <f aca="false">IF(AND(F71&gt;40,E71&gt;97,B71&gt;=16,B71&lt;=24,J71&gt;72,I71&gt;10),1,0)</f>
        <v>0</v>
      </c>
      <c r="L71" s="26" t="n">
        <f aca="false">IF(AND(B71&gt;=20,B71&lt;=29,C71&gt;12,E71&gt;97,J71&gt;72),1,0)</f>
        <v>0</v>
      </c>
    </row>
    <row r="72" customFormat="false" ht="15" hidden="false" customHeight="false" outlineLevel="0" collapsed="false">
      <c r="A72" s="23" t="n">
        <v>46031</v>
      </c>
      <c r="B72" s="24" t="n">
        <v>16.9</v>
      </c>
      <c r="C72" s="24" t="n">
        <v>4.9</v>
      </c>
      <c r="D72" s="24" t="n">
        <v>0</v>
      </c>
      <c r="E72" s="24" t="n">
        <v>97</v>
      </c>
      <c r="F72" s="24" t="n">
        <v>57</v>
      </c>
      <c r="G72" s="24" t="n">
        <v>5</v>
      </c>
      <c r="H72" s="25" t="n">
        <f aca="false">MAX(0,(B72+C72)/2-Inputs_General!$C$4)</f>
        <v>5.9</v>
      </c>
      <c r="I72" s="25" t="n">
        <f aca="false">(B72+C72)/2</f>
        <v>10.9</v>
      </c>
      <c r="J72" s="25" t="n">
        <f aca="false">(E72+F72)/2</f>
        <v>77</v>
      </c>
      <c r="K72" s="26" t="n">
        <f aca="false">IF(AND(F72&gt;40,E72&gt;97,B72&gt;=16,B72&lt;=24,J72&gt;72,I72&gt;10),1,0)</f>
        <v>0</v>
      </c>
      <c r="L72" s="26" t="n">
        <f aca="false">IF(AND(B72&gt;=20,B72&lt;=29,C72&gt;12,E72&gt;97,J72&gt;72),1,0)</f>
        <v>0</v>
      </c>
    </row>
    <row r="73" customFormat="false" ht="15" hidden="false" customHeight="false" outlineLevel="0" collapsed="false">
      <c r="A73" s="23" t="n">
        <v>46032</v>
      </c>
      <c r="B73" s="24" t="n">
        <v>17.5</v>
      </c>
      <c r="C73" s="24" t="n">
        <v>3.2</v>
      </c>
      <c r="D73" s="24" t="n">
        <v>0</v>
      </c>
      <c r="E73" s="24" t="n">
        <v>97</v>
      </c>
      <c r="F73" s="24" t="n">
        <v>38</v>
      </c>
      <c r="G73" s="24" t="n">
        <v>0.6</v>
      </c>
      <c r="H73" s="25" t="n">
        <f aca="false">MAX(0,(B73+C73)/2-Inputs_General!$C$4)</f>
        <v>5.35</v>
      </c>
      <c r="I73" s="25" t="n">
        <f aca="false">(B73+C73)/2</f>
        <v>10.35</v>
      </c>
      <c r="J73" s="25" t="n">
        <f aca="false">(E73+F73)/2</f>
        <v>67.5</v>
      </c>
      <c r="K73" s="26" t="n">
        <f aca="false">IF(AND(F73&gt;40,E73&gt;97,B73&gt;=16,B73&lt;=24,J73&gt;72,I73&gt;10),1,0)</f>
        <v>0</v>
      </c>
      <c r="L73" s="26" t="n">
        <f aca="false">IF(AND(B73&gt;=20,B73&lt;=29,C73&gt;12,E73&gt;97,J73&gt;72),1,0)</f>
        <v>0</v>
      </c>
    </row>
    <row r="74" customFormat="false" ht="15" hidden="false" customHeight="false" outlineLevel="0" collapsed="false">
      <c r="A74" s="23" t="n">
        <v>46033</v>
      </c>
      <c r="B74" s="24" t="n">
        <v>18.1</v>
      </c>
      <c r="C74" s="24" t="n">
        <v>3.9</v>
      </c>
      <c r="D74" s="24" t="n">
        <v>0</v>
      </c>
      <c r="E74" s="24" t="n">
        <v>94</v>
      </c>
      <c r="F74" s="24" t="n">
        <v>44</v>
      </c>
      <c r="G74" s="24" t="n">
        <v>6.2</v>
      </c>
      <c r="H74" s="25" t="n">
        <f aca="false">MAX(0,(B74+C74)/2-Inputs_General!$C$4)</f>
        <v>6</v>
      </c>
      <c r="I74" s="25" t="n">
        <f aca="false">(B74+C74)/2</f>
        <v>11</v>
      </c>
      <c r="J74" s="25" t="n">
        <f aca="false">(E74+F74)/2</f>
        <v>69</v>
      </c>
      <c r="K74" s="26" t="n">
        <f aca="false">IF(AND(F74&gt;40,E74&gt;97,B74&gt;=16,B74&lt;=24,J74&gt;72,I74&gt;10),1,0)</f>
        <v>0</v>
      </c>
      <c r="L74" s="26" t="n">
        <f aca="false">IF(AND(B74&gt;=20,B74&lt;=29,C74&gt;12,E74&gt;97,J74&gt;72),1,0)</f>
        <v>0</v>
      </c>
    </row>
    <row r="75" customFormat="false" ht="15" hidden="false" customHeight="false" outlineLevel="0" collapsed="false">
      <c r="A75" s="23" t="n">
        <v>46034</v>
      </c>
      <c r="B75" s="24" t="n">
        <v>17</v>
      </c>
      <c r="C75" s="24" t="n">
        <v>1.8</v>
      </c>
      <c r="D75" s="24" t="n">
        <v>0</v>
      </c>
      <c r="E75" s="24" t="n">
        <v>93</v>
      </c>
      <c r="F75" s="24" t="n">
        <v>30</v>
      </c>
      <c r="G75" s="24" t="n">
        <v>7.2</v>
      </c>
      <c r="H75" s="25" t="n">
        <f aca="false">MAX(0,(B75+C75)/2-Inputs_General!$C$4)</f>
        <v>4.4</v>
      </c>
      <c r="I75" s="25" t="n">
        <f aca="false">(B75+C75)/2</f>
        <v>9.4</v>
      </c>
      <c r="J75" s="25" t="n">
        <f aca="false">(E75+F75)/2</f>
        <v>61.5</v>
      </c>
      <c r="K75" s="26" t="n">
        <f aca="false">IF(AND(F75&gt;40,E75&gt;97,B75&gt;=16,B75&lt;=24,J75&gt;72,I75&gt;10),1,0)</f>
        <v>0</v>
      </c>
      <c r="L75" s="26" t="n">
        <f aca="false">IF(AND(B75&gt;=20,B75&lt;=29,C75&gt;12,E75&gt;97,J75&gt;72),1,0)</f>
        <v>0</v>
      </c>
    </row>
    <row r="76" customFormat="false" ht="15" hidden="false" customHeight="false" outlineLevel="0" collapsed="false">
      <c r="A76" s="23" t="n">
        <v>46035</v>
      </c>
      <c r="B76" s="24" t="n">
        <v>18.8</v>
      </c>
      <c r="C76" s="24" t="n">
        <v>1.6</v>
      </c>
      <c r="D76" s="24" t="n">
        <v>0</v>
      </c>
      <c r="E76" s="24" t="n">
        <v>100</v>
      </c>
      <c r="F76" s="24" t="n">
        <v>40</v>
      </c>
      <c r="G76" s="24" t="n">
        <v>7.5</v>
      </c>
      <c r="H76" s="25" t="n">
        <f aca="false">MAX(0,(B76+C76)/2-Inputs_General!$C$4)</f>
        <v>5.2</v>
      </c>
      <c r="I76" s="25" t="n">
        <f aca="false">(B76+C76)/2</f>
        <v>10.2</v>
      </c>
      <c r="J76" s="25" t="n">
        <f aca="false">(E76+F76)/2</f>
        <v>70</v>
      </c>
      <c r="K76" s="26" t="n">
        <f aca="false">IF(AND(F76&gt;40,E76&gt;97,B76&gt;=16,B76&lt;=24,J76&gt;72,I76&gt;10),1,0)</f>
        <v>0</v>
      </c>
      <c r="L76" s="26" t="n">
        <f aca="false">IF(AND(B76&gt;=20,B76&lt;=29,C76&gt;12,E76&gt;97,J76&gt;72),1,0)</f>
        <v>0</v>
      </c>
    </row>
    <row r="77" customFormat="false" ht="15" hidden="false" customHeight="false" outlineLevel="0" collapsed="false">
      <c r="A77" s="23" t="n">
        <v>46036</v>
      </c>
      <c r="B77" s="24" t="n">
        <v>21</v>
      </c>
      <c r="C77" s="24" t="n">
        <v>2.5</v>
      </c>
      <c r="D77" s="24" t="n">
        <v>0</v>
      </c>
      <c r="E77" s="24" t="n">
        <v>100</v>
      </c>
      <c r="F77" s="24" t="n">
        <v>48</v>
      </c>
      <c r="G77" s="24" t="n">
        <v>7</v>
      </c>
      <c r="H77" s="25" t="n">
        <f aca="false">MAX(0,(B77+C77)/2-Inputs_General!$C$4)</f>
        <v>6.75</v>
      </c>
      <c r="I77" s="25" t="n">
        <f aca="false">(B77+C77)/2</f>
        <v>11.75</v>
      </c>
      <c r="J77" s="25" t="n">
        <f aca="false">(E77+F77)/2</f>
        <v>74</v>
      </c>
      <c r="K77" s="26" t="n">
        <f aca="false">IF(AND(F77&gt;40,E77&gt;97,B77&gt;=16,B77&lt;=24,J77&gt;72,I77&gt;10),1,0)</f>
        <v>1</v>
      </c>
      <c r="L77" s="26" t="n">
        <f aca="false">IF(AND(B77&gt;=20,B77&lt;=29,C77&gt;12,E77&gt;97,J77&gt;72),1,0)</f>
        <v>0</v>
      </c>
    </row>
    <row r="78" customFormat="false" ht="15" hidden="false" customHeight="false" outlineLevel="0" collapsed="false">
      <c r="A78" s="23" t="n">
        <v>46037</v>
      </c>
      <c r="B78" s="24" t="n">
        <v>17.7</v>
      </c>
      <c r="C78" s="24" t="n">
        <v>2</v>
      </c>
      <c r="D78" s="24" t="n">
        <v>0</v>
      </c>
      <c r="E78" s="24" t="n">
        <v>97</v>
      </c>
      <c r="F78" s="24" t="n">
        <v>52</v>
      </c>
      <c r="G78" s="24" t="n">
        <v>6.6</v>
      </c>
      <c r="H78" s="25" t="n">
        <f aca="false">MAX(0,(B78+C78)/2-Inputs_General!$C$4)</f>
        <v>4.85</v>
      </c>
      <c r="I78" s="25" t="n">
        <f aca="false">(B78+C78)/2</f>
        <v>9.85</v>
      </c>
      <c r="J78" s="25" t="n">
        <f aca="false">(E78+F78)/2</f>
        <v>74.5</v>
      </c>
      <c r="K78" s="26" t="n">
        <f aca="false">IF(AND(F78&gt;40,E78&gt;97,B78&gt;=16,B78&lt;=24,J78&gt;72,I78&gt;10),1,0)</f>
        <v>0</v>
      </c>
      <c r="L78" s="26" t="n">
        <f aca="false">IF(AND(B78&gt;=20,B78&lt;=29,C78&gt;12,E78&gt;97,J78&gt;72),1,0)</f>
        <v>0</v>
      </c>
    </row>
    <row r="79" customFormat="false" ht="15" hidden="false" customHeight="false" outlineLevel="0" collapsed="false">
      <c r="A79" s="23" t="n">
        <v>46038</v>
      </c>
      <c r="B79" s="24" t="n">
        <v>18.9</v>
      </c>
      <c r="C79" s="24" t="n">
        <v>3</v>
      </c>
      <c r="D79" s="24" t="n">
        <v>0</v>
      </c>
      <c r="E79" s="24" t="n">
        <v>100</v>
      </c>
      <c r="F79" s="24" t="n">
        <v>54</v>
      </c>
      <c r="G79" s="24" t="n">
        <v>5.9</v>
      </c>
      <c r="H79" s="25" t="n">
        <f aca="false">MAX(0,(B79+C79)/2-Inputs_General!$C$4)</f>
        <v>5.95</v>
      </c>
      <c r="I79" s="25" t="n">
        <f aca="false">(B79+C79)/2</f>
        <v>10.95</v>
      </c>
      <c r="J79" s="25" t="n">
        <f aca="false">(E79+F79)/2</f>
        <v>77</v>
      </c>
      <c r="K79" s="26" t="n">
        <f aca="false">IF(AND(F79&gt;40,E79&gt;97,B79&gt;=16,B79&lt;=24,J79&gt;72,I79&gt;10),1,0)</f>
        <v>1</v>
      </c>
      <c r="L79" s="26" t="n">
        <f aca="false">IF(AND(B79&gt;=20,B79&lt;=29,C79&gt;12,E79&gt;97,J79&gt;72),1,0)</f>
        <v>0</v>
      </c>
    </row>
    <row r="80" customFormat="false" ht="15" hidden="false" customHeight="false" outlineLevel="0" collapsed="false">
      <c r="A80" s="23" t="n">
        <v>46039</v>
      </c>
      <c r="B80" s="24" t="n">
        <v>21.3</v>
      </c>
      <c r="C80" s="24" t="n">
        <v>3.1</v>
      </c>
      <c r="D80" s="24" t="n">
        <v>0</v>
      </c>
      <c r="E80" s="24" t="n">
        <v>91</v>
      </c>
      <c r="F80" s="24" t="n">
        <v>45</v>
      </c>
      <c r="G80" s="24" t="n">
        <v>5.9</v>
      </c>
      <c r="H80" s="25" t="n">
        <f aca="false">MAX(0,(B80+C80)/2-Inputs_General!$C$4)</f>
        <v>7.2</v>
      </c>
      <c r="I80" s="25" t="n">
        <f aca="false">(B80+C80)/2</f>
        <v>12.2</v>
      </c>
      <c r="J80" s="25" t="n">
        <f aca="false">(E80+F80)/2</f>
        <v>68</v>
      </c>
      <c r="K80" s="26" t="n">
        <f aca="false">IF(AND(F80&gt;40,E80&gt;97,B80&gt;=16,B80&lt;=24,J80&gt;72,I80&gt;10),1,0)</f>
        <v>0</v>
      </c>
      <c r="L80" s="26" t="n">
        <f aca="false">IF(AND(B80&gt;=20,B80&lt;=29,C80&gt;12,E80&gt;97,J80&gt;72),1,0)</f>
        <v>0</v>
      </c>
    </row>
    <row r="81" customFormat="false" ht="15" hidden="false" customHeight="false" outlineLevel="0" collapsed="false">
      <c r="A81" s="23" t="n">
        <v>46040</v>
      </c>
      <c r="B81" s="24" t="n">
        <v>18.9</v>
      </c>
      <c r="C81" s="24" t="n">
        <v>4.1</v>
      </c>
      <c r="D81" s="24" t="n">
        <v>0</v>
      </c>
      <c r="E81" s="24" t="n">
        <v>97</v>
      </c>
      <c r="F81" s="24" t="n">
        <v>54</v>
      </c>
      <c r="G81" s="24" t="n">
        <v>5</v>
      </c>
      <c r="H81" s="25" t="n">
        <f aca="false">MAX(0,(B81+C81)/2-Inputs_General!$C$4)</f>
        <v>6.5</v>
      </c>
      <c r="I81" s="25" t="n">
        <f aca="false">(B81+C81)/2</f>
        <v>11.5</v>
      </c>
      <c r="J81" s="25" t="n">
        <f aca="false">(E81+F81)/2</f>
        <v>75.5</v>
      </c>
      <c r="K81" s="26" t="n">
        <f aca="false">IF(AND(F81&gt;40,E81&gt;97,B81&gt;=16,B81&lt;=24,J81&gt;72,I81&gt;10),1,0)</f>
        <v>0</v>
      </c>
      <c r="L81" s="26" t="n">
        <f aca="false">IF(AND(B81&gt;=20,B81&lt;=29,C81&gt;12,E81&gt;97,J81&gt;72),1,0)</f>
        <v>0</v>
      </c>
    </row>
    <row r="82" customFormat="false" ht="15" hidden="false" customHeight="false" outlineLevel="0" collapsed="false">
      <c r="A82" s="23" t="n">
        <v>46041</v>
      </c>
      <c r="B82" s="24" t="n">
        <v>22.4</v>
      </c>
      <c r="C82" s="24" t="n">
        <v>7.7</v>
      </c>
      <c r="D82" s="24" t="n">
        <v>0</v>
      </c>
      <c r="E82" s="24" t="n">
        <v>100</v>
      </c>
      <c r="F82" s="24" t="n">
        <v>34</v>
      </c>
      <c r="G82" s="24" t="n">
        <v>3.1</v>
      </c>
      <c r="H82" s="25" t="n">
        <f aca="false">MAX(0,(B82+C82)/2-Inputs_General!$C$4)</f>
        <v>10.05</v>
      </c>
      <c r="I82" s="25" t="n">
        <f aca="false">(B82+C82)/2</f>
        <v>15.05</v>
      </c>
      <c r="J82" s="25" t="n">
        <f aca="false">(E82+F82)/2</f>
        <v>67</v>
      </c>
      <c r="K82" s="26" t="n">
        <f aca="false">IF(AND(F82&gt;40,E82&gt;97,B82&gt;=16,B82&lt;=24,J82&gt;72,I82&gt;10),1,0)</f>
        <v>0</v>
      </c>
      <c r="L82" s="26" t="n">
        <f aca="false">IF(AND(B82&gt;=20,B82&lt;=29,C82&gt;12,E82&gt;97,J82&gt;72),1,0)</f>
        <v>0</v>
      </c>
    </row>
    <row r="83" customFormat="false" ht="15" hidden="false" customHeight="false" outlineLevel="0" collapsed="false">
      <c r="A83" s="23" t="n">
        <v>46042</v>
      </c>
      <c r="B83" s="24" t="n">
        <v>25</v>
      </c>
      <c r="C83" s="24" t="n">
        <v>6.3</v>
      </c>
      <c r="D83" s="24" t="n">
        <v>0</v>
      </c>
      <c r="E83" s="24" t="n">
        <v>100</v>
      </c>
      <c r="F83" s="24" t="n">
        <v>49</v>
      </c>
      <c r="G83" s="24" t="n">
        <v>4.3</v>
      </c>
      <c r="H83" s="25" t="n">
        <f aca="false">MAX(0,(B83+C83)/2-Inputs_General!$C$4)</f>
        <v>10.65</v>
      </c>
      <c r="I83" s="25" t="n">
        <f aca="false">(B83+C83)/2</f>
        <v>15.65</v>
      </c>
      <c r="J83" s="25" t="n">
        <f aca="false">(E83+F83)/2</f>
        <v>74.5</v>
      </c>
      <c r="K83" s="26" t="n">
        <f aca="false">IF(AND(F83&gt;40,E83&gt;97,B83&gt;=16,B83&lt;=24,J83&gt;72,I83&gt;10),1,0)</f>
        <v>0</v>
      </c>
      <c r="L83" s="26" t="n">
        <f aca="false">IF(AND(B83&gt;=20,B83&lt;=29,C83&gt;12,E83&gt;97,J83&gt;72),1,0)</f>
        <v>0</v>
      </c>
    </row>
    <row r="84" customFormat="false" ht="15" hidden="false" customHeight="false" outlineLevel="0" collapsed="false">
      <c r="A84" s="23" t="n">
        <v>46043</v>
      </c>
      <c r="B84" s="24" t="n">
        <v>25.1</v>
      </c>
      <c r="C84" s="24" t="n">
        <v>6</v>
      </c>
      <c r="D84" s="24" t="n">
        <v>0</v>
      </c>
      <c r="E84" s="24" t="n">
        <v>97</v>
      </c>
      <c r="F84" s="24" t="n">
        <v>43</v>
      </c>
      <c r="G84" s="24" t="n">
        <v>6.8</v>
      </c>
      <c r="H84" s="25" t="n">
        <f aca="false">MAX(0,(B84+C84)/2-Inputs_General!$C$4)</f>
        <v>10.55</v>
      </c>
      <c r="I84" s="25" t="n">
        <f aca="false">(B84+C84)/2</f>
        <v>15.55</v>
      </c>
      <c r="J84" s="25" t="n">
        <f aca="false">(E84+F84)/2</f>
        <v>70</v>
      </c>
      <c r="K84" s="26" t="n">
        <f aca="false">IF(AND(F84&gt;40,E84&gt;97,B84&gt;=16,B84&lt;=24,J84&gt;72,I84&gt;10),1,0)</f>
        <v>0</v>
      </c>
      <c r="L84" s="26" t="n">
        <f aca="false">IF(AND(B84&gt;=20,B84&lt;=29,C84&gt;12,E84&gt;97,J84&gt;72),1,0)</f>
        <v>0</v>
      </c>
    </row>
    <row r="85" customFormat="false" ht="15" hidden="false" customHeight="false" outlineLevel="0" collapsed="false">
      <c r="A85" s="23" t="n">
        <v>46044</v>
      </c>
      <c r="B85" s="24" t="n">
        <v>23.5</v>
      </c>
      <c r="C85" s="24" t="n">
        <v>5</v>
      </c>
      <c r="D85" s="24" t="n">
        <v>0</v>
      </c>
      <c r="E85" s="24" t="n">
        <v>94</v>
      </c>
      <c r="F85" s="24" t="n">
        <v>49</v>
      </c>
      <c r="G85" s="24" t="n">
        <v>6.4</v>
      </c>
      <c r="H85" s="25" t="n">
        <f aca="false">MAX(0,(B85+C85)/2-Inputs_General!$C$4)</f>
        <v>9.25</v>
      </c>
      <c r="I85" s="25" t="n">
        <f aca="false">(B85+C85)/2</f>
        <v>14.25</v>
      </c>
      <c r="J85" s="25" t="n">
        <f aca="false">(E85+F85)/2</f>
        <v>71.5</v>
      </c>
      <c r="K85" s="26" t="n">
        <f aca="false">IF(AND(F85&gt;40,E85&gt;97,B85&gt;=16,B85&lt;=24,J85&gt;72,I85&gt;10),1,0)</f>
        <v>0</v>
      </c>
      <c r="L85" s="26" t="n">
        <f aca="false">IF(AND(B85&gt;=20,B85&lt;=29,C85&gt;12,E85&gt;97,J85&gt;72),1,0)</f>
        <v>0</v>
      </c>
    </row>
    <row r="86" customFormat="false" ht="15" hidden="false" customHeight="false" outlineLevel="0" collapsed="false">
      <c r="A86" s="23" t="n">
        <v>46045</v>
      </c>
      <c r="B86" s="24" t="n">
        <v>24.8</v>
      </c>
      <c r="C86" s="24" t="n">
        <v>5.5</v>
      </c>
      <c r="D86" s="24" t="n">
        <v>4.1</v>
      </c>
      <c r="E86" s="24" t="n">
        <v>100</v>
      </c>
      <c r="F86" s="24" t="n">
        <v>93</v>
      </c>
      <c r="G86" s="24" t="n">
        <v>6.4</v>
      </c>
      <c r="H86" s="25" t="n">
        <f aca="false">MAX(0,(B86+C86)/2-Inputs_General!$C$4)</f>
        <v>10.15</v>
      </c>
      <c r="I86" s="25" t="n">
        <f aca="false">(B86+C86)/2</f>
        <v>15.15</v>
      </c>
      <c r="J86" s="25" t="n">
        <f aca="false">(E86+F86)/2</f>
        <v>96.5</v>
      </c>
      <c r="K86" s="26" t="n">
        <f aca="false">IF(AND(F86&gt;40,E86&gt;97,B86&gt;=16,B86&lt;=24,J86&gt;72,I86&gt;10),1,0)</f>
        <v>0</v>
      </c>
      <c r="L86" s="26" t="n">
        <f aca="false">IF(AND(B86&gt;=20,B86&lt;=29,C86&gt;12,E86&gt;97,J86&gt;72),1,0)</f>
        <v>0</v>
      </c>
    </row>
    <row r="87" customFormat="false" ht="15" hidden="false" customHeight="false" outlineLevel="0" collapsed="false">
      <c r="A87" s="23" t="n">
        <v>46046</v>
      </c>
      <c r="B87" s="24" t="n">
        <v>15.5</v>
      </c>
      <c r="C87" s="24" t="n">
        <v>3.9</v>
      </c>
      <c r="D87" s="24" t="n">
        <v>16.2</v>
      </c>
      <c r="E87" s="24" t="n">
        <v>97</v>
      </c>
      <c r="F87" s="24" t="n">
        <v>65</v>
      </c>
      <c r="G87" s="24" t="n">
        <v>0</v>
      </c>
      <c r="H87" s="25" t="n">
        <f aca="false">MAX(0,(B87+C87)/2-Inputs_General!$C$4)</f>
        <v>4.7</v>
      </c>
      <c r="I87" s="25" t="n">
        <f aca="false">(B87+C87)/2</f>
        <v>9.7</v>
      </c>
      <c r="J87" s="25" t="n">
        <f aca="false">(E87+F87)/2</f>
        <v>81</v>
      </c>
      <c r="K87" s="26" t="n">
        <f aca="false">IF(AND(F87&gt;40,E87&gt;97,B87&gt;=16,B87&lt;=24,J87&gt;72,I87&gt;10),1,0)</f>
        <v>0</v>
      </c>
      <c r="L87" s="26" t="n">
        <f aca="false">IF(AND(B87&gt;=20,B87&lt;=29,C87&gt;12,E87&gt;97,J87&gt;72),1,0)</f>
        <v>0</v>
      </c>
    </row>
    <row r="88" customFormat="false" ht="15" hidden="false" customHeight="false" outlineLevel="0" collapsed="false">
      <c r="A88" s="23" t="n">
        <v>46047</v>
      </c>
      <c r="B88" s="24" t="n">
        <v>16.8</v>
      </c>
      <c r="C88" s="24" t="n">
        <v>6.2</v>
      </c>
      <c r="D88" s="24" t="n">
        <v>0</v>
      </c>
      <c r="E88" s="24" t="n">
        <v>91</v>
      </c>
      <c r="F88" s="24" t="n">
        <v>50</v>
      </c>
      <c r="G88" s="24" t="n">
        <v>7.5</v>
      </c>
      <c r="H88" s="25" t="n">
        <f aca="false">MAX(0,(B88+C88)/2-Inputs_General!$C$4)</f>
        <v>6.5</v>
      </c>
      <c r="I88" s="25" t="n">
        <f aca="false">(B88+C88)/2</f>
        <v>11.5</v>
      </c>
      <c r="J88" s="25" t="n">
        <f aca="false">(E88+F88)/2</f>
        <v>70.5</v>
      </c>
      <c r="K88" s="26" t="n">
        <f aca="false">IF(AND(F88&gt;40,E88&gt;97,B88&gt;=16,B88&lt;=24,J88&gt;72,I88&gt;10),1,0)</f>
        <v>0</v>
      </c>
      <c r="L88" s="26" t="n">
        <f aca="false">IF(AND(B88&gt;=20,B88&lt;=29,C88&gt;12,E88&gt;97,J88&gt;72),1,0)</f>
        <v>0</v>
      </c>
    </row>
    <row r="89" customFormat="false" ht="15" hidden="false" customHeight="false" outlineLevel="0" collapsed="false">
      <c r="A89" s="23" t="n">
        <v>46048</v>
      </c>
      <c r="B89" s="24" t="n">
        <v>17</v>
      </c>
      <c r="C89" s="24" t="n">
        <v>4.8</v>
      </c>
      <c r="D89" s="24" t="n">
        <v>0</v>
      </c>
      <c r="E89" s="24" t="n">
        <v>97</v>
      </c>
      <c r="F89" s="24" t="n">
        <v>40</v>
      </c>
      <c r="G89" s="24" t="n">
        <v>7.3</v>
      </c>
      <c r="H89" s="25" t="n">
        <f aca="false">MAX(0,(B89+C89)/2-Inputs_General!$C$4)</f>
        <v>5.9</v>
      </c>
      <c r="I89" s="25" t="n">
        <f aca="false">(B89+C89)/2</f>
        <v>10.9</v>
      </c>
      <c r="J89" s="25" t="n">
        <f aca="false">(E89+F89)/2</f>
        <v>68.5</v>
      </c>
      <c r="K89" s="26" t="n">
        <f aca="false">IF(AND(F89&gt;40,E89&gt;97,B89&gt;=16,B89&lt;=24,J89&gt;72,I89&gt;10),1,0)</f>
        <v>0</v>
      </c>
      <c r="L89" s="26" t="n">
        <f aca="false">IF(AND(B89&gt;=20,B89&lt;=29,C89&gt;12,E89&gt;97,J89&gt;72),1,0)</f>
        <v>0</v>
      </c>
    </row>
    <row r="90" customFormat="false" ht="15" hidden="false" customHeight="false" outlineLevel="0" collapsed="false">
      <c r="A90" s="23" t="n">
        <v>46049</v>
      </c>
      <c r="B90" s="24" t="n">
        <v>21</v>
      </c>
      <c r="C90" s="24" t="n">
        <v>7.7</v>
      </c>
      <c r="D90" s="24" t="n">
        <v>0</v>
      </c>
      <c r="E90" s="24" t="n">
        <v>92</v>
      </c>
      <c r="F90" s="24" t="n">
        <v>87</v>
      </c>
      <c r="G90" s="24" t="n">
        <v>7.1</v>
      </c>
      <c r="H90" s="25" t="n">
        <f aca="false">MAX(0,(B90+C90)/2-Inputs_General!$C$4)</f>
        <v>9.35</v>
      </c>
      <c r="I90" s="25" t="n">
        <f aca="false">(B90+C90)/2</f>
        <v>14.35</v>
      </c>
      <c r="J90" s="25" t="n">
        <f aca="false">(E90+F90)/2</f>
        <v>89.5</v>
      </c>
      <c r="K90" s="26" t="n">
        <f aca="false">IF(AND(F90&gt;40,E90&gt;97,B90&gt;=16,B90&lt;=24,J90&gt;72,I90&gt;10),1,0)</f>
        <v>0</v>
      </c>
      <c r="L90" s="26" t="n">
        <f aca="false">IF(AND(B90&gt;=20,B90&lt;=29,C90&gt;12,E90&gt;97,J90&gt;72),1,0)</f>
        <v>0</v>
      </c>
    </row>
    <row r="91" customFormat="false" ht="15" hidden="false" customHeight="false" outlineLevel="0" collapsed="false">
      <c r="A91" s="23" t="n">
        <v>46050</v>
      </c>
      <c r="B91" s="24" t="n">
        <v>16.7</v>
      </c>
      <c r="C91" s="24" t="n">
        <v>13</v>
      </c>
      <c r="D91" s="24" t="n">
        <v>13.3</v>
      </c>
      <c r="E91" s="24" t="n">
        <v>98</v>
      </c>
      <c r="F91" s="24" t="n">
        <v>78</v>
      </c>
      <c r="G91" s="24" t="n">
        <v>0</v>
      </c>
      <c r="H91" s="25" t="n">
        <f aca="false">MAX(0,(B91+C91)/2-Inputs_General!$C$4)</f>
        <v>9.85</v>
      </c>
      <c r="I91" s="25" t="n">
        <f aca="false">(B91+C91)/2</f>
        <v>14.85</v>
      </c>
      <c r="J91" s="25" t="n">
        <f aca="false">(E91+F91)/2</f>
        <v>88</v>
      </c>
      <c r="K91" s="26" t="n">
        <f aca="false">IF(AND(F91&gt;40,E91&gt;97,B91&gt;=16,B91&lt;=24,J91&gt;72,I91&gt;10),1,0)</f>
        <v>1</v>
      </c>
      <c r="L91" s="26" t="n">
        <f aca="false">IF(AND(B91&gt;=20,B91&lt;=29,C91&gt;12,E91&gt;97,J91&gt;72),1,0)</f>
        <v>0</v>
      </c>
    </row>
    <row r="92" customFormat="false" ht="15" hidden="false" customHeight="false" outlineLevel="0" collapsed="false">
      <c r="A92" s="23" t="n">
        <v>46051</v>
      </c>
      <c r="B92" s="24" t="n">
        <v>17.2</v>
      </c>
      <c r="C92" s="24" t="n">
        <v>11.1</v>
      </c>
      <c r="D92" s="24" t="n">
        <v>0</v>
      </c>
      <c r="E92" s="24" t="n">
        <v>97</v>
      </c>
      <c r="F92" s="24" t="n">
        <v>83</v>
      </c>
      <c r="G92" s="24" t="n">
        <v>0</v>
      </c>
      <c r="H92" s="25" t="n">
        <f aca="false">MAX(0,(B92+C92)/2-Inputs_General!$C$4)</f>
        <v>9.15</v>
      </c>
      <c r="I92" s="25" t="n">
        <f aca="false">(B92+C92)/2</f>
        <v>14.15</v>
      </c>
      <c r="J92" s="25" t="n">
        <f aca="false">(E92+F92)/2</f>
        <v>90</v>
      </c>
      <c r="K92" s="26" t="n">
        <f aca="false">IF(AND(F92&gt;40,E92&gt;97,B92&gt;=16,B92&lt;=24,J92&gt;72,I92&gt;10),1,0)</f>
        <v>0</v>
      </c>
      <c r="L92" s="26" t="n">
        <f aca="false">IF(AND(B92&gt;=20,B92&lt;=29,C92&gt;12,E92&gt;97,J92&gt;72),1,0)</f>
        <v>0</v>
      </c>
    </row>
    <row r="93" customFormat="false" ht="15" hidden="false" customHeight="false" outlineLevel="0" collapsed="false">
      <c r="A93" s="23" t="n">
        <v>46052</v>
      </c>
      <c r="B93" s="24" t="n">
        <v>17.9</v>
      </c>
      <c r="C93" s="24" t="n">
        <v>6.2</v>
      </c>
      <c r="D93" s="24" t="n">
        <v>0</v>
      </c>
      <c r="E93" s="24" t="n">
        <v>100</v>
      </c>
      <c r="F93" s="24" t="n">
        <v>73</v>
      </c>
      <c r="G93" s="24" t="n">
        <v>1.7</v>
      </c>
      <c r="H93" s="25" t="n">
        <f aca="false">MAX(0,(B93+C93)/2-Inputs_General!$C$4)</f>
        <v>7.05</v>
      </c>
      <c r="I93" s="25" t="n">
        <f aca="false">(B93+C93)/2</f>
        <v>12.05</v>
      </c>
      <c r="J93" s="25" t="n">
        <f aca="false">(E93+F93)/2</f>
        <v>86.5</v>
      </c>
      <c r="K93" s="26" t="n">
        <f aca="false">IF(AND(F93&gt;40,E93&gt;97,B93&gt;=16,B93&lt;=24,J93&gt;72,I93&gt;10),1,0)</f>
        <v>1</v>
      </c>
      <c r="L93" s="26" t="n">
        <f aca="false">IF(AND(B93&gt;=20,B93&lt;=29,C93&gt;12,E93&gt;97,J93&gt;72),1,0)</f>
        <v>0</v>
      </c>
    </row>
    <row r="94" customFormat="false" ht="15" hidden="false" customHeight="false" outlineLevel="0" collapsed="false">
      <c r="A94" s="23" t="n">
        <v>46053</v>
      </c>
      <c r="B94" s="24" t="n">
        <v>21.8</v>
      </c>
      <c r="C94" s="24" t="n">
        <v>5.5</v>
      </c>
      <c r="D94" s="24" t="n">
        <v>0</v>
      </c>
      <c r="E94" s="24" t="n">
        <v>94</v>
      </c>
      <c r="F94" s="24" t="n">
        <v>68</v>
      </c>
      <c r="G94" s="24" t="n">
        <v>7</v>
      </c>
      <c r="H94" s="25" t="n">
        <f aca="false">MAX(0,(B94+C94)/2-Inputs_General!$C$4)</f>
        <v>8.65</v>
      </c>
      <c r="I94" s="25" t="n">
        <f aca="false">(B94+C94)/2</f>
        <v>13.65</v>
      </c>
      <c r="J94" s="25" t="n">
        <f aca="false">(E94+F94)/2</f>
        <v>81</v>
      </c>
      <c r="K94" s="26" t="n">
        <f aca="false">IF(AND(F94&gt;40,E94&gt;97,B94&gt;=16,B94&lt;=24,J94&gt;72,I94&gt;10),1,0)</f>
        <v>0</v>
      </c>
      <c r="L94" s="26" t="n">
        <f aca="false">IF(AND(B94&gt;=20,B94&lt;=29,C94&gt;12,E94&gt;97,J94&gt;72),1,0)</f>
        <v>0</v>
      </c>
    </row>
    <row r="95" customFormat="false" ht="15" hidden="false" customHeight="false" outlineLevel="0" collapsed="false">
      <c r="A95" s="23" t="n">
        <v>46054</v>
      </c>
      <c r="B95" s="24" t="n">
        <v>20.2</v>
      </c>
      <c r="C95" s="24" t="n">
        <v>12</v>
      </c>
      <c r="D95" s="24" t="n">
        <v>0.2</v>
      </c>
      <c r="E95" s="24" t="n">
        <v>98</v>
      </c>
      <c r="F95" s="24" t="n">
        <v>47</v>
      </c>
      <c r="G95" s="24" t="n">
        <v>4.7</v>
      </c>
      <c r="H95" s="25" t="n">
        <f aca="false">MAX(0,(B95+C95)/2-Inputs_General!$C$4)</f>
        <v>11.1</v>
      </c>
      <c r="I95" s="25" t="n">
        <f aca="false">(B95+C95)/2</f>
        <v>16.1</v>
      </c>
      <c r="J95" s="25" t="n">
        <f aca="false">(E95+F95)/2</f>
        <v>72.5</v>
      </c>
      <c r="K95" s="26" t="n">
        <f aca="false">IF(AND(F95&gt;40,E95&gt;97,B95&gt;=16,B95&lt;=24,J95&gt;72,I95&gt;10),1,0)</f>
        <v>1</v>
      </c>
      <c r="L95" s="26" t="n">
        <f aca="false">IF(AND(B95&gt;=20,B95&lt;=29,C95&gt;12,E95&gt;97,J95&gt;72),1,0)</f>
        <v>0</v>
      </c>
    </row>
    <row r="96" customFormat="false" ht="15" hidden="false" customHeight="false" outlineLevel="0" collapsed="false">
      <c r="A96" s="23" t="n">
        <v>46055</v>
      </c>
      <c r="B96" s="24" t="n">
        <v>24.1</v>
      </c>
      <c r="C96" s="24" t="n">
        <v>10.1</v>
      </c>
      <c r="D96" s="24" t="n">
        <v>0</v>
      </c>
      <c r="E96" s="24" t="n">
        <v>100</v>
      </c>
      <c r="F96" s="24" t="n">
        <v>89</v>
      </c>
      <c r="G96" s="24" t="n">
        <v>3</v>
      </c>
      <c r="H96" s="25" t="n">
        <f aca="false">MAX(0,(B96+C96)/2-Inputs_General!$C$4)</f>
        <v>12.1</v>
      </c>
      <c r="I96" s="25" t="n">
        <f aca="false">(B96+C96)/2</f>
        <v>17.1</v>
      </c>
      <c r="J96" s="25" t="n">
        <f aca="false">(E96+F96)/2</f>
        <v>94.5</v>
      </c>
      <c r="K96" s="26" t="n">
        <f aca="false">IF(AND(F96&gt;40,E96&gt;97,B96&gt;=16,B96&lt;=24,J96&gt;72,I96&gt;10),1,0)</f>
        <v>0</v>
      </c>
      <c r="L96" s="26" t="n">
        <f aca="false">IF(AND(B96&gt;=20,B96&lt;=29,C96&gt;12,E96&gt;97,J96&gt;72),1,0)</f>
        <v>0</v>
      </c>
    </row>
    <row r="97" customFormat="false" ht="15" hidden="false" customHeight="false" outlineLevel="0" collapsed="false">
      <c r="A97" s="23" t="n">
        <v>46056</v>
      </c>
      <c r="B97" s="24" t="n">
        <v>17.2</v>
      </c>
      <c r="C97" s="24" t="n">
        <v>7.6</v>
      </c>
      <c r="D97" s="24" t="n">
        <v>0</v>
      </c>
      <c r="E97" s="24" t="n">
        <v>100</v>
      </c>
      <c r="F97" s="24" t="n">
        <v>54</v>
      </c>
      <c r="G97" s="24" t="n">
        <v>0</v>
      </c>
      <c r="H97" s="25" t="n">
        <f aca="false">MAX(0,(B97+C97)/2-Inputs_General!$C$4)</f>
        <v>7.4</v>
      </c>
      <c r="I97" s="25" t="n">
        <f aca="false">(B97+C97)/2</f>
        <v>12.4</v>
      </c>
      <c r="J97" s="25" t="n">
        <f aca="false">(E97+F97)/2</f>
        <v>77</v>
      </c>
      <c r="K97" s="26" t="n">
        <f aca="false">IF(AND(F97&gt;40,E97&gt;97,B97&gt;=16,B97&lt;=24,J97&gt;72,I97&gt;10),1,0)</f>
        <v>1</v>
      </c>
      <c r="L97" s="26" t="n">
        <f aca="false">IF(AND(B97&gt;=20,B97&lt;=29,C97&gt;12,E97&gt;97,J97&gt;72),1,0)</f>
        <v>0</v>
      </c>
    </row>
    <row r="98" customFormat="false" ht="15" hidden="false" customHeight="false" outlineLevel="0" collapsed="false">
      <c r="A98" s="23" t="n">
        <v>46057</v>
      </c>
      <c r="B98" s="24" t="n">
        <v>21.9</v>
      </c>
      <c r="C98" s="24" t="n">
        <v>6.5</v>
      </c>
      <c r="D98" s="24" t="n">
        <v>0</v>
      </c>
      <c r="E98" s="24" t="n">
        <v>100</v>
      </c>
      <c r="F98" s="24" t="n">
        <v>45</v>
      </c>
      <c r="G98" s="24" t="n">
        <v>5.7</v>
      </c>
      <c r="H98" s="25" t="n">
        <f aca="false">MAX(0,(B98+C98)/2-Inputs_General!$C$4)</f>
        <v>9.2</v>
      </c>
      <c r="I98" s="25" t="n">
        <f aca="false">(B98+C98)/2</f>
        <v>14.2</v>
      </c>
      <c r="J98" s="25" t="n">
        <f aca="false">(E98+F98)/2</f>
        <v>72.5</v>
      </c>
      <c r="K98" s="26" t="n">
        <f aca="false">IF(AND(F98&gt;40,E98&gt;97,B98&gt;=16,B98&lt;=24,J98&gt;72,I98&gt;10),1,0)</f>
        <v>1</v>
      </c>
      <c r="L98" s="26" t="n">
        <f aca="false">IF(AND(B98&gt;=20,B98&lt;=29,C98&gt;12,E98&gt;97,J98&gt;72),1,0)</f>
        <v>0</v>
      </c>
    </row>
    <row r="99" customFormat="false" ht="15" hidden="false" customHeight="false" outlineLevel="0" collapsed="false">
      <c r="A99" s="23" t="n">
        <v>46058</v>
      </c>
      <c r="B99" s="24" t="n">
        <v>21.8</v>
      </c>
      <c r="C99" s="24" t="n">
        <v>8.9</v>
      </c>
      <c r="D99" s="24" t="n">
        <v>0</v>
      </c>
      <c r="E99" s="24" t="n">
        <v>97</v>
      </c>
      <c r="F99" s="24" t="n">
        <v>78</v>
      </c>
      <c r="G99" s="24" t="n">
        <v>7.2</v>
      </c>
      <c r="H99" s="25" t="n">
        <f aca="false">MAX(0,(B99+C99)/2-Inputs_General!$C$4)</f>
        <v>10.35</v>
      </c>
      <c r="I99" s="25" t="n">
        <f aca="false">(B99+C99)/2</f>
        <v>15.35</v>
      </c>
      <c r="J99" s="25" t="n">
        <f aca="false">(E99+F99)/2</f>
        <v>87.5</v>
      </c>
      <c r="K99" s="26" t="n">
        <f aca="false">IF(AND(F99&gt;40,E99&gt;97,B99&gt;=16,B99&lt;=24,J99&gt;72,I99&gt;10),1,0)</f>
        <v>0</v>
      </c>
      <c r="L99" s="26" t="n">
        <f aca="false">IF(AND(B99&gt;=20,B99&lt;=29,C99&gt;12,E99&gt;97,J99&gt;72),1,0)</f>
        <v>0</v>
      </c>
    </row>
    <row r="100" customFormat="false" ht="15" hidden="false" customHeight="false" outlineLevel="0" collapsed="false">
      <c r="A100" s="23" t="n">
        <v>46059</v>
      </c>
      <c r="B100" s="24" t="n">
        <v>22.8</v>
      </c>
      <c r="C100" s="24" t="n">
        <v>7.4</v>
      </c>
      <c r="D100" s="24" t="n">
        <v>0</v>
      </c>
      <c r="E100" s="24" t="n">
        <v>97</v>
      </c>
      <c r="F100" s="24" t="n">
        <v>45</v>
      </c>
      <c r="G100" s="24" t="n">
        <v>8.1</v>
      </c>
      <c r="H100" s="25" t="n">
        <f aca="false">MAX(0,(B100+C100)/2-Inputs_General!$C$4)</f>
        <v>10.1</v>
      </c>
      <c r="I100" s="25" t="n">
        <f aca="false">(B100+C100)/2</f>
        <v>15.1</v>
      </c>
      <c r="J100" s="25" t="n">
        <f aca="false">(E100+F100)/2</f>
        <v>71</v>
      </c>
      <c r="K100" s="26" t="n">
        <f aca="false">IF(AND(F100&gt;40,E100&gt;97,B100&gt;=16,B100&lt;=24,J100&gt;72,I100&gt;10),1,0)</f>
        <v>0</v>
      </c>
      <c r="L100" s="26" t="n">
        <f aca="false">IF(AND(B100&gt;=20,B100&lt;=29,C100&gt;12,E100&gt;97,J100&gt;72),1,0)</f>
        <v>0</v>
      </c>
    </row>
    <row r="101" customFormat="false" ht="15" hidden="false" customHeight="false" outlineLevel="0" collapsed="false">
      <c r="A101" s="23" t="n">
        <v>46060</v>
      </c>
      <c r="B101" s="24" t="n">
        <v>24</v>
      </c>
      <c r="C101" s="24" t="n">
        <v>9.1</v>
      </c>
      <c r="D101" s="24" t="n">
        <v>0</v>
      </c>
      <c r="E101" s="24" t="n">
        <v>95</v>
      </c>
      <c r="F101" s="24" t="n">
        <v>52</v>
      </c>
      <c r="G101" s="24" t="n">
        <v>8.2</v>
      </c>
      <c r="H101" s="25" t="n">
        <f aca="false">MAX(0,(B101+C101)/2-Inputs_General!$C$4)</f>
        <v>11.55</v>
      </c>
      <c r="I101" s="25" t="n">
        <f aca="false">(B101+C101)/2</f>
        <v>16.55</v>
      </c>
      <c r="J101" s="25" t="n">
        <f aca="false">(E101+F101)/2</f>
        <v>73.5</v>
      </c>
      <c r="K101" s="26" t="n">
        <f aca="false">IF(AND(F101&gt;40,E101&gt;97,B101&gt;=16,B101&lt;=24,J101&gt;72,I101&gt;10),1,0)</f>
        <v>0</v>
      </c>
      <c r="L101" s="26" t="n">
        <f aca="false">IF(AND(B101&gt;=20,B101&lt;=29,C101&gt;12,E101&gt;97,J101&gt;72),1,0)</f>
        <v>0</v>
      </c>
    </row>
    <row r="102" customFormat="false" ht="15" hidden="false" customHeight="false" outlineLevel="0" collapsed="false">
      <c r="A102" s="23" t="n">
        <v>46061</v>
      </c>
      <c r="B102" s="24" t="n">
        <v>24.2</v>
      </c>
      <c r="C102" s="24" t="n">
        <v>8.4</v>
      </c>
      <c r="D102" s="24" t="n">
        <v>0</v>
      </c>
      <c r="E102" s="24" t="n">
        <v>93</v>
      </c>
      <c r="F102" s="24" t="n">
        <v>46</v>
      </c>
      <c r="G102" s="24" t="n">
        <v>7.7</v>
      </c>
      <c r="H102" s="25" t="n">
        <f aca="false">MAX(0,(B102+C102)/2-Inputs_General!$C$4)</f>
        <v>11.3</v>
      </c>
      <c r="I102" s="25" t="n">
        <f aca="false">(B102+C102)/2</f>
        <v>16.3</v>
      </c>
      <c r="J102" s="25" t="n">
        <f aca="false">(E102+F102)/2</f>
        <v>69.5</v>
      </c>
      <c r="K102" s="26" t="n">
        <f aca="false">IF(AND(F102&gt;40,E102&gt;97,B102&gt;=16,B102&lt;=24,J102&gt;72,I102&gt;10),1,0)</f>
        <v>0</v>
      </c>
      <c r="L102" s="26" t="n">
        <f aca="false">IF(AND(B102&gt;=20,B102&lt;=29,C102&gt;12,E102&gt;97,J102&gt;72),1,0)</f>
        <v>0</v>
      </c>
    </row>
    <row r="103" customFormat="false" ht="15" hidden="false" customHeight="false" outlineLevel="0" collapsed="false">
      <c r="A103" s="23" t="n">
        <v>46062</v>
      </c>
      <c r="B103" s="24" t="n">
        <v>23.1</v>
      </c>
      <c r="C103" s="24" t="n">
        <v>8.4</v>
      </c>
      <c r="D103" s="24" t="n">
        <v>0</v>
      </c>
      <c r="E103" s="24" t="n">
        <v>97</v>
      </c>
      <c r="F103" s="24" t="n">
        <v>44</v>
      </c>
      <c r="G103" s="24" t="n">
        <v>8.6</v>
      </c>
      <c r="H103" s="25" t="n">
        <f aca="false">MAX(0,(B103+C103)/2-Inputs_General!$C$4)</f>
        <v>10.75</v>
      </c>
      <c r="I103" s="25" t="n">
        <f aca="false">(B103+C103)/2</f>
        <v>15.75</v>
      </c>
      <c r="J103" s="25" t="n">
        <f aca="false">(E103+F103)/2</f>
        <v>70.5</v>
      </c>
      <c r="K103" s="26" t="n">
        <f aca="false">IF(AND(F103&gt;40,E103&gt;97,B103&gt;=16,B103&lt;=24,J103&gt;72,I103&gt;10),1,0)</f>
        <v>0</v>
      </c>
      <c r="L103" s="26" t="n">
        <f aca="false">IF(AND(B103&gt;=20,B103&lt;=29,C103&gt;12,E103&gt;97,J103&gt;72),1,0)</f>
        <v>0</v>
      </c>
    </row>
    <row r="104" customFormat="false" ht="15" hidden="false" customHeight="false" outlineLevel="0" collapsed="false">
      <c r="A104" s="23" t="n">
        <v>46063</v>
      </c>
      <c r="B104" s="24" t="n">
        <v>25</v>
      </c>
      <c r="C104" s="24" t="n">
        <v>8.6</v>
      </c>
      <c r="D104" s="24" t="n">
        <v>0</v>
      </c>
      <c r="E104" s="24" t="n">
        <v>95</v>
      </c>
      <c r="F104" s="24" t="n">
        <v>38</v>
      </c>
      <c r="G104" s="24" t="n">
        <v>6.4</v>
      </c>
      <c r="H104" s="25" t="n">
        <f aca="false">MAX(0,(B104+C104)/2-Inputs_General!$C$4)</f>
        <v>11.8</v>
      </c>
      <c r="I104" s="25" t="n">
        <f aca="false">(B104+C104)/2</f>
        <v>16.8</v>
      </c>
      <c r="J104" s="25" t="n">
        <f aca="false">(E104+F104)/2</f>
        <v>66.5</v>
      </c>
      <c r="K104" s="26" t="n">
        <f aca="false">IF(AND(F104&gt;40,E104&gt;97,B104&gt;=16,B104&lt;=24,J104&gt;72,I104&gt;10),1,0)</f>
        <v>0</v>
      </c>
      <c r="L104" s="26" t="n">
        <f aca="false">IF(AND(B104&gt;=20,B104&lt;=29,C104&gt;12,E104&gt;97,J104&gt;72),1,0)</f>
        <v>0</v>
      </c>
    </row>
    <row r="105" customFormat="false" ht="15" hidden="false" customHeight="false" outlineLevel="0" collapsed="false">
      <c r="A105" s="23" t="n">
        <v>46064</v>
      </c>
      <c r="B105" s="24" t="n">
        <v>28.1</v>
      </c>
      <c r="C105" s="24" t="n">
        <v>12</v>
      </c>
      <c r="D105" s="24" t="n">
        <v>0</v>
      </c>
      <c r="E105" s="24" t="n">
        <v>85</v>
      </c>
      <c r="F105" s="24" t="n">
        <v>40</v>
      </c>
      <c r="G105" s="24" t="n">
        <v>7.8</v>
      </c>
      <c r="H105" s="25" t="n">
        <f aca="false">MAX(0,(B105+C105)/2-Inputs_General!$C$4)</f>
        <v>15.05</v>
      </c>
      <c r="I105" s="25" t="n">
        <f aca="false">(B105+C105)/2</f>
        <v>20.05</v>
      </c>
      <c r="J105" s="25" t="n">
        <f aca="false">(E105+F105)/2</f>
        <v>62.5</v>
      </c>
      <c r="K105" s="26" t="n">
        <f aca="false">IF(AND(F105&gt;40,E105&gt;97,B105&gt;=16,B105&lt;=24,J105&gt;72,I105&gt;10),1,0)</f>
        <v>0</v>
      </c>
      <c r="L105" s="26" t="n">
        <f aca="false">IF(AND(B105&gt;=20,B105&lt;=29,C105&gt;12,E105&gt;97,J105&gt;72),1,0)</f>
        <v>0</v>
      </c>
    </row>
    <row r="106" customFormat="false" ht="15" hidden="false" customHeight="false" outlineLevel="0" collapsed="false">
      <c r="A106" s="23" t="n">
        <v>46065</v>
      </c>
      <c r="B106" s="24" t="n">
        <v>26.7</v>
      </c>
      <c r="C106" s="24" t="n">
        <v>10.2</v>
      </c>
      <c r="D106" s="24" t="n">
        <v>0</v>
      </c>
      <c r="E106" s="24" t="n">
        <v>93</v>
      </c>
      <c r="F106" s="24" t="n">
        <v>46</v>
      </c>
      <c r="G106" s="24" t="n">
        <v>7.6</v>
      </c>
      <c r="H106" s="25" t="n">
        <f aca="false">MAX(0,(B106+C106)/2-Inputs_General!$C$4)</f>
        <v>13.45</v>
      </c>
      <c r="I106" s="25" t="n">
        <f aca="false">(B106+C106)/2</f>
        <v>18.45</v>
      </c>
      <c r="J106" s="25" t="n">
        <f aca="false">(E106+F106)/2</f>
        <v>69.5</v>
      </c>
      <c r="K106" s="26" t="n">
        <f aca="false">IF(AND(F106&gt;40,E106&gt;97,B106&gt;=16,B106&lt;=24,J106&gt;72,I106&gt;10),1,0)</f>
        <v>0</v>
      </c>
      <c r="L106" s="26" t="n">
        <f aca="false">IF(AND(B106&gt;=20,B106&lt;=29,C106&gt;12,E106&gt;97,J106&gt;72),1,0)</f>
        <v>0</v>
      </c>
    </row>
    <row r="107" customFormat="false" ht="15" hidden="false" customHeight="false" outlineLevel="0" collapsed="false">
      <c r="A107" s="23" t="n">
        <v>46066</v>
      </c>
      <c r="B107" s="24" t="n">
        <v>24.7</v>
      </c>
      <c r="C107" s="24" t="n">
        <v>8.5</v>
      </c>
      <c r="D107" s="24" t="n">
        <v>0</v>
      </c>
      <c r="E107" s="24" t="n">
        <v>95</v>
      </c>
      <c r="F107" s="24" t="n">
        <v>38</v>
      </c>
      <c r="G107" s="24" t="n">
        <v>8.2</v>
      </c>
      <c r="H107" s="25" t="n">
        <f aca="false">MAX(0,(B107+C107)/2-Inputs_General!$C$4)</f>
        <v>11.6</v>
      </c>
      <c r="I107" s="25" t="n">
        <f aca="false">(B107+C107)/2</f>
        <v>16.6</v>
      </c>
      <c r="J107" s="25" t="n">
        <f aca="false">(E107+F107)/2</f>
        <v>66.5</v>
      </c>
      <c r="K107" s="26" t="n">
        <f aca="false">IF(AND(F107&gt;40,E107&gt;97,B107&gt;=16,B107&lt;=24,J107&gt;72,I107&gt;10),1,0)</f>
        <v>0</v>
      </c>
      <c r="L107" s="26" t="n">
        <f aca="false">IF(AND(B107&gt;=20,B107&lt;=29,C107&gt;12,E107&gt;97,J107&gt;72),1,0)</f>
        <v>0</v>
      </c>
    </row>
    <row r="108" customFormat="false" ht="15" hidden="false" customHeight="false" outlineLevel="0" collapsed="false">
      <c r="A108" s="23" t="n">
        <v>46067</v>
      </c>
      <c r="B108" s="24" t="n">
        <v>24.9</v>
      </c>
      <c r="C108" s="24" t="n">
        <v>7.6</v>
      </c>
      <c r="D108" s="24" t="n">
        <v>0</v>
      </c>
      <c r="E108" s="24" t="n">
        <v>97</v>
      </c>
      <c r="F108" s="24" t="n">
        <v>43</v>
      </c>
      <c r="G108" s="24" t="n">
        <v>8.9</v>
      </c>
      <c r="H108" s="25" t="n">
        <f aca="false">MAX(0,(B108+C108)/2-Inputs_General!$C$4)</f>
        <v>11.25</v>
      </c>
      <c r="I108" s="25" t="n">
        <f aca="false">(B108+C108)/2</f>
        <v>16.25</v>
      </c>
      <c r="J108" s="25" t="n">
        <f aca="false">(E108+F108)/2</f>
        <v>70</v>
      </c>
      <c r="K108" s="26" t="n">
        <f aca="false">IF(AND(F108&gt;40,E108&gt;97,B108&gt;=16,B108&lt;=24,J108&gt;72,I108&gt;10),1,0)</f>
        <v>0</v>
      </c>
      <c r="L108" s="26" t="n">
        <f aca="false">IF(AND(B108&gt;=20,B108&lt;=29,C108&gt;12,E108&gt;97,J108&gt;72),1,0)</f>
        <v>0</v>
      </c>
    </row>
    <row r="109" customFormat="false" ht="15" hidden="false" customHeight="false" outlineLevel="0" collapsed="false">
      <c r="A109" s="23" t="n">
        <v>46068</v>
      </c>
      <c r="B109" s="24" t="n">
        <v>26.2</v>
      </c>
      <c r="C109" s="24" t="n">
        <v>8.8</v>
      </c>
      <c r="D109" s="24" t="n">
        <v>0</v>
      </c>
      <c r="E109" s="24" t="n">
        <v>92</v>
      </c>
      <c r="F109" s="24" t="n">
        <v>39</v>
      </c>
      <c r="G109" s="24" t="n">
        <v>8.5</v>
      </c>
      <c r="H109" s="25" t="n">
        <f aca="false">MAX(0,(B109+C109)/2-Inputs_General!$C$4)</f>
        <v>12.5</v>
      </c>
      <c r="I109" s="25" t="n">
        <f aca="false">(B109+C109)/2</f>
        <v>17.5</v>
      </c>
      <c r="J109" s="25" t="n">
        <f aca="false">(E109+F109)/2</f>
        <v>65.5</v>
      </c>
      <c r="K109" s="26" t="n">
        <f aca="false">IF(AND(F109&gt;40,E109&gt;97,B109&gt;=16,B109&lt;=24,J109&gt;72,I109&gt;10),1,0)</f>
        <v>0</v>
      </c>
      <c r="L109" s="26" t="n">
        <f aca="false">IF(AND(B109&gt;=20,B109&lt;=29,C109&gt;12,E109&gt;97,J109&gt;72),1,0)</f>
        <v>0</v>
      </c>
    </row>
    <row r="110" customFormat="false" ht="15" hidden="false" customHeight="false" outlineLevel="0" collapsed="false">
      <c r="A110" s="23" t="n">
        <v>46069</v>
      </c>
      <c r="B110" s="24" t="n">
        <v>28</v>
      </c>
      <c r="C110" s="24" t="n">
        <v>7.8</v>
      </c>
      <c r="D110" s="24" t="n">
        <v>0</v>
      </c>
      <c r="E110" s="24" t="n">
        <v>95</v>
      </c>
      <c r="F110" s="24" t="n">
        <v>41</v>
      </c>
      <c r="G110" s="24" t="n">
        <v>8.8</v>
      </c>
      <c r="H110" s="25" t="n">
        <f aca="false">MAX(0,(B110+C110)/2-Inputs_General!$C$4)</f>
        <v>12.9</v>
      </c>
      <c r="I110" s="25" t="n">
        <f aca="false">(B110+C110)/2</f>
        <v>17.9</v>
      </c>
      <c r="J110" s="25" t="n">
        <f aca="false">(E110+F110)/2</f>
        <v>68</v>
      </c>
      <c r="K110" s="26" t="n">
        <f aca="false">IF(AND(F110&gt;40,E110&gt;97,B110&gt;=16,B110&lt;=24,J110&gt;72,I110&gt;10),1,0)</f>
        <v>0</v>
      </c>
      <c r="L110" s="26" t="n">
        <f aca="false">IF(AND(B110&gt;=20,B110&lt;=29,C110&gt;12,E110&gt;97,J110&gt;72),1,0)</f>
        <v>0</v>
      </c>
    </row>
    <row r="111" customFormat="false" ht="15" hidden="false" customHeight="false" outlineLevel="0" collapsed="false">
      <c r="A111" s="23" t="n">
        <v>46070</v>
      </c>
      <c r="B111" s="24" t="n">
        <v>27.2</v>
      </c>
      <c r="C111" s="24" t="n">
        <v>11.1</v>
      </c>
      <c r="D111" s="24" t="n">
        <v>0</v>
      </c>
      <c r="E111" s="24" t="n">
        <v>88</v>
      </c>
      <c r="F111" s="24" t="n">
        <v>37</v>
      </c>
      <c r="G111" s="24" t="n">
        <v>7.5</v>
      </c>
      <c r="H111" s="25" t="n">
        <f aca="false">MAX(0,(B111+C111)/2-Inputs_General!$C$4)</f>
        <v>14.15</v>
      </c>
      <c r="I111" s="25" t="n">
        <f aca="false">(B111+C111)/2</f>
        <v>19.15</v>
      </c>
      <c r="J111" s="25" t="n">
        <f aca="false">(E111+F111)/2</f>
        <v>62.5</v>
      </c>
      <c r="K111" s="26" t="n">
        <f aca="false">IF(AND(F111&gt;40,E111&gt;97,B111&gt;=16,B111&lt;=24,J111&gt;72,I111&gt;10),1,0)</f>
        <v>0</v>
      </c>
      <c r="L111" s="26" t="n">
        <f aca="false">IF(AND(B111&gt;=20,B111&lt;=29,C111&gt;12,E111&gt;97,J111&gt;72),1,0)</f>
        <v>0</v>
      </c>
    </row>
    <row r="112" customFormat="false" ht="15" hidden="false" customHeight="false" outlineLevel="0" collapsed="false">
      <c r="A112" s="23" t="n">
        <v>46071</v>
      </c>
      <c r="B112" s="24" t="n">
        <v>29.3</v>
      </c>
      <c r="C112" s="24" t="n">
        <v>15.1</v>
      </c>
      <c r="D112" s="24" t="n">
        <v>0</v>
      </c>
      <c r="E112" s="24" t="n">
        <v>90</v>
      </c>
      <c r="F112" s="24" t="n">
        <v>77</v>
      </c>
      <c r="G112" s="24" t="n">
        <v>8.2</v>
      </c>
      <c r="H112" s="25" t="n">
        <f aca="false">MAX(0,(B112+C112)/2-Inputs_General!$C$4)</f>
        <v>17.2</v>
      </c>
      <c r="I112" s="25" t="n">
        <f aca="false">(B112+C112)/2</f>
        <v>22.2</v>
      </c>
      <c r="J112" s="25" t="n">
        <f aca="false">(E112+F112)/2</f>
        <v>83.5</v>
      </c>
      <c r="K112" s="26" t="n">
        <f aca="false">IF(AND(F112&gt;40,E112&gt;97,B112&gt;=16,B112&lt;=24,J112&gt;72,I112&gt;10),1,0)</f>
        <v>0</v>
      </c>
      <c r="L112" s="26" t="n">
        <f aca="false">IF(AND(B112&gt;=20,B112&lt;=29,C112&gt;12,E112&gt;97,J112&gt;72),1,0)</f>
        <v>0</v>
      </c>
    </row>
    <row r="113" customFormat="false" ht="15" hidden="false" customHeight="false" outlineLevel="0" collapsed="false">
      <c r="A113" s="23" t="n">
        <v>46072</v>
      </c>
      <c r="B113" s="24" t="n">
        <v>20.9</v>
      </c>
      <c r="C113" s="24" t="n">
        <v>10.2</v>
      </c>
      <c r="D113" s="24" t="n">
        <v>0.6</v>
      </c>
      <c r="E113" s="24" t="n">
        <v>91</v>
      </c>
      <c r="F113" s="24" t="n">
        <v>45</v>
      </c>
      <c r="G113" s="24" t="n">
        <v>0</v>
      </c>
      <c r="H113" s="25" t="n">
        <f aca="false">MAX(0,(B113+C113)/2-Inputs_General!$C$4)</f>
        <v>10.55</v>
      </c>
      <c r="I113" s="25" t="n">
        <f aca="false">(B113+C113)/2</f>
        <v>15.55</v>
      </c>
      <c r="J113" s="25" t="n">
        <f aca="false">(E113+F113)/2</f>
        <v>68</v>
      </c>
      <c r="K113" s="26" t="n">
        <f aca="false">IF(AND(F113&gt;40,E113&gt;97,B113&gt;=16,B113&lt;=24,J113&gt;72,I113&gt;10),1,0)</f>
        <v>0</v>
      </c>
      <c r="L113" s="26" t="n">
        <f aca="false">IF(AND(B113&gt;=20,B113&lt;=29,C113&gt;12,E113&gt;97,J113&gt;72),1,0)</f>
        <v>0</v>
      </c>
    </row>
    <row r="114" customFormat="false" ht="15" hidden="false" customHeight="false" outlineLevel="0" collapsed="false">
      <c r="A114" s="23" t="n">
        <v>46073</v>
      </c>
      <c r="B114" s="24" t="n">
        <v>26.5</v>
      </c>
      <c r="C114" s="24" t="n">
        <v>11</v>
      </c>
      <c r="D114" s="24" t="n">
        <v>0</v>
      </c>
      <c r="E114" s="24" t="n">
        <v>98</v>
      </c>
      <c r="F114" s="24" t="n">
        <v>49</v>
      </c>
      <c r="G114" s="24" t="n">
        <v>6.4</v>
      </c>
      <c r="H114" s="25" t="n">
        <f aca="false">MAX(0,(B114+C114)/2-Inputs_General!$C$4)</f>
        <v>13.75</v>
      </c>
      <c r="I114" s="25" t="n">
        <f aca="false">(B114+C114)/2</f>
        <v>18.75</v>
      </c>
      <c r="J114" s="25" t="n">
        <f aca="false">(E114+F114)/2</f>
        <v>73.5</v>
      </c>
      <c r="K114" s="26" t="n">
        <f aca="false">IF(AND(F114&gt;40,E114&gt;97,B114&gt;=16,B114&lt;=24,J114&gt;72,I114&gt;10),1,0)</f>
        <v>0</v>
      </c>
      <c r="L114" s="26" t="n">
        <f aca="false">IF(AND(B114&gt;=20,B114&lt;=29,C114&gt;12,E114&gt;97,J114&gt;72),1,0)</f>
        <v>0</v>
      </c>
    </row>
    <row r="115" customFormat="false" ht="15" hidden="false" customHeight="false" outlineLevel="0" collapsed="false">
      <c r="A115" s="23" t="n">
        <v>46074</v>
      </c>
      <c r="B115" s="24" t="n">
        <v>27.3</v>
      </c>
      <c r="C115" s="24" t="n">
        <v>11.4</v>
      </c>
      <c r="D115" s="24" t="n">
        <v>0</v>
      </c>
      <c r="E115" s="24" t="n">
        <v>98</v>
      </c>
      <c r="F115" s="24" t="n">
        <v>42</v>
      </c>
      <c r="G115" s="24" t="n">
        <v>7.6</v>
      </c>
      <c r="H115" s="25" t="n">
        <f aca="false">MAX(0,(B115+C115)/2-Inputs_General!$C$4)</f>
        <v>14.35</v>
      </c>
      <c r="I115" s="25" t="n">
        <f aca="false">(B115+C115)/2</f>
        <v>19.35</v>
      </c>
      <c r="J115" s="25" t="n">
        <f aca="false">(E115+F115)/2</f>
        <v>70</v>
      </c>
      <c r="K115" s="26" t="n">
        <f aca="false">IF(AND(F115&gt;40,E115&gt;97,B115&gt;=16,B115&lt;=24,J115&gt;72,I115&gt;10),1,0)</f>
        <v>0</v>
      </c>
      <c r="L115" s="26" t="n">
        <f aca="false">IF(AND(B115&gt;=20,B115&lt;=29,C115&gt;12,E115&gt;97,J115&gt;72),1,0)</f>
        <v>0</v>
      </c>
    </row>
    <row r="116" customFormat="false" ht="15" hidden="false" customHeight="false" outlineLevel="0" collapsed="false">
      <c r="A116" s="23" t="n">
        <v>46075</v>
      </c>
      <c r="B116" s="24" t="n">
        <v>27.3</v>
      </c>
      <c r="C116" s="24" t="n">
        <v>9.7</v>
      </c>
      <c r="D116" s="24" t="n">
        <v>0</v>
      </c>
      <c r="E116" s="24" t="n">
        <v>95</v>
      </c>
      <c r="F116" s="24" t="n">
        <v>32</v>
      </c>
      <c r="G116" s="24" t="n">
        <v>7.9</v>
      </c>
      <c r="H116" s="25" t="n">
        <f aca="false">MAX(0,(B116+C116)/2-Inputs_General!$C$4)</f>
        <v>13.5</v>
      </c>
      <c r="I116" s="25" t="n">
        <f aca="false">(B116+C116)/2</f>
        <v>18.5</v>
      </c>
      <c r="J116" s="25" t="n">
        <f aca="false">(E116+F116)/2</f>
        <v>63.5</v>
      </c>
      <c r="K116" s="26" t="n">
        <f aca="false">IF(AND(F116&gt;40,E116&gt;97,B116&gt;=16,B116&lt;=24,J116&gt;72,I116&gt;10),1,0)</f>
        <v>0</v>
      </c>
      <c r="L116" s="26" t="n">
        <f aca="false">IF(AND(B116&gt;=20,B116&lt;=29,C116&gt;12,E116&gt;97,J116&gt;72),1,0)</f>
        <v>0</v>
      </c>
    </row>
    <row r="117" customFormat="false" ht="15" hidden="false" customHeight="false" outlineLevel="0" collapsed="false">
      <c r="A117" s="23" t="n">
        <v>46076</v>
      </c>
      <c r="B117" s="24" t="n">
        <v>29</v>
      </c>
      <c r="C117" s="24" t="n">
        <v>10</v>
      </c>
      <c r="D117" s="24" t="n">
        <v>0</v>
      </c>
      <c r="E117" s="24" t="n">
        <v>88</v>
      </c>
      <c r="F117" s="24" t="n">
        <v>37</v>
      </c>
      <c r="G117" s="24" t="n">
        <v>8.7</v>
      </c>
      <c r="H117" s="25" t="n">
        <f aca="false">MAX(0,(B117+C117)/2-Inputs_General!$C$4)</f>
        <v>14.5</v>
      </c>
      <c r="I117" s="25" t="n">
        <f aca="false">(B117+C117)/2</f>
        <v>19.5</v>
      </c>
      <c r="J117" s="25" t="n">
        <f aca="false">(E117+F117)/2</f>
        <v>62.5</v>
      </c>
      <c r="K117" s="26" t="n">
        <f aca="false">IF(AND(F117&gt;40,E117&gt;97,B117&gt;=16,B117&lt;=24,J117&gt;72,I117&gt;10),1,0)</f>
        <v>0</v>
      </c>
      <c r="L117" s="26" t="n">
        <f aca="false">IF(AND(B117&gt;=20,B117&lt;=29,C117&gt;12,E117&gt;97,J117&gt;72),1,0)</f>
        <v>0</v>
      </c>
    </row>
    <row r="118" customFormat="false" ht="15" hidden="false" customHeight="false" outlineLevel="0" collapsed="false">
      <c r="A118" s="23" t="n">
        <v>46077</v>
      </c>
      <c r="B118" s="24" t="n">
        <v>30</v>
      </c>
      <c r="C118" s="24" t="n">
        <v>10.4</v>
      </c>
      <c r="D118" s="24" t="n">
        <v>0</v>
      </c>
      <c r="E118" s="24" t="n">
        <v>100</v>
      </c>
      <c r="F118" s="24" t="n">
        <v>34</v>
      </c>
      <c r="G118" s="24" t="n">
        <v>9</v>
      </c>
      <c r="H118" s="25" t="n">
        <f aca="false">MAX(0,(B118+C118)/2-Inputs_General!$C$4)</f>
        <v>15.2</v>
      </c>
      <c r="I118" s="25" t="n">
        <f aca="false">(B118+C118)/2</f>
        <v>20.2</v>
      </c>
      <c r="J118" s="25" t="n">
        <f aca="false">(E118+F118)/2</f>
        <v>67</v>
      </c>
      <c r="K118" s="26" t="n">
        <f aca="false">IF(AND(F118&gt;40,E118&gt;97,B118&gt;=16,B118&lt;=24,J118&gt;72,I118&gt;10),1,0)</f>
        <v>0</v>
      </c>
      <c r="L118" s="26" t="n">
        <f aca="false">IF(AND(B118&gt;=20,B118&lt;=29,C118&gt;12,E118&gt;97,J118&gt;72),1,0)</f>
        <v>0</v>
      </c>
    </row>
    <row r="119" customFormat="false" ht="15" hidden="false" customHeight="false" outlineLevel="0" collapsed="false">
      <c r="A119" s="23" t="n">
        <v>46078</v>
      </c>
      <c r="B119" s="24" t="n">
        <v>29</v>
      </c>
      <c r="C119" s="24" t="n">
        <v>9.9</v>
      </c>
      <c r="D119" s="24" t="n">
        <v>0</v>
      </c>
      <c r="E119" s="24" t="n">
        <v>100</v>
      </c>
      <c r="F119" s="24" t="n">
        <v>31</v>
      </c>
      <c r="G119" s="24" t="n">
        <v>8.4</v>
      </c>
      <c r="H119" s="25" t="n">
        <f aca="false">MAX(0,(B119+C119)/2-Inputs_General!$C$4)</f>
        <v>14.45</v>
      </c>
      <c r="I119" s="25" t="n">
        <f aca="false">(B119+C119)/2</f>
        <v>19.45</v>
      </c>
      <c r="J119" s="25" t="n">
        <f aca="false">(E119+F119)/2</f>
        <v>65.5</v>
      </c>
      <c r="K119" s="26" t="n">
        <f aca="false">IF(AND(F119&gt;40,E119&gt;97,B119&gt;=16,B119&lt;=24,J119&gt;72,I119&gt;10),1,0)</f>
        <v>0</v>
      </c>
      <c r="L119" s="26" t="n">
        <f aca="false">IF(AND(B119&gt;=20,B119&lt;=29,C119&gt;12,E119&gt;97,J119&gt;72),1,0)</f>
        <v>0</v>
      </c>
    </row>
    <row r="120" customFormat="false" ht="15" hidden="false" customHeight="false" outlineLevel="0" collapsed="false">
      <c r="A120" s="23" t="n">
        <v>46079</v>
      </c>
      <c r="B120" s="24" t="n">
        <v>29.7</v>
      </c>
      <c r="C120" s="24" t="n">
        <v>10.4</v>
      </c>
      <c r="D120" s="24" t="n">
        <v>0</v>
      </c>
      <c r="E120" s="24" t="n">
        <v>83</v>
      </c>
      <c r="F120" s="24" t="n">
        <v>38</v>
      </c>
      <c r="G120" s="24" t="n">
        <v>9.1</v>
      </c>
      <c r="H120" s="25" t="n">
        <f aca="false">MAX(0,(B120+C120)/2-Inputs_General!$C$4)</f>
        <v>15.05</v>
      </c>
      <c r="I120" s="25" t="n">
        <f aca="false">(B120+C120)/2</f>
        <v>20.05</v>
      </c>
      <c r="J120" s="25" t="n">
        <f aca="false">(E120+F120)/2</f>
        <v>60.5</v>
      </c>
      <c r="K120" s="26" t="n">
        <f aca="false">IF(AND(F120&gt;40,E120&gt;97,B120&gt;=16,B120&lt;=24,J120&gt;72,I120&gt;10),1,0)</f>
        <v>0</v>
      </c>
      <c r="L120" s="26" t="n">
        <f aca="false">IF(AND(B120&gt;=20,B120&lt;=29,C120&gt;12,E120&gt;97,J120&gt;72),1,0)</f>
        <v>0</v>
      </c>
    </row>
    <row r="121" customFormat="false" ht="15" hidden="false" customHeight="false" outlineLevel="0" collapsed="false">
      <c r="A121" s="23" t="n">
        <v>46080</v>
      </c>
      <c r="B121" s="24" t="n">
        <v>29.9</v>
      </c>
      <c r="C121" s="24" t="n">
        <v>11</v>
      </c>
      <c r="D121" s="24" t="n">
        <v>0</v>
      </c>
      <c r="E121" s="24" t="n">
        <v>93</v>
      </c>
      <c r="F121" s="24" t="n">
        <v>27</v>
      </c>
      <c r="G121" s="24" t="n">
        <v>8.9</v>
      </c>
      <c r="H121" s="25" t="n">
        <f aca="false">MAX(0,(B121+C121)/2-Inputs_General!$C$4)</f>
        <v>15.45</v>
      </c>
      <c r="I121" s="25" t="n">
        <f aca="false">(B121+C121)/2</f>
        <v>20.45</v>
      </c>
      <c r="J121" s="25" t="n">
        <f aca="false">(E121+F121)/2</f>
        <v>60</v>
      </c>
      <c r="K121" s="26" t="n">
        <f aca="false">IF(AND(F121&gt;40,E121&gt;97,B121&gt;=16,B121&lt;=24,J121&gt;72,I121&gt;10),1,0)</f>
        <v>0</v>
      </c>
      <c r="L121" s="26" t="n">
        <f aca="false">IF(AND(B121&gt;=20,B121&lt;=29,C121&gt;12,E121&gt;97,J121&gt;72),1,0)</f>
        <v>0</v>
      </c>
    </row>
    <row r="122" customFormat="false" ht="15" hidden="false" customHeight="false" outlineLevel="0" collapsed="false">
      <c r="A122" s="23" t="n">
        <v>46081</v>
      </c>
      <c r="B122" s="24" t="n">
        <v>31.7</v>
      </c>
      <c r="C122" s="24" t="n">
        <v>13.8</v>
      </c>
      <c r="D122" s="24" t="n">
        <v>0</v>
      </c>
      <c r="E122" s="24" t="n">
        <v>82</v>
      </c>
      <c r="F122" s="24" t="n">
        <v>35</v>
      </c>
      <c r="G122" s="24" t="n">
        <v>8.8</v>
      </c>
      <c r="H122" s="25" t="n">
        <f aca="false">MAX(0,(B122+C122)/2-Inputs_General!$C$4)</f>
        <v>17.75</v>
      </c>
      <c r="I122" s="25" t="n">
        <f aca="false">(B122+C122)/2</f>
        <v>22.75</v>
      </c>
      <c r="J122" s="25" t="n">
        <f aca="false">(E122+F122)/2</f>
        <v>58.5</v>
      </c>
      <c r="K122" s="26" t="n">
        <f aca="false">IF(AND(F122&gt;40,E122&gt;97,B122&gt;=16,B122&lt;=24,J122&gt;72,I122&gt;10),1,0)</f>
        <v>0</v>
      </c>
      <c r="L122" s="26" t="n">
        <f aca="false">IF(AND(B122&gt;=20,B122&lt;=29,C122&gt;12,E122&gt;97,J122&gt;72),1,0)</f>
        <v>0</v>
      </c>
    </row>
    <row r="123" customFormat="false" ht="15" hidden="false" customHeight="false" outlineLevel="0" collapsed="false">
      <c r="A123" s="23" t="n">
        <v>46082</v>
      </c>
      <c r="B123" s="24" t="n">
        <v>31.7</v>
      </c>
      <c r="C123" s="24" t="n">
        <v>11.4</v>
      </c>
      <c r="D123" s="24" t="n">
        <v>0</v>
      </c>
      <c r="E123" s="24" t="n">
        <v>97</v>
      </c>
      <c r="F123" s="24" t="n">
        <v>31</v>
      </c>
      <c r="G123" s="24" t="n">
        <v>8.9</v>
      </c>
      <c r="H123" s="25" t="n">
        <f aca="false">MAX(0,(B123+C123)/2-Inputs_General!$C$4)</f>
        <v>16.55</v>
      </c>
      <c r="I123" s="25" t="n">
        <f aca="false">(B123+C123)/2</f>
        <v>21.55</v>
      </c>
      <c r="J123" s="25" t="n">
        <f aca="false">(E123+F123)/2</f>
        <v>64</v>
      </c>
      <c r="K123" s="26" t="n">
        <f aca="false">IF(AND(F123&gt;40,E123&gt;97,B123&gt;=16,B123&lt;=24,J123&gt;72,I123&gt;10),1,0)</f>
        <v>0</v>
      </c>
      <c r="L123" s="26" t="n">
        <f aca="false">IF(AND(B123&gt;=20,B123&lt;=29,C123&gt;12,E123&gt;97,J123&gt;72),1,0)</f>
        <v>0</v>
      </c>
    </row>
    <row r="124" customFormat="false" ht="15" hidden="false" customHeight="false" outlineLevel="0" collapsed="false">
      <c r="A124" s="23" t="n">
        <v>46083</v>
      </c>
      <c r="B124" s="24" t="n">
        <v>31.4</v>
      </c>
      <c r="C124" s="24" t="n">
        <v>12.8</v>
      </c>
      <c r="D124" s="24" t="n">
        <v>0</v>
      </c>
      <c r="E124" s="24" t="n">
        <v>91</v>
      </c>
      <c r="F124" s="24" t="n">
        <v>38</v>
      </c>
      <c r="G124" s="24" t="n">
        <v>8.7</v>
      </c>
      <c r="H124" s="25" t="n">
        <f aca="false">MAX(0,(B124+C124)/2-Inputs_General!$C$4)</f>
        <v>17.1</v>
      </c>
      <c r="I124" s="25" t="n">
        <f aca="false">(B124+C124)/2</f>
        <v>22.1</v>
      </c>
      <c r="J124" s="25" t="n">
        <f aca="false">(E124+F124)/2</f>
        <v>64.5</v>
      </c>
      <c r="K124" s="26" t="n">
        <f aca="false">IF(AND(F124&gt;40,E124&gt;97,B124&gt;=16,B124&lt;=24,J124&gt;72,I124&gt;10),1,0)</f>
        <v>0</v>
      </c>
      <c r="L124" s="26" t="n">
        <f aca="false">IF(AND(B124&gt;=20,B124&lt;=29,C124&gt;12,E124&gt;97,J124&gt;72),1,0)</f>
        <v>0</v>
      </c>
    </row>
    <row r="125" customFormat="false" ht="15" hidden="false" customHeight="false" outlineLevel="0" collapsed="false">
      <c r="A125" s="23" t="n">
        <v>46084</v>
      </c>
      <c r="B125" s="24" t="n">
        <v>29.9</v>
      </c>
      <c r="C125" s="24" t="n">
        <v>14.4</v>
      </c>
      <c r="D125" s="24" t="n">
        <v>0</v>
      </c>
      <c r="E125" s="24" t="n">
        <v>85</v>
      </c>
      <c r="F125" s="24" t="n">
        <v>35</v>
      </c>
      <c r="G125" s="24" t="n">
        <v>9</v>
      </c>
      <c r="H125" s="25" t="n">
        <f aca="false">MAX(0,(B125+C125)/2-Inputs_General!$C$4)</f>
        <v>17.15</v>
      </c>
      <c r="I125" s="25" t="n">
        <f aca="false">(B125+C125)/2</f>
        <v>22.15</v>
      </c>
      <c r="J125" s="25" t="n">
        <f aca="false">(E125+F125)/2</f>
        <v>60</v>
      </c>
      <c r="K125" s="26" t="n">
        <f aca="false">IF(AND(F125&gt;40,E125&gt;97,B125&gt;=16,B125&lt;=24,J125&gt;72,I125&gt;10),1,0)</f>
        <v>0</v>
      </c>
      <c r="L125" s="26" t="n">
        <f aca="false">IF(AND(B125&gt;=20,B125&lt;=29,C125&gt;12,E125&gt;97,J125&gt;72),1,0)</f>
        <v>0</v>
      </c>
    </row>
    <row r="126" customFormat="false" ht="15" hidden="false" customHeight="false" outlineLevel="0" collapsed="false">
      <c r="A126" s="23" t="n">
        <v>46085</v>
      </c>
      <c r="B126" s="24" t="n">
        <v>31.2</v>
      </c>
      <c r="C126" s="24" t="n">
        <v>14.8</v>
      </c>
      <c r="D126" s="24" t="n">
        <v>0</v>
      </c>
      <c r="E126" s="24" t="n">
        <v>90</v>
      </c>
      <c r="F126" s="24" t="n">
        <v>32</v>
      </c>
      <c r="G126" s="24" t="n">
        <v>9.2</v>
      </c>
      <c r="H126" s="25" t="n">
        <f aca="false">MAX(0,(B126+C126)/2-Inputs_General!$C$4)</f>
        <v>18</v>
      </c>
      <c r="I126" s="25" t="n">
        <f aca="false">(B126+C126)/2</f>
        <v>23</v>
      </c>
      <c r="J126" s="25" t="n">
        <f aca="false">(E126+F126)/2</f>
        <v>61</v>
      </c>
      <c r="K126" s="26" t="n">
        <f aca="false">IF(AND(F126&gt;40,E126&gt;97,B126&gt;=16,B126&lt;=24,J126&gt;72,I126&gt;10),1,0)</f>
        <v>0</v>
      </c>
      <c r="L126" s="26" t="n">
        <f aca="false">IF(AND(B126&gt;=20,B126&lt;=29,C126&gt;12,E126&gt;97,J126&gt;72),1,0)</f>
        <v>0</v>
      </c>
    </row>
    <row r="127" customFormat="false" ht="15" hidden="false" customHeight="false" outlineLevel="0" collapsed="false">
      <c r="A127" s="23" t="n">
        <v>46086</v>
      </c>
      <c r="B127" s="24" t="n">
        <v>32</v>
      </c>
      <c r="C127" s="24" t="n">
        <v>13.5</v>
      </c>
      <c r="D127" s="24" t="n">
        <v>0</v>
      </c>
      <c r="E127" s="24" t="n">
        <v>84</v>
      </c>
      <c r="F127" s="24" t="n">
        <v>33</v>
      </c>
      <c r="G127" s="24" t="n">
        <v>9</v>
      </c>
      <c r="H127" s="25" t="n">
        <f aca="false">MAX(0,(B127+C127)/2-Inputs_General!$C$4)</f>
        <v>17.75</v>
      </c>
      <c r="I127" s="25" t="n">
        <f aca="false">(B127+C127)/2</f>
        <v>22.75</v>
      </c>
      <c r="J127" s="25" t="n">
        <f aca="false">(E127+F127)/2</f>
        <v>58.5</v>
      </c>
      <c r="K127" s="26" t="n">
        <f aca="false">IF(AND(F127&gt;40,E127&gt;97,B127&gt;=16,B127&lt;=24,J127&gt;72,I127&gt;10),1,0)</f>
        <v>0</v>
      </c>
      <c r="L127" s="26" t="n">
        <f aca="false">IF(AND(B127&gt;=20,B127&lt;=29,C127&gt;12,E127&gt;97,J127&gt;72),1,0)</f>
        <v>0</v>
      </c>
    </row>
    <row r="128" customFormat="false" ht="15" hidden="false" customHeight="false" outlineLevel="0" collapsed="false">
      <c r="A128" s="23" t="n">
        <v>46087</v>
      </c>
      <c r="B128" s="24" t="n">
        <v>33.5</v>
      </c>
      <c r="C128" s="24" t="n">
        <v>15.1</v>
      </c>
      <c r="D128" s="24" t="n">
        <v>0</v>
      </c>
      <c r="E128" s="24" t="n">
        <v>90</v>
      </c>
      <c r="F128" s="24" t="n">
        <v>40</v>
      </c>
      <c r="G128" s="24" t="n">
        <v>8.9</v>
      </c>
      <c r="H128" s="25" t="n">
        <f aca="false">MAX(0,(B128+C128)/2-Inputs_General!$C$4)</f>
        <v>19.3</v>
      </c>
      <c r="I128" s="25" t="n">
        <f aca="false">(B128+C128)/2</f>
        <v>24.3</v>
      </c>
      <c r="J128" s="25" t="n">
        <f aca="false">(E128+F128)/2</f>
        <v>65</v>
      </c>
      <c r="K128" s="26" t="n">
        <f aca="false">IF(AND(F128&gt;40,E128&gt;97,B128&gt;=16,B128&lt;=24,J128&gt;72,I128&gt;10),1,0)</f>
        <v>0</v>
      </c>
      <c r="L128" s="26" t="n">
        <f aca="false">IF(AND(B128&gt;=20,B128&lt;=29,C128&gt;12,E128&gt;97,J128&gt;72),1,0)</f>
        <v>0</v>
      </c>
    </row>
    <row r="129" customFormat="false" ht="15" hidden="false" customHeight="false" outlineLevel="0" collapsed="false">
      <c r="A129" s="23" t="n">
        <v>46088</v>
      </c>
      <c r="B129" s="24" t="n">
        <v>33.8</v>
      </c>
      <c r="C129" s="24" t="n">
        <v>16.1</v>
      </c>
      <c r="D129" s="24" t="n">
        <v>0</v>
      </c>
      <c r="E129" s="24" t="n">
        <v>90</v>
      </c>
      <c r="F129" s="24" t="n">
        <v>35</v>
      </c>
      <c r="G129" s="24" t="n">
        <v>9.2</v>
      </c>
      <c r="H129" s="25" t="n">
        <f aca="false">MAX(0,(B129+C129)/2-Inputs_General!$C$4)</f>
        <v>19.95</v>
      </c>
      <c r="I129" s="25" t="n">
        <f aca="false">(B129+C129)/2</f>
        <v>24.95</v>
      </c>
      <c r="J129" s="25" t="n">
        <f aca="false">(E129+F129)/2</f>
        <v>62.5</v>
      </c>
      <c r="K129" s="26" t="n">
        <f aca="false">IF(AND(F129&gt;40,E129&gt;97,B129&gt;=16,B129&lt;=24,J129&gt;72,I129&gt;10),1,0)</f>
        <v>0</v>
      </c>
      <c r="L129" s="26" t="n">
        <f aca="false">IF(AND(B129&gt;=20,B129&lt;=29,C129&gt;12,E129&gt;97,J129&gt;72),1,0)</f>
        <v>0</v>
      </c>
    </row>
    <row r="130" customFormat="false" ht="15" hidden="false" customHeight="false" outlineLevel="0" collapsed="false">
      <c r="A130" s="23" t="n">
        <v>46089</v>
      </c>
      <c r="B130" s="24" t="n">
        <v>34.9</v>
      </c>
      <c r="C130" s="24" t="n">
        <v>14.9</v>
      </c>
      <c r="D130" s="24" t="n">
        <v>0</v>
      </c>
      <c r="E130" s="24" t="n">
        <v>96</v>
      </c>
      <c r="F130" s="24" t="n">
        <v>40</v>
      </c>
      <c r="G130" s="24" t="n">
        <v>7.8</v>
      </c>
      <c r="H130" s="25" t="n">
        <f aca="false">MAX(0,(B130+C130)/2-Inputs_General!$C$4)</f>
        <v>19.9</v>
      </c>
      <c r="I130" s="25" t="n">
        <f aca="false">(B130+C130)/2</f>
        <v>24.9</v>
      </c>
      <c r="J130" s="25" t="n">
        <f aca="false">(E130+F130)/2</f>
        <v>68</v>
      </c>
      <c r="K130" s="26" t="n">
        <f aca="false">IF(AND(F130&gt;40,E130&gt;97,B130&gt;=16,B130&lt;=24,J130&gt;72,I130&gt;10),1,0)</f>
        <v>0</v>
      </c>
      <c r="L130" s="26" t="n">
        <f aca="false">IF(AND(B130&gt;=20,B130&lt;=29,C130&gt;12,E130&gt;97,J130&gt;72),1,0)</f>
        <v>0</v>
      </c>
    </row>
    <row r="131" customFormat="false" ht="15" hidden="false" customHeight="false" outlineLevel="0" collapsed="false">
      <c r="A131" s="23" t="n">
        <v>46090</v>
      </c>
      <c r="B131" s="24" t="n">
        <v>34.7</v>
      </c>
      <c r="C131" s="24" t="n">
        <v>16.8</v>
      </c>
      <c r="D131" s="24" t="n">
        <v>0</v>
      </c>
      <c r="E131" s="24" t="n">
        <v>93</v>
      </c>
      <c r="F131" s="24" t="n">
        <v>50</v>
      </c>
      <c r="G131" s="24" t="n">
        <v>9</v>
      </c>
      <c r="H131" s="25" t="n">
        <f aca="false">MAX(0,(B131+C131)/2-Inputs_General!$C$4)</f>
        <v>20.75</v>
      </c>
      <c r="I131" s="25" t="n">
        <f aca="false">(B131+C131)/2</f>
        <v>25.75</v>
      </c>
      <c r="J131" s="25" t="n">
        <f aca="false">(E131+F131)/2</f>
        <v>71.5</v>
      </c>
      <c r="K131" s="26" t="n">
        <f aca="false">IF(AND(F131&gt;40,E131&gt;97,B131&gt;=16,B131&lt;=24,J131&gt;72,I131&gt;10),1,0)</f>
        <v>0</v>
      </c>
      <c r="L131" s="26" t="n">
        <f aca="false">IF(AND(B131&gt;=20,B131&lt;=29,C131&gt;12,E131&gt;97,J131&gt;72),1,0)</f>
        <v>0</v>
      </c>
    </row>
    <row r="132" customFormat="false" ht="15" hidden="false" customHeight="false" outlineLevel="0" collapsed="false">
      <c r="A132" s="23" t="n">
        <v>46091</v>
      </c>
      <c r="B132" s="24" t="n">
        <v>34</v>
      </c>
      <c r="C132" s="24" t="n">
        <v>16.5</v>
      </c>
      <c r="D132" s="24" t="n">
        <v>0</v>
      </c>
      <c r="E132" s="24" t="n">
        <v>94</v>
      </c>
      <c r="F132" s="24" t="n">
        <v>35</v>
      </c>
      <c r="G132" s="24" t="n">
        <v>7.6</v>
      </c>
      <c r="H132" s="25" t="n">
        <f aca="false">MAX(0,(B132+C132)/2-Inputs_General!$C$4)</f>
        <v>20.25</v>
      </c>
      <c r="I132" s="25" t="n">
        <f aca="false">(B132+C132)/2</f>
        <v>25.25</v>
      </c>
      <c r="J132" s="25" t="n">
        <f aca="false">(E132+F132)/2</f>
        <v>64.5</v>
      </c>
      <c r="K132" s="26" t="n">
        <f aca="false">IF(AND(F132&gt;40,E132&gt;97,B132&gt;=16,B132&lt;=24,J132&gt;72,I132&gt;10),1,0)</f>
        <v>0</v>
      </c>
      <c r="L132" s="26" t="n">
        <f aca="false">IF(AND(B132&gt;=20,B132&lt;=29,C132&gt;12,E132&gt;97,J132&gt;72),1,0)</f>
        <v>0</v>
      </c>
    </row>
    <row r="133" customFormat="false" ht="15" hidden="false" customHeight="false" outlineLevel="0" collapsed="false">
      <c r="A133" s="23" t="n">
        <v>46092</v>
      </c>
      <c r="B133" s="24" t="n">
        <v>34.6</v>
      </c>
      <c r="C133" s="24" t="n">
        <v>15.1</v>
      </c>
      <c r="D133" s="24" t="n">
        <v>0</v>
      </c>
      <c r="E133" s="24" t="n">
        <v>92</v>
      </c>
      <c r="F133" s="24" t="n">
        <v>25</v>
      </c>
      <c r="G133" s="24" t="n">
        <v>7.9</v>
      </c>
      <c r="H133" s="25" t="n">
        <f aca="false">MAX(0,(B133+C133)/2-Inputs_General!$C$4)</f>
        <v>19.85</v>
      </c>
      <c r="I133" s="25" t="n">
        <f aca="false">(B133+C133)/2</f>
        <v>24.85</v>
      </c>
      <c r="J133" s="25" t="n">
        <f aca="false">(E133+F133)/2</f>
        <v>58.5</v>
      </c>
      <c r="K133" s="26" t="n">
        <f aca="false">IF(AND(F133&gt;40,E133&gt;97,B133&gt;=16,B133&lt;=24,J133&gt;72,I133&gt;10),1,0)</f>
        <v>0</v>
      </c>
      <c r="L133" s="26" t="n">
        <f aca="false">IF(AND(B133&gt;=20,B133&lt;=29,C133&gt;12,E133&gt;97,J133&gt;72),1,0)</f>
        <v>0</v>
      </c>
    </row>
    <row r="134" customFormat="false" ht="15" hidden="false" customHeight="false" outlineLevel="0" collapsed="false">
      <c r="A134" s="23" t="n">
        <v>46093</v>
      </c>
      <c r="B134" s="24" t="n">
        <v>35.7</v>
      </c>
      <c r="C134" s="24" t="n">
        <v>15</v>
      </c>
      <c r="D134" s="24" t="n">
        <v>0</v>
      </c>
      <c r="E134" s="24" t="n">
        <v>88</v>
      </c>
      <c r="F134" s="24" t="n">
        <v>25</v>
      </c>
      <c r="G134" s="24" t="n">
        <v>8.8</v>
      </c>
      <c r="H134" s="25" t="n">
        <f aca="false">MAX(0,(B134+C134)/2-Inputs_General!$C$4)</f>
        <v>20.35</v>
      </c>
      <c r="I134" s="25" t="n">
        <f aca="false">(B134+C134)/2</f>
        <v>25.35</v>
      </c>
      <c r="J134" s="25" t="n">
        <f aca="false">(E134+F134)/2</f>
        <v>56.5</v>
      </c>
      <c r="K134" s="26" t="n">
        <f aca="false">IF(AND(F134&gt;40,E134&gt;97,B134&gt;=16,B134&lt;=24,J134&gt;72,I134&gt;10),1,0)</f>
        <v>0</v>
      </c>
      <c r="L134" s="26" t="n">
        <f aca="false">IF(AND(B134&gt;=20,B134&lt;=29,C134&gt;12,E134&gt;97,J134&gt;72),1,0)</f>
        <v>0</v>
      </c>
    </row>
    <row r="135" customFormat="false" ht="15" hidden="false" customHeight="false" outlineLevel="0" collapsed="false">
      <c r="A135" s="23" t="n">
        <v>46094</v>
      </c>
      <c r="B135" s="24" t="n">
        <v>34.7</v>
      </c>
      <c r="C135" s="24" t="n">
        <v>19.1</v>
      </c>
      <c r="D135" s="24" t="n">
        <v>0</v>
      </c>
      <c r="E135" s="24" t="n">
        <v>82</v>
      </c>
      <c r="F135" s="24" t="n">
        <v>29</v>
      </c>
      <c r="G135" s="24" t="n">
        <v>7.6</v>
      </c>
      <c r="H135" s="25" t="n">
        <f aca="false">MAX(0,(B135+C135)/2-Inputs_General!$C$4)</f>
        <v>21.9</v>
      </c>
      <c r="I135" s="25" t="n">
        <f aca="false">(B135+C135)/2</f>
        <v>26.9</v>
      </c>
      <c r="J135" s="25" t="n">
        <f aca="false">(E135+F135)/2</f>
        <v>55.5</v>
      </c>
      <c r="K135" s="26" t="n">
        <f aca="false">IF(AND(F135&gt;40,E135&gt;97,B135&gt;=16,B135&lt;=24,J135&gt;72,I135&gt;10),1,0)</f>
        <v>0</v>
      </c>
      <c r="L135" s="26" t="n">
        <f aca="false">IF(AND(B135&gt;=20,B135&lt;=29,C135&gt;12,E135&gt;97,J135&gt;72),1,0)</f>
        <v>0</v>
      </c>
    </row>
    <row r="136" customFormat="false" ht="15" hidden="false" customHeight="false" outlineLevel="0" collapsed="false">
      <c r="A136" s="23" t="n">
        <v>46095</v>
      </c>
      <c r="B136" s="24" t="n">
        <v>31.3</v>
      </c>
      <c r="C136" s="24" t="n">
        <v>16.9</v>
      </c>
      <c r="D136" s="24" t="n">
        <v>0</v>
      </c>
      <c r="E136" s="24" t="n">
        <v>88</v>
      </c>
      <c r="F136" s="24" t="n">
        <v>32</v>
      </c>
      <c r="G136" s="24" t="n">
        <v>5.8</v>
      </c>
      <c r="H136" s="25" t="n">
        <f aca="false">MAX(0,(B136+C136)/2-Inputs_General!$C$4)</f>
        <v>19.1</v>
      </c>
      <c r="I136" s="25" t="n">
        <f aca="false">(B136+C136)/2</f>
        <v>24.1</v>
      </c>
      <c r="J136" s="25" t="n">
        <f aca="false">(E136+F136)/2</f>
        <v>60</v>
      </c>
      <c r="K136" s="26" t="n">
        <f aca="false">IF(AND(F136&gt;40,E136&gt;97,B136&gt;=16,B136&lt;=24,J136&gt;72,I136&gt;10),1,0)</f>
        <v>0</v>
      </c>
      <c r="L136" s="26" t="n">
        <f aca="false">IF(AND(B136&gt;=20,B136&lt;=29,C136&gt;12,E136&gt;97,J136&gt;72),1,0)</f>
        <v>0</v>
      </c>
    </row>
    <row r="137" customFormat="false" ht="15" hidden="false" customHeight="false" outlineLevel="0" collapsed="false">
      <c r="A137" s="23" t="n">
        <v>46096</v>
      </c>
      <c r="B137" s="24" t="n">
        <v>33</v>
      </c>
      <c r="C137" s="24" t="n">
        <v>17</v>
      </c>
      <c r="D137" s="24" t="n">
        <v>0.3</v>
      </c>
      <c r="E137" s="24" t="n">
        <v>92</v>
      </c>
      <c r="F137" s="24" t="n">
        <v>45</v>
      </c>
      <c r="G137" s="24" t="n">
        <v>6.2</v>
      </c>
      <c r="H137" s="25" t="n">
        <f aca="false">MAX(0,(B137+C137)/2-Inputs_General!$C$4)</f>
        <v>20</v>
      </c>
      <c r="I137" s="25" t="n">
        <f aca="false">(B137+C137)/2</f>
        <v>25</v>
      </c>
      <c r="J137" s="25" t="n">
        <f aca="false">(E137+F137)/2</f>
        <v>68.5</v>
      </c>
      <c r="K137" s="26" t="n">
        <f aca="false">IF(AND(F137&gt;40,E137&gt;97,B137&gt;=16,B137&lt;=24,J137&gt;72,I137&gt;10),1,0)</f>
        <v>0</v>
      </c>
      <c r="L137" s="26" t="n">
        <f aca="false">IF(AND(B137&gt;=20,B137&lt;=29,C137&gt;12,E137&gt;97,J137&gt;72),1,0)</f>
        <v>0</v>
      </c>
    </row>
    <row r="138" customFormat="false" ht="15" hidden="false" customHeight="false" outlineLevel="0" collapsed="false">
      <c r="A138" s="23" t="n">
        <v>46097</v>
      </c>
      <c r="B138" s="24" t="n">
        <v>29</v>
      </c>
      <c r="C138" s="24" t="n">
        <v>14.4</v>
      </c>
      <c r="D138" s="24" t="n">
        <v>0</v>
      </c>
      <c r="E138" s="24" t="n">
        <v>82</v>
      </c>
      <c r="F138" s="24" t="n">
        <v>40</v>
      </c>
      <c r="G138" s="24" t="n">
        <v>6.4</v>
      </c>
      <c r="H138" s="25" t="n">
        <f aca="false">MAX(0,(B138+C138)/2-Inputs_General!$C$4)</f>
        <v>16.7</v>
      </c>
      <c r="I138" s="25" t="n">
        <f aca="false">(B138+C138)/2</f>
        <v>21.7</v>
      </c>
      <c r="J138" s="25" t="n">
        <f aca="false">(E138+F138)/2</f>
        <v>61</v>
      </c>
      <c r="K138" s="26" t="n">
        <f aca="false">IF(AND(F138&gt;40,E138&gt;97,B138&gt;=16,B138&lt;=24,J138&gt;72,I138&gt;10),1,0)</f>
        <v>0</v>
      </c>
      <c r="L138" s="26" t="n">
        <f aca="false">IF(AND(B138&gt;=20,B138&lt;=29,C138&gt;12,E138&gt;97,J138&gt;72),1,0)</f>
        <v>0</v>
      </c>
    </row>
    <row r="139" customFormat="false" ht="15" hidden="false" customHeight="false" outlineLevel="0" collapsed="false">
      <c r="A139" s="23" t="n">
        <v>46098</v>
      </c>
      <c r="B139" s="24" t="n">
        <v>31</v>
      </c>
      <c r="C139" s="24" t="n">
        <v>15.6</v>
      </c>
      <c r="D139" s="24" t="n">
        <v>0</v>
      </c>
      <c r="E139" s="24" t="n">
        <v>84</v>
      </c>
      <c r="F139" s="24" t="n">
        <v>38</v>
      </c>
      <c r="G139" s="24" t="n">
        <v>8.7</v>
      </c>
      <c r="H139" s="25" t="n">
        <f aca="false">MAX(0,(B139+C139)/2-Inputs_General!$C$4)</f>
        <v>18.3</v>
      </c>
      <c r="I139" s="25" t="n">
        <f aca="false">(B139+C139)/2</f>
        <v>23.3</v>
      </c>
      <c r="J139" s="25" t="n">
        <f aca="false">(E139+F139)/2</f>
        <v>61</v>
      </c>
      <c r="K139" s="26" t="n">
        <f aca="false">IF(AND(F139&gt;40,E139&gt;97,B139&gt;=16,B139&lt;=24,J139&gt;72,I139&gt;10),1,0)</f>
        <v>0</v>
      </c>
      <c r="L139" s="26" t="n">
        <f aca="false">IF(AND(B139&gt;=20,B139&lt;=29,C139&gt;12,E139&gt;97,J139&gt;72),1,0)</f>
        <v>0</v>
      </c>
    </row>
    <row r="140" customFormat="false" ht="15" hidden="false" customHeight="false" outlineLevel="0" collapsed="false">
      <c r="A140" s="23" t="n">
        <v>46099</v>
      </c>
      <c r="B140" s="24" t="n">
        <v>31.1</v>
      </c>
      <c r="C140" s="24" t="n">
        <v>15.2</v>
      </c>
      <c r="D140" s="24" t="n">
        <v>0</v>
      </c>
      <c r="E140" s="24" t="n">
        <v>70</v>
      </c>
      <c r="F140" s="24" t="n">
        <v>36</v>
      </c>
      <c r="G140" s="24" t="n">
        <v>6.9</v>
      </c>
      <c r="H140" s="25" t="n">
        <f aca="false">MAX(0,(B140+C140)/2-Inputs_General!$C$4)</f>
        <v>18.15</v>
      </c>
      <c r="I140" s="25" t="n">
        <f aca="false">(B140+C140)/2</f>
        <v>23.15</v>
      </c>
      <c r="J140" s="25" t="n">
        <f aca="false">(E140+F140)/2</f>
        <v>53</v>
      </c>
      <c r="K140" s="26" t="n">
        <f aca="false">IF(AND(F140&gt;40,E140&gt;97,B140&gt;=16,B140&lt;=24,J140&gt;72,I140&gt;10),1,0)</f>
        <v>0</v>
      </c>
      <c r="L140" s="26" t="n">
        <f aca="false">IF(AND(B140&gt;=20,B140&lt;=29,C140&gt;12,E140&gt;97,J140&gt;72),1,0)</f>
        <v>0</v>
      </c>
    </row>
    <row r="141" customFormat="false" ht="15" hidden="false" customHeight="false" outlineLevel="0" collapsed="false">
      <c r="A141" s="23" t="n">
        <v>46100</v>
      </c>
      <c r="B141" s="24" t="n">
        <v>32.9</v>
      </c>
      <c r="C141" s="24" t="n">
        <v>16</v>
      </c>
      <c r="D141" s="24" t="n">
        <v>9.9</v>
      </c>
      <c r="E141" s="24" t="n">
        <v>94</v>
      </c>
      <c r="F141" s="24" t="n">
        <v>67</v>
      </c>
      <c r="G141" s="24" t="n">
        <v>6.4</v>
      </c>
      <c r="H141" s="25" t="n">
        <f aca="false">MAX(0,(B141+C141)/2-Inputs_General!$C$4)</f>
        <v>19.45</v>
      </c>
      <c r="I141" s="25" t="n">
        <f aca="false">(B141+C141)/2</f>
        <v>24.45</v>
      </c>
      <c r="J141" s="25" t="n">
        <f aca="false">(E141+F141)/2</f>
        <v>80.5</v>
      </c>
      <c r="K141" s="26" t="n">
        <f aca="false">IF(AND(F141&gt;40,E141&gt;97,B141&gt;=16,B141&lt;=24,J141&gt;72,I141&gt;10),1,0)</f>
        <v>0</v>
      </c>
      <c r="L141" s="26" t="n">
        <f aca="false">IF(AND(B141&gt;=20,B141&lt;=29,C141&gt;12,E141&gt;97,J141&gt;72),1,0)</f>
        <v>0</v>
      </c>
    </row>
    <row r="142" customFormat="false" ht="15" hidden="false" customHeight="false" outlineLevel="0" collapsed="false">
      <c r="A142" s="23" t="n">
        <v>46101</v>
      </c>
      <c r="B142" s="24" t="n">
        <v>24.9</v>
      </c>
      <c r="C142" s="24" t="n">
        <v>14.7</v>
      </c>
      <c r="D142" s="24" t="n">
        <v>6.5</v>
      </c>
      <c r="E142" s="24" t="n">
        <v>98</v>
      </c>
      <c r="F142" s="24" t="n">
        <v>83</v>
      </c>
      <c r="G142" s="24" t="n">
        <v>0.5</v>
      </c>
      <c r="H142" s="25" t="n">
        <f aca="false">MAX(0,(B142+C142)/2-Inputs_General!$C$4)</f>
        <v>14.8</v>
      </c>
      <c r="I142" s="25" t="n">
        <f aca="false">(B142+C142)/2</f>
        <v>19.8</v>
      </c>
      <c r="J142" s="25" t="n">
        <f aca="false">(E142+F142)/2</f>
        <v>90.5</v>
      </c>
      <c r="K142" s="26" t="n">
        <f aca="false">IF(AND(F142&gt;40,E142&gt;97,B142&gt;=16,B142&lt;=24,J142&gt;72,I142&gt;10),1,0)</f>
        <v>0</v>
      </c>
      <c r="L142" s="26" t="n">
        <f aca="false">IF(AND(B142&gt;=20,B142&lt;=29,C142&gt;12,E142&gt;97,J142&gt;72),1,0)</f>
        <v>1</v>
      </c>
    </row>
    <row r="143" customFormat="false" ht="15" hidden="false" customHeight="false" outlineLevel="0" collapsed="false">
      <c r="A143" s="23" t="n">
        <v>46102</v>
      </c>
      <c r="B143" s="24" t="n">
        <v>21.4</v>
      </c>
      <c r="C143" s="24" t="n">
        <v>12.6</v>
      </c>
      <c r="D143" s="24" t="n">
        <v>2.8</v>
      </c>
      <c r="E143" s="24" t="n">
        <v>96</v>
      </c>
      <c r="F143" s="24" t="n">
        <v>51</v>
      </c>
      <c r="G143" s="24" t="n">
        <v>0.3</v>
      </c>
      <c r="H143" s="25" t="n">
        <f aca="false">MAX(0,(B143+C143)/2-Inputs_General!$C$4)</f>
        <v>12</v>
      </c>
      <c r="I143" s="25" t="n">
        <f aca="false">(B143+C143)/2</f>
        <v>17</v>
      </c>
      <c r="J143" s="25" t="n">
        <f aca="false">(E143+F143)/2</f>
        <v>73.5</v>
      </c>
      <c r="K143" s="26" t="n">
        <f aca="false">IF(AND(F143&gt;40,E143&gt;97,B143&gt;=16,B143&lt;=24,J143&gt;72,I143&gt;10),1,0)</f>
        <v>0</v>
      </c>
      <c r="L143" s="26" t="n">
        <f aca="false">IF(AND(B143&gt;=20,B143&lt;=29,C143&gt;12,E143&gt;97,J143&gt;72),1,0)</f>
        <v>0</v>
      </c>
    </row>
    <row r="144" customFormat="false" ht="15" hidden="false" customHeight="false" outlineLevel="0" collapsed="false">
      <c r="A144" s="23" t="n">
        <v>46103</v>
      </c>
      <c r="B144" s="24" t="n">
        <v>26.4</v>
      </c>
      <c r="C144" s="24" t="n">
        <v>15.5</v>
      </c>
      <c r="D144" s="24" t="n">
        <v>0</v>
      </c>
      <c r="E144" s="24" t="n">
        <v>90</v>
      </c>
      <c r="F144" s="24" t="n">
        <v>48</v>
      </c>
      <c r="G144" s="24" t="n">
        <v>6.2</v>
      </c>
      <c r="H144" s="25" t="n">
        <f aca="false">MAX(0,(B144+C144)/2-Inputs_General!$C$4)</f>
        <v>15.95</v>
      </c>
      <c r="I144" s="25" t="n">
        <f aca="false">(B144+C144)/2</f>
        <v>20.95</v>
      </c>
      <c r="J144" s="25" t="n">
        <f aca="false">(E144+F144)/2</f>
        <v>69</v>
      </c>
      <c r="K144" s="26" t="n">
        <f aca="false">IF(AND(F144&gt;40,E144&gt;97,B144&gt;=16,B144&lt;=24,J144&gt;72,I144&gt;10),1,0)</f>
        <v>0</v>
      </c>
      <c r="L144" s="26" t="n">
        <f aca="false">IF(AND(B144&gt;=20,B144&lt;=29,C144&gt;12,E144&gt;97,J144&gt;72),1,0)</f>
        <v>0</v>
      </c>
    </row>
    <row r="145" customFormat="false" ht="15" hidden="false" customHeight="false" outlineLevel="0" collapsed="false">
      <c r="A145" s="23" t="n">
        <v>46104</v>
      </c>
      <c r="B145" s="24" t="n">
        <v>28.2</v>
      </c>
      <c r="C145" s="24" t="n">
        <v>16</v>
      </c>
      <c r="D145" s="24" t="n">
        <v>0.4</v>
      </c>
      <c r="E145" s="24" t="n">
        <v>98</v>
      </c>
      <c r="F145" s="24" t="n">
        <v>56</v>
      </c>
      <c r="G145" s="24" t="n">
        <v>8.8</v>
      </c>
      <c r="H145" s="25" t="n">
        <f aca="false">MAX(0,(B145+C145)/2-Inputs_General!$C$4)</f>
        <v>17.1</v>
      </c>
      <c r="I145" s="25" t="n">
        <f aca="false">(B145+C145)/2</f>
        <v>22.1</v>
      </c>
      <c r="J145" s="25" t="n">
        <f aca="false">(E145+F145)/2</f>
        <v>77</v>
      </c>
      <c r="K145" s="26" t="n">
        <f aca="false">IF(AND(F145&gt;40,E145&gt;97,B145&gt;=16,B145&lt;=24,J145&gt;72,I145&gt;10),1,0)</f>
        <v>0</v>
      </c>
      <c r="L145" s="26" t="n">
        <f aca="false">IF(AND(B145&gt;=20,B145&lt;=29,C145&gt;12,E145&gt;97,J145&gt;72),1,0)</f>
        <v>1</v>
      </c>
    </row>
    <row r="146" customFormat="false" ht="15" hidden="false" customHeight="false" outlineLevel="0" collapsed="false">
      <c r="A146" s="23" t="n">
        <v>46105</v>
      </c>
      <c r="B146" s="24" t="n">
        <v>28.8</v>
      </c>
      <c r="C146" s="24" t="n">
        <v>15.2</v>
      </c>
      <c r="D146" s="24" t="n">
        <v>0</v>
      </c>
      <c r="E146" s="24" t="n">
        <v>85</v>
      </c>
      <c r="F146" s="24" t="n">
        <v>38</v>
      </c>
      <c r="G146" s="24" t="n">
        <v>3.9</v>
      </c>
      <c r="H146" s="25" t="n">
        <f aca="false">MAX(0,(B146+C146)/2-Inputs_General!$C$4)</f>
        <v>17</v>
      </c>
      <c r="I146" s="25" t="n">
        <f aca="false">(B146+C146)/2</f>
        <v>22</v>
      </c>
      <c r="J146" s="25" t="n">
        <f aca="false">(E146+F146)/2</f>
        <v>61.5</v>
      </c>
      <c r="K146" s="26" t="n">
        <f aca="false">IF(AND(F146&gt;40,E146&gt;97,B146&gt;=16,B146&lt;=24,J146&gt;72,I146&gt;10),1,0)</f>
        <v>0</v>
      </c>
      <c r="L146" s="26" t="n">
        <f aca="false">IF(AND(B146&gt;=20,B146&lt;=29,C146&gt;12,E146&gt;97,J146&gt;72),1,0)</f>
        <v>0</v>
      </c>
    </row>
    <row r="147" customFormat="false" ht="15" hidden="false" customHeight="false" outlineLevel="0" collapsed="false">
      <c r="A147" s="23" t="n">
        <v>46106</v>
      </c>
      <c r="B147" s="24" t="n">
        <v>30.7</v>
      </c>
      <c r="C147" s="24" t="n">
        <v>14.7</v>
      </c>
      <c r="D147" s="24" t="n">
        <v>0</v>
      </c>
      <c r="E147" s="24" t="n">
        <v>90</v>
      </c>
      <c r="F147" s="24" t="n">
        <v>27</v>
      </c>
      <c r="G147" s="24" t="n">
        <v>9</v>
      </c>
      <c r="H147" s="25" t="n">
        <f aca="false">MAX(0,(B147+C147)/2-Inputs_General!$C$4)</f>
        <v>17.7</v>
      </c>
      <c r="I147" s="25" t="n">
        <f aca="false">(B147+C147)/2</f>
        <v>22.7</v>
      </c>
      <c r="J147" s="25" t="n">
        <f aca="false">(E147+F147)/2</f>
        <v>58.5</v>
      </c>
      <c r="K147" s="26" t="n">
        <f aca="false">IF(AND(F147&gt;40,E147&gt;97,B147&gt;=16,B147&lt;=24,J147&gt;72,I147&gt;10),1,0)</f>
        <v>0</v>
      </c>
      <c r="L147" s="26" t="n">
        <f aca="false">IF(AND(B147&gt;=20,B147&lt;=29,C147&gt;12,E147&gt;97,J147&gt;72),1,0)</f>
        <v>0</v>
      </c>
    </row>
    <row r="148" customFormat="false" ht="15" hidden="false" customHeight="false" outlineLevel="0" collapsed="false">
      <c r="A148" s="23" t="n">
        <v>46107</v>
      </c>
      <c r="B148" s="24" t="n">
        <v>32.2</v>
      </c>
      <c r="C148" s="24" t="n">
        <v>18</v>
      </c>
      <c r="D148" s="24" t="n">
        <v>0</v>
      </c>
      <c r="E148" s="24" t="n">
        <v>84</v>
      </c>
      <c r="F148" s="24" t="n">
        <v>27</v>
      </c>
      <c r="G148" s="24" t="n">
        <v>9.1</v>
      </c>
      <c r="H148" s="25" t="n">
        <f aca="false">MAX(0,(B148+C148)/2-Inputs_General!$C$4)</f>
        <v>20.1</v>
      </c>
      <c r="I148" s="25" t="n">
        <f aca="false">(B148+C148)/2</f>
        <v>25.1</v>
      </c>
      <c r="J148" s="25" t="n">
        <f aca="false">(E148+F148)/2</f>
        <v>55.5</v>
      </c>
      <c r="K148" s="26" t="n">
        <f aca="false">IF(AND(F148&gt;40,E148&gt;97,B148&gt;=16,B148&lt;=24,J148&gt;72,I148&gt;10),1,0)</f>
        <v>0</v>
      </c>
      <c r="L148" s="26" t="n">
        <f aca="false">IF(AND(B148&gt;=20,B148&lt;=29,C148&gt;12,E148&gt;97,J148&gt;72),1,0)</f>
        <v>0</v>
      </c>
    </row>
    <row r="149" customFormat="false" ht="15" hidden="false" customHeight="false" outlineLevel="0" collapsed="false">
      <c r="A149" s="23" t="n">
        <v>46108</v>
      </c>
      <c r="B149" s="24" t="n">
        <v>34.5</v>
      </c>
      <c r="C149" s="24" t="n">
        <v>20.1</v>
      </c>
      <c r="D149" s="24" t="n">
        <v>0</v>
      </c>
      <c r="E149" s="24" t="n">
        <v>69</v>
      </c>
      <c r="F149" s="24" t="n">
        <v>45</v>
      </c>
      <c r="G149" s="24" t="n">
        <v>5.7</v>
      </c>
      <c r="H149" s="25" t="n">
        <f aca="false">MAX(0,(B149+C149)/2-Inputs_General!$C$4)</f>
        <v>22.3</v>
      </c>
      <c r="I149" s="25" t="n">
        <f aca="false">(B149+C149)/2</f>
        <v>27.3</v>
      </c>
      <c r="J149" s="25" t="n">
        <f aca="false">(E149+F149)/2</f>
        <v>57</v>
      </c>
      <c r="K149" s="26" t="n">
        <f aca="false">IF(AND(F149&gt;40,E149&gt;97,B149&gt;=16,B149&lt;=24,J149&gt;72,I149&gt;10),1,0)</f>
        <v>0</v>
      </c>
      <c r="L149" s="26" t="n">
        <f aca="false">IF(AND(B149&gt;=20,B149&lt;=29,C149&gt;12,E149&gt;97,J149&gt;72),1,0)</f>
        <v>0</v>
      </c>
    </row>
    <row r="150" customFormat="false" ht="15" hidden="false" customHeight="false" outlineLevel="0" collapsed="false">
      <c r="A150" s="23" t="n">
        <v>46109</v>
      </c>
      <c r="B150" s="24" t="n">
        <v>31.9</v>
      </c>
      <c r="C150" s="24" t="n">
        <v>16.4</v>
      </c>
      <c r="D150" s="24" t="n">
        <v>0</v>
      </c>
      <c r="E150" s="24" t="n">
        <v>77</v>
      </c>
      <c r="F150" s="24" t="n">
        <v>33</v>
      </c>
      <c r="G150" s="24" t="n">
        <v>4.9</v>
      </c>
      <c r="H150" s="25" t="n">
        <f aca="false">MAX(0,(B150+C150)/2-Inputs_General!$C$4)</f>
        <v>19.15</v>
      </c>
      <c r="I150" s="25" t="n">
        <f aca="false">(B150+C150)/2</f>
        <v>24.15</v>
      </c>
      <c r="J150" s="25" t="n">
        <f aca="false">(E150+F150)/2</f>
        <v>55</v>
      </c>
      <c r="K150" s="26" t="n">
        <f aca="false">IF(AND(F150&gt;40,E150&gt;97,B150&gt;=16,B150&lt;=24,J150&gt;72,I150&gt;10),1,0)</f>
        <v>0</v>
      </c>
      <c r="L150" s="26" t="n">
        <f aca="false">IF(AND(B150&gt;=20,B150&lt;=29,C150&gt;12,E150&gt;97,J150&gt;72),1,0)</f>
        <v>0</v>
      </c>
    </row>
    <row r="151" customFormat="false" ht="15" hidden="false" customHeight="false" outlineLevel="0" collapsed="false">
      <c r="A151" s="23" t="n">
        <v>46110</v>
      </c>
      <c r="B151" s="24" t="n">
        <v>33.1</v>
      </c>
      <c r="C151" s="24" t="n">
        <v>18.6</v>
      </c>
      <c r="D151" s="24" t="n">
        <v>0</v>
      </c>
      <c r="E151" s="24" t="n">
        <v>61</v>
      </c>
      <c r="F151" s="24" t="n">
        <v>42</v>
      </c>
      <c r="G151" s="24" t="n">
        <v>7.6</v>
      </c>
      <c r="H151" s="25" t="n">
        <f aca="false">MAX(0,(B151+C151)/2-Inputs_General!$C$4)</f>
        <v>20.85</v>
      </c>
      <c r="I151" s="25" t="n">
        <f aca="false">(B151+C151)/2</f>
        <v>25.85</v>
      </c>
      <c r="J151" s="25" t="n">
        <f aca="false">(E151+F151)/2</f>
        <v>51.5</v>
      </c>
      <c r="K151" s="26" t="n">
        <f aca="false">IF(AND(F151&gt;40,E151&gt;97,B151&gt;=16,B151&lt;=24,J151&gt;72,I151&gt;10),1,0)</f>
        <v>0</v>
      </c>
      <c r="L151" s="26" t="n">
        <f aca="false">IF(AND(B151&gt;=20,B151&lt;=29,C151&gt;12,E151&gt;97,J151&gt;72),1,0)</f>
        <v>0</v>
      </c>
    </row>
    <row r="152" customFormat="false" ht="15" hidden="false" customHeight="false" outlineLevel="0" collapsed="false">
      <c r="A152" s="23" t="n">
        <v>46111</v>
      </c>
      <c r="B152" s="24" t="n">
        <v>35</v>
      </c>
      <c r="C152" s="24" t="n">
        <v>18.5</v>
      </c>
      <c r="D152" s="24" t="n">
        <v>0</v>
      </c>
      <c r="E152" s="24" t="n">
        <v>91</v>
      </c>
      <c r="F152" s="24" t="n">
        <v>41</v>
      </c>
      <c r="G152" s="24" t="n">
        <v>6.9</v>
      </c>
      <c r="H152" s="25" t="n">
        <f aca="false">MAX(0,(B152+C152)/2-Inputs_General!$C$4)</f>
        <v>21.75</v>
      </c>
      <c r="I152" s="25" t="n">
        <f aca="false">(B152+C152)/2</f>
        <v>26.75</v>
      </c>
      <c r="J152" s="25" t="n">
        <f aca="false">(E152+F152)/2</f>
        <v>66</v>
      </c>
      <c r="K152" s="26" t="n">
        <f aca="false">IF(AND(F152&gt;40,E152&gt;97,B152&gt;=16,B152&lt;=24,J152&gt;72,I152&gt;10),1,0)</f>
        <v>0</v>
      </c>
      <c r="L152" s="26" t="n">
        <f aca="false">IF(AND(B152&gt;=20,B152&lt;=29,C152&gt;12,E152&gt;97,J152&gt;72),1,0)</f>
        <v>0</v>
      </c>
    </row>
    <row r="153" customFormat="false" ht="15" hidden="false" customHeight="false" outlineLevel="0" collapsed="false">
      <c r="A153" s="23" t="n">
        <v>46112</v>
      </c>
      <c r="B153" s="24" t="n">
        <v>34.4</v>
      </c>
      <c r="C153" s="24" t="n">
        <v>17.4</v>
      </c>
      <c r="D153" s="24" t="n">
        <v>0</v>
      </c>
      <c r="E153" s="24" t="n">
        <v>81</v>
      </c>
      <c r="F153" s="24" t="n">
        <v>41</v>
      </c>
      <c r="G153" s="24" t="n">
        <v>5.1</v>
      </c>
      <c r="H153" s="25" t="n">
        <f aca="false">MAX(0,(B153+C153)/2-Inputs_General!$C$4)</f>
        <v>20.9</v>
      </c>
      <c r="I153" s="25" t="n">
        <f aca="false">(B153+C153)/2</f>
        <v>25.9</v>
      </c>
      <c r="J153" s="25" t="n">
        <f aca="false">(E153+F153)/2</f>
        <v>61</v>
      </c>
      <c r="K153" s="26" t="n">
        <f aca="false">IF(AND(F153&gt;40,E153&gt;97,B153&gt;=16,B153&lt;=24,J153&gt;72,I153&gt;10),1,0)</f>
        <v>0</v>
      </c>
      <c r="L153" s="26" t="n">
        <f aca="false">IF(AND(B153&gt;=20,B153&lt;=29,C153&gt;12,E153&gt;97,J153&gt;72),1,0)</f>
        <v>0</v>
      </c>
    </row>
    <row r="154" customFormat="false" ht="15" hidden="false" customHeight="false" outlineLevel="0" collapsed="false">
      <c r="A154" s="23" t="n">
        <v>46113</v>
      </c>
      <c r="B154" s="24" t="n">
        <v>33</v>
      </c>
      <c r="C154" s="24" t="n">
        <v>16.8</v>
      </c>
      <c r="D154" s="24" t="n">
        <v>10.3</v>
      </c>
      <c r="E154" s="24" t="n">
        <v>92</v>
      </c>
      <c r="F154" s="24" t="n">
        <v>43</v>
      </c>
      <c r="G154" s="24" t="n">
        <v>3.1</v>
      </c>
      <c r="H154" s="25" t="n">
        <f aca="false">MAX(0,(B154+C154)/2-Inputs_General!$C$4)</f>
        <v>19.9</v>
      </c>
      <c r="I154" s="25" t="n">
        <f aca="false">(B154+C154)/2</f>
        <v>24.9</v>
      </c>
      <c r="J154" s="25" t="n">
        <f aca="false">(E154+F154)/2</f>
        <v>67.5</v>
      </c>
      <c r="K154" s="26" t="n">
        <f aca="false">IF(AND(F154&gt;40,E154&gt;97,B154&gt;=16,B154&lt;=24,J154&gt;72,I154&gt;10),1,0)</f>
        <v>0</v>
      </c>
      <c r="L154" s="26" t="n">
        <f aca="false">IF(AND(B154&gt;=20,B154&lt;=29,C154&gt;12,E154&gt;97,J154&gt;72),1,0)</f>
        <v>0</v>
      </c>
    </row>
    <row r="155" customFormat="false" ht="15" hidden="false" customHeight="false" outlineLevel="0" collapsed="false">
      <c r="A155" s="23" t="n">
        <v>46114</v>
      </c>
      <c r="B155" s="24" t="n">
        <v>32.9</v>
      </c>
      <c r="C155" s="24" t="n">
        <v>18.6</v>
      </c>
      <c r="D155" s="24" t="n">
        <v>0</v>
      </c>
      <c r="E155" s="24" t="n">
        <v>76</v>
      </c>
      <c r="F155" s="24" t="n">
        <v>32</v>
      </c>
      <c r="G155" s="24" t="n">
        <v>7</v>
      </c>
      <c r="H155" s="25" t="n">
        <f aca="false">MAX(0,(B155+C155)/2-Inputs_General!$C$4)</f>
        <v>20.75</v>
      </c>
      <c r="I155" s="25" t="n">
        <f aca="false">(B155+C155)/2</f>
        <v>25.75</v>
      </c>
      <c r="J155" s="25" t="n">
        <f aca="false">(E155+F155)/2</f>
        <v>54</v>
      </c>
      <c r="K155" s="26" t="n">
        <f aca="false">IF(AND(F155&gt;40,E155&gt;97,B155&gt;=16,B155&lt;=24,J155&gt;72,I155&gt;10),1,0)</f>
        <v>0</v>
      </c>
      <c r="L155" s="26" t="n">
        <f aca="false">IF(AND(B155&gt;=20,B155&lt;=29,C155&gt;12,E155&gt;97,J155&gt;72),1,0)</f>
        <v>0</v>
      </c>
    </row>
    <row r="156" customFormat="false" ht="15" hidden="false" customHeight="false" outlineLevel="0" collapsed="false">
      <c r="A156" s="23" t="n">
        <v>46115</v>
      </c>
      <c r="B156" s="24" t="n">
        <v>36</v>
      </c>
      <c r="C156" s="24" t="n">
        <v>18.9</v>
      </c>
      <c r="D156" s="24" t="n">
        <v>0</v>
      </c>
      <c r="E156" s="24" t="n">
        <v>84</v>
      </c>
      <c r="F156" s="24" t="n">
        <v>63</v>
      </c>
      <c r="G156" s="24" t="n">
        <v>8.2</v>
      </c>
      <c r="H156" s="25" t="n">
        <f aca="false">MAX(0,(B156+C156)/2-Inputs_General!$C$4)</f>
        <v>22.45</v>
      </c>
      <c r="I156" s="25" t="n">
        <f aca="false">(B156+C156)/2</f>
        <v>27.45</v>
      </c>
      <c r="J156" s="25" t="n">
        <f aca="false">(E156+F156)/2</f>
        <v>73.5</v>
      </c>
      <c r="K156" s="26" t="n">
        <f aca="false">IF(AND(F156&gt;40,E156&gt;97,B156&gt;=16,B156&lt;=24,J156&gt;72,I156&gt;10),1,0)</f>
        <v>0</v>
      </c>
      <c r="L156" s="26" t="n">
        <f aca="false">IF(AND(B156&gt;=20,B156&lt;=29,C156&gt;12,E156&gt;97,J156&gt;72),1,0)</f>
        <v>0</v>
      </c>
    </row>
    <row r="157" customFormat="false" ht="15" hidden="false" customHeight="false" outlineLevel="0" collapsed="false">
      <c r="A157" s="23" t="n">
        <v>46116</v>
      </c>
      <c r="B157" s="24" t="n">
        <v>28.9</v>
      </c>
      <c r="C157" s="24" t="n">
        <v>16.2</v>
      </c>
      <c r="D157" s="24" t="n">
        <v>0.9</v>
      </c>
      <c r="E157" s="24" t="n">
        <v>89</v>
      </c>
      <c r="F157" s="24" t="n">
        <v>43</v>
      </c>
      <c r="G157" s="24" t="n">
        <v>3.9</v>
      </c>
      <c r="H157" s="25" t="n">
        <f aca="false">MAX(0,(B157+C157)/2-Inputs_General!$C$4)</f>
        <v>17.55</v>
      </c>
      <c r="I157" s="25" t="n">
        <f aca="false">(B157+C157)/2</f>
        <v>22.55</v>
      </c>
      <c r="J157" s="25" t="n">
        <f aca="false">(E157+F157)/2</f>
        <v>66</v>
      </c>
      <c r="K157" s="26" t="n">
        <f aca="false">IF(AND(F157&gt;40,E157&gt;97,B157&gt;=16,B157&lt;=24,J157&gt;72,I157&gt;10),1,0)</f>
        <v>0</v>
      </c>
      <c r="L157" s="26" t="n">
        <f aca="false">IF(AND(B157&gt;=20,B157&lt;=29,C157&gt;12,E157&gt;97,J157&gt;72),1,0)</f>
        <v>0</v>
      </c>
    </row>
    <row r="158" customFormat="false" ht="15" hidden="false" customHeight="false" outlineLevel="0" collapsed="false">
      <c r="A158" s="23" t="n">
        <v>46117</v>
      </c>
      <c r="B158" s="24" t="n">
        <v>31</v>
      </c>
      <c r="C158" s="24" t="n">
        <v>18.5</v>
      </c>
      <c r="D158" s="24" t="n">
        <v>0</v>
      </c>
      <c r="E158" s="24" t="n">
        <v>75</v>
      </c>
      <c r="F158" s="24" t="n">
        <v>32</v>
      </c>
      <c r="G158" s="24" t="n">
        <v>6.1</v>
      </c>
      <c r="H158" s="25" t="n">
        <f aca="false">MAX(0,(B158+C158)/2-Inputs_General!$C$4)</f>
        <v>19.75</v>
      </c>
      <c r="I158" s="25" t="n">
        <f aca="false">(B158+C158)/2</f>
        <v>24.75</v>
      </c>
      <c r="J158" s="25" t="n">
        <f aca="false">(E158+F158)/2</f>
        <v>53.5</v>
      </c>
      <c r="K158" s="26" t="n">
        <f aca="false">IF(AND(F158&gt;40,E158&gt;97,B158&gt;=16,B158&lt;=24,J158&gt;72,I158&gt;10),1,0)</f>
        <v>0</v>
      </c>
      <c r="L158" s="26" t="n">
        <f aca="false">IF(AND(B158&gt;=20,B158&lt;=29,C158&gt;12,E158&gt;97,J158&gt;72),1,0)</f>
        <v>0</v>
      </c>
    </row>
    <row r="159" customFormat="false" ht="15" hidden="false" customHeight="false" outlineLevel="0" collapsed="false">
      <c r="A159" s="23" t="n">
        <v>46118</v>
      </c>
      <c r="B159" s="24" t="n">
        <v>31.6</v>
      </c>
      <c r="C159" s="24" t="n">
        <v>16.8</v>
      </c>
      <c r="D159" s="24" t="n">
        <v>0</v>
      </c>
      <c r="E159" s="24" t="n">
        <v>82</v>
      </c>
      <c r="F159" s="24" t="n">
        <v>28</v>
      </c>
      <c r="G159" s="24" t="n">
        <v>8.7</v>
      </c>
      <c r="H159" s="25" t="n">
        <f aca="false">MAX(0,(B159+C159)/2-Inputs_General!$C$4)</f>
        <v>19.2</v>
      </c>
      <c r="I159" s="25" t="n">
        <f aca="false">(B159+C159)/2</f>
        <v>24.2</v>
      </c>
      <c r="J159" s="25" t="n">
        <f aca="false">(E159+F159)/2</f>
        <v>55</v>
      </c>
      <c r="K159" s="26" t="n">
        <f aca="false">IF(AND(F159&gt;40,E159&gt;97,B159&gt;=16,B159&lt;=24,J159&gt;72,I159&gt;10),1,0)</f>
        <v>0</v>
      </c>
      <c r="L159" s="26" t="n">
        <f aca="false">IF(AND(B159&gt;=20,B159&lt;=29,C159&gt;12,E159&gt;97,J159&gt;72),1,0)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2" min="2" style="0" width="12"/>
    <col collapsed="false" customWidth="true" hidden="false" outlineLevel="0" max="13" min="13" style="0" width="30"/>
    <col collapsed="false" customWidth="true" hidden="false" outlineLevel="0" max="34" min="14" style="0" width="12"/>
    <col collapsed="false" customWidth="true" hidden="false" outlineLevel="0" max="40" min="35" style="0" width="30"/>
  </cols>
  <sheetData>
    <row r="1" customFormat="false" ht="17.35" hidden="false" customHeight="false" outlineLevel="0" collapsed="false">
      <c r="A1" s="5" t="s">
        <v>305</v>
      </c>
    </row>
    <row r="3" customFormat="false" ht="46.25" hidden="false" customHeight="false" outlineLevel="0" collapsed="false">
      <c r="A3" s="6" t="s">
        <v>30</v>
      </c>
      <c r="B3" s="6" t="s">
        <v>306</v>
      </c>
      <c r="C3" s="6" t="s">
        <v>118</v>
      </c>
      <c r="D3" s="6" t="s">
        <v>135</v>
      </c>
      <c r="E3" s="6" t="s">
        <v>155</v>
      </c>
      <c r="F3" s="6" t="s">
        <v>156</v>
      </c>
      <c r="G3" s="6" t="s">
        <v>119</v>
      </c>
      <c r="H3" s="6" t="s">
        <v>307</v>
      </c>
      <c r="I3" s="6" t="s">
        <v>308</v>
      </c>
      <c r="J3" s="6" t="s">
        <v>309</v>
      </c>
      <c r="K3" s="6" t="s">
        <v>310</v>
      </c>
      <c r="L3" s="6" t="s">
        <v>311</v>
      </c>
      <c r="M3" s="6" t="s">
        <v>312</v>
      </c>
      <c r="N3" s="6" t="s">
        <v>313</v>
      </c>
      <c r="O3" s="6" t="s">
        <v>314</v>
      </c>
      <c r="P3" s="6" t="s">
        <v>315</v>
      </c>
      <c r="Q3" s="6" t="s">
        <v>316</v>
      </c>
      <c r="R3" s="6" t="s">
        <v>317</v>
      </c>
      <c r="S3" s="6" t="s">
        <v>318</v>
      </c>
      <c r="T3" s="6" t="s">
        <v>319</v>
      </c>
      <c r="U3" s="6" t="s">
        <v>320</v>
      </c>
      <c r="V3" s="6" t="s">
        <v>321</v>
      </c>
      <c r="W3" s="6" t="s">
        <v>322</v>
      </c>
      <c r="X3" s="6" t="s">
        <v>323</v>
      </c>
      <c r="Y3" s="6" t="s">
        <v>324</v>
      </c>
      <c r="Z3" s="6" t="s">
        <v>325</v>
      </c>
      <c r="AA3" s="6" t="s">
        <v>326</v>
      </c>
      <c r="AB3" s="6" t="s">
        <v>327</v>
      </c>
      <c r="AC3" s="6" t="s">
        <v>328</v>
      </c>
      <c r="AD3" s="6" t="s">
        <v>329</v>
      </c>
      <c r="AE3" s="6" t="s">
        <v>330</v>
      </c>
      <c r="AF3" s="6" t="s">
        <v>331</v>
      </c>
      <c r="AG3" s="6" t="s">
        <v>332</v>
      </c>
      <c r="AH3" s="6" t="s">
        <v>333</v>
      </c>
      <c r="AI3" s="6" t="s">
        <v>334</v>
      </c>
      <c r="AJ3" s="6" t="s">
        <v>335</v>
      </c>
      <c r="AK3" s="6" t="s">
        <v>336</v>
      </c>
      <c r="AL3" s="6" t="s">
        <v>337</v>
      </c>
      <c r="AM3" s="6" t="s">
        <v>338</v>
      </c>
      <c r="AN3" s="6" t="s">
        <v>339</v>
      </c>
    </row>
    <row r="4" customFormat="false" ht="15" hidden="false" customHeight="false" outlineLevel="0" collapsed="false">
      <c r="A4" s="13" t="str">
        <f aca="false">B4&amp;"|"&amp;E4</f>
        <v>D1V1|11/02/2026</v>
      </c>
      <c r="B4" s="27" t="s">
        <v>340</v>
      </c>
      <c r="C4" s="13" t="s">
        <v>127</v>
      </c>
      <c r="D4" s="13" t="s">
        <v>142</v>
      </c>
      <c r="E4" s="13" t="s">
        <v>158</v>
      </c>
      <c r="F4" s="28" t="n">
        <f aca="false">Inputs_Treatments!$B$19</f>
        <v>46064</v>
      </c>
      <c r="G4" s="28" t="n">
        <f aca="false">Inputs_Treatments!$B$4</f>
        <v>46000</v>
      </c>
      <c r="H4" s="29" t="n">
        <f aca="false">F4-G4</f>
        <v>64</v>
      </c>
      <c r="I4" s="29" t="n">
        <f aca="false">F4-Inputs_General!$C$6</f>
        <v>6</v>
      </c>
      <c r="J4" s="29" t="n">
        <f aca="false">SUMIFS(Weather!$H$2:$H$159,Weather!$A$2:$A$159,"&gt;="&amp;G4,Weather!$A$2:$A$159,"&lt;="&amp;F4)</f>
        <v>572.3</v>
      </c>
      <c r="K4" s="29" t="n">
        <f aca="false">J4-Inputs_General!$C$5</f>
        <v>462.3</v>
      </c>
      <c r="L4" s="15" t="s">
        <v>341</v>
      </c>
      <c r="M4" s="13" t="str">
        <f aca="false">IF(L4="V","3rd fully expanded leaf from top","5th fully expanded leaf from top")</f>
        <v>5th fully expanded leaf from top</v>
      </c>
      <c r="N4" s="30" t="n">
        <f aca="false">AVERAGEIFS(Weather!$B$2:$B$159,Weather!$A$2:$A$159,"&gt;="&amp;(F4-6),Weather!$A$2:$A$159,"&lt;="&amp;F4)</f>
        <v>24.1428571428571</v>
      </c>
      <c r="O4" s="30" t="n">
        <f aca="false">AVERAGEIFS(Weather!$C$2:$C$159,Weather!$A$2:$A$159,"&gt;="&amp;(F4-6),Weather!$A$2:$A$159,"&lt;="&amp;F4)</f>
        <v>8.97142857142857</v>
      </c>
      <c r="P4" s="30" t="n">
        <f aca="false">AVERAGEIFS(Weather!$E$2:$E$159,Weather!$A$2:$A$159,"&gt;="&amp;(F4-6),Weather!$A$2:$A$159,"&lt;="&amp;F4)</f>
        <v>94.1428571428571</v>
      </c>
      <c r="Q4" s="30" t="n">
        <f aca="false">AVERAGEIFS(Weather!$F$2:$F$159,Weather!$A$2:$A$159,"&gt;="&amp;(F4-6),Weather!$A$2:$A$159,"&lt;="&amp;F4)</f>
        <v>49</v>
      </c>
      <c r="R4" s="31" t="n">
        <f aca="false">MAX(0,(N4-Inputs_General!$C$7)/Inputs_General!$C$8)</f>
        <v>0</v>
      </c>
      <c r="S4" s="30" t="n">
        <f aca="false">O4+Inputs_General!$C$9*(N4-O4)</f>
        <v>21.1085714285714</v>
      </c>
      <c r="T4" s="30" t="n">
        <f aca="false">Q4+Inputs_General!$C$10*(P4-Q4)</f>
        <v>62.5428571428571</v>
      </c>
      <c r="U4" s="31" t="n">
        <f aca="false">0.6108*EXP(17.27*S4/(S4+237.3))*(1-T4/100)</f>
        <v>0.937791824040773</v>
      </c>
      <c r="V4" s="30" t="n">
        <f aca="false">O4+Inputs_General!$C$11*(N4-O4)</f>
        <v>22.6257142857143</v>
      </c>
      <c r="W4" s="30" t="n">
        <f aca="false">Q4+Inputs_General!$C$12*(P4-Q4)</f>
        <v>55.7714285714286</v>
      </c>
      <c r="X4" s="31" t="n">
        <f aca="false">0.6108*EXP(17.27*V4/(V4+237.3))*(1-W4/100)</f>
        <v>1.21472070203065</v>
      </c>
      <c r="Y4" s="30" t="n">
        <f aca="false">V4+Inputs_General!$C$14-Inputs_General!$C$15*X4</f>
        <v>21.3177449518561</v>
      </c>
      <c r="Z4" s="30" t="n">
        <f aca="false">V4+Inputs_General!$C$16</f>
        <v>26.6257142857143</v>
      </c>
      <c r="AA4" s="31" t="n">
        <f aca="false">IF(L4="V",Inputs_General!$C$17,IF(L4="F",Inputs_General!$C$18,Inputs_General!$C$19))+Inputs_General!$C$20*R4</f>
        <v>0.2</v>
      </c>
      <c r="AB4" s="31" t="n">
        <f aca="false">Inputs_Treatments!$C$4*Inputs_Treatments!$F$12*(1/(1+EXP(-(K4-Inputs_General!$C$27)/Inputs_General!$C$28)))*EXP(-((MAX(0,K4-Inputs_General!$C$29)/Inputs_General!$C$30)^2))</f>
        <v>2.55066767693214</v>
      </c>
      <c r="AC4" s="21" t="n">
        <f aca="false">Inputs_Treatments!$E$4</f>
        <v>1</v>
      </c>
      <c r="AD4" s="21" t="n">
        <f aca="false">Inputs_Treatments!$D$12</f>
        <v>1</v>
      </c>
      <c r="AE4" s="29" t="n">
        <f aca="false">COUNTIFS(Weather!$K$2:$K$159,1,Weather!$A$2:$A$159,"&gt;="&amp;(G4+36),Weather!$A$2:$A$159,"&lt;="&amp;F4)</f>
        <v>7</v>
      </c>
      <c r="AF4" s="30" t="n">
        <f aca="false">Inputs_Treatments!$C$19*Inputs_Treatments!$E$12*Inputs_Treatments!$D$4</f>
        <v>2.4</v>
      </c>
      <c r="AG4" s="13" t="str">
        <f aca="false">IF(AF4&lt;=0,"Healthy",IF(AF4&lt;=5,"Very low",IF(AF4&lt;=10,"Low",IF(AF4&lt;=25,"Moderate",IF(AF4&lt;=50,"High","Very high")))))</f>
        <v>Very low</v>
      </c>
      <c r="AH4" s="29" t="n">
        <f aca="false">MATCH(AG4,Severity_Classes!$A$4:$A$9,0)</f>
        <v>2</v>
      </c>
      <c r="AI4" s="13" t="str">
        <f aca="false">"Reference: healthy (uninoculated) control plot"</f>
        <v>Reference: healthy (uninoculated) control plot</v>
      </c>
      <c r="AJ4" s="13" t="str">
        <f aca="false">IF(AND(I4&lt;8,2&gt;=4),"Unlikely (only via pre-inoculation natural infection)",IF(ABS(2-AH4)&lt;=1,"Likely",IF(ABS(2-AH4)=2,"Possible","Unlikely")))</f>
        <v>Likely</v>
      </c>
      <c r="AK4" s="13" t="str">
        <f aca="false">IF(AND(I4&lt;8,3&gt;=4),"Unlikely (only via pre-inoculation natural infection)",IF(ABS(3-AH4)&lt;=1,"Likely",IF(ABS(3-AH4)=2,"Possible","Unlikely")))</f>
        <v>Likely</v>
      </c>
      <c r="AL4" s="13" t="str">
        <f aca="false">IF(AND(I4&lt;8,4&gt;=4),"Unlikely (only via pre-inoculation natural infection)",IF(ABS(4-AH4)&lt;=1,"Likely",IF(ABS(4-AH4)=2,"Possible","Unlikely")))</f>
        <v>Unlikely (only via pre-inoculation natural infection)</v>
      </c>
      <c r="AM4" s="13" t="str">
        <f aca="false">IF(AND(I4&lt;8,5&gt;=4),"Unlikely (only via pre-inoculation natural infection)",IF(ABS(5-AH4)&lt;=1,"Likely",IF(ABS(5-AH4)=2,"Possible","Unlikely")))</f>
        <v>Unlikely (only via pre-inoculation natural infection)</v>
      </c>
      <c r="AN4" s="13" t="str">
        <f aca="false">IF(AND(I4&lt;8,6&gt;=4),"Unlikely (only via pre-inoculation natural infection)",IF(ABS(6-AH4)&lt;=1,"Likely",IF(ABS(6-AH4)=2,"Possible","Unlikely")))</f>
        <v>Unlikely (only via pre-inoculation natural infection)</v>
      </c>
    </row>
    <row r="5" customFormat="false" ht="15" hidden="false" customHeight="false" outlineLevel="0" collapsed="false">
      <c r="A5" s="13" t="str">
        <f aca="false">B5&amp;"|"&amp;E5</f>
        <v>D1V1|24/02/2026</v>
      </c>
      <c r="B5" s="27" t="s">
        <v>340</v>
      </c>
      <c r="C5" s="13" t="s">
        <v>127</v>
      </c>
      <c r="D5" s="13" t="s">
        <v>142</v>
      </c>
      <c r="E5" s="13" t="s">
        <v>160</v>
      </c>
      <c r="F5" s="28" t="n">
        <f aca="false">Inputs_Treatments!$B$20</f>
        <v>46077</v>
      </c>
      <c r="G5" s="28" t="n">
        <f aca="false">Inputs_Treatments!$B$4</f>
        <v>46000</v>
      </c>
      <c r="H5" s="29" t="n">
        <f aca="false">F5-G5</f>
        <v>77</v>
      </c>
      <c r="I5" s="29" t="n">
        <f aca="false">F5-Inputs_General!$C$6</f>
        <v>19</v>
      </c>
      <c r="J5" s="29" t="n">
        <f aca="false">SUMIFS(Weather!$H$2:$H$159,Weather!$A$2:$A$159,"&gt;="&amp;G5,Weather!$A$2:$A$159,"&lt;="&amp;F5)</f>
        <v>747.2</v>
      </c>
      <c r="K5" s="29" t="n">
        <f aca="false">J5-Inputs_General!$C$5</f>
        <v>637.2</v>
      </c>
      <c r="L5" s="15" t="s">
        <v>341</v>
      </c>
      <c r="M5" s="13" t="str">
        <f aca="false">IF(L5="V","3rd fully expanded leaf from top","5th fully expanded leaf from top")</f>
        <v>5th fully expanded leaf from top</v>
      </c>
      <c r="N5" s="30" t="n">
        <f aca="false">AVERAGEIFS(Weather!$B$2:$B$159,Weather!$A$2:$A$159,"&gt;="&amp;(F5-6),Weather!$A$2:$A$159,"&lt;="&amp;F5)</f>
        <v>27.1857142857143</v>
      </c>
      <c r="O5" s="30" t="n">
        <f aca="false">AVERAGEIFS(Weather!$C$2:$C$159,Weather!$A$2:$A$159,"&gt;="&amp;(F5-6),Weather!$A$2:$A$159,"&lt;="&amp;F5)</f>
        <v>11.1142857142857</v>
      </c>
      <c r="P5" s="30" t="n">
        <f aca="false">AVERAGEIFS(Weather!$E$2:$E$159,Weather!$A$2:$A$159,"&gt;="&amp;(F5-6),Weather!$A$2:$A$159,"&lt;="&amp;F5)</f>
        <v>94.2857142857143</v>
      </c>
      <c r="Q5" s="30" t="n">
        <f aca="false">AVERAGEIFS(Weather!$F$2:$F$159,Weather!$A$2:$A$159,"&gt;="&amp;(F5-6),Weather!$A$2:$A$159,"&lt;="&amp;F5)</f>
        <v>45.1428571428571</v>
      </c>
      <c r="R5" s="31" t="n">
        <f aca="false">MAX(0,(N5-Inputs_General!$C$7)/Inputs_General!$C$8)</f>
        <v>0.0232142857142859</v>
      </c>
      <c r="S5" s="30" t="n">
        <f aca="false">O5+Inputs_General!$C$9*(N5-O5)</f>
        <v>23.9714285714286</v>
      </c>
      <c r="T5" s="30" t="n">
        <f aca="false">Q5+Inputs_General!$C$10*(P5-Q5)</f>
        <v>59.8857142857143</v>
      </c>
      <c r="U5" s="31" t="n">
        <f aca="false">0.6108*EXP(17.27*S5/(S5+237.3))*(1-T5/100)</f>
        <v>1.19492600027053</v>
      </c>
      <c r="V5" s="30" t="n">
        <f aca="false">O5+Inputs_General!$C$11*(N5-O5)</f>
        <v>25.5785714285714</v>
      </c>
      <c r="W5" s="30" t="n">
        <f aca="false">Q5+Inputs_General!$C$12*(P5-Q5)</f>
        <v>52.5142857142857</v>
      </c>
      <c r="X5" s="31" t="n">
        <f aca="false">0.6108*EXP(17.27*V5/(V5+237.3))*(1-W5/100)</f>
        <v>1.55686779409338</v>
      </c>
      <c r="Y5" s="30" t="n">
        <f aca="false">V5+Inputs_General!$C$14-Inputs_General!$C$15*X5</f>
        <v>23.620522619794</v>
      </c>
      <c r="Z5" s="30" t="n">
        <f aca="false">V5+Inputs_General!$C$16</f>
        <v>29.5785714285714</v>
      </c>
      <c r="AA5" s="31" t="n">
        <f aca="false">IF(L5="V",Inputs_General!$C$17,IF(L5="F",Inputs_General!$C$18,Inputs_General!$C$19))+Inputs_General!$C$20*R5</f>
        <v>0.201160714285714</v>
      </c>
      <c r="AB5" s="31" t="n">
        <f aca="false">Inputs_Treatments!$C$4*Inputs_Treatments!$F$12*(1/(1+EXP(-(K5-Inputs_General!$C$27)/Inputs_General!$C$28)))*EXP(-((MAX(0,K5-Inputs_General!$C$29)/Inputs_General!$C$30)^2))</f>
        <v>3.08698491176579</v>
      </c>
      <c r="AC5" s="21" t="n">
        <f aca="false">Inputs_Treatments!$F$4</f>
        <v>1</v>
      </c>
      <c r="AD5" s="21" t="n">
        <f aca="false">Inputs_Treatments!$D$12</f>
        <v>1</v>
      </c>
      <c r="AE5" s="29" t="n">
        <f aca="false">COUNTIFS(Weather!$K$2:$K$159,1,Weather!$A$2:$A$159,"&gt;="&amp;(G5+36),Weather!$A$2:$A$159,"&lt;="&amp;F5)</f>
        <v>7</v>
      </c>
      <c r="AF5" s="30" t="n">
        <f aca="false">Inputs_Treatments!$C$20*Inputs_Treatments!$E$12*Inputs_Treatments!$D$4</f>
        <v>14.4</v>
      </c>
      <c r="AG5" s="13" t="str">
        <f aca="false">IF(AF5&lt;=0,"Healthy",IF(AF5&lt;=5,"Very low",IF(AF5&lt;=10,"Low",IF(AF5&lt;=25,"Moderate",IF(AF5&lt;=50,"High","Very high")))))</f>
        <v>Moderate</v>
      </c>
      <c r="AH5" s="29" t="n">
        <f aca="false">MATCH(AG5,Severity_Classes!$A$4:$A$9,0)</f>
        <v>4</v>
      </c>
      <c r="AI5" s="13" t="str">
        <f aca="false">"Reference: healthy (uninoculated) control plot"</f>
        <v>Reference: healthy (uninoculated) control plot</v>
      </c>
      <c r="AJ5" s="13" t="str">
        <f aca="false">IF(AND(I5&lt;8,2&gt;=4),"Unlikely (only via pre-inoculation natural infection)",IF(ABS(2-AH5)&lt;=1,"Likely",IF(ABS(2-AH5)=2,"Possible","Unlikely")))</f>
        <v>Possible</v>
      </c>
      <c r="AK5" s="13" t="str">
        <f aca="false">IF(AND(I5&lt;8,3&gt;=4),"Unlikely (only via pre-inoculation natural infection)",IF(ABS(3-AH5)&lt;=1,"Likely",IF(ABS(3-AH5)=2,"Possible","Unlikely")))</f>
        <v>Likely</v>
      </c>
      <c r="AL5" s="13" t="str">
        <f aca="false">IF(AND(I5&lt;8,4&gt;=4),"Unlikely (only via pre-inoculation natural infection)",IF(ABS(4-AH5)&lt;=1,"Likely",IF(ABS(4-AH5)=2,"Possible","Unlikely")))</f>
        <v>Likely</v>
      </c>
      <c r="AM5" s="13" t="str">
        <f aca="false">IF(AND(I5&lt;8,5&gt;=4),"Unlikely (only via pre-inoculation natural infection)",IF(ABS(5-AH5)&lt;=1,"Likely",IF(ABS(5-AH5)=2,"Possible","Unlikely")))</f>
        <v>Likely</v>
      </c>
      <c r="AN5" s="13" t="str">
        <f aca="false">IF(AND(I5&lt;8,6&gt;=4),"Unlikely (only via pre-inoculation natural infection)",IF(ABS(6-AH5)&lt;=1,"Likely",IF(ABS(6-AH5)=2,"Possible","Unlikely")))</f>
        <v>Possible</v>
      </c>
    </row>
    <row r="6" customFormat="false" ht="15" hidden="false" customHeight="false" outlineLevel="0" collapsed="false">
      <c r="A6" s="13" t="str">
        <f aca="false">B6&amp;"|"&amp;E6</f>
        <v>D1V1|03/03/2026</v>
      </c>
      <c r="B6" s="27" t="s">
        <v>340</v>
      </c>
      <c r="C6" s="13" t="s">
        <v>127</v>
      </c>
      <c r="D6" s="13" t="s">
        <v>142</v>
      </c>
      <c r="E6" s="13" t="s">
        <v>162</v>
      </c>
      <c r="F6" s="28" t="n">
        <f aca="false">Inputs_Treatments!$B$21</f>
        <v>46084</v>
      </c>
      <c r="G6" s="28" t="n">
        <f aca="false">Inputs_Treatments!$B$4</f>
        <v>46000</v>
      </c>
      <c r="H6" s="29" t="n">
        <f aca="false">F6-G6</f>
        <v>84</v>
      </c>
      <c r="I6" s="29" t="n">
        <f aca="false">F6-Inputs_General!$C$6</f>
        <v>26</v>
      </c>
      <c r="J6" s="29" t="n">
        <f aca="false">SUMIFS(Weather!$H$2:$H$159,Weather!$A$2:$A$159,"&gt;="&amp;G6,Weather!$A$2:$A$159,"&lt;="&amp;F6)</f>
        <v>860.7</v>
      </c>
      <c r="K6" s="29" t="n">
        <f aca="false">J6-Inputs_General!$C$5</f>
        <v>750.7</v>
      </c>
      <c r="L6" s="15" t="s">
        <v>342</v>
      </c>
      <c r="M6" s="13" t="str">
        <f aca="false">IF(L6="V","3rd fully expanded leaf from top","5th fully expanded leaf from top")</f>
        <v>5th fully expanded leaf from top</v>
      </c>
      <c r="N6" s="30" t="n">
        <f aca="false">AVERAGEIFS(Weather!$B$2:$B$159,Weather!$A$2:$A$159,"&gt;="&amp;(F6-6),Weather!$A$2:$A$159,"&lt;="&amp;F6)</f>
        <v>30.4714285714286</v>
      </c>
      <c r="O6" s="30" t="n">
        <f aca="false">AVERAGEIFS(Weather!$C$2:$C$159,Weather!$A$2:$A$159,"&gt;="&amp;(F6-6),Weather!$A$2:$A$159,"&lt;="&amp;F6)</f>
        <v>11.9571428571429</v>
      </c>
      <c r="P6" s="30" t="n">
        <f aca="false">AVERAGEIFS(Weather!$E$2:$E$159,Weather!$A$2:$A$159,"&gt;="&amp;(F6-6),Weather!$A$2:$A$159,"&lt;="&amp;F6)</f>
        <v>90.1428571428571</v>
      </c>
      <c r="Q6" s="30" t="n">
        <f aca="false">AVERAGEIFS(Weather!$F$2:$F$159,Weather!$A$2:$A$159,"&gt;="&amp;(F6-6),Weather!$A$2:$A$159,"&lt;="&amp;F6)</f>
        <v>33.5714285714286</v>
      </c>
      <c r="R6" s="31" t="n">
        <f aca="false">MAX(0,(N6-Inputs_General!$C$7)/Inputs_General!$C$8)</f>
        <v>0.433928571428571</v>
      </c>
      <c r="S6" s="30" t="n">
        <f aca="false">O6+Inputs_General!$C$9*(N6-O6)</f>
        <v>26.7685714285714</v>
      </c>
      <c r="T6" s="30" t="n">
        <f aca="false">Q6+Inputs_General!$C$10*(P6-Q6)</f>
        <v>50.5428571428571</v>
      </c>
      <c r="U6" s="31" t="n">
        <f aca="false">0.6108*EXP(17.27*S6/(S6+237.3))*(1-T6/100)</f>
        <v>1.73951545534029</v>
      </c>
      <c r="V6" s="30" t="n">
        <f aca="false">O6+Inputs_General!$C$11*(N6-O6)</f>
        <v>28.62</v>
      </c>
      <c r="W6" s="30" t="n">
        <f aca="false">Q6+Inputs_General!$C$12*(P6-Q6)</f>
        <v>42.0571428571429</v>
      </c>
      <c r="X6" s="31" t="n">
        <f aca="false">0.6108*EXP(17.27*V6/(V6+237.3))*(1-W6/100)</f>
        <v>2.27051923122539</v>
      </c>
      <c r="Y6" s="30" t="n">
        <f aca="false">V6+Inputs_General!$C$14-Inputs_General!$C$15*X6</f>
        <v>25.3060134606718</v>
      </c>
      <c r="Z6" s="30" t="n">
        <f aca="false">V6+Inputs_General!$C$16</f>
        <v>32.62</v>
      </c>
      <c r="AA6" s="31" t="n">
        <f aca="false">IF(L6="V",Inputs_General!$C$17,IF(L6="F",Inputs_General!$C$18,Inputs_General!$C$19))+Inputs_General!$C$20*R6</f>
        <v>0.321696428571429</v>
      </c>
      <c r="AB6" s="31" t="n">
        <f aca="false">Inputs_Treatments!$C$4*Inputs_Treatments!$F$12*(1/(1+EXP(-(K6-Inputs_General!$C$27)/Inputs_General!$C$28)))*EXP(-((MAX(0,K6-Inputs_General!$C$29)/Inputs_General!$C$30)^2))</f>
        <v>3.1826078679718</v>
      </c>
      <c r="AC6" s="21" t="n">
        <f aca="false">Inputs_Treatments!$G$4</f>
        <v>1</v>
      </c>
      <c r="AD6" s="21" t="n">
        <f aca="false">Inputs_Treatments!$D$12</f>
        <v>1</v>
      </c>
      <c r="AE6" s="29" t="n">
        <f aca="false">COUNTIFS(Weather!$K$2:$K$159,1,Weather!$A$2:$A$159,"&gt;="&amp;(G6+36),Weather!$A$2:$A$159,"&lt;="&amp;F6)</f>
        <v>7</v>
      </c>
      <c r="AF6" s="30" t="n">
        <f aca="false">Inputs_Treatments!$C$21*Inputs_Treatments!$E$12*Inputs_Treatments!$D$4</f>
        <v>22.4</v>
      </c>
      <c r="AG6" s="13" t="str">
        <f aca="false">IF(AF6&lt;=0,"Healthy",IF(AF6&lt;=5,"Very low",IF(AF6&lt;=10,"Low",IF(AF6&lt;=25,"Moderate",IF(AF6&lt;=50,"High","Very high")))))</f>
        <v>Moderate</v>
      </c>
      <c r="AH6" s="29" t="n">
        <f aca="false">MATCH(AG6,Severity_Classes!$A$4:$A$9,0)</f>
        <v>4</v>
      </c>
      <c r="AI6" s="13" t="str">
        <f aca="false">"Reference: healthy (uninoculated) control plot"</f>
        <v>Reference: healthy (uninoculated) control plot</v>
      </c>
      <c r="AJ6" s="13" t="str">
        <f aca="false">IF(AND(I6&lt;8,2&gt;=4),"Unlikely (only via pre-inoculation natural infection)",IF(ABS(2-AH6)&lt;=1,"Likely",IF(ABS(2-AH6)=2,"Possible","Unlikely")))</f>
        <v>Possible</v>
      </c>
      <c r="AK6" s="13" t="str">
        <f aca="false">IF(AND(I6&lt;8,3&gt;=4),"Unlikely (only via pre-inoculation natural infection)",IF(ABS(3-AH6)&lt;=1,"Likely",IF(ABS(3-AH6)=2,"Possible","Unlikely")))</f>
        <v>Likely</v>
      </c>
      <c r="AL6" s="13" t="str">
        <f aca="false">IF(AND(I6&lt;8,4&gt;=4),"Unlikely (only via pre-inoculation natural infection)",IF(ABS(4-AH6)&lt;=1,"Likely",IF(ABS(4-AH6)=2,"Possible","Unlikely")))</f>
        <v>Likely</v>
      </c>
      <c r="AM6" s="13" t="str">
        <f aca="false">IF(AND(I6&lt;8,5&gt;=4),"Unlikely (only via pre-inoculation natural infection)",IF(ABS(5-AH6)&lt;=1,"Likely",IF(ABS(5-AH6)=2,"Possible","Unlikely")))</f>
        <v>Likely</v>
      </c>
      <c r="AN6" s="13" t="str">
        <f aca="false">IF(AND(I6&lt;8,6&gt;=4),"Unlikely (only via pre-inoculation natural infection)",IF(ABS(6-AH6)&lt;=1,"Likely",IF(ABS(6-AH6)=2,"Possible","Unlikely")))</f>
        <v>Possible</v>
      </c>
    </row>
    <row r="7" customFormat="false" ht="15" hidden="false" customHeight="false" outlineLevel="0" collapsed="false">
      <c r="A7" s="13" t="str">
        <f aca="false">B7&amp;"|"&amp;E7</f>
        <v>D1V1|13/03/2026</v>
      </c>
      <c r="B7" s="27" t="s">
        <v>340</v>
      </c>
      <c r="C7" s="13" t="s">
        <v>127</v>
      </c>
      <c r="D7" s="13" t="s">
        <v>142</v>
      </c>
      <c r="E7" s="13" t="s">
        <v>164</v>
      </c>
      <c r="F7" s="28" t="n">
        <f aca="false">Inputs_Treatments!$B$22</f>
        <v>46094</v>
      </c>
      <c r="G7" s="28" t="n">
        <f aca="false">Inputs_Treatments!$B$4</f>
        <v>46000</v>
      </c>
      <c r="H7" s="29" t="n">
        <f aca="false">F7-G7</f>
        <v>94</v>
      </c>
      <c r="I7" s="29" t="n">
        <f aca="false">F7-Inputs_General!$C$6</f>
        <v>36</v>
      </c>
      <c r="J7" s="29" t="n">
        <f aca="false">SUMIFS(Weather!$H$2:$H$159,Weather!$A$2:$A$159,"&gt;="&amp;G7,Weather!$A$2:$A$159,"&lt;="&amp;F7)</f>
        <v>1058.7</v>
      </c>
      <c r="K7" s="29" t="n">
        <f aca="false">J7-Inputs_General!$C$5</f>
        <v>948.7</v>
      </c>
      <c r="L7" s="15" t="s">
        <v>342</v>
      </c>
      <c r="M7" s="13" t="str">
        <f aca="false">IF(L7="V","3rd fully expanded leaf from top","5th fully expanded leaf from top")</f>
        <v>5th fully expanded leaf from top</v>
      </c>
      <c r="N7" s="30" t="n">
        <f aca="false">AVERAGEIFS(Weather!$B$2:$B$159,Weather!$A$2:$A$159,"&gt;="&amp;(F7-6),Weather!$A$2:$A$159,"&lt;="&amp;F7)</f>
        <v>34.6285714285714</v>
      </c>
      <c r="O7" s="30" t="n">
        <f aca="false">AVERAGEIFS(Weather!$C$2:$C$159,Weather!$A$2:$A$159,"&gt;="&amp;(F7-6),Weather!$A$2:$A$159,"&lt;="&amp;F7)</f>
        <v>16.2142857142857</v>
      </c>
      <c r="P7" s="30" t="n">
        <f aca="false">AVERAGEIFS(Weather!$E$2:$E$159,Weather!$A$2:$A$159,"&gt;="&amp;(F7-6),Weather!$A$2:$A$159,"&lt;="&amp;F7)</f>
        <v>90.7142857142857</v>
      </c>
      <c r="Q7" s="30" t="n">
        <f aca="false">AVERAGEIFS(Weather!$F$2:$F$159,Weather!$A$2:$A$159,"&gt;="&amp;(F7-6),Weather!$A$2:$A$159,"&lt;="&amp;F7)</f>
        <v>34.1428571428571</v>
      </c>
      <c r="R7" s="31" t="n">
        <f aca="false">MAX(0,(N7-Inputs_General!$C$7)/Inputs_General!$C$8)</f>
        <v>0.953571428571428</v>
      </c>
      <c r="S7" s="30" t="n">
        <f aca="false">O7+Inputs_General!$C$9*(N7-O7)</f>
        <v>30.9457142857143</v>
      </c>
      <c r="T7" s="30" t="n">
        <f aca="false">Q7+Inputs_General!$C$10*(P7-Q7)</f>
        <v>51.1142857142857</v>
      </c>
      <c r="U7" s="31" t="n">
        <f aca="false">0.6108*EXP(17.27*S7/(S7+237.3))*(1-T7/100)</f>
        <v>2.18945736698217</v>
      </c>
      <c r="V7" s="30" t="n">
        <f aca="false">O7+Inputs_General!$C$11*(N7-O7)</f>
        <v>32.7871428571429</v>
      </c>
      <c r="W7" s="30" t="n">
        <f aca="false">Q7+Inputs_General!$C$12*(P7-Q7)</f>
        <v>42.6285714285714</v>
      </c>
      <c r="X7" s="31" t="n">
        <f aca="false">0.6108*EXP(17.27*V7/(V7+237.3))*(1-W7/100)</f>
        <v>2.85158987109622</v>
      </c>
      <c r="Y7" s="30" t="n">
        <f aca="false">V7+Inputs_General!$C$14-Inputs_General!$C$15*X7</f>
        <v>28.36912210206</v>
      </c>
      <c r="Z7" s="30" t="n">
        <f aca="false">V7+Inputs_General!$C$16</f>
        <v>36.7871428571429</v>
      </c>
      <c r="AA7" s="31" t="n">
        <f aca="false">IF(L7="V",Inputs_General!$C$17,IF(L7="F",Inputs_General!$C$18,Inputs_General!$C$19))+Inputs_General!$C$20*R7</f>
        <v>0.347678571428571</v>
      </c>
      <c r="AB7" s="31" t="n">
        <f aca="false">Inputs_Treatments!$C$4*Inputs_Treatments!$F$12*(1/(1+EXP(-(K7-Inputs_General!$C$27)/Inputs_General!$C$28)))*EXP(-((MAX(0,K7-Inputs_General!$C$29)/Inputs_General!$C$30)^2))</f>
        <v>2.52121976455078</v>
      </c>
      <c r="AC7" s="21" t="n">
        <f aca="false">Inputs_Treatments!$H$4</f>
        <v>1</v>
      </c>
      <c r="AD7" s="21" t="n">
        <f aca="false">Inputs_Treatments!$D$12</f>
        <v>1</v>
      </c>
      <c r="AE7" s="29" t="n">
        <f aca="false">COUNTIFS(Weather!$K$2:$K$159,1,Weather!$A$2:$A$159,"&gt;="&amp;(G7+36),Weather!$A$2:$A$159,"&lt;="&amp;F7)</f>
        <v>7</v>
      </c>
      <c r="AF7" s="30" t="n">
        <f aca="false">Inputs_Treatments!$C$22*Inputs_Treatments!$E$12*Inputs_Treatments!$D$4</f>
        <v>28</v>
      </c>
      <c r="AG7" s="13" t="str">
        <f aca="false">IF(AF7&lt;=0,"Healthy",IF(AF7&lt;=5,"Very low",IF(AF7&lt;=10,"Low",IF(AF7&lt;=25,"Moderate",IF(AF7&lt;=50,"High","Very high")))))</f>
        <v>High</v>
      </c>
      <c r="AH7" s="29" t="n">
        <f aca="false">MATCH(AG7,Severity_Classes!$A$4:$A$9,0)</f>
        <v>5</v>
      </c>
      <c r="AI7" s="13" t="str">
        <f aca="false">"Reference: healthy (uninoculated) control plot"</f>
        <v>Reference: healthy (uninoculated) control plot</v>
      </c>
      <c r="AJ7" s="13" t="str">
        <f aca="false">IF(AND(I7&lt;8,2&gt;=4),"Unlikely (only via pre-inoculation natural infection)",IF(ABS(2-AH7)&lt;=1,"Likely",IF(ABS(2-AH7)=2,"Possible","Unlikely")))</f>
        <v>Unlikely</v>
      </c>
      <c r="AK7" s="13" t="str">
        <f aca="false">IF(AND(I7&lt;8,3&gt;=4),"Unlikely (only via pre-inoculation natural infection)",IF(ABS(3-AH7)&lt;=1,"Likely",IF(ABS(3-AH7)=2,"Possible","Unlikely")))</f>
        <v>Possible</v>
      </c>
      <c r="AL7" s="13" t="str">
        <f aca="false">IF(AND(I7&lt;8,4&gt;=4),"Unlikely (only via pre-inoculation natural infection)",IF(ABS(4-AH7)&lt;=1,"Likely",IF(ABS(4-AH7)=2,"Possible","Unlikely")))</f>
        <v>Likely</v>
      </c>
      <c r="AM7" s="13" t="str">
        <f aca="false">IF(AND(I7&lt;8,5&gt;=4),"Unlikely (only via pre-inoculation natural infection)",IF(ABS(5-AH7)&lt;=1,"Likely",IF(ABS(5-AH7)=2,"Possible","Unlikely")))</f>
        <v>Likely</v>
      </c>
      <c r="AN7" s="13" t="str">
        <f aca="false">IF(AND(I7&lt;8,6&gt;=4),"Unlikely (only via pre-inoculation natural infection)",IF(ABS(6-AH7)&lt;=1,"Likely",IF(ABS(6-AH7)=2,"Possible","Unlikely")))</f>
        <v>Likely</v>
      </c>
    </row>
    <row r="8" customFormat="false" ht="15" hidden="false" customHeight="false" outlineLevel="0" collapsed="false">
      <c r="A8" s="13" t="str">
        <f aca="false">B8&amp;"|"&amp;E8</f>
        <v>D1V2|11/02/2026</v>
      </c>
      <c r="B8" s="27" t="s">
        <v>343</v>
      </c>
      <c r="C8" s="13" t="s">
        <v>127</v>
      </c>
      <c r="D8" s="13" t="s">
        <v>146</v>
      </c>
      <c r="E8" s="13" t="s">
        <v>158</v>
      </c>
      <c r="F8" s="28" t="n">
        <f aca="false">Inputs_Treatments!$B$19</f>
        <v>46064</v>
      </c>
      <c r="G8" s="28" t="n">
        <f aca="false">Inputs_Treatments!$B$4</f>
        <v>46000</v>
      </c>
      <c r="H8" s="29" t="n">
        <f aca="false">F8-G8</f>
        <v>64</v>
      </c>
      <c r="I8" s="29" t="n">
        <f aca="false">F8-Inputs_General!$C$6</f>
        <v>6</v>
      </c>
      <c r="J8" s="29" t="n">
        <f aca="false">SUMIFS(Weather!$H$2:$H$159,Weather!$A$2:$A$159,"&gt;="&amp;G8,Weather!$A$2:$A$159,"&lt;="&amp;F8)</f>
        <v>572.3</v>
      </c>
      <c r="K8" s="29" t="n">
        <f aca="false">J8-Inputs_General!$C$5</f>
        <v>462.3</v>
      </c>
      <c r="L8" s="15" t="s">
        <v>344</v>
      </c>
      <c r="M8" s="13" t="str">
        <f aca="false">IF(L8="V","3rd fully expanded leaf from top","5th fully expanded leaf from top")</f>
        <v>3rd fully expanded leaf from top</v>
      </c>
      <c r="N8" s="30" t="n">
        <f aca="false">AVERAGEIFS(Weather!$B$2:$B$159,Weather!$A$2:$A$159,"&gt;="&amp;(F8-6),Weather!$A$2:$A$159,"&lt;="&amp;F8)</f>
        <v>24.1428571428571</v>
      </c>
      <c r="O8" s="30" t="n">
        <f aca="false">AVERAGEIFS(Weather!$C$2:$C$159,Weather!$A$2:$A$159,"&gt;="&amp;(F8-6),Weather!$A$2:$A$159,"&lt;="&amp;F8)</f>
        <v>8.97142857142857</v>
      </c>
      <c r="P8" s="30" t="n">
        <f aca="false">AVERAGEIFS(Weather!$E$2:$E$159,Weather!$A$2:$A$159,"&gt;="&amp;(F8-6),Weather!$A$2:$A$159,"&lt;="&amp;F8)</f>
        <v>94.1428571428571</v>
      </c>
      <c r="Q8" s="30" t="n">
        <f aca="false">AVERAGEIFS(Weather!$F$2:$F$159,Weather!$A$2:$A$159,"&gt;="&amp;(F8-6),Weather!$A$2:$A$159,"&lt;="&amp;F8)</f>
        <v>49</v>
      </c>
      <c r="R8" s="31" t="n">
        <f aca="false">MAX(0,(N8-Inputs_General!$C$7)/Inputs_General!$C$8)</f>
        <v>0</v>
      </c>
      <c r="S8" s="30" t="n">
        <f aca="false">O8+Inputs_General!$C$9*(N8-O8)</f>
        <v>21.1085714285714</v>
      </c>
      <c r="T8" s="30" t="n">
        <f aca="false">Q8+Inputs_General!$C$10*(P8-Q8)</f>
        <v>62.5428571428571</v>
      </c>
      <c r="U8" s="31" t="n">
        <f aca="false">0.6108*EXP(17.27*S8/(S8+237.3))*(1-T8/100)</f>
        <v>0.937791824040773</v>
      </c>
      <c r="V8" s="30" t="n">
        <f aca="false">O8+Inputs_General!$C$11*(N8-O8)</f>
        <v>22.6257142857143</v>
      </c>
      <c r="W8" s="30" t="n">
        <f aca="false">Q8+Inputs_General!$C$12*(P8-Q8)</f>
        <v>55.7714285714286</v>
      </c>
      <c r="X8" s="31" t="n">
        <f aca="false">0.6108*EXP(17.27*V8/(V8+237.3))*(1-W8/100)</f>
        <v>1.21472070203065</v>
      </c>
      <c r="Y8" s="30" t="n">
        <f aca="false">V8+Inputs_General!$C$14-Inputs_General!$C$15*X8</f>
        <v>21.3177449518561</v>
      </c>
      <c r="Z8" s="30" t="n">
        <f aca="false">V8+Inputs_General!$C$16</f>
        <v>26.6257142857143</v>
      </c>
      <c r="AA8" s="31" t="n">
        <f aca="false">IF(L8="V",Inputs_General!$C$17,IF(L8="F",Inputs_General!$C$18,Inputs_General!$C$19))+Inputs_General!$C$20*R8</f>
        <v>0.12</v>
      </c>
      <c r="AB8" s="31" t="n">
        <f aca="false">Inputs_Treatments!$C$4*Inputs_Treatments!$F$13*(1/(1+EXP(-(K8-Inputs_General!$C$27)/Inputs_General!$C$28)))*EXP(-((MAX(0,K8-Inputs_General!$C$29)/Inputs_General!$C$30)^2))</f>
        <v>2.6849133441391</v>
      </c>
      <c r="AC8" s="21" t="n">
        <f aca="false">Inputs_Treatments!$E$4</f>
        <v>1</v>
      </c>
      <c r="AD8" s="21" t="n">
        <f aca="false">Inputs_Treatments!$D$13</f>
        <v>1.1</v>
      </c>
      <c r="AE8" s="29" t="n">
        <f aca="false">COUNTIFS(Weather!$K$2:$K$159,1,Weather!$A$2:$A$159,"&gt;="&amp;(G8+36),Weather!$A$2:$A$159,"&lt;="&amp;F8)</f>
        <v>7</v>
      </c>
      <c r="AF8" s="30" t="n">
        <f aca="false">Inputs_Treatments!$C$19*Inputs_Treatments!$E$13*Inputs_Treatments!$D$4</f>
        <v>3</v>
      </c>
      <c r="AG8" s="13" t="str">
        <f aca="false">IF(AF8&lt;=0,"Healthy",IF(AF8&lt;=5,"Very low",IF(AF8&lt;=10,"Low",IF(AF8&lt;=25,"Moderate",IF(AF8&lt;=50,"High","Very high")))))</f>
        <v>Very low</v>
      </c>
      <c r="AH8" s="29" t="n">
        <f aca="false">MATCH(AG8,Severity_Classes!$A$4:$A$9,0)</f>
        <v>2</v>
      </c>
      <c r="AI8" s="13" t="str">
        <f aca="false">"Reference: healthy (uninoculated) control plot"</f>
        <v>Reference: healthy (uninoculated) control plot</v>
      </c>
      <c r="AJ8" s="13" t="str">
        <f aca="false">IF(AND(I8&lt;8,2&gt;=4),"Unlikely (only via pre-inoculation natural infection)",IF(ABS(2-AH8)&lt;=1,"Likely",IF(ABS(2-AH8)=2,"Possible","Unlikely")))</f>
        <v>Likely</v>
      </c>
      <c r="AK8" s="13" t="str">
        <f aca="false">IF(AND(I8&lt;8,3&gt;=4),"Unlikely (only via pre-inoculation natural infection)",IF(ABS(3-AH8)&lt;=1,"Likely",IF(ABS(3-AH8)=2,"Possible","Unlikely")))</f>
        <v>Likely</v>
      </c>
      <c r="AL8" s="13" t="str">
        <f aca="false">IF(AND(I8&lt;8,4&gt;=4),"Unlikely (only via pre-inoculation natural infection)",IF(ABS(4-AH8)&lt;=1,"Likely",IF(ABS(4-AH8)=2,"Possible","Unlikely")))</f>
        <v>Unlikely (only via pre-inoculation natural infection)</v>
      </c>
      <c r="AM8" s="13" t="str">
        <f aca="false">IF(AND(I8&lt;8,5&gt;=4),"Unlikely (only via pre-inoculation natural infection)",IF(ABS(5-AH8)&lt;=1,"Likely",IF(ABS(5-AH8)=2,"Possible","Unlikely")))</f>
        <v>Unlikely (only via pre-inoculation natural infection)</v>
      </c>
      <c r="AN8" s="13" t="str">
        <f aca="false">IF(AND(I8&lt;8,6&gt;=4),"Unlikely (only via pre-inoculation natural infection)",IF(ABS(6-AH8)&lt;=1,"Likely",IF(ABS(6-AH8)=2,"Possible","Unlikely")))</f>
        <v>Unlikely (only via pre-inoculation natural infection)</v>
      </c>
    </row>
    <row r="9" customFormat="false" ht="15" hidden="false" customHeight="false" outlineLevel="0" collapsed="false">
      <c r="A9" s="13" t="str">
        <f aca="false">B9&amp;"|"&amp;E9</f>
        <v>D1V2|24/02/2026</v>
      </c>
      <c r="B9" s="27" t="s">
        <v>343</v>
      </c>
      <c r="C9" s="13" t="s">
        <v>127</v>
      </c>
      <c r="D9" s="13" t="s">
        <v>146</v>
      </c>
      <c r="E9" s="13" t="s">
        <v>160</v>
      </c>
      <c r="F9" s="28" t="n">
        <f aca="false">Inputs_Treatments!$B$20</f>
        <v>46077</v>
      </c>
      <c r="G9" s="28" t="n">
        <f aca="false">Inputs_Treatments!$B$4</f>
        <v>46000</v>
      </c>
      <c r="H9" s="29" t="n">
        <f aca="false">F9-G9</f>
        <v>77</v>
      </c>
      <c r="I9" s="29" t="n">
        <f aca="false">F9-Inputs_General!$C$6</f>
        <v>19</v>
      </c>
      <c r="J9" s="29" t="n">
        <f aca="false">SUMIFS(Weather!$H$2:$H$159,Weather!$A$2:$A$159,"&gt;="&amp;G9,Weather!$A$2:$A$159,"&lt;="&amp;F9)</f>
        <v>747.2</v>
      </c>
      <c r="K9" s="29" t="n">
        <f aca="false">J9-Inputs_General!$C$5</f>
        <v>637.2</v>
      </c>
      <c r="L9" s="15" t="s">
        <v>341</v>
      </c>
      <c r="M9" s="13" t="str">
        <f aca="false">IF(L9="V","3rd fully expanded leaf from top","5th fully expanded leaf from top")</f>
        <v>5th fully expanded leaf from top</v>
      </c>
      <c r="N9" s="30" t="n">
        <f aca="false">AVERAGEIFS(Weather!$B$2:$B$159,Weather!$A$2:$A$159,"&gt;="&amp;(F9-6),Weather!$A$2:$A$159,"&lt;="&amp;F9)</f>
        <v>27.1857142857143</v>
      </c>
      <c r="O9" s="30" t="n">
        <f aca="false">AVERAGEIFS(Weather!$C$2:$C$159,Weather!$A$2:$A$159,"&gt;="&amp;(F9-6),Weather!$A$2:$A$159,"&lt;="&amp;F9)</f>
        <v>11.1142857142857</v>
      </c>
      <c r="P9" s="30" t="n">
        <f aca="false">AVERAGEIFS(Weather!$E$2:$E$159,Weather!$A$2:$A$159,"&gt;="&amp;(F9-6),Weather!$A$2:$A$159,"&lt;="&amp;F9)</f>
        <v>94.2857142857143</v>
      </c>
      <c r="Q9" s="30" t="n">
        <f aca="false">AVERAGEIFS(Weather!$F$2:$F$159,Weather!$A$2:$A$159,"&gt;="&amp;(F9-6),Weather!$A$2:$A$159,"&lt;="&amp;F9)</f>
        <v>45.1428571428571</v>
      </c>
      <c r="R9" s="31" t="n">
        <f aca="false">MAX(0,(N9-Inputs_General!$C$7)/Inputs_General!$C$8)</f>
        <v>0.0232142857142859</v>
      </c>
      <c r="S9" s="30" t="n">
        <f aca="false">O9+Inputs_General!$C$9*(N9-O9)</f>
        <v>23.9714285714286</v>
      </c>
      <c r="T9" s="30" t="n">
        <f aca="false">Q9+Inputs_General!$C$10*(P9-Q9)</f>
        <v>59.8857142857143</v>
      </c>
      <c r="U9" s="31" t="n">
        <f aca="false">0.6108*EXP(17.27*S9/(S9+237.3))*(1-T9/100)</f>
        <v>1.19492600027053</v>
      </c>
      <c r="V9" s="30" t="n">
        <f aca="false">O9+Inputs_General!$C$11*(N9-O9)</f>
        <v>25.5785714285714</v>
      </c>
      <c r="W9" s="30" t="n">
        <f aca="false">Q9+Inputs_General!$C$12*(P9-Q9)</f>
        <v>52.5142857142857</v>
      </c>
      <c r="X9" s="31" t="n">
        <f aca="false">0.6108*EXP(17.27*V9/(V9+237.3))*(1-W9/100)</f>
        <v>1.55686779409338</v>
      </c>
      <c r="Y9" s="30" t="n">
        <f aca="false">V9+Inputs_General!$C$14-Inputs_General!$C$15*X9</f>
        <v>23.620522619794</v>
      </c>
      <c r="Z9" s="30" t="n">
        <f aca="false">V9+Inputs_General!$C$16</f>
        <v>29.5785714285714</v>
      </c>
      <c r="AA9" s="31" t="n">
        <f aca="false">IF(L9="V",Inputs_General!$C$17,IF(L9="F",Inputs_General!$C$18,Inputs_General!$C$19))+Inputs_General!$C$20*R9</f>
        <v>0.201160714285714</v>
      </c>
      <c r="AB9" s="31" t="n">
        <f aca="false">Inputs_Treatments!$C$4*Inputs_Treatments!$F$13*(1/(1+EXP(-(K9-Inputs_General!$C$27)/Inputs_General!$C$28)))*EXP(-((MAX(0,K9-Inputs_General!$C$29)/Inputs_General!$C$30)^2))</f>
        <v>3.24945780185873</v>
      </c>
      <c r="AC9" s="21" t="n">
        <f aca="false">Inputs_Treatments!$F$4</f>
        <v>1</v>
      </c>
      <c r="AD9" s="21" t="n">
        <f aca="false">Inputs_Treatments!$D$13</f>
        <v>1.1</v>
      </c>
      <c r="AE9" s="29" t="n">
        <f aca="false">COUNTIFS(Weather!$K$2:$K$159,1,Weather!$A$2:$A$159,"&gt;="&amp;(G9+36),Weather!$A$2:$A$159,"&lt;="&amp;F9)</f>
        <v>7</v>
      </c>
      <c r="AF9" s="30" t="n">
        <f aca="false">Inputs_Treatments!$C$20*Inputs_Treatments!$E$13*Inputs_Treatments!$D$4</f>
        <v>18</v>
      </c>
      <c r="AG9" s="13" t="str">
        <f aca="false">IF(AF9&lt;=0,"Healthy",IF(AF9&lt;=5,"Very low",IF(AF9&lt;=10,"Low",IF(AF9&lt;=25,"Moderate",IF(AF9&lt;=50,"High","Very high")))))</f>
        <v>Moderate</v>
      </c>
      <c r="AH9" s="29" t="n">
        <f aca="false">MATCH(AG9,Severity_Classes!$A$4:$A$9,0)</f>
        <v>4</v>
      </c>
      <c r="AI9" s="13" t="str">
        <f aca="false">"Reference: healthy (uninoculated) control plot"</f>
        <v>Reference: healthy (uninoculated) control plot</v>
      </c>
      <c r="AJ9" s="13" t="str">
        <f aca="false">IF(AND(I9&lt;8,2&gt;=4),"Unlikely (only via pre-inoculation natural infection)",IF(ABS(2-AH9)&lt;=1,"Likely",IF(ABS(2-AH9)=2,"Possible","Unlikely")))</f>
        <v>Possible</v>
      </c>
      <c r="AK9" s="13" t="str">
        <f aca="false">IF(AND(I9&lt;8,3&gt;=4),"Unlikely (only via pre-inoculation natural infection)",IF(ABS(3-AH9)&lt;=1,"Likely",IF(ABS(3-AH9)=2,"Possible","Unlikely")))</f>
        <v>Likely</v>
      </c>
      <c r="AL9" s="13" t="str">
        <f aca="false">IF(AND(I9&lt;8,4&gt;=4),"Unlikely (only via pre-inoculation natural infection)",IF(ABS(4-AH9)&lt;=1,"Likely",IF(ABS(4-AH9)=2,"Possible","Unlikely")))</f>
        <v>Likely</v>
      </c>
      <c r="AM9" s="13" t="str">
        <f aca="false">IF(AND(I9&lt;8,5&gt;=4),"Unlikely (only via pre-inoculation natural infection)",IF(ABS(5-AH9)&lt;=1,"Likely",IF(ABS(5-AH9)=2,"Possible","Unlikely")))</f>
        <v>Likely</v>
      </c>
      <c r="AN9" s="13" t="str">
        <f aca="false">IF(AND(I9&lt;8,6&gt;=4),"Unlikely (only via pre-inoculation natural infection)",IF(ABS(6-AH9)&lt;=1,"Likely",IF(ABS(6-AH9)=2,"Possible","Unlikely")))</f>
        <v>Possible</v>
      </c>
    </row>
    <row r="10" customFormat="false" ht="15" hidden="false" customHeight="false" outlineLevel="0" collapsed="false">
      <c r="A10" s="13" t="str">
        <f aca="false">B10&amp;"|"&amp;E10</f>
        <v>D1V2|03/03/2026</v>
      </c>
      <c r="B10" s="27" t="s">
        <v>343</v>
      </c>
      <c r="C10" s="13" t="s">
        <v>127</v>
      </c>
      <c r="D10" s="13" t="s">
        <v>146</v>
      </c>
      <c r="E10" s="13" t="s">
        <v>162</v>
      </c>
      <c r="F10" s="28" t="n">
        <f aca="false">Inputs_Treatments!$B$21</f>
        <v>46084</v>
      </c>
      <c r="G10" s="28" t="n">
        <f aca="false">Inputs_Treatments!$B$4</f>
        <v>46000</v>
      </c>
      <c r="H10" s="29" t="n">
        <f aca="false">F10-G10</f>
        <v>84</v>
      </c>
      <c r="I10" s="29" t="n">
        <f aca="false">F10-Inputs_General!$C$6</f>
        <v>26</v>
      </c>
      <c r="J10" s="29" t="n">
        <f aca="false">SUMIFS(Weather!$H$2:$H$159,Weather!$A$2:$A$159,"&gt;="&amp;G10,Weather!$A$2:$A$159,"&lt;="&amp;F10)</f>
        <v>860.7</v>
      </c>
      <c r="K10" s="29" t="n">
        <f aca="false">J10-Inputs_General!$C$5</f>
        <v>750.7</v>
      </c>
      <c r="L10" s="15" t="s">
        <v>341</v>
      </c>
      <c r="M10" s="13" t="str">
        <f aca="false">IF(L10="V","3rd fully expanded leaf from top","5th fully expanded leaf from top")</f>
        <v>5th fully expanded leaf from top</v>
      </c>
      <c r="N10" s="30" t="n">
        <f aca="false">AVERAGEIFS(Weather!$B$2:$B$159,Weather!$A$2:$A$159,"&gt;="&amp;(F10-6),Weather!$A$2:$A$159,"&lt;="&amp;F10)</f>
        <v>30.4714285714286</v>
      </c>
      <c r="O10" s="30" t="n">
        <f aca="false">AVERAGEIFS(Weather!$C$2:$C$159,Weather!$A$2:$A$159,"&gt;="&amp;(F10-6),Weather!$A$2:$A$159,"&lt;="&amp;F10)</f>
        <v>11.9571428571429</v>
      </c>
      <c r="P10" s="30" t="n">
        <f aca="false">AVERAGEIFS(Weather!$E$2:$E$159,Weather!$A$2:$A$159,"&gt;="&amp;(F10-6),Weather!$A$2:$A$159,"&lt;="&amp;F10)</f>
        <v>90.1428571428571</v>
      </c>
      <c r="Q10" s="30" t="n">
        <f aca="false">AVERAGEIFS(Weather!$F$2:$F$159,Weather!$A$2:$A$159,"&gt;="&amp;(F10-6),Weather!$A$2:$A$159,"&lt;="&amp;F10)</f>
        <v>33.5714285714286</v>
      </c>
      <c r="R10" s="31" t="n">
        <f aca="false">MAX(0,(N10-Inputs_General!$C$7)/Inputs_General!$C$8)</f>
        <v>0.433928571428571</v>
      </c>
      <c r="S10" s="30" t="n">
        <f aca="false">O10+Inputs_General!$C$9*(N10-O10)</f>
        <v>26.7685714285714</v>
      </c>
      <c r="T10" s="30" t="n">
        <f aca="false">Q10+Inputs_General!$C$10*(P10-Q10)</f>
        <v>50.5428571428571</v>
      </c>
      <c r="U10" s="31" t="n">
        <f aca="false">0.6108*EXP(17.27*S10/(S10+237.3))*(1-T10/100)</f>
        <v>1.73951545534029</v>
      </c>
      <c r="V10" s="30" t="n">
        <f aca="false">O10+Inputs_General!$C$11*(N10-O10)</f>
        <v>28.62</v>
      </c>
      <c r="W10" s="30" t="n">
        <f aca="false">Q10+Inputs_General!$C$12*(P10-Q10)</f>
        <v>42.0571428571429</v>
      </c>
      <c r="X10" s="31" t="n">
        <f aca="false">0.6108*EXP(17.27*V10/(V10+237.3))*(1-W10/100)</f>
        <v>2.27051923122539</v>
      </c>
      <c r="Y10" s="30" t="n">
        <f aca="false">V10+Inputs_General!$C$14-Inputs_General!$C$15*X10</f>
        <v>25.3060134606718</v>
      </c>
      <c r="Z10" s="30" t="n">
        <f aca="false">V10+Inputs_General!$C$16</f>
        <v>32.62</v>
      </c>
      <c r="AA10" s="31" t="n">
        <f aca="false">IF(L10="V",Inputs_General!$C$17,IF(L10="F",Inputs_General!$C$18,Inputs_General!$C$19))+Inputs_General!$C$20*R10</f>
        <v>0.221696428571429</v>
      </c>
      <c r="AB10" s="31" t="n">
        <f aca="false">Inputs_Treatments!$C$4*Inputs_Treatments!$F$13*(1/(1+EXP(-(K10-Inputs_General!$C$27)/Inputs_General!$C$28)))*EXP(-((MAX(0,K10-Inputs_General!$C$29)/Inputs_General!$C$30)^2))</f>
        <v>3.35011354523348</v>
      </c>
      <c r="AC10" s="21" t="n">
        <f aca="false">Inputs_Treatments!$G$4</f>
        <v>1</v>
      </c>
      <c r="AD10" s="21" t="n">
        <f aca="false">Inputs_Treatments!$D$13</f>
        <v>1.1</v>
      </c>
      <c r="AE10" s="29" t="n">
        <f aca="false">COUNTIFS(Weather!$K$2:$K$159,1,Weather!$A$2:$A$159,"&gt;="&amp;(G10+36),Weather!$A$2:$A$159,"&lt;="&amp;F10)</f>
        <v>7</v>
      </c>
      <c r="AF10" s="30" t="n">
        <f aca="false">Inputs_Treatments!$C$21*Inputs_Treatments!$E$13*Inputs_Treatments!$D$4</f>
        <v>28</v>
      </c>
      <c r="AG10" s="13" t="str">
        <f aca="false">IF(AF10&lt;=0,"Healthy",IF(AF10&lt;=5,"Very low",IF(AF10&lt;=10,"Low",IF(AF10&lt;=25,"Moderate",IF(AF10&lt;=50,"High","Very high")))))</f>
        <v>High</v>
      </c>
      <c r="AH10" s="29" t="n">
        <f aca="false">MATCH(AG10,Severity_Classes!$A$4:$A$9,0)</f>
        <v>5</v>
      </c>
      <c r="AI10" s="13" t="str">
        <f aca="false">"Reference: healthy (uninoculated) control plot"</f>
        <v>Reference: healthy (uninoculated) control plot</v>
      </c>
      <c r="AJ10" s="13" t="str">
        <f aca="false">IF(AND(I10&lt;8,2&gt;=4),"Unlikely (only via pre-inoculation natural infection)",IF(ABS(2-AH10)&lt;=1,"Likely",IF(ABS(2-AH10)=2,"Possible","Unlikely")))</f>
        <v>Unlikely</v>
      </c>
      <c r="AK10" s="13" t="str">
        <f aca="false">IF(AND(I10&lt;8,3&gt;=4),"Unlikely (only via pre-inoculation natural infection)",IF(ABS(3-AH10)&lt;=1,"Likely",IF(ABS(3-AH10)=2,"Possible","Unlikely")))</f>
        <v>Possible</v>
      </c>
      <c r="AL10" s="13" t="str">
        <f aca="false">IF(AND(I10&lt;8,4&gt;=4),"Unlikely (only via pre-inoculation natural infection)",IF(ABS(4-AH10)&lt;=1,"Likely",IF(ABS(4-AH10)=2,"Possible","Unlikely")))</f>
        <v>Likely</v>
      </c>
      <c r="AM10" s="13" t="str">
        <f aca="false">IF(AND(I10&lt;8,5&gt;=4),"Unlikely (only via pre-inoculation natural infection)",IF(ABS(5-AH10)&lt;=1,"Likely",IF(ABS(5-AH10)=2,"Possible","Unlikely")))</f>
        <v>Likely</v>
      </c>
      <c r="AN10" s="13" t="str">
        <f aca="false">IF(AND(I10&lt;8,6&gt;=4),"Unlikely (only via pre-inoculation natural infection)",IF(ABS(6-AH10)&lt;=1,"Likely",IF(ABS(6-AH10)=2,"Possible","Unlikely")))</f>
        <v>Likely</v>
      </c>
    </row>
    <row r="11" customFormat="false" ht="15" hidden="false" customHeight="false" outlineLevel="0" collapsed="false">
      <c r="A11" s="13" t="str">
        <f aca="false">B11&amp;"|"&amp;E11</f>
        <v>D1V2|13/03/2026</v>
      </c>
      <c r="B11" s="27" t="s">
        <v>343</v>
      </c>
      <c r="C11" s="13" t="s">
        <v>127</v>
      </c>
      <c r="D11" s="13" t="s">
        <v>146</v>
      </c>
      <c r="E11" s="13" t="s">
        <v>164</v>
      </c>
      <c r="F11" s="28" t="n">
        <f aca="false">Inputs_Treatments!$B$22</f>
        <v>46094</v>
      </c>
      <c r="G11" s="28" t="n">
        <f aca="false">Inputs_Treatments!$B$4</f>
        <v>46000</v>
      </c>
      <c r="H11" s="29" t="n">
        <f aca="false">F11-G11</f>
        <v>94</v>
      </c>
      <c r="I11" s="29" t="n">
        <f aca="false">F11-Inputs_General!$C$6</f>
        <v>36</v>
      </c>
      <c r="J11" s="29" t="n">
        <f aca="false">SUMIFS(Weather!$H$2:$H$159,Weather!$A$2:$A$159,"&gt;="&amp;G11,Weather!$A$2:$A$159,"&lt;="&amp;F11)</f>
        <v>1058.7</v>
      </c>
      <c r="K11" s="29" t="n">
        <f aca="false">J11-Inputs_General!$C$5</f>
        <v>948.7</v>
      </c>
      <c r="L11" s="15" t="s">
        <v>342</v>
      </c>
      <c r="M11" s="13" t="str">
        <f aca="false">IF(L11="V","3rd fully expanded leaf from top","5th fully expanded leaf from top")</f>
        <v>5th fully expanded leaf from top</v>
      </c>
      <c r="N11" s="30" t="n">
        <f aca="false">AVERAGEIFS(Weather!$B$2:$B$159,Weather!$A$2:$A$159,"&gt;="&amp;(F11-6),Weather!$A$2:$A$159,"&lt;="&amp;F11)</f>
        <v>34.6285714285714</v>
      </c>
      <c r="O11" s="30" t="n">
        <f aca="false">AVERAGEIFS(Weather!$C$2:$C$159,Weather!$A$2:$A$159,"&gt;="&amp;(F11-6),Weather!$A$2:$A$159,"&lt;="&amp;F11)</f>
        <v>16.2142857142857</v>
      </c>
      <c r="P11" s="30" t="n">
        <f aca="false">AVERAGEIFS(Weather!$E$2:$E$159,Weather!$A$2:$A$159,"&gt;="&amp;(F11-6),Weather!$A$2:$A$159,"&lt;="&amp;F11)</f>
        <v>90.7142857142857</v>
      </c>
      <c r="Q11" s="30" t="n">
        <f aca="false">AVERAGEIFS(Weather!$F$2:$F$159,Weather!$A$2:$A$159,"&gt;="&amp;(F11-6),Weather!$A$2:$A$159,"&lt;="&amp;F11)</f>
        <v>34.1428571428571</v>
      </c>
      <c r="R11" s="31" t="n">
        <f aca="false">MAX(0,(N11-Inputs_General!$C$7)/Inputs_General!$C$8)</f>
        <v>0.953571428571428</v>
      </c>
      <c r="S11" s="30" t="n">
        <f aca="false">O11+Inputs_General!$C$9*(N11-O11)</f>
        <v>30.9457142857143</v>
      </c>
      <c r="T11" s="30" t="n">
        <f aca="false">Q11+Inputs_General!$C$10*(P11-Q11)</f>
        <v>51.1142857142857</v>
      </c>
      <c r="U11" s="31" t="n">
        <f aca="false">0.6108*EXP(17.27*S11/(S11+237.3))*(1-T11/100)</f>
        <v>2.18945736698217</v>
      </c>
      <c r="V11" s="30" t="n">
        <f aca="false">O11+Inputs_General!$C$11*(N11-O11)</f>
        <v>32.7871428571429</v>
      </c>
      <c r="W11" s="30" t="n">
        <f aca="false">Q11+Inputs_General!$C$12*(P11-Q11)</f>
        <v>42.6285714285714</v>
      </c>
      <c r="X11" s="31" t="n">
        <f aca="false">0.6108*EXP(17.27*V11/(V11+237.3))*(1-W11/100)</f>
        <v>2.85158987109622</v>
      </c>
      <c r="Y11" s="30" t="n">
        <f aca="false">V11+Inputs_General!$C$14-Inputs_General!$C$15*X11</f>
        <v>28.36912210206</v>
      </c>
      <c r="Z11" s="30" t="n">
        <f aca="false">V11+Inputs_General!$C$16</f>
        <v>36.7871428571429</v>
      </c>
      <c r="AA11" s="31" t="n">
        <f aca="false">IF(L11="V",Inputs_General!$C$17,IF(L11="F",Inputs_General!$C$18,Inputs_General!$C$19))+Inputs_General!$C$20*R11</f>
        <v>0.347678571428571</v>
      </c>
      <c r="AB11" s="31" t="n">
        <f aca="false">Inputs_Treatments!$C$4*Inputs_Treatments!$F$13*(1/(1+EXP(-(K11-Inputs_General!$C$27)/Inputs_General!$C$28)))*EXP(-((MAX(0,K11-Inputs_General!$C$29)/Inputs_General!$C$30)^2))</f>
        <v>2.6539155416324</v>
      </c>
      <c r="AC11" s="21" t="n">
        <f aca="false">Inputs_Treatments!$H$4</f>
        <v>1</v>
      </c>
      <c r="AD11" s="21" t="n">
        <f aca="false">Inputs_Treatments!$D$13</f>
        <v>1.1</v>
      </c>
      <c r="AE11" s="29" t="n">
        <f aca="false">COUNTIFS(Weather!$K$2:$K$159,1,Weather!$A$2:$A$159,"&gt;="&amp;(G11+36),Weather!$A$2:$A$159,"&lt;="&amp;F11)</f>
        <v>7</v>
      </c>
      <c r="AF11" s="30" t="n">
        <f aca="false">Inputs_Treatments!$C$22*Inputs_Treatments!$E$13*Inputs_Treatments!$D$4</f>
        <v>35</v>
      </c>
      <c r="AG11" s="13" t="str">
        <f aca="false">IF(AF11&lt;=0,"Healthy",IF(AF11&lt;=5,"Very low",IF(AF11&lt;=10,"Low",IF(AF11&lt;=25,"Moderate",IF(AF11&lt;=50,"High","Very high")))))</f>
        <v>High</v>
      </c>
      <c r="AH11" s="29" t="n">
        <f aca="false">MATCH(AG11,Severity_Classes!$A$4:$A$9,0)</f>
        <v>5</v>
      </c>
      <c r="AI11" s="13" t="str">
        <f aca="false">"Reference: healthy (uninoculated) control plot"</f>
        <v>Reference: healthy (uninoculated) control plot</v>
      </c>
      <c r="AJ11" s="13" t="str">
        <f aca="false">IF(AND(I11&lt;8,2&gt;=4),"Unlikely (only via pre-inoculation natural infection)",IF(ABS(2-AH11)&lt;=1,"Likely",IF(ABS(2-AH11)=2,"Possible","Unlikely")))</f>
        <v>Unlikely</v>
      </c>
      <c r="AK11" s="13" t="str">
        <f aca="false">IF(AND(I11&lt;8,3&gt;=4),"Unlikely (only via pre-inoculation natural infection)",IF(ABS(3-AH11)&lt;=1,"Likely",IF(ABS(3-AH11)=2,"Possible","Unlikely")))</f>
        <v>Possible</v>
      </c>
      <c r="AL11" s="13" t="str">
        <f aca="false">IF(AND(I11&lt;8,4&gt;=4),"Unlikely (only via pre-inoculation natural infection)",IF(ABS(4-AH11)&lt;=1,"Likely",IF(ABS(4-AH11)=2,"Possible","Unlikely")))</f>
        <v>Likely</v>
      </c>
      <c r="AM11" s="13" t="str">
        <f aca="false">IF(AND(I11&lt;8,5&gt;=4),"Unlikely (only via pre-inoculation natural infection)",IF(ABS(5-AH11)&lt;=1,"Likely",IF(ABS(5-AH11)=2,"Possible","Unlikely")))</f>
        <v>Likely</v>
      </c>
      <c r="AN11" s="13" t="str">
        <f aca="false">IF(AND(I11&lt;8,6&gt;=4),"Unlikely (only via pre-inoculation natural infection)",IF(ABS(6-AH11)&lt;=1,"Likely",IF(ABS(6-AH11)=2,"Possible","Unlikely")))</f>
        <v>Likely</v>
      </c>
    </row>
    <row r="12" customFormat="false" ht="15" hidden="false" customHeight="false" outlineLevel="0" collapsed="false">
      <c r="A12" s="13" t="str">
        <f aca="false">B12&amp;"|"&amp;E12</f>
        <v>D1V3|11/02/2026</v>
      </c>
      <c r="B12" s="27" t="s">
        <v>345</v>
      </c>
      <c r="C12" s="13" t="s">
        <v>127</v>
      </c>
      <c r="D12" s="13" t="s">
        <v>150</v>
      </c>
      <c r="E12" s="13" t="s">
        <v>158</v>
      </c>
      <c r="F12" s="28" t="n">
        <f aca="false">Inputs_Treatments!$B$19</f>
        <v>46064</v>
      </c>
      <c r="G12" s="28" t="n">
        <f aca="false">Inputs_Treatments!$B$4</f>
        <v>46000</v>
      </c>
      <c r="H12" s="29" t="n">
        <f aca="false">F12-G12</f>
        <v>64</v>
      </c>
      <c r="I12" s="29" t="n">
        <f aca="false">F12-Inputs_General!$C$6</f>
        <v>6</v>
      </c>
      <c r="J12" s="29" t="n">
        <f aca="false">SUMIFS(Weather!$H$2:$H$159,Weather!$A$2:$A$159,"&gt;="&amp;G12,Weather!$A$2:$A$159,"&lt;="&amp;F12)</f>
        <v>572.3</v>
      </c>
      <c r="K12" s="29" t="n">
        <f aca="false">J12-Inputs_General!$C$5</f>
        <v>462.3</v>
      </c>
      <c r="L12" s="15" t="s">
        <v>344</v>
      </c>
      <c r="M12" s="13" t="str">
        <f aca="false">IF(L12="V","3rd fully expanded leaf from top","5th fully expanded leaf from top")</f>
        <v>3rd fully expanded leaf from top</v>
      </c>
      <c r="N12" s="30" t="n">
        <f aca="false">AVERAGEIFS(Weather!$B$2:$B$159,Weather!$A$2:$A$159,"&gt;="&amp;(F12-6),Weather!$A$2:$A$159,"&lt;="&amp;F12)</f>
        <v>24.1428571428571</v>
      </c>
      <c r="O12" s="30" t="n">
        <f aca="false">AVERAGEIFS(Weather!$C$2:$C$159,Weather!$A$2:$A$159,"&gt;="&amp;(F12-6),Weather!$A$2:$A$159,"&lt;="&amp;F12)</f>
        <v>8.97142857142857</v>
      </c>
      <c r="P12" s="30" t="n">
        <f aca="false">AVERAGEIFS(Weather!$E$2:$E$159,Weather!$A$2:$A$159,"&gt;="&amp;(F12-6),Weather!$A$2:$A$159,"&lt;="&amp;F12)</f>
        <v>94.1428571428571</v>
      </c>
      <c r="Q12" s="30" t="n">
        <f aca="false">AVERAGEIFS(Weather!$F$2:$F$159,Weather!$A$2:$A$159,"&gt;="&amp;(F12-6),Weather!$A$2:$A$159,"&lt;="&amp;F12)</f>
        <v>49</v>
      </c>
      <c r="R12" s="31" t="n">
        <f aca="false">MAX(0,(N12-Inputs_General!$C$7)/Inputs_General!$C$8)</f>
        <v>0</v>
      </c>
      <c r="S12" s="30" t="n">
        <f aca="false">O12+Inputs_General!$C$9*(N12-O12)</f>
        <v>21.1085714285714</v>
      </c>
      <c r="T12" s="30" t="n">
        <f aca="false">Q12+Inputs_General!$C$10*(P12-Q12)</f>
        <v>62.5428571428571</v>
      </c>
      <c r="U12" s="31" t="n">
        <f aca="false">0.6108*EXP(17.27*S12/(S12+237.3))*(1-T12/100)</f>
        <v>0.937791824040773</v>
      </c>
      <c r="V12" s="30" t="n">
        <f aca="false">O12+Inputs_General!$C$11*(N12-O12)</f>
        <v>22.6257142857143</v>
      </c>
      <c r="W12" s="30" t="n">
        <f aca="false">Q12+Inputs_General!$C$12*(P12-Q12)</f>
        <v>55.7714285714286</v>
      </c>
      <c r="X12" s="31" t="n">
        <f aca="false">0.6108*EXP(17.27*V12/(V12+237.3))*(1-W12/100)</f>
        <v>1.21472070203065</v>
      </c>
      <c r="Y12" s="30" t="n">
        <f aca="false">V12+Inputs_General!$C$14-Inputs_General!$C$15*X12</f>
        <v>21.3177449518561</v>
      </c>
      <c r="Z12" s="30" t="n">
        <f aca="false">V12+Inputs_General!$C$16</f>
        <v>26.6257142857143</v>
      </c>
      <c r="AA12" s="31" t="n">
        <f aca="false">IF(L12="V",Inputs_General!$C$17,IF(L12="F",Inputs_General!$C$18,Inputs_General!$C$19))+Inputs_General!$C$20*R12</f>
        <v>0.12</v>
      </c>
      <c r="AB12" s="31" t="n">
        <f aca="false">Inputs_Treatments!$C$4*Inputs_Treatments!$F$14*(1/(1+EXP(-(K12-Inputs_General!$C$27)/Inputs_General!$C$28)))*EXP(-((MAX(0,K12-Inputs_General!$C$29)/Inputs_General!$C$30)^2))</f>
        <v>2.6849133441391</v>
      </c>
      <c r="AC12" s="21" t="n">
        <f aca="false">Inputs_Treatments!$E$4</f>
        <v>1</v>
      </c>
      <c r="AD12" s="21" t="n">
        <f aca="false">Inputs_Treatments!$D$14</f>
        <v>0.85</v>
      </c>
      <c r="AE12" s="29" t="n">
        <f aca="false">COUNTIFS(Weather!$K$2:$K$159,1,Weather!$A$2:$A$159,"&gt;="&amp;(G12+36),Weather!$A$2:$A$159,"&lt;="&amp;F12)</f>
        <v>7</v>
      </c>
      <c r="AF12" s="30" t="n">
        <f aca="false">Inputs_Treatments!$C$19*Inputs_Treatments!$E$14*Inputs_Treatments!$D$4</f>
        <v>1.5</v>
      </c>
      <c r="AG12" s="13" t="str">
        <f aca="false">IF(AF12&lt;=0,"Healthy",IF(AF12&lt;=5,"Very low",IF(AF12&lt;=10,"Low",IF(AF12&lt;=25,"Moderate",IF(AF12&lt;=50,"High","Very high")))))</f>
        <v>Very low</v>
      </c>
      <c r="AH12" s="29" t="n">
        <f aca="false">MATCH(AG12,Severity_Classes!$A$4:$A$9,0)</f>
        <v>2</v>
      </c>
      <c r="AI12" s="13" t="str">
        <f aca="false">"Reference: healthy (uninoculated) control plot"</f>
        <v>Reference: healthy (uninoculated) control plot</v>
      </c>
      <c r="AJ12" s="13" t="str">
        <f aca="false">IF(AND(I12&lt;8,2&gt;=4),"Unlikely (only via pre-inoculation natural infection)",IF(ABS(2-AH12)&lt;=1,"Likely",IF(ABS(2-AH12)=2,"Possible","Unlikely")))</f>
        <v>Likely</v>
      </c>
      <c r="AK12" s="13" t="str">
        <f aca="false">IF(AND(I12&lt;8,3&gt;=4),"Unlikely (only via pre-inoculation natural infection)",IF(ABS(3-AH12)&lt;=1,"Likely",IF(ABS(3-AH12)=2,"Possible","Unlikely")))</f>
        <v>Likely</v>
      </c>
      <c r="AL12" s="13" t="str">
        <f aca="false">IF(AND(I12&lt;8,4&gt;=4),"Unlikely (only via pre-inoculation natural infection)",IF(ABS(4-AH12)&lt;=1,"Likely",IF(ABS(4-AH12)=2,"Possible","Unlikely")))</f>
        <v>Unlikely (only via pre-inoculation natural infection)</v>
      </c>
      <c r="AM12" s="13" t="str">
        <f aca="false">IF(AND(I12&lt;8,5&gt;=4),"Unlikely (only via pre-inoculation natural infection)",IF(ABS(5-AH12)&lt;=1,"Likely",IF(ABS(5-AH12)=2,"Possible","Unlikely")))</f>
        <v>Unlikely (only via pre-inoculation natural infection)</v>
      </c>
      <c r="AN12" s="13" t="str">
        <f aca="false">IF(AND(I12&lt;8,6&gt;=4),"Unlikely (only via pre-inoculation natural infection)",IF(ABS(6-AH12)&lt;=1,"Likely",IF(ABS(6-AH12)=2,"Possible","Unlikely")))</f>
        <v>Unlikely (only via pre-inoculation natural infection)</v>
      </c>
    </row>
    <row r="13" customFormat="false" ht="15" hidden="false" customHeight="false" outlineLevel="0" collapsed="false">
      <c r="A13" s="13" t="str">
        <f aca="false">B13&amp;"|"&amp;E13</f>
        <v>D1V3|24/02/2026</v>
      </c>
      <c r="B13" s="27" t="s">
        <v>345</v>
      </c>
      <c r="C13" s="13" t="s">
        <v>127</v>
      </c>
      <c r="D13" s="13" t="s">
        <v>150</v>
      </c>
      <c r="E13" s="13" t="s">
        <v>160</v>
      </c>
      <c r="F13" s="28" t="n">
        <f aca="false">Inputs_Treatments!$B$20</f>
        <v>46077</v>
      </c>
      <c r="G13" s="28" t="n">
        <f aca="false">Inputs_Treatments!$B$4</f>
        <v>46000</v>
      </c>
      <c r="H13" s="29" t="n">
        <f aca="false">F13-G13</f>
        <v>77</v>
      </c>
      <c r="I13" s="29" t="n">
        <f aca="false">F13-Inputs_General!$C$6</f>
        <v>19</v>
      </c>
      <c r="J13" s="29" t="n">
        <f aca="false">SUMIFS(Weather!$H$2:$H$159,Weather!$A$2:$A$159,"&gt;="&amp;G13,Weather!$A$2:$A$159,"&lt;="&amp;F13)</f>
        <v>747.2</v>
      </c>
      <c r="K13" s="29" t="n">
        <f aca="false">J13-Inputs_General!$C$5</f>
        <v>637.2</v>
      </c>
      <c r="L13" s="15" t="s">
        <v>341</v>
      </c>
      <c r="M13" s="13" t="str">
        <f aca="false">IF(L13="V","3rd fully expanded leaf from top","5th fully expanded leaf from top")</f>
        <v>5th fully expanded leaf from top</v>
      </c>
      <c r="N13" s="30" t="n">
        <f aca="false">AVERAGEIFS(Weather!$B$2:$B$159,Weather!$A$2:$A$159,"&gt;="&amp;(F13-6),Weather!$A$2:$A$159,"&lt;="&amp;F13)</f>
        <v>27.1857142857143</v>
      </c>
      <c r="O13" s="30" t="n">
        <f aca="false">AVERAGEIFS(Weather!$C$2:$C$159,Weather!$A$2:$A$159,"&gt;="&amp;(F13-6),Weather!$A$2:$A$159,"&lt;="&amp;F13)</f>
        <v>11.1142857142857</v>
      </c>
      <c r="P13" s="30" t="n">
        <f aca="false">AVERAGEIFS(Weather!$E$2:$E$159,Weather!$A$2:$A$159,"&gt;="&amp;(F13-6),Weather!$A$2:$A$159,"&lt;="&amp;F13)</f>
        <v>94.2857142857143</v>
      </c>
      <c r="Q13" s="30" t="n">
        <f aca="false">AVERAGEIFS(Weather!$F$2:$F$159,Weather!$A$2:$A$159,"&gt;="&amp;(F13-6),Weather!$A$2:$A$159,"&lt;="&amp;F13)</f>
        <v>45.1428571428571</v>
      </c>
      <c r="R13" s="31" t="n">
        <f aca="false">MAX(0,(N13-Inputs_General!$C$7)/Inputs_General!$C$8)</f>
        <v>0.0232142857142859</v>
      </c>
      <c r="S13" s="30" t="n">
        <f aca="false">O13+Inputs_General!$C$9*(N13-O13)</f>
        <v>23.9714285714286</v>
      </c>
      <c r="T13" s="30" t="n">
        <f aca="false">Q13+Inputs_General!$C$10*(P13-Q13)</f>
        <v>59.8857142857143</v>
      </c>
      <c r="U13" s="31" t="n">
        <f aca="false">0.6108*EXP(17.27*S13/(S13+237.3))*(1-T13/100)</f>
        <v>1.19492600027053</v>
      </c>
      <c r="V13" s="30" t="n">
        <f aca="false">O13+Inputs_General!$C$11*(N13-O13)</f>
        <v>25.5785714285714</v>
      </c>
      <c r="W13" s="30" t="n">
        <f aca="false">Q13+Inputs_General!$C$12*(P13-Q13)</f>
        <v>52.5142857142857</v>
      </c>
      <c r="X13" s="31" t="n">
        <f aca="false">0.6108*EXP(17.27*V13/(V13+237.3))*(1-W13/100)</f>
        <v>1.55686779409338</v>
      </c>
      <c r="Y13" s="30" t="n">
        <f aca="false">V13+Inputs_General!$C$14-Inputs_General!$C$15*X13</f>
        <v>23.620522619794</v>
      </c>
      <c r="Z13" s="30" t="n">
        <f aca="false">V13+Inputs_General!$C$16</f>
        <v>29.5785714285714</v>
      </c>
      <c r="AA13" s="31" t="n">
        <f aca="false">IF(L13="V",Inputs_General!$C$17,IF(L13="F",Inputs_General!$C$18,Inputs_General!$C$19))+Inputs_General!$C$20*R13</f>
        <v>0.201160714285714</v>
      </c>
      <c r="AB13" s="31" t="n">
        <f aca="false">Inputs_Treatments!$C$4*Inputs_Treatments!$F$14*(1/(1+EXP(-(K13-Inputs_General!$C$27)/Inputs_General!$C$28)))*EXP(-((MAX(0,K13-Inputs_General!$C$29)/Inputs_General!$C$30)^2))</f>
        <v>3.24945780185873</v>
      </c>
      <c r="AC13" s="21" t="n">
        <f aca="false">Inputs_Treatments!$F$4</f>
        <v>1</v>
      </c>
      <c r="AD13" s="21" t="n">
        <f aca="false">Inputs_Treatments!$D$14</f>
        <v>0.85</v>
      </c>
      <c r="AE13" s="29" t="n">
        <f aca="false">COUNTIFS(Weather!$K$2:$K$159,1,Weather!$A$2:$A$159,"&gt;="&amp;(G13+36),Weather!$A$2:$A$159,"&lt;="&amp;F13)</f>
        <v>7</v>
      </c>
      <c r="AF13" s="30" t="n">
        <f aca="false">Inputs_Treatments!$C$20*Inputs_Treatments!$E$14*Inputs_Treatments!$D$4</f>
        <v>9</v>
      </c>
      <c r="AG13" s="13" t="str">
        <f aca="false">IF(AF13&lt;=0,"Healthy",IF(AF13&lt;=5,"Very low",IF(AF13&lt;=10,"Low",IF(AF13&lt;=25,"Moderate",IF(AF13&lt;=50,"High","Very high")))))</f>
        <v>Low</v>
      </c>
      <c r="AH13" s="29" t="n">
        <f aca="false">MATCH(AG13,Severity_Classes!$A$4:$A$9,0)</f>
        <v>3</v>
      </c>
      <c r="AI13" s="13" t="str">
        <f aca="false">"Reference: healthy (uninoculated) control plot"</f>
        <v>Reference: healthy (uninoculated) control plot</v>
      </c>
      <c r="AJ13" s="13" t="str">
        <f aca="false">IF(AND(I13&lt;8,2&gt;=4),"Unlikely (only via pre-inoculation natural infection)",IF(ABS(2-AH13)&lt;=1,"Likely",IF(ABS(2-AH13)=2,"Possible","Unlikely")))</f>
        <v>Likely</v>
      </c>
      <c r="AK13" s="13" t="str">
        <f aca="false">IF(AND(I13&lt;8,3&gt;=4),"Unlikely (only via pre-inoculation natural infection)",IF(ABS(3-AH13)&lt;=1,"Likely",IF(ABS(3-AH13)=2,"Possible","Unlikely")))</f>
        <v>Likely</v>
      </c>
      <c r="AL13" s="13" t="str">
        <f aca="false">IF(AND(I13&lt;8,4&gt;=4),"Unlikely (only via pre-inoculation natural infection)",IF(ABS(4-AH13)&lt;=1,"Likely",IF(ABS(4-AH13)=2,"Possible","Unlikely")))</f>
        <v>Likely</v>
      </c>
      <c r="AM13" s="13" t="str">
        <f aca="false">IF(AND(I13&lt;8,5&gt;=4),"Unlikely (only via pre-inoculation natural infection)",IF(ABS(5-AH13)&lt;=1,"Likely",IF(ABS(5-AH13)=2,"Possible","Unlikely")))</f>
        <v>Possible</v>
      </c>
      <c r="AN13" s="13" t="str">
        <f aca="false">IF(AND(I13&lt;8,6&gt;=4),"Unlikely (only via pre-inoculation natural infection)",IF(ABS(6-AH13)&lt;=1,"Likely",IF(ABS(6-AH13)=2,"Possible","Unlikely")))</f>
        <v>Unlikely</v>
      </c>
    </row>
    <row r="14" customFormat="false" ht="15" hidden="false" customHeight="false" outlineLevel="0" collapsed="false">
      <c r="A14" s="13" t="str">
        <f aca="false">B14&amp;"|"&amp;E14</f>
        <v>D1V3|03/03/2026</v>
      </c>
      <c r="B14" s="27" t="s">
        <v>345</v>
      </c>
      <c r="C14" s="13" t="s">
        <v>127</v>
      </c>
      <c r="D14" s="13" t="s">
        <v>150</v>
      </c>
      <c r="E14" s="13" t="s">
        <v>162</v>
      </c>
      <c r="F14" s="28" t="n">
        <f aca="false">Inputs_Treatments!$B$21</f>
        <v>46084</v>
      </c>
      <c r="G14" s="28" t="n">
        <f aca="false">Inputs_Treatments!$B$4</f>
        <v>46000</v>
      </c>
      <c r="H14" s="29" t="n">
        <f aca="false">F14-G14</f>
        <v>84</v>
      </c>
      <c r="I14" s="29" t="n">
        <f aca="false">F14-Inputs_General!$C$6</f>
        <v>26</v>
      </c>
      <c r="J14" s="29" t="n">
        <f aca="false">SUMIFS(Weather!$H$2:$H$159,Weather!$A$2:$A$159,"&gt;="&amp;G14,Weather!$A$2:$A$159,"&lt;="&amp;F14)</f>
        <v>860.7</v>
      </c>
      <c r="K14" s="29" t="n">
        <f aca="false">J14-Inputs_General!$C$5</f>
        <v>750.7</v>
      </c>
      <c r="L14" s="15" t="s">
        <v>341</v>
      </c>
      <c r="M14" s="13" t="str">
        <f aca="false">IF(L14="V","3rd fully expanded leaf from top","5th fully expanded leaf from top")</f>
        <v>5th fully expanded leaf from top</v>
      </c>
      <c r="N14" s="30" t="n">
        <f aca="false">AVERAGEIFS(Weather!$B$2:$B$159,Weather!$A$2:$A$159,"&gt;="&amp;(F14-6),Weather!$A$2:$A$159,"&lt;="&amp;F14)</f>
        <v>30.4714285714286</v>
      </c>
      <c r="O14" s="30" t="n">
        <f aca="false">AVERAGEIFS(Weather!$C$2:$C$159,Weather!$A$2:$A$159,"&gt;="&amp;(F14-6),Weather!$A$2:$A$159,"&lt;="&amp;F14)</f>
        <v>11.9571428571429</v>
      </c>
      <c r="P14" s="30" t="n">
        <f aca="false">AVERAGEIFS(Weather!$E$2:$E$159,Weather!$A$2:$A$159,"&gt;="&amp;(F14-6),Weather!$A$2:$A$159,"&lt;="&amp;F14)</f>
        <v>90.1428571428571</v>
      </c>
      <c r="Q14" s="30" t="n">
        <f aca="false">AVERAGEIFS(Weather!$F$2:$F$159,Weather!$A$2:$A$159,"&gt;="&amp;(F14-6),Weather!$A$2:$A$159,"&lt;="&amp;F14)</f>
        <v>33.5714285714286</v>
      </c>
      <c r="R14" s="31" t="n">
        <f aca="false">MAX(0,(N14-Inputs_General!$C$7)/Inputs_General!$C$8)</f>
        <v>0.433928571428571</v>
      </c>
      <c r="S14" s="30" t="n">
        <f aca="false">O14+Inputs_General!$C$9*(N14-O14)</f>
        <v>26.7685714285714</v>
      </c>
      <c r="T14" s="30" t="n">
        <f aca="false">Q14+Inputs_General!$C$10*(P14-Q14)</f>
        <v>50.5428571428571</v>
      </c>
      <c r="U14" s="31" t="n">
        <f aca="false">0.6108*EXP(17.27*S14/(S14+237.3))*(1-T14/100)</f>
        <v>1.73951545534029</v>
      </c>
      <c r="V14" s="30" t="n">
        <f aca="false">O14+Inputs_General!$C$11*(N14-O14)</f>
        <v>28.62</v>
      </c>
      <c r="W14" s="30" t="n">
        <f aca="false">Q14+Inputs_General!$C$12*(P14-Q14)</f>
        <v>42.0571428571429</v>
      </c>
      <c r="X14" s="31" t="n">
        <f aca="false">0.6108*EXP(17.27*V14/(V14+237.3))*(1-W14/100)</f>
        <v>2.27051923122539</v>
      </c>
      <c r="Y14" s="30" t="n">
        <f aca="false">V14+Inputs_General!$C$14-Inputs_General!$C$15*X14</f>
        <v>25.3060134606718</v>
      </c>
      <c r="Z14" s="30" t="n">
        <f aca="false">V14+Inputs_General!$C$16</f>
        <v>32.62</v>
      </c>
      <c r="AA14" s="31" t="n">
        <f aca="false">IF(L14="V",Inputs_General!$C$17,IF(L14="F",Inputs_General!$C$18,Inputs_General!$C$19))+Inputs_General!$C$20*R14</f>
        <v>0.221696428571429</v>
      </c>
      <c r="AB14" s="31" t="n">
        <f aca="false">Inputs_Treatments!$C$4*Inputs_Treatments!$F$14*(1/(1+EXP(-(K14-Inputs_General!$C$27)/Inputs_General!$C$28)))*EXP(-((MAX(0,K14-Inputs_General!$C$29)/Inputs_General!$C$30)^2))</f>
        <v>3.35011354523348</v>
      </c>
      <c r="AC14" s="21" t="n">
        <f aca="false">Inputs_Treatments!$G$4</f>
        <v>1</v>
      </c>
      <c r="AD14" s="21" t="n">
        <f aca="false">Inputs_Treatments!$D$14</f>
        <v>0.85</v>
      </c>
      <c r="AE14" s="29" t="n">
        <f aca="false">COUNTIFS(Weather!$K$2:$K$159,1,Weather!$A$2:$A$159,"&gt;="&amp;(G14+36),Weather!$A$2:$A$159,"&lt;="&amp;F14)</f>
        <v>7</v>
      </c>
      <c r="AF14" s="30" t="n">
        <f aca="false">Inputs_Treatments!$C$21*Inputs_Treatments!$E$14*Inputs_Treatments!$D$4</f>
        <v>14</v>
      </c>
      <c r="AG14" s="13" t="str">
        <f aca="false">IF(AF14&lt;=0,"Healthy",IF(AF14&lt;=5,"Very low",IF(AF14&lt;=10,"Low",IF(AF14&lt;=25,"Moderate",IF(AF14&lt;=50,"High","Very high")))))</f>
        <v>Moderate</v>
      </c>
      <c r="AH14" s="29" t="n">
        <f aca="false">MATCH(AG14,Severity_Classes!$A$4:$A$9,0)</f>
        <v>4</v>
      </c>
      <c r="AI14" s="13" t="str">
        <f aca="false">"Reference: healthy (uninoculated) control plot"</f>
        <v>Reference: healthy (uninoculated) control plot</v>
      </c>
      <c r="AJ14" s="13" t="str">
        <f aca="false">IF(AND(I14&lt;8,2&gt;=4),"Unlikely (only via pre-inoculation natural infection)",IF(ABS(2-AH14)&lt;=1,"Likely",IF(ABS(2-AH14)=2,"Possible","Unlikely")))</f>
        <v>Possible</v>
      </c>
      <c r="AK14" s="13" t="str">
        <f aca="false">IF(AND(I14&lt;8,3&gt;=4),"Unlikely (only via pre-inoculation natural infection)",IF(ABS(3-AH14)&lt;=1,"Likely",IF(ABS(3-AH14)=2,"Possible","Unlikely")))</f>
        <v>Likely</v>
      </c>
      <c r="AL14" s="13" t="str">
        <f aca="false">IF(AND(I14&lt;8,4&gt;=4),"Unlikely (only via pre-inoculation natural infection)",IF(ABS(4-AH14)&lt;=1,"Likely",IF(ABS(4-AH14)=2,"Possible","Unlikely")))</f>
        <v>Likely</v>
      </c>
      <c r="AM14" s="13" t="str">
        <f aca="false">IF(AND(I14&lt;8,5&gt;=4),"Unlikely (only via pre-inoculation natural infection)",IF(ABS(5-AH14)&lt;=1,"Likely",IF(ABS(5-AH14)=2,"Possible","Unlikely")))</f>
        <v>Likely</v>
      </c>
      <c r="AN14" s="13" t="str">
        <f aca="false">IF(AND(I14&lt;8,6&gt;=4),"Unlikely (only via pre-inoculation natural infection)",IF(ABS(6-AH14)&lt;=1,"Likely",IF(ABS(6-AH14)=2,"Possible","Unlikely")))</f>
        <v>Possible</v>
      </c>
    </row>
    <row r="15" customFormat="false" ht="15" hidden="false" customHeight="false" outlineLevel="0" collapsed="false">
      <c r="A15" s="13" t="str">
        <f aca="false">B15&amp;"|"&amp;E15</f>
        <v>D1V3|13/03/2026</v>
      </c>
      <c r="B15" s="27" t="s">
        <v>345</v>
      </c>
      <c r="C15" s="13" t="s">
        <v>127</v>
      </c>
      <c r="D15" s="13" t="s">
        <v>150</v>
      </c>
      <c r="E15" s="13" t="s">
        <v>164</v>
      </c>
      <c r="F15" s="28" t="n">
        <f aca="false">Inputs_Treatments!$B$22</f>
        <v>46094</v>
      </c>
      <c r="G15" s="28" t="n">
        <f aca="false">Inputs_Treatments!$B$4</f>
        <v>46000</v>
      </c>
      <c r="H15" s="29" t="n">
        <f aca="false">F15-G15</f>
        <v>94</v>
      </c>
      <c r="I15" s="29" t="n">
        <f aca="false">F15-Inputs_General!$C$6</f>
        <v>36</v>
      </c>
      <c r="J15" s="29" t="n">
        <f aca="false">SUMIFS(Weather!$H$2:$H$159,Weather!$A$2:$A$159,"&gt;="&amp;G15,Weather!$A$2:$A$159,"&lt;="&amp;F15)</f>
        <v>1058.7</v>
      </c>
      <c r="K15" s="29" t="n">
        <f aca="false">J15-Inputs_General!$C$5</f>
        <v>948.7</v>
      </c>
      <c r="L15" s="15" t="s">
        <v>342</v>
      </c>
      <c r="M15" s="13" t="str">
        <f aca="false">IF(L15="V","3rd fully expanded leaf from top","5th fully expanded leaf from top")</f>
        <v>5th fully expanded leaf from top</v>
      </c>
      <c r="N15" s="30" t="n">
        <f aca="false">AVERAGEIFS(Weather!$B$2:$B$159,Weather!$A$2:$A$159,"&gt;="&amp;(F15-6),Weather!$A$2:$A$159,"&lt;="&amp;F15)</f>
        <v>34.6285714285714</v>
      </c>
      <c r="O15" s="30" t="n">
        <f aca="false">AVERAGEIFS(Weather!$C$2:$C$159,Weather!$A$2:$A$159,"&gt;="&amp;(F15-6),Weather!$A$2:$A$159,"&lt;="&amp;F15)</f>
        <v>16.2142857142857</v>
      </c>
      <c r="P15" s="30" t="n">
        <f aca="false">AVERAGEIFS(Weather!$E$2:$E$159,Weather!$A$2:$A$159,"&gt;="&amp;(F15-6),Weather!$A$2:$A$159,"&lt;="&amp;F15)</f>
        <v>90.7142857142857</v>
      </c>
      <c r="Q15" s="30" t="n">
        <f aca="false">AVERAGEIFS(Weather!$F$2:$F$159,Weather!$A$2:$A$159,"&gt;="&amp;(F15-6),Weather!$A$2:$A$159,"&lt;="&amp;F15)</f>
        <v>34.1428571428571</v>
      </c>
      <c r="R15" s="31" t="n">
        <f aca="false">MAX(0,(N15-Inputs_General!$C$7)/Inputs_General!$C$8)</f>
        <v>0.953571428571428</v>
      </c>
      <c r="S15" s="30" t="n">
        <f aca="false">O15+Inputs_General!$C$9*(N15-O15)</f>
        <v>30.9457142857143</v>
      </c>
      <c r="T15" s="30" t="n">
        <f aca="false">Q15+Inputs_General!$C$10*(P15-Q15)</f>
        <v>51.1142857142857</v>
      </c>
      <c r="U15" s="31" t="n">
        <f aca="false">0.6108*EXP(17.27*S15/(S15+237.3))*(1-T15/100)</f>
        <v>2.18945736698217</v>
      </c>
      <c r="V15" s="30" t="n">
        <f aca="false">O15+Inputs_General!$C$11*(N15-O15)</f>
        <v>32.7871428571429</v>
      </c>
      <c r="W15" s="30" t="n">
        <f aca="false">Q15+Inputs_General!$C$12*(P15-Q15)</f>
        <v>42.6285714285714</v>
      </c>
      <c r="X15" s="31" t="n">
        <f aca="false">0.6108*EXP(17.27*V15/(V15+237.3))*(1-W15/100)</f>
        <v>2.85158987109622</v>
      </c>
      <c r="Y15" s="30" t="n">
        <f aca="false">V15+Inputs_General!$C$14-Inputs_General!$C$15*X15</f>
        <v>28.36912210206</v>
      </c>
      <c r="Z15" s="30" t="n">
        <f aca="false">V15+Inputs_General!$C$16</f>
        <v>36.7871428571429</v>
      </c>
      <c r="AA15" s="31" t="n">
        <f aca="false">IF(L15="V",Inputs_General!$C$17,IF(L15="F",Inputs_General!$C$18,Inputs_General!$C$19))+Inputs_General!$C$20*R15</f>
        <v>0.347678571428571</v>
      </c>
      <c r="AB15" s="31" t="n">
        <f aca="false">Inputs_Treatments!$C$4*Inputs_Treatments!$F$14*(1/(1+EXP(-(K15-Inputs_General!$C$27)/Inputs_General!$C$28)))*EXP(-((MAX(0,K15-Inputs_General!$C$29)/Inputs_General!$C$30)^2))</f>
        <v>2.6539155416324</v>
      </c>
      <c r="AC15" s="21" t="n">
        <f aca="false">Inputs_Treatments!$H$4</f>
        <v>1</v>
      </c>
      <c r="AD15" s="21" t="n">
        <f aca="false">Inputs_Treatments!$D$14</f>
        <v>0.85</v>
      </c>
      <c r="AE15" s="29" t="n">
        <f aca="false">COUNTIFS(Weather!$K$2:$K$159,1,Weather!$A$2:$A$159,"&gt;="&amp;(G15+36),Weather!$A$2:$A$159,"&lt;="&amp;F15)</f>
        <v>7</v>
      </c>
      <c r="AF15" s="30" t="n">
        <f aca="false">Inputs_Treatments!$C$22*Inputs_Treatments!$E$14*Inputs_Treatments!$D$4</f>
        <v>17.5</v>
      </c>
      <c r="AG15" s="13" t="str">
        <f aca="false">IF(AF15&lt;=0,"Healthy",IF(AF15&lt;=5,"Very low",IF(AF15&lt;=10,"Low",IF(AF15&lt;=25,"Moderate",IF(AF15&lt;=50,"High","Very high")))))</f>
        <v>Moderate</v>
      </c>
      <c r="AH15" s="29" t="n">
        <f aca="false">MATCH(AG15,Severity_Classes!$A$4:$A$9,0)</f>
        <v>4</v>
      </c>
      <c r="AI15" s="13" t="str">
        <f aca="false">"Reference: healthy (uninoculated) control plot"</f>
        <v>Reference: healthy (uninoculated) control plot</v>
      </c>
      <c r="AJ15" s="13" t="str">
        <f aca="false">IF(AND(I15&lt;8,2&gt;=4),"Unlikely (only via pre-inoculation natural infection)",IF(ABS(2-AH15)&lt;=1,"Likely",IF(ABS(2-AH15)=2,"Possible","Unlikely")))</f>
        <v>Possible</v>
      </c>
      <c r="AK15" s="13" t="str">
        <f aca="false">IF(AND(I15&lt;8,3&gt;=4),"Unlikely (only via pre-inoculation natural infection)",IF(ABS(3-AH15)&lt;=1,"Likely",IF(ABS(3-AH15)=2,"Possible","Unlikely")))</f>
        <v>Likely</v>
      </c>
      <c r="AL15" s="13" t="str">
        <f aca="false">IF(AND(I15&lt;8,4&gt;=4),"Unlikely (only via pre-inoculation natural infection)",IF(ABS(4-AH15)&lt;=1,"Likely",IF(ABS(4-AH15)=2,"Possible","Unlikely")))</f>
        <v>Likely</v>
      </c>
      <c r="AM15" s="13" t="str">
        <f aca="false">IF(AND(I15&lt;8,5&gt;=4),"Unlikely (only via pre-inoculation natural infection)",IF(ABS(5-AH15)&lt;=1,"Likely",IF(ABS(5-AH15)=2,"Possible","Unlikely")))</f>
        <v>Likely</v>
      </c>
      <c r="AN15" s="13" t="str">
        <f aca="false">IF(AND(I15&lt;8,6&gt;=4),"Unlikely (only via pre-inoculation natural infection)",IF(ABS(6-AH15)&lt;=1,"Likely",IF(ABS(6-AH15)=2,"Possible","Unlikely")))</f>
        <v>Possible</v>
      </c>
    </row>
    <row r="16" customFormat="false" ht="15" hidden="false" customHeight="false" outlineLevel="0" collapsed="false">
      <c r="A16" s="13" t="str">
        <f aca="false">B16&amp;"|"&amp;E16</f>
        <v>D2V1|11/02/2026</v>
      </c>
      <c r="B16" s="27" t="s">
        <v>346</v>
      </c>
      <c r="C16" s="13" t="s">
        <v>129</v>
      </c>
      <c r="D16" s="13" t="s">
        <v>142</v>
      </c>
      <c r="E16" s="13" t="s">
        <v>158</v>
      </c>
      <c r="F16" s="28" t="n">
        <f aca="false">Inputs_Treatments!$B$19</f>
        <v>46064</v>
      </c>
      <c r="G16" s="28" t="n">
        <f aca="false">Inputs_Treatments!$B$5</f>
        <v>46009</v>
      </c>
      <c r="H16" s="29" t="n">
        <f aca="false">F16-G16</f>
        <v>55</v>
      </c>
      <c r="I16" s="29" t="n">
        <f aca="false">F16-Inputs_General!$C$6</f>
        <v>6</v>
      </c>
      <c r="J16" s="29" t="n">
        <f aca="false">SUMIFS(Weather!$H$2:$H$159,Weather!$A$2:$A$159,"&gt;="&amp;G16,Weather!$A$2:$A$159,"&lt;="&amp;F16)</f>
        <v>475.7</v>
      </c>
      <c r="K16" s="29" t="n">
        <f aca="false">J16-Inputs_General!$C$5</f>
        <v>365.7</v>
      </c>
      <c r="L16" s="15" t="s">
        <v>344</v>
      </c>
      <c r="M16" s="13" t="str">
        <f aca="false">IF(L16="V","3rd fully expanded leaf from top","5th fully expanded leaf from top")</f>
        <v>3rd fully expanded leaf from top</v>
      </c>
      <c r="N16" s="30" t="n">
        <f aca="false">AVERAGEIFS(Weather!$B$2:$B$159,Weather!$A$2:$A$159,"&gt;="&amp;(F16-6),Weather!$A$2:$A$159,"&lt;="&amp;F16)</f>
        <v>24.1428571428571</v>
      </c>
      <c r="O16" s="30" t="n">
        <f aca="false">AVERAGEIFS(Weather!$C$2:$C$159,Weather!$A$2:$A$159,"&gt;="&amp;(F16-6),Weather!$A$2:$A$159,"&lt;="&amp;F16)</f>
        <v>8.97142857142857</v>
      </c>
      <c r="P16" s="30" t="n">
        <f aca="false">AVERAGEIFS(Weather!$E$2:$E$159,Weather!$A$2:$A$159,"&gt;="&amp;(F16-6),Weather!$A$2:$A$159,"&lt;="&amp;F16)</f>
        <v>94.1428571428571</v>
      </c>
      <c r="Q16" s="30" t="n">
        <f aca="false">AVERAGEIFS(Weather!$F$2:$F$159,Weather!$A$2:$A$159,"&gt;="&amp;(F16-6),Weather!$A$2:$A$159,"&lt;="&amp;F16)</f>
        <v>49</v>
      </c>
      <c r="R16" s="31" t="n">
        <f aca="false">MAX(0,(N16-Inputs_General!$C$7)/Inputs_General!$C$8)</f>
        <v>0</v>
      </c>
      <c r="S16" s="30" t="n">
        <f aca="false">O16+Inputs_General!$C$9*(N16-O16)</f>
        <v>21.1085714285714</v>
      </c>
      <c r="T16" s="30" t="n">
        <f aca="false">Q16+Inputs_General!$C$10*(P16-Q16)</f>
        <v>62.5428571428571</v>
      </c>
      <c r="U16" s="31" t="n">
        <f aca="false">0.6108*EXP(17.27*S16/(S16+237.3))*(1-T16/100)</f>
        <v>0.937791824040773</v>
      </c>
      <c r="V16" s="30" t="n">
        <f aca="false">O16+Inputs_General!$C$11*(N16-O16)</f>
        <v>22.6257142857143</v>
      </c>
      <c r="W16" s="30" t="n">
        <f aca="false">Q16+Inputs_General!$C$12*(P16-Q16)</f>
        <v>55.7714285714286</v>
      </c>
      <c r="X16" s="31" t="n">
        <f aca="false">0.6108*EXP(17.27*V16/(V16+237.3))*(1-W16/100)</f>
        <v>1.21472070203065</v>
      </c>
      <c r="Y16" s="30" t="n">
        <f aca="false">V16+Inputs_General!$C$14-Inputs_General!$C$15*X16</f>
        <v>21.3177449518561</v>
      </c>
      <c r="Z16" s="30" t="n">
        <f aca="false">V16+Inputs_General!$C$16</f>
        <v>26.6257142857143</v>
      </c>
      <c r="AA16" s="31" t="n">
        <f aca="false">IF(L16="V",Inputs_General!$C$17,IF(L16="F",Inputs_General!$C$18,Inputs_General!$C$19))+Inputs_General!$C$20*R16</f>
        <v>0.12</v>
      </c>
      <c r="AB16" s="31" t="n">
        <f aca="false">Inputs_Treatments!$C$5*Inputs_Treatments!$F$12*(1/(1+EXP(-(K16-Inputs_General!$C$27)/Inputs_General!$C$28)))*EXP(-((MAX(0,K16-Inputs_General!$C$29)/Inputs_General!$C$30)^2))</f>
        <v>1.78847463648905</v>
      </c>
      <c r="AC16" s="21" t="n">
        <f aca="false">Inputs_Treatments!$E$5</f>
        <v>1.05</v>
      </c>
      <c r="AD16" s="21" t="n">
        <f aca="false">Inputs_Treatments!$D$12</f>
        <v>1</v>
      </c>
      <c r="AE16" s="29" t="n">
        <f aca="false">COUNTIFS(Weather!$K$2:$K$159,1,Weather!$A$2:$A$159,"&gt;="&amp;(G16+36),Weather!$A$2:$A$159,"&lt;="&amp;F16)</f>
        <v>5</v>
      </c>
      <c r="AF16" s="30" t="n">
        <f aca="false">Inputs_Treatments!$C$19*Inputs_Treatments!$E$12*Inputs_Treatments!$D$5</f>
        <v>2.16</v>
      </c>
      <c r="AG16" s="13" t="str">
        <f aca="false">IF(AF16&lt;=0,"Healthy",IF(AF16&lt;=5,"Very low",IF(AF16&lt;=10,"Low",IF(AF16&lt;=25,"Moderate",IF(AF16&lt;=50,"High","Very high")))))</f>
        <v>Very low</v>
      </c>
      <c r="AH16" s="29" t="n">
        <f aca="false">MATCH(AG16,Severity_Classes!$A$4:$A$9,0)</f>
        <v>2</v>
      </c>
      <c r="AI16" s="13" t="str">
        <f aca="false">"Reference: healthy (uninoculated) control plot"</f>
        <v>Reference: healthy (uninoculated) control plot</v>
      </c>
      <c r="AJ16" s="13" t="str">
        <f aca="false">IF(AND(I16&lt;8,2&gt;=4),"Unlikely (only via pre-inoculation natural infection)",IF(ABS(2-AH16)&lt;=1,"Likely",IF(ABS(2-AH16)=2,"Possible","Unlikely")))</f>
        <v>Likely</v>
      </c>
      <c r="AK16" s="13" t="str">
        <f aca="false">IF(AND(I16&lt;8,3&gt;=4),"Unlikely (only via pre-inoculation natural infection)",IF(ABS(3-AH16)&lt;=1,"Likely",IF(ABS(3-AH16)=2,"Possible","Unlikely")))</f>
        <v>Likely</v>
      </c>
      <c r="AL16" s="13" t="str">
        <f aca="false">IF(AND(I16&lt;8,4&gt;=4),"Unlikely (only via pre-inoculation natural infection)",IF(ABS(4-AH16)&lt;=1,"Likely",IF(ABS(4-AH16)=2,"Possible","Unlikely")))</f>
        <v>Unlikely (only via pre-inoculation natural infection)</v>
      </c>
      <c r="AM16" s="13" t="str">
        <f aca="false">IF(AND(I16&lt;8,5&gt;=4),"Unlikely (only via pre-inoculation natural infection)",IF(ABS(5-AH16)&lt;=1,"Likely",IF(ABS(5-AH16)=2,"Possible","Unlikely")))</f>
        <v>Unlikely (only via pre-inoculation natural infection)</v>
      </c>
      <c r="AN16" s="13" t="str">
        <f aca="false">IF(AND(I16&lt;8,6&gt;=4),"Unlikely (only via pre-inoculation natural infection)",IF(ABS(6-AH16)&lt;=1,"Likely",IF(ABS(6-AH16)=2,"Possible","Unlikely")))</f>
        <v>Unlikely (only via pre-inoculation natural infection)</v>
      </c>
    </row>
    <row r="17" customFormat="false" ht="15" hidden="false" customHeight="false" outlineLevel="0" collapsed="false">
      <c r="A17" s="13" t="str">
        <f aca="false">B17&amp;"|"&amp;E17</f>
        <v>D2V1|24/02/2026</v>
      </c>
      <c r="B17" s="27" t="s">
        <v>346</v>
      </c>
      <c r="C17" s="13" t="s">
        <v>129</v>
      </c>
      <c r="D17" s="13" t="s">
        <v>142</v>
      </c>
      <c r="E17" s="13" t="s">
        <v>160</v>
      </c>
      <c r="F17" s="28" t="n">
        <f aca="false">Inputs_Treatments!$B$20</f>
        <v>46077</v>
      </c>
      <c r="G17" s="28" t="n">
        <f aca="false">Inputs_Treatments!$B$5</f>
        <v>46009</v>
      </c>
      <c r="H17" s="29" t="n">
        <f aca="false">F17-G17</f>
        <v>68</v>
      </c>
      <c r="I17" s="29" t="n">
        <f aca="false">F17-Inputs_General!$C$6</f>
        <v>19</v>
      </c>
      <c r="J17" s="29" t="n">
        <f aca="false">SUMIFS(Weather!$H$2:$H$159,Weather!$A$2:$A$159,"&gt;="&amp;G17,Weather!$A$2:$A$159,"&lt;="&amp;F17)</f>
        <v>650.6</v>
      </c>
      <c r="K17" s="29" t="n">
        <f aca="false">J17-Inputs_General!$C$5</f>
        <v>540.6</v>
      </c>
      <c r="L17" s="15" t="s">
        <v>341</v>
      </c>
      <c r="M17" s="13" t="str">
        <f aca="false">IF(L17="V","3rd fully expanded leaf from top","5th fully expanded leaf from top")</f>
        <v>5th fully expanded leaf from top</v>
      </c>
      <c r="N17" s="30" t="n">
        <f aca="false">AVERAGEIFS(Weather!$B$2:$B$159,Weather!$A$2:$A$159,"&gt;="&amp;(F17-6),Weather!$A$2:$A$159,"&lt;="&amp;F17)</f>
        <v>27.1857142857143</v>
      </c>
      <c r="O17" s="30" t="n">
        <f aca="false">AVERAGEIFS(Weather!$C$2:$C$159,Weather!$A$2:$A$159,"&gt;="&amp;(F17-6),Weather!$A$2:$A$159,"&lt;="&amp;F17)</f>
        <v>11.1142857142857</v>
      </c>
      <c r="P17" s="30" t="n">
        <f aca="false">AVERAGEIFS(Weather!$E$2:$E$159,Weather!$A$2:$A$159,"&gt;="&amp;(F17-6),Weather!$A$2:$A$159,"&lt;="&amp;F17)</f>
        <v>94.2857142857143</v>
      </c>
      <c r="Q17" s="30" t="n">
        <f aca="false">AVERAGEIFS(Weather!$F$2:$F$159,Weather!$A$2:$A$159,"&gt;="&amp;(F17-6),Weather!$A$2:$A$159,"&lt;="&amp;F17)</f>
        <v>45.1428571428571</v>
      </c>
      <c r="R17" s="31" t="n">
        <f aca="false">MAX(0,(N17-Inputs_General!$C$7)/Inputs_General!$C$8)</f>
        <v>0.0232142857142859</v>
      </c>
      <c r="S17" s="30" t="n">
        <f aca="false">O17+Inputs_General!$C$9*(N17-O17)</f>
        <v>23.9714285714286</v>
      </c>
      <c r="T17" s="30" t="n">
        <f aca="false">Q17+Inputs_General!$C$10*(P17-Q17)</f>
        <v>59.8857142857143</v>
      </c>
      <c r="U17" s="31" t="n">
        <f aca="false">0.6108*EXP(17.27*S17/(S17+237.3))*(1-T17/100)</f>
        <v>1.19492600027053</v>
      </c>
      <c r="V17" s="30" t="n">
        <f aca="false">O17+Inputs_General!$C$11*(N17-O17)</f>
        <v>25.5785714285714</v>
      </c>
      <c r="W17" s="30" t="n">
        <f aca="false">Q17+Inputs_General!$C$12*(P17-Q17)</f>
        <v>52.5142857142857</v>
      </c>
      <c r="X17" s="31" t="n">
        <f aca="false">0.6108*EXP(17.27*V17/(V17+237.3))*(1-W17/100)</f>
        <v>1.55686779409338</v>
      </c>
      <c r="Y17" s="30" t="n">
        <f aca="false">V17+Inputs_General!$C$14-Inputs_General!$C$15*X17</f>
        <v>23.620522619794</v>
      </c>
      <c r="Z17" s="30" t="n">
        <f aca="false">V17+Inputs_General!$C$16</f>
        <v>29.5785714285714</v>
      </c>
      <c r="AA17" s="31" t="n">
        <f aca="false">IF(L17="V",Inputs_General!$C$17,IF(L17="F",Inputs_General!$C$18,Inputs_General!$C$19))+Inputs_General!$C$20*R17</f>
        <v>0.201160714285714</v>
      </c>
      <c r="AB17" s="31" t="n">
        <f aca="false">Inputs_Treatments!$C$5*Inputs_Treatments!$F$12*(1/(1+EXP(-(K17-Inputs_General!$C$27)/Inputs_General!$C$28)))*EXP(-((MAX(0,K17-Inputs_General!$C$29)/Inputs_General!$C$30)^2))</f>
        <v>2.71011434138418</v>
      </c>
      <c r="AC17" s="21" t="n">
        <f aca="false">Inputs_Treatments!$F$5</f>
        <v>1</v>
      </c>
      <c r="AD17" s="21" t="n">
        <f aca="false">Inputs_Treatments!$D$12</f>
        <v>1</v>
      </c>
      <c r="AE17" s="29" t="n">
        <f aca="false">COUNTIFS(Weather!$K$2:$K$159,1,Weather!$A$2:$A$159,"&gt;="&amp;(G17+36),Weather!$A$2:$A$159,"&lt;="&amp;F17)</f>
        <v>5</v>
      </c>
      <c r="AF17" s="30" t="n">
        <f aca="false">Inputs_Treatments!$C$20*Inputs_Treatments!$E$12*Inputs_Treatments!$D$5</f>
        <v>12.96</v>
      </c>
      <c r="AG17" s="13" t="str">
        <f aca="false">IF(AF17&lt;=0,"Healthy",IF(AF17&lt;=5,"Very low",IF(AF17&lt;=10,"Low",IF(AF17&lt;=25,"Moderate",IF(AF17&lt;=50,"High","Very high")))))</f>
        <v>Moderate</v>
      </c>
      <c r="AH17" s="29" t="n">
        <f aca="false">MATCH(AG17,Severity_Classes!$A$4:$A$9,0)</f>
        <v>4</v>
      </c>
      <c r="AI17" s="13" t="str">
        <f aca="false">"Reference: healthy (uninoculated) control plot"</f>
        <v>Reference: healthy (uninoculated) control plot</v>
      </c>
      <c r="AJ17" s="13" t="str">
        <f aca="false">IF(AND(I17&lt;8,2&gt;=4),"Unlikely (only via pre-inoculation natural infection)",IF(ABS(2-AH17)&lt;=1,"Likely",IF(ABS(2-AH17)=2,"Possible","Unlikely")))</f>
        <v>Possible</v>
      </c>
      <c r="AK17" s="13" t="str">
        <f aca="false">IF(AND(I17&lt;8,3&gt;=4),"Unlikely (only via pre-inoculation natural infection)",IF(ABS(3-AH17)&lt;=1,"Likely",IF(ABS(3-AH17)=2,"Possible","Unlikely")))</f>
        <v>Likely</v>
      </c>
      <c r="AL17" s="13" t="str">
        <f aca="false">IF(AND(I17&lt;8,4&gt;=4),"Unlikely (only via pre-inoculation natural infection)",IF(ABS(4-AH17)&lt;=1,"Likely",IF(ABS(4-AH17)=2,"Possible","Unlikely")))</f>
        <v>Likely</v>
      </c>
      <c r="AM17" s="13" t="str">
        <f aca="false">IF(AND(I17&lt;8,5&gt;=4),"Unlikely (only via pre-inoculation natural infection)",IF(ABS(5-AH17)&lt;=1,"Likely",IF(ABS(5-AH17)=2,"Possible","Unlikely")))</f>
        <v>Likely</v>
      </c>
      <c r="AN17" s="13" t="str">
        <f aca="false">IF(AND(I17&lt;8,6&gt;=4),"Unlikely (only via pre-inoculation natural infection)",IF(ABS(6-AH17)&lt;=1,"Likely",IF(ABS(6-AH17)=2,"Possible","Unlikely")))</f>
        <v>Possible</v>
      </c>
    </row>
    <row r="18" customFormat="false" ht="15" hidden="false" customHeight="false" outlineLevel="0" collapsed="false">
      <c r="A18" s="13" t="str">
        <f aca="false">B18&amp;"|"&amp;E18</f>
        <v>D2V1|03/03/2026</v>
      </c>
      <c r="B18" s="27" t="s">
        <v>346</v>
      </c>
      <c r="C18" s="13" t="s">
        <v>129</v>
      </c>
      <c r="D18" s="13" t="s">
        <v>142</v>
      </c>
      <c r="E18" s="13" t="s">
        <v>162</v>
      </c>
      <c r="F18" s="28" t="n">
        <f aca="false">Inputs_Treatments!$B$21</f>
        <v>46084</v>
      </c>
      <c r="G18" s="28" t="n">
        <f aca="false">Inputs_Treatments!$B$5</f>
        <v>46009</v>
      </c>
      <c r="H18" s="29" t="n">
        <f aca="false">F18-G18</f>
        <v>75</v>
      </c>
      <c r="I18" s="29" t="n">
        <f aca="false">F18-Inputs_General!$C$6</f>
        <v>26</v>
      </c>
      <c r="J18" s="29" t="n">
        <f aca="false">SUMIFS(Weather!$H$2:$H$159,Weather!$A$2:$A$159,"&gt;="&amp;G18,Weather!$A$2:$A$159,"&lt;="&amp;F18)</f>
        <v>764.1</v>
      </c>
      <c r="K18" s="29" t="n">
        <f aca="false">J18-Inputs_General!$C$5</f>
        <v>654.1</v>
      </c>
      <c r="L18" s="15" t="s">
        <v>341</v>
      </c>
      <c r="M18" s="13" t="str">
        <f aca="false">IF(L18="V","3rd fully expanded leaf from top","5th fully expanded leaf from top")</f>
        <v>5th fully expanded leaf from top</v>
      </c>
      <c r="N18" s="30" t="n">
        <f aca="false">AVERAGEIFS(Weather!$B$2:$B$159,Weather!$A$2:$A$159,"&gt;="&amp;(F18-6),Weather!$A$2:$A$159,"&lt;="&amp;F18)</f>
        <v>30.4714285714286</v>
      </c>
      <c r="O18" s="30" t="n">
        <f aca="false">AVERAGEIFS(Weather!$C$2:$C$159,Weather!$A$2:$A$159,"&gt;="&amp;(F18-6),Weather!$A$2:$A$159,"&lt;="&amp;F18)</f>
        <v>11.9571428571429</v>
      </c>
      <c r="P18" s="30" t="n">
        <f aca="false">AVERAGEIFS(Weather!$E$2:$E$159,Weather!$A$2:$A$159,"&gt;="&amp;(F18-6),Weather!$A$2:$A$159,"&lt;="&amp;F18)</f>
        <v>90.1428571428571</v>
      </c>
      <c r="Q18" s="30" t="n">
        <f aca="false">AVERAGEIFS(Weather!$F$2:$F$159,Weather!$A$2:$A$159,"&gt;="&amp;(F18-6),Weather!$A$2:$A$159,"&lt;="&amp;F18)</f>
        <v>33.5714285714286</v>
      </c>
      <c r="R18" s="31" t="n">
        <f aca="false">MAX(0,(N18-Inputs_General!$C$7)/Inputs_General!$C$8)</f>
        <v>0.433928571428571</v>
      </c>
      <c r="S18" s="30" t="n">
        <f aca="false">O18+Inputs_General!$C$9*(N18-O18)</f>
        <v>26.7685714285714</v>
      </c>
      <c r="T18" s="30" t="n">
        <f aca="false">Q18+Inputs_General!$C$10*(P18-Q18)</f>
        <v>50.5428571428571</v>
      </c>
      <c r="U18" s="31" t="n">
        <f aca="false">0.6108*EXP(17.27*S18/(S18+237.3))*(1-T18/100)</f>
        <v>1.73951545534029</v>
      </c>
      <c r="V18" s="30" t="n">
        <f aca="false">O18+Inputs_General!$C$11*(N18-O18)</f>
        <v>28.62</v>
      </c>
      <c r="W18" s="30" t="n">
        <f aca="false">Q18+Inputs_General!$C$12*(P18-Q18)</f>
        <v>42.0571428571429</v>
      </c>
      <c r="X18" s="31" t="n">
        <f aca="false">0.6108*EXP(17.27*V18/(V18+237.3))*(1-W18/100)</f>
        <v>2.27051923122539</v>
      </c>
      <c r="Y18" s="30" t="n">
        <f aca="false">V18+Inputs_General!$C$14-Inputs_General!$C$15*X18</f>
        <v>25.3060134606718</v>
      </c>
      <c r="Z18" s="30" t="n">
        <f aca="false">V18+Inputs_General!$C$16</f>
        <v>32.62</v>
      </c>
      <c r="AA18" s="31" t="n">
        <f aca="false">IF(L18="V",Inputs_General!$C$17,IF(L18="F",Inputs_General!$C$18,Inputs_General!$C$19))+Inputs_General!$C$20*R18</f>
        <v>0.221696428571429</v>
      </c>
      <c r="AB18" s="31" t="n">
        <f aca="false">Inputs_Treatments!$C$5*Inputs_Treatments!$F$12*(1/(1+EXP(-(K18-Inputs_General!$C$27)/Inputs_General!$C$28)))*EXP(-((MAX(0,K18-Inputs_General!$C$29)/Inputs_General!$C$30)^2))</f>
        <v>2.92553901513759</v>
      </c>
      <c r="AC18" s="21" t="n">
        <f aca="false">Inputs_Treatments!$G$5</f>
        <v>1</v>
      </c>
      <c r="AD18" s="21" t="n">
        <f aca="false">Inputs_Treatments!$D$12</f>
        <v>1</v>
      </c>
      <c r="AE18" s="29" t="n">
        <f aca="false">COUNTIFS(Weather!$K$2:$K$159,1,Weather!$A$2:$A$159,"&gt;="&amp;(G18+36),Weather!$A$2:$A$159,"&lt;="&amp;F18)</f>
        <v>5</v>
      </c>
      <c r="AF18" s="30" t="n">
        <f aca="false">Inputs_Treatments!$C$21*Inputs_Treatments!$E$12*Inputs_Treatments!$D$5</f>
        <v>20.16</v>
      </c>
      <c r="AG18" s="13" t="str">
        <f aca="false">IF(AF18&lt;=0,"Healthy",IF(AF18&lt;=5,"Very low",IF(AF18&lt;=10,"Low",IF(AF18&lt;=25,"Moderate",IF(AF18&lt;=50,"High","Very high")))))</f>
        <v>Moderate</v>
      </c>
      <c r="AH18" s="29" t="n">
        <f aca="false">MATCH(AG18,Severity_Classes!$A$4:$A$9,0)</f>
        <v>4</v>
      </c>
      <c r="AI18" s="13" t="str">
        <f aca="false">"Reference: healthy (uninoculated) control plot"</f>
        <v>Reference: healthy (uninoculated) control plot</v>
      </c>
      <c r="AJ18" s="13" t="str">
        <f aca="false">IF(AND(I18&lt;8,2&gt;=4),"Unlikely (only via pre-inoculation natural infection)",IF(ABS(2-AH18)&lt;=1,"Likely",IF(ABS(2-AH18)=2,"Possible","Unlikely")))</f>
        <v>Possible</v>
      </c>
      <c r="AK18" s="13" t="str">
        <f aca="false">IF(AND(I18&lt;8,3&gt;=4),"Unlikely (only via pre-inoculation natural infection)",IF(ABS(3-AH18)&lt;=1,"Likely",IF(ABS(3-AH18)=2,"Possible","Unlikely")))</f>
        <v>Likely</v>
      </c>
      <c r="AL18" s="13" t="str">
        <f aca="false">IF(AND(I18&lt;8,4&gt;=4),"Unlikely (only via pre-inoculation natural infection)",IF(ABS(4-AH18)&lt;=1,"Likely",IF(ABS(4-AH18)=2,"Possible","Unlikely")))</f>
        <v>Likely</v>
      </c>
      <c r="AM18" s="13" t="str">
        <f aca="false">IF(AND(I18&lt;8,5&gt;=4),"Unlikely (only via pre-inoculation natural infection)",IF(ABS(5-AH18)&lt;=1,"Likely",IF(ABS(5-AH18)=2,"Possible","Unlikely")))</f>
        <v>Likely</v>
      </c>
      <c r="AN18" s="13" t="str">
        <f aca="false">IF(AND(I18&lt;8,6&gt;=4),"Unlikely (only via pre-inoculation natural infection)",IF(ABS(6-AH18)&lt;=1,"Likely",IF(ABS(6-AH18)=2,"Possible","Unlikely")))</f>
        <v>Possible</v>
      </c>
    </row>
    <row r="19" customFormat="false" ht="15" hidden="false" customHeight="false" outlineLevel="0" collapsed="false">
      <c r="A19" s="13" t="str">
        <f aca="false">B19&amp;"|"&amp;E19</f>
        <v>D2V1|13/03/2026</v>
      </c>
      <c r="B19" s="27" t="s">
        <v>346</v>
      </c>
      <c r="C19" s="13" t="s">
        <v>129</v>
      </c>
      <c r="D19" s="13" t="s">
        <v>142</v>
      </c>
      <c r="E19" s="13" t="s">
        <v>164</v>
      </c>
      <c r="F19" s="28" t="n">
        <f aca="false">Inputs_Treatments!$B$22</f>
        <v>46094</v>
      </c>
      <c r="G19" s="28" t="n">
        <f aca="false">Inputs_Treatments!$B$5</f>
        <v>46009</v>
      </c>
      <c r="H19" s="29" t="n">
        <f aca="false">F19-G19</f>
        <v>85</v>
      </c>
      <c r="I19" s="29" t="n">
        <f aca="false">F19-Inputs_General!$C$6</f>
        <v>36</v>
      </c>
      <c r="J19" s="29" t="n">
        <f aca="false">SUMIFS(Weather!$H$2:$H$159,Weather!$A$2:$A$159,"&gt;="&amp;G19,Weather!$A$2:$A$159,"&lt;="&amp;F19)</f>
        <v>962.1</v>
      </c>
      <c r="K19" s="29" t="n">
        <f aca="false">J19-Inputs_General!$C$5</f>
        <v>852.1</v>
      </c>
      <c r="L19" s="15" t="s">
        <v>342</v>
      </c>
      <c r="M19" s="13" t="str">
        <f aca="false">IF(L19="V","3rd fully expanded leaf from top","5th fully expanded leaf from top")</f>
        <v>5th fully expanded leaf from top</v>
      </c>
      <c r="N19" s="30" t="n">
        <f aca="false">AVERAGEIFS(Weather!$B$2:$B$159,Weather!$A$2:$A$159,"&gt;="&amp;(F19-6),Weather!$A$2:$A$159,"&lt;="&amp;F19)</f>
        <v>34.6285714285714</v>
      </c>
      <c r="O19" s="30" t="n">
        <f aca="false">AVERAGEIFS(Weather!$C$2:$C$159,Weather!$A$2:$A$159,"&gt;="&amp;(F19-6),Weather!$A$2:$A$159,"&lt;="&amp;F19)</f>
        <v>16.2142857142857</v>
      </c>
      <c r="P19" s="30" t="n">
        <f aca="false">AVERAGEIFS(Weather!$E$2:$E$159,Weather!$A$2:$A$159,"&gt;="&amp;(F19-6),Weather!$A$2:$A$159,"&lt;="&amp;F19)</f>
        <v>90.7142857142857</v>
      </c>
      <c r="Q19" s="30" t="n">
        <f aca="false">AVERAGEIFS(Weather!$F$2:$F$159,Weather!$A$2:$A$159,"&gt;="&amp;(F19-6),Weather!$A$2:$A$159,"&lt;="&amp;F19)</f>
        <v>34.1428571428571</v>
      </c>
      <c r="R19" s="31" t="n">
        <f aca="false">MAX(0,(N19-Inputs_General!$C$7)/Inputs_General!$C$8)</f>
        <v>0.953571428571428</v>
      </c>
      <c r="S19" s="30" t="n">
        <f aca="false">O19+Inputs_General!$C$9*(N19-O19)</f>
        <v>30.9457142857143</v>
      </c>
      <c r="T19" s="30" t="n">
        <f aca="false">Q19+Inputs_General!$C$10*(P19-Q19)</f>
        <v>51.1142857142857</v>
      </c>
      <c r="U19" s="31" t="n">
        <f aca="false">0.6108*EXP(17.27*S19/(S19+237.3))*(1-T19/100)</f>
        <v>2.18945736698217</v>
      </c>
      <c r="V19" s="30" t="n">
        <f aca="false">O19+Inputs_General!$C$11*(N19-O19)</f>
        <v>32.7871428571429</v>
      </c>
      <c r="W19" s="30" t="n">
        <f aca="false">Q19+Inputs_General!$C$12*(P19-Q19)</f>
        <v>42.6285714285714</v>
      </c>
      <c r="X19" s="31" t="n">
        <f aca="false">0.6108*EXP(17.27*V19/(V19+237.3))*(1-W19/100)</f>
        <v>2.85158987109622</v>
      </c>
      <c r="Y19" s="30" t="n">
        <f aca="false">V19+Inputs_General!$C$14-Inputs_General!$C$15*X19</f>
        <v>28.36912210206</v>
      </c>
      <c r="Z19" s="30" t="n">
        <f aca="false">V19+Inputs_General!$C$16</f>
        <v>36.7871428571429</v>
      </c>
      <c r="AA19" s="31" t="n">
        <f aca="false">IF(L19="V",Inputs_General!$C$17,IF(L19="F",Inputs_General!$C$18,Inputs_General!$C$19))+Inputs_General!$C$20*R19</f>
        <v>0.347678571428571</v>
      </c>
      <c r="AB19" s="31" t="n">
        <f aca="false">Inputs_Treatments!$C$5*Inputs_Treatments!$F$12*(1/(1+EXP(-(K19-Inputs_General!$C$27)/Inputs_General!$C$28)))*EXP(-((MAX(0,K19-Inputs_General!$C$29)/Inputs_General!$C$30)^2))</f>
        <v>2.93383375883642</v>
      </c>
      <c r="AC19" s="21" t="n">
        <f aca="false">Inputs_Treatments!$H$5</f>
        <v>1</v>
      </c>
      <c r="AD19" s="21" t="n">
        <f aca="false">Inputs_Treatments!$D$12</f>
        <v>1</v>
      </c>
      <c r="AE19" s="29" t="n">
        <f aca="false">COUNTIFS(Weather!$K$2:$K$159,1,Weather!$A$2:$A$159,"&gt;="&amp;(G19+36),Weather!$A$2:$A$159,"&lt;="&amp;F19)</f>
        <v>5</v>
      </c>
      <c r="AF19" s="30" t="n">
        <f aca="false">Inputs_Treatments!$C$22*Inputs_Treatments!$E$12*Inputs_Treatments!$D$5</f>
        <v>25.2</v>
      </c>
      <c r="AG19" s="13" t="str">
        <f aca="false">IF(AF19&lt;=0,"Healthy",IF(AF19&lt;=5,"Very low",IF(AF19&lt;=10,"Low",IF(AF19&lt;=25,"Moderate",IF(AF19&lt;=50,"High","Very high")))))</f>
        <v>High</v>
      </c>
      <c r="AH19" s="29" t="n">
        <f aca="false">MATCH(AG19,Severity_Classes!$A$4:$A$9,0)</f>
        <v>5</v>
      </c>
      <c r="AI19" s="13" t="str">
        <f aca="false">"Reference: healthy (uninoculated) control plot"</f>
        <v>Reference: healthy (uninoculated) control plot</v>
      </c>
      <c r="AJ19" s="13" t="str">
        <f aca="false">IF(AND(I19&lt;8,2&gt;=4),"Unlikely (only via pre-inoculation natural infection)",IF(ABS(2-AH19)&lt;=1,"Likely",IF(ABS(2-AH19)=2,"Possible","Unlikely")))</f>
        <v>Unlikely</v>
      </c>
      <c r="AK19" s="13" t="str">
        <f aca="false">IF(AND(I19&lt;8,3&gt;=4),"Unlikely (only via pre-inoculation natural infection)",IF(ABS(3-AH19)&lt;=1,"Likely",IF(ABS(3-AH19)=2,"Possible","Unlikely")))</f>
        <v>Possible</v>
      </c>
      <c r="AL19" s="13" t="str">
        <f aca="false">IF(AND(I19&lt;8,4&gt;=4),"Unlikely (only via pre-inoculation natural infection)",IF(ABS(4-AH19)&lt;=1,"Likely",IF(ABS(4-AH19)=2,"Possible","Unlikely")))</f>
        <v>Likely</v>
      </c>
      <c r="AM19" s="13" t="str">
        <f aca="false">IF(AND(I19&lt;8,5&gt;=4),"Unlikely (only via pre-inoculation natural infection)",IF(ABS(5-AH19)&lt;=1,"Likely",IF(ABS(5-AH19)=2,"Possible","Unlikely")))</f>
        <v>Likely</v>
      </c>
      <c r="AN19" s="13" t="str">
        <f aca="false">IF(AND(I19&lt;8,6&gt;=4),"Unlikely (only via pre-inoculation natural infection)",IF(ABS(6-AH19)&lt;=1,"Likely",IF(ABS(6-AH19)=2,"Possible","Unlikely")))</f>
        <v>Likely</v>
      </c>
    </row>
    <row r="20" customFormat="false" ht="15" hidden="false" customHeight="false" outlineLevel="0" collapsed="false">
      <c r="A20" s="13" t="str">
        <f aca="false">B20&amp;"|"&amp;E20</f>
        <v>D2V2|11/02/2026</v>
      </c>
      <c r="B20" s="27" t="s">
        <v>347</v>
      </c>
      <c r="C20" s="13" t="s">
        <v>129</v>
      </c>
      <c r="D20" s="13" t="s">
        <v>146</v>
      </c>
      <c r="E20" s="13" t="s">
        <v>158</v>
      </c>
      <c r="F20" s="28" t="n">
        <f aca="false">Inputs_Treatments!$B$19</f>
        <v>46064</v>
      </c>
      <c r="G20" s="28" t="n">
        <f aca="false">Inputs_Treatments!$B$5</f>
        <v>46009</v>
      </c>
      <c r="H20" s="29" t="n">
        <f aca="false">F20-G20</f>
        <v>55</v>
      </c>
      <c r="I20" s="29" t="n">
        <f aca="false">F20-Inputs_General!$C$6</f>
        <v>6</v>
      </c>
      <c r="J20" s="29" t="n">
        <f aca="false">SUMIFS(Weather!$H$2:$H$159,Weather!$A$2:$A$159,"&gt;="&amp;G20,Weather!$A$2:$A$159,"&lt;="&amp;F20)</f>
        <v>475.7</v>
      </c>
      <c r="K20" s="29" t="n">
        <f aca="false">J20-Inputs_General!$C$5</f>
        <v>365.7</v>
      </c>
      <c r="L20" s="15" t="s">
        <v>344</v>
      </c>
      <c r="M20" s="13" t="str">
        <f aca="false">IF(L20="V","3rd fully expanded leaf from top","5th fully expanded leaf from top")</f>
        <v>3rd fully expanded leaf from top</v>
      </c>
      <c r="N20" s="30" t="n">
        <f aca="false">AVERAGEIFS(Weather!$B$2:$B$159,Weather!$A$2:$A$159,"&gt;="&amp;(F20-6),Weather!$A$2:$A$159,"&lt;="&amp;F20)</f>
        <v>24.1428571428571</v>
      </c>
      <c r="O20" s="30" t="n">
        <f aca="false">AVERAGEIFS(Weather!$C$2:$C$159,Weather!$A$2:$A$159,"&gt;="&amp;(F20-6),Weather!$A$2:$A$159,"&lt;="&amp;F20)</f>
        <v>8.97142857142857</v>
      </c>
      <c r="P20" s="30" t="n">
        <f aca="false">AVERAGEIFS(Weather!$E$2:$E$159,Weather!$A$2:$A$159,"&gt;="&amp;(F20-6),Weather!$A$2:$A$159,"&lt;="&amp;F20)</f>
        <v>94.1428571428571</v>
      </c>
      <c r="Q20" s="30" t="n">
        <f aca="false">AVERAGEIFS(Weather!$F$2:$F$159,Weather!$A$2:$A$159,"&gt;="&amp;(F20-6),Weather!$A$2:$A$159,"&lt;="&amp;F20)</f>
        <v>49</v>
      </c>
      <c r="R20" s="31" t="n">
        <f aca="false">MAX(0,(N20-Inputs_General!$C$7)/Inputs_General!$C$8)</f>
        <v>0</v>
      </c>
      <c r="S20" s="30" t="n">
        <f aca="false">O20+Inputs_General!$C$9*(N20-O20)</f>
        <v>21.1085714285714</v>
      </c>
      <c r="T20" s="30" t="n">
        <f aca="false">Q20+Inputs_General!$C$10*(P20-Q20)</f>
        <v>62.5428571428571</v>
      </c>
      <c r="U20" s="31" t="n">
        <f aca="false">0.6108*EXP(17.27*S20/(S20+237.3))*(1-T20/100)</f>
        <v>0.937791824040773</v>
      </c>
      <c r="V20" s="30" t="n">
        <f aca="false">O20+Inputs_General!$C$11*(N20-O20)</f>
        <v>22.6257142857143</v>
      </c>
      <c r="W20" s="30" t="n">
        <f aca="false">Q20+Inputs_General!$C$12*(P20-Q20)</f>
        <v>55.7714285714286</v>
      </c>
      <c r="X20" s="31" t="n">
        <f aca="false">0.6108*EXP(17.27*V20/(V20+237.3))*(1-W20/100)</f>
        <v>1.21472070203065</v>
      </c>
      <c r="Y20" s="30" t="n">
        <f aca="false">V20+Inputs_General!$C$14-Inputs_General!$C$15*X20</f>
        <v>21.3177449518561</v>
      </c>
      <c r="Z20" s="30" t="n">
        <f aca="false">V20+Inputs_General!$C$16</f>
        <v>26.6257142857143</v>
      </c>
      <c r="AA20" s="31" t="n">
        <f aca="false">IF(L20="V",Inputs_General!$C$17,IF(L20="F",Inputs_General!$C$18,Inputs_General!$C$19))+Inputs_General!$C$20*R20</f>
        <v>0.12</v>
      </c>
      <c r="AB20" s="31" t="n">
        <f aca="false">Inputs_Treatments!$C$5*Inputs_Treatments!$F$13*(1/(1+EXP(-(K20-Inputs_General!$C$27)/Inputs_General!$C$28)))*EXP(-((MAX(0,K20-Inputs_General!$C$29)/Inputs_General!$C$30)^2))</f>
        <v>1.88260488051479</v>
      </c>
      <c r="AC20" s="21" t="n">
        <f aca="false">Inputs_Treatments!$E$5</f>
        <v>1.05</v>
      </c>
      <c r="AD20" s="21" t="n">
        <f aca="false">Inputs_Treatments!$D$13</f>
        <v>1.1</v>
      </c>
      <c r="AE20" s="29" t="n">
        <f aca="false">COUNTIFS(Weather!$K$2:$K$159,1,Weather!$A$2:$A$159,"&gt;="&amp;(G20+36),Weather!$A$2:$A$159,"&lt;="&amp;F20)</f>
        <v>5</v>
      </c>
      <c r="AF20" s="30" t="n">
        <f aca="false">Inputs_Treatments!$C$19*Inputs_Treatments!$E$13*Inputs_Treatments!$D$5</f>
        <v>2.7</v>
      </c>
      <c r="AG20" s="13" t="str">
        <f aca="false">IF(AF20&lt;=0,"Healthy",IF(AF20&lt;=5,"Very low",IF(AF20&lt;=10,"Low",IF(AF20&lt;=25,"Moderate",IF(AF20&lt;=50,"High","Very high")))))</f>
        <v>Very low</v>
      </c>
      <c r="AH20" s="29" t="n">
        <f aca="false">MATCH(AG20,Severity_Classes!$A$4:$A$9,0)</f>
        <v>2</v>
      </c>
      <c r="AI20" s="13" t="str">
        <f aca="false">"Reference: healthy (uninoculated) control plot"</f>
        <v>Reference: healthy (uninoculated) control plot</v>
      </c>
      <c r="AJ20" s="13" t="str">
        <f aca="false">IF(AND(I20&lt;8,2&gt;=4),"Unlikely (only via pre-inoculation natural infection)",IF(ABS(2-AH20)&lt;=1,"Likely",IF(ABS(2-AH20)=2,"Possible","Unlikely")))</f>
        <v>Likely</v>
      </c>
      <c r="AK20" s="13" t="str">
        <f aca="false">IF(AND(I20&lt;8,3&gt;=4),"Unlikely (only via pre-inoculation natural infection)",IF(ABS(3-AH20)&lt;=1,"Likely",IF(ABS(3-AH20)=2,"Possible","Unlikely")))</f>
        <v>Likely</v>
      </c>
      <c r="AL20" s="13" t="str">
        <f aca="false">IF(AND(I20&lt;8,4&gt;=4),"Unlikely (only via pre-inoculation natural infection)",IF(ABS(4-AH20)&lt;=1,"Likely",IF(ABS(4-AH20)=2,"Possible","Unlikely")))</f>
        <v>Unlikely (only via pre-inoculation natural infection)</v>
      </c>
      <c r="AM20" s="13" t="str">
        <f aca="false">IF(AND(I20&lt;8,5&gt;=4),"Unlikely (only via pre-inoculation natural infection)",IF(ABS(5-AH20)&lt;=1,"Likely",IF(ABS(5-AH20)=2,"Possible","Unlikely")))</f>
        <v>Unlikely (only via pre-inoculation natural infection)</v>
      </c>
      <c r="AN20" s="13" t="str">
        <f aca="false">IF(AND(I20&lt;8,6&gt;=4),"Unlikely (only via pre-inoculation natural infection)",IF(ABS(6-AH20)&lt;=1,"Likely",IF(ABS(6-AH20)=2,"Possible","Unlikely")))</f>
        <v>Unlikely (only via pre-inoculation natural infection)</v>
      </c>
    </row>
    <row r="21" customFormat="false" ht="15" hidden="false" customHeight="false" outlineLevel="0" collapsed="false">
      <c r="A21" s="13" t="str">
        <f aca="false">B21&amp;"|"&amp;E21</f>
        <v>D2V2|24/02/2026</v>
      </c>
      <c r="B21" s="27" t="s">
        <v>347</v>
      </c>
      <c r="C21" s="13" t="s">
        <v>129</v>
      </c>
      <c r="D21" s="13" t="s">
        <v>146</v>
      </c>
      <c r="E21" s="13" t="s">
        <v>160</v>
      </c>
      <c r="F21" s="28" t="n">
        <f aca="false">Inputs_Treatments!$B$20</f>
        <v>46077</v>
      </c>
      <c r="G21" s="28" t="n">
        <f aca="false">Inputs_Treatments!$B$5</f>
        <v>46009</v>
      </c>
      <c r="H21" s="29" t="n">
        <f aca="false">F21-G21</f>
        <v>68</v>
      </c>
      <c r="I21" s="29" t="n">
        <f aca="false">F21-Inputs_General!$C$6</f>
        <v>19</v>
      </c>
      <c r="J21" s="29" t="n">
        <f aca="false">SUMIFS(Weather!$H$2:$H$159,Weather!$A$2:$A$159,"&gt;="&amp;G21,Weather!$A$2:$A$159,"&lt;="&amp;F21)</f>
        <v>650.6</v>
      </c>
      <c r="K21" s="29" t="n">
        <f aca="false">J21-Inputs_General!$C$5</f>
        <v>540.6</v>
      </c>
      <c r="L21" s="15" t="s">
        <v>341</v>
      </c>
      <c r="M21" s="13" t="str">
        <f aca="false">IF(L21="V","3rd fully expanded leaf from top","5th fully expanded leaf from top")</f>
        <v>5th fully expanded leaf from top</v>
      </c>
      <c r="N21" s="30" t="n">
        <f aca="false">AVERAGEIFS(Weather!$B$2:$B$159,Weather!$A$2:$A$159,"&gt;="&amp;(F21-6),Weather!$A$2:$A$159,"&lt;="&amp;F21)</f>
        <v>27.1857142857143</v>
      </c>
      <c r="O21" s="30" t="n">
        <f aca="false">AVERAGEIFS(Weather!$C$2:$C$159,Weather!$A$2:$A$159,"&gt;="&amp;(F21-6),Weather!$A$2:$A$159,"&lt;="&amp;F21)</f>
        <v>11.1142857142857</v>
      </c>
      <c r="P21" s="30" t="n">
        <f aca="false">AVERAGEIFS(Weather!$E$2:$E$159,Weather!$A$2:$A$159,"&gt;="&amp;(F21-6),Weather!$A$2:$A$159,"&lt;="&amp;F21)</f>
        <v>94.2857142857143</v>
      </c>
      <c r="Q21" s="30" t="n">
        <f aca="false">AVERAGEIFS(Weather!$F$2:$F$159,Weather!$A$2:$A$159,"&gt;="&amp;(F21-6),Weather!$A$2:$A$159,"&lt;="&amp;F21)</f>
        <v>45.1428571428571</v>
      </c>
      <c r="R21" s="31" t="n">
        <f aca="false">MAX(0,(N21-Inputs_General!$C$7)/Inputs_General!$C$8)</f>
        <v>0.0232142857142859</v>
      </c>
      <c r="S21" s="30" t="n">
        <f aca="false">O21+Inputs_General!$C$9*(N21-O21)</f>
        <v>23.9714285714286</v>
      </c>
      <c r="T21" s="30" t="n">
        <f aca="false">Q21+Inputs_General!$C$10*(P21-Q21)</f>
        <v>59.8857142857143</v>
      </c>
      <c r="U21" s="31" t="n">
        <f aca="false">0.6108*EXP(17.27*S21/(S21+237.3))*(1-T21/100)</f>
        <v>1.19492600027053</v>
      </c>
      <c r="V21" s="30" t="n">
        <f aca="false">O21+Inputs_General!$C$11*(N21-O21)</f>
        <v>25.5785714285714</v>
      </c>
      <c r="W21" s="30" t="n">
        <f aca="false">Q21+Inputs_General!$C$12*(P21-Q21)</f>
        <v>52.5142857142857</v>
      </c>
      <c r="X21" s="31" t="n">
        <f aca="false">0.6108*EXP(17.27*V21/(V21+237.3))*(1-W21/100)</f>
        <v>1.55686779409338</v>
      </c>
      <c r="Y21" s="30" t="n">
        <f aca="false">V21+Inputs_General!$C$14-Inputs_General!$C$15*X21</f>
        <v>23.620522619794</v>
      </c>
      <c r="Z21" s="30" t="n">
        <f aca="false">V21+Inputs_General!$C$16</f>
        <v>29.5785714285714</v>
      </c>
      <c r="AA21" s="31" t="n">
        <f aca="false">IF(L21="V",Inputs_General!$C$17,IF(L21="F",Inputs_General!$C$18,Inputs_General!$C$19))+Inputs_General!$C$20*R21</f>
        <v>0.201160714285714</v>
      </c>
      <c r="AB21" s="31" t="n">
        <f aca="false">Inputs_Treatments!$C$5*Inputs_Treatments!$F$13*(1/(1+EXP(-(K21-Inputs_General!$C$27)/Inputs_General!$C$28)))*EXP(-((MAX(0,K21-Inputs_General!$C$29)/Inputs_General!$C$30)^2))</f>
        <v>2.85275193829914</v>
      </c>
      <c r="AC21" s="21" t="n">
        <f aca="false">Inputs_Treatments!$F$5</f>
        <v>1</v>
      </c>
      <c r="AD21" s="21" t="n">
        <f aca="false">Inputs_Treatments!$D$13</f>
        <v>1.1</v>
      </c>
      <c r="AE21" s="29" t="n">
        <f aca="false">COUNTIFS(Weather!$K$2:$K$159,1,Weather!$A$2:$A$159,"&gt;="&amp;(G21+36),Weather!$A$2:$A$159,"&lt;="&amp;F21)</f>
        <v>5</v>
      </c>
      <c r="AF21" s="30" t="n">
        <f aca="false">Inputs_Treatments!$C$20*Inputs_Treatments!$E$13*Inputs_Treatments!$D$5</f>
        <v>16.2</v>
      </c>
      <c r="AG21" s="13" t="str">
        <f aca="false">IF(AF21&lt;=0,"Healthy",IF(AF21&lt;=5,"Very low",IF(AF21&lt;=10,"Low",IF(AF21&lt;=25,"Moderate",IF(AF21&lt;=50,"High","Very high")))))</f>
        <v>Moderate</v>
      </c>
      <c r="AH21" s="29" t="n">
        <f aca="false">MATCH(AG21,Severity_Classes!$A$4:$A$9,0)</f>
        <v>4</v>
      </c>
      <c r="AI21" s="13" t="str">
        <f aca="false">"Reference: healthy (uninoculated) control plot"</f>
        <v>Reference: healthy (uninoculated) control plot</v>
      </c>
      <c r="AJ21" s="13" t="str">
        <f aca="false">IF(AND(I21&lt;8,2&gt;=4),"Unlikely (only via pre-inoculation natural infection)",IF(ABS(2-AH21)&lt;=1,"Likely",IF(ABS(2-AH21)=2,"Possible","Unlikely")))</f>
        <v>Possible</v>
      </c>
      <c r="AK21" s="13" t="str">
        <f aca="false">IF(AND(I21&lt;8,3&gt;=4),"Unlikely (only via pre-inoculation natural infection)",IF(ABS(3-AH21)&lt;=1,"Likely",IF(ABS(3-AH21)=2,"Possible","Unlikely")))</f>
        <v>Likely</v>
      </c>
      <c r="AL21" s="13" t="str">
        <f aca="false">IF(AND(I21&lt;8,4&gt;=4),"Unlikely (only via pre-inoculation natural infection)",IF(ABS(4-AH21)&lt;=1,"Likely",IF(ABS(4-AH21)=2,"Possible","Unlikely")))</f>
        <v>Likely</v>
      </c>
      <c r="AM21" s="13" t="str">
        <f aca="false">IF(AND(I21&lt;8,5&gt;=4),"Unlikely (only via pre-inoculation natural infection)",IF(ABS(5-AH21)&lt;=1,"Likely",IF(ABS(5-AH21)=2,"Possible","Unlikely")))</f>
        <v>Likely</v>
      </c>
      <c r="AN21" s="13" t="str">
        <f aca="false">IF(AND(I21&lt;8,6&gt;=4),"Unlikely (only via pre-inoculation natural infection)",IF(ABS(6-AH21)&lt;=1,"Likely",IF(ABS(6-AH21)=2,"Possible","Unlikely")))</f>
        <v>Possible</v>
      </c>
    </row>
    <row r="22" customFormat="false" ht="15" hidden="false" customHeight="false" outlineLevel="0" collapsed="false">
      <c r="A22" s="13" t="str">
        <f aca="false">B22&amp;"|"&amp;E22</f>
        <v>D2V2|03/03/2026</v>
      </c>
      <c r="B22" s="27" t="s">
        <v>347</v>
      </c>
      <c r="C22" s="13" t="s">
        <v>129</v>
      </c>
      <c r="D22" s="13" t="s">
        <v>146</v>
      </c>
      <c r="E22" s="13" t="s">
        <v>162</v>
      </c>
      <c r="F22" s="28" t="n">
        <f aca="false">Inputs_Treatments!$B$21</f>
        <v>46084</v>
      </c>
      <c r="G22" s="28" t="n">
        <f aca="false">Inputs_Treatments!$B$5</f>
        <v>46009</v>
      </c>
      <c r="H22" s="29" t="n">
        <f aca="false">F22-G22</f>
        <v>75</v>
      </c>
      <c r="I22" s="29" t="n">
        <f aca="false">F22-Inputs_General!$C$6</f>
        <v>26</v>
      </c>
      <c r="J22" s="29" t="n">
        <f aca="false">SUMIFS(Weather!$H$2:$H$159,Weather!$A$2:$A$159,"&gt;="&amp;G22,Weather!$A$2:$A$159,"&lt;="&amp;F22)</f>
        <v>764.1</v>
      </c>
      <c r="K22" s="29" t="n">
        <f aca="false">J22-Inputs_General!$C$5</f>
        <v>654.1</v>
      </c>
      <c r="L22" s="15" t="s">
        <v>341</v>
      </c>
      <c r="M22" s="13" t="str">
        <f aca="false">IF(L22="V","3rd fully expanded leaf from top","5th fully expanded leaf from top")</f>
        <v>5th fully expanded leaf from top</v>
      </c>
      <c r="N22" s="30" t="n">
        <f aca="false">AVERAGEIFS(Weather!$B$2:$B$159,Weather!$A$2:$A$159,"&gt;="&amp;(F22-6),Weather!$A$2:$A$159,"&lt;="&amp;F22)</f>
        <v>30.4714285714286</v>
      </c>
      <c r="O22" s="30" t="n">
        <f aca="false">AVERAGEIFS(Weather!$C$2:$C$159,Weather!$A$2:$A$159,"&gt;="&amp;(F22-6),Weather!$A$2:$A$159,"&lt;="&amp;F22)</f>
        <v>11.9571428571429</v>
      </c>
      <c r="P22" s="30" t="n">
        <f aca="false">AVERAGEIFS(Weather!$E$2:$E$159,Weather!$A$2:$A$159,"&gt;="&amp;(F22-6),Weather!$A$2:$A$159,"&lt;="&amp;F22)</f>
        <v>90.1428571428571</v>
      </c>
      <c r="Q22" s="30" t="n">
        <f aca="false">AVERAGEIFS(Weather!$F$2:$F$159,Weather!$A$2:$A$159,"&gt;="&amp;(F22-6),Weather!$A$2:$A$159,"&lt;="&amp;F22)</f>
        <v>33.5714285714286</v>
      </c>
      <c r="R22" s="31" t="n">
        <f aca="false">MAX(0,(N22-Inputs_General!$C$7)/Inputs_General!$C$8)</f>
        <v>0.433928571428571</v>
      </c>
      <c r="S22" s="30" t="n">
        <f aca="false">O22+Inputs_General!$C$9*(N22-O22)</f>
        <v>26.7685714285714</v>
      </c>
      <c r="T22" s="30" t="n">
        <f aca="false">Q22+Inputs_General!$C$10*(P22-Q22)</f>
        <v>50.5428571428571</v>
      </c>
      <c r="U22" s="31" t="n">
        <f aca="false">0.6108*EXP(17.27*S22/(S22+237.3))*(1-T22/100)</f>
        <v>1.73951545534029</v>
      </c>
      <c r="V22" s="30" t="n">
        <f aca="false">O22+Inputs_General!$C$11*(N22-O22)</f>
        <v>28.62</v>
      </c>
      <c r="W22" s="30" t="n">
        <f aca="false">Q22+Inputs_General!$C$12*(P22-Q22)</f>
        <v>42.0571428571429</v>
      </c>
      <c r="X22" s="31" t="n">
        <f aca="false">0.6108*EXP(17.27*V22/(V22+237.3))*(1-W22/100)</f>
        <v>2.27051923122539</v>
      </c>
      <c r="Y22" s="30" t="n">
        <f aca="false">V22+Inputs_General!$C$14-Inputs_General!$C$15*X22</f>
        <v>25.3060134606718</v>
      </c>
      <c r="Z22" s="30" t="n">
        <f aca="false">V22+Inputs_General!$C$16</f>
        <v>32.62</v>
      </c>
      <c r="AA22" s="31" t="n">
        <f aca="false">IF(L22="V",Inputs_General!$C$17,IF(L22="F",Inputs_General!$C$18,Inputs_General!$C$19))+Inputs_General!$C$20*R22</f>
        <v>0.221696428571429</v>
      </c>
      <c r="AB22" s="31" t="n">
        <f aca="false">Inputs_Treatments!$C$5*Inputs_Treatments!$F$13*(1/(1+EXP(-(K22-Inputs_General!$C$27)/Inputs_General!$C$28)))*EXP(-((MAX(0,K22-Inputs_General!$C$29)/Inputs_General!$C$30)^2))</f>
        <v>3.07951475277641</v>
      </c>
      <c r="AC22" s="21" t="n">
        <f aca="false">Inputs_Treatments!$G$5</f>
        <v>1</v>
      </c>
      <c r="AD22" s="21" t="n">
        <f aca="false">Inputs_Treatments!$D$13</f>
        <v>1.1</v>
      </c>
      <c r="AE22" s="29" t="n">
        <f aca="false">COUNTIFS(Weather!$K$2:$K$159,1,Weather!$A$2:$A$159,"&gt;="&amp;(G22+36),Weather!$A$2:$A$159,"&lt;="&amp;F22)</f>
        <v>5</v>
      </c>
      <c r="AF22" s="30" t="n">
        <f aca="false">Inputs_Treatments!$C$21*Inputs_Treatments!$E$13*Inputs_Treatments!$D$5</f>
        <v>25.2</v>
      </c>
      <c r="AG22" s="13" t="str">
        <f aca="false">IF(AF22&lt;=0,"Healthy",IF(AF22&lt;=5,"Very low",IF(AF22&lt;=10,"Low",IF(AF22&lt;=25,"Moderate",IF(AF22&lt;=50,"High","Very high")))))</f>
        <v>High</v>
      </c>
      <c r="AH22" s="29" t="n">
        <f aca="false">MATCH(AG22,Severity_Classes!$A$4:$A$9,0)</f>
        <v>5</v>
      </c>
      <c r="AI22" s="13" t="str">
        <f aca="false">"Reference: healthy (uninoculated) control plot"</f>
        <v>Reference: healthy (uninoculated) control plot</v>
      </c>
      <c r="AJ22" s="13" t="str">
        <f aca="false">IF(AND(I22&lt;8,2&gt;=4),"Unlikely (only via pre-inoculation natural infection)",IF(ABS(2-AH22)&lt;=1,"Likely",IF(ABS(2-AH22)=2,"Possible","Unlikely")))</f>
        <v>Unlikely</v>
      </c>
      <c r="AK22" s="13" t="str">
        <f aca="false">IF(AND(I22&lt;8,3&gt;=4),"Unlikely (only via pre-inoculation natural infection)",IF(ABS(3-AH22)&lt;=1,"Likely",IF(ABS(3-AH22)=2,"Possible","Unlikely")))</f>
        <v>Possible</v>
      </c>
      <c r="AL22" s="13" t="str">
        <f aca="false">IF(AND(I22&lt;8,4&gt;=4),"Unlikely (only via pre-inoculation natural infection)",IF(ABS(4-AH22)&lt;=1,"Likely",IF(ABS(4-AH22)=2,"Possible","Unlikely")))</f>
        <v>Likely</v>
      </c>
      <c r="AM22" s="13" t="str">
        <f aca="false">IF(AND(I22&lt;8,5&gt;=4),"Unlikely (only via pre-inoculation natural infection)",IF(ABS(5-AH22)&lt;=1,"Likely",IF(ABS(5-AH22)=2,"Possible","Unlikely")))</f>
        <v>Likely</v>
      </c>
      <c r="AN22" s="13" t="str">
        <f aca="false">IF(AND(I22&lt;8,6&gt;=4),"Unlikely (only via pre-inoculation natural infection)",IF(ABS(6-AH22)&lt;=1,"Likely",IF(ABS(6-AH22)=2,"Possible","Unlikely")))</f>
        <v>Likely</v>
      </c>
    </row>
    <row r="23" customFormat="false" ht="15" hidden="false" customHeight="false" outlineLevel="0" collapsed="false">
      <c r="A23" s="13" t="str">
        <f aca="false">B23&amp;"|"&amp;E23</f>
        <v>D2V2|13/03/2026</v>
      </c>
      <c r="B23" s="27" t="s">
        <v>347</v>
      </c>
      <c r="C23" s="13" t="s">
        <v>129</v>
      </c>
      <c r="D23" s="13" t="s">
        <v>146</v>
      </c>
      <c r="E23" s="13" t="s">
        <v>164</v>
      </c>
      <c r="F23" s="28" t="n">
        <f aca="false">Inputs_Treatments!$B$22</f>
        <v>46094</v>
      </c>
      <c r="G23" s="28" t="n">
        <f aca="false">Inputs_Treatments!$B$5</f>
        <v>46009</v>
      </c>
      <c r="H23" s="29" t="n">
        <f aca="false">F23-G23</f>
        <v>85</v>
      </c>
      <c r="I23" s="29" t="n">
        <f aca="false">F23-Inputs_General!$C$6</f>
        <v>36</v>
      </c>
      <c r="J23" s="29" t="n">
        <f aca="false">SUMIFS(Weather!$H$2:$H$159,Weather!$A$2:$A$159,"&gt;="&amp;G23,Weather!$A$2:$A$159,"&lt;="&amp;F23)</f>
        <v>962.1</v>
      </c>
      <c r="K23" s="29" t="n">
        <f aca="false">J23-Inputs_General!$C$5</f>
        <v>852.1</v>
      </c>
      <c r="L23" s="15" t="s">
        <v>342</v>
      </c>
      <c r="M23" s="13" t="str">
        <f aca="false">IF(L23="V","3rd fully expanded leaf from top","5th fully expanded leaf from top")</f>
        <v>5th fully expanded leaf from top</v>
      </c>
      <c r="N23" s="30" t="n">
        <f aca="false">AVERAGEIFS(Weather!$B$2:$B$159,Weather!$A$2:$A$159,"&gt;="&amp;(F23-6),Weather!$A$2:$A$159,"&lt;="&amp;F23)</f>
        <v>34.6285714285714</v>
      </c>
      <c r="O23" s="30" t="n">
        <f aca="false">AVERAGEIFS(Weather!$C$2:$C$159,Weather!$A$2:$A$159,"&gt;="&amp;(F23-6),Weather!$A$2:$A$159,"&lt;="&amp;F23)</f>
        <v>16.2142857142857</v>
      </c>
      <c r="P23" s="30" t="n">
        <f aca="false">AVERAGEIFS(Weather!$E$2:$E$159,Weather!$A$2:$A$159,"&gt;="&amp;(F23-6),Weather!$A$2:$A$159,"&lt;="&amp;F23)</f>
        <v>90.7142857142857</v>
      </c>
      <c r="Q23" s="30" t="n">
        <f aca="false">AVERAGEIFS(Weather!$F$2:$F$159,Weather!$A$2:$A$159,"&gt;="&amp;(F23-6),Weather!$A$2:$A$159,"&lt;="&amp;F23)</f>
        <v>34.1428571428571</v>
      </c>
      <c r="R23" s="31" t="n">
        <f aca="false">MAX(0,(N23-Inputs_General!$C$7)/Inputs_General!$C$8)</f>
        <v>0.953571428571428</v>
      </c>
      <c r="S23" s="30" t="n">
        <f aca="false">O23+Inputs_General!$C$9*(N23-O23)</f>
        <v>30.9457142857143</v>
      </c>
      <c r="T23" s="30" t="n">
        <f aca="false">Q23+Inputs_General!$C$10*(P23-Q23)</f>
        <v>51.1142857142857</v>
      </c>
      <c r="U23" s="31" t="n">
        <f aca="false">0.6108*EXP(17.27*S23/(S23+237.3))*(1-T23/100)</f>
        <v>2.18945736698217</v>
      </c>
      <c r="V23" s="30" t="n">
        <f aca="false">O23+Inputs_General!$C$11*(N23-O23)</f>
        <v>32.7871428571429</v>
      </c>
      <c r="W23" s="30" t="n">
        <f aca="false">Q23+Inputs_General!$C$12*(P23-Q23)</f>
        <v>42.6285714285714</v>
      </c>
      <c r="X23" s="31" t="n">
        <f aca="false">0.6108*EXP(17.27*V23/(V23+237.3))*(1-W23/100)</f>
        <v>2.85158987109622</v>
      </c>
      <c r="Y23" s="30" t="n">
        <f aca="false">V23+Inputs_General!$C$14-Inputs_General!$C$15*X23</f>
        <v>28.36912210206</v>
      </c>
      <c r="Z23" s="30" t="n">
        <f aca="false">V23+Inputs_General!$C$16</f>
        <v>36.7871428571429</v>
      </c>
      <c r="AA23" s="31" t="n">
        <f aca="false">IF(L23="V",Inputs_General!$C$17,IF(L23="F",Inputs_General!$C$18,Inputs_General!$C$19))+Inputs_General!$C$20*R23</f>
        <v>0.347678571428571</v>
      </c>
      <c r="AB23" s="31" t="n">
        <f aca="false">Inputs_Treatments!$C$5*Inputs_Treatments!$F$13*(1/(1+EXP(-(K23-Inputs_General!$C$27)/Inputs_General!$C$28)))*EXP(-((MAX(0,K23-Inputs_General!$C$29)/Inputs_General!$C$30)^2))</f>
        <v>3.08824606193307</v>
      </c>
      <c r="AC23" s="21" t="n">
        <f aca="false">Inputs_Treatments!$H$5</f>
        <v>1</v>
      </c>
      <c r="AD23" s="21" t="n">
        <f aca="false">Inputs_Treatments!$D$13</f>
        <v>1.1</v>
      </c>
      <c r="AE23" s="29" t="n">
        <f aca="false">COUNTIFS(Weather!$K$2:$K$159,1,Weather!$A$2:$A$159,"&gt;="&amp;(G23+36),Weather!$A$2:$A$159,"&lt;="&amp;F23)</f>
        <v>5</v>
      </c>
      <c r="AF23" s="30" t="n">
        <f aca="false">Inputs_Treatments!$C$22*Inputs_Treatments!$E$13*Inputs_Treatments!$D$5</f>
        <v>31.5</v>
      </c>
      <c r="AG23" s="13" t="str">
        <f aca="false">IF(AF23&lt;=0,"Healthy",IF(AF23&lt;=5,"Very low",IF(AF23&lt;=10,"Low",IF(AF23&lt;=25,"Moderate",IF(AF23&lt;=50,"High","Very high")))))</f>
        <v>High</v>
      </c>
      <c r="AH23" s="29" t="n">
        <f aca="false">MATCH(AG23,Severity_Classes!$A$4:$A$9,0)</f>
        <v>5</v>
      </c>
      <c r="AI23" s="13" t="str">
        <f aca="false">"Reference: healthy (uninoculated) control plot"</f>
        <v>Reference: healthy (uninoculated) control plot</v>
      </c>
      <c r="AJ23" s="13" t="str">
        <f aca="false">IF(AND(I23&lt;8,2&gt;=4),"Unlikely (only via pre-inoculation natural infection)",IF(ABS(2-AH23)&lt;=1,"Likely",IF(ABS(2-AH23)=2,"Possible","Unlikely")))</f>
        <v>Unlikely</v>
      </c>
      <c r="AK23" s="13" t="str">
        <f aca="false">IF(AND(I23&lt;8,3&gt;=4),"Unlikely (only via pre-inoculation natural infection)",IF(ABS(3-AH23)&lt;=1,"Likely",IF(ABS(3-AH23)=2,"Possible","Unlikely")))</f>
        <v>Possible</v>
      </c>
      <c r="AL23" s="13" t="str">
        <f aca="false">IF(AND(I23&lt;8,4&gt;=4),"Unlikely (only via pre-inoculation natural infection)",IF(ABS(4-AH23)&lt;=1,"Likely",IF(ABS(4-AH23)=2,"Possible","Unlikely")))</f>
        <v>Likely</v>
      </c>
      <c r="AM23" s="13" t="str">
        <f aca="false">IF(AND(I23&lt;8,5&gt;=4),"Unlikely (only via pre-inoculation natural infection)",IF(ABS(5-AH23)&lt;=1,"Likely",IF(ABS(5-AH23)=2,"Possible","Unlikely")))</f>
        <v>Likely</v>
      </c>
      <c r="AN23" s="13" t="str">
        <f aca="false">IF(AND(I23&lt;8,6&gt;=4),"Unlikely (only via pre-inoculation natural infection)",IF(ABS(6-AH23)&lt;=1,"Likely",IF(ABS(6-AH23)=2,"Possible","Unlikely")))</f>
        <v>Likely</v>
      </c>
    </row>
    <row r="24" customFormat="false" ht="15" hidden="false" customHeight="false" outlineLevel="0" collapsed="false">
      <c r="A24" s="13" t="str">
        <f aca="false">B24&amp;"|"&amp;E24</f>
        <v>D2V3|11/02/2026</v>
      </c>
      <c r="B24" s="27" t="s">
        <v>348</v>
      </c>
      <c r="C24" s="13" t="s">
        <v>129</v>
      </c>
      <c r="D24" s="13" t="s">
        <v>150</v>
      </c>
      <c r="E24" s="13" t="s">
        <v>158</v>
      </c>
      <c r="F24" s="28" t="n">
        <f aca="false">Inputs_Treatments!$B$19</f>
        <v>46064</v>
      </c>
      <c r="G24" s="28" t="n">
        <f aca="false">Inputs_Treatments!$B$5</f>
        <v>46009</v>
      </c>
      <c r="H24" s="29" t="n">
        <f aca="false">F24-G24</f>
        <v>55</v>
      </c>
      <c r="I24" s="29" t="n">
        <f aca="false">F24-Inputs_General!$C$6</f>
        <v>6</v>
      </c>
      <c r="J24" s="29" t="n">
        <f aca="false">SUMIFS(Weather!$H$2:$H$159,Weather!$A$2:$A$159,"&gt;="&amp;G24,Weather!$A$2:$A$159,"&lt;="&amp;F24)</f>
        <v>475.7</v>
      </c>
      <c r="K24" s="29" t="n">
        <f aca="false">J24-Inputs_General!$C$5</f>
        <v>365.7</v>
      </c>
      <c r="L24" s="15" t="s">
        <v>344</v>
      </c>
      <c r="M24" s="13" t="str">
        <f aca="false">IF(L24="V","3rd fully expanded leaf from top","5th fully expanded leaf from top")</f>
        <v>3rd fully expanded leaf from top</v>
      </c>
      <c r="N24" s="30" t="n">
        <f aca="false">AVERAGEIFS(Weather!$B$2:$B$159,Weather!$A$2:$A$159,"&gt;="&amp;(F24-6),Weather!$A$2:$A$159,"&lt;="&amp;F24)</f>
        <v>24.1428571428571</v>
      </c>
      <c r="O24" s="30" t="n">
        <f aca="false">AVERAGEIFS(Weather!$C$2:$C$159,Weather!$A$2:$A$159,"&gt;="&amp;(F24-6),Weather!$A$2:$A$159,"&lt;="&amp;F24)</f>
        <v>8.97142857142857</v>
      </c>
      <c r="P24" s="30" t="n">
        <f aca="false">AVERAGEIFS(Weather!$E$2:$E$159,Weather!$A$2:$A$159,"&gt;="&amp;(F24-6),Weather!$A$2:$A$159,"&lt;="&amp;F24)</f>
        <v>94.1428571428571</v>
      </c>
      <c r="Q24" s="30" t="n">
        <f aca="false">AVERAGEIFS(Weather!$F$2:$F$159,Weather!$A$2:$A$159,"&gt;="&amp;(F24-6),Weather!$A$2:$A$159,"&lt;="&amp;F24)</f>
        <v>49</v>
      </c>
      <c r="R24" s="31" t="n">
        <f aca="false">MAX(0,(N24-Inputs_General!$C$7)/Inputs_General!$C$8)</f>
        <v>0</v>
      </c>
      <c r="S24" s="30" t="n">
        <f aca="false">O24+Inputs_General!$C$9*(N24-O24)</f>
        <v>21.1085714285714</v>
      </c>
      <c r="T24" s="30" t="n">
        <f aca="false">Q24+Inputs_General!$C$10*(P24-Q24)</f>
        <v>62.5428571428571</v>
      </c>
      <c r="U24" s="31" t="n">
        <f aca="false">0.6108*EXP(17.27*S24/(S24+237.3))*(1-T24/100)</f>
        <v>0.937791824040773</v>
      </c>
      <c r="V24" s="30" t="n">
        <f aca="false">O24+Inputs_General!$C$11*(N24-O24)</f>
        <v>22.6257142857143</v>
      </c>
      <c r="W24" s="30" t="n">
        <f aca="false">Q24+Inputs_General!$C$12*(P24-Q24)</f>
        <v>55.7714285714286</v>
      </c>
      <c r="X24" s="31" t="n">
        <f aca="false">0.6108*EXP(17.27*V24/(V24+237.3))*(1-W24/100)</f>
        <v>1.21472070203065</v>
      </c>
      <c r="Y24" s="30" t="n">
        <f aca="false">V24+Inputs_General!$C$14-Inputs_General!$C$15*X24</f>
        <v>21.3177449518561</v>
      </c>
      <c r="Z24" s="30" t="n">
        <f aca="false">V24+Inputs_General!$C$16</f>
        <v>26.6257142857143</v>
      </c>
      <c r="AA24" s="31" t="n">
        <f aca="false">IF(L24="V",Inputs_General!$C$17,IF(L24="F",Inputs_General!$C$18,Inputs_General!$C$19))+Inputs_General!$C$20*R24</f>
        <v>0.12</v>
      </c>
      <c r="AB24" s="31" t="n">
        <f aca="false">Inputs_Treatments!$C$5*Inputs_Treatments!$F$14*(1/(1+EXP(-(K24-Inputs_General!$C$27)/Inputs_General!$C$28)))*EXP(-((MAX(0,K24-Inputs_General!$C$29)/Inputs_General!$C$30)^2))</f>
        <v>1.88260488051479</v>
      </c>
      <c r="AC24" s="21" t="n">
        <f aca="false">Inputs_Treatments!$E$5</f>
        <v>1.05</v>
      </c>
      <c r="AD24" s="21" t="n">
        <f aca="false">Inputs_Treatments!$D$14</f>
        <v>0.85</v>
      </c>
      <c r="AE24" s="29" t="n">
        <f aca="false">COUNTIFS(Weather!$K$2:$K$159,1,Weather!$A$2:$A$159,"&gt;="&amp;(G24+36),Weather!$A$2:$A$159,"&lt;="&amp;F24)</f>
        <v>5</v>
      </c>
      <c r="AF24" s="30" t="n">
        <f aca="false">Inputs_Treatments!$C$19*Inputs_Treatments!$E$14*Inputs_Treatments!$D$5</f>
        <v>1.35</v>
      </c>
      <c r="AG24" s="13" t="str">
        <f aca="false">IF(AF24&lt;=0,"Healthy",IF(AF24&lt;=5,"Very low",IF(AF24&lt;=10,"Low",IF(AF24&lt;=25,"Moderate",IF(AF24&lt;=50,"High","Very high")))))</f>
        <v>Very low</v>
      </c>
      <c r="AH24" s="29" t="n">
        <f aca="false">MATCH(AG24,Severity_Classes!$A$4:$A$9,0)</f>
        <v>2</v>
      </c>
      <c r="AI24" s="13" t="str">
        <f aca="false">"Reference: healthy (uninoculated) control plot"</f>
        <v>Reference: healthy (uninoculated) control plot</v>
      </c>
      <c r="AJ24" s="13" t="str">
        <f aca="false">IF(AND(I24&lt;8,2&gt;=4),"Unlikely (only via pre-inoculation natural infection)",IF(ABS(2-AH24)&lt;=1,"Likely",IF(ABS(2-AH24)=2,"Possible","Unlikely")))</f>
        <v>Likely</v>
      </c>
      <c r="AK24" s="13" t="str">
        <f aca="false">IF(AND(I24&lt;8,3&gt;=4),"Unlikely (only via pre-inoculation natural infection)",IF(ABS(3-AH24)&lt;=1,"Likely",IF(ABS(3-AH24)=2,"Possible","Unlikely")))</f>
        <v>Likely</v>
      </c>
      <c r="AL24" s="13" t="str">
        <f aca="false">IF(AND(I24&lt;8,4&gt;=4),"Unlikely (only via pre-inoculation natural infection)",IF(ABS(4-AH24)&lt;=1,"Likely",IF(ABS(4-AH24)=2,"Possible","Unlikely")))</f>
        <v>Unlikely (only via pre-inoculation natural infection)</v>
      </c>
      <c r="AM24" s="13" t="str">
        <f aca="false">IF(AND(I24&lt;8,5&gt;=4),"Unlikely (only via pre-inoculation natural infection)",IF(ABS(5-AH24)&lt;=1,"Likely",IF(ABS(5-AH24)=2,"Possible","Unlikely")))</f>
        <v>Unlikely (only via pre-inoculation natural infection)</v>
      </c>
      <c r="AN24" s="13" t="str">
        <f aca="false">IF(AND(I24&lt;8,6&gt;=4),"Unlikely (only via pre-inoculation natural infection)",IF(ABS(6-AH24)&lt;=1,"Likely",IF(ABS(6-AH24)=2,"Possible","Unlikely")))</f>
        <v>Unlikely (only via pre-inoculation natural infection)</v>
      </c>
    </row>
    <row r="25" customFormat="false" ht="15" hidden="false" customHeight="false" outlineLevel="0" collapsed="false">
      <c r="A25" s="13" t="str">
        <f aca="false">B25&amp;"|"&amp;E25</f>
        <v>D2V3|24/02/2026</v>
      </c>
      <c r="B25" s="27" t="s">
        <v>348</v>
      </c>
      <c r="C25" s="13" t="s">
        <v>129</v>
      </c>
      <c r="D25" s="13" t="s">
        <v>150</v>
      </c>
      <c r="E25" s="13" t="s">
        <v>160</v>
      </c>
      <c r="F25" s="28" t="n">
        <f aca="false">Inputs_Treatments!$B$20</f>
        <v>46077</v>
      </c>
      <c r="G25" s="28" t="n">
        <f aca="false">Inputs_Treatments!$B$5</f>
        <v>46009</v>
      </c>
      <c r="H25" s="29" t="n">
        <f aca="false">F25-G25</f>
        <v>68</v>
      </c>
      <c r="I25" s="29" t="n">
        <f aca="false">F25-Inputs_General!$C$6</f>
        <v>19</v>
      </c>
      <c r="J25" s="29" t="n">
        <f aca="false">SUMIFS(Weather!$H$2:$H$159,Weather!$A$2:$A$159,"&gt;="&amp;G25,Weather!$A$2:$A$159,"&lt;="&amp;F25)</f>
        <v>650.6</v>
      </c>
      <c r="K25" s="29" t="n">
        <f aca="false">J25-Inputs_General!$C$5</f>
        <v>540.6</v>
      </c>
      <c r="L25" s="15" t="s">
        <v>341</v>
      </c>
      <c r="M25" s="13" t="str">
        <f aca="false">IF(L25="V","3rd fully expanded leaf from top","5th fully expanded leaf from top")</f>
        <v>5th fully expanded leaf from top</v>
      </c>
      <c r="N25" s="30" t="n">
        <f aca="false">AVERAGEIFS(Weather!$B$2:$B$159,Weather!$A$2:$A$159,"&gt;="&amp;(F25-6),Weather!$A$2:$A$159,"&lt;="&amp;F25)</f>
        <v>27.1857142857143</v>
      </c>
      <c r="O25" s="30" t="n">
        <f aca="false">AVERAGEIFS(Weather!$C$2:$C$159,Weather!$A$2:$A$159,"&gt;="&amp;(F25-6),Weather!$A$2:$A$159,"&lt;="&amp;F25)</f>
        <v>11.1142857142857</v>
      </c>
      <c r="P25" s="30" t="n">
        <f aca="false">AVERAGEIFS(Weather!$E$2:$E$159,Weather!$A$2:$A$159,"&gt;="&amp;(F25-6),Weather!$A$2:$A$159,"&lt;="&amp;F25)</f>
        <v>94.2857142857143</v>
      </c>
      <c r="Q25" s="30" t="n">
        <f aca="false">AVERAGEIFS(Weather!$F$2:$F$159,Weather!$A$2:$A$159,"&gt;="&amp;(F25-6),Weather!$A$2:$A$159,"&lt;="&amp;F25)</f>
        <v>45.1428571428571</v>
      </c>
      <c r="R25" s="31" t="n">
        <f aca="false">MAX(0,(N25-Inputs_General!$C$7)/Inputs_General!$C$8)</f>
        <v>0.0232142857142859</v>
      </c>
      <c r="S25" s="30" t="n">
        <f aca="false">O25+Inputs_General!$C$9*(N25-O25)</f>
        <v>23.9714285714286</v>
      </c>
      <c r="T25" s="30" t="n">
        <f aca="false">Q25+Inputs_General!$C$10*(P25-Q25)</f>
        <v>59.8857142857143</v>
      </c>
      <c r="U25" s="31" t="n">
        <f aca="false">0.6108*EXP(17.27*S25/(S25+237.3))*(1-T25/100)</f>
        <v>1.19492600027053</v>
      </c>
      <c r="V25" s="30" t="n">
        <f aca="false">O25+Inputs_General!$C$11*(N25-O25)</f>
        <v>25.5785714285714</v>
      </c>
      <c r="W25" s="30" t="n">
        <f aca="false">Q25+Inputs_General!$C$12*(P25-Q25)</f>
        <v>52.5142857142857</v>
      </c>
      <c r="X25" s="31" t="n">
        <f aca="false">0.6108*EXP(17.27*V25/(V25+237.3))*(1-W25/100)</f>
        <v>1.55686779409338</v>
      </c>
      <c r="Y25" s="30" t="n">
        <f aca="false">V25+Inputs_General!$C$14-Inputs_General!$C$15*X25</f>
        <v>23.620522619794</v>
      </c>
      <c r="Z25" s="30" t="n">
        <f aca="false">V25+Inputs_General!$C$16</f>
        <v>29.5785714285714</v>
      </c>
      <c r="AA25" s="31" t="n">
        <f aca="false">IF(L25="V",Inputs_General!$C$17,IF(L25="F",Inputs_General!$C$18,Inputs_General!$C$19))+Inputs_General!$C$20*R25</f>
        <v>0.201160714285714</v>
      </c>
      <c r="AB25" s="31" t="n">
        <f aca="false">Inputs_Treatments!$C$5*Inputs_Treatments!$F$14*(1/(1+EXP(-(K25-Inputs_General!$C$27)/Inputs_General!$C$28)))*EXP(-((MAX(0,K25-Inputs_General!$C$29)/Inputs_General!$C$30)^2))</f>
        <v>2.85275193829914</v>
      </c>
      <c r="AC25" s="21" t="n">
        <f aca="false">Inputs_Treatments!$F$5</f>
        <v>1</v>
      </c>
      <c r="AD25" s="21" t="n">
        <f aca="false">Inputs_Treatments!$D$14</f>
        <v>0.85</v>
      </c>
      <c r="AE25" s="29" t="n">
        <f aca="false">COUNTIFS(Weather!$K$2:$K$159,1,Weather!$A$2:$A$159,"&gt;="&amp;(G25+36),Weather!$A$2:$A$159,"&lt;="&amp;F25)</f>
        <v>5</v>
      </c>
      <c r="AF25" s="30" t="n">
        <f aca="false">Inputs_Treatments!$C$20*Inputs_Treatments!$E$14*Inputs_Treatments!$D$5</f>
        <v>8.1</v>
      </c>
      <c r="AG25" s="13" t="str">
        <f aca="false">IF(AF25&lt;=0,"Healthy",IF(AF25&lt;=5,"Very low",IF(AF25&lt;=10,"Low",IF(AF25&lt;=25,"Moderate",IF(AF25&lt;=50,"High","Very high")))))</f>
        <v>Low</v>
      </c>
      <c r="AH25" s="29" t="n">
        <f aca="false">MATCH(AG25,Severity_Classes!$A$4:$A$9,0)</f>
        <v>3</v>
      </c>
      <c r="AI25" s="13" t="str">
        <f aca="false">"Reference: healthy (uninoculated) control plot"</f>
        <v>Reference: healthy (uninoculated) control plot</v>
      </c>
      <c r="AJ25" s="13" t="str">
        <f aca="false">IF(AND(I25&lt;8,2&gt;=4),"Unlikely (only via pre-inoculation natural infection)",IF(ABS(2-AH25)&lt;=1,"Likely",IF(ABS(2-AH25)=2,"Possible","Unlikely")))</f>
        <v>Likely</v>
      </c>
      <c r="AK25" s="13" t="str">
        <f aca="false">IF(AND(I25&lt;8,3&gt;=4),"Unlikely (only via pre-inoculation natural infection)",IF(ABS(3-AH25)&lt;=1,"Likely",IF(ABS(3-AH25)=2,"Possible","Unlikely")))</f>
        <v>Likely</v>
      </c>
      <c r="AL25" s="13" t="str">
        <f aca="false">IF(AND(I25&lt;8,4&gt;=4),"Unlikely (only via pre-inoculation natural infection)",IF(ABS(4-AH25)&lt;=1,"Likely",IF(ABS(4-AH25)=2,"Possible","Unlikely")))</f>
        <v>Likely</v>
      </c>
      <c r="AM25" s="13" t="str">
        <f aca="false">IF(AND(I25&lt;8,5&gt;=4),"Unlikely (only via pre-inoculation natural infection)",IF(ABS(5-AH25)&lt;=1,"Likely",IF(ABS(5-AH25)=2,"Possible","Unlikely")))</f>
        <v>Possible</v>
      </c>
      <c r="AN25" s="13" t="str">
        <f aca="false">IF(AND(I25&lt;8,6&gt;=4),"Unlikely (only via pre-inoculation natural infection)",IF(ABS(6-AH25)&lt;=1,"Likely",IF(ABS(6-AH25)=2,"Possible","Unlikely")))</f>
        <v>Unlikely</v>
      </c>
    </row>
    <row r="26" customFormat="false" ht="15" hidden="false" customHeight="false" outlineLevel="0" collapsed="false">
      <c r="A26" s="13" t="str">
        <f aca="false">B26&amp;"|"&amp;E26</f>
        <v>D2V3|03/03/2026</v>
      </c>
      <c r="B26" s="27" t="s">
        <v>348</v>
      </c>
      <c r="C26" s="13" t="s">
        <v>129</v>
      </c>
      <c r="D26" s="13" t="s">
        <v>150</v>
      </c>
      <c r="E26" s="13" t="s">
        <v>162</v>
      </c>
      <c r="F26" s="28" t="n">
        <f aca="false">Inputs_Treatments!$B$21</f>
        <v>46084</v>
      </c>
      <c r="G26" s="28" t="n">
        <f aca="false">Inputs_Treatments!$B$5</f>
        <v>46009</v>
      </c>
      <c r="H26" s="29" t="n">
        <f aca="false">F26-G26</f>
        <v>75</v>
      </c>
      <c r="I26" s="29" t="n">
        <f aca="false">F26-Inputs_General!$C$6</f>
        <v>26</v>
      </c>
      <c r="J26" s="29" t="n">
        <f aca="false">SUMIFS(Weather!$H$2:$H$159,Weather!$A$2:$A$159,"&gt;="&amp;G26,Weather!$A$2:$A$159,"&lt;="&amp;F26)</f>
        <v>764.1</v>
      </c>
      <c r="K26" s="29" t="n">
        <f aca="false">J26-Inputs_General!$C$5</f>
        <v>654.1</v>
      </c>
      <c r="L26" s="15" t="s">
        <v>341</v>
      </c>
      <c r="M26" s="13" t="str">
        <f aca="false">IF(L26="V","3rd fully expanded leaf from top","5th fully expanded leaf from top")</f>
        <v>5th fully expanded leaf from top</v>
      </c>
      <c r="N26" s="30" t="n">
        <f aca="false">AVERAGEIFS(Weather!$B$2:$B$159,Weather!$A$2:$A$159,"&gt;="&amp;(F26-6),Weather!$A$2:$A$159,"&lt;="&amp;F26)</f>
        <v>30.4714285714286</v>
      </c>
      <c r="O26" s="30" t="n">
        <f aca="false">AVERAGEIFS(Weather!$C$2:$C$159,Weather!$A$2:$A$159,"&gt;="&amp;(F26-6),Weather!$A$2:$A$159,"&lt;="&amp;F26)</f>
        <v>11.9571428571429</v>
      </c>
      <c r="P26" s="30" t="n">
        <f aca="false">AVERAGEIFS(Weather!$E$2:$E$159,Weather!$A$2:$A$159,"&gt;="&amp;(F26-6),Weather!$A$2:$A$159,"&lt;="&amp;F26)</f>
        <v>90.1428571428571</v>
      </c>
      <c r="Q26" s="30" t="n">
        <f aca="false">AVERAGEIFS(Weather!$F$2:$F$159,Weather!$A$2:$A$159,"&gt;="&amp;(F26-6),Weather!$A$2:$A$159,"&lt;="&amp;F26)</f>
        <v>33.5714285714286</v>
      </c>
      <c r="R26" s="31" t="n">
        <f aca="false">MAX(0,(N26-Inputs_General!$C$7)/Inputs_General!$C$8)</f>
        <v>0.433928571428571</v>
      </c>
      <c r="S26" s="30" t="n">
        <f aca="false">O26+Inputs_General!$C$9*(N26-O26)</f>
        <v>26.7685714285714</v>
      </c>
      <c r="T26" s="30" t="n">
        <f aca="false">Q26+Inputs_General!$C$10*(P26-Q26)</f>
        <v>50.5428571428571</v>
      </c>
      <c r="U26" s="31" t="n">
        <f aca="false">0.6108*EXP(17.27*S26/(S26+237.3))*(1-T26/100)</f>
        <v>1.73951545534029</v>
      </c>
      <c r="V26" s="30" t="n">
        <f aca="false">O26+Inputs_General!$C$11*(N26-O26)</f>
        <v>28.62</v>
      </c>
      <c r="W26" s="30" t="n">
        <f aca="false">Q26+Inputs_General!$C$12*(P26-Q26)</f>
        <v>42.0571428571429</v>
      </c>
      <c r="X26" s="31" t="n">
        <f aca="false">0.6108*EXP(17.27*V26/(V26+237.3))*(1-W26/100)</f>
        <v>2.27051923122539</v>
      </c>
      <c r="Y26" s="30" t="n">
        <f aca="false">V26+Inputs_General!$C$14-Inputs_General!$C$15*X26</f>
        <v>25.3060134606718</v>
      </c>
      <c r="Z26" s="30" t="n">
        <f aca="false">V26+Inputs_General!$C$16</f>
        <v>32.62</v>
      </c>
      <c r="AA26" s="31" t="n">
        <f aca="false">IF(L26="V",Inputs_General!$C$17,IF(L26="F",Inputs_General!$C$18,Inputs_General!$C$19))+Inputs_General!$C$20*R26</f>
        <v>0.221696428571429</v>
      </c>
      <c r="AB26" s="31" t="n">
        <f aca="false">Inputs_Treatments!$C$5*Inputs_Treatments!$F$14*(1/(1+EXP(-(K26-Inputs_General!$C$27)/Inputs_General!$C$28)))*EXP(-((MAX(0,K26-Inputs_General!$C$29)/Inputs_General!$C$30)^2))</f>
        <v>3.07951475277641</v>
      </c>
      <c r="AC26" s="21" t="n">
        <f aca="false">Inputs_Treatments!$G$5</f>
        <v>1</v>
      </c>
      <c r="AD26" s="21" t="n">
        <f aca="false">Inputs_Treatments!$D$14</f>
        <v>0.85</v>
      </c>
      <c r="AE26" s="29" t="n">
        <f aca="false">COUNTIFS(Weather!$K$2:$K$159,1,Weather!$A$2:$A$159,"&gt;="&amp;(G26+36),Weather!$A$2:$A$159,"&lt;="&amp;F26)</f>
        <v>5</v>
      </c>
      <c r="AF26" s="30" t="n">
        <f aca="false">Inputs_Treatments!$C$21*Inputs_Treatments!$E$14*Inputs_Treatments!$D$5</f>
        <v>12.6</v>
      </c>
      <c r="AG26" s="13" t="str">
        <f aca="false">IF(AF26&lt;=0,"Healthy",IF(AF26&lt;=5,"Very low",IF(AF26&lt;=10,"Low",IF(AF26&lt;=25,"Moderate",IF(AF26&lt;=50,"High","Very high")))))</f>
        <v>Moderate</v>
      </c>
      <c r="AH26" s="29" t="n">
        <f aca="false">MATCH(AG26,Severity_Classes!$A$4:$A$9,0)</f>
        <v>4</v>
      </c>
      <c r="AI26" s="13" t="str">
        <f aca="false">"Reference: healthy (uninoculated) control plot"</f>
        <v>Reference: healthy (uninoculated) control plot</v>
      </c>
      <c r="AJ26" s="13" t="str">
        <f aca="false">IF(AND(I26&lt;8,2&gt;=4),"Unlikely (only via pre-inoculation natural infection)",IF(ABS(2-AH26)&lt;=1,"Likely",IF(ABS(2-AH26)=2,"Possible","Unlikely")))</f>
        <v>Possible</v>
      </c>
      <c r="AK26" s="13" t="str">
        <f aca="false">IF(AND(I26&lt;8,3&gt;=4),"Unlikely (only via pre-inoculation natural infection)",IF(ABS(3-AH26)&lt;=1,"Likely",IF(ABS(3-AH26)=2,"Possible","Unlikely")))</f>
        <v>Likely</v>
      </c>
      <c r="AL26" s="13" t="str">
        <f aca="false">IF(AND(I26&lt;8,4&gt;=4),"Unlikely (only via pre-inoculation natural infection)",IF(ABS(4-AH26)&lt;=1,"Likely",IF(ABS(4-AH26)=2,"Possible","Unlikely")))</f>
        <v>Likely</v>
      </c>
      <c r="AM26" s="13" t="str">
        <f aca="false">IF(AND(I26&lt;8,5&gt;=4),"Unlikely (only via pre-inoculation natural infection)",IF(ABS(5-AH26)&lt;=1,"Likely",IF(ABS(5-AH26)=2,"Possible","Unlikely")))</f>
        <v>Likely</v>
      </c>
      <c r="AN26" s="13" t="str">
        <f aca="false">IF(AND(I26&lt;8,6&gt;=4),"Unlikely (only via pre-inoculation natural infection)",IF(ABS(6-AH26)&lt;=1,"Likely",IF(ABS(6-AH26)=2,"Possible","Unlikely")))</f>
        <v>Possible</v>
      </c>
    </row>
    <row r="27" customFormat="false" ht="15" hidden="false" customHeight="false" outlineLevel="0" collapsed="false">
      <c r="A27" s="13" t="str">
        <f aca="false">B27&amp;"|"&amp;E27</f>
        <v>D2V3|13/03/2026</v>
      </c>
      <c r="B27" s="27" t="s">
        <v>348</v>
      </c>
      <c r="C27" s="13" t="s">
        <v>129</v>
      </c>
      <c r="D27" s="13" t="s">
        <v>150</v>
      </c>
      <c r="E27" s="13" t="s">
        <v>164</v>
      </c>
      <c r="F27" s="28" t="n">
        <f aca="false">Inputs_Treatments!$B$22</f>
        <v>46094</v>
      </c>
      <c r="G27" s="28" t="n">
        <f aca="false">Inputs_Treatments!$B$5</f>
        <v>46009</v>
      </c>
      <c r="H27" s="29" t="n">
        <f aca="false">F27-G27</f>
        <v>85</v>
      </c>
      <c r="I27" s="29" t="n">
        <f aca="false">F27-Inputs_General!$C$6</f>
        <v>36</v>
      </c>
      <c r="J27" s="29" t="n">
        <f aca="false">SUMIFS(Weather!$H$2:$H$159,Weather!$A$2:$A$159,"&gt;="&amp;G27,Weather!$A$2:$A$159,"&lt;="&amp;F27)</f>
        <v>962.1</v>
      </c>
      <c r="K27" s="29" t="n">
        <f aca="false">J27-Inputs_General!$C$5</f>
        <v>852.1</v>
      </c>
      <c r="L27" s="15" t="s">
        <v>342</v>
      </c>
      <c r="M27" s="13" t="str">
        <f aca="false">IF(L27="V","3rd fully expanded leaf from top","5th fully expanded leaf from top")</f>
        <v>5th fully expanded leaf from top</v>
      </c>
      <c r="N27" s="30" t="n">
        <f aca="false">AVERAGEIFS(Weather!$B$2:$B$159,Weather!$A$2:$A$159,"&gt;="&amp;(F27-6),Weather!$A$2:$A$159,"&lt;="&amp;F27)</f>
        <v>34.6285714285714</v>
      </c>
      <c r="O27" s="30" t="n">
        <f aca="false">AVERAGEIFS(Weather!$C$2:$C$159,Weather!$A$2:$A$159,"&gt;="&amp;(F27-6),Weather!$A$2:$A$159,"&lt;="&amp;F27)</f>
        <v>16.2142857142857</v>
      </c>
      <c r="P27" s="30" t="n">
        <f aca="false">AVERAGEIFS(Weather!$E$2:$E$159,Weather!$A$2:$A$159,"&gt;="&amp;(F27-6),Weather!$A$2:$A$159,"&lt;="&amp;F27)</f>
        <v>90.7142857142857</v>
      </c>
      <c r="Q27" s="30" t="n">
        <f aca="false">AVERAGEIFS(Weather!$F$2:$F$159,Weather!$A$2:$A$159,"&gt;="&amp;(F27-6),Weather!$A$2:$A$159,"&lt;="&amp;F27)</f>
        <v>34.1428571428571</v>
      </c>
      <c r="R27" s="31" t="n">
        <f aca="false">MAX(0,(N27-Inputs_General!$C$7)/Inputs_General!$C$8)</f>
        <v>0.953571428571428</v>
      </c>
      <c r="S27" s="30" t="n">
        <f aca="false">O27+Inputs_General!$C$9*(N27-O27)</f>
        <v>30.9457142857143</v>
      </c>
      <c r="T27" s="30" t="n">
        <f aca="false">Q27+Inputs_General!$C$10*(P27-Q27)</f>
        <v>51.1142857142857</v>
      </c>
      <c r="U27" s="31" t="n">
        <f aca="false">0.6108*EXP(17.27*S27/(S27+237.3))*(1-T27/100)</f>
        <v>2.18945736698217</v>
      </c>
      <c r="V27" s="30" t="n">
        <f aca="false">O27+Inputs_General!$C$11*(N27-O27)</f>
        <v>32.7871428571429</v>
      </c>
      <c r="W27" s="30" t="n">
        <f aca="false">Q27+Inputs_General!$C$12*(P27-Q27)</f>
        <v>42.6285714285714</v>
      </c>
      <c r="X27" s="31" t="n">
        <f aca="false">0.6108*EXP(17.27*V27/(V27+237.3))*(1-W27/100)</f>
        <v>2.85158987109622</v>
      </c>
      <c r="Y27" s="30" t="n">
        <f aca="false">V27+Inputs_General!$C$14-Inputs_General!$C$15*X27</f>
        <v>28.36912210206</v>
      </c>
      <c r="Z27" s="30" t="n">
        <f aca="false">V27+Inputs_General!$C$16</f>
        <v>36.7871428571429</v>
      </c>
      <c r="AA27" s="31" t="n">
        <f aca="false">IF(L27="V",Inputs_General!$C$17,IF(L27="F",Inputs_General!$C$18,Inputs_General!$C$19))+Inputs_General!$C$20*R27</f>
        <v>0.347678571428571</v>
      </c>
      <c r="AB27" s="31" t="n">
        <f aca="false">Inputs_Treatments!$C$5*Inputs_Treatments!$F$14*(1/(1+EXP(-(K27-Inputs_General!$C$27)/Inputs_General!$C$28)))*EXP(-((MAX(0,K27-Inputs_General!$C$29)/Inputs_General!$C$30)^2))</f>
        <v>3.08824606193307</v>
      </c>
      <c r="AC27" s="21" t="n">
        <f aca="false">Inputs_Treatments!$H$5</f>
        <v>1</v>
      </c>
      <c r="AD27" s="21" t="n">
        <f aca="false">Inputs_Treatments!$D$14</f>
        <v>0.85</v>
      </c>
      <c r="AE27" s="29" t="n">
        <f aca="false">COUNTIFS(Weather!$K$2:$K$159,1,Weather!$A$2:$A$159,"&gt;="&amp;(G27+36),Weather!$A$2:$A$159,"&lt;="&amp;F27)</f>
        <v>5</v>
      </c>
      <c r="AF27" s="30" t="n">
        <f aca="false">Inputs_Treatments!$C$22*Inputs_Treatments!$E$14*Inputs_Treatments!$D$5</f>
        <v>15.75</v>
      </c>
      <c r="AG27" s="13" t="str">
        <f aca="false">IF(AF27&lt;=0,"Healthy",IF(AF27&lt;=5,"Very low",IF(AF27&lt;=10,"Low",IF(AF27&lt;=25,"Moderate",IF(AF27&lt;=50,"High","Very high")))))</f>
        <v>Moderate</v>
      </c>
      <c r="AH27" s="29" t="n">
        <f aca="false">MATCH(AG27,Severity_Classes!$A$4:$A$9,0)</f>
        <v>4</v>
      </c>
      <c r="AI27" s="13" t="str">
        <f aca="false">"Reference: healthy (uninoculated) control plot"</f>
        <v>Reference: healthy (uninoculated) control plot</v>
      </c>
      <c r="AJ27" s="13" t="str">
        <f aca="false">IF(AND(I27&lt;8,2&gt;=4),"Unlikely (only via pre-inoculation natural infection)",IF(ABS(2-AH27)&lt;=1,"Likely",IF(ABS(2-AH27)=2,"Possible","Unlikely")))</f>
        <v>Possible</v>
      </c>
      <c r="AK27" s="13" t="str">
        <f aca="false">IF(AND(I27&lt;8,3&gt;=4),"Unlikely (only via pre-inoculation natural infection)",IF(ABS(3-AH27)&lt;=1,"Likely",IF(ABS(3-AH27)=2,"Possible","Unlikely")))</f>
        <v>Likely</v>
      </c>
      <c r="AL27" s="13" t="str">
        <f aca="false">IF(AND(I27&lt;8,4&gt;=4),"Unlikely (only via pre-inoculation natural infection)",IF(ABS(4-AH27)&lt;=1,"Likely",IF(ABS(4-AH27)=2,"Possible","Unlikely")))</f>
        <v>Likely</v>
      </c>
      <c r="AM27" s="13" t="str">
        <f aca="false">IF(AND(I27&lt;8,5&gt;=4),"Unlikely (only via pre-inoculation natural infection)",IF(ABS(5-AH27)&lt;=1,"Likely",IF(ABS(5-AH27)=2,"Possible","Unlikely")))</f>
        <v>Likely</v>
      </c>
      <c r="AN27" s="13" t="str">
        <f aca="false">IF(AND(I27&lt;8,6&gt;=4),"Unlikely (only via pre-inoculation natural infection)",IF(ABS(6-AH27)&lt;=1,"Likely",IF(ABS(6-AH27)=2,"Possible","Unlikely")))</f>
        <v>Possible</v>
      </c>
    </row>
    <row r="28" customFormat="false" ht="15" hidden="false" customHeight="false" outlineLevel="0" collapsed="false">
      <c r="A28" s="13" t="str">
        <f aca="false">B28&amp;"|"&amp;E28</f>
        <v>D3V1|11/02/2026</v>
      </c>
      <c r="B28" s="27" t="s">
        <v>349</v>
      </c>
      <c r="C28" s="13" t="s">
        <v>131</v>
      </c>
      <c r="D28" s="13" t="s">
        <v>142</v>
      </c>
      <c r="E28" s="13" t="s">
        <v>158</v>
      </c>
      <c r="F28" s="28" t="n">
        <f aca="false">Inputs_Treatments!$B$19</f>
        <v>46064</v>
      </c>
      <c r="G28" s="28" t="n">
        <f aca="false">Inputs_Treatments!$B$6</f>
        <v>46018</v>
      </c>
      <c r="H28" s="29" t="n">
        <f aca="false">F28-G28</f>
        <v>46</v>
      </c>
      <c r="I28" s="29" t="n">
        <f aca="false">F28-Inputs_General!$C$6</f>
        <v>6</v>
      </c>
      <c r="J28" s="29" t="n">
        <f aca="false">SUMIFS(Weather!$H$2:$H$159,Weather!$A$2:$A$159,"&gt;="&amp;G28,Weather!$A$2:$A$159,"&lt;="&amp;F28)</f>
        <v>389.85</v>
      </c>
      <c r="K28" s="29" t="n">
        <f aca="false">J28-Inputs_General!$C$5</f>
        <v>279.85</v>
      </c>
      <c r="L28" s="15" t="s">
        <v>344</v>
      </c>
      <c r="M28" s="13" t="str">
        <f aca="false">IF(L28="V","3rd fully expanded leaf from top","5th fully expanded leaf from top")</f>
        <v>3rd fully expanded leaf from top</v>
      </c>
      <c r="N28" s="30" t="n">
        <f aca="false">AVERAGEIFS(Weather!$B$2:$B$159,Weather!$A$2:$A$159,"&gt;="&amp;(F28-6),Weather!$A$2:$A$159,"&lt;="&amp;F28)</f>
        <v>24.1428571428571</v>
      </c>
      <c r="O28" s="30" t="n">
        <f aca="false">AVERAGEIFS(Weather!$C$2:$C$159,Weather!$A$2:$A$159,"&gt;="&amp;(F28-6),Weather!$A$2:$A$159,"&lt;="&amp;F28)</f>
        <v>8.97142857142857</v>
      </c>
      <c r="P28" s="30" t="n">
        <f aca="false">AVERAGEIFS(Weather!$E$2:$E$159,Weather!$A$2:$A$159,"&gt;="&amp;(F28-6),Weather!$A$2:$A$159,"&lt;="&amp;F28)</f>
        <v>94.1428571428571</v>
      </c>
      <c r="Q28" s="30" t="n">
        <f aca="false">AVERAGEIFS(Weather!$F$2:$F$159,Weather!$A$2:$A$159,"&gt;="&amp;(F28-6),Weather!$A$2:$A$159,"&lt;="&amp;F28)</f>
        <v>49</v>
      </c>
      <c r="R28" s="31" t="n">
        <f aca="false">MAX(0,(N28-Inputs_General!$C$7)/Inputs_General!$C$8)</f>
        <v>0</v>
      </c>
      <c r="S28" s="30" t="n">
        <f aca="false">O28+Inputs_General!$C$9*(N28-O28)</f>
        <v>21.1085714285714</v>
      </c>
      <c r="T28" s="30" t="n">
        <f aca="false">Q28+Inputs_General!$C$10*(P28-Q28)</f>
        <v>62.5428571428571</v>
      </c>
      <c r="U28" s="31" t="n">
        <f aca="false">0.6108*EXP(17.27*S28/(S28+237.3))*(1-T28/100)</f>
        <v>0.937791824040773</v>
      </c>
      <c r="V28" s="30" t="n">
        <f aca="false">O28+Inputs_General!$C$11*(N28-O28)</f>
        <v>22.6257142857143</v>
      </c>
      <c r="W28" s="30" t="n">
        <f aca="false">Q28+Inputs_General!$C$12*(P28-Q28)</f>
        <v>55.7714285714286</v>
      </c>
      <c r="X28" s="31" t="n">
        <f aca="false">0.6108*EXP(17.27*V28/(V28+237.3))*(1-W28/100)</f>
        <v>1.21472070203065</v>
      </c>
      <c r="Y28" s="30" t="n">
        <f aca="false">V28+Inputs_General!$C$14-Inputs_General!$C$15*X28</f>
        <v>21.3177449518561</v>
      </c>
      <c r="Z28" s="30" t="n">
        <f aca="false">V28+Inputs_General!$C$16</f>
        <v>26.6257142857143</v>
      </c>
      <c r="AA28" s="31" t="n">
        <f aca="false">IF(L28="V",Inputs_General!$C$17,IF(L28="F",Inputs_General!$C$18,Inputs_General!$C$19))+Inputs_General!$C$20*R28</f>
        <v>0.12</v>
      </c>
      <c r="AB28" s="31" t="n">
        <f aca="false">Inputs_Treatments!$C$6*Inputs_Treatments!$F$12*(1/(1+EXP(-(K28-Inputs_General!$C$27)/Inputs_General!$C$28)))*EXP(-((MAX(0,K28-Inputs_General!$C$29)/Inputs_General!$C$30)^2))</f>
        <v>1.03915356823757</v>
      </c>
      <c r="AC28" s="21" t="n">
        <f aca="false">Inputs_Treatments!$E$6</f>
        <v>1.2</v>
      </c>
      <c r="AD28" s="21" t="n">
        <f aca="false">Inputs_Treatments!$D$12</f>
        <v>1</v>
      </c>
      <c r="AE28" s="29" t="n">
        <f aca="false">COUNTIFS(Weather!$K$2:$K$159,1,Weather!$A$2:$A$159,"&gt;="&amp;(G28+36),Weather!$A$2:$A$159,"&lt;="&amp;F28)</f>
        <v>3</v>
      </c>
      <c r="AF28" s="30" t="n">
        <f aca="false">Inputs_Treatments!$C$19*Inputs_Treatments!$E$12*Inputs_Treatments!$D$6</f>
        <v>1.8</v>
      </c>
      <c r="AG28" s="13" t="str">
        <f aca="false">IF(AF28&lt;=0,"Healthy",IF(AF28&lt;=5,"Very low",IF(AF28&lt;=10,"Low",IF(AF28&lt;=25,"Moderate",IF(AF28&lt;=50,"High","Very high")))))</f>
        <v>Very low</v>
      </c>
      <c r="AH28" s="29" t="n">
        <f aca="false">MATCH(AG28,Severity_Classes!$A$4:$A$9,0)</f>
        <v>2</v>
      </c>
      <c r="AI28" s="13" t="str">
        <f aca="false">"Reference: healthy (uninoculated) control plot"</f>
        <v>Reference: healthy (uninoculated) control plot</v>
      </c>
      <c r="AJ28" s="13" t="str">
        <f aca="false">IF(AND(I28&lt;8,2&gt;=4),"Unlikely (only via pre-inoculation natural infection)",IF(ABS(2-AH28)&lt;=1,"Likely",IF(ABS(2-AH28)=2,"Possible","Unlikely")))</f>
        <v>Likely</v>
      </c>
      <c r="AK28" s="13" t="str">
        <f aca="false">IF(AND(I28&lt;8,3&gt;=4),"Unlikely (only via pre-inoculation natural infection)",IF(ABS(3-AH28)&lt;=1,"Likely",IF(ABS(3-AH28)=2,"Possible","Unlikely")))</f>
        <v>Likely</v>
      </c>
      <c r="AL28" s="13" t="str">
        <f aca="false">IF(AND(I28&lt;8,4&gt;=4),"Unlikely (only via pre-inoculation natural infection)",IF(ABS(4-AH28)&lt;=1,"Likely",IF(ABS(4-AH28)=2,"Possible","Unlikely")))</f>
        <v>Unlikely (only via pre-inoculation natural infection)</v>
      </c>
      <c r="AM28" s="13" t="str">
        <f aca="false">IF(AND(I28&lt;8,5&gt;=4),"Unlikely (only via pre-inoculation natural infection)",IF(ABS(5-AH28)&lt;=1,"Likely",IF(ABS(5-AH28)=2,"Possible","Unlikely")))</f>
        <v>Unlikely (only via pre-inoculation natural infection)</v>
      </c>
      <c r="AN28" s="13" t="str">
        <f aca="false">IF(AND(I28&lt;8,6&gt;=4),"Unlikely (only via pre-inoculation natural infection)",IF(ABS(6-AH28)&lt;=1,"Likely",IF(ABS(6-AH28)=2,"Possible","Unlikely")))</f>
        <v>Unlikely (only via pre-inoculation natural infection)</v>
      </c>
    </row>
    <row r="29" customFormat="false" ht="15" hidden="false" customHeight="false" outlineLevel="0" collapsed="false">
      <c r="A29" s="13" t="str">
        <f aca="false">B29&amp;"|"&amp;E29</f>
        <v>D3V1|24/02/2026</v>
      </c>
      <c r="B29" s="27" t="s">
        <v>349</v>
      </c>
      <c r="C29" s="13" t="s">
        <v>131</v>
      </c>
      <c r="D29" s="13" t="s">
        <v>142</v>
      </c>
      <c r="E29" s="13" t="s">
        <v>160</v>
      </c>
      <c r="F29" s="28" t="n">
        <f aca="false">Inputs_Treatments!$B$20</f>
        <v>46077</v>
      </c>
      <c r="G29" s="28" t="n">
        <f aca="false">Inputs_Treatments!$B$6</f>
        <v>46018</v>
      </c>
      <c r="H29" s="29" t="n">
        <f aca="false">F29-G29</f>
        <v>59</v>
      </c>
      <c r="I29" s="29" t="n">
        <f aca="false">F29-Inputs_General!$C$6</f>
        <v>19</v>
      </c>
      <c r="J29" s="29" t="n">
        <f aca="false">SUMIFS(Weather!$H$2:$H$159,Weather!$A$2:$A$159,"&gt;="&amp;G29,Weather!$A$2:$A$159,"&lt;="&amp;F29)</f>
        <v>564.75</v>
      </c>
      <c r="K29" s="29" t="n">
        <f aca="false">J29-Inputs_General!$C$5</f>
        <v>454.75</v>
      </c>
      <c r="L29" s="15" t="s">
        <v>341</v>
      </c>
      <c r="M29" s="13" t="str">
        <f aca="false">IF(L29="V","3rd fully expanded leaf from top","5th fully expanded leaf from top")</f>
        <v>5th fully expanded leaf from top</v>
      </c>
      <c r="N29" s="30" t="n">
        <f aca="false">AVERAGEIFS(Weather!$B$2:$B$159,Weather!$A$2:$A$159,"&gt;="&amp;(F29-6),Weather!$A$2:$A$159,"&lt;="&amp;F29)</f>
        <v>27.1857142857143</v>
      </c>
      <c r="O29" s="30" t="n">
        <f aca="false">AVERAGEIFS(Weather!$C$2:$C$159,Weather!$A$2:$A$159,"&gt;="&amp;(F29-6),Weather!$A$2:$A$159,"&lt;="&amp;F29)</f>
        <v>11.1142857142857</v>
      </c>
      <c r="P29" s="30" t="n">
        <f aca="false">AVERAGEIFS(Weather!$E$2:$E$159,Weather!$A$2:$A$159,"&gt;="&amp;(F29-6),Weather!$A$2:$A$159,"&lt;="&amp;F29)</f>
        <v>94.2857142857143</v>
      </c>
      <c r="Q29" s="30" t="n">
        <f aca="false">AVERAGEIFS(Weather!$F$2:$F$159,Weather!$A$2:$A$159,"&gt;="&amp;(F29-6),Weather!$A$2:$A$159,"&lt;="&amp;F29)</f>
        <v>45.1428571428571</v>
      </c>
      <c r="R29" s="31" t="n">
        <f aca="false">MAX(0,(N29-Inputs_General!$C$7)/Inputs_General!$C$8)</f>
        <v>0.0232142857142859</v>
      </c>
      <c r="S29" s="30" t="n">
        <f aca="false">O29+Inputs_General!$C$9*(N29-O29)</f>
        <v>23.9714285714286</v>
      </c>
      <c r="T29" s="30" t="n">
        <f aca="false">Q29+Inputs_General!$C$10*(P29-Q29)</f>
        <v>59.8857142857143</v>
      </c>
      <c r="U29" s="31" t="n">
        <f aca="false">0.6108*EXP(17.27*S29/(S29+237.3))*(1-T29/100)</f>
        <v>1.19492600027053</v>
      </c>
      <c r="V29" s="30" t="n">
        <f aca="false">O29+Inputs_General!$C$11*(N29-O29)</f>
        <v>25.5785714285714</v>
      </c>
      <c r="W29" s="30" t="n">
        <f aca="false">Q29+Inputs_General!$C$12*(P29-Q29)</f>
        <v>52.5142857142857</v>
      </c>
      <c r="X29" s="31" t="n">
        <f aca="false">0.6108*EXP(17.27*V29/(V29+237.3))*(1-W29/100)</f>
        <v>1.55686779409338</v>
      </c>
      <c r="Y29" s="30" t="n">
        <f aca="false">V29+Inputs_General!$C$14-Inputs_General!$C$15*X29</f>
        <v>23.620522619794</v>
      </c>
      <c r="Z29" s="30" t="n">
        <f aca="false">V29+Inputs_General!$C$16</f>
        <v>29.5785714285714</v>
      </c>
      <c r="AA29" s="31" t="n">
        <f aca="false">IF(L29="V",Inputs_General!$C$17,IF(L29="F",Inputs_General!$C$18,Inputs_General!$C$19))+Inputs_General!$C$20*R29</f>
        <v>0.201160714285714</v>
      </c>
      <c r="AB29" s="31" t="n">
        <f aca="false">Inputs_Treatments!$C$6*Inputs_Treatments!$F$12*(1/(1+EXP(-(K29-Inputs_General!$C$27)/Inputs_General!$C$28)))*EXP(-((MAX(0,K29-Inputs_General!$C$29)/Inputs_General!$C$30)^2))</f>
        <v>2.14026803183101</v>
      </c>
      <c r="AC29" s="21" t="n">
        <f aca="false">Inputs_Treatments!$F$6</f>
        <v>1.05</v>
      </c>
      <c r="AD29" s="21" t="n">
        <f aca="false">Inputs_Treatments!$D$12</f>
        <v>1</v>
      </c>
      <c r="AE29" s="29" t="n">
        <f aca="false">COUNTIFS(Weather!$K$2:$K$159,1,Weather!$A$2:$A$159,"&gt;="&amp;(G29+36),Weather!$A$2:$A$159,"&lt;="&amp;F29)</f>
        <v>3</v>
      </c>
      <c r="AF29" s="30" t="n">
        <f aca="false">Inputs_Treatments!$C$20*Inputs_Treatments!$E$12*Inputs_Treatments!$D$6</f>
        <v>10.8</v>
      </c>
      <c r="AG29" s="13" t="str">
        <f aca="false">IF(AF29&lt;=0,"Healthy",IF(AF29&lt;=5,"Very low",IF(AF29&lt;=10,"Low",IF(AF29&lt;=25,"Moderate",IF(AF29&lt;=50,"High","Very high")))))</f>
        <v>Moderate</v>
      </c>
      <c r="AH29" s="29" t="n">
        <f aca="false">MATCH(AG29,Severity_Classes!$A$4:$A$9,0)</f>
        <v>4</v>
      </c>
      <c r="AI29" s="13" t="str">
        <f aca="false">"Reference: healthy (uninoculated) control plot"</f>
        <v>Reference: healthy (uninoculated) control plot</v>
      </c>
      <c r="AJ29" s="13" t="str">
        <f aca="false">IF(AND(I29&lt;8,2&gt;=4),"Unlikely (only via pre-inoculation natural infection)",IF(ABS(2-AH29)&lt;=1,"Likely",IF(ABS(2-AH29)=2,"Possible","Unlikely")))</f>
        <v>Possible</v>
      </c>
      <c r="AK29" s="13" t="str">
        <f aca="false">IF(AND(I29&lt;8,3&gt;=4),"Unlikely (only via pre-inoculation natural infection)",IF(ABS(3-AH29)&lt;=1,"Likely",IF(ABS(3-AH29)=2,"Possible","Unlikely")))</f>
        <v>Likely</v>
      </c>
      <c r="AL29" s="13" t="str">
        <f aca="false">IF(AND(I29&lt;8,4&gt;=4),"Unlikely (only via pre-inoculation natural infection)",IF(ABS(4-AH29)&lt;=1,"Likely",IF(ABS(4-AH29)=2,"Possible","Unlikely")))</f>
        <v>Likely</v>
      </c>
      <c r="AM29" s="13" t="str">
        <f aca="false">IF(AND(I29&lt;8,5&gt;=4),"Unlikely (only via pre-inoculation natural infection)",IF(ABS(5-AH29)&lt;=1,"Likely",IF(ABS(5-AH29)=2,"Possible","Unlikely")))</f>
        <v>Likely</v>
      </c>
      <c r="AN29" s="13" t="str">
        <f aca="false">IF(AND(I29&lt;8,6&gt;=4),"Unlikely (only via pre-inoculation natural infection)",IF(ABS(6-AH29)&lt;=1,"Likely",IF(ABS(6-AH29)=2,"Possible","Unlikely")))</f>
        <v>Possible</v>
      </c>
    </row>
    <row r="30" customFormat="false" ht="15" hidden="false" customHeight="false" outlineLevel="0" collapsed="false">
      <c r="A30" s="13" t="str">
        <f aca="false">B30&amp;"|"&amp;E30</f>
        <v>D3V1|03/03/2026</v>
      </c>
      <c r="B30" s="27" t="s">
        <v>349</v>
      </c>
      <c r="C30" s="13" t="s">
        <v>131</v>
      </c>
      <c r="D30" s="13" t="s">
        <v>142</v>
      </c>
      <c r="E30" s="13" t="s">
        <v>162</v>
      </c>
      <c r="F30" s="28" t="n">
        <f aca="false">Inputs_Treatments!$B$21</f>
        <v>46084</v>
      </c>
      <c r="G30" s="28" t="n">
        <f aca="false">Inputs_Treatments!$B$6</f>
        <v>46018</v>
      </c>
      <c r="H30" s="29" t="n">
        <f aca="false">F30-G30</f>
        <v>66</v>
      </c>
      <c r="I30" s="29" t="n">
        <f aca="false">F30-Inputs_General!$C$6</f>
        <v>26</v>
      </c>
      <c r="J30" s="29" t="n">
        <f aca="false">SUMIFS(Weather!$H$2:$H$159,Weather!$A$2:$A$159,"&gt;="&amp;G30,Weather!$A$2:$A$159,"&lt;="&amp;F30)</f>
        <v>678.25</v>
      </c>
      <c r="K30" s="29" t="n">
        <f aca="false">J30-Inputs_General!$C$5</f>
        <v>568.25</v>
      </c>
      <c r="L30" s="15" t="s">
        <v>341</v>
      </c>
      <c r="M30" s="13" t="str">
        <f aca="false">IF(L30="V","3rd fully expanded leaf from top","5th fully expanded leaf from top")</f>
        <v>5th fully expanded leaf from top</v>
      </c>
      <c r="N30" s="30" t="n">
        <f aca="false">AVERAGEIFS(Weather!$B$2:$B$159,Weather!$A$2:$A$159,"&gt;="&amp;(F30-6),Weather!$A$2:$A$159,"&lt;="&amp;F30)</f>
        <v>30.4714285714286</v>
      </c>
      <c r="O30" s="30" t="n">
        <f aca="false">AVERAGEIFS(Weather!$C$2:$C$159,Weather!$A$2:$A$159,"&gt;="&amp;(F30-6),Weather!$A$2:$A$159,"&lt;="&amp;F30)</f>
        <v>11.9571428571429</v>
      </c>
      <c r="P30" s="30" t="n">
        <f aca="false">AVERAGEIFS(Weather!$E$2:$E$159,Weather!$A$2:$A$159,"&gt;="&amp;(F30-6),Weather!$A$2:$A$159,"&lt;="&amp;F30)</f>
        <v>90.1428571428571</v>
      </c>
      <c r="Q30" s="30" t="n">
        <f aca="false">AVERAGEIFS(Weather!$F$2:$F$159,Weather!$A$2:$A$159,"&gt;="&amp;(F30-6),Weather!$A$2:$A$159,"&lt;="&amp;F30)</f>
        <v>33.5714285714286</v>
      </c>
      <c r="R30" s="31" t="n">
        <f aca="false">MAX(0,(N30-Inputs_General!$C$7)/Inputs_General!$C$8)</f>
        <v>0.433928571428571</v>
      </c>
      <c r="S30" s="30" t="n">
        <f aca="false">O30+Inputs_General!$C$9*(N30-O30)</f>
        <v>26.7685714285714</v>
      </c>
      <c r="T30" s="30" t="n">
        <f aca="false">Q30+Inputs_General!$C$10*(P30-Q30)</f>
        <v>50.5428571428571</v>
      </c>
      <c r="U30" s="31" t="n">
        <f aca="false">0.6108*EXP(17.27*S30/(S30+237.3))*(1-T30/100)</f>
        <v>1.73951545534029</v>
      </c>
      <c r="V30" s="30" t="n">
        <f aca="false">O30+Inputs_General!$C$11*(N30-O30)</f>
        <v>28.62</v>
      </c>
      <c r="W30" s="30" t="n">
        <f aca="false">Q30+Inputs_General!$C$12*(P30-Q30)</f>
        <v>42.0571428571429</v>
      </c>
      <c r="X30" s="31" t="n">
        <f aca="false">0.6108*EXP(17.27*V30/(V30+237.3))*(1-W30/100)</f>
        <v>2.27051923122539</v>
      </c>
      <c r="Y30" s="30" t="n">
        <f aca="false">V30+Inputs_General!$C$14-Inputs_General!$C$15*X30</f>
        <v>25.3060134606718</v>
      </c>
      <c r="Z30" s="30" t="n">
        <f aca="false">V30+Inputs_General!$C$16</f>
        <v>32.62</v>
      </c>
      <c r="AA30" s="31" t="n">
        <f aca="false">IF(L30="V",Inputs_General!$C$17,IF(L30="F",Inputs_General!$C$18,Inputs_General!$C$19))+Inputs_General!$C$20*R30</f>
        <v>0.221696428571429</v>
      </c>
      <c r="AB30" s="31" t="n">
        <f aca="false">Inputs_Treatments!$C$6*Inputs_Treatments!$F$12*(1/(1+EXP(-(K30-Inputs_General!$C$27)/Inputs_General!$C$28)))*EXP(-((MAX(0,K30-Inputs_General!$C$29)/Inputs_General!$C$30)^2))</f>
        <v>2.52215585742532</v>
      </c>
      <c r="AC30" s="21" t="n">
        <f aca="false">Inputs_Treatments!$G$6</f>
        <v>1</v>
      </c>
      <c r="AD30" s="21" t="n">
        <f aca="false">Inputs_Treatments!$D$12</f>
        <v>1</v>
      </c>
      <c r="AE30" s="29" t="n">
        <f aca="false">COUNTIFS(Weather!$K$2:$K$159,1,Weather!$A$2:$A$159,"&gt;="&amp;(G30+36),Weather!$A$2:$A$159,"&lt;="&amp;F30)</f>
        <v>3</v>
      </c>
      <c r="AF30" s="30" t="n">
        <f aca="false">Inputs_Treatments!$C$21*Inputs_Treatments!$E$12*Inputs_Treatments!$D$6</f>
        <v>16.8</v>
      </c>
      <c r="AG30" s="13" t="str">
        <f aca="false">IF(AF30&lt;=0,"Healthy",IF(AF30&lt;=5,"Very low",IF(AF30&lt;=10,"Low",IF(AF30&lt;=25,"Moderate",IF(AF30&lt;=50,"High","Very high")))))</f>
        <v>Moderate</v>
      </c>
      <c r="AH30" s="29" t="n">
        <f aca="false">MATCH(AG30,Severity_Classes!$A$4:$A$9,0)</f>
        <v>4</v>
      </c>
      <c r="AI30" s="13" t="str">
        <f aca="false">"Reference: healthy (uninoculated) control plot"</f>
        <v>Reference: healthy (uninoculated) control plot</v>
      </c>
      <c r="AJ30" s="13" t="str">
        <f aca="false">IF(AND(I30&lt;8,2&gt;=4),"Unlikely (only via pre-inoculation natural infection)",IF(ABS(2-AH30)&lt;=1,"Likely",IF(ABS(2-AH30)=2,"Possible","Unlikely")))</f>
        <v>Possible</v>
      </c>
      <c r="AK30" s="13" t="str">
        <f aca="false">IF(AND(I30&lt;8,3&gt;=4),"Unlikely (only via pre-inoculation natural infection)",IF(ABS(3-AH30)&lt;=1,"Likely",IF(ABS(3-AH30)=2,"Possible","Unlikely")))</f>
        <v>Likely</v>
      </c>
      <c r="AL30" s="13" t="str">
        <f aca="false">IF(AND(I30&lt;8,4&gt;=4),"Unlikely (only via pre-inoculation natural infection)",IF(ABS(4-AH30)&lt;=1,"Likely",IF(ABS(4-AH30)=2,"Possible","Unlikely")))</f>
        <v>Likely</v>
      </c>
      <c r="AM30" s="13" t="str">
        <f aca="false">IF(AND(I30&lt;8,5&gt;=4),"Unlikely (only via pre-inoculation natural infection)",IF(ABS(5-AH30)&lt;=1,"Likely",IF(ABS(5-AH30)=2,"Possible","Unlikely")))</f>
        <v>Likely</v>
      </c>
      <c r="AN30" s="13" t="str">
        <f aca="false">IF(AND(I30&lt;8,6&gt;=4),"Unlikely (only via pre-inoculation natural infection)",IF(ABS(6-AH30)&lt;=1,"Likely",IF(ABS(6-AH30)=2,"Possible","Unlikely")))</f>
        <v>Possible</v>
      </c>
    </row>
    <row r="31" customFormat="false" ht="15" hidden="false" customHeight="false" outlineLevel="0" collapsed="false">
      <c r="A31" s="13" t="str">
        <f aca="false">B31&amp;"|"&amp;E31</f>
        <v>D3V1|13/03/2026</v>
      </c>
      <c r="B31" s="27" t="s">
        <v>349</v>
      </c>
      <c r="C31" s="13" t="s">
        <v>131</v>
      </c>
      <c r="D31" s="13" t="s">
        <v>142</v>
      </c>
      <c r="E31" s="13" t="s">
        <v>164</v>
      </c>
      <c r="F31" s="28" t="n">
        <f aca="false">Inputs_Treatments!$B$22</f>
        <v>46094</v>
      </c>
      <c r="G31" s="28" t="n">
        <f aca="false">Inputs_Treatments!$B$6</f>
        <v>46018</v>
      </c>
      <c r="H31" s="29" t="n">
        <f aca="false">F31-G31</f>
        <v>76</v>
      </c>
      <c r="I31" s="29" t="n">
        <f aca="false">F31-Inputs_General!$C$6</f>
        <v>36</v>
      </c>
      <c r="J31" s="29" t="n">
        <f aca="false">SUMIFS(Weather!$H$2:$H$159,Weather!$A$2:$A$159,"&gt;="&amp;G31,Weather!$A$2:$A$159,"&lt;="&amp;F31)</f>
        <v>876.25</v>
      </c>
      <c r="K31" s="29" t="n">
        <f aca="false">J31-Inputs_General!$C$5</f>
        <v>766.25</v>
      </c>
      <c r="L31" s="15" t="s">
        <v>342</v>
      </c>
      <c r="M31" s="13" t="str">
        <f aca="false">IF(L31="V","3rd fully expanded leaf from top","5th fully expanded leaf from top")</f>
        <v>5th fully expanded leaf from top</v>
      </c>
      <c r="N31" s="30" t="n">
        <f aca="false">AVERAGEIFS(Weather!$B$2:$B$159,Weather!$A$2:$A$159,"&gt;="&amp;(F31-6),Weather!$A$2:$A$159,"&lt;="&amp;F31)</f>
        <v>34.6285714285714</v>
      </c>
      <c r="O31" s="30" t="n">
        <f aca="false">AVERAGEIFS(Weather!$C$2:$C$159,Weather!$A$2:$A$159,"&gt;="&amp;(F31-6),Weather!$A$2:$A$159,"&lt;="&amp;F31)</f>
        <v>16.2142857142857</v>
      </c>
      <c r="P31" s="30" t="n">
        <f aca="false">AVERAGEIFS(Weather!$E$2:$E$159,Weather!$A$2:$A$159,"&gt;="&amp;(F31-6),Weather!$A$2:$A$159,"&lt;="&amp;F31)</f>
        <v>90.7142857142857</v>
      </c>
      <c r="Q31" s="30" t="n">
        <f aca="false">AVERAGEIFS(Weather!$F$2:$F$159,Weather!$A$2:$A$159,"&gt;="&amp;(F31-6),Weather!$A$2:$A$159,"&lt;="&amp;F31)</f>
        <v>34.1428571428571</v>
      </c>
      <c r="R31" s="31" t="n">
        <f aca="false">MAX(0,(N31-Inputs_General!$C$7)/Inputs_General!$C$8)</f>
        <v>0.953571428571428</v>
      </c>
      <c r="S31" s="30" t="n">
        <f aca="false">O31+Inputs_General!$C$9*(N31-O31)</f>
        <v>30.9457142857143</v>
      </c>
      <c r="T31" s="30" t="n">
        <f aca="false">Q31+Inputs_General!$C$10*(P31-Q31)</f>
        <v>51.1142857142857</v>
      </c>
      <c r="U31" s="31" t="n">
        <f aca="false">0.6108*EXP(17.27*S31/(S31+237.3))*(1-T31/100)</f>
        <v>2.18945736698217</v>
      </c>
      <c r="V31" s="30" t="n">
        <f aca="false">O31+Inputs_General!$C$11*(N31-O31)</f>
        <v>32.7871428571429</v>
      </c>
      <c r="W31" s="30" t="n">
        <f aca="false">Q31+Inputs_General!$C$12*(P31-Q31)</f>
        <v>42.6285714285714</v>
      </c>
      <c r="X31" s="31" t="n">
        <f aca="false">0.6108*EXP(17.27*V31/(V31+237.3))*(1-W31/100)</f>
        <v>2.85158987109622</v>
      </c>
      <c r="Y31" s="30" t="n">
        <f aca="false">V31+Inputs_General!$C$14-Inputs_General!$C$15*X31</f>
        <v>28.36912210206</v>
      </c>
      <c r="Z31" s="30" t="n">
        <f aca="false">V31+Inputs_General!$C$16</f>
        <v>36.7871428571429</v>
      </c>
      <c r="AA31" s="31" t="n">
        <f aca="false">IF(L31="V",Inputs_General!$C$17,IF(L31="F",Inputs_General!$C$18,Inputs_General!$C$19))+Inputs_General!$C$20*R31</f>
        <v>0.347678571428571</v>
      </c>
      <c r="AB31" s="31" t="n">
        <f aca="false">Inputs_Treatments!$C$6*Inputs_Treatments!$F$12*(1/(1+EXP(-(K31-Inputs_General!$C$27)/Inputs_General!$C$28)))*EXP(-((MAX(0,K31-Inputs_General!$C$29)/Inputs_General!$C$30)^2))</f>
        <v>2.72032542211643</v>
      </c>
      <c r="AC31" s="21" t="n">
        <f aca="false">Inputs_Treatments!$H$6</f>
        <v>1</v>
      </c>
      <c r="AD31" s="21" t="n">
        <f aca="false">Inputs_Treatments!$D$12</f>
        <v>1</v>
      </c>
      <c r="AE31" s="29" t="n">
        <f aca="false">COUNTIFS(Weather!$K$2:$K$159,1,Weather!$A$2:$A$159,"&gt;="&amp;(G31+36),Weather!$A$2:$A$159,"&lt;="&amp;F31)</f>
        <v>3</v>
      </c>
      <c r="AF31" s="30" t="n">
        <f aca="false">Inputs_Treatments!$C$22*Inputs_Treatments!$E$12*Inputs_Treatments!$D$6</f>
        <v>21</v>
      </c>
      <c r="AG31" s="13" t="str">
        <f aca="false">IF(AF31&lt;=0,"Healthy",IF(AF31&lt;=5,"Very low",IF(AF31&lt;=10,"Low",IF(AF31&lt;=25,"Moderate",IF(AF31&lt;=50,"High","Very high")))))</f>
        <v>Moderate</v>
      </c>
      <c r="AH31" s="29" t="n">
        <f aca="false">MATCH(AG31,Severity_Classes!$A$4:$A$9,0)</f>
        <v>4</v>
      </c>
      <c r="AI31" s="13" t="str">
        <f aca="false">"Reference: healthy (uninoculated) control plot"</f>
        <v>Reference: healthy (uninoculated) control plot</v>
      </c>
      <c r="AJ31" s="13" t="str">
        <f aca="false">IF(AND(I31&lt;8,2&gt;=4),"Unlikely (only via pre-inoculation natural infection)",IF(ABS(2-AH31)&lt;=1,"Likely",IF(ABS(2-AH31)=2,"Possible","Unlikely")))</f>
        <v>Possible</v>
      </c>
      <c r="AK31" s="13" t="str">
        <f aca="false">IF(AND(I31&lt;8,3&gt;=4),"Unlikely (only via pre-inoculation natural infection)",IF(ABS(3-AH31)&lt;=1,"Likely",IF(ABS(3-AH31)=2,"Possible","Unlikely")))</f>
        <v>Likely</v>
      </c>
      <c r="AL31" s="13" t="str">
        <f aca="false">IF(AND(I31&lt;8,4&gt;=4),"Unlikely (only via pre-inoculation natural infection)",IF(ABS(4-AH31)&lt;=1,"Likely",IF(ABS(4-AH31)=2,"Possible","Unlikely")))</f>
        <v>Likely</v>
      </c>
      <c r="AM31" s="13" t="str">
        <f aca="false">IF(AND(I31&lt;8,5&gt;=4),"Unlikely (only via pre-inoculation natural infection)",IF(ABS(5-AH31)&lt;=1,"Likely",IF(ABS(5-AH31)=2,"Possible","Unlikely")))</f>
        <v>Likely</v>
      </c>
      <c r="AN31" s="13" t="str">
        <f aca="false">IF(AND(I31&lt;8,6&gt;=4),"Unlikely (only via pre-inoculation natural infection)",IF(ABS(6-AH31)&lt;=1,"Likely",IF(ABS(6-AH31)=2,"Possible","Unlikely")))</f>
        <v>Possible</v>
      </c>
    </row>
    <row r="32" customFormat="false" ht="15" hidden="false" customHeight="false" outlineLevel="0" collapsed="false">
      <c r="A32" s="13" t="str">
        <f aca="false">B32&amp;"|"&amp;E32</f>
        <v>D3V2|11/02/2026</v>
      </c>
      <c r="B32" s="27" t="s">
        <v>350</v>
      </c>
      <c r="C32" s="13" t="s">
        <v>131</v>
      </c>
      <c r="D32" s="13" t="s">
        <v>146</v>
      </c>
      <c r="E32" s="13" t="s">
        <v>158</v>
      </c>
      <c r="F32" s="28" t="n">
        <f aca="false">Inputs_Treatments!$B$19</f>
        <v>46064</v>
      </c>
      <c r="G32" s="28" t="n">
        <f aca="false">Inputs_Treatments!$B$6</f>
        <v>46018</v>
      </c>
      <c r="H32" s="29" t="n">
        <f aca="false">F32-G32</f>
        <v>46</v>
      </c>
      <c r="I32" s="29" t="n">
        <f aca="false">F32-Inputs_General!$C$6</f>
        <v>6</v>
      </c>
      <c r="J32" s="29" t="n">
        <f aca="false">SUMIFS(Weather!$H$2:$H$159,Weather!$A$2:$A$159,"&gt;="&amp;G32,Weather!$A$2:$A$159,"&lt;="&amp;F32)</f>
        <v>389.85</v>
      </c>
      <c r="K32" s="29" t="n">
        <f aca="false">J32-Inputs_General!$C$5</f>
        <v>279.85</v>
      </c>
      <c r="L32" s="15" t="s">
        <v>344</v>
      </c>
      <c r="M32" s="13" t="str">
        <f aca="false">IF(L32="V","3rd fully expanded leaf from top","5th fully expanded leaf from top")</f>
        <v>3rd fully expanded leaf from top</v>
      </c>
      <c r="N32" s="30" t="n">
        <f aca="false">AVERAGEIFS(Weather!$B$2:$B$159,Weather!$A$2:$A$159,"&gt;="&amp;(F32-6),Weather!$A$2:$A$159,"&lt;="&amp;F32)</f>
        <v>24.1428571428571</v>
      </c>
      <c r="O32" s="30" t="n">
        <f aca="false">AVERAGEIFS(Weather!$C$2:$C$159,Weather!$A$2:$A$159,"&gt;="&amp;(F32-6),Weather!$A$2:$A$159,"&lt;="&amp;F32)</f>
        <v>8.97142857142857</v>
      </c>
      <c r="P32" s="30" t="n">
        <f aca="false">AVERAGEIFS(Weather!$E$2:$E$159,Weather!$A$2:$A$159,"&gt;="&amp;(F32-6),Weather!$A$2:$A$159,"&lt;="&amp;F32)</f>
        <v>94.1428571428571</v>
      </c>
      <c r="Q32" s="30" t="n">
        <f aca="false">AVERAGEIFS(Weather!$F$2:$F$159,Weather!$A$2:$A$159,"&gt;="&amp;(F32-6),Weather!$A$2:$A$159,"&lt;="&amp;F32)</f>
        <v>49</v>
      </c>
      <c r="R32" s="31" t="n">
        <f aca="false">MAX(0,(N32-Inputs_General!$C$7)/Inputs_General!$C$8)</f>
        <v>0</v>
      </c>
      <c r="S32" s="30" t="n">
        <f aca="false">O32+Inputs_General!$C$9*(N32-O32)</f>
        <v>21.1085714285714</v>
      </c>
      <c r="T32" s="30" t="n">
        <f aca="false">Q32+Inputs_General!$C$10*(P32-Q32)</f>
        <v>62.5428571428571</v>
      </c>
      <c r="U32" s="31" t="n">
        <f aca="false">0.6108*EXP(17.27*S32/(S32+237.3))*(1-T32/100)</f>
        <v>0.937791824040773</v>
      </c>
      <c r="V32" s="30" t="n">
        <f aca="false">O32+Inputs_General!$C$11*(N32-O32)</f>
        <v>22.6257142857143</v>
      </c>
      <c r="W32" s="30" t="n">
        <f aca="false">Q32+Inputs_General!$C$12*(P32-Q32)</f>
        <v>55.7714285714286</v>
      </c>
      <c r="X32" s="31" t="n">
        <f aca="false">0.6108*EXP(17.27*V32/(V32+237.3))*(1-W32/100)</f>
        <v>1.21472070203065</v>
      </c>
      <c r="Y32" s="30" t="n">
        <f aca="false">V32+Inputs_General!$C$14-Inputs_General!$C$15*X32</f>
        <v>21.3177449518561</v>
      </c>
      <c r="Z32" s="30" t="n">
        <f aca="false">V32+Inputs_General!$C$16</f>
        <v>26.6257142857143</v>
      </c>
      <c r="AA32" s="31" t="n">
        <f aca="false">IF(L32="V",Inputs_General!$C$17,IF(L32="F",Inputs_General!$C$18,Inputs_General!$C$19))+Inputs_General!$C$20*R32</f>
        <v>0.12</v>
      </c>
      <c r="AB32" s="31" t="n">
        <f aca="false">Inputs_Treatments!$C$6*Inputs_Treatments!$F$13*(1/(1+EXP(-(K32-Inputs_General!$C$27)/Inputs_General!$C$28)))*EXP(-((MAX(0,K32-Inputs_General!$C$29)/Inputs_General!$C$30)^2))</f>
        <v>1.09384586130271</v>
      </c>
      <c r="AC32" s="21" t="n">
        <f aca="false">Inputs_Treatments!$E$6</f>
        <v>1.2</v>
      </c>
      <c r="AD32" s="21" t="n">
        <f aca="false">Inputs_Treatments!$D$13</f>
        <v>1.1</v>
      </c>
      <c r="AE32" s="29" t="n">
        <f aca="false">COUNTIFS(Weather!$K$2:$K$159,1,Weather!$A$2:$A$159,"&gt;="&amp;(G32+36),Weather!$A$2:$A$159,"&lt;="&amp;F32)</f>
        <v>3</v>
      </c>
      <c r="AF32" s="30" t="n">
        <f aca="false">Inputs_Treatments!$C$19*Inputs_Treatments!$E$13*Inputs_Treatments!$D$6</f>
        <v>2.25</v>
      </c>
      <c r="AG32" s="13" t="str">
        <f aca="false">IF(AF32&lt;=0,"Healthy",IF(AF32&lt;=5,"Very low",IF(AF32&lt;=10,"Low",IF(AF32&lt;=25,"Moderate",IF(AF32&lt;=50,"High","Very high")))))</f>
        <v>Very low</v>
      </c>
      <c r="AH32" s="29" t="n">
        <f aca="false">MATCH(AG32,Severity_Classes!$A$4:$A$9,0)</f>
        <v>2</v>
      </c>
      <c r="AI32" s="13" t="str">
        <f aca="false">"Reference: healthy (uninoculated) control plot"</f>
        <v>Reference: healthy (uninoculated) control plot</v>
      </c>
      <c r="AJ32" s="13" t="str">
        <f aca="false">IF(AND(I32&lt;8,2&gt;=4),"Unlikely (only via pre-inoculation natural infection)",IF(ABS(2-AH32)&lt;=1,"Likely",IF(ABS(2-AH32)=2,"Possible","Unlikely")))</f>
        <v>Likely</v>
      </c>
      <c r="AK32" s="13" t="str">
        <f aca="false">IF(AND(I32&lt;8,3&gt;=4),"Unlikely (only via pre-inoculation natural infection)",IF(ABS(3-AH32)&lt;=1,"Likely",IF(ABS(3-AH32)=2,"Possible","Unlikely")))</f>
        <v>Likely</v>
      </c>
      <c r="AL32" s="13" t="str">
        <f aca="false">IF(AND(I32&lt;8,4&gt;=4),"Unlikely (only via pre-inoculation natural infection)",IF(ABS(4-AH32)&lt;=1,"Likely",IF(ABS(4-AH32)=2,"Possible","Unlikely")))</f>
        <v>Unlikely (only via pre-inoculation natural infection)</v>
      </c>
      <c r="AM32" s="13" t="str">
        <f aca="false">IF(AND(I32&lt;8,5&gt;=4),"Unlikely (only via pre-inoculation natural infection)",IF(ABS(5-AH32)&lt;=1,"Likely",IF(ABS(5-AH32)=2,"Possible","Unlikely")))</f>
        <v>Unlikely (only via pre-inoculation natural infection)</v>
      </c>
      <c r="AN32" s="13" t="str">
        <f aca="false">IF(AND(I32&lt;8,6&gt;=4),"Unlikely (only via pre-inoculation natural infection)",IF(ABS(6-AH32)&lt;=1,"Likely",IF(ABS(6-AH32)=2,"Possible","Unlikely")))</f>
        <v>Unlikely (only via pre-inoculation natural infection)</v>
      </c>
    </row>
    <row r="33" customFormat="false" ht="15" hidden="false" customHeight="false" outlineLevel="0" collapsed="false">
      <c r="A33" s="13" t="str">
        <f aca="false">B33&amp;"|"&amp;E33</f>
        <v>D3V2|24/02/2026</v>
      </c>
      <c r="B33" s="27" t="s">
        <v>350</v>
      </c>
      <c r="C33" s="13" t="s">
        <v>131</v>
      </c>
      <c r="D33" s="13" t="s">
        <v>146</v>
      </c>
      <c r="E33" s="13" t="s">
        <v>160</v>
      </c>
      <c r="F33" s="28" t="n">
        <f aca="false">Inputs_Treatments!$B$20</f>
        <v>46077</v>
      </c>
      <c r="G33" s="28" t="n">
        <f aca="false">Inputs_Treatments!$B$6</f>
        <v>46018</v>
      </c>
      <c r="H33" s="29" t="n">
        <f aca="false">F33-G33</f>
        <v>59</v>
      </c>
      <c r="I33" s="29" t="n">
        <f aca="false">F33-Inputs_General!$C$6</f>
        <v>19</v>
      </c>
      <c r="J33" s="29" t="n">
        <f aca="false">SUMIFS(Weather!$H$2:$H$159,Weather!$A$2:$A$159,"&gt;="&amp;G33,Weather!$A$2:$A$159,"&lt;="&amp;F33)</f>
        <v>564.75</v>
      </c>
      <c r="K33" s="29" t="n">
        <f aca="false">J33-Inputs_General!$C$5</f>
        <v>454.75</v>
      </c>
      <c r="L33" s="15" t="s">
        <v>344</v>
      </c>
      <c r="M33" s="13" t="str">
        <f aca="false">IF(L33="V","3rd fully expanded leaf from top","5th fully expanded leaf from top")</f>
        <v>3rd fully expanded leaf from top</v>
      </c>
      <c r="N33" s="30" t="n">
        <f aca="false">AVERAGEIFS(Weather!$B$2:$B$159,Weather!$A$2:$A$159,"&gt;="&amp;(F33-6),Weather!$A$2:$A$159,"&lt;="&amp;F33)</f>
        <v>27.1857142857143</v>
      </c>
      <c r="O33" s="30" t="n">
        <f aca="false">AVERAGEIFS(Weather!$C$2:$C$159,Weather!$A$2:$A$159,"&gt;="&amp;(F33-6),Weather!$A$2:$A$159,"&lt;="&amp;F33)</f>
        <v>11.1142857142857</v>
      </c>
      <c r="P33" s="30" t="n">
        <f aca="false">AVERAGEIFS(Weather!$E$2:$E$159,Weather!$A$2:$A$159,"&gt;="&amp;(F33-6),Weather!$A$2:$A$159,"&lt;="&amp;F33)</f>
        <v>94.2857142857143</v>
      </c>
      <c r="Q33" s="30" t="n">
        <f aca="false">AVERAGEIFS(Weather!$F$2:$F$159,Weather!$A$2:$A$159,"&gt;="&amp;(F33-6),Weather!$A$2:$A$159,"&lt;="&amp;F33)</f>
        <v>45.1428571428571</v>
      </c>
      <c r="R33" s="31" t="n">
        <f aca="false">MAX(0,(N33-Inputs_General!$C$7)/Inputs_General!$C$8)</f>
        <v>0.0232142857142859</v>
      </c>
      <c r="S33" s="30" t="n">
        <f aca="false">O33+Inputs_General!$C$9*(N33-O33)</f>
        <v>23.9714285714286</v>
      </c>
      <c r="T33" s="30" t="n">
        <f aca="false">Q33+Inputs_General!$C$10*(P33-Q33)</f>
        <v>59.8857142857143</v>
      </c>
      <c r="U33" s="31" t="n">
        <f aca="false">0.6108*EXP(17.27*S33/(S33+237.3))*(1-T33/100)</f>
        <v>1.19492600027053</v>
      </c>
      <c r="V33" s="30" t="n">
        <f aca="false">O33+Inputs_General!$C$11*(N33-O33)</f>
        <v>25.5785714285714</v>
      </c>
      <c r="W33" s="30" t="n">
        <f aca="false">Q33+Inputs_General!$C$12*(P33-Q33)</f>
        <v>52.5142857142857</v>
      </c>
      <c r="X33" s="31" t="n">
        <f aca="false">0.6108*EXP(17.27*V33/(V33+237.3))*(1-W33/100)</f>
        <v>1.55686779409338</v>
      </c>
      <c r="Y33" s="30" t="n">
        <f aca="false">V33+Inputs_General!$C$14-Inputs_General!$C$15*X33</f>
        <v>23.620522619794</v>
      </c>
      <c r="Z33" s="30" t="n">
        <f aca="false">V33+Inputs_General!$C$16</f>
        <v>29.5785714285714</v>
      </c>
      <c r="AA33" s="31" t="n">
        <f aca="false">IF(L33="V",Inputs_General!$C$17,IF(L33="F",Inputs_General!$C$18,Inputs_General!$C$19))+Inputs_General!$C$20*R33</f>
        <v>0.121160714285714</v>
      </c>
      <c r="AB33" s="31" t="n">
        <f aca="false">Inputs_Treatments!$C$6*Inputs_Treatments!$F$13*(1/(1+EXP(-(K33-Inputs_General!$C$27)/Inputs_General!$C$28)))*EXP(-((MAX(0,K33-Inputs_General!$C$29)/Inputs_General!$C$30)^2))</f>
        <v>2.25291371771685</v>
      </c>
      <c r="AC33" s="21" t="n">
        <f aca="false">Inputs_Treatments!$F$6</f>
        <v>1.05</v>
      </c>
      <c r="AD33" s="21" t="n">
        <f aca="false">Inputs_Treatments!$D$13</f>
        <v>1.1</v>
      </c>
      <c r="AE33" s="29" t="n">
        <f aca="false">COUNTIFS(Weather!$K$2:$K$159,1,Weather!$A$2:$A$159,"&gt;="&amp;(G33+36),Weather!$A$2:$A$159,"&lt;="&amp;F33)</f>
        <v>3</v>
      </c>
      <c r="AF33" s="30" t="n">
        <f aca="false">Inputs_Treatments!$C$20*Inputs_Treatments!$E$13*Inputs_Treatments!$D$6</f>
        <v>13.5</v>
      </c>
      <c r="AG33" s="13" t="str">
        <f aca="false">IF(AF33&lt;=0,"Healthy",IF(AF33&lt;=5,"Very low",IF(AF33&lt;=10,"Low",IF(AF33&lt;=25,"Moderate",IF(AF33&lt;=50,"High","Very high")))))</f>
        <v>Moderate</v>
      </c>
      <c r="AH33" s="29" t="n">
        <f aca="false">MATCH(AG33,Severity_Classes!$A$4:$A$9,0)</f>
        <v>4</v>
      </c>
      <c r="AI33" s="13" t="str">
        <f aca="false">"Reference: healthy (uninoculated) control plot"</f>
        <v>Reference: healthy (uninoculated) control plot</v>
      </c>
      <c r="AJ33" s="13" t="str">
        <f aca="false">IF(AND(I33&lt;8,2&gt;=4),"Unlikely (only via pre-inoculation natural infection)",IF(ABS(2-AH33)&lt;=1,"Likely",IF(ABS(2-AH33)=2,"Possible","Unlikely")))</f>
        <v>Possible</v>
      </c>
      <c r="AK33" s="13" t="str">
        <f aca="false">IF(AND(I33&lt;8,3&gt;=4),"Unlikely (only via pre-inoculation natural infection)",IF(ABS(3-AH33)&lt;=1,"Likely",IF(ABS(3-AH33)=2,"Possible","Unlikely")))</f>
        <v>Likely</v>
      </c>
      <c r="AL33" s="13" t="str">
        <f aca="false">IF(AND(I33&lt;8,4&gt;=4),"Unlikely (only via pre-inoculation natural infection)",IF(ABS(4-AH33)&lt;=1,"Likely",IF(ABS(4-AH33)=2,"Possible","Unlikely")))</f>
        <v>Likely</v>
      </c>
      <c r="AM33" s="13" t="str">
        <f aca="false">IF(AND(I33&lt;8,5&gt;=4),"Unlikely (only via pre-inoculation natural infection)",IF(ABS(5-AH33)&lt;=1,"Likely",IF(ABS(5-AH33)=2,"Possible","Unlikely")))</f>
        <v>Likely</v>
      </c>
      <c r="AN33" s="13" t="str">
        <f aca="false">IF(AND(I33&lt;8,6&gt;=4),"Unlikely (only via pre-inoculation natural infection)",IF(ABS(6-AH33)&lt;=1,"Likely",IF(ABS(6-AH33)=2,"Possible","Unlikely")))</f>
        <v>Possible</v>
      </c>
    </row>
    <row r="34" customFormat="false" ht="15" hidden="false" customHeight="false" outlineLevel="0" collapsed="false">
      <c r="A34" s="13" t="str">
        <f aca="false">B34&amp;"|"&amp;E34</f>
        <v>D3V2|03/03/2026</v>
      </c>
      <c r="B34" s="27" t="s">
        <v>350</v>
      </c>
      <c r="C34" s="13" t="s">
        <v>131</v>
      </c>
      <c r="D34" s="13" t="s">
        <v>146</v>
      </c>
      <c r="E34" s="13" t="s">
        <v>162</v>
      </c>
      <c r="F34" s="28" t="n">
        <f aca="false">Inputs_Treatments!$B$21</f>
        <v>46084</v>
      </c>
      <c r="G34" s="28" t="n">
        <f aca="false">Inputs_Treatments!$B$6</f>
        <v>46018</v>
      </c>
      <c r="H34" s="29" t="n">
        <f aca="false">F34-G34</f>
        <v>66</v>
      </c>
      <c r="I34" s="29" t="n">
        <f aca="false">F34-Inputs_General!$C$6</f>
        <v>26</v>
      </c>
      <c r="J34" s="29" t="n">
        <f aca="false">SUMIFS(Weather!$H$2:$H$159,Weather!$A$2:$A$159,"&gt;="&amp;G34,Weather!$A$2:$A$159,"&lt;="&amp;F34)</f>
        <v>678.25</v>
      </c>
      <c r="K34" s="29" t="n">
        <f aca="false">J34-Inputs_General!$C$5</f>
        <v>568.25</v>
      </c>
      <c r="L34" s="15" t="s">
        <v>341</v>
      </c>
      <c r="M34" s="13" t="str">
        <f aca="false">IF(L34="V","3rd fully expanded leaf from top","5th fully expanded leaf from top")</f>
        <v>5th fully expanded leaf from top</v>
      </c>
      <c r="N34" s="30" t="n">
        <f aca="false">AVERAGEIFS(Weather!$B$2:$B$159,Weather!$A$2:$A$159,"&gt;="&amp;(F34-6),Weather!$A$2:$A$159,"&lt;="&amp;F34)</f>
        <v>30.4714285714286</v>
      </c>
      <c r="O34" s="30" t="n">
        <f aca="false">AVERAGEIFS(Weather!$C$2:$C$159,Weather!$A$2:$A$159,"&gt;="&amp;(F34-6),Weather!$A$2:$A$159,"&lt;="&amp;F34)</f>
        <v>11.9571428571429</v>
      </c>
      <c r="P34" s="30" t="n">
        <f aca="false">AVERAGEIFS(Weather!$E$2:$E$159,Weather!$A$2:$A$159,"&gt;="&amp;(F34-6),Weather!$A$2:$A$159,"&lt;="&amp;F34)</f>
        <v>90.1428571428571</v>
      </c>
      <c r="Q34" s="30" t="n">
        <f aca="false">AVERAGEIFS(Weather!$F$2:$F$159,Weather!$A$2:$A$159,"&gt;="&amp;(F34-6),Weather!$A$2:$A$159,"&lt;="&amp;F34)</f>
        <v>33.5714285714286</v>
      </c>
      <c r="R34" s="31" t="n">
        <f aca="false">MAX(0,(N34-Inputs_General!$C$7)/Inputs_General!$C$8)</f>
        <v>0.433928571428571</v>
      </c>
      <c r="S34" s="30" t="n">
        <f aca="false">O34+Inputs_General!$C$9*(N34-O34)</f>
        <v>26.7685714285714</v>
      </c>
      <c r="T34" s="30" t="n">
        <f aca="false">Q34+Inputs_General!$C$10*(P34-Q34)</f>
        <v>50.5428571428571</v>
      </c>
      <c r="U34" s="31" t="n">
        <f aca="false">0.6108*EXP(17.27*S34/(S34+237.3))*(1-T34/100)</f>
        <v>1.73951545534029</v>
      </c>
      <c r="V34" s="30" t="n">
        <f aca="false">O34+Inputs_General!$C$11*(N34-O34)</f>
        <v>28.62</v>
      </c>
      <c r="W34" s="30" t="n">
        <f aca="false">Q34+Inputs_General!$C$12*(P34-Q34)</f>
        <v>42.0571428571429</v>
      </c>
      <c r="X34" s="31" t="n">
        <f aca="false">0.6108*EXP(17.27*V34/(V34+237.3))*(1-W34/100)</f>
        <v>2.27051923122539</v>
      </c>
      <c r="Y34" s="30" t="n">
        <f aca="false">V34+Inputs_General!$C$14-Inputs_General!$C$15*X34</f>
        <v>25.3060134606718</v>
      </c>
      <c r="Z34" s="30" t="n">
        <f aca="false">V34+Inputs_General!$C$16</f>
        <v>32.62</v>
      </c>
      <c r="AA34" s="31" t="n">
        <f aca="false">IF(L34="V",Inputs_General!$C$17,IF(L34="F",Inputs_General!$C$18,Inputs_General!$C$19))+Inputs_General!$C$20*R34</f>
        <v>0.221696428571429</v>
      </c>
      <c r="AB34" s="31" t="n">
        <f aca="false">Inputs_Treatments!$C$6*Inputs_Treatments!$F$13*(1/(1+EXP(-(K34-Inputs_General!$C$27)/Inputs_General!$C$28)))*EXP(-((MAX(0,K34-Inputs_General!$C$29)/Inputs_General!$C$30)^2))</f>
        <v>2.65490090255297</v>
      </c>
      <c r="AC34" s="21" t="n">
        <f aca="false">Inputs_Treatments!$G$6</f>
        <v>1</v>
      </c>
      <c r="AD34" s="21" t="n">
        <f aca="false">Inputs_Treatments!$D$13</f>
        <v>1.1</v>
      </c>
      <c r="AE34" s="29" t="n">
        <f aca="false">COUNTIFS(Weather!$K$2:$K$159,1,Weather!$A$2:$A$159,"&gt;="&amp;(G34+36),Weather!$A$2:$A$159,"&lt;="&amp;F34)</f>
        <v>3</v>
      </c>
      <c r="AF34" s="30" t="n">
        <f aca="false">Inputs_Treatments!$C$21*Inputs_Treatments!$E$13*Inputs_Treatments!$D$6</f>
        <v>21</v>
      </c>
      <c r="AG34" s="13" t="str">
        <f aca="false">IF(AF34&lt;=0,"Healthy",IF(AF34&lt;=5,"Very low",IF(AF34&lt;=10,"Low",IF(AF34&lt;=25,"Moderate",IF(AF34&lt;=50,"High","Very high")))))</f>
        <v>Moderate</v>
      </c>
      <c r="AH34" s="29" t="n">
        <f aca="false">MATCH(AG34,Severity_Classes!$A$4:$A$9,0)</f>
        <v>4</v>
      </c>
      <c r="AI34" s="13" t="str">
        <f aca="false">"Reference: healthy (uninoculated) control plot"</f>
        <v>Reference: healthy (uninoculated) control plot</v>
      </c>
      <c r="AJ34" s="13" t="str">
        <f aca="false">IF(AND(I34&lt;8,2&gt;=4),"Unlikely (only via pre-inoculation natural infection)",IF(ABS(2-AH34)&lt;=1,"Likely",IF(ABS(2-AH34)=2,"Possible","Unlikely")))</f>
        <v>Possible</v>
      </c>
      <c r="AK34" s="13" t="str">
        <f aca="false">IF(AND(I34&lt;8,3&gt;=4),"Unlikely (only via pre-inoculation natural infection)",IF(ABS(3-AH34)&lt;=1,"Likely",IF(ABS(3-AH34)=2,"Possible","Unlikely")))</f>
        <v>Likely</v>
      </c>
      <c r="AL34" s="13" t="str">
        <f aca="false">IF(AND(I34&lt;8,4&gt;=4),"Unlikely (only via pre-inoculation natural infection)",IF(ABS(4-AH34)&lt;=1,"Likely",IF(ABS(4-AH34)=2,"Possible","Unlikely")))</f>
        <v>Likely</v>
      </c>
      <c r="AM34" s="13" t="str">
        <f aca="false">IF(AND(I34&lt;8,5&gt;=4),"Unlikely (only via pre-inoculation natural infection)",IF(ABS(5-AH34)&lt;=1,"Likely",IF(ABS(5-AH34)=2,"Possible","Unlikely")))</f>
        <v>Likely</v>
      </c>
      <c r="AN34" s="13" t="str">
        <f aca="false">IF(AND(I34&lt;8,6&gt;=4),"Unlikely (only via pre-inoculation natural infection)",IF(ABS(6-AH34)&lt;=1,"Likely",IF(ABS(6-AH34)=2,"Possible","Unlikely")))</f>
        <v>Possible</v>
      </c>
    </row>
    <row r="35" customFormat="false" ht="15" hidden="false" customHeight="false" outlineLevel="0" collapsed="false">
      <c r="A35" s="13" t="str">
        <f aca="false">B35&amp;"|"&amp;E35</f>
        <v>D3V2|13/03/2026</v>
      </c>
      <c r="B35" s="27" t="s">
        <v>350</v>
      </c>
      <c r="C35" s="13" t="s">
        <v>131</v>
      </c>
      <c r="D35" s="13" t="s">
        <v>146</v>
      </c>
      <c r="E35" s="13" t="s">
        <v>164</v>
      </c>
      <c r="F35" s="28" t="n">
        <f aca="false">Inputs_Treatments!$B$22</f>
        <v>46094</v>
      </c>
      <c r="G35" s="28" t="n">
        <f aca="false">Inputs_Treatments!$B$6</f>
        <v>46018</v>
      </c>
      <c r="H35" s="29" t="n">
        <f aca="false">F35-G35</f>
        <v>76</v>
      </c>
      <c r="I35" s="29" t="n">
        <f aca="false">F35-Inputs_General!$C$6</f>
        <v>36</v>
      </c>
      <c r="J35" s="29" t="n">
        <f aca="false">SUMIFS(Weather!$H$2:$H$159,Weather!$A$2:$A$159,"&gt;="&amp;G35,Weather!$A$2:$A$159,"&lt;="&amp;F35)</f>
        <v>876.25</v>
      </c>
      <c r="K35" s="29" t="n">
        <f aca="false">J35-Inputs_General!$C$5</f>
        <v>766.25</v>
      </c>
      <c r="L35" s="15" t="s">
        <v>342</v>
      </c>
      <c r="M35" s="13" t="str">
        <f aca="false">IF(L35="V","3rd fully expanded leaf from top","5th fully expanded leaf from top")</f>
        <v>5th fully expanded leaf from top</v>
      </c>
      <c r="N35" s="30" t="n">
        <f aca="false">AVERAGEIFS(Weather!$B$2:$B$159,Weather!$A$2:$A$159,"&gt;="&amp;(F35-6),Weather!$A$2:$A$159,"&lt;="&amp;F35)</f>
        <v>34.6285714285714</v>
      </c>
      <c r="O35" s="30" t="n">
        <f aca="false">AVERAGEIFS(Weather!$C$2:$C$159,Weather!$A$2:$A$159,"&gt;="&amp;(F35-6),Weather!$A$2:$A$159,"&lt;="&amp;F35)</f>
        <v>16.2142857142857</v>
      </c>
      <c r="P35" s="30" t="n">
        <f aca="false">AVERAGEIFS(Weather!$E$2:$E$159,Weather!$A$2:$A$159,"&gt;="&amp;(F35-6),Weather!$A$2:$A$159,"&lt;="&amp;F35)</f>
        <v>90.7142857142857</v>
      </c>
      <c r="Q35" s="30" t="n">
        <f aca="false">AVERAGEIFS(Weather!$F$2:$F$159,Weather!$A$2:$A$159,"&gt;="&amp;(F35-6),Weather!$A$2:$A$159,"&lt;="&amp;F35)</f>
        <v>34.1428571428571</v>
      </c>
      <c r="R35" s="31" t="n">
        <f aca="false">MAX(0,(N35-Inputs_General!$C$7)/Inputs_General!$C$8)</f>
        <v>0.953571428571428</v>
      </c>
      <c r="S35" s="30" t="n">
        <f aca="false">O35+Inputs_General!$C$9*(N35-O35)</f>
        <v>30.9457142857143</v>
      </c>
      <c r="T35" s="30" t="n">
        <f aca="false">Q35+Inputs_General!$C$10*(P35-Q35)</f>
        <v>51.1142857142857</v>
      </c>
      <c r="U35" s="31" t="n">
        <f aca="false">0.6108*EXP(17.27*S35/(S35+237.3))*(1-T35/100)</f>
        <v>2.18945736698217</v>
      </c>
      <c r="V35" s="30" t="n">
        <f aca="false">O35+Inputs_General!$C$11*(N35-O35)</f>
        <v>32.7871428571429</v>
      </c>
      <c r="W35" s="30" t="n">
        <f aca="false">Q35+Inputs_General!$C$12*(P35-Q35)</f>
        <v>42.6285714285714</v>
      </c>
      <c r="X35" s="31" t="n">
        <f aca="false">0.6108*EXP(17.27*V35/(V35+237.3))*(1-W35/100)</f>
        <v>2.85158987109622</v>
      </c>
      <c r="Y35" s="30" t="n">
        <f aca="false">V35+Inputs_General!$C$14-Inputs_General!$C$15*X35</f>
        <v>28.36912210206</v>
      </c>
      <c r="Z35" s="30" t="n">
        <f aca="false">V35+Inputs_General!$C$16</f>
        <v>36.7871428571429</v>
      </c>
      <c r="AA35" s="31" t="n">
        <f aca="false">IF(L35="V",Inputs_General!$C$17,IF(L35="F",Inputs_General!$C$18,Inputs_General!$C$19))+Inputs_General!$C$20*R35</f>
        <v>0.347678571428571</v>
      </c>
      <c r="AB35" s="31" t="n">
        <f aca="false">Inputs_Treatments!$C$6*Inputs_Treatments!$F$13*(1/(1+EXP(-(K35-Inputs_General!$C$27)/Inputs_General!$C$28)))*EXP(-((MAX(0,K35-Inputs_General!$C$29)/Inputs_General!$C$30)^2))</f>
        <v>2.86350044433308</v>
      </c>
      <c r="AC35" s="21" t="n">
        <f aca="false">Inputs_Treatments!$H$6</f>
        <v>1</v>
      </c>
      <c r="AD35" s="21" t="n">
        <f aca="false">Inputs_Treatments!$D$13</f>
        <v>1.1</v>
      </c>
      <c r="AE35" s="29" t="n">
        <f aca="false">COUNTIFS(Weather!$K$2:$K$159,1,Weather!$A$2:$A$159,"&gt;="&amp;(G35+36),Weather!$A$2:$A$159,"&lt;="&amp;F35)</f>
        <v>3</v>
      </c>
      <c r="AF35" s="30" t="n">
        <f aca="false">Inputs_Treatments!$C$22*Inputs_Treatments!$E$13*Inputs_Treatments!$D$6</f>
        <v>26.25</v>
      </c>
      <c r="AG35" s="13" t="str">
        <f aca="false">IF(AF35&lt;=0,"Healthy",IF(AF35&lt;=5,"Very low",IF(AF35&lt;=10,"Low",IF(AF35&lt;=25,"Moderate",IF(AF35&lt;=50,"High","Very high")))))</f>
        <v>High</v>
      </c>
      <c r="AH35" s="29" t="n">
        <f aca="false">MATCH(AG35,Severity_Classes!$A$4:$A$9,0)</f>
        <v>5</v>
      </c>
      <c r="AI35" s="13" t="str">
        <f aca="false">"Reference: healthy (uninoculated) control plot"</f>
        <v>Reference: healthy (uninoculated) control plot</v>
      </c>
      <c r="AJ35" s="13" t="str">
        <f aca="false">IF(AND(I35&lt;8,2&gt;=4),"Unlikely (only via pre-inoculation natural infection)",IF(ABS(2-AH35)&lt;=1,"Likely",IF(ABS(2-AH35)=2,"Possible","Unlikely")))</f>
        <v>Unlikely</v>
      </c>
      <c r="AK35" s="13" t="str">
        <f aca="false">IF(AND(I35&lt;8,3&gt;=4),"Unlikely (only via pre-inoculation natural infection)",IF(ABS(3-AH35)&lt;=1,"Likely",IF(ABS(3-AH35)=2,"Possible","Unlikely")))</f>
        <v>Possible</v>
      </c>
      <c r="AL35" s="13" t="str">
        <f aca="false">IF(AND(I35&lt;8,4&gt;=4),"Unlikely (only via pre-inoculation natural infection)",IF(ABS(4-AH35)&lt;=1,"Likely",IF(ABS(4-AH35)=2,"Possible","Unlikely")))</f>
        <v>Likely</v>
      </c>
      <c r="AM35" s="13" t="str">
        <f aca="false">IF(AND(I35&lt;8,5&gt;=4),"Unlikely (only via pre-inoculation natural infection)",IF(ABS(5-AH35)&lt;=1,"Likely",IF(ABS(5-AH35)=2,"Possible","Unlikely")))</f>
        <v>Likely</v>
      </c>
      <c r="AN35" s="13" t="str">
        <f aca="false">IF(AND(I35&lt;8,6&gt;=4),"Unlikely (only via pre-inoculation natural infection)",IF(ABS(6-AH35)&lt;=1,"Likely",IF(ABS(6-AH35)=2,"Possible","Unlikely")))</f>
        <v>Likely</v>
      </c>
    </row>
    <row r="36" customFormat="false" ht="15" hidden="false" customHeight="false" outlineLevel="0" collapsed="false">
      <c r="A36" s="13" t="str">
        <f aca="false">B36&amp;"|"&amp;E36</f>
        <v>D3V3|11/02/2026</v>
      </c>
      <c r="B36" s="27" t="s">
        <v>351</v>
      </c>
      <c r="C36" s="13" t="s">
        <v>131</v>
      </c>
      <c r="D36" s="13" t="s">
        <v>150</v>
      </c>
      <c r="E36" s="13" t="s">
        <v>158</v>
      </c>
      <c r="F36" s="28" t="n">
        <f aca="false">Inputs_Treatments!$B$19</f>
        <v>46064</v>
      </c>
      <c r="G36" s="28" t="n">
        <f aca="false">Inputs_Treatments!$B$6</f>
        <v>46018</v>
      </c>
      <c r="H36" s="29" t="n">
        <f aca="false">F36-G36</f>
        <v>46</v>
      </c>
      <c r="I36" s="29" t="n">
        <f aca="false">F36-Inputs_General!$C$6</f>
        <v>6</v>
      </c>
      <c r="J36" s="29" t="n">
        <f aca="false">SUMIFS(Weather!$H$2:$H$159,Weather!$A$2:$A$159,"&gt;="&amp;G36,Weather!$A$2:$A$159,"&lt;="&amp;F36)</f>
        <v>389.85</v>
      </c>
      <c r="K36" s="29" t="n">
        <f aca="false">J36-Inputs_General!$C$5</f>
        <v>279.85</v>
      </c>
      <c r="L36" s="15" t="s">
        <v>344</v>
      </c>
      <c r="M36" s="13" t="str">
        <f aca="false">IF(L36="V","3rd fully expanded leaf from top","5th fully expanded leaf from top")</f>
        <v>3rd fully expanded leaf from top</v>
      </c>
      <c r="N36" s="30" t="n">
        <f aca="false">AVERAGEIFS(Weather!$B$2:$B$159,Weather!$A$2:$A$159,"&gt;="&amp;(F36-6),Weather!$A$2:$A$159,"&lt;="&amp;F36)</f>
        <v>24.1428571428571</v>
      </c>
      <c r="O36" s="30" t="n">
        <f aca="false">AVERAGEIFS(Weather!$C$2:$C$159,Weather!$A$2:$A$159,"&gt;="&amp;(F36-6),Weather!$A$2:$A$159,"&lt;="&amp;F36)</f>
        <v>8.97142857142857</v>
      </c>
      <c r="P36" s="30" t="n">
        <f aca="false">AVERAGEIFS(Weather!$E$2:$E$159,Weather!$A$2:$A$159,"&gt;="&amp;(F36-6),Weather!$A$2:$A$159,"&lt;="&amp;F36)</f>
        <v>94.1428571428571</v>
      </c>
      <c r="Q36" s="30" t="n">
        <f aca="false">AVERAGEIFS(Weather!$F$2:$F$159,Weather!$A$2:$A$159,"&gt;="&amp;(F36-6),Weather!$A$2:$A$159,"&lt;="&amp;F36)</f>
        <v>49</v>
      </c>
      <c r="R36" s="31" t="n">
        <f aca="false">MAX(0,(N36-Inputs_General!$C$7)/Inputs_General!$C$8)</f>
        <v>0</v>
      </c>
      <c r="S36" s="30" t="n">
        <f aca="false">O36+Inputs_General!$C$9*(N36-O36)</f>
        <v>21.1085714285714</v>
      </c>
      <c r="T36" s="30" t="n">
        <f aca="false">Q36+Inputs_General!$C$10*(P36-Q36)</f>
        <v>62.5428571428571</v>
      </c>
      <c r="U36" s="31" t="n">
        <f aca="false">0.6108*EXP(17.27*S36/(S36+237.3))*(1-T36/100)</f>
        <v>0.937791824040773</v>
      </c>
      <c r="V36" s="30" t="n">
        <f aca="false">O36+Inputs_General!$C$11*(N36-O36)</f>
        <v>22.6257142857143</v>
      </c>
      <c r="W36" s="30" t="n">
        <f aca="false">Q36+Inputs_General!$C$12*(P36-Q36)</f>
        <v>55.7714285714286</v>
      </c>
      <c r="X36" s="31" t="n">
        <f aca="false">0.6108*EXP(17.27*V36/(V36+237.3))*(1-W36/100)</f>
        <v>1.21472070203065</v>
      </c>
      <c r="Y36" s="30" t="n">
        <f aca="false">V36+Inputs_General!$C$14-Inputs_General!$C$15*X36</f>
        <v>21.3177449518561</v>
      </c>
      <c r="Z36" s="30" t="n">
        <f aca="false">V36+Inputs_General!$C$16</f>
        <v>26.6257142857143</v>
      </c>
      <c r="AA36" s="31" t="n">
        <f aca="false">IF(L36="V",Inputs_General!$C$17,IF(L36="F",Inputs_General!$C$18,Inputs_General!$C$19))+Inputs_General!$C$20*R36</f>
        <v>0.12</v>
      </c>
      <c r="AB36" s="31" t="n">
        <f aca="false">Inputs_Treatments!$C$6*Inputs_Treatments!$F$14*(1/(1+EXP(-(K36-Inputs_General!$C$27)/Inputs_General!$C$28)))*EXP(-((MAX(0,K36-Inputs_General!$C$29)/Inputs_General!$C$30)^2))</f>
        <v>1.09384586130271</v>
      </c>
      <c r="AC36" s="21" t="n">
        <f aca="false">Inputs_Treatments!$E$6</f>
        <v>1.2</v>
      </c>
      <c r="AD36" s="21" t="n">
        <f aca="false">Inputs_Treatments!$D$14</f>
        <v>0.85</v>
      </c>
      <c r="AE36" s="29" t="n">
        <f aca="false">COUNTIFS(Weather!$K$2:$K$159,1,Weather!$A$2:$A$159,"&gt;="&amp;(G36+36),Weather!$A$2:$A$159,"&lt;="&amp;F36)</f>
        <v>3</v>
      </c>
      <c r="AF36" s="30" t="n">
        <f aca="false">Inputs_Treatments!$C$19*Inputs_Treatments!$E$14*Inputs_Treatments!$D$6</f>
        <v>1.125</v>
      </c>
      <c r="AG36" s="13" t="str">
        <f aca="false">IF(AF36&lt;=0,"Healthy",IF(AF36&lt;=5,"Very low",IF(AF36&lt;=10,"Low",IF(AF36&lt;=25,"Moderate",IF(AF36&lt;=50,"High","Very high")))))</f>
        <v>Very low</v>
      </c>
      <c r="AH36" s="29" t="n">
        <f aca="false">MATCH(AG36,Severity_Classes!$A$4:$A$9,0)</f>
        <v>2</v>
      </c>
      <c r="AI36" s="13" t="str">
        <f aca="false">"Reference: healthy (uninoculated) control plot"</f>
        <v>Reference: healthy (uninoculated) control plot</v>
      </c>
      <c r="AJ36" s="13" t="str">
        <f aca="false">IF(AND(I36&lt;8,2&gt;=4),"Unlikely (only via pre-inoculation natural infection)",IF(ABS(2-AH36)&lt;=1,"Likely",IF(ABS(2-AH36)=2,"Possible","Unlikely")))</f>
        <v>Likely</v>
      </c>
      <c r="AK36" s="13" t="str">
        <f aca="false">IF(AND(I36&lt;8,3&gt;=4),"Unlikely (only via pre-inoculation natural infection)",IF(ABS(3-AH36)&lt;=1,"Likely",IF(ABS(3-AH36)=2,"Possible","Unlikely")))</f>
        <v>Likely</v>
      </c>
      <c r="AL36" s="13" t="str">
        <f aca="false">IF(AND(I36&lt;8,4&gt;=4),"Unlikely (only via pre-inoculation natural infection)",IF(ABS(4-AH36)&lt;=1,"Likely",IF(ABS(4-AH36)=2,"Possible","Unlikely")))</f>
        <v>Unlikely (only via pre-inoculation natural infection)</v>
      </c>
      <c r="AM36" s="13" t="str">
        <f aca="false">IF(AND(I36&lt;8,5&gt;=4),"Unlikely (only via pre-inoculation natural infection)",IF(ABS(5-AH36)&lt;=1,"Likely",IF(ABS(5-AH36)=2,"Possible","Unlikely")))</f>
        <v>Unlikely (only via pre-inoculation natural infection)</v>
      </c>
      <c r="AN36" s="13" t="str">
        <f aca="false">IF(AND(I36&lt;8,6&gt;=4),"Unlikely (only via pre-inoculation natural infection)",IF(ABS(6-AH36)&lt;=1,"Likely",IF(ABS(6-AH36)=2,"Possible","Unlikely")))</f>
        <v>Unlikely (only via pre-inoculation natural infection)</v>
      </c>
    </row>
    <row r="37" customFormat="false" ht="15" hidden="false" customHeight="false" outlineLevel="0" collapsed="false">
      <c r="A37" s="13" t="str">
        <f aca="false">B37&amp;"|"&amp;E37</f>
        <v>D3V3|24/02/2026</v>
      </c>
      <c r="B37" s="27" t="s">
        <v>351</v>
      </c>
      <c r="C37" s="13" t="s">
        <v>131</v>
      </c>
      <c r="D37" s="13" t="s">
        <v>150</v>
      </c>
      <c r="E37" s="13" t="s">
        <v>160</v>
      </c>
      <c r="F37" s="28" t="n">
        <f aca="false">Inputs_Treatments!$B$20</f>
        <v>46077</v>
      </c>
      <c r="G37" s="28" t="n">
        <f aca="false">Inputs_Treatments!$B$6</f>
        <v>46018</v>
      </c>
      <c r="H37" s="29" t="n">
        <f aca="false">F37-G37</f>
        <v>59</v>
      </c>
      <c r="I37" s="29" t="n">
        <f aca="false">F37-Inputs_General!$C$6</f>
        <v>19</v>
      </c>
      <c r="J37" s="29" t="n">
        <f aca="false">SUMIFS(Weather!$H$2:$H$159,Weather!$A$2:$A$159,"&gt;="&amp;G37,Weather!$A$2:$A$159,"&lt;="&amp;F37)</f>
        <v>564.75</v>
      </c>
      <c r="K37" s="29" t="n">
        <f aca="false">J37-Inputs_General!$C$5</f>
        <v>454.75</v>
      </c>
      <c r="L37" s="15" t="s">
        <v>344</v>
      </c>
      <c r="M37" s="13" t="str">
        <f aca="false">IF(L37="V","3rd fully expanded leaf from top","5th fully expanded leaf from top")</f>
        <v>3rd fully expanded leaf from top</v>
      </c>
      <c r="N37" s="30" t="n">
        <f aca="false">AVERAGEIFS(Weather!$B$2:$B$159,Weather!$A$2:$A$159,"&gt;="&amp;(F37-6),Weather!$A$2:$A$159,"&lt;="&amp;F37)</f>
        <v>27.1857142857143</v>
      </c>
      <c r="O37" s="30" t="n">
        <f aca="false">AVERAGEIFS(Weather!$C$2:$C$159,Weather!$A$2:$A$159,"&gt;="&amp;(F37-6),Weather!$A$2:$A$159,"&lt;="&amp;F37)</f>
        <v>11.1142857142857</v>
      </c>
      <c r="P37" s="30" t="n">
        <f aca="false">AVERAGEIFS(Weather!$E$2:$E$159,Weather!$A$2:$A$159,"&gt;="&amp;(F37-6),Weather!$A$2:$A$159,"&lt;="&amp;F37)</f>
        <v>94.2857142857143</v>
      </c>
      <c r="Q37" s="30" t="n">
        <f aca="false">AVERAGEIFS(Weather!$F$2:$F$159,Weather!$A$2:$A$159,"&gt;="&amp;(F37-6),Weather!$A$2:$A$159,"&lt;="&amp;F37)</f>
        <v>45.1428571428571</v>
      </c>
      <c r="R37" s="31" t="n">
        <f aca="false">MAX(0,(N37-Inputs_General!$C$7)/Inputs_General!$C$8)</f>
        <v>0.0232142857142859</v>
      </c>
      <c r="S37" s="30" t="n">
        <f aca="false">O37+Inputs_General!$C$9*(N37-O37)</f>
        <v>23.9714285714286</v>
      </c>
      <c r="T37" s="30" t="n">
        <f aca="false">Q37+Inputs_General!$C$10*(P37-Q37)</f>
        <v>59.8857142857143</v>
      </c>
      <c r="U37" s="31" t="n">
        <f aca="false">0.6108*EXP(17.27*S37/(S37+237.3))*(1-T37/100)</f>
        <v>1.19492600027053</v>
      </c>
      <c r="V37" s="30" t="n">
        <f aca="false">O37+Inputs_General!$C$11*(N37-O37)</f>
        <v>25.5785714285714</v>
      </c>
      <c r="W37" s="30" t="n">
        <f aca="false">Q37+Inputs_General!$C$12*(P37-Q37)</f>
        <v>52.5142857142857</v>
      </c>
      <c r="X37" s="31" t="n">
        <f aca="false">0.6108*EXP(17.27*V37/(V37+237.3))*(1-W37/100)</f>
        <v>1.55686779409338</v>
      </c>
      <c r="Y37" s="30" t="n">
        <f aca="false">V37+Inputs_General!$C$14-Inputs_General!$C$15*X37</f>
        <v>23.620522619794</v>
      </c>
      <c r="Z37" s="30" t="n">
        <f aca="false">V37+Inputs_General!$C$16</f>
        <v>29.5785714285714</v>
      </c>
      <c r="AA37" s="31" t="n">
        <f aca="false">IF(L37="V",Inputs_General!$C$17,IF(L37="F",Inputs_General!$C$18,Inputs_General!$C$19))+Inputs_General!$C$20*R37</f>
        <v>0.121160714285714</v>
      </c>
      <c r="AB37" s="31" t="n">
        <f aca="false">Inputs_Treatments!$C$6*Inputs_Treatments!$F$14*(1/(1+EXP(-(K37-Inputs_General!$C$27)/Inputs_General!$C$28)))*EXP(-((MAX(0,K37-Inputs_General!$C$29)/Inputs_General!$C$30)^2))</f>
        <v>2.25291371771685</v>
      </c>
      <c r="AC37" s="21" t="n">
        <f aca="false">Inputs_Treatments!$F$6</f>
        <v>1.05</v>
      </c>
      <c r="AD37" s="21" t="n">
        <f aca="false">Inputs_Treatments!$D$14</f>
        <v>0.85</v>
      </c>
      <c r="AE37" s="29" t="n">
        <f aca="false">COUNTIFS(Weather!$K$2:$K$159,1,Weather!$A$2:$A$159,"&gt;="&amp;(G37+36),Weather!$A$2:$A$159,"&lt;="&amp;F37)</f>
        <v>3</v>
      </c>
      <c r="AF37" s="30" t="n">
        <f aca="false">Inputs_Treatments!$C$20*Inputs_Treatments!$E$14*Inputs_Treatments!$D$6</f>
        <v>6.75</v>
      </c>
      <c r="AG37" s="13" t="str">
        <f aca="false">IF(AF37&lt;=0,"Healthy",IF(AF37&lt;=5,"Very low",IF(AF37&lt;=10,"Low",IF(AF37&lt;=25,"Moderate",IF(AF37&lt;=50,"High","Very high")))))</f>
        <v>Low</v>
      </c>
      <c r="AH37" s="29" t="n">
        <f aca="false">MATCH(AG37,Severity_Classes!$A$4:$A$9,0)</f>
        <v>3</v>
      </c>
      <c r="AI37" s="13" t="str">
        <f aca="false">"Reference: healthy (uninoculated) control plot"</f>
        <v>Reference: healthy (uninoculated) control plot</v>
      </c>
      <c r="AJ37" s="13" t="str">
        <f aca="false">IF(AND(I37&lt;8,2&gt;=4),"Unlikely (only via pre-inoculation natural infection)",IF(ABS(2-AH37)&lt;=1,"Likely",IF(ABS(2-AH37)=2,"Possible","Unlikely")))</f>
        <v>Likely</v>
      </c>
      <c r="AK37" s="13" t="str">
        <f aca="false">IF(AND(I37&lt;8,3&gt;=4),"Unlikely (only via pre-inoculation natural infection)",IF(ABS(3-AH37)&lt;=1,"Likely",IF(ABS(3-AH37)=2,"Possible","Unlikely")))</f>
        <v>Likely</v>
      </c>
      <c r="AL37" s="13" t="str">
        <f aca="false">IF(AND(I37&lt;8,4&gt;=4),"Unlikely (only via pre-inoculation natural infection)",IF(ABS(4-AH37)&lt;=1,"Likely",IF(ABS(4-AH37)=2,"Possible","Unlikely")))</f>
        <v>Likely</v>
      </c>
      <c r="AM37" s="13" t="str">
        <f aca="false">IF(AND(I37&lt;8,5&gt;=4),"Unlikely (only via pre-inoculation natural infection)",IF(ABS(5-AH37)&lt;=1,"Likely",IF(ABS(5-AH37)=2,"Possible","Unlikely")))</f>
        <v>Possible</v>
      </c>
      <c r="AN37" s="13" t="str">
        <f aca="false">IF(AND(I37&lt;8,6&gt;=4),"Unlikely (only via pre-inoculation natural infection)",IF(ABS(6-AH37)&lt;=1,"Likely",IF(ABS(6-AH37)=2,"Possible","Unlikely")))</f>
        <v>Unlikely</v>
      </c>
    </row>
    <row r="38" customFormat="false" ht="15" hidden="false" customHeight="false" outlineLevel="0" collapsed="false">
      <c r="A38" s="13" t="str">
        <f aca="false">B38&amp;"|"&amp;E38</f>
        <v>D3V3|03/03/2026</v>
      </c>
      <c r="B38" s="27" t="s">
        <v>351</v>
      </c>
      <c r="C38" s="13" t="s">
        <v>131</v>
      </c>
      <c r="D38" s="13" t="s">
        <v>150</v>
      </c>
      <c r="E38" s="13" t="s">
        <v>162</v>
      </c>
      <c r="F38" s="28" t="n">
        <f aca="false">Inputs_Treatments!$B$21</f>
        <v>46084</v>
      </c>
      <c r="G38" s="28" t="n">
        <f aca="false">Inputs_Treatments!$B$6</f>
        <v>46018</v>
      </c>
      <c r="H38" s="29" t="n">
        <f aca="false">F38-G38</f>
        <v>66</v>
      </c>
      <c r="I38" s="29" t="n">
        <f aca="false">F38-Inputs_General!$C$6</f>
        <v>26</v>
      </c>
      <c r="J38" s="29" t="n">
        <f aca="false">SUMIFS(Weather!$H$2:$H$159,Weather!$A$2:$A$159,"&gt;="&amp;G38,Weather!$A$2:$A$159,"&lt;="&amp;F38)</f>
        <v>678.25</v>
      </c>
      <c r="K38" s="29" t="n">
        <f aca="false">J38-Inputs_General!$C$5</f>
        <v>568.25</v>
      </c>
      <c r="L38" s="15" t="s">
        <v>341</v>
      </c>
      <c r="M38" s="13" t="str">
        <f aca="false">IF(L38="V","3rd fully expanded leaf from top","5th fully expanded leaf from top")</f>
        <v>5th fully expanded leaf from top</v>
      </c>
      <c r="N38" s="30" t="n">
        <f aca="false">AVERAGEIFS(Weather!$B$2:$B$159,Weather!$A$2:$A$159,"&gt;="&amp;(F38-6),Weather!$A$2:$A$159,"&lt;="&amp;F38)</f>
        <v>30.4714285714286</v>
      </c>
      <c r="O38" s="30" t="n">
        <f aca="false">AVERAGEIFS(Weather!$C$2:$C$159,Weather!$A$2:$A$159,"&gt;="&amp;(F38-6),Weather!$A$2:$A$159,"&lt;="&amp;F38)</f>
        <v>11.9571428571429</v>
      </c>
      <c r="P38" s="30" t="n">
        <f aca="false">AVERAGEIFS(Weather!$E$2:$E$159,Weather!$A$2:$A$159,"&gt;="&amp;(F38-6),Weather!$A$2:$A$159,"&lt;="&amp;F38)</f>
        <v>90.1428571428571</v>
      </c>
      <c r="Q38" s="30" t="n">
        <f aca="false">AVERAGEIFS(Weather!$F$2:$F$159,Weather!$A$2:$A$159,"&gt;="&amp;(F38-6),Weather!$A$2:$A$159,"&lt;="&amp;F38)</f>
        <v>33.5714285714286</v>
      </c>
      <c r="R38" s="31" t="n">
        <f aca="false">MAX(0,(N38-Inputs_General!$C$7)/Inputs_General!$C$8)</f>
        <v>0.433928571428571</v>
      </c>
      <c r="S38" s="30" t="n">
        <f aca="false">O38+Inputs_General!$C$9*(N38-O38)</f>
        <v>26.7685714285714</v>
      </c>
      <c r="T38" s="30" t="n">
        <f aca="false">Q38+Inputs_General!$C$10*(P38-Q38)</f>
        <v>50.5428571428571</v>
      </c>
      <c r="U38" s="31" t="n">
        <f aca="false">0.6108*EXP(17.27*S38/(S38+237.3))*(1-T38/100)</f>
        <v>1.73951545534029</v>
      </c>
      <c r="V38" s="30" t="n">
        <f aca="false">O38+Inputs_General!$C$11*(N38-O38)</f>
        <v>28.62</v>
      </c>
      <c r="W38" s="30" t="n">
        <f aca="false">Q38+Inputs_General!$C$12*(P38-Q38)</f>
        <v>42.0571428571429</v>
      </c>
      <c r="X38" s="31" t="n">
        <f aca="false">0.6108*EXP(17.27*V38/(V38+237.3))*(1-W38/100)</f>
        <v>2.27051923122539</v>
      </c>
      <c r="Y38" s="30" t="n">
        <f aca="false">V38+Inputs_General!$C$14-Inputs_General!$C$15*X38</f>
        <v>25.3060134606718</v>
      </c>
      <c r="Z38" s="30" t="n">
        <f aca="false">V38+Inputs_General!$C$16</f>
        <v>32.62</v>
      </c>
      <c r="AA38" s="31" t="n">
        <f aca="false">IF(L38="V",Inputs_General!$C$17,IF(L38="F",Inputs_General!$C$18,Inputs_General!$C$19))+Inputs_General!$C$20*R38</f>
        <v>0.221696428571429</v>
      </c>
      <c r="AB38" s="31" t="n">
        <f aca="false">Inputs_Treatments!$C$6*Inputs_Treatments!$F$14*(1/(1+EXP(-(K38-Inputs_General!$C$27)/Inputs_General!$C$28)))*EXP(-((MAX(0,K38-Inputs_General!$C$29)/Inputs_General!$C$30)^2))</f>
        <v>2.65490090255297</v>
      </c>
      <c r="AC38" s="21" t="n">
        <f aca="false">Inputs_Treatments!$G$6</f>
        <v>1</v>
      </c>
      <c r="AD38" s="21" t="n">
        <f aca="false">Inputs_Treatments!$D$14</f>
        <v>0.85</v>
      </c>
      <c r="AE38" s="29" t="n">
        <f aca="false">COUNTIFS(Weather!$K$2:$K$159,1,Weather!$A$2:$A$159,"&gt;="&amp;(G38+36),Weather!$A$2:$A$159,"&lt;="&amp;F38)</f>
        <v>3</v>
      </c>
      <c r="AF38" s="30" t="n">
        <f aca="false">Inputs_Treatments!$C$21*Inputs_Treatments!$E$14*Inputs_Treatments!$D$6</f>
        <v>10.5</v>
      </c>
      <c r="AG38" s="13" t="str">
        <f aca="false">IF(AF38&lt;=0,"Healthy",IF(AF38&lt;=5,"Very low",IF(AF38&lt;=10,"Low",IF(AF38&lt;=25,"Moderate",IF(AF38&lt;=50,"High","Very high")))))</f>
        <v>Moderate</v>
      </c>
      <c r="AH38" s="29" t="n">
        <f aca="false">MATCH(AG38,Severity_Classes!$A$4:$A$9,0)</f>
        <v>4</v>
      </c>
      <c r="AI38" s="13" t="str">
        <f aca="false">"Reference: healthy (uninoculated) control plot"</f>
        <v>Reference: healthy (uninoculated) control plot</v>
      </c>
      <c r="AJ38" s="13" t="str">
        <f aca="false">IF(AND(I38&lt;8,2&gt;=4),"Unlikely (only via pre-inoculation natural infection)",IF(ABS(2-AH38)&lt;=1,"Likely",IF(ABS(2-AH38)=2,"Possible","Unlikely")))</f>
        <v>Possible</v>
      </c>
      <c r="AK38" s="13" t="str">
        <f aca="false">IF(AND(I38&lt;8,3&gt;=4),"Unlikely (only via pre-inoculation natural infection)",IF(ABS(3-AH38)&lt;=1,"Likely",IF(ABS(3-AH38)=2,"Possible","Unlikely")))</f>
        <v>Likely</v>
      </c>
      <c r="AL38" s="13" t="str">
        <f aca="false">IF(AND(I38&lt;8,4&gt;=4),"Unlikely (only via pre-inoculation natural infection)",IF(ABS(4-AH38)&lt;=1,"Likely",IF(ABS(4-AH38)=2,"Possible","Unlikely")))</f>
        <v>Likely</v>
      </c>
      <c r="AM38" s="13" t="str">
        <f aca="false">IF(AND(I38&lt;8,5&gt;=4),"Unlikely (only via pre-inoculation natural infection)",IF(ABS(5-AH38)&lt;=1,"Likely",IF(ABS(5-AH38)=2,"Possible","Unlikely")))</f>
        <v>Likely</v>
      </c>
      <c r="AN38" s="13" t="str">
        <f aca="false">IF(AND(I38&lt;8,6&gt;=4),"Unlikely (only via pre-inoculation natural infection)",IF(ABS(6-AH38)&lt;=1,"Likely",IF(ABS(6-AH38)=2,"Possible","Unlikely")))</f>
        <v>Possible</v>
      </c>
    </row>
    <row r="39" customFormat="false" ht="15" hidden="false" customHeight="false" outlineLevel="0" collapsed="false">
      <c r="A39" s="13" t="str">
        <f aca="false">B39&amp;"|"&amp;E39</f>
        <v>D3V3|13/03/2026</v>
      </c>
      <c r="B39" s="27" t="s">
        <v>351</v>
      </c>
      <c r="C39" s="13" t="s">
        <v>131</v>
      </c>
      <c r="D39" s="13" t="s">
        <v>150</v>
      </c>
      <c r="E39" s="13" t="s">
        <v>164</v>
      </c>
      <c r="F39" s="28" t="n">
        <f aca="false">Inputs_Treatments!$B$22</f>
        <v>46094</v>
      </c>
      <c r="G39" s="28" t="n">
        <f aca="false">Inputs_Treatments!$B$6</f>
        <v>46018</v>
      </c>
      <c r="H39" s="29" t="n">
        <f aca="false">F39-G39</f>
        <v>76</v>
      </c>
      <c r="I39" s="29" t="n">
        <f aca="false">F39-Inputs_General!$C$6</f>
        <v>36</v>
      </c>
      <c r="J39" s="29" t="n">
        <f aca="false">SUMIFS(Weather!$H$2:$H$159,Weather!$A$2:$A$159,"&gt;="&amp;G39,Weather!$A$2:$A$159,"&lt;="&amp;F39)</f>
        <v>876.25</v>
      </c>
      <c r="K39" s="29" t="n">
        <f aca="false">J39-Inputs_General!$C$5</f>
        <v>766.25</v>
      </c>
      <c r="L39" s="15" t="s">
        <v>342</v>
      </c>
      <c r="M39" s="13" t="str">
        <f aca="false">IF(L39="V","3rd fully expanded leaf from top","5th fully expanded leaf from top")</f>
        <v>5th fully expanded leaf from top</v>
      </c>
      <c r="N39" s="30" t="n">
        <f aca="false">AVERAGEIFS(Weather!$B$2:$B$159,Weather!$A$2:$A$159,"&gt;="&amp;(F39-6),Weather!$A$2:$A$159,"&lt;="&amp;F39)</f>
        <v>34.6285714285714</v>
      </c>
      <c r="O39" s="30" t="n">
        <f aca="false">AVERAGEIFS(Weather!$C$2:$C$159,Weather!$A$2:$A$159,"&gt;="&amp;(F39-6),Weather!$A$2:$A$159,"&lt;="&amp;F39)</f>
        <v>16.2142857142857</v>
      </c>
      <c r="P39" s="30" t="n">
        <f aca="false">AVERAGEIFS(Weather!$E$2:$E$159,Weather!$A$2:$A$159,"&gt;="&amp;(F39-6),Weather!$A$2:$A$159,"&lt;="&amp;F39)</f>
        <v>90.7142857142857</v>
      </c>
      <c r="Q39" s="30" t="n">
        <f aca="false">AVERAGEIFS(Weather!$F$2:$F$159,Weather!$A$2:$A$159,"&gt;="&amp;(F39-6),Weather!$A$2:$A$159,"&lt;="&amp;F39)</f>
        <v>34.1428571428571</v>
      </c>
      <c r="R39" s="31" t="n">
        <f aca="false">MAX(0,(N39-Inputs_General!$C$7)/Inputs_General!$C$8)</f>
        <v>0.953571428571428</v>
      </c>
      <c r="S39" s="30" t="n">
        <f aca="false">O39+Inputs_General!$C$9*(N39-O39)</f>
        <v>30.9457142857143</v>
      </c>
      <c r="T39" s="30" t="n">
        <f aca="false">Q39+Inputs_General!$C$10*(P39-Q39)</f>
        <v>51.1142857142857</v>
      </c>
      <c r="U39" s="31" t="n">
        <f aca="false">0.6108*EXP(17.27*S39/(S39+237.3))*(1-T39/100)</f>
        <v>2.18945736698217</v>
      </c>
      <c r="V39" s="30" t="n">
        <f aca="false">O39+Inputs_General!$C$11*(N39-O39)</f>
        <v>32.7871428571429</v>
      </c>
      <c r="W39" s="30" t="n">
        <f aca="false">Q39+Inputs_General!$C$12*(P39-Q39)</f>
        <v>42.6285714285714</v>
      </c>
      <c r="X39" s="31" t="n">
        <f aca="false">0.6108*EXP(17.27*V39/(V39+237.3))*(1-W39/100)</f>
        <v>2.85158987109622</v>
      </c>
      <c r="Y39" s="30" t="n">
        <f aca="false">V39+Inputs_General!$C$14-Inputs_General!$C$15*X39</f>
        <v>28.36912210206</v>
      </c>
      <c r="Z39" s="30" t="n">
        <f aca="false">V39+Inputs_General!$C$16</f>
        <v>36.7871428571429</v>
      </c>
      <c r="AA39" s="31" t="n">
        <f aca="false">IF(L39="V",Inputs_General!$C$17,IF(L39="F",Inputs_General!$C$18,Inputs_General!$C$19))+Inputs_General!$C$20*R39</f>
        <v>0.347678571428571</v>
      </c>
      <c r="AB39" s="31" t="n">
        <f aca="false">Inputs_Treatments!$C$6*Inputs_Treatments!$F$14*(1/(1+EXP(-(K39-Inputs_General!$C$27)/Inputs_General!$C$28)))*EXP(-((MAX(0,K39-Inputs_General!$C$29)/Inputs_General!$C$30)^2))</f>
        <v>2.86350044433308</v>
      </c>
      <c r="AC39" s="21" t="n">
        <f aca="false">Inputs_Treatments!$H$6</f>
        <v>1</v>
      </c>
      <c r="AD39" s="21" t="n">
        <f aca="false">Inputs_Treatments!$D$14</f>
        <v>0.85</v>
      </c>
      <c r="AE39" s="29" t="n">
        <f aca="false">COUNTIFS(Weather!$K$2:$K$159,1,Weather!$A$2:$A$159,"&gt;="&amp;(G39+36),Weather!$A$2:$A$159,"&lt;="&amp;F39)</f>
        <v>3</v>
      </c>
      <c r="AF39" s="30" t="n">
        <f aca="false">Inputs_Treatments!$C$22*Inputs_Treatments!$E$14*Inputs_Treatments!$D$6</f>
        <v>13.125</v>
      </c>
      <c r="AG39" s="13" t="str">
        <f aca="false">IF(AF39&lt;=0,"Healthy",IF(AF39&lt;=5,"Very low",IF(AF39&lt;=10,"Low",IF(AF39&lt;=25,"Moderate",IF(AF39&lt;=50,"High","Very high")))))</f>
        <v>Moderate</v>
      </c>
      <c r="AH39" s="29" t="n">
        <f aca="false">MATCH(AG39,Severity_Classes!$A$4:$A$9,0)</f>
        <v>4</v>
      </c>
      <c r="AI39" s="13" t="str">
        <f aca="false">"Reference: healthy (uninoculated) control plot"</f>
        <v>Reference: healthy (uninoculated) control plot</v>
      </c>
      <c r="AJ39" s="13" t="str">
        <f aca="false">IF(AND(I39&lt;8,2&gt;=4),"Unlikely (only via pre-inoculation natural infection)",IF(ABS(2-AH39)&lt;=1,"Likely",IF(ABS(2-AH39)=2,"Possible","Unlikely")))</f>
        <v>Possible</v>
      </c>
      <c r="AK39" s="13" t="str">
        <f aca="false">IF(AND(I39&lt;8,3&gt;=4),"Unlikely (only via pre-inoculation natural infection)",IF(ABS(3-AH39)&lt;=1,"Likely",IF(ABS(3-AH39)=2,"Possible","Unlikely")))</f>
        <v>Likely</v>
      </c>
      <c r="AL39" s="13" t="str">
        <f aca="false">IF(AND(I39&lt;8,4&gt;=4),"Unlikely (only via pre-inoculation natural infection)",IF(ABS(4-AH39)&lt;=1,"Likely",IF(ABS(4-AH39)=2,"Possible","Unlikely")))</f>
        <v>Likely</v>
      </c>
      <c r="AM39" s="13" t="str">
        <f aca="false">IF(AND(I39&lt;8,5&gt;=4),"Unlikely (only via pre-inoculation natural infection)",IF(ABS(5-AH39)&lt;=1,"Likely",IF(ABS(5-AH39)=2,"Possible","Unlikely")))</f>
        <v>Likely</v>
      </c>
      <c r="AN39" s="13" t="str">
        <f aca="false">IF(AND(I39&lt;8,6&gt;=4),"Unlikely (only via pre-inoculation natural infection)",IF(ABS(6-AH39)&lt;=1,"Likely",IF(ABS(6-AH39)=2,"Possible","Unlikely")))</f>
        <v>Possible</v>
      </c>
    </row>
    <row r="40" customFormat="false" ht="15" hidden="false" customHeight="false" outlineLevel="0" collapsed="false">
      <c r="A40" s="13" t="str">
        <f aca="false">B40&amp;"|"&amp;E40</f>
        <v>D4V1|11/02/2026</v>
      </c>
      <c r="B40" s="27" t="s">
        <v>352</v>
      </c>
      <c r="C40" s="13" t="s">
        <v>133</v>
      </c>
      <c r="D40" s="13" t="s">
        <v>142</v>
      </c>
      <c r="E40" s="13" t="s">
        <v>158</v>
      </c>
      <c r="F40" s="28" t="n">
        <f aca="false">Inputs_Treatments!$B$19</f>
        <v>46064</v>
      </c>
      <c r="G40" s="28" t="n">
        <f aca="false">Inputs_Treatments!$B$7</f>
        <v>46031</v>
      </c>
      <c r="H40" s="29" t="n">
        <f aca="false">F40-G40</f>
        <v>33</v>
      </c>
      <c r="I40" s="29" t="n">
        <f aca="false">F40-Inputs_General!$C$6</f>
        <v>6</v>
      </c>
      <c r="J40" s="29" t="n">
        <f aca="false">SUMIFS(Weather!$H$2:$H$159,Weather!$A$2:$A$159,"&gt;="&amp;G40,Weather!$A$2:$A$159,"&lt;="&amp;F40)</f>
        <v>290.6</v>
      </c>
      <c r="K40" s="29" t="n">
        <f aca="false">J40-Inputs_General!$C$5</f>
        <v>180.6</v>
      </c>
      <c r="L40" s="15" t="s">
        <v>344</v>
      </c>
      <c r="M40" s="13" t="str">
        <f aca="false">IF(L40="V","3rd fully expanded leaf from top","5th fully expanded leaf from top")</f>
        <v>3rd fully expanded leaf from top</v>
      </c>
      <c r="N40" s="30" t="n">
        <f aca="false">AVERAGEIFS(Weather!$B$2:$B$159,Weather!$A$2:$A$159,"&gt;="&amp;(F40-6),Weather!$A$2:$A$159,"&lt;="&amp;F40)</f>
        <v>24.1428571428571</v>
      </c>
      <c r="O40" s="30" t="n">
        <f aca="false">AVERAGEIFS(Weather!$C$2:$C$159,Weather!$A$2:$A$159,"&gt;="&amp;(F40-6),Weather!$A$2:$A$159,"&lt;="&amp;F40)</f>
        <v>8.97142857142857</v>
      </c>
      <c r="P40" s="30" t="n">
        <f aca="false">AVERAGEIFS(Weather!$E$2:$E$159,Weather!$A$2:$A$159,"&gt;="&amp;(F40-6),Weather!$A$2:$A$159,"&lt;="&amp;F40)</f>
        <v>94.1428571428571</v>
      </c>
      <c r="Q40" s="30" t="n">
        <f aca="false">AVERAGEIFS(Weather!$F$2:$F$159,Weather!$A$2:$A$159,"&gt;="&amp;(F40-6),Weather!$A$2:$A$159,"&lt;="&amp;F40)</f>
        <v>49</v>
      </c>
      <c r="R40" s="31" t="n">
        <f aca="false">MAX(0,(N40-Inputs_General!$C$7)/Inputs_General!$C$8)</f>
        <v>0</v>
      </c>
      <c r="S40" s="30" t="n">
        <f aca="false">O40+Inputs_General!$C$9*(N40-O40)</f>
        <v>21.1085714285714</v>
      </c>
      <c r="T40" s="30" t="n">
        <f aca="false">Q40+Inputs_General!$C$10*(P40-Q40)</f>
        <v>62.5428571428571</v>
      </c>
      <c r="U40" s="31" t="n">
        <f aca="false">0.6108*EXP(17.27*S40/(S40+237.3))*(1-T40/100)</f>
        <v>0.937791824040773</v>
      </c>
      <c r="V40" s="30" t="n">
        <f aca="false">O40+Inputs_General!$C$11*(N40-O40)</f>
        <v>22.6257142857143</v>
      </c>
      <c r="W40" s="30" t="n">
        <f aca="false">Q40+Inputs_General!$C$12*(P40-Q40)</f>
        <v>55.7714285714286</v>
      </c>
      <c r="X40" s="31" t="n">
        <f aca="false">0.6108*EXP(17.27*V40/(V40+237.3))*(1-W40/100)</f>
        <v>1.21472070203065</v>
      </c>
      <c r="Y40" s="30" t="n">
        <f aca="false">V40+Inputs_General!$C$14-Inputs_General!$C$15*X40</f>
        <v>21.3177449518561</v>
      </c>
      <c r="Z40" s="30" t="n">
        <f aca="false">V40+Inputs_General!$C$16</f>
        <v>26.6257142857143</v>
      </c>
      <c r="AA40" s="31" t="n">
        <f aca="false">IF(L40="V",Inputs_General!$C$17,IF(L40="F",Inputs_General!$C$18,Inputs_General!$C$19))+Inputs_General!$C$20*R40</f>
        <v>0.12</v>
      </c>
      <c r="AB40" s="31" t="n">
        <f aca="false">Inputs_Treatments!$C$7*Inputs_Treatments!$F$12*(1/(1+EXP(-(K40-Inputs_General!$C$27)/Inputs_General!$C$28)))*EXP(-((MAX(0,K40-Inputs_General!$C$29)/Inputs_General!$C$30)^2))</f>
        <v>0.435390007029591</v>
      </c>
      <c r="AC40" s="21" t="n">
        <f aca="false">Inputs_Treatments!$E$7</f>
        <v>1.4</v>
      </c>
      <c r="AD40" s="21" t="n">
        <f aca="false">Inputs_Treatments!$D$12</f>
        <v>1</v>
      </c>
      <c r="AE40" s="29" t="n">
        <f aca="false">COUNTIFS(Weather!$K$2:$K$159,1,Weather!$A$2:$A$159,"&gt;="&amp;(G40+36),Weather!$A$2:$A$159,"&lt;="&amp;F40)</f>
        <v>0</v>
      </c>
      <c r="AF40" s="30" t="n">
        <f aca="false">Inputs_Treatments!$C$19*Inputs_Treatments!$E$12*Inputs_Treatments!$D$7</f>
        <v>1.44</v>
      </c>
      <c r="AG40" s="13" t="str">
        <f aca="false">IF(AF40&lt;=0,"Healthy",IF(AF40&lt;=5,"Very low",IF(AF40&lt;=10,"Low",IF(AF40&lt;=25,"Moderate",IF(AF40&lt;=50,"High","Very high")))))</f>
        <v>Very low</v>
      </c>
      <c r="AH40" s="29" t="n">
        <f aca="false">MATCH(AG40,Severity_Classes!$A$4:$A$9,0)</f>
        <v>2</v>
      </c>
      <c r="AI40" s="13" t="str">
        <f aca="false">"Reference: healthy (uninoculated) control plot"</f>
        <v>Reference: healthy (uninoculated) control plot</v>
      </c>
      <c r="AJ40" s="13" t="str">
        <f aca="false">IF(AND(I40&lt;8,2&gt;=4),"Unlikely (only via pre-inoculation natural infection)",IF(ABS(2-AH40)&lt;=1,"Likely",IF(ABS(2-AH40)=2,"Possible","Unlikely")))</f>
        <v>Likely</v>
      </c>
      <c r="AK40" s="13" t="str">
        <f aca="false">IF(AND(I40&lt;8,3&gt;=4),"Unlikely (only via pre-inoculation natural infection)",IF(ABS(3-AH40)&lt;=1,"Likely",IF(ABS(3-AH40)=2,"Possible","Unlikely")))</f>
        <v>Likely</v>
      </c>
      <c r="AL40" s="13" t="str">
        <f aca="false">IF(AND(I40&lt;8,4&gt;=4),"Unlikely (only via pre-inoculation natural infection)",IF(ABS(4-AH40)&lt;=1,"Likely",IF(ABS(4-AH40)=2,"Possible","Unlikely")))</f>
        <v>Unlikely (only via pre-inoculation natural infection)</v>
      </c>
      <c r="AM40" s="13" t="str">
        <f aca="false">IF(AND(I40&lt;8,5&gt;=4),"Unlikely (only via pre-inoculation natural infection)",IF(ABS(5-AH40)&lt;=1,"Likely",IF(ABS(5-AH40)=2,"Possible","Unlikely")))</f>
        <v>Unlikely (only via pre-inoculation natural infection)</v>
      </c>
      <c r="AN40" s="13" t="str">
        <f aca="false">IF(AND(I40&lt;8,6&gt;=4),"Unlikely (only via pre-inoculation natural infection)",IF(ABS(6-AH40)&lt;=1,"Likely",IF(ABS(6-AH40)=2,"Possible","Unlikely")))</f>
        <v>Unlikely (only via pre-inoculation natural infection)</v>
      </c>
    </row>
    <row r="41" customFormat="false" ht="15" hidden="false" customHeight="false" outlineLevel="0" collapsed="false">
      <c r="A41" s="13" t="str">
        <f aca="false">B41&amp;"|"&amp;E41</f>
        <v>D4V1|24/02/2026</v>
      </c>
      <c r="B41" s="27" t="s">
        <v>352</v>
      </c>
      <c r="C41" s="13" t="s">
        <v>133</v>
      </c>
      <c r="D41" s="13" t="s">
        <v>142</v>
      </c>
      <c r="E41" s="13" t="s">
        <v>160</v>
      </c>
      <c r="F41" s="28" t="n">
        <f aca="false">Inputs_Treatments!$B$20</f>
        <v>46077</v>
      </c>
      <c r="G41" s="28" t="n">
        <f aca="false">Inputs_Treatments!$B$7</f>
        <v>46031</v>
      </c>
      <c r="H41" s="29" t="n">
        <f aca="false">F41-G41</f>
        <v>46</v>
      </c>
      <c r="I41" s="29" t="n">
        <f aca="false">F41-Inputs_General!$C$6</f>
        <v>19</v>
      </c>
      <c r="J41" s="29" t="n">
        <f aca="false">SUMIFS(Weather!$H$2:$H$159,Weather!$A$2:$A$159,"&gt;="&amp;G41,Weather!$A$2:$A$159,"&lt;="&amp;F41)</f>
        <v>465.5</v>
      </c>
      <c r="K41" s="29" t="n">
        <f aca="false">J41-Inputs_General!$C$5</f>
        <v>355.5</v>
      </c>
      <c r="L41" s="15" t="s">
        <v>344</v>
      </c>
      <c r="M41" s="13" t="str">
        <f aca="false">IF(L41="V","3rd fully expanded leaf from top","5th fully expanded leaf from top")</f>
        <v>3rd fully expanded leaf from top</v>
      </c>
      <c r="N41" s="30" t="n">
        <f aca="false">AVERAGEIFS(Weather!$B$2:$B$159,Weather!$A$2:$A$159,"&gt;="&amp;(F41-6),Weather!$A$2:$A$159,"&lt;="&amp;F41)</f>
        <v>27.1857142857143</v>
      </c>
      <c r="O41" s="30" t="n">
        <f aca="false">AVERAGEIFS(Weather!$C$2:$C$159,Weather!$A$2:$A$159,"&gt;="&amp;(F41-6),Weather!$A$2:$A$159,"&lt;="&amp;F41)</f>
        <v>11.1142857142857</v>
      </c>
      <c r="P41" s="30" t="n">
        <f aca="false">AVERAGEIFS(Weather!$E$2:$E$159,Weather!$A$2:$A$159,"&gt;="&amp;(F41-6),Weather!$A$2:$A$159,"&lt;="&amp;F41)</f>
        <v>94.2857142857143</v>
      </c>
      <c r="Q41" s="30" t="n">
        <f aca="false">AVERAGEIFS(Weather!$F$2:$F$159,Weather!$A$2:$A$159,"&gt;="&amp;(F41-6),Weather!$A$2:$A$159,"&lt;="&amp;F41)</f>
        <v>45.1428571428571</v>
      </c>
      <c r="R41" s="31" t="n">
        <f aca="false">MAX(0,(N41-Inputs_General!$C$7)/Inputs_General!$C$8)</f>
        <v>0.0232142857142859</v>
      </c>
      <c r="S41" s="30" t="n">
        <f aca="false">O41+Inputs_General!$C$9*(N41-O41)</f>
        <v>23.9714285714286</v>
      </c>
      <c r="T41" s="30" t="n">
        <f aca="false">Q41+Inputs_General!$C$10*(P41-Q41)</f>
        <v>59.8857142857143</v>
      </c>
      <c r="U41" s="31" t="n">
        <f aca="false">0.6108*EXP(17.27*S41/(S41+237.3))*(1-T41/100)</f>
        <v>1.19492600027053</v>
      </c>
      <c r="V41" s="30" t="n">
        <f aca="false">O41+Inputs_General!$C$11*(N41-O41)</f>
        <v>25.5785714285714</v>
      </c>
      <c r="W41" s="30" t="n">
        <f aca="false">Q41+Inputs_General!$C$12*(P41-Q41)</f>
        <v>52.5142857142857</v>
      </c>
      <c r="X41" s="31" t="n">
        <f aca="false">0.6108*EXP(17.27*V41/(V41+237.3))*(1-W41/100)</f>
        <v>1.55686779409338</v>
      </c>
      <c r="Y41" s="30" t="n">
        <f aca="false">V41+Inputs_General!$C$14-Inputs_General!$C$15*X41</f>
        <v>23.620522619794</v>
      </c>
      <c r="Z41" s="30" t="n">
        <f aca="false">V41+Inputs_General!$C$16</f>
        <v>29.5785714285714</v>
      </c>
      <c r="AA41" s="31" t="n">
        <f aca="false">IF(L41="V",Inputs_General!$C$17,IF(L41="F",Inputs_General!$C$18,Inputs_General!$C$19))+Inputs_General!$C$20*R41</f>
        <v>0.121160714285714</v>
      </c>
      <c r="AB41" s="31" t="n">
        <f aca="false">Inputs_Treatments!$C$7*Inputs_Treatments!$F$12*(1/(1+EXP(-(K41-Inputs_General!$C$27)/Inputs_General!$C$28)))*EXP(-((MAX(0,K41-Inputs_General!$C$29)/Inputs_General!$C$30)^2))</f>
        <v>1.33809111737271</v>
      </c>
      <c r="AC41" s="21" t="n">
        <f aca="false">Inputs_Treatments!$F$7</f>
        <v>1.15</v>
      </c>
      <c r="AD41" s="21" t="n">
        <f aca="false">Inputs_Treatments!$D$12</f>
        <v>1</v>
      </c>
      <c r="AE41" s="29" t="n">
        <f aca="false">COUNTIFS(Weather!$K$2:$K$159,1,Weather!$A$2:$A$159,"&gt;="&amp;(G41+36),Weather!$A$2:$A$159,"&lt;="&amp;F41)</f>
        <v>0</v>
      </c>
      <c r="AF41" s="30" t="n">
        <f aca="false">Inputs_Treatments!$C$20*Inputs_Treatments!$E$12*Inputs_Treatments!$D$7</f>
        <v>8.64</v>
      </c>
      <c r="AG41" s="13" t="str">
        <f aca="false">IF(AF41&lt;=0,"Healthy",IF(AF41&lt;=5,"Very low",IF(AF41&lt;=10,"Low",IF(AF41&lt;=25,"Moderate",IF(AF41&lt;=50,"High","Very high")))))</f>
        <v>Low</v>
      </c>
      <c r="AH41" s="29" t="n">
        <f aca="false">MATCH(AG41,Severity_Classes!$A$4:$A$9,0)</f>
        <v>3</v>
      </c>
      <c r="AI41" s="13" t="str">
        <f aca="false">"Reference: healthy (uninoculated) control plot"</f>
        <v>Reference: healthy (uninoculated) control plot</v>
      </c>
      <c r="AJ41" s="13" t="str">
        <f aca="false">IF(AND(I41&lt;8,2&gt;=4),"Unlikely (only via pre-inoculation natural infection)",IF(ABS(2-AH41)&lt;=1,"Likely",IF(ABS(2-AH41)=2,"Possible","Unlikely")))</f>
        <v>Likely</v>
      </c>
      <c r="AK41" s="13" t="str">
        <f aca="false">IF(AND(I41&lt;8,3&gt;=4),"Unlikely (only via pre-inoculation natural infection)",IF(ABS(3-AH41)&lt;=1,"Likely",IF(ABS(3-AH41)=2,"Possible","Unlikely")))</f>
        <v>Likely</v>
      </c>
      <c r="AL41" s="13" t="str">
        <f aca="false">IF(AND(I41&lt;8,4&gt;=4),"Unlikely (only via pre-inoculation natural infection)",IF(ABS(4-AH41)&lt;=1,"Likely",IF(ABS(4-AH41)=2,"Possible","Unlikely")))</f>
        <v>Likely</v>
      </c>
      <c r="AM41" s="13" t="str">
        <f aca="false">IF(AND(I41&lt;8,5&gt;=4),"Unlikely (only via pre-inoculation natural infection)",IF(ABS(5-AH41)&lt;=1,"Likely",IF(ABS(5-AH41)=2,"Possible","Unlikely")))</f>
        <v>Possible</v>
      </c>
      <c r="AN41" s="13" t="str">
        <f aca="false">IF(AND(I41&lt;8,6&gt;=4),"Unlikely (only via pre-inoculation natural infection)",IF(ABS(6-AH41)&lt;=1,"Likely",IF(ABS(6-AH41)=2,"Possible","Unlikely")))</f>
        <v>Unlikely</v>
      </c>
    </row>
    <row r="42" customFormat="false" ht="15" hidden="false" customHeight="false" outlineLevel="0" collapsed="false">
      <c r="A42" s="13" t="str">
        <f aca="false">B42&amp;"|"&amp;E42</f>
        <v>D4V1|03/03/2026</v>
      </c>
      <c r="B42" s="27" t="s">
        <v>352</v>
      </c>
      <c r="C42" s="13" t="s">
        <v>133</v>
      </c>
      <c r="D42" s="13" t="s">
        <v>142</v>
      </c>
      <c r="E42" s="13" t="s">
        <v>162</v>
      </c>
      <c r="F42" s="28" t="n">
        <f aca="false">Inputs_Treatments!$B$21</f>
        <v>46084</v>
      </c>
      <c r="G42" s="28" t="n">
        <f aca="false">Inputs_Treatments!$B$7</f>
        <v>46031</v>
      </c>
      <c r="H42" s="29" t="n">
        <f aca="false">F42-G42</f>
        <v>53</v>
      </c>
      <c r="I42" s="29" t="n">
        <f aca="false">F42-Inputs_General!$C$6</f>
        <v>26</v>
      </c>
      <c r="J42" s="29" t="n">
        <f aca="false">SUMIFS(Weather!$H$2:$H$159,Weather!$A$2:$A$159,"&gt;="&amp;G42,Weather!$A$2:$A$159,"&lt;="&amp;F42)</f>
        <v>579</v>
      </c>
      <c r="K42" s="29" t="n">
        <f aca="false">J42-Inputs_General!$C$5</f>
        <v>469</v>
      </c>
      <c r="L42" s="15" t="s">
        <v>341</v>
      </c>
      <c r="M42" s="13" t="str">
        <f aca="false">IF(L42="V","3rd fully expanded leaf from top","5th fully expanded leaf from top")</f>
        <v>5th fully expanded leaf from top</v>
      </c>
      <c r="N42" s="30" t="n">
        <f aca="false">AVERAGEIFS(Weather!$B$2:$B$159,Weather!$A$2:$A$159,"&gt;="&amp;(F42-6),Weather!$A$2:$A$159,"&lt;="&amp;F42)</f>
        <v>30.4714285714286</v>
      </c>
      <c r="O42" s="30" t="n">
        <f aca="false">AVERAGEIFS(Weather!$C$2:$C$159,Weather!$A$2:$A$159,"&gt;="&amp;(F42-6),Weather!$A$2:$A$159,"&lt;="&amp;F42)</f>
        <v>11.9571428571429</v>
      </c>
      <c r="P42" s="30" t="n">
        <f aca="false">AVERAGEIFS(Weather!$E$2:$E$159,Weather!$A$2:$A$159,"&gt;="&amp;(F42-6),Weather!$A$2:$A$159,"&lt;="&amp;F42)</f>
        <v>90.1428571428571</v>
      </c>
      <c r="Q42" s="30" t="n">
        <f aca="false">AVERAGEIFS(Weather!$F$2:$F$159,Weather!$A$2:$A$159,"&gt;="&amp;(F42-6),Weather!$A$2:$A$159,"&lt;="&amp;F42)</f>
        <v>33.5714285714286</v>
      </c>
      <c r="R42" s="31" t="n">
        <f aca="false">MAX(0,(N42-Inputs_General!$C$7)/Inputs_General!$C$8)</f>
        <v>0.433928571428571</v>
      </c>
      <c r="S42" s="30" t="n">
        <f aca="false">O42+Inputs_General!$C$9*(N42-O42)</f>
        <v>26.7685714285714</v>
      </c>
      <c r="T42" s="30" t="n">
        <f aca="false">Q42+Inputs_General!$C$10*(P42-Q42)</f>
        <v>50.5428571428571</v>
      </c>
      <c r="U42" s="31" t="n">
        <f aca="false">0.6108*EXP(17.27*S42/(S42+237.3))*(1-T42/100)</f>
        <v>1.73951545534029</v>
      </c>
      <c r="V42" s="30" t="n">
        <f aca="false">O42+Inputs_General!$C$11*(N42-O42)</f>
        <v>28.62</v>
      </c>
      <c r="W42" s="30" t="n">
        <f aca="false">Q42+Inputs_General!$C$12*(P42-Q42)</f>
        <v>42.0571428571429</v>
      </c>
      <c r="X42" s="31" t="n">
        <f aca="false">0.6108*EXP(17.27*V42/(V42+237.3))*(1-W42/100)</f>
        <v>2.27051923122539</v>
      </c>
      <c r="Y42" s="30" t="n">
        <f aca="false">V42+Inputs_General!$C$14-Inputs_General!$C$15*X42</f>
        <v>25.3060134606718</v>
      </c>
      <c r="Z42" s="30" t="n">
        <f aca="false">V42+Inputs_General!$C$16</f>
        <v>32.62</v>
      </c>
      <c r="AA42" s="31" t="n">
        <f aca="false">IF(L42="V",Inputs_General!$C$17,IF(L42="F",Inputs_General!$C$18,Inputs_General!$C$19))+Inputs_General!$C$20*R42</f>
        <v>0.221696428571429</v>
      </c>
      <c r="AB42" s="31" t="n">
        <f aca="false">Inputs_Treatments!$C$7*Inputs_Treatments!$F$12*(1/(1+EXP(-(K42-Inputs_General!$C$27)/Inputs_General!$C$28)))*EXP(-((MAX(0,K42-Inputs_General!$C$29)/Inputs_General!$C$30)^2))</f>
        <v>1.90140657748441</v>
      </c>
      <c r="AC42" s="21" t="n">
        <f aca="false">Inputs_Treatments!$G$7</f>
        <v>1</v>
      </c>
      <c r="AD42" s="21" t="n">
        <f aca="false">Inputs_Treatments!$D$12</f>
        <v>1</v>
      </c>
      <c r="AE42" s="29" t="n">
        <f aca="false">COUNTIFS(Weather!$K$2:$K$159,1,Weather!$A$2:$A$159,"&gt;="&amp;(G42+36),Weather!$A$2:$A$159,"&lt;="&amp;F42)</f>
        <v>0</v>
      </c>
      <c r="AF42" s="30" t="n">
        <f aca="false">Inputs_Treatments!$C$21*Inputs_Treatments!$E$12*Inputs_Treatments!$D$7</f>
        <v>13.44</v>
      </c>
      <c r="AG42" s="13" t="str">
        <f aca="false">IF(AF42&lt;=0,"Healthy",IF(AF42&lt;=5,"Very low",IF(AF42&lt;=10,"Low",IF(AF42&lt;=25,"Moderate",IF(AF42&lt;=50,"High","Very high")))))</f>
        <v>Moderate</v>
      </c>
      <c r="AH42" s="29" t="n">
        <f aca="false">MATCH(AG42,Severity_Classes!$A$4:$A$9,0)</f>
        <v>4</v>
      </c>
      <c r="AI42" s="13" t="str">
        <f aca="false">"Reference: healthy (uninoculated) control plot"</f>
        <v>Reference: healthy (uninoculated) control plot</v>
      </c>
      <c r="AJ42" s="13" t="str">
        <f aca="false">IF(AND(I42&lt;8,2&gt;=4),"Unlikely (only via pre-inoculation natural infection)",IF(ABS(2-AH42)&lt;=1,"Likely",IF(ABS(2-AH42)=2,"Possible","Unlikely")))</f>
        <v>Possible</v>
      </c>
      <c r="AK42" s="13" t="str">
        <f aca="false">IF(AND(I42&lt;8,3&gt;=4),"Unlikely (only via pre-inoculation natural infection)",IF(ABS(3-AH42)&lt;=1,"Likely",IF(ABS(3-AH42)=2,"Possible","Unlikely")))</f>
        <v>Likely</v>
      </c>
      <c r="AL42" s="13" t="str">
        <f aca="false">IF(AND(I42&lt;8,4&gt;=4),"Unlikely (only via pre-inoculation natural infection)",IF(ABS(4-AH42)&lt;=1,"Likely",IF(ABS(4-AH42)=2,"Possible","Unlikely")))</f>
        <v>Likely</v>
      </c>
      <c r="AM42" s="13" t="str">
        <f aca="false">IF(AND(I42&lt;8,5&gt;=4),"Unlikely (only via pre-inoculation natural infection)",IF(ABS(5-AH42)&lt;=1,"Likely",IF(ABS(5-AH42)=2,"Possible","Unlikely")))</f>
        <v>Likely</v>
      </c>
      <c r="AN42" s="13" t="str">
        <f aca="false">IF(AND(I42&lt;8,6&gt;=4),"Unlikely (only via pre-inoculation natural infection)",IF(ABS(6-AH42)&lt;=1,"Likely",IF(ABS(6-AH42)=2,"Possible","Unlikely")))</f>
        <v>Possible</v>
      </c>
    </row>
    <row r="43" customFormat="false" ht="15" hidden="false" customHeight="false" outlineLevel="0" collapsed="false">
      <c r="A43" s="13" t="str">
        <f aca="false">B43&amp;"|"&amp;E43</f>
        <v>D4V1|13/03/2026</v>
      </c>
      <c r="B43" s="27" t="s">
        <v>352</v>
      </c>
      <c r="C43" s="13" t="s">
        <v>133</v>
      </c>
      <c r="D43" s="13" t="s">
        <v>142</v>
      </c>
      <c r="E43" s="13" t="s">
        <v>164</v>
      </c>
      <c r="F43" s="28" t="n">
        <f aca="false">Inputs_Treatments!$B$22</f>
        <v>46094</v>
      </c>
      <c r="G43" s="28" t="n">
        <f aca="false">Inputs_Treatments!$B$7</f>
        <v>46031</v>
      </c>
      <c r="H43" s="29" t="n">
        <f aca="false">F43-G43</f>
        <v>63</v>
      </c>
      <c r="I43" s="29" t="n">
        <f aca="false">F43-Inputs_General!$C$6</f>
        <v>36</v>
      </c>
      <c r="J43" s="29" t="n">
        <f aca="false">SUMIFS(Weather!$H$2:$H$159,Weather!$A$2:$A$159,"&gt;="&amp;G43,Weather!$A$2:$A$159,"&lt;="&amp;F43)</f>
        <v>777</v>
      </c>
      <c r="K43" s="29" t="n">
        <f aca="false">J43-Inputs_General!$C$5</f>
        <v>667</v>
      </c>
      <c r="L43" s="15" t="s">
        <v>341</v>
      </c>
      <c r="M43" s="13" t="str">
        <f aca="false">IF(L43="V","3rd fully expanded leaf from top","5th fully expanded leaf from top")</f>
        <v>5th fully expanded leaf from top</v>
      </c>
      <c r="N43" s="30" t="n">
        <f aca="false">AVERAGEIFS(Weather!$B$2:$B$159,Weather!$A$2:$A$159,"&gt;="&amp;(F43-6),Weather!$A$2:$A$159,"&lt;="&amp;F43)</f>
        <v>34.6285714285714</v>
      </c>
      <c r="O43" s="30" t="n">
        <f aca="false">AVERAGEIFS(Weather!$C$2:$C$159,Weather!$A$2:$A$159,"&gt;="&amp;(F43-6),Weather!$A$2:$A$159,"&lt;="&amp;F43)</f>
        <v>16.2142857142857</v>
      </c>
      <c r="P43" s="30" t="n">
        <f aca="false">AVERAGEIFS(Weather!$E$2:$E$159,Weather!$A$2:$A$159,"&gt;="&amp;(F43-6),Weather!$A$2:$A$159,"&lt;="&amp;F43)</f>
        <v>90.7142857142857</v>
      </c>
      <c r="Q43" s="30" t="n">
        <f aca="false">AVERAGEIFS(Weather!$F$2:$F$159,Weather!$A$2:$A$159,"&gt;="&amp;(F43-6),Weather!$A$2:$A$159,"&lt;="&amp;F43)</f>
        <v>34.1428571428571</v>
      </c>
      <c r="R43" s="31" t="n">
        <f aca="false">MAX(0,(N43-Inputs_General!$C$7)/Inputs_General!$C$8)</f>
        <v>0.953571428571428</v>
      </c>
      <c r="S43" s="30" t="n">
        <f aca="false">O43+Inputs_General!$C$9*(N43-O43)</f>
        <v>30.9457142857143</v>
      </c>
      <c r="T43" s="30" t="n">
        <f aca="false">Q43+Inputs_General!$C$10*(P43-Q43)</f>
        <v>51.1142857142857</v>
      </c>
      <c r="U43" s="31" t="n">
        <f aca="false">0.6108*EXP(17.27*S43/(S43+237.3))*(1-T43/100)</f>
        <v>2.18945736698217</v>
      </c>
      <c r="V43" s="30" t="n">
        <f aca="false">O43+Inputs_General!$C$11*(N43-O43)</f>
        <v>32.7871428571429</v>
      </c>
      <c r="W43" s="30" t="n">
        <f aca="false">Q43+Inputs_General!$C$12*(P43-Q43)</f>
        <v>42.6285714285714</v>
      </c>
      <c r="X43" s="31" t="n">
        <f aca="false">0.6108*EXP(17.27*V43/(V43+237.3))*(1-W43/100)</f>
        <v>2.85158987109622</v>
      </c>
      <c r="Y43" s="30" t="n">
        <f aca="false">V43+Inputs_General!$C$14-Inputs_General!$C$15*X43</f>
        <v>28.36912210206</v>
      </c>
      <c r="Z43" s="30" t="n">
        <f aca="false">V43+Inputs_General!$C$16</f>
        <v>36.7871428571429</v>
      </c>
      <c r="AA43" s="31" t="n">
        <f aca="false">IF(L43="V",Inputs_General!$C$17,IF(L43="F",Inputs_General!$C$18,Inputs_General!$C$19))+Inputs_General!$C$20*R43</f>
        <v>0.247678571428571</v>
      </c>
      <c r="AB43" s="31" t="n">
        <f aca="false">Inputs_Treatments!$C$7*Inputs_Treatments!$F$12*(1/(1+EXP(-(K43-Inputs_General!$C$27)/Inputs_General!$C$28)))*EXP(-((MAX(0,K43-Inputs_General!$C$29)/Inputs_General!$C$30)^2))</f>
        <v>2.29604001650625</v>
      </c>
      <c r="AC43" s="21" t="n">
        <f aca="false">Inputs_Treatments!$H$7</f>
        <v>1</v>
      </c>
      <c r="AD43" s="21" t="n">
        <f aca="false">Inputs_Treatments!$D$12</f>
        <v>1</v>
      </c>
      <c r="AE43" s="29" t="n">
        <f aca="false">COUNTIFS(Weather!$K$2:$K$159,1,Weather!$A$2:$A$159,"&gt;="&amp;(G43+36),Weather!$A$2:$A$159,"&lt;="&amp;F43)</f>
        <v>0</v>
      </c>
      <c r="AF43" s="30" t="n">
        <f aca="false">Inputs_Treatments!$C$22*Inputs_Treatments!$E$12*Inputs_Treatments!$D$7</f>
        <v>16.8</v>
      </c>
      <c r="AG43" s="13" t="str">
        <f aca="false">IF(AF43&lt;=0,"Healthy",IF(AF43&lt;=5,"Very low",IF(AF43&lt;=10,"Low",IF(AF43&lt;=25,"Moderate",IF(AF43&lt;=50,"High","Very high")))))</f>
        <v>Moderate</v>
      </c>
      <c r="AH43" s="29" t="n">
        <f aca="false">MATCH(AG43,Severity_Classes!$A$4:$A$9,0)</f>
        <v>4</v>
      </c>
      <c r="AI43" s="13" t="str">
        <f aca="false">"Reference: healthy (uninoculated) control plot"</f>
        <v>Reference: healthy (uninoculated) control plot</v>
      </c>
      <c r="AJ43" s="13" t="str">
        <f aca="false">IF(AND(I43&lt;8,2&gt;=4),"Unlikely (only via pre-inoculation natural infection)",IF(ABS(2-AH43)&lt;=1,"Likely",IF(ABS(2-AH43)=2,"Possible","Unlikely")))</f>
        <v>Possible</v>
      </c>
      <c r="AK43" s="13" t="str">
        <f aca="false">IF(AND(I43&lt;8,3&gt;=4),"Unlikely (only via pre-inoculation natural infection)",IF(ABS(3-AH43)&lt;=1,"Likely",IF(ABS(3-AH43)=2,"Possible","Unlikely")))</f>
        <v>Likely</v>
      </c>
      <c r="AL43" s="13" t="str">
        <f aca="false">IF(AND(I43&lt;8,4&gt;=4),"Unlikely (only via pre-inoculation natural infection)",IF(ABS(4-AH43)&lt;=1,"Likely",IF(ABS(4-AH43)=2,"Possible","Unlikely")))</f>
        <v>Likely</v>
      </c>
      <c r="AM43" s="13" t="str">
        <f aca="false">IF(AND(I43&lt;8,5&gt;=4),"Unlikely (only via pre-inoculation natural infection)",IF(ABS(5-AH43)&lt;=1,"Likely",IF(ABS(5-AH43)=2,"Possible","Unlikely")))</f>
        <v>Likely</v>
      </c>
      <c r="AN43" s="13" t="str">
        <f aca="false">IF(AND(I43&lt;8,6&gt;=4),"Unlikely (only via pre-inoculation natural infection)",IF(ABS(6-AH43)&lt;=1,"Likely",IF(ABS(6-AH43)=2,"Possible","Unlikely")))</f>
        <v>Possible</v>
      </c>
    </row>
    <row r="44" customFormat="false" ht="15" hidden="false" customHeight="false" outlineLevel="0" collapsed="false">
      <c r="A44" s="13" t="str">
        <f aca="false">B44&amp;"|"&amp;E44</f>
        <v>D4V2|11/02/2026</v>
      </c>
      <c r="B44" s="27" t="s">
        <v>353</v>
      </c>
      <c r="C44" s="13" t="s">
        <v>133</v>
      </c>
      <c r="D44" s="13" t="s">
        <v>146</v>
      </c>
      <c r="E44" s="13" t="s">
        <v>158</v>
      </c>
      <c r="F44" s="28" t="n">
        <f aca="false">Inputs_Treatments!$B$19</f>
        <v>46064</v>
      </c>
      <c r="G44" s="28" t="n">
        <f aca="false">Inputs_Treatments!$B$7</f>
        <v>46031</v>
      </c>
      <c r="H44" s="29" t="n">
        <f aca="false">F44-G44</f>
        <v>33</v>
      </c>
      <c r="I44" s="29" t="n">
        <f aca="false">F44-Inputs_General!$C$6</f>
        <v>6</v>
      </c>
      <c r="J44" s="29" t="n">
        <f aca="false">SUMIFS(Weather!$H$2:$H$159,Weather!$A$2:$A$159,"&gt;="&amp;G44,Weather!$A$2:$A$159,"&lt;="&amp;F44)</f>
        <v>290.6</v>
      </c>
      <c r="K44" s="29" t="n">
        <f aca="false">J44-Inputs_General!$C$5</f>
        <v>180.6</v>
      </c>
      <c r="L44" s="15" t="s">
        <v>344</v>
      </c>
      <c r="M44" s="13" t="str">
        <f aca="false">IF(L44="V","3rd fully expanded leaf from top","5th fully expanded leaf from top")</f>
        <v>3rd fully expanded leaf from top</v>
      </c>
      <c r="N44" s="30" t="n">
        <f aca="false">AVERAGEIFS(Weather!$B$2:$B$159,Weather!$A$2:$A$159,"&gt;="&amp;(F44-6),Weather!$A$2:$A$159,"&lt;="&amp;F44)</f>
        <v>24.1428571428571</v>
      </c>
      <c r="O44" s="30" t="n">
        <f aca="false">AVERAGEIFS(Weather!$C$2:$C$159,Weather!$A$2:$A$159,"&gt;="&amp;(F44-6),Weather!$A$2:$A$159,"&lt;="&amp;F44)</f>
        <v>8.97142857142857</v>
      </c>
      <c r="P44" s="30" t="n">
        <f aca="false">AVERAGEIFS(Weather!$E$2:$E$159,Weather!$A$2:$A$159,"&gt;="&amp;(F44-6),Weather!$A$2:$A$159,"&lt;="&amp;F44)</f>
        <v>94.1428571428571</v>
      </c>
      <c r="Q44" s="30" t="n">
        <f aca="false">AVERAGEIFS(Weather!$F$2:$F$159,Weather!$A$2:$A$159,"&gt;="&amp;(F44-6),Weather!$A$2:$A$159,"&lt;="&amp;F44)</f>
        <v>49</v>
      </c>
      <c r="R44" s="31" t="n">
        <f aca="false">MAX(0,(N44-Inputs_General!$C$7)/Inputs_General!$C$8)</f>
        <v>0</v>
      </c>
      <c r="S44" s="30" t="n">
        <f aca="false">O44+Inputs_General!$C$9*(N44-O44)</f>
        <v>21.1085714285714</v>
      </c>
      <c r="T44" s="30" t="n">
        <f aca="false">Q44+Inputs_General!$C$10*(P44-Q44)</f>
        <v>62.5428571428571</v>
      </c>
      <c r="U44" s="31" t="n">
        <f aca="false">0.6108*EXP(17.27*S44/(S44+237.3))*(1-T44/100)</f>
        <v>0.937791824040773</v>
      </c>
      <c r="V44" s="30" t="n">
        <f aca="false">O44+Inputs_General!$C$11*(N44-O44)</f>
        <v>22.6257142857143</v>
      </c>
      <c r="W44" s="30" t="n">
        <f aca="false">Q44+Inputs_General!$C$12*(P44-Q44)</f>
        <v>55.7714285714286</v>
      </c>
      <c r="X44" s="31" t="n">
        <f aca="false">0.6108*EXP(17.27*V44/(V44+237.3))*(1-W44/100)</f>
        <v>1.21472070203065</v>
      </c>
      <c r="Y44" s="30" t="n">
        <f aca="false">V44+Inputs_General!$C$14-Inputs_General!$C$15*X44</f>
        <v>21.3177449518561</v>
      </c>
      <c r="Z44" s="30" t="n">
        <f aca="false">V44+Inputs_General!$C$16</f>
        <v>26.6257142857143</v>
      </c>
      <c r="AA44" s="31" t="n">
        <f aca="false">IF(L44="V",Inputs_General!$C$17,IF(L44="F",Inputs_General!$C$18,Inputs_General!$C$19))+Inputs_General!$C$20*R44</f>
        <v>0.12</v>
      </c>
      <c r="AB44" s="31" t="n">
        <f aca="false">Inputs_Treatments!$C$7*Inputs_Treatments!$F$13*(1/(1+EXP(-(K44-Inputs_General!$C$27)/Inputs_General!$C$28)))*EXP(-((MAX(0,K44-Inputs_General!$C$29)/Inputs_General!$C$30)^2))</f>
        <v>0.458305270557464</v>
      </c>
      <c r="AC44" s="21" t="n">
        <f aca="false">Inputs_Treatments!$E$7</f>
        <v>1.4</v>
      </c>
      <c r="AD44" s="21" t="n">
        <f aca="false">Inputs_Treatments!$D$13</f>
        <v>1.1</v>
      </c>
      <c r="AE44" s="29" t="n">
        <f aca="false">COUNTIFS(Weather!$K$2:$K$159,1,Weather!$A$2:$A$159,"&gt;="&amp;(G44+36),Weather!$A$2:$A$159,"&lt;="&amp;F44)</f>
        <v>0</v>
      </c>
      <c r="AF44" s="30" t="n">
        <f aca="false">Inputs_Treatments!$C$19*Inputs_Treatments!$E$13*Inputs_Treatments!$D$7</f>
        <v>1.8</v>
      </c>
      <c r="AG44" s="13" t="str">
        <f aca="false">IF(AF44&lt;=0,"Healthy",IF(AF44&lt;=5,"Very low",IF(AF44&lt;=10,"Low",IF(AF44&lt;=25,"Moderate",IF(AF44&lt;=50,"High","Very high")))))</f>
        <v>Very low</v>
      </c>
      <c r="AH44" s="29" t="n">
        <f aca="false">MATCH(AG44,Severity_Classes!$A$4:$A$9,0)</f>
        <v>2</v>
      </c>
      <c r="AI44" s="13" t="str">
        <f aca="false">"Reference: healthy (uninoculated) control plot"</f>
        <v>Reference: healthy (uninoculated) control plot</v>
      </c>
      <c r="AJ44" s="13" t="str">
        <f aca="false">IF(AND(I44&lt;8,2&gt;=4),"Unlikely (only via pre-inoculation natural infection)",IF(ABS(2-AH44)&lt;=1,"Likely",IF(ABS(2-AH44)=2,"Possible","Unlikely")))</f>
        <v>Likely</v>
      </c>
      <c r="AK44" s="13" t="str">
        <f aca="false">IF(AND(I44&lt;8,3&gt;=4),"Unlikely (only via pre-inoculation natural infection)",IF(ABS(3-AH44)&lt;=1,"Likely",IF(ABS(3-AH44)=2,"Possible","Unlikely")))</f>
        <v>Likely</v>
      </c>
      <c r="AL44" s="13" t="str">
        <f aca="false">IF(AND(I44&lt;8,4&gt;=4),"Unlikely (only via pre-inoculation natural infection)",IF(ABS(4-AH44)&lt;=1,"Likely",IF(ABS(4-AH44)=2,"Possible","Unlikely")))</f>
        <v>Unlikely (only via pre-inoculation natural infection)</v>
      </c>
      <c r="AM44" s="13" t="str">
        <f aca="false">IF(AND(I44&lt;8,5&gt;=4),"Unlikely (only via pre-inoculation natural infection)",IF(ABS(5-AH44)&lt;=1,"Likely",IF(ABS(5-AH44)=2,"Possible","Unlikely")))</f>
        <v>Unlikely (only via pre-inoculation natural infection)</v>
      </c>
      <c r="AN44" s="13" t="str">
        <f aca="false">IF(AND(I44&lt;8,6&gt;=4),"Unlikely (only via pre-inoculation natural infection)",IF(ABS(6-AH44)&lt;=1,"Likely",IF(ABS(6-AH44)=2,"Possible","Unlikely")))</f>
        <v>Unlikely (only via pre-inoculation natural infection)</v>
      </c>
    </row>
    <row r="45" customFormat="false" ht="15" hidden="false" customHeight="false" outlineLevel="0" collapsed="false">
      <c r="A45" s="13" t="str">
        <f aca="false">B45&amp;"|"&amp;E45</f>
        <v>D4V2|24/02/2026</v>
      </c>
      <c r="B45" s="27" t="s">
        <v>353</v>
      </c>
      <c r="C45" s="13" t="s">
        <v>133</v>
      </c>
      <c r="D45" s="13" t="s">
        <v>146</v>
      </c>
      <c r="E45" s="13" t="s">
        <v>160</v>
      </c>
      <c r="F45" s="28" t="n">
        <f aca="false">Inputs_Treatments!$B$20</f>
        <v>46077</v>
      </c>
      <c r="G45" s="28" t="n">
        <f aca="false">Inputs_Treatments!$B$7</f>
        <v>46031</v>
      </c>
      <c r="H45" s="29" t="n">
        <f aca="false">F45-G45</f>
        <v>46</v>
      </c>
      <c r="I45" s="29" t="n">
        <f aca="false">F45-Inputs_General!$C$6</f>
        <v>19</v>
      </c>
      <c r="J45" s="29" t="n">
        <f aca="false">SUMIFS(Weather!$H$2:$H$159,Weather!$A$2:$A$159,"&gt;="&amp;G45,Weather!$A$2:$A$159,"&lt;="&amp;F45)</f>
        <v>465.5</v>
      </c>
      <c r="K45" s="29" t="n">
        <f aca="false">J45-Inputs_General!$C$5</f>
        <v>355.5</v>
      </c>
      <c r="L45" s="15" t="s">
        <v>344</v>
      </c>
      <c r="M45" s="13" t="str">
        <f aca="false">IF(L45="V","3rd fully expanded leaf from top","5th fully expanded leaf from top")</f>
        <v>3rd fully expanded leaf from top</v>
      </c>
      <c r="N45" s="30" t="n">
        <f aca="false">AVERAGEIFS(Weather!$B$2:$B$159,Weather!$A$2:$A$159,"&gt;="&amp;(F45-6),Weather!$A$2:$A$159,"&lt;="&amp;F45)</f>
        <v>27.1857142857143</v>
      </c>
      <c r="O45" s="30" t="n">
        <f aca="false">AVERAGEIFS(Weather!$C$2:$C$159,Weather!$A$2:$A$159,"&gt;="&amp;(F45-6),Weather!$A$2:$A$159,"&lt;="&amp;F45)</f>
        <v>11.1142857142857</v>
      </c>
      <c r="P45" s="30" t="n">
        <f aca="false">AVERAGEIFS(Weather!$E$2:$E$159,Weather!$A$2:$A$159,"&gt;="&amp;(F45-6),Weather!$A$2:$A$159,"&lt;="&amp;F45)</f>
        <v>94.2857142857143</v>
      </c>
      <c r="Q45" s="30" t="n">
        <f aca="false">AVERAGEIFS(Weather!$F$2:$F$159,Weather!$A$2:$A$159,"&gt;="&amp;(F45-6),Weather!$A$2:$A$159,"&lt;="&amp;F45)</f>
        <v>45.1428571428571</v>
      </c>
      <c r="R45" s="31" t="n">
        <f aca="false">MAX(0,(N45-Inputs_General!$C$7)/Inputs_General!$C$8)</f>
        <v>0.0232142857142859</v>
      </c>
      <c r="S45" s="30" t="n">
        <f aca="false">O45+Inputs_General!$C$9*(N45-O45)</f>
        <v>23.9714285714286</v>
      </c>
      <c r="T45" s="30" t="n">
        <f aca="false">Q45+Inputs_General!$C$10*(P45-Q45)</f>
        <v>59.8857142857143</v>
      </c>
      <c r="U45" s="31" t="n">
        <f aca="false">0.6108*EXP(17.27*S45/(S45+237.3))*(1-T45/100)</f>
        <v>1.19492600027053</v>
      </c>
      <c r="V45" s="30" t="n">
        <f aca="false">O45+Inputs_General!$C$11*(N45-O45)</f>
        <v>25.5785714285714</v>
      </c>
      <c r="W45" s="30" t="n">
        <f aca="false">Q45+Inputs_General!$C$12*(P45-Q45)</f>
        <v>52.5142857142857</v>
      </c>
      <c r="X45" s="31" t="n">
        <f aca="false">0.6108*EXP(17.27*V45/(V45+237.3))*(1-W45/100)</f>
        <v>1.55686779409338</v>
      </c>
      <c r="Y45" s="30" t="n">
        <f aca="false">V45+Inputs_General!$C$14-Inputs_General!$C$15*X45</f>
        <v>23.620522619794</v>
      </c>
      <c r="Z45" s="30" t="n">
        <f aca="false">V45+Inputs_General!$C$16</f>
        <v>29.5785714285714</v>
      </c>
      <c r="AA45" s="31" t="n">
        <f aca="false">IF(L45="V",Inputs_General!$C$17,IF(L45="F",Inputs_General!$C$18,Inputs_General!$C$19))+Inputs_General!$C$20*R45</f>
        <v>0.121160714285714</v>
      </c>
      <c r="AB45" s="31" t="n">
        <f aca="false">Inputs_Treatments!$C$7*Inputs_Treatments!$F$13*(1/(1+EXP(-(K45-Inputs_General!$C$27)/Inputs_General!$C$28)))*EXP(-((MAX(0,K45-Inputs_General!$C$29)/Inputs_General!$C$30)^2))</f>
        <v>1.40851696565548</v>
      </c>
      <c r="AC45" s="21" t="n">
        <f aca="false">Inputs_Treatments!$F$7</f>
        <v>1.15</v>
      </c>
      <c r="AD45" s="21" t="n">
        <f aca="false">Inputs_Treatments!$D$13</f>
        <v>1.1</v>
      </c>
      <c r="AE45" s="29" t="n">
        <f aca="false">COUNTIFS(Weather!$K$2:$K$159,1,Weather!$A$2:$A$159,"&gt;="&amp;(G45+36),Weather!$A$2:$A$159,"&lt;="&amp;F45)</f>
        <v>0</v>
      </c>
      <c r="AF45" s="30" t="n">
        <f aca="false">Inputs_Treatments!$C$20*Inputs_Treatments!$E$13*Inputs_Treatments!$D$7</f>
        <v>10.8</v>
      </c>
      <c r="AG45" s="13" t="str">
        <f aca="false">IF(AF45&lt;=0,"Healthy",IF(AF45&lt;=5,"Very low",IF(AF45&lt;=10,"Low",IF(AF45&lt;=25,"Moderate",IF(AF45&lt;=50,"High","Very high")))))</f>
        <v>Moderate</v>
      </c>
      <c r="AH45" s="29" t="n">
        <f aca="false">MATCH(AG45,Severity_Classes!$A$4:$A$9,0)</f>
        <v>4</v>
      </c>
      <c r="AI45" s="13" t="str">
        <f aca="false">"Reference: healthy (uninoculated) control plot"</f>
        <v>Reference: healthy (uninoculated) control plot</v>
      </c>
      <c r="AJ45" s="13" t="str">
        <f aca="false">IF(AND(I45&lt;8,2&gt;=4),"Unlikely (only via pre-inoculation natural infection)",IF(ABS(2-AH45)&lt;=1,"Likely",IF(ABS(2-AH45)=2,"Possible","Unlikely")))</f>
        <v>Possible</v>
      </c>
      <c r="AK45" s="13" t="str">
        <f aca="false">IF(AND(I45&lt;8,3&gt;=4),"Unlikely (only via pre-inoculation natural infection)",IF(ABS(3-AH45)&lt;=1,"Likely",IF(ABS(3-AH45)=2,"Possible","Unlikely")))</f>
        <v>Likely</v>
      </c>
      <c r="AL45" s="13" t="str">
        <f aca="false">IF(AND(I45&lt;8,4&gt;=4),"Unlikely (only via pre-inoculation natural infection)",IF(ABS(4-AH45)&lt;=1,"Likely",IF(ABS(4-AH45)=2,"Possible","Unlikely")))</f>
        <v>Likely</v>
      </c>
      <c r="AM45" s="13" t="str">
        <f aca="false">IF(AND(I45&lt;8,5&gt;=4),"Unlikely (only via pre-inoculation natural infection)",IF(ABS(5-AH45)&lt;=1,"Likely",IF(ABS(5-AH45)=2,"Possible","Unlikely")))</f>
        <v>Likely</v>
      </c>
      <c r="AN45" s="13" t="str">
        <f aca="false">IF(AND(I45&lt;8,6&gt;=4),"Unlikely (only via pre-inoculation natural infection)",IF(ABS(6-AH45)&lt;=1,"Likely",IF(ABS(6-AH45)=2,"Possible","Unlikely")))</f>
        <v>Possible</v>
      </c>
    </row>
    <row r="46" customFormat="false" ht="15" hidden="false" customHeight="false" outlineLevel="0" collapsed="false">
      <c r="A46" s="13" t="str">
        <f aca="false">B46&amp;"|"&amp;E46</f>
        <v>D4V2|03/03/2026</v>
      </c>
      <c r="B46" s="27" t="s">
        <v>353</v>
      </c>
      <c r="C46" s="13" t="s">
        <v>133</v>
      </c>
      <c r="D46" s="13" t="s">
        <v>146</v>
      </c>
      <c r="E46" s="13" t="s">
        <v>162</v>
      </c>
      <c r="F46" s="28" t="n">
        <f aca="false">Inputs_Treatments!$B$21</f>
        <v>46084</v>
      </c>
      <c r="G46" s="28" t="n">
        <f aca="false">Inputs_Treatments!$B$7</f>
        <v>46031</v>
      </c>
      <c r="H46" s="29" t="n">
        <f aca="false">F46-G46</f>
        <v>53</v>
      </c>
      <c r="I46" s="29" t="n">
        <f aca="false">F46-Inputs_General!$C$6</f>
        <v>26</v>
      </c>
      <c r="J46" s="29" t="n">
        <f aca="false">SUMIFS(Weather!$H$2:$H$159,Weather!$A$2:$A$159,"&gt;="&amp;G46,Weather!$A$2:$A$159,"&lt;="&amp;F46)</f>
        <v>579</v>
      </c>
      <c r="K46" s="29" t="n">
        <f aca="false">J46-Inputs_General!$C$5</f>
        <v>469</v>
      </c>
      <c r="L46" s="15" t="s">
        <v>341</v>
      </c>
      <c r="M46" s="13" t="str">
        <f aca="false">IF(L46="V","3rd fully expanded leaf from top","5th fully expanded leaf from top")</f>
        <v>5th fully expanded leaf from top</v>
      </c>
      <c r="N46" s="30" t="n">
        <f aca="false">AVERAGEIFS(Weather!$B$2:$B$159,Weather!$A$2:$A$159,"&gt;="&amp;(F46-6),Weather!$A$2:$A$159,"&lt;="&amp;F46)</f>
        <v>30.4714285714286</v>
      </c>
      <c r="O46" s="30" t="n">
        <f aca="false">AVERAGEIFS(Weather!$C$2:$C$159,Weather!$A$2:$A$159,"&gt;="&amp;(F46-6),Weather!$A$2:$A$159,"&lt;="&amp;F46)</f>
        <v>11.9571428571429</v>
      </c>
      <c r="P46" s="30" t="n">
        <f aca="false">AVERAGEIFS(Weather!$E$2:$E$159,Weather!$A$2:$A$159,"&gt;="&amp;(F46-6),Weather!$A$2:$A$159,"&lt;="&amp;F46)</f>
        <v>90.1428571428571</v>
      </c>
      <c r="Q46" s="30" t="n">
        <f aca="false">AVERAGEIFS(Weather!$F$2:$F$159,Weather!$A$2:$A$159,"&gt;="&amp;(F46-6),Weather!$A$2:$A$159,"&lt;="&amp;F46)</f>
        <v>33.5714285714286</v>
      </c>
      <c r="R46" s="31" t="n">
        <f aca="false">MAX(0,(N46-Inputs_General!$C$7)/Inputs_General!$C$8)</f>
        <v>0.433928571428571</v>
      </c>
      <c r="S46" s="30" t="n">
        <f aca="false">O46+Inputs_General!$C$9*(N46-O46)</f>
        <v>26.7685714285714</v>
      </c>
      <c r="T46" s="30" t="n">
        <f aca="false">Q46+Inputs_General!$C$10*(P46-Q46)</f>
        <v>50.5428571428571</v>
      </c>
      <c r="U46" s="31" t="n">
        <f aca="false">0.6108*EXP(17.27*S46/(S46+237.3))*(1-T46/100)</f>
        <v>1.73951545534029</v>
      </c>
      <c r="V46" s="30" t="n">
        <f aca="false">O46+Inputs_General!$C$11*(N46-O46)</f>
        <v>28.62</v>
      </c>
      <c r="W46" s="30" t="n">
        <f aca="false">Q46+Inputs_General!$C$12*(P46-Q46)</f>
        <v>42.0571428571429</v>
      </c>
      <c r="X46" s="31" t="n">
        <f aca="false">0.6108*EXP(17.27*V46/(V46+237.3))*(1-W46/100)</f>
        <v>2.27051923122539</v>
      </c>
      <c r="Y46" s="30" t="n">
        <f aca="false">V46+Inputs_General!$C$14-Inputs_General!$C$15*X46</f>
        <v>25.3060134606718</v>
      </c>
      <c r="Z46" s="30" t="n">
        <f aca="false">V46+Inputs_General!$C$16</f>
        <v>32.62</v>
      </c>
      <c r="AA46" s="31" t="n">
        <f aca="false">IF(L46="V",Inputs_General!$C$17,IF(L46="F",Inputs_General!$C$18,Inputs_General!$C$19))+Inputs_General!$C$20*R46</f>
        <v>0.221696428571429</v>
      </c>
      <c r="AB46" s="31" t="n">
        <f aca="false">Inputs_Treatments!$C$7*Inputs_Treatments!$F$13*(1/(1+EXP(-(K46-Inputs_General!$C$27)/Inputs_General!$C$28)))*EXP(-((MAX(0,K46-Inputs_General!$C$29)/Inputs_General!$C$30)^2))</f>
        <v>2.00148060787833</v>
      </c>
      <c r="AC46" s="21" t="n">
        <f aca="false">Inputs_Treatments!$G$7</f>
        <v>1</v>
      </c>
      <c r="AD46" s="21" t="n">
        <f aca="false">Inputs_Treatments!$D$13</f>
        <v>1.1</v>
      </c>
      <c r="AE46" s="29" t="n">
        <f aca="false">COUNTIFS(Weather!$K$2:$K$159,1,Weather!$A$2:$A$159,"&gt;="&amp;(G46+36),Weather!$A$2:$A$159,"&lt;="&amp;F46)</f>
        <v>0</v>
      </c>
      <c r="AF46" s="30" t="n">
        <f aca="false">Inputs_Treatments!$C$21*Inputs_Treatments!$E$13*Inputs_Treatments!$D$7</f>
        <v>16.8</v>
      </c>
      <c r="AG46" s="13" t="str">
        <f aca="false">IF(AF46&lt;=0,"Healthy",IF(AF46&lt;=5,"Very low",IF(AF46&lt;=10,"Low",IF(AF46&lt;=25,"Moderate",IF(AF46&lt;=50,"High","Very high")))))</f>
        <v>Moderate</v>
      </c>
      <c r="AH46" s="29" t="n">
        <f aca="false">MATCH(AG46,Severity_Classes!$A$4:$A$9,0)</f>
        <v>4</v>
      </c>
      <c r="AI46" s="13" t="str">
        <f aca="false">"Reference: healthy (uninoculated) control plot"</f>
        <v>Reference: healthy (uninoculated) control plot</v>
      </c>
      <c r="AJ46" s="13" t="str">
        <f aca="false">IF(AND(I46&lt;8,2&gt;=4),"Unlikely (only via pre-inoculation natural infection)",IF(ABS(2-AH46)&lt;=1,"Likely",IF(ABS(2-AH46)=2,"Possible","Unlikely")))</f>
        <v>Possible</v>
      </c>
      <c r="AK46" s="13" t="str">
        <f aca="false">IF(AND(I46&lt;8,3&gt;=4),"Unlikely (only via pre-inoculation natural infection)",IF(ABS(3-AH46)&lt;=1,"Likely",IF(ABS(3-AH46)=2,"Possible","Unlikely")))</f>
        <v>Likely</v>
      </c>
      <c r="AL46" s="13" t="str">
        <f aca="false">IF(AND(I46&lt;8,4&gt;=4),"Unlikely (only via pre-inoculation natural infection)",IF(ABS(4-AH46)&lt;=1,"Likely",IF(ABS(4-AH46)=2,"Possible","Unlikely")))</f>
        <v>Likely</v>
      </c>
      <c r="AM46" s="13" t="str">
        <f aca="false">IF(AND(I46&lt;8,5&gt;=4),"Unlikely (only via pre-inoculation natural infection)",IF(ABS(5-AH46)&lt;=1,"Likely",IF(ABS(5-AH46)=2,"Possible","Unlikely")))</f>
        <v>Likely</v>
      </c>
      <c r="AN46" s="13" t="str">
        <f aca="false">IF(AND(I46&lt;8,6&gt;=4),"Unlikely (only via pre-inoculation natural infection)",IF(ABS(6-AH46)&lt;=1,"Likely",IF(ABS(6-AH46)=2,"Possible","Unlikely")))</f>
        <v>Possible</v>
      </c>
    </row>
    <row r="47" customFormat="false" ht="15" hidden="false" customHeight="false" outlineLevel="0" collapsed="false">
      <c r="A47" s="13" t="str">
        <f aca="false">B47&amp;"|"&amp;E47</f>
        <v>D4V2|13/03/2026</v>
      </c>
      <c r="B47" s="27" t="s">
        <v>353</v>
      </c>
      <c r="C47" s="13" t="s">
        <v>133</v>
      </c>
      <c r="D47" s="13" t="s">
        <v>146</v>
      </c>
      <c r="E47" s="13" t="s">
        <v>164</v>
      </c>
      <c r="F47" s="28" t="n">
        <f aca="false">Inputs_Treatments!$B$22</f>
        <v>46094</v>
      </c>
      <c r="G47" s="28" t="n">
        <f aca="false">Inputs_Treatments!$B$7</f>
        <v>46031</v>
      </c>
      <c r="H47" s="29" t="n">
        <f aca="false">F47-G47</f>
        <v>63</v>
      </c>
      <c r="I47" s="29" t="n">
        <f aca="false">F47-Inputs_General!$C$6</f>
        <v>36</v>
      </c>
      <c r="J47" s="29" t="n">
        <f aca="false">SUMIFS(Weather!$H$2:$H$159,Weather!$A$2:$A$159,"&gt;="&amp;G47,Weather!$A$2:$A$159,"&lt;="&amp;F47)</f>
        <v>777</v>
      </c>
      <c r="K47" s="29" t="n">
        <f aca="false">J47-Inputs_General!$C$5</f>
        <v>667</v>
      </c>
      <c r="L47" s="15" t="s">
        <v>341</v>
      </c>
      <c r="M47" s="13" t="str">
        <f aca="false">IF(L47="V","3rd fully expanded leaf from top","5th fully expanded leaf from top")</f>
        <v>5th fully expanded leaf from top</v>
      </c>
      <c r="N47" s="30" t="n">
        <f aca="false">AVERAGEIFS(Weather!$B$2:$B$159,Weather!$A$2:$A$159,"&gt;="&amp;(F47-6),Weather!$A$2:$A$159,"&lt;="&amp;F47)</f>
        <v>34.6285714285714</v>
      </c>
      <c r="O47" s="30" t="n">
        <f aca="false">AVERAGEIFS(Weather!$C$2:$C$159,Weather!$A$2:$A$159,"&gt;="&amp;(F47-6),Weather!$A$2:$A$159,"&lt;="&amp;F47)</f>
        <v>16.2142857142857</v>
      </c>
      <c r="P47" s="30" t="n">
        <f aca="false">AVERAGEIFS(Weather!$E$2:$E$159,Weather!$A$2:$A$159,"&gt;="&amp;(F47-6),Weather!$A$2:$A$159,"&lt;="&amp;F47)</f>
        <v>90.7142857142857</v>
      </c>
      <c r="Q47" s="30" t="n">
        <f aca="false">AVERAGEIFS(Weather!$F$2:$F$159,Weather!$A$2:$A$159,"&gt;="&amp;(F47-6),Weather!$A$2:$A$159,"&lt;="&amp;F47)</f>
        <v>34.1428571428571</v>
      </c>
      <c r="R47" s="31" t="n">
        <f aca="false">MAX(0,(N47-Inputs_General!$C$7)/Inputs_General!$C$8)</f>
        <v>0.953571428571428</v>
      </c>
      <c r="S47" s="30" t="n">
        <f aca="false">O47+Inputs_General!$C$9*(N47-O47)</f>
        <v>30.9457142857143</v>
      </c>
      <c r="T47" s="30" t="n">
        <f aca="false">Q47+Inputs_General!$C$10*(P47-Q47)</f>
        <v>51.1142857142857</v>
      </c>
      <c r="U47" s="31" t="n">
        <f aca="false">0.6108*EXP(17.27*S47/(S47+237.3))*(1-T47/100)</f>
        <v>2.18945736698217</v>
      </c>
      <c r="V47" s="30" t="n">
        <f aca="false">O47+Inputs_General!$C$11*(N47-O47)</f>
        <v>32.7871428571429</v>
      </c>
      <c r="W47" s="30" t="n">
        <f aca="false">Q47+Inputs_General!$C$12*(P47-Q47)</f>
        <v>42.6285714285714</v>
      </c>
      <c r="X47" s="31" t="n">
        <f aca="false">0.6108*EXP(17.27*V47/(V47+237.3))*(1-W47/100)</f>
        <v>2.85158987109622</v>
      </c>
      <c r="Y47" s="30" t="n">
        <f aca="false">V47+Inputs_General!$C$14-Inputs_General!$C$15*X47</f>
        <v>28.36912210206</v>
      </c>
      <c r="Z47" s="30" t="n">
        <f aca="false">V47+Inputs_General!$C$16</f>
        <v>36.7871428571429</v>
      </c>
      <c r="AA47" s="31" t="n">
        <f aca="false">IF(L47="V",Inputs_General!$C$17,IF(L47="F",Inputs_General!$C$18,Inputs_General!$C$19))+Inputs_General!$C$20*R47</f>
        <v>0.247678571428571</v>
      </c>
      <c r="AB47" s="31" t="n">
        <f aca="false">Inputs_Treatments!$C$7*Inputs_Treatments!$F$13*(1/(1+EXP(-(K47-Inputs_General!$C$27)/Inputs_General!$C$28)))*EXP(-((MAX(0,K47-Inputs_General!$C$29)/Inputs_General!$C$30)^2))</f>
        <v>2.41688422790131</v>
      </c>
      <c r="AC47" s="21" t="n">
        <f aca="false">Inputs_Treatments!$H$7</f>
        <v>1</v>
      </c>
      <c r="AD47" s="21" t="n">
        <f aca="false">Inputs_Treatments!$D$13</f>
        <v>1.1</v>
      </c>
      <c r="AE47" s="29" t="n">
        <f aca="false">COUNTIFS(Weather!$K$2:$K$159,1,Weather!$A$2:$A$159,"&gt;="&amp;(G47+36),Weather!$A$2:$A$159,"&lt;="&amp;F47)</f>
        <v>0</v>
      </c>
      <c r="AF47" s="30" t="n">
        <f aca="false">Inputs_Treatments!$C$22*Inputs_Treatments!$E$13*Inputs_Treatments!$D$7</f>
        <v>21</v>
      </c>
      <c r="AG47" s="13" t="str">
        <f aca="false">IF(AF47&lt;=0,"Healthy",IF(AF47&lt;=5,"Very low",IF(AF47&lt;=10,"Low",IF(AF47&lt;=25,"Moderate",IF(AF47&lt;=50,"High","Very high")))))</f>
        <v>Moderate</v>
      </c>
      <c r="AH47" s="29" t="n">
        <f aca="false">MATCH(AG47,Severity_Classes!$A$4:$A$9,0)</f>
        <v>4</v>
      </c>
      <c r="AI47" s="13" t="str">
        <f aca="false">"Reference: healthy (uninoculated) control plot"</f>
        <v>Reference: healthy (uninoculated) control plot</v>
      </c>
      <c r="AJ47" s="13" t="str">
        <f aca="false">IF(AND(I47&lt;8,2&gt;=4),"Unlikely (only via pre-inoculation natural infection)",IF(ABS(2-AH47)&lt;=1,"Likely",IF(ABS(2-AH47)=2,"Possible","Unlikely")))</f>
        <v>Possible</v>
      </c>
      <c r="AK47" s="13" t="str">
        <f aca="false">IF(AND(I47&lt;8,3&gt;=4),"Unlikely (only via pre-inoculation natural infection)",IF(ABS(3-AH47)&lt;=1,"Likely",IF(ABS(3-AH47)=2,"Possible","Unlikely")))</f>
        <v>Likely</v>
      </c>
      <c r="AL47" s="13" t="str">
        <f aca="false">IF(AND(I47&lt;8,4&gt;=4),"Unlikely (only via pre-inoculation natural infection)",IF(ABS(4-AH47)&lt;=1,"Likely",IF(ABS(4-AH47)=2,"Possible","Unlikely")))</f>
        <v>Likely</v>
      </c>
      <c r="AM47" s="13" t="str">
        <f aca="false">IF(AND(I47&lt;8,5&gt;=4),"Unlikely (only via pre-inoculation natural infection)",IF(ABS(5-AH47)&lt;=1,"Likely",IF(ABS(5-AH47)=2,"Possible","Unlikely")))</f>
        <v>Likely</v>
      </c>
      <c r="AN47" s="13" t="str">
        <f aca="false">IF(AND(I47&lt;8,6&gt;=4),"Unlikely (only via pre-inoculation natural infection)",IF(ABS(6-AH47)&lt;=1,"Likely",IF(ABS(6-AH47)=2,"Possible","Unlikely")))</f>
        <v>Possible</v>
      </c>
    </row>
    <row r="48" customFormat="false" ht="15" hidden="false" customHeight="false" outlineLevel="0" collapsed="false">
      <c r="A48" s="13" t="str">
        <f aca="false">B48&amp;"|"&amp;E48</f>
        <v>D4V3|11/02/2026</v>
      </c>
      <c r="B48" s="27" t="s">
        <v>354</v>
      </c>
      <c r="C48" s="13" t="s">
        <v>133</v>
      </c>
      <c r="D48" s="13" t="s">
        <v>150</v>
      </c>
      <c r="E48" s="13" t="s">
        <v>158</v>
      </c>
      <c r="F48" s="28" t="n">
        <f aca="false">Inputs_Treatments!$B$19</f>
        <v>46064</v>
      </c>
      <c r="G48" s="28" t="n">
        <f aca="false">Inputs_Treatments!$B$7</f>
        <v>46031</v>
      </c>
      <c r="H48" s="29" t="n">
        <f aca="false">F48-G48</f>
        <v>33</v>
      </c>
      <c r="I48" s="29" t="n">
        <f aca="false">F48-Inputs_General!$C$6</f>
        <v>6</v>
      </c>
      <c r="J48" s="29" t="n">
        <f aca="false">SUMIFS(Weather!$H$2:$H$159,Weather!$A$2:$A$159,"&gt;="&amp;G48,Weather!$A$2:$A$159,"&lt;="&amp;F48)</f>
        <v>290.6</v>
      </c>
      <c r="K48" s="29" t="n">
        <f aca="false">J48-Inputs_General!$C$5</f>
        <v>180.6</v>
      </c>
      <c r="L48" s="15" t="s">
        <v>344</v>
      </c>
      <c r="M48" s="13" t="str">
        <f aca="false">IF(L48="V","3rd fully expanded leaf from top","5th fully expanded leaf from top")</f>
        <v>3rd fully expanded leaf from top</v>
      </c>
      <c r="N48" s="30" t="n">
        <f aca="false">AVERAGEIFS(Weather!$B$2:$B$159,Weather!$A$2:$A$159,"&gt;="&amp;(F48-6),Weather!$A$2:$A$159,"&lt;="&amp;F48)</f>
        <v>24.1428571428571</v>
      </c>
      <c r="O48" s="30" t="n">
        <f aca="false">AVERAGEIFS(Weather!$C$2:$C$159,Weather!$A$2:$A$159,"&gt;="&amp;(F48-6),Weather!$A$2:$A$159,"&lt;="&amp;F48)</f>
        <v>8.97142857142857</v>
      </c>
      <c r="P48" s="30" t="n">
        <f aca="false">AVERAGEIFS(Weather!$E$2:$E$159,Weather!$A$2:$A$159,"&gt;="&amp;(F48-6),Weather!$A$2:$A$159,"&lt;="&amp;F48)</f>
        <v>94.1428571428571</v>
      </c>
      <c r="Q48" s="30" t="n">
        <f aca="false">AVERAGEIFS(Weather!$F$2:$F$159,Weather!$A$2:$A$159,"&gt;="&amp;(F48-6),Weather!$A$2:$A$159,"&lt;="&amp;F48)</f>
        <v>49</v>
      </c>
      <c r="R48" s="31" t="n">
        <f aca="false">MAX(0,(N48-Inputs_General!$C$7)/Inputs_General!$C$8)</f>
        <v>0</v>
      </c>
      <c r="S48" s="30" t="n">
        <f aca="false">O48+Inputs_General!$C$9*(N48-O48)</f>
        <v>21.1085714285714</v>
      </c>
      <c r="T48" s="30" t="n">
        <f aca="false">Q48+Inputs_General!$C$10*(P48-Q48)</f>
        <v>62.5428571428571</v>
      </c>
      <c r="U48" s="31" t="n">
        <f aca="false">0.6108*EXP(17.27*S48/(S48+237.3))*(1-T48/100)</f>
        <v>0.937791824040773</v>
      </c>
      <c r="V48" s="30" t="n">
        <f aca="false">O48+Inputs_General!$C$11*(N48-O48)</f>
        <v>22.6257142857143</v>
      </c>
      <c r="W48" s="30" t="n">
        <f aca="false">Q48+Inputs_General!$C$12*(P48-Q48)</f>
        <v>55.7714285714286</v>
      </c>
      <c r="X48" s="31" t="n">
        <f aca="false">0.6108*EXP(17.27*V48/(V48+237.3))*(1-W48/100)</f>
        <v>1.21472070203065</v>
      </c>
      <c r="Y48" s="30" t="n">
        <f aca="false">V48+Inputs_General!$C$14-Inputs_General!$C$15*X48</f>
        <v>21.3177449518561</v>
      </c>
      <c r="Z48" s="30" t="n">
        <f aca="false">V48+Inputs_General!$C$16</f>
        <v>26.6257142857143</v>
      </c>
      <c r="AA48" s="31" t="n">
        <f aca="false">IF(L48="V",Inputs_General!$C$17,IF(L48="F",Inputs_General!$C$18,Inputs_General!$C$19))+Inputs_General!$C$20*R48</f>
        <v>0.12</v>
      </c>
      <c r="AB48" s="31" t="n">
        <f aca="false">Inputs_Treatments!$C$7*Inputs_Treatments!$F$14*(1/(1+EXP(-(K48-Inputs_General!$C$27)/Inputs_General!$C$28)))*EXP(-((MAX(0,K48-Inputs_General!$C$29)/Inputs_General!$C$30)^2))</f>
        <v>0.458305270557464</v>
      </c>
      <c r="AC48" s="21" t="n">
        <f aca="false">Inputs_Treatments!$E$7</f>
        <v>1.4</v>
      </c>
      <c r="AD48" s="21" t="n">
        <f aca="false">Inputs_Treatments!$D$14</f>
        <v>0.85</v>
      </c>
      <c r="AE48" s="29" t="n">
        <f aca="false">COUNTIFS(Weather!$K$2:$K$159,1,Weather!$A$2:$A$159,"&gt;="&amp;(G48+36),Weather!$A$2:$A$159,"&lt;="&amp;F48)</f>
        <v>0</v>
      </c>
      <c r="AF48" s="30" t="n">
        <f aca="false">Inputs_Treatments!$C$19*Inputs_Treatments!$E$14*Inputs_Treatments!$D$7</f>
        <v>0.9</v>
      </c>
      <c r="AG48" s="13" t="str">
        <f aca="false">IF(AF48&lt;=0,"Healthy",IF(AF48&lt;=5,"Very low",IF(AF48&lt;=10,"Low",IF(AF48&lt;=25,"Moderate",IF(AF48&lt;=50,"High","Very high")))))</f>
        <v>Very low</v>
      </c>
      <c r="AH48" s="29" t="n">
        <f aca="false">MATCH(AG48,Severity_Classes!$A$4:$A$9,0)</f>
        <v>2</v>
      </c>
      <c r="AI48" s="13" t="str">
        <f aca="false">"Reference: healthy (uninoculated) control plot"</f>
        <v>Reference: healthy (uninoculated) control plot</v>
      </c>
      <c r="AJ48" s="13" t="str">
        <f aca="false">IF(AND(I48&lt;8,2&gt;=4),"Unlikely (only via pre-inoculation natural infection)",IF(ABS(2-AH48)&lt;=1,"Likely",IF(ABS(2-AH48)=2,"Possible","Unlikely")))</f>
        <v>Likely</v>
      </c>
      <c r="AK48" s="13" t="str">
        <f aca="false">IF(AND(I48&lt;8,3&gt;=4),"Unlikely (only via pre-inoculation natural infection)",IF(ABS(3-AH48)&lt;=1,"Likely",IF(ABS(3-AH48)=2,"Possible","Unlikely")))</f>
        <v>Likely</v>
      </c>
      <c r="AL48" s="13" t="str">
        <f aca="false">IF(AND(I48&lt;8,4&gt;=4),"Unlikely (only via pre-inoculation natural infection)",IF(ABS(4-AH48)&lt;=1,"Likely",IF(ABS(4-AH48)=2,"Possible","Unlikely")))</f>
        <v>Unlikely (only via pre-inoculation natural infection)</v>
      </c>
      <c r="AM48" s="13" t="str">
        <f aca="false">IF(AND(I48&lt;8,5&gt;=4),"Unlikely (only via pre-inoculation natural infection)",IF(ABS(5-AH48)&lt;=1,"Likely",IF(ABS(5-AH48)=2,"Possible","Unlikely")))</f>
        <v>Unlikely (only via pre-inoculation natural infection)</v>
      </c>
      <c r="AN48" s="13" t="str">
        <f aca="false">IF(AND(I48&lt;8,6&gt;=4),"Unlikely (only via pre-inoculation natural infection)",IF(ABS(6-AH48)&lt;=1,"Likely",IF(ABS(6-AH48)=2,"Possible","Unlikely")))</f>
        <v>Unlikely (only via pre-inoculation natural infection)</v>
      </c>
    </row>
    <row r="49" customFormat="false" ht="15" hidden="false" customHeight="false" outlineLevel="0" collapsed="false">
      <c r="A49" s="13" t="str">
        <f aca="false">B49&amp;"|"&amp;E49</f>
        <v>D4V3|24/02/2026</v>
      </c>
      <c r="B49" s="27" t="s">
        <v>354</v>
      </c>
      <c r="C49" s="13" t="s">
        <v>133</v>
      </c>
      <c r="D49" s="13" t="s">
        <v>150</v>
      </c>
      <c r="E49" s="13" t="s">
        <v>160</v>
      </c>
      <c r="F49" s="28" t="n">
        <f aca="false">Inputs_Treatments!$B$20</f>
        <v>46077</v>
      </c>
      <c r="G49" s="28" t="n">
        <f aca="false">Inputs_Treatments!$B$7</f>
        <v>46031</v>
      </c>
      <c r="H49" s="29" t="n">
        <f aca="false">F49-G49</f>
        <v>46</v>
      </c>
      <c r="I49" s="29" t="n">
        <f aca="false">F49-Inputs_General!$C$6</f>
        <v>19</v>
      </c>
      <c r="J49" s="29" t="n">
        <f aca="false">SUMIFS(Weather!$H$2:$H$159,Weather!$A$2:$A$159,"&gt;="&amp;G49,Weather!$A$2:$A$159,"&lt;="&amp;F49)</f>
        <v>465.5</v>
      </c>
      <c r="K49" s="29" t="n">
        <f aca="false">J49-Inputs_General!$C$5</f>
        <v>355.5</v>
      </c>
      <c r="L49" s="15" t="s">
        <v>344</v>
      </c>
      <c r="M49" s="13" t="str">
        <f aca="false">IF(L49="V","3rd fully expanded leaf from top","5th fully expanded leaf from top")</f>
        <v>3rd fully expanded leaf from top</v>
      </c>
      <c r="N49" s="30" t="n">
        <f aca="false">AVERAGEIFS(Weather!$B$2:$B$159,Weather!$A$2:$A$159,"&gt;="&amp;(F49-6),Weather!$A$2:$A$159,"&lt;="&amp;F49)</f>
        <v>27.1857142857143</v>
      </c>
      <c r="O49" s="30" t="n">
        <f aca="false">AVERAGEIFS(Weather!$C$2:$C$159,Weather!$A$2:$A$159,"&gt;="&amp;(F49-6),Weather!$A$2:$A$159,"&lt;="&amp;F49)</f>
        <v>11.1142857142857</v>
      </c>
      <c r="P49" s="30" t="n">
        <f aca="false">AVERAGEIFS(Weather!$E$2:$E$159,Weather!$A$2:$A$159,"&gt;="&amp;(F49-6),Weather!$A$2:$A$159,"&lt;="&amp;F49)</f>
        <v>94.2857142857143</v>
      </c>
      <c r="Q49" s="30" t="n">
        <f aca="false">AVERAGEIFS(Weather!$F$2:$F$159,Weather!$A$2:$A$159,"&gt;="&amp;(F49-6),Weather!$A$2:$A$159,"&lt;="&amp;F49)</f>
        <v>45.1428571428571</v>
      </c>
      <c r="R49" s="31" t="n">
        <f aca="false">MAX(0,(N49-Inputs_General!$C$7)/Inputs_General!$C$8)</f>
        <v>0.0232142857142859</v>
      </c>
      <c r="S49" s="30" t="n">
        <f aca="false">O49+Inputs_General!$C$9*(N49-O49)</f>
        <v>23.9714285714286</v>
      </c>
      <c r="T49" s="30" t="n">
        <f aca="false">Q49+Inputs_General!$C$10*(P49-Q49)</f>
        <v>59.8857142857143</v>
      </c>
      <c r="U49" s="31" t="n">
        <f aca="false">0.6108*EXP(17.27*S49/(S49+237.3))*(1-T49/100)</f>
        <v>1.19492600027053</v>
      </c>
      <c r="V49" s="30" t="n">
        <f aca="false">O49+Inputs_General!$C$11*(N49-O49)</f>
        <v>25.5785714285714</v>
      </c>
      <c r="W49" s="30" t="n">
        <f aca="false">Q49+Inputs_General!$C$12*(P49-Q49)</f>
        <v>52.5142857142857</v>
      </c>
      <c r="X49" s="31" t="n">
        <f aca="false">0.6108*EXP(17.27*V49/(V49+237.3))*(1-W49/100)</f>
        <v>1.55686779409338</v>
      </c>
      <c r="Y49" s="30" t="n">
        <f aca="false">V49+Inputs_General!$C$14-Inputs_General!$C$15*X49</f>
        <v>23.620522619794</v>
      </c>
      <c r="Z49" s="30" t="n">
        <f aca="false">V49+Inputs_General!$C$16</f>
        <v>29.5785714285714</v>
      </c>
      <c r="AA49" s="31" t="n">
        <f aca="false">IF(L49="V",Inputs_General!$C$17,IF(L49="F",Inputs_General!$C$18,Inputs_General!$C$19))+Inputs_General!$C$20*R49</f>
        <v>0.121160714285714</v>
      </c>
      <c r="AB49" s="31" t="n">
        <f aca="false">Inputs_Treatments!$C$7*Inputs_Treatments!$F$14*(1/(1+EXP(-(K49-Inputs_General!$C$27)/Inputs_General!$C$28)))*EXP(-((MAX(0,K49-Inputs_General!$C$29)/Inputs_General!$C$30)^2))</f>
        <v>1.40851696565548</v>
      </c>
      <c r="AC49" s="21" t="n">
        <f aca="false">Inputs_Treatments!$F$7</f>
        <v>1.15</v>
      </c>
      <c r="AD49" s="21" t="n">
        <f aca="false">Inputs_Treatments!$D$14</f>
        <v>0.85</v>
      </c>
      <c r="AE49" s="29" t="n">
        <f aca="false">COUNTIFS(Weather!$K$2:$K$159,1,Weather!$A$2:$A$159,"&gt;="&amp;(G49+36),Weather!$A$2:$A$159,"&lt;="&amp;F49)</f>
        <v>0</v>
      </c>
      <c r="AF49" s="30" t="n">
        <f aca="false">Inputs_Treatments!$C$20*Inputs_Treatments!$E$14*Inputs_Treatments!$D$7</f>
        <v>5.4</v>
      </c>
      <c r="AG49" s="13" t="str">
        <f aca="false">IF(AF49&lt;=0,"Healthy",IF(AF49&lt;=5,"Very low",IF(AF49&lt;=10,"Low",IF(AF49&lt;=25,"Moderate",IF(AF49&lt;=50,"High","Very high")))))</f>
        <v>Low</v>
      </c>
      <c r="AH49" s="29" t="n">
        <f aca="false">MATCH(AG49,Severity_Classes!$A$4:$A$9,0)</f>
        <v>3</v>
      </c>
      <c r="AI49" s="13" t="str">
        <f aca="false">"Reference: healthy (uninoculated) control plot"</f>
        <v>Reference: healthy (uninoculated) control plot</v>
      </c>
      <c r="AJ49" s="13" t="str">
        <f aca="false">IF(AND(I49&lt;8,2&gt;=4),"Unlikely (only via pre-inoculation natural infection)",IF(ABS(2-AH49)&lt;=1,"Likely",IF(ABS(2-AH49)=2,"Possible","Unlikely")))</f>
        <v>Likely</v>
      </c>
      <c r="AK49" s="13" t="str">
        <f aca="false">IF(AND(I49&lt;8,3&gt;=4),"Unlikely (only via pre-inoculation natural infection)",IF(ABS(3-AH49)&lt;=1,"Likely",IF(ABS(3-AH49)=2,"Possible","Unlikely")))</f>
        <v>Likely</v>
      </c>
      <c r="AL49" s="13" t="str">
        <f aca="false">IF(AND(I49&lt;8,4&gt;=4),"Unlikely (only via pre-inoculation natural infection)",IF(ABS(4-AH49)&lt;=1,"Likely",IF(ABS(4-AH49)=2,"Possible","Unlikely")))</f>
        <v>Likely</v>
      </c>
      <c r="AM49" s="13" t="str">
        <f aca="false">IF(AND(I49&lt;8,5&gt;=4),"Unlikely (only via pre-inoculation natural infection)",IF(ABS(5-AH49)&lt;=1,"Likely",IF(ABS(5-AH49)=2,"Possible","Unlikely")))</f>
        <v>Possible</v>
      </c>
      <c r="AN49" s="13" t="str">
        <f aca="false">IF(AND(I49&lt;8,6&gt;=4),"Unlikely (only via pre-inoculation natural infection)",IF(ABS(6-AH49)&lt;=1,"Likely",IF(ABS(6-AH49)=2,"Possible","Unlikely")))</f>
        <v>Unlikely</v>
      </c>
    </row>
    <row r="50" customFormat="false" ht="15" hidden="false" customHeight="false" outlineLevel="0" collapsed="false">
      <c r="A50" s="13" t="str">
        <f aca="false">B50&amp;"|"&amp;E50</f>
        <v>D4V3|03/03/2026</v>
      </c>
      <c r="B50" s="27" t="s">
        <v>354</v>
      </c>
      <c r="C50" s="13" t="s">
        <v>133</v>
      </c>
      <c r="D50" s="13" t="s">
        <v>150</v>
      </c>
      <c r="E50" s="13" t="s">
        <v>162</v>
      </c>
      <c r="F50" s="28" t="n">
        <f aca="false">Inputs_Treatments!$B$21</f>
        <v>46084</v>
      </c>
      <c r="G50" s="28" t="n">
        <f aca="false">Inputs_Treatments!$B$7</f>
        <v>46031</v>
      </c>
      <c r="H50" s="29" t="n">
        <f aca="false">F50-G50</f>
        <v>53</v>
      </c>
      <c r="I50" s="29" t="n">
        <f aca="false">F50-Inputs_General!$C$6</f>
        <v>26</v>
      </c>
      <c r="J50" s="29" t="n">
        <f aca="false">SUMIFS(Weather!$H$2:$H$159,Weather!$A$2:$A$159,"&gt;="&amp;G50,Weather!$A$2:$A$159,"&lt;="&amp;F50)</f>
        <v>579</v>
      </c>
      <c r="K50" s="29" t="n">
        <f aca="false">J50-Inputs_General!$C$5</f>
        <v>469</v>
      </c>
      <c r="L50" s="15" t="s">
        <v>341</v>
      </c>
      <c r="M50" s="13" t="str">
        <f aca="false">IF(L50="V","3rd fully expanded leaf from top","5th fully expanded leaf from top")</f>
        <v>5th fully expanded leaf from top</v>
      </c>
      <c r="N50" s="30" t="n">
        <f aca="false">AVERAGEIFS(Weather!$B$2:$B$159,Weather!$A$2:$A$159,"&gt;="&amp;(F50-6),Weather!$A$2:$A$159,"&lt;="&amp;F50)</f>
        <v>30.4714285714286</v>
      </c>
      <c r="O50" s="30" t="n">
        <f aca="false">AVERAGEIFS(Weather!$C$2:$C$159,Weather!$A$2:$A$159,"&gt;="&amp;(F50-6),Weather!$A$2:$A$159,"&lt;="&amp;F50)</f>
        <v>11.9571428571429</v>
      </c>
      <c r="P50" s="30" t="n">
        <f aca="false">AVERAGEIFS(Weather!$E$2:$E$159,Weather!$A$2:$A$159,"&gt;="&amp;(F50-6),Weather!$A$2:$A$159,"&lt;="&amp;F50)</f>
        <v>90.1428571428571</v>
      </c>
      <c r="Q50" s="30" t="n">
        <f aca="false">AVERAGEIFS(Weather!$F$2:$F$159,Weather!$A$2:$A$159,"&gt;="&amp;(F50-6),Weather!$A$2:$A$159,"&lt;="&amp;F50)</f>
        <v>33.5714285714286</v>
      </c>
      <c r="R50" s="31" t="n">
        <f aca="false">MAX(0,(N50-Inputs_General!$C$7)/Inputs_General!$C$8)</f>
        <v>0.433928571428571</v>
      </c>
      <c r="S50" s="30" t="n">
        <f aca="false">O50+Inputs_General!$C$9*(N50-O50)</f>
        <v>26.7685714285714</v>
      </c>
      <c r="T50" s="30" t="n">
        <f aca="false">Q50+Inputs_General!$C$10*(P50-Q50)</f>
        <v>50.5428571428571</v>
      </c>
      <c r="U50" s="31" t="n">
        <f aca="false">0.6108*EXP(17.27*S50/(S50+237.3))*(1-T50/100)</f>
        <v>1.73951545534029</v>
      </c>
      <c r="V50" s="30" t="n">
        <f aca="false">O50+Inputs_General!$C$11*(N50-O50)</f>
        <v>28.62</v>
      </c>
      <c r="W50" s="30" t="n">
        <f aca="false">Q50+Inputs_General!$C$12*(P50-Q50)</f>
        <v>42.0571428571429</v>
      </c>
      <c r="X50" s="31" t="n">
        <f aca="false">0.6108*EXP(17.27*V50/(V50+237.3))*(1-W50/100)</f>
        <v>2.27051923122539</v>
      </c>
      <c r="Y50" s="30" t="n">
        <f aca="false">V50+Inputs_General!$C$14-Inputs_General!$C$15*X50</f>
        <v>25.3060134606718</v>
      </c>
      <c r="Z50" s="30" t="n">
        <f aca="false">V50+Inputs_General!$C$16</f>
        <v>32.62</v>
      </c>
      <c r="AA50" s="31" t="n">
        <f aca="false">IF(L50="V",Inputs_General!$C$17,IF(L50="F",Inputs_General!$C$18,Inputs_General!$C$19))+Inputs_General!$C$20*R50</f>
        <v>0.221696428571429</v>
      </c>
      <c r="AB50" s="31" t="n">
        <f aca="false">Inputs_Treatments!$C$7*Inputs_Treatments!$F$14*(1/(1+EXP(-(K50-Inputs_General!$C$27)/Inputs_General!$C$28)))*EXP(-((MAX(0,K50-Inputs_General!$C$29)/Inputs_General!$C$30)^2))</f>
        <v>2.00148060787833</v>
      </c>
      <c r="AC50" s="21" t="n">
        <f aca="false">Inputs_Treatments!$G$7</f>
        <v>1</v>
      </c>
      <c r="AD50" s="21" t="n">
        <f aca="false">Inputs_Treatments!$D$14</f>
        <v>0.85</v>
      </c>
      <c r="AE50" s="29" t="n">
        <f aca="false">COUNTIFS(Weather!$K$2:$K$159,1,Weather!$A$2:$A$159,"&gt;="&amp;(G50+36),Weather!$A$2:$A$159,"&lt;="&amp;F50)</f>
        <v>0</v>
      </c>
      <c r="AF50" s="30" t="n">
        <f aca="false">Inputs_Treatments!$C$21*Inputs_Treatments!$E$14*Inputs_Treatments!$D$7</f>
        <v>8.4</v>
      </c>
      <c r="AG50" s="13" t="str">
        <f aca="false">IF(AF50&lt;=0,"Healthy",IF(AF50&lt;=5,"Very low",IF(AF50&lt;=10,"Low",IF(AF50&lt;=25,"Moderate",IF(AF50&lt;=50,"High","Very high")))))</f>
        <v>Low</v>
      </c>
      <c r="AH50" s="29" t="n">
        <f aca="false">MATCH(AG50,Severity_Classes!$A$4:$A$9,0)</f>
        <v>3</v>
      </c>
      <c r="AI50" s="13" t="str">
        <f aca="false">"Reference: healthy (uninoculated) control plot"</f>
        <v>Reference: healthy (uninoculated) control plot</v>
      </c>
      <c r="AJ50" s="13" t="str">
        <f aca="false">IF(AND(I50&lt;8,2&gt;=4),"Unlikely (only via pre-inoculation natural infection)",IF(ABS(2-AH50)&lt;=1,"Likely",IF(ABS(2-AH50)=2,"Possible","Unlikely")))</f>
        <v>Likely</v>
      </c>
      <c r="AK50" s="13" t="str">
        <f aca="false">IF(AND(I50&lt;8,3&gt;=4),"Unlikely (only via pre-inoculation natural infection)",IF(ABS(3-AH50)&lt;=1,"Likely",IF(ABS(3-AH50)=2,"Possible","Unlikely")))</f>
        <v>Likely</v>
      </c>
      <c r="AL50" s="13" t="str">
        <f aca="false">IF(AND(I50&lt;8,4&gt;=4),"Unlikely (only via pre-inoculation natural infection)",IF(ABS(4-AH50)&lt;=1,"Likely",IF(ABS(4-AH50)=2,"Possible","Unlikely")))</f>
        <v>Likely</v>
      </c>
      <c r="AM50" s="13" t="str">
        <f aca="false">IF(AND(I50&lt;8,5&gt;=4),"Unlikely (only via pre-inoculation natural infection)",IF(ABS(5-AH50)&lt;=1,"Likely",IF(ABS(5-AH50)=2,"Possible","Unlikely")))</f>
        <v>Possible</v>
      </c>
      <c r="AN50" s="13" t="str">
        <f aca="false">IF(AND(I50&lt;8,6&gt;=4),"Unlikely (only via pre-inoculation natural infection)",IF(ABS(6-AH50)&lt;=1,"Likely",IF(ABS(6-AH50)=2,"Possible","Unlikely")))</f>
        <v>Unlikely</v>
      </c>
    </row>
    <row r="51" customFormat="false" ht="15" hidden="false" customHeight="false" outlineLevel="0" collapsed="false">
      <c r="A51" s="13" t="str">
        <f aca="false">B51&amp;"|"&amp;E51</f>
        <v>D4V3|13/03/2026</v>
      </c>
      <c r="B51" s="27" t="s">
        <v>354</v>
      </c>
      <c r="C51" s="13" t="s">
        <v>133</v>
      </c>
      <c r="D51" s="13" t="s">
        <v>150</v>
      </c>
      <c r="E51" s="13" t="s">
        <v>164</v>
      </c>
      <c r="F51" s="28" t="n">
        <f aca="false">Inputs_Treatments!$B$22</f>
        <v>46094</v>
      </c>
      <c r="G51" s="28" t="n">
        <f aca="false">Inputs_Treatments!$B$7</f>
        <v>46031</v>
      </c>
      <c r="H51" s="29" t="n">
        <f aca="false">F51-G51</f>
        <v>63</v>
      </c>
      <c r="I51" s="29" t="n">
        <f aca="false">F51-Inputs_General!$C$6</f>
        <v>36</v>
      </c>
      <c r="J51" s="29" t="n">
        <f aca="false">SUMIFS(Weather!$H$2:$H$159,Weather!$A$2:$A$159,"&gt;="&amp;G51,Weather!$A$2:$A$159,"&lt;="&amp;F51)</f>
        <v>777</v>
      </c>
      <c r="K51" s="29" t="n">
        <f aca="false">J51-Inputs_General!$C$5</f>
        <v>667</v>
      </c>
      <c r="L51" s="15" t="s">
        <v>341</v>
      </c>
      <c r="M51" s="13" t="str">
        <f aca="false">IF(L51="V","3rd fully expanded leaf from top","5th fully expanded leaf from top")</f>
        <v>5th fully expanded leaf from top</v>
      </c>
      <c r="N51" s="30" t="n">
        <f aca="false">AVERAGEIFS(Weather!$B$2:$B$159,Weather!$A$2:$A$159,"&gt;="&amp;(F51-6),Weather!$A$2:$A$159,"&lt;="&amp;F51)</f>
        <v>34.6285714285714</v>
      </c>
      <c r="O51" s="30" t="n">
        <f aca="false">AVERAGEIFS(Weather!$C$2:$C$159,Weather!$A$2:$A$159,"&gt;="&amp;(F51-6),Weather!$A$2:$A$159,"&lt;="&amp;F51)</f>
        <v>16.2142857142857</v>
      </c>
      <c r="P51" s="30" t="n">
        <f aca="false">AVERAGEIFS(Weather!$E$2:$E$159,Weather!$A$2:$A$159,"&gt;="&amp;(F51-6),Weather!$A$2:$A$159,"&lt;="&amp;F51)</f>
        <v>90.7142857142857</v>
      </c>
      <c r="Q51" s="30" t="n">
        <f aca="false">AVERAGEIFS(Weather!$F$2:$F$159,Weather!$A$2:$A$159,"&gt;="&amp;(F51-6),Weather!$A$2:$A$159,"&lt;="&amp;F51)</f>
        <v>34.1428571428571</v>
      </c>
      <c r="R51" s="31" t="n">
        <f aca="false">MAX(0,(N51-Inputs_General!$C$7)/Inputs_General!$C$8)</f>
        <v>0.953571428571428</v>
      </c>
      <c r="S51" s="30" t="n">
        <f aca="false">O51+Inputs_General!$C$9*(N51-O51)</f>
        <v>30.9457142857143</v>
      </c>
      <c r="T51" s="30" t="n">
        <f aca="false">Q51+Inputs_General!$C$10*(P51-Q51)</f>
        <v>51.1142857142857</v>
      </c>
      <c r="U51" s="31" t="n">
        <f aca="false">0.6108*EXP(17.27*S51/(S51+237.3))*(1-T51/100)</f>
        <v>2.18945736698217</v>
      </c>
      <c r="V51" s="30" t="n">
        <f aca="false">O51+Inputs_General!$C$11*(N51-O51)</f>
        <v>32.7871428571429</v>
      </c>
      <c r="W51" s="30" t="n">
        <f aca="false">Q51+Inputs_General!$C$12*(P51-Q51)</f>
        <v>42.6285714285714</v>
      </c>
      <c r="X51" s="31" t="n">
        <f aca="false">0.6108*EXP(17.27*V51/(V51+237.3))*(1-W51/100)</f>
        <v>2.85158987109622</v>
      </c>
      <c r="Y51" s="30" t="n">
        <f aca="false">V51+Inputs_General!$C$14-Inputs_General!$C$15*X51</f>
        <v>28.36912210206</v>
      </c>
      <c r="Z51" s="30" t="n">
        <f aca="false">V51+Inputs_General!$C$16</f>
        <v>36.7871428571429</v>
      </c>
      <c r="AA51" s="31" t="n">
        <f aca="false">IF(L51="V",Inputs_General!$C$17,IF(L51="F",Inputs_General!$C$18,Inputs_General!$C$19))+Inputs_General!$C$20*R51</f>
        <v>0.247678571428571</v>
      </c>
      <c r="AB51" s="31" t="n">
        <f aca="false">Inputs_Treatments!$C$7*Inputs_Treatments!$F$14*(1/(1+EXP(-(K51-Inputs_General!$C$27)/Inputs_General!$C$28)))*EXP(-((MAX(0,K51-Inputs_General!$C$29)/Inputs_General!$C$30)^2))</f>
        <v>2.41688422790131</v>
      </c>
      <c r="AC51" s="21" t="n">
        <f aca="false">Inputs_Treatments!$H$7</f>
        <v>1</v>
      </c>
      <c r="AD51" s="21" t="n">
        <f aca="false">Inputs_Treatments!$D$14</f>
        <v>0.85</v>
      </c>
      <c r="AE51" s="29" t="n">
        <f aca="false">COUNTIFS(Weather!$K$2:$K$159,1,Weather!$A$2:$A$159,"&gt;="&amp;(G51+36),Weather!$A$2:$A$159,"&lt;="&amp;F51)</f>
        <v>0</v>
      </c>
      <c r="AF51" s="30" t="n">
        <f aca="false">Inputs_Treatments!$C$22*Inputs_Treatments!$E$14*Inputs_Treatments!$D$7</f>
        <v>10.5</v>
      </c>
      <c r="AG51" s="13" t="str">
        <f aca="false">IF(AF51&lt;=0,"Healthy",IF(AF51&lt;=5,"Very low",IF(AF51&lt;=10,"Low",IF(AF51&lt;=25,"Moderate",IF(AF51&lt;=50,"High","Very high")))))</f>
        <v>Moderate</v>
      </c>
      <c r="AH51" s="29" t="n">
        <f aca="false">MATCH(AG51,Severity_Classes!$A$4:$A$9,0)</f>
        <v>4</v>
      </c>
      <c r="AI51" s="13" t="str">
        <f aca="false">"Reference: healthy (uninoculated) control plot"</f>
        <v>Reference: healthy (uninoculated) control plot</v>
      </c>
      <c r="AJ51" s="13" t="str">
        <f aca="false">IF(AND(I51&lt;8,2&gt;=4),"Unlikely (only via pre-inoculation natural infection)",IF(ABS(2-AH51)&lt;=1,"Likely",IF(ABS(2-AH51)=2,"Possible","Unlikely")))</f>
        <v>Possible</v>
      </c>
      <c r="AK51" s="13" t="str">
        <f aca="false">IF(AND(I51&lt;8,3&gt;=4),"Unlikely (only via pre-inoculation natural infection)",IF(ABS(3-AH51)&lt;=1,"Likely",IF(ABS(3-AH51)=2,"Possible","Unlikely")))</f>
        <v>Likely</v>
      </c>
      <c r="AL51" s="13" t="str">
        <f aca="false">IF(AND(I51&lt;8,4&gt;=4),"Unlikely (only via pre-inoculation natural infection)",IF(ABS(4-AH51)&lt;=1,"Likely",IF(ABS(4-AH51)=2,"Possible","Unlikely")))</f>
        <v>Likely</v>
      </c>
      <c r="AM51" s="13" t="str">
        <f aca="false">IF(AND(I51&lt;8,5&gt;=4),"Unlikely (only via pre-inoculation natural infection)",IF(ABS(5-AH51)&lt;=1,"Likely",IF(ABS(5-AH51)=2,"Possible","Unlikely")))</f>
        <v>Likely</v>
      </c>
      <c r="AN51" s="13" t="str">
        <f aca="false">IF(AND(I51&lt;8,6&gt;=4),"Unlikely (only via pre-inoculation natural infection)",IF(ABS(6-AH51)&lt;=1,"Likely",IF(ABS(6-AH51)=2,"Possible","Unlikely")))</f>
        <v>Possible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1"/>
    <col collapsed="false" customWidth="true" hidden="false" outlineLevel="0" max="15" min="15" style="0" width="28"/>
    <col collapsed="false" customWidth="true" hidden="false" outlineLevel="0" max="18" min="16" style="0" width="11"/>
    <col collapsed="false" customWidth="true" hidden="false" outlineLevel="0" max="19" min="19" style="0" width="34"/>
    <col collapsed="false" customWidth="true" hidden="false" outlineLevel="0" max="99" min="20" style="0" width="11"/>
  </cols>
  <sheetData>
    <row r="1" customFormat="false" ht="15" hidden="false" customHeight="false" outlineLevel="0" collapsed="false">
      <c r="A1" s="32" t="s">
        <v>355</v>
      </c>
    </row>
    <row r="2" customFormat="false" ht="46.25" hidden="false" customHeight="false" outlineLevel="0" collapsed="false">
      <c r="A2" s="6" t="s">
        <v>30</v>
      </c>
      <c r="B2" s="6" t="s">
        <v>306</v>
      </c>
      <c r="C2" s="6" t="s">
        <v>118</v>
      </c>
      <c r="D2" s="6" t="s">
        <v>135</v>
      </c>
      <c r="E2" s="6" t="s">
        <v>155</v>
      </c>
      <c r="F2" s="6" t="s">
        <v>356</v>
      </c>
      <c r="G2" s="6" t="s">
        <v>270</v>
      </c>
      <c r="H2" s="6" t="s">
        <v>271</v>
      </c>
      <c r="I2" s="6" t="s">
        <v>272</v>
      </c>
      <c r="J2" s="6" t="s">
        <v>273</v>
      </c>
      <c r="K2" s="6" t="s">
        <v>357</v>
      </c>
      <c r="L2" s="6" t="s">
        <v>307</v>
      </c>
      <c r="M2" s="6" t="s">
        <v>308</v>
      </c>
      <c r="N2" s="6" t="s">
        <v>358</v>
      </c>
      <c r="O2" s="6" t="s">
        <v>312</v>
      </c>
      <c r="P2" s="6" t="s">
        <v>317</v>
      </c>
      <c r="Q2" s="6" t="s">
        <v>320</v>
      </c>
      <c r="R2" s="6" t="s">
        <v>359</v>
      </c>
      <c r="S2" s="6" t="s">
        <v>360</v>
      </c>
      <c r="T2" s="6" t="s">
        <v>361</v>
      </c>
      <c r="U2" s="6" t="s">
        <v>362</v>
      </c>
      <c r="V2" s="6" t="s">
        <v>363</v>
      </c>
      <c r="W2" s="6" t="s">
        <v>364</v>
      </c>
      <c r="X2" s="6" t="s">
        <v>365</v>
      </c>
      <c r="Y2" s="6" t="s">
        <v>366</v>
      </c>
      <c r="Z2" s="6" t="s">
        <v>367</v>
      </c>
      <c r="AA2" s="6" t="s">
        <v>368</v>
      </c>
      <c r="AB2" s="6" t="s">
        <v>369</v>
      </c>
      <c r="AC2" s="6" t="s">
        <v>370</v>
      </c>
      <c r="AD2" s="6" t="s">
        <v>371</v>
      </c>
      <c r="AE2" s="6" t="s">
        <v>372</v>
      </c>
      <c r="AF2" s="6" t="s">
        <v>373</v>
      </c>
      <c r="AG2" s="6" t="s">
        <v>374</v>
      </c>
      <c r="AH2" s="6" t="s">
        <v>375</v>
      </c>
      <c r="AI2" s="6" t="s">
        <v>376</v>
      </c>
      <c r="AJ2" s="6" t="s">
        <v>377</v>
      </c>
      <c r="AK2" s="6" t="s">
        <v>378</v>
      </c>
      <c r="AL2" s="6" t="s">
        <v>379</v>
      </c>
      <c r="AM2" s="6" t="s">
        <v>380</v>
      </c>
      <c r="AN2" s="6" t="s">
        <v>381</v>
      </c>
      <c r="AO2" s="6" t="s">
        <v>382</v>
      </c>
      <c r="AP2" s="6" t="s">
        <v>383</v>
      </c>
      <c r="AQ2" s="6" t="s">
        <v>384</v>
      </c>
      <c r="AR2" s="6" t="s">
        <v>385</v>
      </c>
      <c r="AS2" s="6" t="s">
        <v>386</v>
      </c>
      <c r="AT2" s="6" t="s">
        <v>387</v>
      </c>
      <c r="AU2" s="6" t="s">
        <v>388</v>
      </c>
      <c r="AV2" s="6" t="s">
        <v>389</v>
      </c>
      <c r="AW2" s="6" t="s">
        <v>390</v>
      </c>
      <c r="AX2" s="6" t="s">
        <v>391</v>
      </c>
      <c r="AY2" s="6" t="s">
        <v>392</v>
      </c>
      <c r="AZ2" s="6" t="s">
        <v>393</v>
      </c>
      <c r="BA2" s="6" t="s">
        <v>394</v>
      </c>
      <c r="BB2" s="6" t="s">
        <v>395</v>
      </c>
      <c r="BC2" s="6" t="s">
        <v>396</v>
      </c>
      <c r="BD2" s="6" t="s">
        <v>397</v>
      </c>
      <c r="BE2" s="6" t="s">
        <v>398</v>
      </c>
      <c r="BF2" s="6" t="s">
        <v>399</v>
      </c>
      <c r="BG2" s="6" t="s">
        <v>400</v>
      </c>
      <c r="BH2" s="6" t="s">
        <v>401</v>
      </c>
      <c r="BI2" s="6" t="s">
        <v>402</v>
      </c>
      <c r="BJ2" s="6" t="s">
        <v>403</v>
      </c>
      <c r="BK2" s="6" t="s">
        <v>404</v>
      </c>
      <c r="BL2" s="6" t="s">
        <v>405</v>
      </c>
      <c r="BM2" s="6" t="s">
        <v>406</v>
      </c>
      <c r="BN2" s="6" t="s">
        <v>407</v>
      </c>
      <c r="BO2" s="6" t="s">
        <v>408</v>
      </c>
      <c r="BP2" s="6" t="s">
        <v>409</v>
      </c>
      <c r="BQ2" s="6" t="s">
        <v>410</v>
      </c>
      <c r="BR2" s="6" t="s">
        <v>411</v>
      </c>
      <c r="BS2" s="6" t="s">
        <v>412</v>
      </c>
      <c r="BT2" s="6" t="s">
        <v>413</v>
      </c>
      <c r="BU2" s="6" t="s">
        <v>414</v>
      </c>
      <c r="BV2" s="6" t="s">
        <v>415</v>
      </c>
      <c r="BW2" s="6" t="s">
        <v>416</v>
      </c>
      <c r="BX2" s="6" t="s">
        <v>417</v>
      </c>
      <c r="BY2" s="6" t="s">
        <v>418</v>
      </c>
      <c r="BZ2" s="6" t="s">
        <v>419</v>
      </c>
      <c r="CA2" s="6" t="s">
        <v>420</v>
      </c>
      <c r="CB2" s="6" t="s">
        <v>421</v>
      </c>
      <c r="CC2" s="6" t="s">
        <v>422</v>
      </c>
      <c r="CD2" s="6" t="s">
        <v>423</v>
      </c>
      <c r="CE2" s="6" t="s">
        <v>424</v>
      </c>
      <c r="CF2" s="6" t="s">
        <v>425</v>
      </c>
      <c r="CG2" s="6" t="s">
        <v>426</v>
      </c>
      <c r="CH2" s="6" t="s">
        <v>324</v>
      </c>
      <c r="CI2" s="6" t="s">
        <v>325</v>
      </c>
      <c r="CJ2" s="6" t="s">
        <v>427</v>
      </c>
      <c r="CK2" s="6" t="s">
        <v>428</v>
      </c>
      <c r="CL2" s="6" t="s">
        <v>429</v>
      </c>
      <c r="CM2" s="6" t="s">
        <v>430</v>
      </c>
      <c r="CN2" s="6" t="s">
        <v>431</v>
      </c>
      <c r="CO2" s="6" t="s">
        <v>432</v>
      </c>
      <c r="CP2" s="6" t="s">
        <v>433</v>
      </c>
      <c r="CQ2" s="6" t="s">
        <v>434</v>
      </c>
      <c r="CR2" s="6" t="s">
        <v>435</v>
      </c>
      <c r="CS2" s="6" t="s">
        <v>436</v>
      </c>
      <c r="CT2" s="6" t="s">
        <v>437</v>
      </c>
      <c r="CU2" s="6" t="s">
        <v>438</v>
      </c>
    </row>
    <row r="3" customFormat="false" ht="15" hidden="false" customHeight="false" outlineLevel="0" collapsed="false">
      <c r="A3" s="33" t="str">
        <f aca="false">B3&amp;"|"&amp;E3&amp;"|"&amp;F3</f>
        <v>D1V1|11/02/2026|Healthy</v>
      </c>
      <c r="B3" s="34" t="s">
        <v>340</v>
      </c>
      <c r="C3" s="33" t="s">
        <v>127</v>
      </c>
      <c r="D3" s="33" t="s">
        <v>142</v>
      </c>
      <c r="E3" s="33" t="s">
        <v>158</v>
      </c>
      <c r="F3" s="34" t="s">
        <v>275</v>
      </c>
      <c r="G3" s="33" t="s">
        <v>276</v>
      </c>
      <c r="H3" s="35" t="n">
        <f aca="false">INDEX(Severity_Classes!$C$4:$C$9,MATCH(F3,Severity_Classes!$A$4:$A$9,0))</f>
        <v>0</v>
      </c>
      <c r="I3" s="35" t="n">
        <f aca="false">INDEX(Severity_Classes!$D$4:$D$9,MATCH(F3,Severity_Classes!$A$4:$A$9,0))</f>
        <v>0</v>
      </c>
      <c r="J3" s="35" t="n">
        <f aca="false">INDEX(Severity_Classes!$E$4:$E$9,MATCH(F3,Severity_Classes!$A$4:$A$9,0))</f>
        <v>0</v>
      </c>
      <c r="K3" s="36" t="n">
        <f aca="false">MATCH(B3&amp;"|"&amp;E3,Context!$A$4:$A$51,0)</f>
        <v>1</v>
      </c>
      <c r="L3" s="36" t="n">
        <f aca="false">INDEX(Context!$H$4:$H$51,K3)</f>
        <v>64</v>
      </c>
      <c r="M3" s="36" t="n">
        <f aca="false">INDEX(Context!$I$4:$I$51,K3)</f>
        <v>6</v>
      </c>
      <c r="N3" s="33" t="str">
        <f aca="false">INDEX(Context!$L$4:$L$51,K3)</f>
        <v>F</v>
      </c>
      <c r="O3" s="33" t="str">
        <f aca="false">INDEX(Context!$M$4:$M$51,K3)</f>
        <v>5th fully expanded leaf from top</v>
      </c>
      <c r="P3" s="37" t="n">
        <f aca="false">INDEX(Context!$R$4:$R$51,K3)</f>
        <v>0</v>
      </c>
      <c r="Q3" s="37" t="n">
        <f aca="false">INDEX(Context!$U$4:$U$51,K3)</f>
        <v>0.937791824040773</v>
      </c>
      <c r="R3" s="37" t="n">
        <f aca="false">INDEX(Context!$AD$4:$AD$51,K3)</f>
        <v>1</v>
      </c>
      <c r="S3" s="33" t="str">
        <f aca="false">INDEX(Context!$AI$4:$AN$51,K3,MATCH(F3,Severity_Classes!$A$4:$A$9,0))</f>
        <v>Reference: healthy (uninoculated) control plot</v>
      </c>
      <c r="T3" s="38" t="n">
        <f aca="false">Parameters!$E$4*IF($N3="V",Parameters!$I$4,IF($N3="F",Parameters!$J$4,Parameters!$K$4))*(1-Parameters!$L$4*$P3)*IF($D3="V1",Parameters!$M$4,IF($D3="V2",Parameters!$N$4,Parameters!$O$4))</f>
        <v>85.14</v>
      </c>
      <c r="U3" s="38" t="n">
        <f aca="false">MIN(100,T3*(1+INDEX(Response_Table!$E$4:$E$21,MATCH($F3&amp;"|mid",Response_Table!$A$4:$A$21,0))*$R3*INDEX(Parameters!$X$4:$AA$4,1,MATCH($E3,Parameters!$X$3:$AA$3,0))))</f>
        <v>85.14</v>
      </c>
      <c r="V3" s="38" t="n">
        <f aca="false">MAX(0,MIN(T3*(1+INDEX(Response_Table!$E$4:$E$21,MATCH($F3&amp;"|low",Response_Table!$A$4:$A$21,0))*$R3*INDEX(Parameters!$X$4:$AA$4,1,MATCH($E3,Parameters!$X$3:$AA$3,0))),T3*(1+INDEX(Response_Table!$E$4:$E$21,MATCH($F3&amp;"|high",Response_Table!$A$4:$A$21,0))*$R3*INDEX(Parameters!$X$4:$AA$4,1,MATCH($E3,Parameters!$X$3:$AA$3,0))))*(1-Inputs_General!$C$22*Parameters!$F$4))</f>
        <v>79.537788</v>
      </c>
      <c r="W3" s="38" t="n">
        <f aca="false">MIN(100,MAX(T3*(1+INDEX(Response_Table!$E$4:$E$21,MATCH($F3&amp;"|low",Response_Table!$A$4:$A$21,0))*$R3*INDEX(Parameters!$X$4:$AA$4,1,MATCH($E3,Parameters!$X$3:$AA$3,0))),T3*(1+INDEX(Response_Table!$E$4:$E$21,MATCH($F3&amp;"|high",Response_Table!$A$4:$A$21,0))*$R3*INDEX(Parameters!$X$4:$AA$4,1,MATCH($E3,Parameters!$X$3:$AA$3,0))))*(1+Inputs_General!$C$22*Parameters!$F$4))</f>
        <v>90.742212</v>
      </c>
      <c r="X3" s="39" t="n">
        <f aca="false">IF(T3=0,0,U3/T3-1)</f>
        <v>0</v>
      </c>
      <c r="Y3" s="38" t="n">
        <f aca="false">Parameters!$E$5*IF($N3="V",Parameters!$I$5,IF($N3="F",Parameters!$J$5,Parameters!$K$5))*(1-Parameters!$L$5*$P3)*IF($D3="V1",Parameters!$M$5,IF($D3="V2",Parameters!$N$5,Parameters!$O$5))</f>
        <v>70.56</v>
      </c>
      <c r="Z3" s="38" t="n">
        <f aca="false">MIN(100,Y3*(1+INDEX(Response_Table!$F$4:$F$21,MATCH($F3&amp;"|mid",Response_Table!$A$4:$A$21,0))*$R3*INDEX(Parameters!$X$5:$AA$5,1,MATCH($E3,Parameters!$X$3:$AA$3,0))))</f>
        <v>70.56</v>
      </c>
      <c r="AA3" s="38" t="n">
        <f aca="false">MAX(0,MIN(Y3*(1+INDEX(Response_Table!$F$4:$F$21,MATCH($F3&amp;"|low",Response_Table!$A$4:$A$21,0))*$R3*INDEX(Parameters!$X$5:$AA$5,1,MATCH($E3,Parameters!$X$3:$AA$3,0))),Y3*(1+INDEX(Response_Table!$F$4:$F$21,MATCH($F3&amp;"|high",Response_Table!$A$4:$A$21,0))*$R3*INDEX(Parameters!$X$5:$AA$5,1,MATCH($E3,Parameters!$X$3:$AA$3,0))))*(1-Inputs_General!$C$22*Parameters!$F$5))</f>
        <v>62.435016</v>
      </c>
      <c r="AB3" s="38" t="n">
        <f aca="false">MIN(100,MAX(Y3*(1+INDEX(Response_Table!$F$4:$F$21,MATCH($F3&amp;"|low",Response_Table!$A$4:$A$21,0))*$R3*INDEX(Parameters!$X$5:$AA$5,1,MATCH($E3,Parameters!$X$3:$AA$3,0))),Y3*(1+INDEX(Response_Table!$F$4:$F$21,MATCH($F3&amp;"|high",Response_Table!$A$4:$A$21,0))*$R3*INDEX(Parameters!$X$5:$AA$5,1,MATCH($E3,Parameters!$X$3:$AA$3,0))))*(1+Inputs_General!$C$22*Parameters!$F$5))</f>
        <v>78.684984</v>
      </c>
      <c r="AC3" s="39" t="n">
        <f aca="false">IF(Y3=0,0,Z3/Y3-1)</f>
        <v>0</v>
      </c>
      <c r="AD3" s="38" t="n">
        <f aca="false">Parameters!$E$6*IF($N3="V",Parameters!$I$6,IF($N3="F",Parameters!$J$6,Parameters!$K$6))*(1-Parameters!$L$6*$P3)*IF($D3="V1",Parameters!$M$6,IF($D3="V2",Parameters!$N$6,Parameters!$O$6))</f>
        <v>19</v>
      </c>
      <c r="AE3" s="38" t="n">
        <f aca="false">AD3*(1+INDEX(Response_Table!$G$4:$G$21,MATCH($F3&amp;"|mid",Response_Table!$A$4:$A$21,0))*$R3*INDEX(Parameters!$X$6:$AA$6,1,MATCH($E3,Parameters!$X$3:$AA$3,0)))</f>
        <v>19</v>
      </c>
      <c r="AF3" s="38" t="n">
        <f aca="false">MAX(0,MIN(AD3*(1+INDEX(Response_Table!$G$4:$G$21,MATCH($F3&amp;"|low",Response_Table!$A$4:$A$21,0))*$R3*INDEX(Parameters!$X$6:$AA$6,1,MATCH($E3,Parameters!$X$3:$AA$3,0))),AD3*(1+INDEX(Response_Table!$G$4:$G$21,MATCH($F3&amp;"|high",Response_Table!$A$4:$A$21,0))*$R3*INDEX(Parameters!$X$6:$AA$6,1,MATCH($E3,Parameters!$X$3:$AA$3,0))))*(1-Inputs_General!$C$22*Parameters!$F$6))</f>
        <v>15.2494</v>
      </c>
      <c r="AG3" s="38" t="n">
        <f aca="false">MAX(AD3*(1+INDEX(Response_Table!$G$4:$G$21,MATCH($F3&amp;"|low",Response_Table!$A$4:$A$21,0))*$R3*INDEX(Parameters!$X$6:$AA$6,1,MATCH($E3,Parameters!$X$3:$AA$3,0))),AD3*(1+INDEX(Response_Table!$G$4:$G$21,MATCH($F3&amp;"|high",Response_Table!$A$4:$A$21,0))*$R3*INDEX(Parameters!$X$6:$AA$6,1,MATCH($E3,Parameters!$X$3:$AA$3,0))))*(1+Inputs_General!$C$22*Parameters!$F$6)</f>
        <v>22.7506</v>
      </c>
      <c r="AH3" s="39" t="n">
        <f aca="false">IF(AD3=0,0,AE3/AD3-1)</f>
        <v>0</v>
      </c>
      <c r="AI3" s="40" t="n">
        <f aca="false">Parameters!$E$7*IF($N3="V",Parameters!$I$7,IF($N3="F",Parameters!$J$7,Parameters!$K$7))*(1-Parameters!$L$7*$P3)*IF($D3="V1",Parameters!$M$7,IF($D3="V2",Parameters!$N$7,Parameters!$O$7))*POWER($Q3/Inputs_General!$C$26,-Inputs_General!$C$25)</f>
        <v>0.464685683730118</v>
      </c>
      <c r="AJ3" s="40" t="n">
        <f aca="false">AI3*(1+INDEX(Response_Table!$H$4:$H$21,MATCH($F3&amp;"|mid",Response_Table!$A$4:$A$21,0))*$R3*INDEX(Parameters!$X$7:$AA$7,1,MATCH($E3,Parameters!$X$3:$AA$3,0)))</f>
        <v>0.464685683730118</v>
      </c>
      <c r="AK3" s="40" t="n">
        <f aca="false">MAX(0,MIN(AI3*(1+INDEX(Response_Table!$H$4:$H$21,MATCH($F3&amp;"|low",Response_Table!$A$4:$A$21,0))*$R3*INDEX(Parameters!$X$7:$AA$7,1,MATCH($E3,Parameters!$X$3:$AA$3,0))),AI3*(1+INDEX(Response_Table!$H$4:$H$21,MATCH($F3&amp;"|high",Response_Table!$A$4:$A$21,0))*$R3*INDEX(Parameters!$X$7:$AA$7,1,MATCH($E3,Parameters!$X$3:$AA$3,0))))*(1-Inputs_General!$C$22*Parameters!$F$7))</f>
        <v>0.32709225277763</v>
      </c>
      <c r="AL3" s="40" t="n">
        <f aca="false">MAX(AI3*(1+INDEX(Response_Table!$H$4:$H$21,MATCH($F3&amp;"|low",Response_Table!$A$4:$A$21,0))*$R3*INDEX(Parameters!$X$7:$AA$7,1,MATCH($E3,Parameters!$X$3:$AA$3,0))),AI3*(1+INDEX(Response_Table!$H$4:$H$21,MATCH($F3&amp;"|high",Response_Table!$A$4:$A$21,0))*$R3*INDEX(Parameters!$X$7:$AA$7,1,MATCH($E3,Parameters!$X$3:$AA$3,0))))*(1+Inputs_General!$C$22*Parameters!$F$7)</f>
        <v>0.602279114682606</v>
      </c>
      <c r="AM3" s="39" t="n">
        <f aca="false">IF(AI3=0,0,AJ3/AI3-1)</f>
        <v>0</v>
      </c>
      <c r="AN3" s="37" t="n">
        <f aca="false">AI3*$Q3/Inputs_General!$C$13*1000</f>
        <v>4.38850387664553</v>
      </c>
      <c r="AO3" s="37" t="n">
        <f aca="false">AJ3*$Q3/Inputs_General!$C$13*1000*(1+Inputs_General!$C$21*$I3)</f>
        <v>4.38850387664553</v>
      </c>
      <c r="AP3" s="37" t="n">
        <f aca="false">AK3*$Q3/Inputs_General!$C$13*1000*(1+Inputs_General!$C$21*$H3)</f>
        <v>3.08906787877079</v>
      </c>
      <c r="AQ3" s="37" t="n">
        <f aca="false">AL3*$Q3/Inputs_General!$C$13*1000*(1+Inputs_General!$C$21*$J3)</f>
        <v>5.68793987452027</v>
      </c>
      <c r="AR3" s="39" t="n">
        <f aca="false">IF(AN3=0,0,AO3/AN3-1)</f>
        <v>0</v>
      </c>
      <c r="AS3" s="36" t="n">
        <f aca="false">Parameters!$E$9*IF($N3="V",Parameters!$I$9,IF($N3="F",Parameters!$J$9,Parameters!$K$9))*(1-Parameters!$L$9*$P3)*IF($D3="V1",Parameters!$M$9,IF($D3="V2",Parameters!$N$9,Parameters!$O$9))</f>
        <v>285</v>
      </c>
      <c r="AT3" s="36" t="n">
        <f aca="false">AS3*(1+INDEX(Response_Table!$I$4:$I$21,MATCH($F3&amp;"|mid",Response_Table!$A$4:$A$21,0))*$R3*INDEX(Parameters!$X$9:$AA$9,1,MATCH($E3,Parameters!$X$3:$AA$3,0)))</f>
        <v>285</v>
      </c>
      <c r="AU3" s="36" t="n">
        <f aca="false">MAX(0,MIN(AS3*(1+INDEX(Response_Table!$I$4:$I$21,MATCH($F3&amp;"|low",Response_Table!$A$4:$A$21,0))*$R3*INDEX(Parameters!$X$9:$AA$9,1,MATCH($E3,Parameters!$X$3:$AA$3,0))),AS3*(1+INDEX(Response_Table!$I$4:$I$21,MATCH($F3&amp;"|high",Response_Table!$A$4:$A$21,0))*$R3*INDEX(Parameters!$X$9:$AA$9,1,MATCH($E3,Parameters!$X$3:$AA$3,0))))*(1-Inputs_General!$C$22*Parameters!$F$9))</f>
        <v>256.8705</v>
      </c>
      <c r="AV3" s="36" t="n">
        <f aca="false">MAX(AS3*(1+INDEX(Response_Table!$I$4:$I$21,MATCH($F3&amp;"|low",Response_Table!$A$4:$A$21,0))*$R3*INDEX(Parameters!$X$9:$AA$9,1,MATCH($E3,Parameters!$X$3:$AA$3,0))),AS3*(1+INDEX(Response_Table!$I$4:$I$21,MATCH($F3&amp;"|high",Response_Table!$A$4:$A$21,0))*$R3*INDEX(Parameters!$X$9:$AA$9,1,MATCH($E3,Parameters!$X$3:$AA$3,0))))*(1+Inputs_General!$C$22*Parameters!$F$9)</f>
        <v>313.1295</v>
      </c>
      <c r="AW3" s="39" t="n">
        <f aca="false">IF(AS3=0,0,AT3/AS3-1)</f>
        <v>0</v>
      </c>
      <c r="AX3" s="37" t="n">
        <f aca="false">INDEX(Context!$AB$4:$AB$51,$K3)</f>
        <v>2.55066767693214</v>
      </c>
      <c r="AY3" s="37" t="n">
        <f aca="false">AX3*(1+INDEX(Response_Table!$J$4:$J$21,MATCH($F3&amp;"|mid",Response_Table!$A$4:$A$21,0))*$R3*INDEX(Parameters!$X$10:$AA$10,1,MATCH($E3,Parameters!$X$3:$AA$3,0)))</f>
        <v>2.55066767693214</v>
      </c>
      <c r="AZ3" s="37" t="n">
        <f aca="false">MAX(0,MIN(AX3*(1+INDEX(Response_Table!$J$4:$J$21,MATCH($F3&amp;"|low",Response_Table!$A$4:$A$21,0))*$R3*INDEX(Parameters!$X$10:$AA$10,1,MATCH($E3,Parameters!$X$3:$AA$3,0))),AX3*(1+INDEX(Response_Table!$J$4:$J$21,MATCH($F3&amp;"|high",Response_Table!$A$4:$A$21,0))*$R3*INDEX(Parameters!$X$10:$AA$10,1,MATCH($E3,Parameters!$X$3:$AA$3,0))))*(1-Inputs_General!$C$22*Parameters!$F$10))</f>
        <v>2.04716587750574</v>
      </c>
      <c r="BA3" s="37" t="n">
        <f aca="false">MAX(AX3*(1+INDEX(Response_Table!$J$4:$J$21,MATCH($F3&amp;"|low",Response_Table!$A$4:$A$21,0))*$R3*INDEX(Parameters!$X$10:$AA$10,1,MATCH($E3,Parameters!$X$3:$AA$3,0))),AX3*(1+INDEX(Response_Table!$J$4:$J$21,MATCH($F3&amp;"|high",Response_Table!$A$4:$A$21,0))*$R3*INDEX(Parameters!$X$10:$AA$10,1,MATCH($E3,Parameters!$X$3:$AA$3,0))))*(1+Inputs_General!$C$22*Parameters!$F$10)</f>
        <v>3.05416947635855</v>
      </c>
      <c r="BB3" s="39" t="n">
        <f aca="false">IF(AX3=0,0,AY3/AX3-1)</f>
        <v>0</v>
      </c>
      <c r="BC3" s="40" t="n">
        <f aca="false">Parameters!$E$11*IF($N3="V",Parameters!$I$11,IF($N3="F",Parameters!$J$11,Parameters!$K$11))*(1-Parameters!$L$11*$P3)*IF($D3="V1",Parameters!$M$11,IF($D3="V2",Parameters!$N$11,Parameters!$O$11))</f>
        <v>1.25</v>
      </c>
      <c r="BD3" s="40" t="n">
        <f aca="false">BC3*(1+INDEX(Response_Table!$K$4:$K$21,MATCH($F3&amp;"|mid",Response_Table!$A$4:$A$21,0))*$R3*INDEX(Parameters!$X$11:$AA$11,1,MATCH($E3,Parameters!$X$3:$AA$3,0)))</f>
        <v>1.25</v>
      </c>
      <c r="BE3" s="40" t="n">
        <f aca="false">MAX(0,MIN(BC3*(1+INDEX(Response_Table!$K$4:$K$21,MATCH($F3&amp;"|low",Response_Table!$A$4:$A$21,0))*$R3*INDEX(Parameters!$X$11:$AA$11,1,MATCH($E3,Parameters!$X$3:$AA$3,0))),BC3*(1+INDEX(Response_Table!$K$4:$K$21,MATCH($F3&amp;"|high",Response_Table!$A$4:$A$21,0))*$R3*INDEX(Parameters!$X$11:$AA$11,1,MATCH($E3,Parameters!$X$3:$AA$3,0))))*(1-Inputs_General!$C$22*Parameters!$F$11))</f>
        <v>1.044375</v>
      </c>
      <c r="BF3" s="40" t="n">
        <f aca="false">MAX(BC3*(1+INDEX(Response_Table!$K$4:$K$21,MATCH($F3&amp;"|low",Response_Table!$A$4:$A$21,0))*$R3*INDEX(Parameters!$X$11:$AA$11,1,MATCH($E3,Parameters!$X$3:$AA$3,0))),BC3*(1+INDEX(Response_Table!$K$4:$K$21,MATCH($F3&amp;"|high",Response_Table!$A$4:$A$21,0))*$R3*INDEX(Parameters!$X$11:$AA$11,1,MATCH($E3,Parameters!$X$3:$AA$3,0))))*(1+Inputs_General!$C$22*Parameters!$F$11)</f>
        <v>1.455625</v>
      </c>
      <c r="BG3" s="39" t="n">
        <f aca="false">IF(BC3=0,0,BD3/BC3-1)</f>
        <v>0</v>
      </c>
      <c r="BH3" s="40" t="n">
        <f aca="false">Parameters!$E$12*IF($N3="V",Parameters!$I$12,IF($N3="F",Parameters!$J$12,Parameters!$K$12))*(1-Parameters!$L$12*$P3)*IF($D3="V1",Parameters!$M$12,IF($D3="V2",Parameters!$N$12,Parameters!$O$12))</f>
        <v>0.45</v>
      </c>
      <c r="BI3" s="40" t="n">
        <f aca="false">BH3*(1+INDEX(Response_Table!$L$4:$L$21,MATCH($F3&amp;"|mid",Response_Table!$A$4:$A$21,0))*$R3*INDEX(Parameters!$X$12:$AA$12,1,MATCH($E3,Parameters!$X$3:$AA$3,0)))</f>
        <v>0.45</v>
      </c>
      <c r="BJ3" s="40" t="n">
        <f aca="false">MAX(0,MIN(BH3*(1+INDEX(Response_Table!$L$4:$L$21,MATCH($F3&amp;"|low",Response_Table!$A$4:$A$21,0))*$R3*INDEX(Parameters!$X$12:$AA$12,1,MATCH($E3,Parameters!$X$3:$AA$3,0))),BH3*(1+INDEX(Response_Table!$L$4:$L$21,MATCH($F3&amp;"|high",Response_Table!$A$4:$A$21,0))*$R3*INDEX(Parameters!$X$12:$AA$12,1,MATCH($E3,Parameters!$X$3:$AA$3,0))))*(1-Inputs_General!$C$22*Parameters!$F$12))</f>
        <v>0.36117</v>
      </c>
      <c r="BK3" s="40" t="n">
        <f aca="false">MAX(BH3*(1+INDEX(Response_Table!$L$4:$L$21,MATCH($F3&amp;"|low",Response_Table!$A$4:$A$21,0))*$R3*INDEX(Parameters!$X$12:$AA$12,1,MATCH($E3,Parameters!$X$3:$AA$3,0))),BH3*(1+INDEX(Response_Table!$L$4:$L$21,MATCH($F3&amp;"|high",Response_Table!$A$4:$A$21,0))*$R3*INDEX(Parameters!$X$12:$AA$12,1,MATCH($E3,Parameters!$X$3:$AA$3,0))))*(1+Inputs_General!$C$22*Parameters!$F$12)</f>
        <v>0.53883</v>
      </c>
      <c r="BL3" s="39" t="n">
        <f aca="false">IF(BH3=0,0,BI3/BH3-1)</f>
        <v>0</v>
      </c>
      <c r="BM3" s="40" t="n">
        <f aca="false">Parameters!$E$13*IF($N3="V",Parameters!$I$13,IF($N3="F",Parameters!$J$13,Parameters!$K$13))*(1-Parameters!$L$13*$P3)*IF($D3="V1",Parameters!$M$13,IF($D3="V2",Parameters!$N$13,Parameters!$O$13))</f>
        <v>0.3</v>
      </c>
      <c r="BN3" s="40" t="n">
        <f aca="false">BM3*(1+INDEX(Response_Table!$M$4:$M$21,MATCH($F3&amp;"|mid",Response_Table!$A$4:$A$21,0))*$R3*INDEX(Parameters!$X$13:$AA$13,1,MATCH($E3,Parameters!$X$3:$AA$3,0)))</f>
        <v>0.3</v>
      </c>
      <c r="BO3" s="40" t="n">
        <f aca="false">MAX(0,MIN(BM3*(1+INDEX(Response_Table!$M$4:$M$21,MATCH($F3&amp;"|low",Response_Table!$A$4:$A$21,0))*$R3*INDEX(Parameters!$X$13:$AA$13,1,MATCH($E3,Parameters!$X$3:$AA$3,0))),BM3*(1+INDEX(Response_Table!$M$4:$M$21,MATCH($F3&amp;"|high",Response_Table!$A$4:$A$21,0))*$R3*INDEX(Parameters!$X$13:$AA$13,1,MATCH($E3,Parameters!$X$3:$AA$3,0))))*(1-Inputs_General!$C$22*Parameters!$F$13))</f>
        <v>0.24078</v>
      </c>
      <c r="BP3" s="40" t="n">
        <f aca="false">MAX(BM3*(1+INDEX(Response_Table!$M$4:$M$21,MATCH($F3&amp;"|low",Response_Table!$A$4:$A$21,0))*$R3*INDEX(Parameters!$X$13:$AA$13,1,MATCH($E3,Parameters!$X$3:$AA$3,0))),BM3*(1+INDEX(Response_Table!$M$4:$M$21,MATCH($F3&amp;"|high",Response_Table!$A$4:$A$21,0))*$R3*INDEX(Parameters!$X$13:$AA$13,1,MATCH($E3,Parameters!$X$3:$AA$3,0))))*(1+Inputs_General!$C$22*Parameters!$F$13)</f>
        <v>0.35922</v>
      </c>
      <c r="BQ3" s="39" t="n">
        <f aca="false">IF(BM3=0,0,BN3/BM3-1)</f>
        <v>0</v>
      </c>
      <c r="BR3" s="38" t="n">
        <f aca="false">Parameters!$E$14*IF($N3="V",Parameters!$I$14,IF($N3="F",Parameters!$J$14,Parameters!$K$14))*(1-Parameters!$L$14*$P3)*IF($D3="V1",Parameters!$M$14,IF($D3="V2",Parameters!$N$14,Parameters!$O$14))*INDEX(Context!$AC$4:$AC$51,$K3)</f>
        <v>15</v>
      </c>
      <c r="BS3" s="38" t="n">
        <f aca="false">BR3*(1+INDEX(Response_Table!$N$4:$N$21,MATCH($F3&amp;"|mid",Response_Table!$A$4:$A$21,0))*$R3*INDEX(Parameters!$X$14:$AA$14,1,MATCH($E3,Parameters!$X$3:$AA$3,0)))</f>
        <v>15</v>
      </c>
      <c r="BT3" s="38" t="n">
        <f aca="false">MAX(0,MIN(BR3*(1+INDEX(Response_Table!$N$4:$N$21,MATCH($F3&amp;"|low",Response_Table!$A$4:$A$21,0))*$R3*INDEX(Parameters!$X$14:$AA$14,1,MATCH($E3,Parameters!$X$3:$AA$3,0))),BR3*(1+INDEX(Response_Table!$N$4:$N$21,MATCH($F3&amp;"|high",Response_Table!$A$4:$A$21,0))*$R3*INDEX(Parameters!$X$14:$AA$14,1,MATCH($E3,Parameters!$X$3:$AA$3,0))))*(1-Inputs_General!$C$22*Parameters!$F$14))</f>
        <v>7.5975</v>
      </c>
      <c r="BU3" s="38" t="n">
        <f aca="false">MAX(BR3*(1+INDEX(Response_Table!$N$4:$N$21,MATCH($F3&amp;"|low",Response_Table!$A$4:$A$21,0))*$R3*INDEX(Parameters!$X$14:$AA$14,1,MATCH($E3,Parameters!$X$3:$AA$3,0))),BR3*(1+INDEX(Response_Table!$N$4:$N$21,MATCH($F3&amp;"|high",Response_Table!$A$4:$A$21,0))*$R3*INDEX(Parameters!$X$14:$AA$14,1,MATCH($E3,Parameters!$X$3:$AA$3,0))))*(1+Inputs_General!$C$22*Parameters!$F$14)</f>
        <v>22.4025</v>
      </c>
      <c r="BV3" s="39" t="n">
        <f aca="false">IF(BR3=0,0,BS3/BR3-1)</f>
        <v>0</v>
      </c>
      <c r="BW3" s="37" t="n">
        <f aca="false">Parameters!$E$15*IF($N3="V",Parameters!$I$15,IF($N3="F",Parameters!$J$15,Parameters!$K$15))*(1-Parameters!$L$15*$P3)*IF($D3="V1",Parameters!$M$15,IF($D3="V2",Parameters!$N$15,Parameters!$O$15))</f>
        <v>10.4</v>
      </c>
      <c r="BX3" s="37" t="n">
        <f aca="false">BW3*(1+INDEX(Response_Table!$O$4:$O$21,MATCH($F3&amp;"|mid",Response_Table!$A$4:$A$21,0))*$R3*INDEX(Parameters!$X$15:$AA$15,1,MATCH($E3,Parameters!$X$3:$AA$3,0)))</f>
        <v>10.4</v>
      </c>
      <c r="BY3" s="37" t="n">
        <f aca="false">MAX(0,MIN(BW3*(1+INDEX(Response_Table!$O$4:$O$21,MATCH($F3&amp;"|low",Response_Table!$A$4:$A$21,0))*$R3*INDEX(Parameters!$X$15:$AA$15,1,MATCH($E3,Parameters!$X$3:$AA$3,0))),BW3*(1+INDEX(Response_Table!$O$4:$O$21,MATCH($F3&amp;"|high",Response_Table!$A$4:$A$21,0))*$R3*INDEX(Parameters!$X$15:$AA$15,1,MATCH($E3,Parameters!$X$3:$AA$3,0))))*(1-Inputs_General!$C$22*Parameters!$F$15))</f>
        <v>8.34704</v>
      </c>
      <c r="BZ3" s="37" t="n">
        <f aca="false">MAX(BW3*(1+INDEX(Response_Table!$O$4:$O$21,MATCH($F3&amp;"|low",Response_Table!$A$4:$A$21,0))*$R3*INDEX(Parameters!$X$15:$AA$15,1,MATCH($E3,Parameters!$X$3:$AA$3,0))),BW3*(1+INDEX(Response_Table!$O$4:$O$21,MATCH($F3&amp;"|high",Response_Table!$A$4:$A$21,0))*$R3*INDEX(Parameters!$X$15:$AA$15,1,MATCH($E3,Parameters!$X$3:$AA$3,0))))*(1+Inputs_General!$C$22*Parameters!$F$15)</f>
        <v>12.45296</v>
      </c>
      <c r="CA3" s="39" t="n">
        <f aca="false">IF(BW3=0,0,BX3/BW3-1)</f>
        <v>0</v>
      </c>
      <c r="CB3" s="40" t="n">
        <f aca="false">BD3+BI3</f>
        <v>1.7</v>
      </c>
      <c r="CC3" s="37" t="n">
        <f aca="false">BD3/BI3</f>
        <v>2.77777777777778</v>
      </c>
      <c r="CD3" s="40" t="n">
        <f aca="false">BN3/CB3</f>
        <v>0.176470588235294</v>
      </c>
      <c r="CE3" s="37" t="n">
        <f aca="false">AE3/AO3</f>
        <v>4.32949372589439</v>
      </c>
      <c r="CF3" s="38" t="n">
        <f aca="false">AE3/AJ3</f>
        <v>40.887853155887</v>
      </c>
      <c r="CG3" s="38" t="n">
        <f aca="false">INDEX(Context!$V$4:$V$51,$K3)</f>
        <v>22.6257142857143</v>
      </c>
      <c r="CH3" s="38" t="n">
        <f aca="false">INDEX(Context!$Y$4:$Y$51,$K3)</f>
        <v>21.3177449518561</v>
      </c>
      <c r="CI3" s="38" t="n">
        <f aca="false">INDEX(Context!$Z$4:$Z$51,$K3)</f>
        <v>26.6257142857143</v>
      </c>
      <c r="CJ3" s="37" t="n">
        <f aca="false">INDEX(Context!$AA$4:$AA$51,$K3)</f>
        <v>0.2</v>
      </c>
      <c r="CK3" s="37" t="n">
        <f aca="false">MAX(0,MIN(1,1-(1-CJ3)*AO3/AN3))</f>
        <v>0.2</v>
      </c>
      <c r="CL3" s="38" t="n">
        <f aca="false">CH3+CK3*(CI3-CH3)</f>
        <v>22.3793388186277</v>
      </c>
      <c r="CM3" s="38" t="n">
        <f aca="false">CH3+MAX(0,MIN(1,1-(1-CJ3)*AQ3/AN3))*(CI3-CH3)</f>
        <v>21.3177449518561</v>
      </c>
      <c r="CN3" s="38" t="n">
        <f aca="false">CH3+MAX(0,MIN(1,1-(1-CJ3)*AP3/AN3))*(CI3-CH3)</f>
        <v>23.636690594432</v>
      </c>
      <c r="CO3" s="38" t="n">
        <f aca="false">CL3-CG3</f>
        <v>-0.24637546708659</v>
      </c>
      <c r="CP3" s="38" t="n">
        <f aca="false">CL3-(CH3+CJ3*(CI3-CH3))</f>
        <v>0</v>
      </c>
      <c r="CQ3" s="40" t="n">
        <f aca="false">CL3/CG3</f>
        <v>0.98911082037122</v>
      </c>
      <c r="CR3" s="37" t="n">
        <f aca="false">IF(CL3-CH3&lt;=0,"n/a",(CI3-CL3)/(CL3-CH3))</f>
        <v>4</v>
      </c>
      <c r="CS3" s="37" t="n">
        <f aca="false">IF(CI3-CL3&lt;=0,"n/a",(CL3-CH3)/(CI3-CL3))</f>
        <v>0.25</v>
      </c>
      <c r="CT3" s="37" t="n">
        <f aca="false">Inputs_General!$C$23+Inputs_General!$C$24*$I3</f>
        <v>0.6</v>
      </c>
      <c r="CU3" s="38" t="n">
        <f aca="false">3.29*CT3</f>
        <v>1.974</v>
      </c>
    </row>
    <row r="4" customFormat="false" ht="15" hidden="false" customHeight="false" outlineLevel="0" collapsed="false">
      <c r="A4" s="9" t="str">
        <f aca="false">B4&amp;"|"&amp;E4&amp;"|"&amp;F4</f>
        <v>D1V1|11/02/2026|Very low</v>
      </c>
      <c r="B4" s="7" t="s">
        <v>340</v>
      </c>
      <c r="C4" s="9" t="s">
        <v>127</v>
      </c>
      <c r="D4" s="9" t="s">
        <v>142</v>
      </c>
      <c r="E4" s="9" t="s">
        <v>158</v>
      </c>
      <c r="F4" s="7" t="s">
        <v>277</v>
      </c>
      <c r="G4" s="9" t="s">
        <v>278</v>
      </c>
      <c r="H4" s="41" t="n">
        <f aca="false">INDEX(Severity_Classes!$C$4:$C$9,MATCH(F4,Severity_Classes!$A$4:$A$9,0))</f>
        <v>0.01</v>
      </c>
      <c r="I4" s="41" t="n">
        <f aca="false">INDEX(Severity_Classes!$D$4:$D$9,MATCH(F4,Severity_Classes!$A$4:$A$9,0))</f>
        <v>0.03</v>
      </c>
      <c r="J4" s="41" t="n">
        <f aca="false">INDEX(Severity_Classes!$E$4:$E$9,MATCH(F4,Severity_Classes!$A$4:$A$9,0))</f>
        <v>0.05</v>
      </c>
      <c r="K4" s="42" t="n">
        <f aca="false">MATCH(B4&amp;"|"&amp;E4,Context!$A$4:$A$51,0)</f>
        <v>1</v>
      </c>
      <c r="L4" s="42" t="n">
        <f aca="false">INDEX(Context!$H$4:$H$51,K4)</f>
        <v>64</v>
      </c>
      <c r="M4" s="42" t="n">
        <f aca="false">INDEX(Context!$I$4:$I$51,K4)</f>
        <v>6</v>
      </c>
      <c r="N4" s="9" t="str">
        <f aca="false">INDEX(Context!$L$4:$L$51,K4)</f>
        <v>F</v>
      </c>
      <c r="O4" s="9" t="str">
        <f aca="false">INDEX(Context!$M$4:$M$51,K4)</f>
        <v>5th fully expanded leaf from top</v>
      </c>
      <c r="P4" s="43" t="n">
        <f aca="false">INDEX(Context!$R$4:$R$51,K4)</f>
        <v>0</v>
      </c>
      <c r="Q4" s="43" t="n">
        <f aca="false">INDEX(Context!$U$4:$U$51,K4)</f>
        <v>0.937791824040773</v>
      </c>
      <c r="R4" s="43" t="n">
        <f aca="false">INDEX(Context!$AD$4:$AD$51,K4)</f>
        <v>1</v>
      </c>
      <c r="S4" s="9" t="str">
        <f aca="false">INDEX(Context!$AI$4:$AN$51,K4,MATCH(F4,Severity_Classes!$A$4:$A$9,0))</f>
        <v>Likely</v>
      </c>
      <c r="T4" s="44" t="n">
        <f aca="false">Parameters!$E$4*IF($N4="V",Parameters!$I$4,IF($N4="F",Parameters!$J$4,Parameters!$K$4))*(1-Parameters!$L$4*$P4)*IF($D4="V1",Parameters!$M$4,IF($D4="V2",Parameters!$N$4,Parameters!$O$4))</f>
        <v>85.14</v>
      </c>
      <c r="U4" s="44" t="n">
        <f aca="false">MIN(100,T4*(1+INDEX(Response_Table!$E$4:$E$21,MATCH($F4&amp;"|mid",Response_Table!$A$4:$A$21,0))*$R4*INDEX(Parameters!$X$4:$AA$4,1,MATCH($E4,Parameters!$X$3:$AA$3,0))))</f>
        <v>84.956466307253</v>
      </c>
      <c r="V4" s="44" t="n">
        <f aca="false">MAX(0,MIN(T4*(1+INDEX(Response_Table!$E$4:$E$21,MATCH($F4&amp;"|low",Response_Table!$A$4:$A$21,0))*$R4*INDEX(Parameters!$X$4:$AA$4,1,MATCH($E4,Parameters!$X$3:$AA$3,0))),T4*(1+INDEX(Response_Table!$E$4:$E$21,MATCH($F4&amp;"|high",Response_Table!$A$4:$A$21,0))*$R4*INDEX(Parameters!$X$4:$AA$4,1,MATCH($E4,Parameters!$X$3:$AA$3,0))))*(1-Inputs_General!$C$22*Parameters!$F$4))</f>
        <v>79.2293875570156</v>
      </c>
      <c r="W4" s="44" t="n">
        <f aca="false">MIN(100,MAX(T4*(1+INDEX(Response_Table!$E$4:$E$21,MATCH($F4&amp;"|low",Response_Table!$A$4:$A$21,0))*$R4*INDEX(Parameters!$X$4:$AA$4,1,MATCH($E4,Parameters!$X$3:$AA$3,0))),T4*(1+INDEX(Response_Table!$E$4:$E$21,MATCH($F4&amp;"|high",Response_Table!$A$4:$A$21,0))*$R4*INDEX(Parameters!$X$4:$AA$4,1,MATCH($E4,Parameters!$X$3:$AA$3,0))))*(1+Inputs_General!$C$22*Parameters!$F$4))</f>
        <v>90.6817576289751</v>
      </c>
      <c r="X4" s="45" t="n">
        <f aca="false">IF(T4=0,0,U4/T4-1)</f>
        <v>-0.00215566940036438</v>
      </c>
      <c r="Y4" s="44" t="n">
        <f aca="false">Parameters!$E$5*IF($N4="V",Parameters!$I$5,IF($N4="F",Parameters!$J$5,Parameters!$K$5))*(1-Parameters!$L$5*$P4)*IF($D4="V1",Parameters!$M$5,IF($D4="V2",Parameters!$N$5,Parameters!$O$5))</f>
        <v>70.56</v>
      </c>
      <c r="Z4" s="44" t="n">
        <f aca="false">MIN(100,Y4*(1+INDEX(Response_Table!$F$4:$F$21,MATCH($F4&amp;"|mid",Response_Table!$A$4:$A$21,0))*$R4*INDEX(Parameters!$X$5:$AA$5,1,MATCH($E4,Parameters!$X$3:$AA$3,0))))</f>
        <v>70.0744505098106</v>
      </c>
      <c r="AA4" s="44" t="n">
        <f aca="false">MAX(0,MIN(Y4*(1+INDEX(Response_Table!$F$4:$F$21,MATCH($F4&amp;"|low",Response_Table!$A$4:$A$21,0))*$R4*INDEX(Parameters!$X$5:$AA$5,1,MATCH($E4,Parameters!$X$3:$AA$3,0))),Y4*(1+INDEX(Response_Table!$F$4:$F$21,MATCH($F4&amp;"|high",Response_Table!$A$4:$A$21,0))*$R4*INDEX(Parameters!$X$5:$AA$5,1,MATCH($E4,Parameters!$X$3:$AA$3,0))))*(1-Inputs_General!$C$22*Parameters!$F$5))</f>
        <v>61.6515232313928</v>
      </c>
      <c r="AB4" s="44" t="n">
        <f aca="false">MIN(100,MAX(Y4*(1+INDEX(Response_Table!$F$4:$F$21,MATCH($F4&amp;"|low",Response_Table!$A$4:$A$21,0))*$R4*INDEX(Parameters!$X$5:$AA$5,1,MATCH($E4,Parameters!$X$3:$AA$3,0))),Y4*(1+INDEX(Response_Table!$F$4:$F$21,MATCH($F4&amp;"|high",Response_Table!$A$4:$A$21,0))*$R4*INDEX(Parameters!$X$5:$AA$5,1,MATCH($E4,Parameters!$X$3:$AA$3,0))))*(1+Inputs_General!$C$22*Parameters!$F$5))</f>
        <v>78.5199463766233</v>
      </c>
      <c r="AC4" s="45" t="n">
        <f aca="false">IF(Y4=0,0,Z4/Y4-1)</f>
        <v>-0.00688137032581326</v>
      </c>
      <c r="AD4" s="44" t="n">
        <f aca="false">Parameters!$E$6*IF($N4="V",Parameters!$I$6,IF($N4="F",Parameters!$J$6,Parameters!$K$6))*(1-Parameters!$L$6*$P4)*IF($D4="V1",Parameters!$M$6,IF($D4="V2",Parameters!$N$6,Parameters!$O$6))</f>
        <v>19</v>
      </c>
      <c r="AE4" s="44" t="n">
        <f aca="false">AD4*(1+INDEX(Response_Table!$G$4:$G$21,MATCH($F4&amp;"|mid",Response_Table!$A$4:$A$21,0))*$R4*INDEX(Parameters!$X$6:$AA$6,1,MATCH($E4,Parameters!$X$3:$AA$3,0)))</f>
        <v>17.5902873439049</v>
      </c>
      <c r="AF4" s="44" t="n">
        <f aca="false">MAX(0,MIN(AD4*(1+INDEX(Response_Table!$G$4:$G$21,MATCH($F4&amp;"|low",Response_Table!$A$4:$A$21,0))*$R4*INDEX(Parameters!$X$6:$AA$6,1,MATCH($E4,Parameters!$X$3:$AA$3,0))),AD4*(1+INDEX(Response_Table!$G$4:$G$21,MATCH($F4&amp;"|high",Response_Table!$A$4:$A$21,0))*$R4*INDEX(Parameters!$X$6:$AA$6,1,MATCH($E4,Parameters!$X$3:$AA$3,0))))*(1-Inputs_General!$C$22*Parameters!$F$6))</f>
        <v>13.4425180945894</v>
      </c>
      <c r="AG4" s="44" t="n">
        <f aca="false">MAX(AD4*(1+INDEX(Response_Table!$G$4:$G$21,MATCH($F4&amp;"|low",Response_Table!$A$4:$A$21,0))*$R4*INDEX(Parameters!$X$6:$AA$6,1,MATCH($E4,Parameters!$X$3:$AA$3,0))),AD4*(1+INDEX(Response_Table!$G$4:$G$21,MATCH($F4&amp;"|high",Response_Table!$A$4:$A$21,0))*$R4*INDEX(Parameters!$X$6:$AA$6,1,MATCH($E4,Parameters!$X$3:$AA$3,0))))*(1+Inputs_General!$C$22*Parameters!$F$6)</f>
        <v>22.1630060229318</v>
      </c>
      <c r="AH4" s="45" t="n">
        <f aca="false">IF(AD4=0,0,AE4/AD4-1)</f>
        <v>-0.074195402952376</v>
      </c>
      <c r="AI4" s="46" t="n">
        <f aca="false">Parameters!$E$7*IF($N4="V",Parameters!$I$7,IF($N4="F",Parameters!$J$7,Parameters!$K$7))*(1-Parameters!$L$7*$P4)*IF($D4="V1",Parameters!$M$7,IF($D4="V2",Parameters!$N$7,Parameters!$O$7))*POWER($Q4/Inputs_General!$C$26,-Inputs_General!$C$25)</f>
        <v>0.464685683730118</v>
      </c>
      <c r="AJ4" s="46" t="n">
        <f aca="false">AI4*(1+INDEX(Response_Table!$H$4:$H$21,MATCH($F4&amp;"|mid",Response_Table!$A$4:$A$21,0))*$R4*INDEX(Parameters!$X$7:$AA$7,1,MATCH($E4,Parameters!$X$3:$AA$3,0)))</f>
        <v>0.443888311799676</v>
      </c>
      <c r="AK4" s="46" t="n">
        <f aca="false">MAX(0,MIN(AI4*(1+INDEX(Response_Table!$H$4:$H$21,MATCH($F4&amp;"|low",Response_Table!$A$4:$A$21,0))*$R4*INDEX(Parameters!$X$7:$AA$7,1,MATCH($E4,Parameters!$X$3:$AA$3,0))),AI4*(1+INDEX(Response_Table!$H$4:$H$21,MATCH($F4&amp;"|high",Response_Table!$A$4:$A$21,0))*$R4*INDEX(Parameters!$X$7:$AA$7,1,MATCH($E4,Parameters!$X$3:$AA$3,0))))*(1-Inputs_General!$C$22*Parameters!$F$7))</f>
        <v>0.303400355049387</v>
      </c>
      <c r="AL4" s="46" t="n">
        <f aca="false">MAX(AI4*(1+INDEX(Response_Table!$H$4:$H$21,MATCH($F4&amp;"|low",Response_Table!$A$4:$A$21,0))*$R4*INDEX(Parameters!$X$7:$AA$7,1,MATCH($E4,Parameters!$X$3:$AA$3,0))),AI4*(1+INDEX(Response_Table!$H$4:$H$21,MATCH($F4&amp;"|high",Response_Table!$A$4:$A$21,0))*$R4*INDEX(Parameters!$X$7:$AA$7,1,MATCH($E4,Parameters!$X$3:$AA$3,0))))*(1+Inputs_General!$C$22*Parameters!$F$7)</f>
        <v>0.593023094980159</v>
      </c>
      <c r="AM4" s="45" t="n">
        <f aca="false">IF(AI4=0,0,AJ4/AI4-1)</f>
        <v>-0.0447557836589614</v>
      </c>
      <c r="AN4" s="43" t="n">
        <f aca="false">AI4*$Q4/Inputs_General!$C$13*1000</f>
        <v>4.38850387664553</v>
      </c>
      <c r="AO4" s="43" t="n">
        <f aca="false">AJ4*$Q4/Inputs_General!$C$13*1000*(1+Inputs_General!$C$21*$I4)</f>
        <v>4.22353364365504</v>
      </c>
      <c r="AP4" s="43" t="n">
        <f aca="false">AK4*$Q4/Inputs_General!$C$13*1000*(1+Inputs_General!$C$21*$H4)</f>
        <v>2.87248427298412</v>
      </c>
      <c r="AQ4" s="43" t="n">
        <f aca="false">AL4*$Q4/Inputs_General!$C$13*1000*(1+Inputs_General!$C$21*$J4)</f>
        <v>5.67053235210467</v>
      </c>
      <c r="AR4" s="45" t="n">
        <f aca="false">IF(AN4=0,0,AO4/AN4-1)</f>
        <v>-0.0375914520364035</v>
      </c>
      <c r="AS4" s="42" t="n">
        <f aca="false">Parameters!$E$9*IF($N4="V",Parameters!$I$9,IF($N4="F",Parameters!$J$9,Parameters!$K$9))*(1-Parameters!$L$9*$P4)*IF($D4="V1",Parameters!$M$9,IF($D4="V2",Parameters!$N$9,Parameters!$O$9))</f>
        <v>285</v>
      </c>
      <c r="AT4" s="42" t="n">
        <f aca="false">AS4*(1+INDEX(Response_Table!$I$4:$I$21,MATCH($F4&amp;"|mid",Response_Table!$A$4:$A$21,0))*$R4*INDEX(Parameters!$X$9:$AA$9,1,MATCH($E4,Parameters!$X$3:$AA$3,0)))</f>
        <v>292.734642128546</v>
      </c>
      <c r="AU4" s="42" t="n">
        <f aca="false">MAX(0,MIN(AS4*(1+INDEX(Response_Table!$I$4:$I$21,MATCH($F4&amp;"|low",Response_Table!$A$4:$A$21,0))*$R4*INDEX(Parameters!$X$9:$AA$9,1,MATCH($E4,Parameters!$X$3:$AA$3,0))),AS4*(1+INDEX(Response_Table!$I$4:$I$21,MATCH($F4&amp;"|high",Response_Table!$A$4:$A$21,0))*$R4*INDEX(Parameters!$X$9:$AA$9,1,MATCH($E4,Parameters!$X$3:$AA$3,0))))*(1-Inputs_General!$C$22*Parameters!$F$9))</f>
        <v>259.287788728854</v>
      </c>
      <c r="AV4" s="42" t="n">
        <f aca="false">MAX(AS4*(1+INDEX(Response_Table!$I$4:$I$21,MATCH($F4&amp;"|low",Response_Table!$A$4:$A$21,0))*$R4*INDEX(Parameters!$X$9:$AA$9,1,MATCH($E4,Parameters!$X$3:$AA$3,0))),AS4*(1+INDEX(Response_Table!$I$4:$I$21,MATCH($F4&amp;"|high",Response_Table!$A$4:$A$21,0))*$R4*INDEX(Parameters!$X$9:$AA$9,1,MATCH($E4,Parameters!$X$3:$AA$3,0))))*(1+Inputs_General!$C$22*Parameters!$F$9)</f>
        <v>326.752079676976</v>
      </c>
      <c r="AW4" s="45" t="n">
        <f aca="false">IF(AS4=0,0,AT4/AS4-1)</f>
        <v>0.0271390951878823</v>
      </c>
      <c r="AX4" s="43" t="n">
        <f aca="false">INDEX(Context!$AB$4:$AB$51,$K4)</f>
        <v>2.55066767693214</v>
      </c>
      <c r="AY4" s="43" t="n">
        <f aca="false">AX4*(1+INDEX(Response_Table!$J$4:$J$21,MATCH($F4&amp;"|mid",Response_Table!$A$4:$A$21,0))*$R4*INDEX(Parameters!$X$10:$AA$10,1,MATCH($E4,Parameters!$X$3:$AA$3,0)))</f>
        <v>2.50919964731149</v>
      </c>
      <c r="AZ4" s="43" t="n">
        <f aca="false">MAX(0,MIN(AX4*(1+INDEX(Response_Table!$J$4:$J$21,MATCH($F4&amp;"|low",Response_Table!$A$4:$A$21,0))*$R4*INDEX(Parameters!$X$10:$AA$10,1,MATCH($E4,Parameters!$X$3:$AA$3,0))),AX4*(1+INDEX(Response_Table!$J$4:$J$21,MATCH($F4&amp;"|high",Response_Table!$A$4:$A$21,0))*$R4*INDEX(Parameters!$X$10:$AA$10,1,MATCH($E4,Parameters!$X$3:$AA$3,0))))*(1-Inputs_General!$C$22*Parameters!$F$10))</f>
        <v>1.99304250291148</v>
      </c>
      <c r="BA4" s="43" t="n">
        <f aca="false">MAX(AX4*(1+INDEX(Response_Table!$J$4:$J$21,MATCH($F4&amp;"|low",Response_Table!$A$4:$A$21,0))*$R4*INDEX(Parameters!$X$10:$AA$10,1,MATCH($E4,Parameters!$X$3:$AA$3,0))),AX4*(1+INDEX(Response_Table!$J$4:$J$21,MATCH($F4&amp;"|high",Response_Table!$A$4:$A$21,0))*$R4*INDEX(Parameters!$X$10:$AA$10,1,MATCH($E4,Parameters!$X$3:$AA$3,0))))*(1+Inputs_General!$C$22*Parameters!$F$10)</f>
        <v>3.03720274092192</v>
      </c>
      <c r="BB4" s="45" t="n">
        <f aca="false">IF(AX4=0,0,AY4/AX4-1)</f>
        <v>-0.0162577155760756</v>
      </c>
      <c r="BC4" s="46" t="n">
        <f aca="false">Parameters!$E$11*IF($N4="V",Parameters!$I$11,IF($N4="F",Parameters!$J$11,Parameters!$K$11))*(1-Parameters!$L$11*$P4)*IF($D4="V1",Parameters!$M$11,IF($D4="V2",Parameters!$N$11,Parameters!$O$11))</f>
        <v>1.25</v>
      </c>
      <c r="BD4" s="46" t="n">
        <f aca="false">BC4*(1+INDEX(Response_Table!$K$4:$K$21,MATCH($F4&amp;"|mid",Response_Table!$A$4:$A$21,0))*$R4*INDEX(Parameters!$X$11:$AA$11,1,MATCH($E4,Parameters!$X$3:$AA$3,0)))</f>
        <v>1.21281350652791</v>
      </c>
      <c r="BE4" s="46" t="n">
        <f aca="false">MAX(0,MIN(BC4*(1+INDEX(Response_Table!$K$4:$K$21,MATCH($F4&amp;"|low",Response_Table!$A$4:$A$21,0))*$R4*INDEX(Parameters!$X$11:$AA$11,1,MATCH($E4,Parameters!$X$3:$AA$3,0))),BC4*(1+INDEX(Response_Table!$K$4:$K$21,MATCH($F4&amp;"|high",Response_Table!$A$4:$A$21,0))*$R4*INDEX(Parameters!$X$11:$AA$11,1,MATCH($E4,Parameters!$X$3:$AA$3,0))))*(1-Inputs_General!$C$22*Parameters!$F$11))</f>
        <v>0.994189367620516</v>
      </c>
      <c r="BF4" s="46" t="n">
        <f aca="false">MAX(BC4*(1+INDEX(Response_Table!$K$4:$K$21,MATCH($F4&amp;"|low",Response_Table!$A$4:$A$21,0))*$R4*INDEX(Parameters!$X$11:$AA$11,1,MATCH($E4,Parameters!$X$3:$AA$3,0))),BC4*(1+INDEX(Response_Table!$K$4:$K$21,MATCH($F4&amp;"|high",Response_Table!$A$4:$A$21,0))*$R4*INDEX(Parameters!$X$11:$AA$11,1,MATCH($E4,Parameters!$X$3:$AA$3,0))))*(1+Inputs_General!$C$22*Parameters!$F$11)</f>
        <v>1.44072615290019</v>
      </c>
      <c r="BG4" s="45" t="n">
        <f aca="false">IF(BC4=0,0,BD4/BC4-1)</f>
        <v>-0.0297491947776705</v>
      </c>
      <c r="BH4" s="46" t="n">
        <f aca="false">Parameters!$E$12*IF($N4="V",Parameters!$I$12,IF($N4="F",Parameters!$J$12,Parameters!$K$12))*(1-Parameters!$L$12*$P4)*IF($D4="V1",Parameters!$M$12,IF($D4="V2",Parameters!$N$12,Parameters!$O$12))</f>
        <v>0.45</v>
      </c>
      <c r="BI4" s="46" t="n">
        <f aca="false">BH4*(1+INDEX(Response_Table!$L$4:$L$21,MATCH($F4&amp;"|mid",Response_Table!$A$4:$A$21,0))*$R4*INDEX(Parameters!$X$12:$AA$12,1,MATCH($E4,Parameters!$X$3:$AA$3,0)))</f>
        <v>0.439348984177315</v>
      </c>
      <c r="BJ4" s="46" t="n">
        <f aca="false">MAX(0,MIN(BH4*(1+INDEX(Response_Table!$L$4:$L$21,MATCH($F4&amp;"|low",Response_Table!$A$4:$A$21,0))*$R4*INDEX(Parameters!$X$12:$AA$12,1,MATCH($E4,Parameters!$X$3:$AA$3,0))),BH4*(1+INDEX(Response_Table!$L$4:$L$21,MATCH($F4&amp;"|high",Response_Table!$A$4:$A$21,0))*$R4*INDEX(Parameters!$X$12:$AA$12,1,MATCH($E4,Parameters!$X$3:$AA$3,0))))*(1-Inputs_General!$C$22*Parameters!$F$12))</f>
        <v>0.347335272457496</v>
      </c>
      <c r="BK4" s="46" t="n">
        <f aca="false">MAX(BH4*(1+INDEX(Response_Table!$L$4:$L$21,MATCH($F4&amp;"|low",Response_Table!$A$4:$A$21,0))*$R4*INDEX(Parameters!$X$12:$AA$12,1,MATCH($E4,Parameters!$X$3:$AA$3,0))),BH4*(1+INDEX(Response_Table!$L$4:$L$21,MATCH($F4&amp;"|high",Response_Table!$A$4:$A$21,0))*$R4*INDEX(Parameters!$X$12:$AA$12,1,MATCH($E4,Parameters!$X$3:$AA$3,0))))*(1+Inputs_General!$C$22*Parameters!$F$12)</f>
        <v>0.534450670881534</v>
      </c>
      <c r="BL4" s="45" t="n">
        <f aca="false">IF(BH4=0,0,BI4/BH4-1)</f>
        <v>-0.0236689240504122</v>
      </c>
      <c r="BM4" s="46" t="n">
        <f aca="false">Parameters!$E$13*IF($N4="V",Parameters!$I$13,IF($N4="F",Parameters!$J$13,Parameters!$K$13))*(1-Parameters!$L$13*$P4)*IF($D4="V1",Parameters!$M$13,IF($D4="V2",Parameters!$N$13,Parameters!$O$13))</f>
        <v>0.3</v>
      </c>
      <c r="BN4" s="46" t="n">
        <f aca="false">BM4*(1+INDEX(Response_Table!$M$4:$M$21,MATCH($F4&amp;"|mid",Response_Table!$A$4:$A$21,0))*$R4*INDEX(Parameters!$X$13:$AA$13,1,MATCH($E4,Parameters!$X$3:$AA$3,0)))</f>
        <v>0.303897758299891</v>
      </c>
      <c r="BO4" s="46" t="n">
        <f aca="false">MAX(0,MIN(BM4*(1+INDEX(Response_Table!$M$4:$M$21,MATCH($F4&amp;"|low",Response_Table!$A$4:$A$21,0))*$R4*INDEX(Parameters!$X$13:$AA$13,1,MATCH($E4,Parameters!$X$3:$AA$3,0))),BM4*(1+INDEX(Response_Table!$M$4:$M$21,MATCH($F4&amp;"|high",Response_Table!$A$4:$A$21,0))*$R4*INDEX(Parameters!$X$13:$AA$13,1,MATCH($E4,Parameters!$X$3:$AA$3,0))))*(1-Inputs_General!$C$22*Parameters!$F$13))</f>
        <v>0.242317891299084</v>
      </c>
      <c r="BP4" s="46" t="n">
        <f aca="false">MAX(BM4*(1+INDEX(Response_Table!$M$4:$M$21,MATCH($F4&amp;"|low",Response_Table!$A$4:$A$21,0))*$R4*INDEX(Parameters!$X$13:$AA$13,1,MATCH($E4,Parameters!$X$3:$AA$3,0))),BM4*(1+INDEX(Response_Table!$M$4:$M$21,MATCH($F4&amp;"|high",Response_Table!$A$4:$A$21,0))*$R4*INDEX(Parameters!$X$13:$AA$13,1,MATCH($E4,Parameters!$X$3:$AA$3,0))))*(1+Inputs_General!$C$22*Parameters!$F$13)</f>
        <v>0.364019045229804</v>
      </c>
      <c r="BQ4" s="45" t="n">
        <f aca="false">IF(BM4=0,0,BN4/BM4-1)</f>
        <v>0.0129925276663028</v>
      </c>
      <c r="BR4" s="44" t="n">
        <f aca="false">Parameters!$E$14*IF($N4="V",Parameters!$I$14,IF($N4="F",Parameters!$J$14,Parameters!$K$14))*(1-Parameters!$L$14*$P4)*IF($D4="V1",Parameters!$M$14,IF($D4="V2",Parameters!$N$14,Parameters!$O$14))*INDEX(Context!$AC$4:$AC$51,$K4)</f>
        <v>15</v>
      </c>
      <c r="BS4" s="44" t="n">
        <f aca="false">BR4*(1+INDEX(Response_Table!$N$4:$N$21,MATCH($F4&amp;"|mid",Response_Table!$A$4:$A$21,0))*$R4*INDEX(Parameters!$X$14:$AA$14,1,MATCH($E4,Parameters!$X$3:$AA$3,0)))</f>
        <v>15.3873096662795</v>
      </c>
      <c r="BT4" s="44" t="n">
        <f aca="false">MAX(0,MIN(BR4*(1+INDEX(Response_Table!$N$4:$N$21,MATCH($F4&amp;"|low",Response_Table!$A$4:$A$21,0))*$R4*INDEX(Parameters!$X$14:$AA$14,1,MATCH($E4,Parameters!$X$3:$AA$3,0))),BR4*(1+INDEX(Response_Table!$N$4:$N$21,MATCH($F4&amp;"|high",Response_Table!$A$4:$A$21,0))*$R4*INDEX(Parameters!$X$14:$AA$14,1,MATCH($E4,Parameters!$X$3:$AA$3,0))))*(1-Inputs_General!$C$22*Parameters!$F$14))</f>
        <v>7.66486201765956</v>
      </c>
      <c r="BU4" s="44" t="n">
        <f aca="false">MAX(BR4*(1+INDEX(Response_Table!$N$4:$N$21,MATCH($F4&amp;"|low",Response_Table!$A$4:$A$21,0))*$R4*INDEX(Parameters!$X$14:$AA$14,1,MATCH($E4,Parameters!$X$3:$AA$3,0))),BR4*(1+INDEX(Response_Table!$N$4:$N$21,MATCH($F4&amp;"|high",Response_Table!$A$4:$A$21,0))*$R4*INDEX(Parameters!$X$14:$AA$14,1,MATCH($E4,Parameters!$X$3:$AA$3,0))))*(1+Inputs_General!$C$22*Parameters!$F$14)</f>
        <v>23.3386468674413</v>
      </c>
      <c r="BV4" s="45" t="n">
        <f aca="false">IF(BR4=0,0,BS4/BR4-1)</f>
        <v>0.0258206444186315</v>
      </c>
      <c r="BW4" s="43" t="n">
        <f aca="false">Parameters!$E$15*IF($N4="V",Parameters!$I$15,IF($N4="F",Parameters!$J$15,Parameters!$K$15))*(1-Parameters!$L$15*$P4)*IF($D4="V1",Parameters!$M$15,IF($D4="V2",Parameters!$N$15,Parameters!$O$15))</f>
        <v>10.4</v>
      </c>
      <c r="BX4" s="43" t="n">
        <f aca="false">BW4*(1+INDEX(Response_Table!$O$4:$O$21,MATCH($F4&amp;"|mid",Response_Table!$A$4:$A$21,0))*$R4*INDEX(Parameters!$X$15:$AA$15,1,MATCH($E4,Parameters!$X$3:$AA$3,0)))</f>
        <v>10.3328663245116</v>
      </c>
      <c r="BY4" s="43" t="n">
        <f aca="false">MAX(0,MIN(BW4*(1+INDEX(Response_Table!$O$4:$O$21,MATCH($F4&amp;"|low",Response_Table!$A$4:$A$21,0))*$R4*INDEX(Parameters!$X$15:$AA$15,1,MATCH($E4,Parameters!$X$3:$AA$3,0))),BW4*(1+INDEX(Response_Table!$O$4:$O$21,MATCH($F4&amp;"|high",Response_Table!$A$4:$A$21,0))*$R4*INDEX(Parameters!$X$15:$AA$15,1,MATCH($E4,Parameters!$X$3:$AA$3,0))))*(1-Inputs_General!$C$22*Parameters!$F$15))</f>
        <v>8.25983929306543</v>
      </c>
      <c r="BZ4" s="43" t="n">
        <f aca="false">MAX(BW4*(1+INDEX(Response_Table!$O$4:$O$21,MATCH($F4&amp;"|low",Response_Table!$A$4:$A$21,0))*$R4*INDEX(Parameters!$X$15:$AA$15,1,MATCH($E4,Parameters!$X$3:$AA$3,0))),BW4*(1+INDEX(Response_Table!$O$4:$O$21,MATCH($F4&amp;"|high",Response_Table!$A$4:$A$21,0))*$R4*INDEX(Parameters!$X$15:$AA$15,1,MATCH($E4,Parameters!$X$3:$AA$3,0))))*(1+Inputs_General!$C$22*Parameters!$F$15)</f>
        <v>12.4253569558594</v>
      </c>
      <c r="CA4" s="45" t="n">
        <f aca="false">IF(BW4=0,0,BX4/BW4-1)</f>
        <v>-0.00645516110465794</v>
      </c>
      <c r="CB4" s="46" t="n">
        <f aca="false">BD4+BI4</f>
        <v>1.65216249070523</v>
      </c>
      <c r="CC4" s="43" t="n">
        <f aca="false">BD4/BI4</f>
        <v>2.7604786859788</v>
      </c>
      <c r="CD4" s="46" t="n">
        <f aca="false">BN4/CB4</f>
        <v>0.183939388534461</v>
      </c>
      <c r="CE4" s="43" t="n">
        <f aca="false">AE4/AO4</f>
        <v>4.16482709219815</v>
      </c>
      <c r="CF4" s="44" t="n">
        <f aca="false">AE4/AJ4</f>
        <v>39.6277326442496</v>
      </c>
      <c r="CG4" s="44" t="n">
        <f aca="false">INDEX(Context!$V$4:$V$51,$K4)</f>
        <v>22.6257142857143</v>
      </c>
      <c r="CH4" s="44" t="n">
        <f aca="false">INDEX(Context!$Y$4:$Y$51,$K4)</f>
        <v>21.3177449518561</v>
      </c>
      <c r="CI4" s="44" t="n">
        <f aca="false">INDEX(Context!$Z$4:$Z$51,$K4)</f>
        <v>26.6257142857143</v>
      </c>
      <c r="CJ4" s="43" t="n">
        <f aca="false">INDEX(Context!$AA$4:$AA$51,$K4)</f>
        <v>0.2</v>
      </c>
      <c r="CK4" s="43" t="n">
        <f aca="false">MAX(0,MIN(1,1-(1-CJ4)*AO4/AN4))</f>
        <v>0.230073161629123</v>
      </c>
      <c r="CL4" s="44" t="n">
        <f aca="false">CH4+CK4*(CI4-CH4)</f>
        <v>22.5389662383272</v>
      </c>
      <c r="CM4" s="44" t="n">
        <f aca="false">CH4+MAX(0,MIN(1,1-(1-CJ4)*AQ4/AN4))*(CI4-CH4)</f>
        <v>21.3177449518561</v>
      </c>
      <c r="CN4" s="44" t="n">
        <f aca="false">CH4+MAX(0,MIN(1,1-(1-CJ4)*AP4/AN4))*(CI4-CH4)</f>
        <v>23.8462598089154</v>
      </c>
      <c r="CO4" s="44" t="n">
        <f aca="false">CL4-CG4</f>
        <v>-0.0867480473870437</v>
      </c>
      <c r="CP4" s="44" t="n">
        <f aca="false">CL4-(CH4+CJ4*(CI4-CH4))</f>
        <v>0.159627419699547</v>
      </c>
      <c r="CQ4" s="46" t="n">
        <f aca="false">CL4/CG4</f>
        <v>0.996165953202997</v>
      </c>
      <c r="CR4" s="43" t="n">
        <f aca="false">IF(CL4-CH4&lt;=0,"n/a",(CI4-CL4)/(CL4-CH4))</f>
        <v>3.34644350918251</v>
      </c>
      <c r="CS4" s="43" t="n">
        <f aca="false">IF(CI4-CL4&lt;=0,"n/a",(CL4-CH4)/(CI4-CL4))</f>
        <v>0.298824706664266</v>
      </c>
      <c r="CT4" s="43" t="n">
        <f aca="false">Inputs_General!$C$23+Inputs_General!$C$24*$I4</f>
        <v>0.66</v>
      </c>
      <c r="CU4" s="44" t="n">
        <f aca="false">3.29*CT4</f>
        <v>2.1714</v>
      </c>
    </row>
    <row r="5" customFormat="false" ht="15" hidden="false" customHeight="false" outlineLevel="0" collapsed="false">
      <c r="A5" s="9" t="str">
        <f aca="false">B5&amp;"|"&amp;E5&amp;"|"&amp;F5</f>
        <v>D1V1|11/02/2026|Low</v>
      </c>
      <c r="B5" s="7" t="s">
        <v>340</v>
      </c>
      <c r="C5" s="9" t="s">
        <v>127</v>
      </c>
      <c r="D5" s="9" t="s">
        <v>142</v>
      </c>
      <c r="E5" s="9" t="s">
        <v>158</v>
      </c>
      <c r="F5" s="7" t="s">
        <v>279</v>
      </c>
      <c r="G5" s="9" t="s">
        <v>280</v>
      </c>
      <c r="H5" s="41" t="n">
        <f aca="false">INDEX(Severity_Classes!$C$4:$C$9,MATCH(F5,Severity_Classes!$A$4:$A$9,0))</f>
        <v>0.06</v>
      </c>
      <c r="I5" s="41" t="n">
        <f aca="false">INDEX(Severity_Classes!$D$4:$D$9,MATCH(F5,Severity_Classes!$A$4:$A$9,0))</f>
        <v>0.08</v>
      </c>
      <c r="J5" s="41" t="n">
        <f aca="false">INDEX(Severity_Classes!$E$4:$E$9,MATCH(F5,Severity_Classes!$A$4:$A$9,0))</f>
        <v>0.1</v>
      </c>
      <c r="K5" s="42" t="n">
        <f aca="false">MATCH(B5&amp;"|"&amp;E5,Context!$A$4:$A$51,0)</f>
        <v>1</v>
      </c>
      <c r="L5" s="42" t="n">
        <f aca="false">INDEX(Context!$H$4:$H$51,K5)</f>
        <v>64</v>
      </c>
      <c r="M5" s="42" t="n">
        <f aca="false">INDEX(Context!$I$4:$I$51,K5)</f>
        <v>6</v>
      </c>
      <c r="N5" s="9" t="str">
        <f aca="false">INDEX(Context!$L$4:$L$51,K5)</f>
        <v>F</v>
      </c>
      <c r="O5" s="9" t="str">
        <f aca="false">INDEX(Context!$M$4:$M$51,K5)</f>
        <v>5th fully expanded leaf from top</v>
      </c>
      <c r="P5" s="43" t="n">
        <f aca="false">INDEX(Context!$R$4:$R$51,K5)</f>
        <v>0</v>
      </c>
      <c r="Q5" s="43" t="n">
        <f aca="false">INDEX(Context!$U$4:$U$51,K5)</f>
        <v>0.937791824040773</v>
      </c>
      <c r="R5" s="43" t="n">
        <f aca="false">INDEX(Context!$AD$4:$AD$51,K5)</f>
        <v>1</v>
      </c>
      <c r="S5" s="9" t="str">
        <f aca="false">INDEX(Context!$AI$4:$AN$51,K5,MATCH(F5,Severity_Classes!$A$4:$A$9,0))</f>
        <v>Likely</v>
      </c>
      <c r="T5" s="44" t="n">
        <f aca="false">Parameters!$E$4*IF($N5="V",Parameters!$I$4,IF($N5="F",Parameters!$J$4,Parameters!$K$4))*(1-Parameters!$L$4*$P5)*IF($D5="V1",Parameters!$M$4,IF($D5="V2",Parameters!$N$4,Parameters!$O$4))</f>
        <v>85.14</v>
      </c>
      <c r="U5" s="44" t="n">
        <f aca="false">MIN(100,T5*(1+INDEX(Response_Table!$E$4:$E$21,MATCH($F5&amp;"|mid",Response_Table!$A$4:$A$21,0))*$R5*INDEX(Parameters!$X$4:$AA$4,1,MATCH($E5,Parameters!$X$3:$AA$3,0))))</f>
        <v>84.5474841252874</v>
      </c>
      <c r="V5" s="44" t="n">
        <f aca="false">MAX(0,MIN(T5*(1+INDEX(Response_Table!$E$4:$E$21,MATCH($F5&amp;"|low",Response_Table!$A$4:$A$21,0))*$R5*INDEX(Parameters!$X$4:$AA$4,1,MATCH($E5,Parameters!$X$3:$AA$3,0))),T5*(1+INDEX(Response_Table!$E$4:$E$21,MATCH($F5&amp;"|high",Response_Table!$A$4:$A$21,0))*$R5*INDEX(Parameters!$X$4:$AA$4,1,MATCH($E5,Parameters!$X$3:$AA$3,0))))*(1-Inputs_General!$C$22*Parameters!$F$4))</f>
        <v>78.7908634593467</v>
      </c>
      <c r="W5" s="44" t="n">
        <f aca="false">MIN(100,MAX(T5*(1+INDEX(Response_Table!$E$4:$E$21,MATCH($F5&amp;"|low",Response_Table!$A$4:$A$21,0))*$R5*INDEX(Parameters!$X$4:$AA$4,1,MATCH($E5,Parameters!$X$3:$AA$3,0))),T5*(1+INDEX(Response_Table!$E$4:$E$21,MATCH($F5&amp;"|high",Response_Table!$A$4:$A$21,0))*$R5*INDEX(Parameters!$X$4:$AA$4,1,MATCH($E5,Parameters!$X$3:$AA$3,0))))*(1+Inputs_General!$C$22*Parameters!$F$4))</f>
        <v>90.30352829373</v>
      </c>
      <c r="X5" s="45" t="n">
        <f aca="false">IF(T5=0,0,U5/T5-1)</f>
        <v>-0.00695931259939653</v>
      </c>
      <c r="Y5" s="44" t="n">
        <f aca="false">Parameters!$E$5*IF($N5="V",Parameters!$I$5,IF($N5="F",Parameters!$J$5,Parameters!$K$5))*(1-Parameters!$L$5*$P5)*IF($D5="V1",Parameters!$M$5,IF($D5="V2",Parameters!$N$5,Parameters!$O$5))</f>
        <v>70.56</v>
      </c>
      <c r="Z5" s="44" t="n">
        <f aca="false">MIN(100,Y5*(1+INDEX(Response_Table!$F$4:$F$21,MATCH($F5&amp;"|mid",Response_Table!$A$4:$A$21,0))*$R5*INDEX(Parameters!$X$5:$AA$5,1,MATCH($E5,Parameters!$X$3:$AA$3,0))))</f>
        <v>68.9389151315969</v>
      </c>
      <c r="AA5" s="44" t="n">
        <f aca="false">MAX(0,MIN(Y5*(1+INDEX(Response_Table!$F$4:$F$21,MATCH($F5&amp;"|low",Response_Table!$A$4:$A$21,0))*$R5*INDEX(Parameters!$X$5:$AA$5,1,MATCH($E5,Parameters!$X$3:$AA$3,0))),Y5*(1+INDEX(Response_Table!$F$4:$F$21,MATCH($F5&amp;"|high",Response_Table!$A$4:$A$21,0))*$R5*INDEX(Parameters!$X$5:$AA$5,1,MATCH($E5,Parameters!$X$3:$AA$3,0))))*(1-Inputs_General!$C$22*Parameters!$F$5))</f>
        <v>60.4755903561977</v>
      </c>
      <c r="AB5" s="44" t="n">
        <f aca="false">MIN(100,MAX(Y5*(1+INDEX(Response_Table!$F$4:$F$21,MATCH($F5&amp;"|low",Response_Table!$A$4:$A$21,0))*$R5*INDEX(Parameters!$X$5:$AA$5,1,MATCH($E5,Parameters!$X$3:$AA$3,0))),Y5*(1+INDEX(Response_Table!$F$4:$F$21,MATCH($F5&amp;"|high",Response_Table!$A$4:$A$21,0))*$R5*INDEX(Parameters!$X$5:$AA$5,1,MATCH($E5,Parameters!$X$3:$AA$3,0))))*(1+Inputs_General!$C$22*Parameters!$F$5))</f>
        <v>77.4455231036206</v>
      </c>
      <c r="AC5" s="45" t="n">
        <f aca="false">IF(Y5=0,0,Z5/Y5-1)</f>
        <v>-0.0229745587925607</v>
      </c>
      <c r="AD5" s="44" t="n">
        <f aca="false">Parameters!$E$6*IF($N5="V",Parameters!$I$6,IF($N5="F",Parameters!$J$6,Parameters!$K$6))*(1-Parameters!$L$6*$P5)*IF($D5="V1",Parameters!$M$6,IF($D5="V2",Parameters!$N$6,Parameters!$O$6))</f>
        <v>19</v>
      </c>
      <c r="AE5" s="44" t="n">
        <f aca="false">AD5*(1+INDEX(Response_Table!$G$4:$G$21,MATCH($F5&amp;"|mid",Response_Table!$A$4:$A$21,0))*$R5*INDEX(Parameters!$X$6:$AA$6,1,MATCH($E5,Parameters!$X$3:$AA$3,0)))</f>
        <v>15.6173933905303</v>
      </c>
      <c r="AF5" s="44" t="n">
        <f aca="false">MAX(0,MIN(AD5*(1+INDEX(Response_Table!$G$4:$G$21,MATCH($F5&amp;"|low",Response_Table!$A$4:$A$21,0))*$R5*INDEX(Parameters!$X$6:$AA$6,1,MATCH($E5,Parameters!$X$3:$AA$3,0))),AD5*(1+INDEX(Response_Table!$G$4:$G$21,MATCH($F5&amp;"|high",Response_Table!$A$4:$A$21,0))*$R5*INDEX(Parameters!$X$6:$AA$6,1,MATCH($E5,Parameters!$X$3:$AA$3,0))))*(1-Inputs_General!$C$22*Parameters!$F$6))</f>
        <v>11.9924613997992</v>
      </c>
      <c r="AG5" s="44" t="n">
        <f aca="false">MAX(AD5*(1+INDEX(Response_Table!$G$4:$G$21,MATCH($F5&amp;"|low",Response_Table!$A$4:$A$21,0))*$R5*INDEX(Parameters!$X$6:$AA$6,1,MATCH($E5,Parameters!$X$3:$AA$3,0))),AD5*(1+INDEX(Response_Table!$G$4:$G$21,MATCH($F5&amp;"|high",Response_Table!$A$4:$A$21,0))*$R5*INDEX(Parameters!$X$6:$AA$6,1,MATCH($E5,Parameters!$X$3:$AA$3,0))))*(1+Inputs_General!$C$22*Parameters!$F$6)</f>
        <v>19.5833552867883</v>
      </c>
      <c r="AH5" s="45" t="n">
        <f aca="false">IF(AD5=0,0,AE5/AD5-1)</f>
        <v>-0.178031926814195</v>
      </c>
      <c r="AI5" s="46" t="n">
        <f aca="false">Parameters!$E$7*IF($N5="V",Parameters!$I$7,IF($N5="F",Parameters!$J$7,Parameters!$K$7))*(1-Parameters!$L$7*$P5)*IF($D5="V1",Parameters!$M$7,IF($D5="V2",Parameters!$N$7,Parameters!$O$7))*POWER($Q5/Inputs_General!$C$26,-Inputs_General!$C$25)</f>
        <v>0.464685683730118</v>
      </c>
      <c r="AJ5" s="46" t="n">
        <f aca="false">AI5*(1+INDEX(Response_Table!$H$4:$H$21,MATCH($F5&amp;"|mid",Response_Table!$A$4:$A$21,0))*$R5*INDEX(Parameters!$X$7:$AA$7,1,MATCH($E5,Parameters!$X$3:$AA$3,0)))</f>
        <v>0.41312717503011</v>
      </c>
      <c r="AK5" s="46" t="n">
        <f aca="false">MAX(0,MIN(AI5*(1+INDEX(Response_Table!$H$4:$H$21,MATCH($F5&amp;"|low",Response_Table!$A$4:$A$21,0))*$R5*INDEX(Parameters!$X$7:$AA$7,1,MATCH($E5,Parameters!$X$3:$AA$3,0))),AI5*(1+INDEX(Response_Table!$H$4:$H$21,MATCH($F5&amp;"|high",Response_Table!$A$4:$A$21,0))*$R5*INDEX(Parameters!$X$7:$AA$7,1,MATCH($E5,Parameters!$X$3:$AA$3,0))))*(1-Inputs_General!$C$22*Parameters!$F$7))</f>
        <v>0.283008549698042</v>
      </c>
      <c r="AL5" s="46" t="n">
        <f aca="false">MAX(AI5*(1+INDEX(Response_Table!$H$4:$H$21,MATCH($F5&amp;"|low",Response_Table!$A$4:$A$21,0))*$R5*INDEX(Parameters!$X$7:$AA$7,1,MATCH($E5,Parameters!$X$3:$AA$3,0))),AI5*(1+INDEX(Response_Table!$H$4:$H$21,MATCH($F5&amp;"|high",Response_Table!$A$4:$A$21,0))*$R5*INDEX(Parameters!$X$7:$AA$7,1,MATCH($E5,Parameters!$X$3:$AA$3,0))))*(1+Inputs_General!$C$22*Parameters!$F$7)</f>
        <v>0.550688192841408</v>
      </c>
      <c r="AM5" s="45" t="n">
        <f aca="false">IF(AI5=0,0,AJ5/AI5-1)</f>
        <v>-0.110953512245392</v>
      </c>
      <c r="AN5" s="43" t="n">
        <f aca="false">AI5*$Q5/Inputs_General!$C$13*1000</f>
        <v>4.38850387664553</v>
      </c>
      <c r="AO5" s="43" t="n">
        <f aca="false">AJ5*$Q5/Inputs_General!$C$13*1000*(1+Inputs_General!$C$21*$I5)</f>
        <v>3.97961563718977</v>
      </c>
      <c r="AP5" s="43" t="n">
        <f aca="false">AK5*$Q5/Inputs_General!$C$13*1000*(1+Inputs_General!$C$21*$H5)</f>
        <v>2.71283132528768</v>
      </c>
      <c r="AQ5" s="43" t="n">
        <f aca="false">AL5*$Q5/Inputs_General!$C$13*1000*(1+Inputs_General!$C$21*$J5)</f>
        <v>5.33073169147555</v>
      </c>
      <c r="AR5" s="45" t="n">
        <f aca="false">IF(AN5=0,0,AO5/AN5-1)</f>
        <v>-0.0931725824902999</v>
      </c>
      <c r="AS5" s="42" t="n">
        <f aca="false">Parameters!$E$9*IF($N5="V",Parameters!$I$9,IF($N5="F",Parameters!$J$9,Parameters!$K$9))*(1-Parameters!$L$9*$P5)*IF($D5="V1",Parameters!$M$9,IF($D5="V2",Parameters!$N$9,Parameters!$O$9))</f>
        <v>285</v>
      </c>
      <c r="AT5" s="42" t="n">
        <f aca="false">AS5*(1+INDEX(Response_Table!$I$4:$I$21,MATCH($F5&amp;"|mid",Response_Table!$A$4:$A$21,0))*$R5*INDEX(Parameters!$X$9:$AA$9,1,MATCH($E5,Parameters!$X$3:$AA$3,0)))</f>
        <v>303.73140586416</v>
      </c>
      <c r="AU5" s="42" t="n">
        <f aca="false">MAX(0,MIN(AS5*(1+INDEX(Response_Table!$I$4:$I$21,MATCH($F5&amp;"|low",Response_Table!$A$4:$A$21,0))*$R5*INDEX(Parameters!$X$9:$AA$9,1,MATCH($E5,Parameters!$X$3:$AA$3,0))),AS5*(1+INDEX(Response_Table!$I$4:$I$21,MATCH($F5&amp;"|high",Response_Table!$A$4:$A$21,0))*$R5*INDEX(Parameters!$X$9:$AA$9,1,MATCH($E5,Parameters!$X$3:$AA$3,0))))*(1-Inputs_General!$C$22*Parameters!$F$9))</f>
        <v>270.024661923337</v>
      </c>
      <c r="AV5" s="42" t="n">
        <f aca="false">MAX(AS5*(1+INDEX(Response_Table!$I$4:$I$21,MATCH($F5&amp;"|low",Response_Table!$A$4:$A$21,0))*$R5*INDEX(Parameters!$X$9:$AA$9,1,MATCH($E5,Parameters!$X$3:$AA$3,0))),AS5*(1+INDEX(Response_Table!$I$4:$I$21,MATCH($F5&amp;"|high",Response_Table!$A$4:$A$21,0))*$R5*INDEX(Parameters!$X$9:$AA$9,1,MATCH($E5,Parameters!$X$3:$AA$3,0))))*(1+Inputs_General!$C$22*Parameters!$F$9)</f>
        <v>337.905304594772</v>
      </c>
      <c r="AW5" s="45" t="n">
        <f aca="false">IF(AS5=0,0,AT5/AS5-1)</f>
        <v>0.0657242311023141</v>
      </c>
      <c r="AX5" s="43" t="n">
        <f aca="false">INDEX(Context!$AB$4:$AB$51,$K5)</f>
        <v>2.55066767693214</v>
      </c>
      <c r="AY5" s="43" t="n">
        <f aca="false">AX5*(1+INDEX(Response_Table!$J$4:$J$21,MATCH($F5&amp;"|mid",Response_Table!$A$4:$A$21,0))*$R5*INDEX(Parameters!$X$10:$AA$10,1,MATCH($E5,Parameters!$X$3:$AA$3,0)))</f>
        <v>2.44663721491933</v>
      </c>
      <c r="AZ5" s="43" t="n">
        <f aca="false">MAX(0,MIN(AX5*(1+INDEX(Response_Table!$J$4:$J$21,MATCH($F5&amp;"|low",Response_Table!$A$4:$A$21,0))*$R5*INDEX(Parameters!$X$10:$AA$10,1,MATCH($E5,Parameters!$X$3:$AA$3,0))),AX5*(1+INDEX(Response_Table!$J$4:$J$21,MATCH($F5&amp;"|high",Response_Table!$A$4:$A$21,0))*$R5*INDEX(Parameters!$X$10:$AA$10,1,MATCH($E5,Parameters!$X$3:$AA$3,0))))*(1-Inputs_General!$C$22*Parameters!$F$10))</f>
        <v>1.94527879247462</v>
      </c>
      <c r="BA5" s="43" t="n">
        <f aca="false">MAX(AX5*(1+INDEX(Response_Table!$J$4:$J$21,MATCH($F5&amp;"|low",Response_Table!$A$4:$A$21,0))*$R5*INDEX(Parameters!$X$10:$AA$10,1,MATCH($E5,Parameters!$X$3:$AA$3,0))),AX5*(1+INDEX(Response_Table!$J$4:$J$21,MATCH($F5&amp;"|high",Response_Table!$A$4:$A$21,0))*$R5*INDEX(Parameters!$X$10:$AA$10,1,MATCH($E5,Parameters!$X$3:$AA$3,0))))*(1+Inputs_General!$C$22*Parameters!$F$10)</f>
        <v>2.95844965085042</v>
      </c>
      <c r="BB5" s="45" t="n">
        <f aca="false">IF(AX5=0,0,AY5/AX5-1)</f>
        <v>-0.0407855805574541</v>
      </c>
      <c r="BC5" s="46" t="n">
        <f aca="false">Parameters!$E$11*IF($N5="V",Parameters!$I$11,IF($N5="F",Parameters!$J$11,Parameters!$K$11))*(1-Parameters!$L$11*$P5)*IF($D5="V1",Parameters!$M$11,IF($D5="V2",Parameters!$N$11,Parameters!$O$11))</f>
        <v>1.25</v>
      </c>
      <c r="BD5" s="46" t="n">
        <f aca="false">BC5*(1+INDEX(Response_Table!$K$4:$K$21,MATCH($F5&amp;"|mid",Response_Table!$A$4:$A$21,0))*$R5*INDEX(Parameters!$X$11:$AA$11,1,MATCH($E5,Parameters!$X$3:$AA$3,0)))</f>
        <v>1.15824517482185</v>
      </c>
      <c r="BE5" s="46" t="n">
        <f aca="false">MAX(0,MIN(BC5*(1+INDEX(Response_Table!$K$4:$K$21,MATCH($F5&amp;"|low",Response_Table!$A$4:$A$21,0))*$R5*INDEX(Parameters!$X$11:$AA$11,1,MATCH($E5,Parameters!$X$3:$AA$3,0))),BC5*(1+INDEX(Response_Table!$K$4:$K$21,MATCH($F5&amp;"|high",Response_Table!$A$4:$A$21,0))*$R5*INDEX(Parameters!$X$11:$AA$11,1,MATCH($E5,Parameters!$X$3:$AA$3,0))))*(1-Inputs_General!$C$22*Parameters!$F$11))</f>
        <v>0.951423992692997</v>
      </c>
      <c r="BF5" s="46" t="n">
        <f aca="false">MAX(BC5*(1+INDEX(Response_Table!$K$4:$K$21,MATCH($F5&amp;"|low",Response_Table!$A$4:$A$21,0))*$R5*INDEX(Parameters!$X$11:$AA$11,1,MATCH($E5,Parameters!$X$3:$AA$3,0))),BC5*(1+INDEX(Response_Table!$K$4:$K$21,MATCH($F5&amp;"|high",Response_Table!$A$4:$A$21,0))*$R5*INDEX(Parameters!$X$11:$AA$11,1,MATCH($E5,Parameters!$X$3:$AA$3,0))))*(1+Inputs_General!$C$22*Parameters!$F$11)</f>
        <v>1.37298150089567</v>
      </c>
      <c r="BG5" s="45" t="n">
        <f aca="false">IF(BC5=0,0,BD5/BC5-1)</f>
        <v>-0.0734038601425194</v>
      </c>
      <c r="BH5" s="46" t="n">
        <f aca="false">Parameters!$E$12*IF($N5="V",Parameters!$I$12,IF($N5="F",Parameters!$J$12,Parameters!$K$12))*(1-Parameters!$L$12*$P5)*IF($D5="V1",Parameters!$M$12,IF($D5="V2",Parameters!$N$12,Parameters!$O$12))</f>
        <v>0.45</v>
      </c>
      <c r="BI5" s="46" t="n">
        <f aca="false">BH5*(1+INDEX(Response_Table!$L$4:$L$21,MATCH($F5&amp;"|mid",Response_Table!$A$4:$A$21,0))*$R5*INDEX(Parameters!$X$12:$AA$12,1,MATCH($E5,Parameters!$X$3:$AA$3,0)))</f>
        <v>0.423595197806986</v>
      </c>
      <c r="BJ5" s="46" t="n">
        <f aca="false">MAX(0,MIN(BH5*(1+INDEX(Response_Table!$L$4:$L$21,MATCH($F5&amp;"|low",Response_Table!$A$4:$A$21,0))*$R5*INDEX(Parameters!$X$12:$AA$12,1,MATCH($E5,Parameters!$X$3:$AA$3,0))),BH5*(1+INDEX(Response_Table!$L$4:$L$21,MATCH($F5&amp;"|high",Response_Table!$A$4:$A$21,0))*$R5*INDEX(Parameters!$X$12:$AA$12,1,MATCH($E5,Parameters!$X$3:$AA$3,0))))*(1-Inputs_General!$C$22*Parameters!$F$12))</f>
        <v>0.335427612109994</v>
      </c>
      <c r="BK5" s="46" t="n">
        <f aca="false">MAX(BH5*(1+INDEX(Response_Table!$L$4:$L$21,MATCH($F5&amp;"|low",Response_Table!$A$4:$A$21,0))*$R5*INDEX(Parameters!$X$12:$AA$12,1,MATCH($E5,Parameters!$X$3:$AA$3,0))),BH5*(1+INDEX(Response_Table!$L$4:$L$21,MATCH($F5&amp;"|high",Response_Table!$A$4:$A$21,0))*$R5*INDEX(Parameters!$X$12:$AA$12,1,MATCH($E5,Parameters!$X$3:$AA$3,0))))*(1+Inputs_General!$C$22*Parameters!$F$12)</f>
        <v>0.514420628204052</v>
      </c>
      <c r="BL5" s="45" t="n">
        <f aca="false">IF(BH5=0,0,BI5/BH5-1)</f>
        <v>-0.0586773382066979</v>
      </c>
      <c r="BM5" s="46" t="n">
        <f aca="false">Parameters!$E$13*IF($N5="V",Parameters!$I$13,IF($N5="F",Parameters!$J$13,Parameters!$K$13))*(1-Parameters!$L$13*$P5)*IF($D5="V1",Parameters!$M$13,IF($D5="V2",Parameters!$N$13,Parameters!$O$13))</f>
        <v>0.3</v>
      </c>
      <c r="BN5" s="46" t="n">
        <f aca="false">BM5*(1+INDEX(Response_Table!$M$4:$M$21,MATCH($F5&amp;"|mid",Response_Table!$A$4:$A$21,0))*$R5*INDEX(Parameters!$X$13:$AA$13,1,MATCH($E5,Parameters!$X$3:$AA$3,0)))</f>
        <v>0.301854504761915</v>
      </c>
      <c r="BO5" s="46" t="n">
        <f aca="false">MAX(0,MIN(BM5*(1+INDEX(Response_Table!$M$4:$M$21,MATCH($F5&amp;"|low",Response_Table!$A$4:$A$21,0))*$R5*INDEX(Parameters!$X$13:$AA$13,1,MATCH($E5,Parameters!$X$3:$AA$3,0))),BM5*(1+INDEX(Response_Table!$M$4:$M$21,MATCH($F5&amp;"|high",Response_Table!$A$4:$A$21,0))*$R5*INDEX(Parameters!$X$13:$AA$13,1,MATCH($E5,Parameters!$X$3:$AA$3,0))))*(1-Inputs_General!$C$22*Parameters!$F$13))</f>
        <v>0.240337842235149</v>
      </c>
      <c r="BP5" s="46" t="n">
        <f aca="false">MAX(BM5*(1+INDEX(Response_Table!$M$4:$M$21,MATCH($F5&amp;"|low",Response_Table!$A$4:$A$21,0))*$R5*INDEX(Parameters!$X$13:$AA$13,1,MATCH($E5,Parameters!$X$3:$AA$3,0))),BM5*(1+INDEX(Response_Table!$M$4:$M$21,MATCH($F5&amp;"|high",Response_Table!$A$4:$A$21,0))*$R5*INDEX(Parameters!$X$13:$AA$13,1,MATCH($E5,Parameters!$X$3:$AA$3,0))))*(1+Inputs_General!$C$22*Parameters!$F$13)</f>
        <v>0.363461951105232</v>
      </c>
      <c r="BQ5" s="45" t="n">
        <f aca="false">IF(BM5=0,0,BN5/BM5-1)</f>
        <v>0.0061816825397174</v>
      </c>
      <c r="BR5" s="44" t="n">
        <f aca="false">Parameters!$E$14*IF($N5="V",Parameters!$I$14,IF($N5="F",Parameters!$J$14,Parameters!$K$14))*(1-Parameters!$L$14*$P5)*IF($D5="V1",Parameters!$M$14,IF($D5="V2",Parameters!$N$14,Parameters!$O$14))*INDEX(Context!$AC$4:$AC$51,$K5)</f>
        <v>15</v>
      </c>
      <c r="BS5" s="44" t="n">
        <f aca="false">BR5*(1+INDEX(Response_Table!$N$4:$N$21,MATCH($F5&amp;"|mid",Response_Table!$A$4:$A$21,0))*$R5*INDEX(Parameters!$X$14:$AA$14,1,MATCH($E5,Parameters!$X$3:$AA$3,0)))</f>
        <v>15.9601746252005</v>
      </c>
      <c r="BT5" s="44" t="n">
        <f aca="false">MAX(0,MIN(BR5*(1+INDEX(Response_Table!$N$4:$N$21,MATCH($F5&amp;"|low",Response_Table!$A$4:$A$21,0))*$R5*INDEX(Parameters!$X$14:$AA$14,1,MATCH($E5,Parameters!$X$3:$AA$3,0))),BR5*(1+INDEX(Response_Table!$N$4:$N$21,MATCH($F5&amp;"|high",Response_Table!$A$4:$A$21,0))*$R5*INDEX(Parameters!$X$14:$AA$14,1,MATCH($E5,Parameters!$X$3:$AA$3,0))))*(1-Inputs_General!$C$22*Parameters!$F$14))</f>
        <v>7.97296037064086</v>
      </c>
      <c r="BU5" s="44" t="n">
        <f aca="false">MAX(BR5*(1+INDEX(Response_Table!$N$4:$N$21,MATCH($F5&amp;"|low",Response_Table!$A$4:$A$21,0))*$R5*INDEX(Parameters!$X$14:$AA$14,1,MATCH($E5,Parameters!$X$3:$AA$3,0))),BR5*(1+INDEX(Response_Table!$N$4:$N$21,MATCH($F5&amp;"|high",Response_Table!$A$4:$A$21,0))*$R5*INDEX(Parameters!$X$14:$AA$14,1,MATCH($E5,Parameters!$X$3:$AA$3,0))))*(1+Inputs_General!$C$22*Parameters!$F$14)</f>
        <v>24.1443959433533</v>
      </c>
      <c r="BV5" s="45" t="n">
        <f aca="false">IF(BR5=0,0,BS5/BR5-1)</f>
        <v>0.064011641680034</v>
      </c>
      <c r="BW5" s="43" t="n">
        <f aca="false">Parameters!$E$15*IF($N5="V",Parameters!$I$15,IF($N5="F",Parameters!$J$15,Parameters!$K$15))*(1-Parameters!$L$15*$P5)*IF($D5="V1",Parameters!$M$15,IF($D5="V2",Parameters!$N$15,Parameters!$O$15))</f>
        <v>10.4</v>
      </c>
      <c r="BX5" s="43" t="n">
        <f aca="false">BW5*(1+INDEX(Response_Table!$O$4:$O$21,MATCH($F5&amp;"|mid",Response_Table!$A$4:$A$21,0))*$R5*INDEX(Parameters!$X$15:$AA$15,1,MATCH($E5,Parameters!$X$3:$AA$3,0)))</f>
        <v>10.2335697316319</v>
      </c>
      <c r="BY5" s="43" t="n">
        <f aca="false">MAX(0,MIN(BW5*(1+INDEX(Response_Table!$O$4:$O$21,MATCH($F5&amp;"|low",Response_Table!$A$4:$A$21,0))*$R5*INDEX(Parameters!$X$15:$AA$15,1,MATCH($E5,Parameters!$X$3:$AA$3,0))),BW5*(1+INDEX(Response_Table!$O$4:$O$21,MATCH($F5&amp;"|high",Response_Table!$A$4:$A$21,0))*$R5*INDEX(Parameters!$X$15:$AA$15,1,MATCH($E5,Parameters!$X$3:$AA$3,0))))*(1-Inputs_General!$C$22*Parameters!$F$15))</f>
        <v>8.18478494905694</v>
      </c>
      <c r="BZ5" s="43" t="n">
        <f aca="false">MAX(BW5*(1+INDEX(Response_Table!$O$4:$O$21,MATCH($F5&amp;"|low",Response_Table!$A$4:$A$21,0))*$R5*INDEX(Parameters!$X$15:$AA$15,1,MATCH($E5,Parameters!$X$3:$AA$3,0))),BW5*(1+INDEX(Response_Table!$O$4:$O$21,MATCH($F5&amp;"|high",Response_Table!$A$4:$A$21,0))*$R5*INDEX(Parameters!$X$15:$AA$15,1,MATCH($E5,Parameters!$X$3:$AA$3,0))))*(1+Inputs_General!$C$22*Parameters!$F$15)</f>
        <v>12.2991069898922</v>
      </c>
      <c r="CA5" s="45" t="n">
        <f aca="false">IF(BW5=0,0,BX5/BW5-1)</f>
        <v>-0.0160029104200086</v>
      </c>
      <c r="CB5" s="46" t="n">
        <f aca="false">BD5+BI5</f>
        <v>1.58184037262884</v>
      </c>
      <c r="CC5" s="43" t="n">
        <f aca="false">BD5/BI5</f>
        <v>2.73432083465123</v>
      </c>
      <c r="CD5" s="46" t="n">
        <f aca="false">BN5/CB5</f>
        <v>0.190824883461703</v>
      </c>
      <c r="CE5" s="43" t="n">
        <f aca="false">AE5/AO5</f>
        <v>3.92434717679384</v>
      </c>
      <c r="CF5" s="44" t="n">
        <f aca="false">AE5/AJ5</f>
        <v>37.8028712088283</v>
      </c>
      <c r="CG5" s="44" t="n">
        <f aca="false">INDEX(Context!$V$4:$V$51,$K5)</f>
        <v>22.6257142857143</v>
      </c>
      <c r="CH5" s="44" t="n">
        <f aca="false">INDEX(Context!$Y$4:$Y$51,$K5)</f>
        <v>21.3177449518561</v>
      </c>
      <c r="CI5" s="44" t="n">
        <f aca="false">INDEX(Context!$Z$4:$Z$51,$K5)</f>
        <v>26.6257142857143</v>
      </c>
      <c r="CJ5" s="43" t="n">
        <f aca="false">INDEX(Context!$AA$4:$AA$51,$K5)</f>
        <v>0.2</v>
      </c>
      <c r="CK5" s="43" t="n">
        <f aca="false">MAX(0,MIN(1,1-(1-CJ5)*AO5/AN5))</f>
        <v>0.27453806599224</v>
      </c>
      <c r="CL5" s="44" t="n">
        <f aca="false">CH5+CK5*(CI5-CH5)</f>
        <v>22.7749845871196</v>
      </c>
      <c r="CM5" s="44" t="n">
        <f aca="false">CH5+MAX(0,MIN(1,1-(1-CJ5)*AQ5/AN5))*(CI5-CH5)</f>
        <v>21.4676264925675</v>
      </c>
      <c r="CN5" s="44" t="n">
        <f aca="false">CH5+MAX(0,MIN(1,1-(1-CJ5)*AP5/AN5))*(CI5-CH5)</f>
        <v>24.000742151737</v>
      </c>
      <c r="CO5" s="44" t="n">
        <f aca="false">CL5-CG5</f>
        <v>0.14927030140532</v>
      </c>
      <c r="CP5" s="44" t="n">
        <f aca="false">CL5-(CH5+CJ5*(CI5-CH5))</f>
        <v>0.39564576849191</v>
      </c>
      <c r="CQ5" s="46" t="n">
        <f aca="false">CL5/CG5</f>
        <v>1.00659737409924</v>
      </c>
      <c r="CR5" s="43" t="n">
        <f aca="false">IF(CL5-CH5&lt;=0,"n/a",(CI5-CL5)/(CL5-CH5))</f>
        <v>2.6424821322529</v>
      </c>
      <c r="CS5" s="43" t="n">
        <f aca="false">IF(CI5-CL5&lt;=0,"n/a",(CL5-CH5)/(CI5-CL5))</f>
        <v>0.378432076340071</v>
      </c>
      <c r="CT5" s="43" t="n">
        <f aca="false">Inputs_General!$C$23+Inputs_General!$C$24*$I5</f>
        <v>0.76</v>
      </c>
      <c r="CU5" s="44" t="n">
        <f aca="false">3.29*CT5</f>
        <v>2.5004</v>
      </c>
    </row>
    <row r="6" customFormat="false" ht="15" hidden="false" customHeight="false" outlineLevel="0" collapsed="false">
      <c r="A6" s="9" t="str">
        <f aca="false">B6&amp;"|"&amp;E6&amp;"|"&amp;F6</f>
        <v>D1V1|11/02/2026|Moderate</v>
      </c>
      <c r="B6" s="7" t="s">
        <v>340</v>
      </c>
      <c r="C6" s="9" t="s">
        <v>127</v>
      </c>
      <c r="D6" s="9" t="s">
        <v>142</v>
      </c>
      <c r="E6" s="9" t="s">
        <v>158</v>
      </c>
      <c r="F6" s="7" t="s">
        <v>281</v>
      </c>
      <c r="G6" s="9" t="s">
        <v>282</v>
      </c>
      <c r="H6" s="41" t="n">
        <f aca="false">INDEX(Severity_Classes!$C$4:$C$9,MATCH(F6,Severity_Classes!$A$4:$A$9,0))</f>
        <v>0.11</v>
      </c>
      <c r="I6" s="41" t="n">
        <f aca="false">INDEX(Severity_Classes!$D$4:$D$9,MATCH(F6,Severity_Classes!$A$4:$A$9,0))</f>
        <v>0.18</v>
      </c>
      <c r="J6" s="41" t="n">
        <f aca="false">INDEX(Severity_Classes!$E$4:$E$9,MATCH(F6,Severity_Classes!$A$4:$A$9,0))</f>
        <v>0.25</v>
      </c>
      <c r="K6" s="42" t="n">
        <f aca="false">MATCH(B6&amp;"|"&amp;E6,Context!$A$4:$A$51,0)</f>
        <v>1</v>
      </c>
      <c r="L6" s="42" t="n">
        <f aca="false">INDEX(Context!$H$4:$H$51,K6)</f>
        <v>64</v>
      </c>
      <c r="M6" s="42" t="n">
        <f aca="false">INDEX(Context!$I$4:$I$51,K6)</f>
        <v>6</v>
      </c>
      <c r="N6" s="9" t="str">
        <f aca="false">INDEX(Context!$L$4:$L$51,K6)</f>
        <v>F</v>
      </c>
      <c r="O6" s="9" t="str">
        <f aca="false">INDEX(Context!$M$4:$M$51,K6)</f>
        <v>5th fully expanded leaf from top</v>
      </c>
      <c r="P6" s="43" t="n">
        <f aca="false">INDEX(Context!$R$4:$R$51,K6)</f>
        <v>0</v>
      </c>
      <c r="Q6" s="43" t="n">
        <f aca="false">INDEX(Context!$U$4:$U$51,K6)</f>
        <v>0.937791824040773</v>
      </c>
      <c r="R6" s="43" t="n">
        <f aca="false">INDEX(Context!$AD$4:$AD$51,K6)</f>
        <v>1</v>
      </c>
      <c r="S6" s="9" t="str">
        <f aca="false">INDEX(Context!$AI$4:$AN$51,K6,MATCH(F6,Severity_Classes!$A$4:$A$9,0))</f>
        <v>Unlikely (only via pre-inoculation natural infection)</v>
      </c>
      <c r="T6" s="44" t="n">
        <f aca="false">Parameters!$E$4*IF($N6="V",Parameters!$I$4,IF($N6="F",Parameters!$J$4,Parameters!$K$4))*(1-Parameters!$L$4*$P6)*IF($D6="V1",Parameters!$M$4,IF($D6="V2",Parameters!$N$4,Parameters!$O$4))</f>
        <v>85.14</v>
      </c>
      <c r="U6" s="44" t="n">
        <f aca="false">MIN(100,T6*(1+INDEX(Response_Table!$E$4:$E$21,MATCH($F6&amp;"|mid",Response_Table!$A$4:$A$21,0))*$R6*INDEX(Parameters!$X$4:$AA$4,1,MATCH($E6,Parameters!$X$3:$AA$3,0))))</f>
        <v>83.2034938232772</v>
      </c>
      <c r="V6" s="44" t="n">
        <f aca="false">MAX(0,MIN(T6*(1+INDEX(Response_Table!$E$4:$E$21,MATCH($F6&amp;"|low",Response_Table!$A$4:$A$21,0))*$R6*INDEX(Parameters!$X$4:$AA$4,1,MATCH($E6,Parameters!$X$3:$AA$3,0))),T6*(1+INDEX(Response_Table!$E$4:$E$21,MATCH($F6&amp;"|high",Response_Table!$A$4:$A$21,0))*$R6*INDEX(Parameters!$X$4:$AA$4,1,MATCH($E6,Parameters!$X$3:$AA$3,0))))*(1-Inputs_General!$C$22*Parameters!$F$4))</f>
        <v>76.373533639973</v>
      </c>
      <c r="W6" s="44" t="n">
        <f aca="false">MIN(100,MAX(T6*(1+INDEX(Response_Table!$E$4:$E$21,MATCH($F6&amp;"|low",Response_Table!$A$4:$A$21,0))*$R6*INDEX(Parameters!$X$4:$AA$4,1,MATCH($E6,Parameters!$X$3:$AA$3,0))),T6*(1+INDEX(Response_Table!$E$4:$E$21,MATCH($F6&amp;"|high",Response_Table!$A$4:$A$21,0))*$R6*INDEX(Parameters!$X$4:$AA$4,1,MATCH($E6,Parameters!$X$3:$AA$3,0))))*(1+Inputs_General!$C$22*Parameters!$F$4))</f>
        <v>89.7684617486889</v>
      </c>
      <c r="X6" s="45" t="n">
        <f aca="false">IF(T6=0,0,U6/T6-1)</f>
        <v>-0.0227449633159834</v>
      </c>
      <c r="Y6" s="44" t="n">
        <f aca="false">Parameters!$E$5*IF($N6="V",Parameters!$I$5,IF($N6="F",Parameters!$J$5,Parameters!$K$5))*(1-Parameters!$L$5*$P6)*IF($D6="V1",Parameters!$M$5,IF($D6="V2",Parameters!$N$5,Parameters!$O$5))</f>
        <v>70.56</v>
      </c>
      <c r="Z6" s="44" t="n">
        <f aca="false">MIN(100,Y6*(1+INDEX(Response_Table!$F$4:$F$21,MATCH($F6&amp;"|mid",Response_Table!$A$4:$A$21,0))*$R6*INDEX(Parameters!$X$5:$AA$5,1,MATCH($E6,Parameters!$X$3:$AA$3,0))))</f>
        <v>65.0161010683199</v>
      </c>
      <c r="AA6" s="44" t="n">
        <f aca="false">MAX(0,MIN(Y6*(1+INDEX(Response_Table!$F$4:$F$21,MATCH($F6&amp;"|low",Response_Table!$A$4:$A$21,0))*$R6*INDEX(Parameters!$X$5:$AA$5,1,MATCH($E6,Parameters!$X$3:$AA$3,0))),Y6*(1+INDEX(Response_Table!$F$4:$F$21,MATCH($F6&amp;"|high",Response_Table!$A$4:$A$21,0))*$R6*INDEX(Parameters!$X$5:$AA$5,1,MATCH($E6,Parameters!$X$3:$AA$3,0))))*(1-Inputs_General!$C$22*Parameters!$F$5))</f>
        <v>53.8989655937051</v>
      </c>
      <c r="AB6" s="44" t="n">
        <f aca="false">MIN(100,MAX(Y6*(1+INDEX(Response_Table!$F$4:$F$21,MATCH($F6&amp;"|low",Response_Table!$A$4:$A$21,0))*$R6*INDEX(Parameters!$X$5:$AA$5,1,MATCH($E6,Parameters!$X$3:$AA$3,0))),Y6*(1+INDEX(Response_Table!$F$4:$F$21,MATCH($F6&amp;"|high",Response_Table!$A$4:$A$21,0))*$R6*INDEX(Parameters!$X$5:$AA$5,1,MATCH($E6,Parameters!$X$3:$AA$3,0))))*(1+Inputs_General!$C$22*Parameters!$F$5))</f>
        <v>75.847061674545</v>
      </c>
      <c r="AC6" s="45" t="n">
        <f aca="false">IF(Y6=0,0,Z6/Y6-1)</f>
        <v>-0.0785699961972806</v>
      </c>
      <c r="AD6" s="44" t="n">
        <f aca="false">Parameters!$E$6*IF($N6="V",Parameters!$I$6,IF($N6="F",Parameters!$J$6,Parameters!$K$6))*(1-Parameters!$L$6*$P6)*IF($D6="V1",Parameters!$M$6,IF($D6="V2",Parameters!$N$6,Parameters!$O$6))</f>
        <v>19</v>
      </c>
      <c r="AE6" s="44" t="n">
        <f aca="false">AD6*(1+INDEX(Response_Table!$G$4:$G$21,MATCH($F6&amp;"|mid",Response_Table!$A$4:$A$21,0))*$R6*INDEX(Parameters!$X$6:$AA$6,1,MATCH($E6,Parameters!$X$3:$AA$3,0)))</f>
        <v>12.7634933456528</v>
      </c>
      <c r="AF6" s="44" t="n">
        <f aca="false">MAX(0,MIN(AD6*(1+INDEX(Response_Table!$G$4:$G$21,MATCH($F6&amp;"|low",Response_Table!$A$4:$A$21,0))*$R6*INDEX(Parameters!$X$6:$AA$6,1,MATCH($E6,Parameters!$X$3:$AA$3,0))),AD6*(1+INDEX(Response_Table!$G$4:$G$21,MATCH($F6&amp;"|high",Response_Table!$A$4:$A$21,0))*$R6*INDEX(Parameters!$X$6:$AA$6,1,MATCH($E6,Parameters!$X$3:$AA$3,0))))*(1-Inputs_General!$C$22*Parameters!$F$6))</f>
        <v>9.1454105822473</v>
      </c>
      <c r="AG6" s="44" t="n">
        <f aca="false">MAX(AD6*(1+INDEX(Response_Table!$G$4:$G$21,MATCH($F6&amp;"|low",Response_Table!$A$4:$A$21,0))*$R6*INDEX(Parameters!$X$6:$AA$6,1,MATCH($E6,Parameters!$X$3:$AA$3,0))),AD6*(1+INDEX(Response_Table!$G$4:$G$21,MATCH($F6&amp;"|high",Response_Table!$A$4:$A$21,0))*$R6*INDEX(Parameters!$X$6:$AA$6,1,MATCH($E6,Parameters!$X$3:$AA$3,0))))*(1+Inputs_General!$C$22*Parameters!$F$6)</f>
        <v>17.5131370788554</v>
      </c>
      <c r="AH6" s="45" t="n">
        <f aca="false">IF(AD6=0,0,AE6/AD6-1)</f>
        <v>-0.328237192334065</v>
      </c>
      <c r="AI6" s="46" t="n">
        <f aca="false">Parameters!$E$7*IF($N6="V",Parameters!$I$7,IF($N6="F",Parameters!$J$7,Parameters!$K$7))*(1-Parameters!$L$7*$P6)*IF($D6="V1",Parameters!$M$7,IF($D6="V2",Parameters!$N$7,Parameters!$O$7))*POWER($Q6/Inputs_General!$C$26,-Inputs_General!$C$25)</f>
        <v>0.464685683730118</v>
      </c>
      <c r="AJ6" s="46" t="n">
        <f aca="false">AI6*(1+INDEX(Response_Table!$H$4:$H$21,MATCH($F6&amp;"|mid",Response_Table!$A$4:$A$21,0))*$R6*INDEX(Parameters!$X$7:$AA$7,1,MATCH($E6,Parameters!$X$3:$AA$3,0)))</f>
        <v>0.363862408640865</v>
      </c>
      <c r="AK6" s="46" t="n">
        <f aca="false">MAX(0,MIN(AI6*(1+INDEX(Response_Table!$H$4:$H$21,MATCH($F6&amp;"|low",Response_Table!$A$4:$A$21,0))*$R6*INDEX(Parameters!$X$7:$AA$7,1,MATCH($E6,Parameters!$X$3:$AA$3,0))),AI6*(1+INDEX(Response_Table!$H$4:$H$21,MATCH($F6&amp;"|high",Response_Table!$A$4:$A$21,0))*$R6*INDEX(Parameters!$X$7:$AA$7,1,MATCH($E6,Parameters!$X$3:$AA$3,0))))*(1-Inputs_General!$C$22*Parameters!$F$7))</f>
        <v>0.23734815006715</v>
      </c>
      <c r="AL6" s="46" t="n">
        <f aca="false">MAX(AI6*(1+INDEX(Response_Table!$H$4:$H$21,MATCH($F6&amp;"|low",Response_Table!$A$4:$A$21,0))*$R6*INDEX(Parameters!$X$7:$AA$7,1,MATCH($E6,Parameters!$X$3:$AA$3,0))),AI6*(1+INDEX(Response_Table!$H$4:$H$21,MATCH($F6&amp;"|high",Response_Table!$A$4:$A$21,0))*$R6*INDEX(Parameters!$X$7:$AA$7,1,MATCH($E6,Parameters!$X$3:$AA$3,0))))*(1+Inputs_General!$C$22*Parameters!$F$7)</f>
        <v>0.514250204889412</v>
      </c>
      <c r="AM6" s="45" t="n">
        <f aca="false">IF(AI6=0,0,AJ6/AI6-1)</f>
        <v>-0.216970908765525</v>
      </c>
      <c r="AN6" s="43" t="n">
        <f aca="false">AI6*$Q6/Inputs_General!$C$13*1000</f>
        <v>4.38850387664553</v>
      </c>
      <c r="AO6" s="43" t="n">
        <f aca="false">AJ6*$Q6/Inputs_General!$C$13*1000*(1+Inputs_General!$C$21*$I6)</f>
        <v>3.59096088151711</v>
      </c>
      <c r="AP6" s="43" t="n">
        <f aca="false">AK6*$Q6/Inputs_General!$C$13*1000*(1+Inputs_General!$C$21*$H6)</f>
        <v>2.3031640617849</v>
      </c>
      <c r="AQ6" s="43" t="n">
        <f aca="false">AL6*$Q6/Inputs_General!$C$13*1000*(1+Inputs_General!$C$21*$J6)</f>
        <v>5.16012955700019</v>
      </c>
      <c r="AR6" s="45" t="n">
        <f aca="false">IF(AN6=0,0,AO6/AN6-1)</f>
        <v>-0.181734599659974</v>
      </c>
      <c r="AS6" s="42" t="n">
        <f aca="false">Parameters!$E$9*IF($N6="V",Parameters!$I$9,IF($N6="F",Parameters!$J$9,Parameters!$K$9))*(1-Parameters!$L$9*$P6)*IF($D6="V1",Parameters!$M$9,IF($D6="V2",Parameters!$N$9,Parameters!$O$9))</f>
        <v>285</v>
      </c>
      <c r="AT6" s="42" t="n">
        <f aca="false">AS6*(1+INDEX(Response_Table!$I$4:$I$21,MATCH($F6&amp;"|mid",Response_Table!$A$4:$A$21,0))*$R6*INDEX(Parameters!$X$9:$AA$9,1,MATCH($E6,Parameters!$X$3:$AA$3,0)))</f>
        <v>320.106145692338</v>
      </c>
      <c r="AU6" s="42" t="n">
        <f aca="false">MAX(0,MIN(AS6*(1+INDEX(Response_Table!$I$4:$I$21,MATCH($F6&amp;"|low",Response_Table!$A$4:$A$21,0))*$R6*INDEX(Parameters!$X$9:$AA$9,1,MATCH($E6,Parameters!$X$3:$AA$3,0))),AS6*(1+INDEX(Response_Table!$I$4:$I$21,MATCH($F6&amp;"|high",Response_Table!$A$4:$A$21,0))*$R6*INDEX(Parameters!$X$9:$AA$9,1,MATCH($E6,Parameters!$X$3:$AA$3,0))))*(1-Inputs_General!$C$22*Parameters!$F$9))</f>
        <v>278.815270199559</v>
      </c>
      <c r="AV6" s="42" t="n">
        <f aca="false">MAX(AS6*(1+INDEX(Response_Table!$I$4:$I$21,MATCH($F6&amp;"|low",Response_Table!$A$4:$A$21,0))*$R6*INDEX(Parameters!$X$9:$AA$9,1,MATCH($E6,Parameters!$X$3:$AA$3,0))),AS6*(1+INDEX(Response_Table!$I$4:$I$21,MATCH($F6&amp;"|high",Response_Table!$A$4:$A$21,0))*$R6*INDEX(Parameters!$X$9:$AA$9,1,MATCH($E6,Parameters!$X$3:$AA$3,0))))*(1+Inputs_General!$C$22*Parameters!$F$9)</f>
        <v>360.63404268617</v>
      </c>
      <c r="AW6" s="45" t="n">
        <f aca="false">IF(AS6=0,0,AT6/AS6-1)</f>
        <v>0.123179458569607</v>
      </c>
      <c r="AX6" s="43" t="n">
        <f aca="false">INDEX(Context!$AB$4:$AB$51,$K6)</f>
        <v>2.55066767693214</v>
      </c>
      <c r="AY6" s="43" t="n">
        <f aca="false">AX6*(1+INDEX(Response_Table!$J$4:$J$21,MATCH($F6&amp;"|mid",Response_Table!$A$4:$A$21,0))*$R6*INDEX(Parameters!$X$10:$AA$10,1,MATCH($E6,Parameters!$X$3:$AA$3,0)))</f>
        <v>2.34270239077723</v>
      </c>
      <c r="AZ6" s="43" t="n">
        <f aca="false">MAX(0,MIN(AX6*(1+INDEX(Response_Table!$J$4:$J$21,MATCH($F6&amp;"|low",Response_Table!$A$4:$A$21,0))*$R6*INDEX(Parameters!$X$10:$AA$10,1,MATCH($E6,Parameters!$X$3:$AA$3,0))),AX6*(1+INDEX(Response_Table!$J$4:$J$21,MATCH($F6&amp;"|high",Response_Table!$A$4:$A$21,0))*$R6*INDEX(Parameters!$X$10:$AA$10,1,MATCH($E6,Parameters!$X$3:$AA$3,0))))*(1-Inputs_General!$C$22*Parameters!$F$10))</f>
        <v>1.83310156476899</v>
      </c>
      <c r="BA6" s="43" t="n">
        <f aca="false">MAX(AX6*(1+INDEX(Response_Table!$J$4:$J$21,MATCH($F6&amp;"|low",Response_Table!$A$4:$A$21,0))*$R6*INDEX(Parameters!$X$10:$AA$10,1,MATCH($E6,Parameters!$X$3:$AA$3,0))),AX6*(1+INDEX(Response_Table!$J$4:$J$21,MATCH($F6&amp;"|high",Response_Table!$A$4:$A$21,0))*$R6*INDEX(Parameters!$X$10:$AA$10,1,MATCH($E6,Parameters!$X$3:$AA$3,0))))*(1+Inputs_General!$C$22*Parameters!$F$10)</f>
        <v>2.88895029279335</v>
      </c>
      <c r="BB6" s="45" t="n">
        <f aca="false">IF(AX6=0,0,AY6/AX6-1)</f>
        <v>-0.081533665885101</v>
      </c>
      <c r="BC6" s="46" t="n">
        <f aca="false">Parameters!$E$11*IF($N6="V",Parameters!$I$11,IF($N6="F",Parameters!$J$11,Parameters!$K$11))*(1-Parameters!$L$11*$P6)*IF($D6="V1",Parameters!$M$11,IF($D6="V2",Parameters!$N$11,Parameters!$O$11))</f>
        <v>1.25</v>
      </c>
      <c r="BD6" s="46" t="n">
        <f aca="false">BC6*(1+INDEX(Response_Table!$K$4:$K$21,MATCH($F6&amp;"|mid",Response_Table!$A$4:$A$21,0))*$R6*INDEX(Parameters!$X$11:$AA$11,1,MATCH($E6,Parameters!$X$3:$AA$3,0)))</f>
        <v>1.07212036836121</v>
      </c>
      <c r="BE6" s="46" t="n">
        <f aca="false">MAX(0,MIN(BC6*(1+INDEX(Response_Table!$K$4:$K$21,MATCH($F6&amp;"|low",Response_Table!$A$4:$A$21,0))*$R6*INDEX(Parameters!$X$11:$AA$11,1,MATCH($E6,Parameters!$X$3:$AA$3,0))),BC6*(1+INDEX(Response_Table!$K$4:$K$21,MATCH($F6&amp;"|high",Response_Table!$A$4:$A$21,0))*$R6*INDEX(Parameters!$X$11:$AA$11,1,MATCH($E6,Parameters!$X$3:$AA$3,0))))*(1-Inputs_General!$C$22*Parameters!$F$11))</f>
        <v>0.857465204492475</v>
      </c>
      <c r="BF6" s="46" t="n">
        <f aca="false">MAX(BC6*(1+INDEX(Response_Table!$K$4:$K$21,MATCH($F6&amp;"|low",Response_Table!$A$4:$A$21,0))*$R6*INDEX(Parameters!$X$11:$AA$11,1,MATCH($E6,Parameters!$X$3:$AA$3,0))),BC6*(1+INDEX(Response_Table!$K$4:$K$21,MATCH($F6&amp;"|high",Response_Table!$A$4:$A$21,0))*$R6*INDEX(Parameters!$X$11:$AA$11,1,MATCH($E6,Parameters!$X$3:$AA$3,0))))*(1+Inputs_General!$C$22*Parameters!$F$11)</f>
        <v>1.31525331645434</v>
      </c>
      <c r="BG6" s="45" t="n">
        <f aca="false">IF(BC6=0,0,BD6/BC6-1)</f>
        <v>-0.142303705311033</v>
      </c>
      <c r="BH6" s="46" t="n">
        <f aca="false">Parameters!$E$12*IF($N6="V",Parameters!$I$12,IF($N6="F",Parameters!$J$12,Parameters!$K$12))*(1-Parameters!$L$12*$P6)*IF($D6="V1",Parameters!$M$12,IF($D6="V2",Parameters!$N$12,Parameters!$O$12))</f>
        <v>0.45</v>
      </c>
      <c r="BI6" s="46" t="n">
        <f aca="false">BH6*(1+INDEX(Response_Table!$L$4:$L$21,MATCH($F6&amp;"|mid",Response_Table!$A$4:$A$21,0))*$R6*INDEX(Parameters!$X$12:$AA$12,1,MATCH($E6,Parameters!$X$3:$AA$3,0)))</f>
        <v>0.398365096231281</v>
      </c>
      <c r="BJ6" s="46" t="n">
        <f aca="false">MAX(0,MIN(BH6*(1+INDEX(Response_Table!$L$4:$L$21,MATCH($F6&amp;"|low",Response_Table!$A$4:$A$21,0))*$R6*INDEX(Parameters!$X$12:$AA$12,1,MATCH($E6,Parameters!$X$3:$AA$3,0))),BH6*(1+INDEX(Response_Table!$L$4:$L$21,MATCH($F6&amp;"|high",Response_Table!$A$4:$A$21,0))*$R6*INDEX(Parameters!$X$12:$AA$12,1,MATCH($E6,Parameters!$X$3:$AA$3,0))))*(1-Inputs_General!$C$22*Parameters!$F$12))</f>
        <v>0.308764522659705</v>
      </c>
      <c r="BK6" s="46" t="n">
        <f aca="false">MAX(BH6*(1+INDEX(Response_Table!$L$4:$L$21,MATCH($F6&amp;"|low",Response_Table!$A$4:$A$21,0))*$R6*INDEX(Parameters!$X$12:$AA$12,1,MATCH($E6,Parameters!$X$3:$AA$3,0))),BH6*(1+INDEX(Response_Table!$L$4:$L$21,MATCH($F6&amp;"|high",Response_Table!$A$4:$A$21,0))*$R6*INDEX(Parameters!$X$12:$AA$12,1,MATCH($E6,Parameters!$X$3:$AA$3,0))))*(1+Inputs_General!$C$22*Parameters!$F$12)</f>
        <v>0.497180610703409</v>
      </c>
      <c r="BL6" s="45" t="n">
        <f aca="false">IF(BH6=0,0,BI6/BH6-1)</f>
        <v>-0.114744230597153</v>
      </c>
      <c r="BM6" s="46" t="n">
        <f aca="false">Parameters!$E$13*IF($N6="V",Parameters!$I$13,IF($N6="F",Parameters!$J$13,Parameters!$K$13))*(1-Parameters!$L$13*$P6)*IF($D6="V1",Parameters!$M$13,IF($D6="V2",Parameters!$N$13,Parameters!$O$13))</f>
        <v>0.3</v>
      </c>
      <c r="BN6" s="46" t="n">
        <f aca="false">BM6*(1+INDEX(Response_Table!$M$4:$M$21,MATCH($F6&amp;"|mid",Response_Table!$A$4:$A$21,0))*$R6*INDEX(Parameters!$X$13:$AA$13,1,MATCH($E6,Parameters!$X$3:$AA$3,0)))</f>
        <v>0.287096777173604</v>
      </c>
      <c r="BO6" s="46" t="n">
        <f aca="false">MAX(0,MIN(BM6*(1+INDEX(Response_Table!$M$4:$M$21,MATCH($F6&amp;"|low",Response_Table!$A$4:$A$21,0))*$R6*INDEX(Parameters!$X$13:$AA$13,1,MATCH($E6,Parameters!$X$3:$AA$3,0))),BM6*(1+INDEX(Response_Table!$M$4:$M$21,MATCH($F6&amp;"|high",Response_Table!$A$4:$A$21,0))*$R6*INDEX(Parameters!$X$13:$AA$13,1,MATCH($E6,Parameters!$X$3:$AA$3,0))))*(1-Inputs_General!$C$22*Parameters!$F$13))</f>
        <v>0.222086943708864</v>
      </c>
      <c r="BP6" s="46" t="n">
        <f aca="false">MAX(BM6*(1+INDEX(Response_Table!$M$4:$M$21,MATCH($F6&amp;"|low",Response_Table!$A$4:$A$21,0))*$R6*INDEX(Parameters!$X$13:$AA$13,1,MATCH($E6,Parameters!$X$3:$AA$3,0))),BM6*(1+INDEX(Response_Table!$M$4:$M$21,MATCH($F6&amp;"|high",Response_Table!$A$4:$A$21,0))*$R6*INDEX(Parameters!$X$13:$AA$13,1,MATCH($E6,Parameters!$X$3:$AA$3,0))))*(1+Inputs_General!$C$22*Parameters!$F$13)</f>
        <v>0.356903320056562</v>
      </c>
      <c r="BQ6" s="45" t="n">
        <f aca="false">IF(BM6=0,0,BN6/BM6-1)</f>
        <v>-0.043010742754652</v>
      </c>
      <c r="BR6" s="44" t="n">
        <f aca="false">Parameters!$E$14*IF($N6="V",Parameters!$I$14,IF($N6="F",Parameters!$J$14,Parameters!$K$14))*(1-Parameters!$L$14*$P6)*IF($D6="V1",Parameters!$M$14,IF($D6="V2",Parameters!$N$14,Parameters!$O$14))*INDEX(Context!$AC$4:$AC$51,$K6)</f>
        <v>15</v>
      </c>
      <c r="BS6" s="44" t="n">
        <f aca="false">BR6*(1+INDEX(Response_Table!$N$4:$N$21,MATCH($F6&amp;"|mid",Response_Table!$A$4:$A$21,0))*$R6*INDEX(Parameters!$X$14:$AA$14,1,MATCH($E6,Parameters!$X$3:$AA$3,0)))</f>
        <v>16.877632864317</v>
      </c>
      <c r="BT6" s="44" t="n">
        <f aca="false">MAX(0,MIN(BR6*(1+INDEX(Response_Table!$N$4:$N$21,MATCH($F6&amp;"|low",Response_Table!$A$4:$A$21,0))*$R6*INDEX(Parameters!$X$14:$AA$14,1,MATCH($E6,Parameters!$X$3:$AA$3,0))),BR6*(1+INDEX(Response_Table!$N$4:$N$21,MATCH($F6&amp;"|high",Response_Table!$A$4:$A$21,0))*$R6*INDEX(Parameters!$X$14:$AA$14,1,MATCH($E6,Parameters!$X$3:$AA$3,0))))*(1-Inputs_General!$C$22*Parameters!$F$14))</f>
        <v>8.23814308057528</v>
      </c>
      <c r="BU6" s="44" t="n">
        <f aca="false">MAX(BR6*(1+INDEX(Response_Table!$N$4:$N$21,MATCH($F6&amp;"|low",Response_Table!$A$4:$A$21,0))*$R6*INDEX(Parameters!$X$14:$AA$14,1,MATCH($E6,Parameters!$X$3:$AA$3,0))),BR6*(1+INDEX(Response_Table!$N$4:$N$21,MATCH($F6&amp;"|high",Response_Table!$A$4:$A$21,0))*$R6*INDEX(Parameters!$X$14:$AA$14,1,MATCH($E6,Parameters!$X$3:$AA$3,0))))*(1+Inputs_General!$C$22*Parameters!$F$14)</f>
        <v>25.9485924906658</v>
      </c>
      <c r="BV6" s="45" t="n">
        <f aca="false">IF(BR6=0,0,BS6/BR6-1)</f>
        <v>0.125175524287803</v>
      </c>
      <c r="BW6" s="43" t="n">
        <f aca="false">Parameters!$E$15*IF($N6="V",Parameters!$I$15,IF($N6="F",Parameters!$J$15,Parameters!$K$15))*(1-Parameters!$L$15*$P6)*IF($D6="V1",Parameters!$M$15,IF($D6="V2",Parameters!$N$15,Parameters!$O$15))</f>
        <v>10.4</v>
      </c>
      <c r="BX6" s="43" t="n">
        <f aca="false">BW6*(1+INDEX(Response_Table!$O$4:$O$21,MATCH($F6&amp;"|mid",Response_Table!$A$4:$A$21,0))*$R6*INDEX(Parameters!$X$15:$AA$15,1,MATCH($E6,Parameters!$X$3:$AA$3,0)))</f>
        <v>10.0745436368517</v>
      </c>
      <c r="BY6" s="43" t="n">
        <f aca="false">MAX(0,MIN(BW6*(1+INDEX(Response_Table!$O$4:$O$21,MATCH($F6&amp;"|low",Response_Table!$A$4:$A$21,0))*$R6*INDEX(Parameters!$X$15:$AA$15,1,MATCH($E6,Parameters!$X$3:$AA$3,0))),BW6*(1+INDEX(Response_Table!$O$4:$O$21,MATCH($F6&amp;"|high",Response_Table!$A$4:$A$21,0))*$R6*INDEX(Parameters!$X$15:$AA$15,1,MATCH($E6,Parameters!$X$3:$AA$3,0))))*(1-Inputs_General!$C$22*Parameters!$F$15))</f>
        <v>8.01672668827935</v>
      </c>
      <c r="BZ6" s="43" t="n">
        <f aca="false">MAX(BW6*(1+INDEX(Response_Table!$O$4:$O$21,MATCH($F6&amp;"|low",Response_Table!$A$4:$A$21,0))*$R6*INDEX(Parameters!$X$15:$AA$15,1,MATCH($E6,Parameters!$X$3:$AA$3,0))),BW6*(1+INDEX(Response_Table!$O$4:$O$21,MATCH($F6&amp;"|high",Response_Table!$A$4:$A$21,0))*$R6*INDEX(Parameters!$X$15:$AA$15,1,MATCH($E6,Parameters!$X$3:$AA$3,0))))*(1+Inputs_General!$C$22*Parameters!$F$15)</f>
        <v>12.1904426371609</v>
      </c>
      <c r="CA6" s="45" t="n">
        <f aca="false">IF(BW6=0,0,BX6/BW6-1)</f>
        <v>-0.0312938810719508</v>
      </c>
      <c r="CB6" s="46" t="n">
        <f aca="false">BD6+BI6</f>
        <v>1.47048546459249</v>
      </c>
      <c r="CC6" s="43" t="n">
        <f aca="false">BD6/BI6</f>
        <v>2.69130096613374</v>
      </c>
      <c r="CD6" s="46" t="n">
        <f aca="false">BN6/CB6</f>
        <v>0.195239452607011</v>
      </c>
      <c r="CE6" s="43" t="n">
        <f aca="false">AE6/AO6</f>
        <v>3.55433928878124</v>
      </c>
      <c r="CF6" s="44" t="n">
        <f aca="false">AE6/AJ6</f>
        <v>35.0778015055972</v>
      </c>
      <c r="CG6" s="44" t="n">
        <f aca="false">INDEX(Context!$V$4:$V$51,$K6)</f>
        <v>22.6257142857143</v>
      </c>
      <c r="CH6" s="44" t="n">
        <f aca="false">INDEX(Context!$Y$4:$Y$51,$K6)</f>
        <v>21.3177449518561</v>
      </c>
      <c r="CI6" s="44" t="n">
        <f aca="false">INDEX(Context!$Z$4:$Z$51,$K6)</f>
        <v>26.6257142857143</v>
      </c>
      <c r="CJ6" s="43" t="n">
        <f aca="false">INDEX(Context!$AA$4:$AA$51,$K6)</f>
        <v>0.2</v>
      </c>
      <c r="CK6" s="43" t="n">
        <f aca="false">MAX(0,MIN(1,1-(1-CJ6)*AO6/AN6))</f>
        <v>0.345387679727979</v>
      </c>
      <c r="CL6" s="44" t="n">
        <f aca="false">CH6+CK6*(CI6-CH6)</f>
        <v>23.1510521641446</v>
      </c>
      <c r="CM6" s="44" t="n">
        <f aca="false">CH6+MAX(0,MIN(1,1-(1-CJ6)*AQ6/AN6))*(CI6-CH6)</f>
        <v>21.6327034160092</v>
      </c>
      <c r="CN6" s="44" t="n">
        <f aca="false">CH6+MAX(0,MIN(1,1-(1-CJ6)*AP6/AN6))*(CI6-CH6)</f>
        <v>24.3971417143908</v>
      </c>
      <c r="CO6" s="44" t="n">
        <f aca="false">CL6-CG6</f>
        <v>0.525337878430324</v>
      </c>
      <c r="CP6" s="44" t="n">
        <f aca="false">CL6-(CH6+CJ6*(CI6-CH6))</f>
        <v>0.771713345516915</v>
      </c>
      <c r="CQ6" s="46" t="n">
        <f aca="false">CL6/CG6</f>
        <v>1.02321862071608</v>
      </c>
      <c r="CR6" s="43" t="n">
        <f aca="false">IF(CL6-CH6&lt;=0,"n/a",(CI6-CL6)/(CL6-CH6))</f>
        <v>1.89529725202584</v>
      </c>
      <c r="CS6" s="43" t="n">
        <f aca="false">IF(CI6-CL6&lt;=0,"n/a",(CL6-CH6)/(CI6-CL6))</f>
        <v>0.527621722097217</v>
      </c>
      <c r="CT6" s="43" t="n">
        <f aca="false">Inputs_General!$C$23+Inputs_General!$C$24*$I6</f>
        <v>0.96</v>
      </c>
      <c r="CU6" s="44" t="n">
        <f aca="false">3.29*CT6</f>
        <v>3.1584</v>
      </c>
    </row>
    <row r="7" customFormat="false" ht="15" hidden="false" customHeight="false" outlineLevel="0" collapsed="false">
      <c r="A7" s="9" t="str">
        <f aca="false">B7&amp;"|"&amp;E7&amp;"|"&amp;F7</f>
        <v>D1V1|11/02/2026|High</v>
      </c>
      <c r="B7" s="7" t="s">
        <v>340</v>
      </c>
      <c r="C7" s="9" t="s">
        <v>127</v>
      </c>
      <c r="D7" s="9" t="s">
        <v>142</v>
      </c>
      <c r="E7" s="9" t="s">
        <v>158</v>
      </c>
      <c r="F7" s="7" t="s">
        <v>283</v>
      </c>
      <c r="G7" s="9" t="s">
        <v>284</v>
      </c>
      <c r="H7" s="41" t="n">
        <f aca="false">INDEX(Severity_Classes!$C$4:$C$9,MATCH(F7,Severity_Classes!$A$4:$A$9,0))</f>
        <v>0.26</v>
      </c>
      <c r="I7" s="41" t="n">
        <f aca="false">INDEX(Severity_Classes!$D$4:$D$9,MATCH(F7,Severity_Classes!$A$4:$A$9,0))</f>
        <v>0.38</v>
      </c>
      <c r="J7" s="41" t="n">
        <f aca="false">INDEX(Severity_Classes!$E$4:$E$9,MATCH(F7,Severity_Classes!$A$4:$A$9,0))</f>
        <v>0.5</v>
      </c>
      <c r="K7" s="42" t="n">
        <f aca="false">MATCH(B7&amp;"|"&amp;E7,Context!$A$4:$A$51,0)</f>
        <v>1</v>
      </c>
      <c r="L7" s="42" t="n">
        <f aca="false">INDEX(Context!$H$4:$H$51,K7)</f>
        <v>64</v>
      </c>
      <c r="M7" s="42" t="n">
        <f aca="false">INDEX(Context!$I$4:$I$51,K7)</f>
        <v>6</v>
      </c>
      <c r="N7" s="9" t="str">
        <f aca="false">INDEX(Context!$L$4:$L$51,K7)</f>
        <v>F</v>
      </c>
      <c r="O7" s="9" t="str">
        <f aca="false">INDEX(Context!$M$4:$M$51,K7)</f>
        <v>5th fully expanded leaf from top</v>
      </c>
      <c r="P7" s="43" t="n">
        <f aca="false">INDEX(Context!$R$4:$R$51,K7)</f>
        <v>0</v>
      </c>
      <c r="Q7" s="43" t="n">
        <f aca="false">INDEX(Context!$U$4:$U$51,K7)</f>
        <v>0.937791824040773</v>
      </c>
      <c r="R7" s="43" t="n">
        <f aca="false">INDEX(Context!$AD$4:$AD$51,K7)</f>
        <v>1</v>
      </c>
      <c r="S7" s="9" t="str">
        <f aca="false">INDEX(Context!$AI$4:$AN$51,K7,MATCH(F7,Severity_Classes!$A$4:$A$9,0))</f>
        <v>Unlikely (only via pre-inoculation natural infection)</v>
      </c>
      <c r="T7" s="44" t="n">
        <f aca="false">Parameters!$E$4*IF($N7="V",Parameters!$I$4,IF($N7="F",Parameters!$J$4,Parameters!$K$4))*(1-Parameters!$L$4*$P7)*IF($D7="V1",Parameters!$M$4,IF($D7="V2",Parameters!$N$4,Parameters!$O$4))</f>
        <v>85.14</v>
      </c>
      <c r="U7" s="44" t="n">
        <f aca="false">MIN(100,T7*(1+INDEX(Response_Table!$E$4:$E$21,MATCH($F7&amp;"|mid",Response_Table!$A$4:$A$21,0))*$R7*INDEX(Parameters!$X$4:$AA$4,1,MATCH($E7,Parameters!$X$3:$AA$3,0))))</f>
        <v>78.263017995629</v>
      </c>
      <c r="V7" s="44" t="n">
        <f aca="false">MAX(0,MIN(T7*(1+INDEX(Response_Table!$E$4:$E$21,MATCH($F7&amp;"|low",Response_Table!$A$4:$A$21,0))*$R7*INDEX(Parameters!$X$4:$AA$4,1,MATCH($E7,Parameters!$X$3:$AA$3,0))),T7*(1+INDEX(Response_Table!$E$4:$E$21,MATCH($F7&amp;"|high",Response_Table!$A$4:$A$21,0))*$R7*INDEX(Parameters!$X$4:$AA$4,1,MATCH($E7,Parameters!$X$3:$AA$3,0))))*(1-Inputs_General!$C$22*Parameters!$F$4))</f>
        <v>70.4078594559673</v>
      </c>
      <c r="W7" s="44" t="n">
        <f aca="false">MIN(100,MAX(T7*(1+INDEX(Response_Table!$E$4:$E$21,MATCH($F7&amp;"|low",Response_Table!$A$4:$A$21,0))*$R7*INDEX(Parameters!$X$4:$AA$4,1,MATCH($E7,Parameters!$X$3:$AA$3,0))),T7*(1+INDEX(Response_Table!$E$4:$E$21,MATCH($F7&amp;"|high",Response_Table!$A$4:$A$21,0))*$R7*INDEX(Parameters!$X$4:$AA$4,1,MATCH($E7,Parameters!$X$3:$AA$3,0))))*(1+Inputs_General!$C$22*Parameters!$F$4))</f>
        <v>86.875662978647</v>
      </c>
      <c r="X7" s="45" t="n">
        <f aca="false">IF(T7=0,0,U7/T7-1)</f>
        <v>-0.0807726333611811</v>
      </c>
      <c r="Y7" s="44" t="n">
        <f aca="false">Parameters!$E$5*IF($N7="V",Parameters!$I$5,IF($N7="F",Parameters!$J$5,Parameters!$K$5))*(1-Parameters!$L$5*$P7)*IF($D7="V1",Parameters!$M$5,IF($D7="V2",Parameters!$N$5,Parameters!$O$5))</f>
        <v>70.56</v>
      </c>
      <c r="Z7" s="44" t="n">
        <f aca="false">MIN(100,Y7*(1+INDEX(Response_Table!$F$4:$F$21,MATCH($F7&amp;"|mid",Response_Table!$A$4:$A$21,0))*$R7*INDEX(Parameters!$X$5:$AA$5,1,MATCH($E7,Parameters!$X$3:$AA$3,0))))</f>
        <v>52.9096642382725</v>
      </c>
      <c r="AA7" s="44" t="n">
        <f aca="false">MAX(0,MIN(Y7*(1+INDEX(Response_Table!$F$4:$F$21,MATCH($F7&amp;"|low",Response_Table!$A$4:$A$21,0))*$R7*INDEX(Parameters!$X$5:$AA$5,1,MATCH($E7,Parameters!$X$3:$AA$3,0))),Y7*(1+INDEX(Response_Table!$F$4:$F$21,MATCH($F7&amp;"|high",Response_Table!$A$4:$A$21,0))*$R7*INDEX(Parameters!$X$5:$AA$5,1,MATCH($E7,Parameters!$X$3:$AA$3,0))))*(1-Inputs_General!$C$22*Parameters!$F$5))</f>
        <v>42.8950857283247</v>
      </c>
      <c r="AB7" s="44" t="n">
        <f aca="false">MIN(100,MAX(Y7*(1+INDEX(Response_Table!$F$4:$F$21,MATCH($F7&amp;"|low",Response_Table!$A$4:$A$21,0))*$R7*INDEX(Parameters!$X$5:$AA$5,1,MATCH($E7,Parameters!$X$3:$AA$3,0))),Y7*(1+INDEX(Response_Table!$F$4:$F$21,MATCH($F7&amp;"|high",Response_Table!$A$4:$A$21,0))*$R7*INDEX(Parameters!$X$5:$AA$5,1,MATCH($E7,Parameters!$X$3:$AA$3,0))))*(1+Inputs_General!$C$22*Parameters!$F$5))</f>
        <v>67.2083308146862</v>
      </c>
      <c r="AC7" s="45" t="n">
        <f aca="false">IF(Y7=0,0,Z7/Y7-1)</f>
        <v>-0.250146481883893</v>
      </c>
      <c r="AD7" s="44" t="n">
        <f aca="false">Parameters!$E$6*IF($N7="V",Parameters!$I$6,IF($N7="F",Parameters!$J$6,Parameters!$K$6))*(1-Parameters!$L$6*$P7)*IF($D7="V1",Parameters!$M$6,IF($D7="V2",Parameters!$N$6,Parameters!$O$6))</f>
        <v>19</v>
      </c>
      <c r="AE7" s="44" t="n">
        <f aca="false">AD7*(1+INDEX(Response_Table!$G$4:$G$21,MATCH($F7&amp;"|mid",Response_Table!$A$4:$A$21,0))*$R7*INDEX(Parameters!$X$6:$AA$6,1,MATCH($E7,Parameters!$X$3:$AA$3,0)))</f>
        <v>9.74172880435832</v>
      </c>
      <c r="AF7" s="44" t="n">
        <f aca="false">MAX(0,MIN(AD7*(1+INDEX(Response_Table!$G$4:$G$21,MATCH($F7&amp;"|low",Response_Table!$A$4:$A$21,0))*$R7*INDEX(Parameters!$X$6:$AA$6,1,MATCH($E7,Parameters!$X$3:$AA$3,0))),AD7*(1+INDEX(Response_Table!$G$4:$G$21,MATCH($F7&amp;"|high",Response_Table!$A$4:$A$21,0))*$R7*INDEX(Parameters!$X$6:$AA$6,1,MATCH($E7,Parameters!$X$3:$AA$3,0))))*(1-Inputs_General!$C$22*Parameters!$F$6))</f>
        <v>7.11356900987835</v>
      </c>
      <c r="AG7" s="44" t="n">
        <f aca="false">MAX(AD7*(1+INDEX(Response_Table!$G$4:$G$21,MATCH($F7&amp;"|low",Response_Table!$A$4:$A$21,0))*$R7*INDEX(Parameters!$X$6:$AA$6,1,MATCH($E7,Parameters!$X$3:$AA$3,0))),AD7*(1+INDEX(Response_Table!$G$4:$G$21,MATCH($F7&amp;"|high",Response_Table!$A$4:$A$21,0))*$R7*INDEX(Parameters!$X$6:$AA$6,1,MATCH($E7,Parameters!$X$3:$AA$3,0))))*(1+Inputs_General!$C$22*Parameters!$F$6)</f>
        <v>13.4484570821478</v>
      </c>
      <c r="AH7" s="45" t="n">
        <f aca="false">IF(AD7=0,0,AE7/AD7-1)</f>
        <v>-0.487277431349562</v>
      </c>
      <c r="AI7" s="46" t="n">
        <f aca="false">Parameters!$E$7*IF($N7="V",Parameters!$I$7,IF($N7="F",Parameters!$J$7,Parameters!$K$7))*(1-Parameters!$L$7*$P7)*IF($D7="V1",Parameters!$M$7,IF($D7="V2",Parameters!$N$7,Parameters!$O$7))*POWER($Q7/Inputs_General!$C$26,-Inputs_General!$C$25)</f>
        <v>0.464685683730118</v>
      </c>
      <c r="AJ7" s="46" t="n">
        <f aca="false">AI7*(1+INDEX(Response_Table!$H$4:$H$21,MATCH($F7&amp;"|mid",Response_Table!$A$4:$A$21,0))*$R7*INDEX(Parameters!$X$7:$AA$7,1,MATCH($E7,Parameters!$X$3:$AA$3,0)))</f>
        <v>0.300329095018212</v>
      </c>
      <c r="AK7" s="46" t="n">
        <f aca="false">MAX(0,MIN(AI7*(1+INDEX(Response_Table!$H$4:$H$21,MATCH($F7&amp;"|low",Response_Table!$A$4:$A$21,0))*$R7*INDEX(Parameters!$X$7:$AA$7,1,MATCH($E7,Parameters!$X$3:$AA$3,0))),AI7*(1+INDEX(Response_Table!$H$4:$H$21,MATCH($F7&amp;"|high",Response_Table!$A$4:$A$21,0))*$R7*INDEX(Parameters!$X$7:$AA$7,1,MATCH($E7,Parameters!$X$3:$AA$3,0))))*(1-Inputs_General!$C$22*Parameters!$F$7))</f>
        <v>0.194956037640966</v>
      </c>
      <c r="AL7" s="46" t="n">
        <f aca="false">MAX(AI7*(1+INDEX(Response_Table!$H$4:$H$21,MATCH($F7&amp;"|low",Response_Table!$A$4:$A$21,0))*$R7*INDEX(Parameters!$X$7:$AA$7,1,MATCH($E7,Parameters!$X$3:$AA$3,0))),AI7*(1+INDEX(Response_Table!$H$4:$H$21,MATCH($F7&amp;"|high",Response_Table!$A$4:$A$21,0))*$R7*INDEX(Parameters!$X$7:$AA$7,1,MATCH($E7,Parameters!$X$3:$AA$3,0))))*(1+Inputs_General!$C$22*Parameters!$F$7)</f>
        <v>0.43265992570778</v>
      </c>
      <c r="AM7" s="45" t="n">
        <f aca="false">IF(AI7=0,0,AJ7/AI7-1)</f>
        <v>-0.353694108655522</v>
      </c>
      <c r="AN7" s="43" t="n">
        <f aca="false">AI7*$Q7/Inputs_General!$C$13*1000</f>
        <v>4.38850387664553</v>
      </c>
      <c r="AO7" s="43" t="n">
        <f aca="false">AJ7*$Q7/Inputs_General!$C$13*1000*(1+Inputs_General!$C$21*$I7)</f>
        <v>3.10576592108217</v>
      </c>
      <c r="AP7" s="43" t="n">
        <f aca="false">AK7*$Q7/Inputs_General!$C$13*1000*(1+Inputs_General!$C$21*$H7)</f>
        <v>1.96084601940225</v>
      </c>
      <c r="AQ7" s="43" t="n">
        <f aca="false">AL7*$Q7/Inputs_General!$C$13*1000*(1+Inputs_General!$C$21*$J7)</f>
        <v>4.59680824303826</v>
      </c>
      <c r="AR7" s="45" t="n">
        <f aca="false">IF(AN7=0,0,AO7/AN7-1)</f>
        <v>-0.292295048977797</v>
      </c>
      <c r="AS7" s="42" t="n">
        <f aca="false">Parameters!$E$9*IF($N7="V",Parameters!$I$9,IF($N7="F",Parameters!$J$9,Parameters!$K$9))*(1-Parameters!$L$9*$P7)*IF($D7="V1",Parameters!$M$9,IF($D7="V2",Parameters!$N$9,Parameters!$O$9))</f>
        <v>285</v>
      </c>
      <c r="AT7" s="42" t="n">
        <f aca="false">AS7*(1+INDEX(Response_Table!$I$4:$I$21,MATCH($F7&amp;"|mid",Response_Table!$A$4:$A$21,0))*$R7*INDEX(Parameters!$X$9:$AA$9,1,MATCH($E7,Parameters!$X$3:$AA$3,0)))</f>
        <v>338.440106932469</v>
      </c>
      <c r="AU7" s="42" t="n">
        <f aca="false">MAX(0,MIN(AS7*(1+INDEX(Response_Table!$I$4:$I$21,MATCH($F7&amp;"|low",Response_Table!$A$4:$A$21,0))*$R7*INDEX(Parameters!$X$9:$AA$9,1,MATCH($E7,Parameters!$X$3:$AA$3,0))),AS7*(1+INDEX(Response_Table!$I$4:$I$21,MATCH($F7&amp;"|high",Response_Table!$A$4:$A$21,0))*$R7*INDEX(Parameters!$X$9:$AA$9,1,MATCH($E7,Parameters!$X$3:$AA$3,0))))*(1-Inputs_General!$C$22*Parameters!$F$9))</f>
        <v>296.729320588298</v>
      </c>
      <c r="AV7" s="42" t="n">
        <f aca="false">MAX(AS7*(1+INDEX(Response_Table!$I$4:$I$21,MATCH($F7&amp;"|low",Response_Table!$A$4:$A$21,0))*$R7*INDEX(Parameters!$X$9:$AA$9,1,MATCH($E7,Parameters!$X$3:$AA$3,0))),AS7*(1+INDEX(Response_Table!$I$4:$I$21,MATCH($F7&amp;"|high",Response_Table!$A$4:$A$21,0))*$R7*INDEX(Parameters!$X$9:$AA$9,1,MATCH($E7,Parameters!$X$3:$AA$3,0))))*(1+Inputs_General!$C$22*Parameters!$F$9)</f>
        <v>378.109987302663</v>
      </c>
      <c r="AW7" s="45" t="n">
        <f aca="false">IF(AS7=0,0,AT7/AS7-1)</f>
        <v>0.187509147131469</v>
      </c>
      <c r="AX7" s="43" t="n">
        <f aca="false">INDEX(Context!$AB$4:$AB$51,$K7)</f>
        <v>2.55066767693214</v>
      </c>
      <c r="AY7" s="43" t="n">
        <f aca="false">AX7*(1+INDEX(Response_Table!$J$4:$J$21,MATCH($F7&amp;"|mid",Response_Table!$A$4:$A$21,0))*$R7*INDEX(Parameters!$X$10:$AA$10,1,MATCH($E7,Parameters!$X$3:$AA$3,0)))</f>
        <v>2.19871821089295</v>
      </c>
      <c r="AZ7" s="43" t="n">
        <f aca="false">MAX(0,MIN(AX7*(1+INDEX(Response_Table!$J$4:$J$21,MATCH($F7&amp;"|low",Response_Table!$A$4:$A$21,0))*$R7*INDEX(Parameters!$X$10:$AA$10,1,MATCH($E7,Parameters!$X$3:$AA$3,0))),AX7*(1+INDEX(Response_Table!$J$4:$J$21,MATCH($F7&amp;"|high",Response_Table!$A$4:$A$21,0))*$R7*INDEX(Parameters!$X$10:$AA$10,1,MATCH($E7,Parameters!$X$3:$AA$3,0))))*(1-Inputs_General!$C$22*Parameters!$F$10))</f>
        <v>1.71852119493857</v>
      </c>
      <c r="BA7" s="43" t="n">
        <f aca="false">MAX(AX7*(1+INDEX(Response_Table!$J$4:$J$21,MATCH($F7&amp;"|low",Response_Table!$A$4:$A$21,0))*$R7*INDEX(Parameters!$X$10:$AA$10,1,MATCH($E7,Parameters!$X$3:$AA$3,0))),AX7*(1+INDEX(Response_Table!$J$4:$J$21,MATCH($F7&amp;"|high",Response_Table!$A$4:$A$21,0))*$R7*INDEX(Parameters!$X$10:$AA$10,1,MATCH($E7,Parameters!$X$3:$AA$3,0))))*(1+Inputs_General!$C$22*Parameters!$F$10)</f>
        <v>2.72572500642309</v>
      </c>
      <c r="BB7" s="45" t="n">
        <f aca="false">IF(AX7=0,0,AY7/AX7-1)</f>
        <v>-0.137983269722737</v>
      </c>
      <c r="BC7" s="46" t="n">
        <f aca="false">Parameters!$E$11*IF($N7="V",Parameters!$I$11,IF($N7="F",Parameters!$J$11,Parameters!$K$11))*(1-Parameters!$L$11*$P7)*IF($D7="V1",Parameters!$M$11,IF($D7="V2",Parameters!$N$11,Parameters!$O$11))</f>
        <v>1.25</v>
      </c>
      <c r="BD7" s="46" t="n">
        <f aca="false">BC7*(1+INDEX(Response_Table!$K$4:$K$21,MATCH($F7&amp;"|mid",Response_Table!$A$4:$A$21,0))*$R7*INDEX(Parameters!$X$11:$AA$11,1,MATCH($E7,Parameters!$X$3:$AA$3,0)))</f>
        <v>0.964167965112786</v>
      </c>
      <c r="BE7" s="46" t="n">
        <f aca="false">MAX(0,MIN(BC7*(1+INDEX(Response_Table!$K$4:$K$21,MATCH($F7&amp;"|low",Response_Table!$A$4:$A$21,0))*$R7*INDEX(Parameters!$X$11:$AA$11,1,MATCH($E7,Parameters!$X$3:$AA$3,0))),BC7*(1+INDEX(Response_Table!$K$4:$K$21,MATCH($F7&amp;"|high",Response_Table!$A$4:$A$21,0))*$R7*INDEX(Parameters!$X$11:$AA$11,1,MATCH($E7,Parameters!$X$3:$AA$3,0))))*(1-Inputs_General!$C$22*Parameters!$F$11))</f>
        <v>0.773481219693717</v>
      </c>
      <c r="BF7" s="46" t="n">
        <f aca="false">MAX(BC7*(1+INDEX(Response_Table!$K$4:$K$21,MATCH($F7&amp;"|low",Response_Table!$A$4:$A$21,0))*$R7*INDEX(Parameters!$X$11:$AA$11,1,MATCH($E7,Parameters!$X$3:$AA$3,0))),BC7*(1+INDEX(Response_Table!$K$4:$K$21,MATCH($F7&amp;"|high",Response_Table!$A$4:$A$21,0))*$R7*INDEX(Parameters!$X$11:$AA$11,1,MATCH($E7,Parameters!$X$3:$AA$3,0))))*(1+Inputs_General!$C$22*Parameters!$F$11)</f>
        <v>1.18842009531887</v>
      </c>
      <c r="BG7" s="45" t="n">
        <f aca="false">IF(BC7=0,0,BD7/BC7-1)</f>
        <v>-0.228665627909771</v>
      </c>
      <c r="BH7" s="46" t="n">
        <f aca="false">Parameters!$E$12*IF($N7="V",Parameters!$I$12,IF($N7="F",Parameters!$J$12,Parameters!$K$12))*(1-Parameters!$L$12*$P7)*IF($D7="V1",Parameters!$M$12,IF($D7="V2",Parameters!$N$12,Parameters!$O$12))</f>
        <v>0.45</v>
      </c>
      <c r="BI7" s="46" t="n">
        <f aca="false">BH7*(1+INDEX(Response_Table!$L$4:$L$21,MATCH($F7&amp;"|mid",Response_Table!$A$4:$A$21,0))*$R7*INDEX(Parameters!$X$12:$AA$12,1,MATCH($E7,Parameters!$X$3:$AA$3,0)))</f>
        <v>0.365827603949768</v>
      </c>
      <c r="BJ7" s="46" t="n">
        <f aca="false">MAX(0,MIN(BH7*(1+INDEX(Response_Table!$L$4:$L$21,MATCH($F7&amp;"|low",Response_Table!$A$4:$A$21,0))*$R7*INDEX(Parameters!$X$12:$AA$12,1,MATCH($E7,Parameters!$X$3:$AA$3,0))),BH7*(1+INDEX(Response_Table!$L$4:$L$21,MATCH($F7&amp;"|high",Response_Table!$A$4:$A$21,0))*$R7*INDEX(Parameters!$X$12:$AA$12,1,MATCH($E7,Parameters!$X$3:$AA$3,0))))*(1-Inputs_General!$C$22*Parameters!$F$12))</f>
        <v>0.284009927983722</v>
      </c>
      <c r="BK7" s="46" t="n">
        <f aca="false">MAX(BH7*(1+INDEX(Response_Table!$L$4:$L$21,MATCH($F7&amp;"|low",Response_Table!$A$4:$A$21,0))*$R7*INDEX(Parameters!$X$12:$AA$12,1,MATCH($E7,Parameters!$X$3:$AA$3,0))),BH7*(1+INDEX(Response_Table!$L$4:$L$21,MATCH($F7&amp;"|high",Response_Table!$A$4:$A$21,0))*$R7*INDEX(Parameters!$X$12:$AA$12,1,MATCH($E7,Parameters!$X$3:$AA$3,0))))*(1+Inputs_General!$C$22*Parameters!$F$12)</f>
        <v>0.458577550544688</v>
      </c>
      <c r="BL7" s="45" t="n">
        <f aca="false">IF(BH7=0,0,BI7/BH7-1)</f>
        <v>-0.187049769000516</v>
      </c>
      <c r="BM7" s="46" t="n">
        <f aca="false">Parameters!$E$13*IF($N7="V",Parameters!$I$13,IF($N7="F",Parameters!$J$13,Parameters!$K$13))*(1-Parameters!$L$13*$P7)*IF($D7="V1",Parameters!$M$13,IF($D7="V2",Parameters!$N$13,Parameters!$O$13))</f>
        <v>0.3</v>
      </c>
      <c r="BN7" s="46" t="n">
        <f aca="false">BM7*(1+INDEX(Response_Table!$M$4:$M$21,MATCH($F7&amp;"|mid",Response_Table!$A$4:$A$21,0))*$R7*INDEX(Parameters!$X$13:$AA$13,1,MATCH($E7,Parameters!$X$3:$AA$3,0)))</f>
        <v>0.262655314878616</v>
      </c>
      <c r="BO7" s="46" t="n">
        <f aca="false">MAX(0,MIN(BM7*(1+INDEX(Response_Table!$M$4:$M$21,MATCH($F7&amp;"|low",Response_Table!$A$4:$A$21,0))*$R7*INDEX(Parameters!$X$13:$AA$13,1,MATCH($E7,Parameters!$X$3:$AA$3,0))),BM7*(1+INDEX(Response_Table!$M$4:$M$21,MATCH($F7&amp;"|high",Response_Table!$A$4:$A$21,0))*$R7*INDEX(Parameters!$X$13:$AA$13,1,MATCH($E7,Parameters!$X$3:$AA$3,0))))*(1-Inputs_General!$C$22*Parameters!$F$13))</f>
        <v>0.204471565875015</v>
      </c>
      <c r="BP7" s="46" t="n">
        <f aca="false">MAX(BM7*(1+INDEX(Response_Table!$M$4:$M$21,MATCH($F7&amp;"|low",Response_Table!$A$4:$A$21,0))*$R7*INDEX(Parameters!$X$13:$AA$13,1,MATCH($E7,Parameters!$X$3:$AA$3,0))),BM7*(1+INDEX(Response_Table!$M$4:$M$21,MATCH($F7&amp;"|high",Response_Table!$A$4:$A$21,0))*$R7*INDEX(Parameters!$X$13:$AA$13,1,MATCH($E7,Parameters!$X$3:$AA$3,0))))*(1+Inputs_General!$C$22*Parameters!$F$13)</f>
        <v>0.329738006211438</v>
      </c>
      <c r="BQ7" s="45" t="n">
        <f aca="false">IF(BM7=0,0,BN7/BM7-1)</f>
        <v>-0.124482283737948</v>
      </c>
      <c r="BR7" s="44" t="n">
        <f aca="false">Parameters!$E$14*IF($N7="V",Parameters!$I$14,IF($N7="F",Parameters!$J$14,Parameters!$K$14))*(1-Parameters!$L$14*$P7)*IF($D7="V1",Parameters!$M$14,IF($D7="V2",Parameters!$N$14,Parameters!$O$14))*INDEX(Context!$AC$4:$AC$51,$K7)</f>
        <v>15</v>
      </c>
      <c r="BS7" s="44" t="n">
        <f aca="false">BR7*(1+INDEX(Response_Table!$N$4:$N$21,MATCH($F7&amp;"|mid",Response_Table!$A$4:$A$21,0))*$R7*INDEX(Parameters!$X$14:$AA$14,1,MATCH($E7,Parameters!$X$3:$AA$3,0)))</f>
        <v>18.0608144018266</v>
      </c>
      <c r="BT7" s="44" t="n">
        <f aca="false">MAX(0,MIN(BR7*(1+INDEX(Response_Table!$N$4:$N$21,MATCH($F7&amp;"|low",Response_Table!$A$4:$A$21,0))*$R7*INDEX(Parameters!$X$14:$AA$14,1,MATCH($E7,Parameters!$X$3:$AA$3,0))),BR7*(1+INDEX(Response_Table!$N$4:$N$21,MATCH($F7&amp;"|high",Response_Table!$A$4:$A$21,0))*$R7*INDEX(Parameters!$X$14:$AA$14,1,MATCH($E7,Parameters!$X$3:$AA$3,0))))*(1-Inputs_General!$C$22*Parameters!$F$14))</f>
        <v>8.83192809873257</v>
      </c>
      <c r="BU7" s="44" t="n">
        <f aca="false">MAX(BR7*(1+INDEX(Response_Table!$N$4:$N$21,MATCH($F7&amp;"|low",Response_Table!$A$4:$A$21,0))*$R7*INDEX(Parameters!$X$14:$AA$14,1,MATCH($E7,Parameters!$X$3:$AA$3,0))),BR7*(1+INDEX(Response_Table!$N$4:$N$21,MATCH($F7&amp;"|high",Response_Table!$A$4:$A$21,0))*$R7*INDEX(Parameters!$X$14:$AA$14,1,MATCH($E7,Parameters!$X$3:$AA$3,0))))*(1+Inputs_General!$C$22*Parameters!$F$14)</f>
        <v>27.6236479761824</v>
      </c>
      <c r="BV7" s="45" t="n">
        <f aca="false">IF(BR7=0,0,BS7/BR7-1)</f>
        <v>0.204054293455109</v>
      </c>
      <c r="BW7" s="43" t="n">
        <f aca="false">Parameters!$E$15*IF($N7="V",Parameters!$I$15,IF($N7="F",Parameters!$J$15,Parameters!$K$15))*(1-Parameters!$L$15*$P7)*IF($D7="V1",Parameters!$M$15,IF($D7="V2",Parameters!$N$15,Parameters!$O$15))</f>
        <v>10.4</v>
      </c>
      <c r="BX7" s="43" t="n">
        <f aca="false">BW7*(1+INDEX(Response_Table!$O$4:$O$21,MATCH($F7&amp;"|mid",Response_Table!$A$4:$A$21,0))*$R7*INDEX(Parameters!$X$15:$AA$15,1,MATCH($E7,Parameters!$X$3:$AA$3,0)))</f>
        <v>9.86945883701672</v>
      </c>
      <c r="BY7" s="43" t="n">
        <f aca="false">MAX(0,MIN(BW7*(1+INDEX(Response_Table!$O$4:$O$21,MATCH($F7&amp;"|low",Response_Table!$A$4:$A$21,0))*$R7*INDEX(Parameters!$X$15:$AA$15,1,MATCH($E7,Parameters!$X$3:$AA$3,0))),BW7*(1+INDEX(Response_Table!$O$4:$O$21,MATCH($F7&amp;"|high",Response_Table!$A$4:$A$21,0))*$R7*INDEX(Parameters!$X$15:$AA$15,1,MATCH($E7,Parameters!$X$3:$AA$3,0))))*(1-Inputs_General!$C$22*Parameters!$F$15))</f>
        <v>7.8606977278974</v>
      </c>
      <c r="BZ7" s="43" t="n">
        <f aca="false">MAX(BW7*(1+INDEX(Response_Table!$O$4:$O$21,MATCH($F7&amp;"|low",Response_Table!$A$4:$A$21,0))*$R7*INDEX(Parameters!$X$15:$AA$15,1,MATCH($E7,Parameters!$X$3:$AA$3,0))),BW7*(1+INDEX(Response_Table!$O$4:$O$21,MATCH($F7&amp;"|high",Response_Table!$A$4:$A$21,0))*$R7*INDEX(Parameters!$X$15:$AA$15,1,MATCH($E7,Parameters!$X$3:$AA$3,0))))*(1+Inputs_General!$C$22*Parameters!$F$15)</f>
        <v>11.9471263791908</v>
      </c>
      <c r="CA7" s="45" t="n">
        <f aca="false">IF(BW7=0,0,BX7/BW7-1)</f>
        <v>-0.0510135733637772</v>
      </c>
      <c r="CB7" s="46" t="n">
        <f aca="false">BD7+BI7</f>
        <v>1.32999556906255</v>
      </c>
      <c r="CC7" s="43" t="n">
        <f aca="false">BD7/BI7</f>
        <v>2.63558013310876</v>
      </c>
      <c r="CD7" s="46" t="n">
        <f aca="false">BN7/CB7</f>
        <v>0.197485857087289</v>
      </c>
      <c r="CE7" s="43" t="n">
        <f aca="false">AE7/AO7</f>
        <v>3.13665905670184</v>
      </c>
      <c r="CF7" s="44" t="n">
        <f aca="false">AE7/AJ7</f>
        <v>32.4368466657138</v>
      </c>
      <c r="CG7" s="44" t="n">
        <f aca="false">INDEX(Context!$V$4:$V$51,$K7)</f>
        <v>22.6257142857143</v>
      </c>
      <c r="CH7" s="44" t="n">
        <f aca="false">INDEX(Context!$Y$4:$Y$51,$K7)</f>
        <v>21.3177449518561</v>
      </c>
      <c r="CI7" s="44" t="n">
        <f aca="false">INDEX(Context!$Z$4:$Z$51,$K7)</f>
        <v>26.6257142857143</v>
      </c>
      <c r="CJ7" s="43" t="n">
        <f aca="false">INDEX(Context!$AA$4:$AA$51,$K7)</f>
        <v>0.2</v>
      </c>
      <c r="CK7" s="43" t="n">
        <f aca="false">MAX(0,MIN(1,1-(1-CJ7)*AO7/AN7))</f>
        <v>0.433836039182237</v>
      </c>
      <c r="CL7" s="44" t="n">
        <f aca="false">CH7+CK7*(CI7-CH7)</f>
        <v>23.6205333437579</v>
      </c>
      <c r="CM7" s="44" t="n">
        <f aca="false">CH7+MAX(0,MIN(1,1-(1-CJ7)*AQ7/AN7))*(CI7-CH7)</f>
        <v>22.1777807077088</v>
      </c>
      <c r="CN7" s="44" t="n">
        <f aca="false">CH7+MAX(0,MIN(1,1-(1-CJ7)*AP7/AN7))*(CI7-CH7)</f>
        <v>24.7283732634503</v>
      </c>
      <c r="CO7" s="44" t="n">
        <f aca="false">CL7-CG7</f>
        <v>0.994819058043596</v>
      </c>
      <c r="CP7" s="44" t="n">
        <f aca="false">CL7-(CH7+CJ7*(CI7-CH7))</f>
        <v>1.24119452513019</v>
      </c>
      <c r="CQ7" s="46" t="n">
        <f aca="false">CL7/CG7</f>
        <v>1.04396851500382</v>
      </c>
      <c r="CR7" s="43" t="n">
        <f aca="false">IF(CL7-CH7&lt;=0,"n/a",(CI7-CL7)/(CL7-CH7))</f>
        <v>1.30501827806874</v>
      </c>
      <c r="CS7" s="43" t="n">
        <f aca="false">IF(CI7-CL7&lt;=0,"n/a",(CL7-CH7)/(CI7-CL7))</f>
        <v>0.766272792347304</v>
      </c>
      <c r="CT7" s="43" t="n">
        <f aca="false">Inputs_General!$C$23+Inputs_General!$C$24*$I7</f>
        <v>1.36</v>
      </c>
      <c r="CU7" s="44" t="n">
        <f aca="false">3.29*CT7</f>
        <v>4.4744</v>
      </c>
    </row>
    <row r="8" customFormat="false" ht="15" hidden="false" customHeight="false" outlineLevel="0" collapsed="false">
      <c r="A8" s="9" t="str">
        <f aca="false">B8&amp;"|"&amp;E8&amp;"|"&amp;F8</f>
        <v>D1V1|11/02/2026|Very high</v>
      </c>
      <c r="B8" s="7" t="s">
        <v>340</v>
      </c>
      <c r="C8" s="9" t="s">
        <v>127</v>
      </c>
      <c r="D8" s="9" t="s">
        <v>142</v>
      </c>
      <c r="E8" s="9" t="s">
        <v>158</v>
      </c>
      <c r="F8" s="7" t="s">
        <v>285</v>
      </c>
      <c r="G8" s="9" t="s">
        <v>286</v>
      </c>
      <c r="H8" s="41" t="n">
        <f aca="false">INDEX(Severity_Classes!$C$4:$C$9,MATCH(F8,Severity_Classes!$A$4:$A$9,0))</f>
        <v>0.51</v>
      </c>
      <c r="I8" s="41" t="n">
        <f aca="false">INDEX(Severity_Classes!$D$4:$D$9,MATCH(F8,Severity_Classes!$A$4:$A$9,0))</f>
        <v>0.65</v>
      </c>
      <c r="J8" s="41" t="n">
        <f aca="false">INDEX(Severity_Classes!$E$4:$E$9,MATCH(F8,Severity_Classes!$A$4:$A$9,0))</f>
        <v>0.85</v>
      </c>
      <c r="K8" s="42" t="n">
        <f aca="false">MATCH(B8&amp;"|"&amp;E8,Context!$A$4:$A$51,0)</f>
        <v>1</v>
      </c>
      <c r="L8" s="42" t="n">
        <f aca="false">INDEX(Context!$H$4:$H$51,K8)</f>
        <v>64</v>
      </c>
      <c r="M8" s="42" t="n">
        <f aca="false">INDEX(Context!$I$4:$I$51,K8)</f>
        <v>6</v>
      </c>
      <c r="N8" s="9" t="str">
        <f aca="false">INDEX(Context!$L$4:$L$51,K8)</f>
        <v>F</v>
      </c>
      <c r="O8" s="9" t="str">
        <f aca="false">INDEX(Context!$M$4:$M$51,K8)</f>
        <v>5th fully expanded leaf from top</v>
      </c>
      <c r="P8" s="43" t="n">
        <f aca="false">INDEX(Context!$R$4:$R$51,K8)</f>
        <v>0</v>
      </c>
      <c r="Q8" s="43" t="n">
        <f aca="false">INDEX(Context!$U$4:$U$51,K8)</f>
        <v>0.937791824040773</v>
      </c>
      <c r="R8" s="43" t="n">
        <f aca="false">INDEX(Context!$AD$4:$AD$51,K8)</f>
        <v>1</v>
      </c>
      <c r="S8" s="9" t="str">
        <f aca="false">INDEX(Context!$AI$4:$AN$51,K8,MATCH(F8,Severity_Classes!$A$4:$A$9,0))</f>
        <v>Unlikely (only via pre-inoculation natural infection)</v>
      </c>
      <c r="T8" s="44" t="n">
        <f aca="false">Parameters!$E$4*IF($N8="V",Parameters!$I$4,IF($N8="F",Parameters!$J$4,Parameters!$K$4))*(1-Parameters!$L$4*$P8)*IF($D8="V1",Parameters!$M$4,IF($D8="V2",Parameters!$N$4,Parameters!$O$4))</f>
        <v>85.14</v>
      </c>
      <c r="U8" s="44" t="n">
        <f aca="false">MIN(100,T8*(1+INDEX(Response_Table!$E$4:$E$21,MATCH($F8&amp;"|mid",Response_Table!$A$4:$A$21,0))*$R8*INDEX(Parameters!$X$4:$AA$4,1,MATCH($E8,Parameters!$X$3:$AA$3,0))))</f>
        <v>73.3902094121614</v>
      </c>
      <c r="V8" s="44" t="n">
        <f aca="false">MAX(0,MIN(T8*(1+INDEX(Response_Table!$E$4:$E$21,MATCH($F8&amp;"|low",Response_Table!$A$4:$A$21,0))*$R8*INDEX(Parameters!$X$4:$AA$4,1,MATCH($E8,Parameters!$X$3:$AA$3,0))),T8*(1+INDEX(Response_Table!$E$4:$E$21,MATCH($F8&amp;"|high",Response_Table!$A$4:$A$21,0))*$R8*INDEX(Parameters!$X$4:$AA$4,1,MATCH($E8,Parameters!$X$3:$AA$3,0))))*(1-Inputs_General!$C$22*Parameters!$F$4))</f>
        <v>67.7991238262753</v>
      </c>
      <c r="W8" s="44" t="n">
        <f aca="false">MIN(100,MAX(T8*(1+INDEX(Response_Table!$E$4:$E$21,MATCH($F8&amp;"|low",Response_Table!$A$4:$A$21,0))*$R8*INDEX(Parameters!$X$4:$AA$4,1,MATCH($E8,Parameters!$X$3:$AA$3,0))),T8*(1+INDEX(Response_Table!$E$4:$E$21,MATCH($F8&amp;"|high",Response_Table!$A$4:$A$21,0))*$R8*INDEX(Parameters!$X$4:$AA$4,1,MATCH($E8,Parameters!$X$3:$AA$3,0))))*(1+Inputs_General!$C$22*Parameters!$F$4))</f>
        <v>80.1239728677086</v>
      </c>
      <c r="X8" s="45" t="n">
        <f aca="false">IF(T8=0,0,U8/T8-1)</f>
        <v>-0.13800552722385</v>
      </c>
      <c r="Y8" s="44" t="n">
        <f aca="false">Parameters!$E$5*IF($N8="V",Parameters!$I$5,IF($N8="F",Parameters!$J$5,Parameters!$K$5))*(1-Parameters!$L$5*$P8)*IF($D8="V1",Parameters!$M$5,IF($D8="V2",Parameters!$N$5,Parameters!$O$5))</f>
        <v>70.56</v>
      </c>
      <c r="Z8" s="44" t="n">
        <f aca="false">MIN(100,Y8*(1+INDEX(Response_Table!$F$4:$F$21,MATCH($F8&amp;"|mid",Response_Table!$A$4:$A$21,0))*$R8*INDEX(Parameters!$X$5:$AA$5,1,MATCH($E8,Parameters!$X$3:$AA$3,0))))</f>
        <v>46.4960740446472</v>
      </c>
      <c r="AA8" s="44" t="n">
        <f aca="false">MAX(0,MIN(Y8*(1+INDEX(Response_Table!$F$4:$F$21,MATCH($F8&amp;"|low",Response_Table!$A$4:$A$21,0))*$R8*INDEX(Parameters!$X$5:$AA$5,1,MATCH($E8,Parameters!$X$3:$AA$3,0))),Y8*(1+INDEX(Response_Table!$F$4:$F$21,MATCH($F8&amp;"|high",Response_Table!$A$4:$A$21,0))*$R8*INDEX(Parameters!$X$5:$AA$5,1,MATCH($E8,Parameters!$X$3:$AA$3,0))))*(1-Inputs_General!$C$22*Parameters!$F$5))</f>
        <v>40.6600648771015</v>
      </c>
      <c r="AB8" s="44" t="n">
        <f aca="false">MIN(100,MAX(Y8*(1+INDEX(Response_Table!$F$4:$F$21,MATCH($F8&amp;"|low",Response_Table!$A$4:$A$21,0))*$R8*INDEX(Parameters!$X$5:$AA$5,1,MATCH($E8,Parameters!$X$3:$AA$3,0))),Y8*(1+INDEX(Response_Table!$F$4:$F$21,MATCH($F8&amp;"|high",Response_Table!$A$4:$A$21,0))*$R8*INDEX(Parameters!$X$5:$AA$5,1,MATCH($E8,Parameters!$X$3:$AA$3,0))))*(1+Inputs_General!$C$22*Parameters!$F$5))</f>
        <v>53.8073456932725</v>
      </c>
      <c r="AC8" s="45" t="n">
        <f aca="false">IF(Y8=0,0,Z8/Y8-1)</f>
        <v>-0.341042034514637</v>
      </c>
      <c r="AD8" s="44" t="n">
        <f aca="false">Parameters!$E$6*IF($N8="V",Parameters!$I$6,IF($N8="F",Parameters!$J$6,Parameters!$K$6))*(1-Parameters!$L$6*$P8)*IF($D8="V1",Parameters!$M$6,IF($D8="V2",Parameters!$N$6,Parameters!$O$6))</f>
        <v>19</v>
      </c>
      <c r="AE8" s="44" t="n">
        <f aca="false">AD8*(1+INDEX(Response_Table!$G$4:$G$21,MATCH($F8&amp;"|mid",Response_Table!$A$4:$A$21,0))*$R8*INDEX(Parameters!$X$6:$AA$6,1,MATCH($E8,Parameters!$X$3:$AA$3,0)))</f>
        <v>8.25286386702633</v>
      </c>
      <c r="AF8" s="44" t="n">
        <f aca="false">MAX(0,MIN(AD8*(1+INDEX(Response_Table!$G$4:$G$21,MATCH($F8&amp;"|low",Response_Table!$A$4:$A$21,0))*$R8*INDEX(Parameters!$X$6:$AA$6,1,MATCH($E8,Parameters!$X$3:$AA$3,0))),AD8*(1+INDEX(Response_Table!$G$4:$G$21,MATCH($F8&amp;"|high",Response_Table!$A$4:$A$21,0))*$R8*INDEX(Parameters!$X$6:$AA$6,1,MATCH($E8,Parameters!$X$3:$AA$3,0))))*(1-Inputs_General!$C$22*Parameters!$F$6))</f>
        <v>6.31710149217431</v>
      </c>
      <c r="AG8" s="44" t="n">
        <f aca="false">MAX(AD8*(1+INDEX(Response_Table!$G$4:$G$21,MATCH($F8&amp;"|low",Response_Table!$A$4:$A$21,0))*$R8*INDEX(Parameters!$X$6:$AA$6,1,MATCH($E8,Parameters!$X$3:$AA$3,0))),AD8*(1+INDEX(Response_Table!$G$4:$G$21,MATCH($F8&amp;"|high",Response_Table!$A$4:$A$21,0))*$R8*INDEX(Parameters!$X$6:$AA$6,1,MATCH($E8,Parameters!$X$3:$AA$3,0))))*(1+Inputs_General!$C$22*Parameters!$F$6)</f>
        <v>10.547635732289</v>
      </c>
      <c r="AH8" s="45" t="n">
        <f aca="false">IF(AD8=0,0,AE8/AD8-1)</f>
        <v>-0.56563874384072</v>
      </c>
      <c r="AI8" s="46" t="n">
        <f aca="false">Parameters!$E$7*IF($N8="V",Parameters!$I$7,IF($N8="F",Parameters!$J$7,Parameters!$K$7))*(1-Parameters!$L$7*$P8)*IF($D8="V1",Parameters!$M$7,IF($D8="V2",Parameters!$N$7,Parameters!$O$7))*POWER($Q8/Inputs_General!$C$26,-Inputs_General!$C$25)</f>
        <v>0.464685683730118</v>
      </c>
      <c r="AJ8" s="46" t="n">
        <f aca="false">AI8*(1+INDEX(Response_Table!$H$4:$H$21,MATCH($F8&amp;"|mid",Response_Table!$A$4:$A$21,0))*$R8*INDEX(Parameters!$X$7:$AA$7,1,MATCH($E8,Parameters!$X$3:$AA$3,0)))</f>
        <v>0.257427744791225</v>
      </c>
      <c r="AK8" s="46" t="n">
        <f aca="false">MAX(0,MIN(AI8*(1+INDEX(Response_Table!$H$4:$H$21,MATCH($F8&amp;"|low",Response_Table!$A$4:$A$21,0))*$R8*INDEX(Parameters!$X$7:$AA$7,1,MATCH($E8,Parameters!$X$3:$AA$3,0))),AI8*(1+INDEX(Response_Table!$H$4:$H$21,MATCH($F8&amp;"|high",Response_Table!$A$4:$A$21,0))*$R8*INDEX(Parameters!$X$7:$AA$7,1,MATCH($E8,Parameters!$X$3:$AA$3,0))))*(1-Inputs_General!$C$22*Parameters!$F$7))</f>
        <v>0.170285033510395</v>
      </c>
      <c r="AL8" s="46" t="n">
        <f aca="false">MAX(AI8*(1+INDEX(Response_Table!$H$4:$H$21,MATCH($F8&amp;"|low",Response_Table!$A$4:$A$21,0))*$R8*INDEX(Parameters!$X$7:$AA$7,1,MATCH($E8,Parameters!$X$3:$AA$3,0))),AI8*(1+INDEX(Response_Table!$H$4:$H$21,MATCH($F8&amp;"|high",Response_Table!$A$4:$A$21,0))*$R8*INDEX(Parameters!$X$7:$AA$7,1,MATCH($E8,Parameters!$X$3:$AA$3,0))))*(1+Inputs_General!$C$22*Parameters!$F$7)</f>
        <v>0.356909728251963</v>
      </c>
      <c r="AM8" s="45" t="n">
        <f aca="false">IF(AI8=0,0,AJ8/AI8-1)</f>
        <v>-0.446017482775013</v>
      </c>
      <c r="AN8" s="43" t="n">
        <f aca="false">AI8*$Q8/Inputs_General!$C$13*1000</f>
        <v>4.38850387664553</v>
      </c>
      <c r="AO8" s="43" t="n">
        <f aca="false">AJ8*$Q8/Inputs_General!$C$13*1000*(1+Inputs_General!$C$21*$I8)</f>
        <v>2.82621701840651</v>
      </c>
      <c r="AP8" s="43" t="n">
        <f aca="false">AK8*$Q8/Inputs_General!$C$13*1000*(1+Inputs_General!$C$21*$H8)</f>
        <v>1.81321884175059</v>
      </c>
      <c r="AQ8" s="43" t="n">
        <f aca="false">AL8*$Q8/Inputs_General!$C$13*1000*(1+Inputs_General!$C$21*$J8)</f>
        <v>4.08693119742001</v>
      </c>
      <c r="AR8" s="45" t="n">
        <f aca="false">IF(AN8=0,0,AO8/AN8-1)</f>
        <v>-0.355995323725952</v>
      </c>
      <c r="AS8" s="42" t="n">
        <f aca="false">Parameters!$E$9*IF($N8="V",Parameters!$I$9,IF($N8="F",Parameters!$J$9,Parameters!$K$9))*(1-Parameters!$L$9*$P8)*IF($D8="V1",Parameters!$M$9,IF($D8="V2",Parameters!$N$9,Parameters!$O$9))</f>
        <v>285</v>
      </c>
      <c r="AT8" s="42" t="n">
        <f aca="false">AS8*(1+INDEX(Response_Table!$I$4:$I$21,MATCH($F8&amp;"|mid",Response_Table!$A$4:$A$21,0))*$R8*INDEX(Parameters!$X$9:$AA$9,1,MATCH($E8,Parameters!$X$3:$AA$3,0)))</f>
        <v>348.31968725014</v>
      </c>
      <c r="AU8" s="42" t="n">
        <f aca="false">MAX(0,MIN(AS8*(1+INDEX(Response_Table!$I$4:$I$21,MATCH($F8&amp;"|low",Response_Table!$A$4:$A$21,0))*$R8*INDEX(Parameters!$X$9:$AA$9,1,MATCH($E8,Parameters!$X$3:$AA$3,0))),AS8*(1+INDEX(Response_Table!$I$4:$I$21,MATCH($F8&amp;"|high",Response_Table!$A$4:$A$21,0))*$R8*INDEX(Parameters!$X$9:$AA$9,1,MATCH($E8,Parameters!$X$3:$AA$3,0))))*(1-Inputs_General!$C$22*Parameters!$F$9))</f>
        <v>310.503290405353</v>
      </c>
      <c r="AV8" s="42" t="n">
        <f aca="false">MAX(AS8*(1+INDEX(Response_Table!$I$4:$I$21,MATCH($F8&amp;"|low",Response_Table!$A$4:$A$21,0))*$R8*INDEX(Parameters!$X$9:$AA$9,1,MATCH($E8,Parameters!$X$3:$AA$3,0))),AS8*(1+INDEX(Response_Table!$I$4:$I$21,MATCH($F8&amp;"|high",Response_Table!$A$4:$A$21,0))*$R8*INDEX(Parameters!$X$9:$AA$9,1,MATCH($E8,Parameters!$X$3:$AA$3,0))))*(1+Inputs_General!$C$22*Parameters!$F$9)</f>
        <v>385.77254271935</v>
      </c>
      <c r="AW8" s="45" t="n">
        <f aca="false">IF(AS8=0,0,AT8/AS8-1)</f>
        <v>0.22217434122856</v>
      </c>
      <c r="AX8" s="43" t="n">
        <f aca="false">INDEX(Context!$AB$4:$AB$51,$K8)</f>
        <v>2.55066767693214</v>
      </c>
      <c r="AY8" s="43" t="n">
        <f aca="false">AX8*(1+INDEX(Response_Table!$J$4:$J$21,MATCH($F8&amp;"|mid",Response_Table!$A$4:$A$21,0))*$R8*INDEX(Parameters!$X$10:$AA$10,1,MATCH($E8,Parameters!$X$3:$AA$3,0)))</f>
        <v>2.08977510478204</v>
      </c>
      <c r="AZ8" s="43" t="n">
        <f aca="false">MAX(0,MIN(AX8*(1+INDEX(Response_Table!$J$4:$J$21,MATCH($F8&amp;"|low",Response_Table!$A$4:$A$21,0))*$R8*INDEX(Parameters!$X$10:$AA$10,1,MATCH($E8,Parameters!$X$3:$AA$3,0))),AX8*(1+INDEX(Response_Table!$J$4:$J$21,MATCH($F8&amp;"|high",Response_Table!$A$4:$A$21,0))*$R8*INDEX(Parameters!$X$10:$AA$10,1,MATCH($E8,Parameters!$X$3:$AA$3,0))))*(1-Inputs_General!$C$22*Parameters!$F$10))</f>
        <v>1.64156585195604</v>
      </c>
      <c r="BA8" s="43" t="n">
        <f aca="false">MAX(AX8*(1+INDEX(Response_Table!$J$4:$J$21,MATCH($F8&amp;"|low",Response_Table!$A$4:$A$21,0))*$R8*INDEX(Parameters!$X$10:$AA$10,1,MATCH($E8,Parameters!$X$3:$AA$3,0))),AX8*(1+INDEX(Response_Table!$J$4:$J$21,MATCH($F8&amp;"|high",Response_Table!$A$4:$A$21,0))*$R8*INDEX(Parameters!$X$10:$AA$10,1,MATCH($E8,Parameters!$X$3:$AA$3,0))))*(1+Inputs_General!$C$22*Parameters!$F$10)</f>
        <v>2.55900298930338</v>
      </c>
      <c r="BB8" s="45" t="n">
        <f aca="false">IF(AX8=0,0,AY8/AX8-1)</f>
        <v>-0.180694873079056</v>
      </c>
      <c r="BC8" s="46" t="n">
        <f aca="false">Parameters!$E$11*IF($N8="V",Parameters!$I$11,IF($N8="F",Parameters!$J$11,Parameters!$K$11))*(1-Parameters!$L$11*$P8)*IF($D8="V1",Parameters!$M$11,IF($D8="V2",Parameters!$N$11,Parameters!$O$11))</f>
        <v>1.25</v>
      </c>
      <c r="BD8" s="46" t="n">
        <f aca="false">BC8*(1+INDEX(Response_Table!$K$4:$K$21,MATCH($F8&amp;"|mid",Response_Table!$A$4:$A$21,0))*$R8*INDEX(Parameters!$X$11:$AA$11,1,MATCH($E8,Parameters!$X$3:$AA$3,0)))</f>
        <v>0.894502898705674</v>
      </c>
      <c r="BE8" s="46" t="n">
        <f aca="false">MAX(0,MIN(BC8*(1+INDEX(Response_Table!$K$4:$K$21,MATCH($F8&amp;"|low",Response_Table!$A$4:$A$21,0))*$R8*INDEX(Parameters!$X$11:$AA$11,1,MATCH($E8,Parameters!$X$3:$AA$3,0))),BC8*(1+INDEX(Response_Table!$K$4:$K$21,MATCH($F8&amp;"|high",Response_Table!$A$4:$A$21,0))*$R8*INDEX(Parameters!$X$11:$AA$11,1,MATCH($E8,Parameters!$X$3:$AA$3,0))))*(1-Inputs_General!$C$22*Parameters!$F$11))</f>
        <v>0.727312457662574</v>
      </c>
      <c r="BF8" s="46" t="n">
        <f aca="false">MAX(BC8*(1+INDEX(Response_Table!$K$4:$K$21,MATCH($F8&amp;"|low",Response_Table!$A$4:$A$21,0))*$R8*INDEX(Parameters!$X$11:$AA$11,1,MATCH($E8,Parameters!$X$3:$AA$3,0))),BC8*(1+INDEX(Response_Table!$K$4:$K$21,MATCH($F8&amp;"|high",Response_Table!$A$4:$A$21,0))*$R8*INDEX(Parameters!$X$11:$AA$11,1,MATCH($E8,Parameters!$X$3:$AA$3,0))))*(1+Inputs_General!$C$22*Parameters!$F$11)</f>
        <v>1.07505167582535</v>
      </c>
      <c r="BG8" s="45" t="n">
        <f aca="false">IF(BC8=0,0,BD8/BC8-1)</f>
        <v>-0.284397681035461</v>
      </c>
      <c r="BH8" s="46" t="n">
        <f aca="false">Parameters!$E$12*IF($N8="V",Parameters!$I$12,IF($N8="F",Parameters!$J$12,Parameters!$K$12))*(1-Parameters!$L$12*$P8)*IF($D8="V1",Parameters!$M$12,IF($D8="V2",Parameters!$N$12,Parameters!$O$12))</f>
        <v>0.45</v>
      </c>
      <c r="BI8" s="46" t="n">
        <f aca="false">BH8*(1+INDEX(Response_Table!$L$4:$L$21,MATCH($F8&amp;"|mid",Response_Table!$A$4:$A$21,0))*$R8*INDEX(Parameters!$X$12:$AA$12,1,MATCH($E8,Parameters!$X$3:$AA$3,0)))</f>
        <v>0.343856416358831</v>
      </c>
      <c r="BJ8" s="46" t="n">
        <f aca="false">MAX(0,MIN(BH8*(1+INDEX(Response_Table!$L$4:$L$21,MATCH($F8&amp;"|low",Response_Table!$A$4:$A$21,0))*$R8*INDEX(Parameters!$X$12:$AA$12,1,MATCH($E8,Parameters!$X$3:$AA$3,0))),BH8*(1+INDEX(Response_Table!$L$4:$L$21,MATCH($F8&amp;"|high",Response_Table!$A$4:$A$21,0))*$R8*INDEX(Parameters!$X$12:$AA$12,1,MATCH($E8,Parameters!$X$3:$AA$3,0))))*(1-Inputs_General!$C$22*Parameters!$F$12))</f>
        <v>0.26960345771015</v>
      </c>
      <c r="BK8" s="46" t="n">
        <f aca="false">MAX(BH8*(1+INDEX(Response_Table!$L$4:$L$21,MATCH($F8&amp;"|low",Response_Table!$A$4:$A$21,0))*$R8*INDEX(Parameters!$X$12:$AA$12,1,MATCH($E8,Parameters!$X$3:$AA$3,0))),BH8*(1+INDEX(Response_Table!$L$4:$L$21,MATCH($F8&amp;"|high",Response_Table!$A$4:$A$21,0))*$R8*INDEX(Parameters!$X$12:$AA$12,1,MATCH($E8,Parameters!$X$3:$AA$3,0))))*(1+Inputs_General!$C$22*Parameters!$F$12)</f>
        <v>0.422737626245468</v>
      </c>
      <c r="BL8" s="45" t="n">
        <f aca="false">IF(BH8=0,0,BI8/BH8-1)</f>
        <v>-0.235874630313709</v>
      </c>
      <c r="BM8" s="46" t="n">
        <f aca="false">Parameters!$E$13*IF($N8="V",Parameters!$I$13,IF($N8="F",Parameters!$J$13,Parameters!$K$13))*(1-Parameters!$L$13*$P8)*IF($D8="V1",Parameters!$M$13,IF($D8="V2",Parameters!$N$13,Parameters!$O$13))</f>
        <v>0.3</v>
      </c>
      <c r="BN8" s="46" t="n">
        <f aca="false">BM8*(1+INDEX(Response_Table!$M$4:$M$21,MATCH($F8&amp;"|mid",Response_Table!$A$4:$A$21,0))*$R8*INDEX(Parameters!$X$13:$AA$13,1,MATCH($E8,Parameters!$X$3:$AA$3,0)))</f>
        <v>0.248934904510441</v>
      </c>
      <c r="BO8" s="46" t="n">
        <f aca="false">MAX(0,MIN(BM8*(1+INDEX(Response_Table!$M$4:$M$21,MATCH($F8&amp;"|low",Response_Table!$A$4:$A$21,0))*$R8*INDEX(Parameters!$X$13:$AA$13,1,MATCH($E8,Parameters!$X$3:$AA$3,0))),BM8*(1+INDEX(Response_Table!$M$4:$M$21,MATCH($F8&amp;"|high",Response_Table!$A$4:$A$21,0))*$R8*INDEX(Parameters!$X$13:$AA$13,1,MATCH($E8,Parameters!$X$3:$AA$3,0))))*(1-Inputs_General!$C$22*Parameters!$F$13))</f>
        <v>0.196440698661175</v>
      </c>
      <c r="BP8" s="46" t="n">
        <f aca="false">MAX(BM8*(1+INDEX(Response_Table!$M$4:$M$21,MATCH($F8&amp;"|low",Response_Table!$A$4:$A$21,0))*$R8*INDEX(Parameters!$X$13:$AA$13,1,MATCH($E8,Parameters!$X$3:$AA$3,0))),BM8*(1+INDEX(Response_Table!$M$4:$M$21,MATCH($F8&amp;"|high",Response_Table!$A$4:$A$21,0))*$R8*INDEX(Parameters!$X$13:$AA$13,1,MATCH($E8,Parameters!$X$3:$AA$3,0))))*(1+Inputs_General!$C$22*Parameters!$F$13)</f>
        <v>0.304450863779395</v>
      </c>
      <c r="BQ8" s="45" t="n">
        <f aca="false">IF(BM8=0,0,BN8/BM8-1)</f>
        <v>-0.170216984965196</v>
      </c>
      <c r="BR8" s="44" t="n">
        <f aca="false">Parameters!$E$14*IF($N8="V",Parameters!$I$14,IF($N8="F",Parameters!$J$14,Parameters!$K$14))*(1-Parameters!$L$14*$P8)*IF($D8="V1",Parameters!$M$14,IF($D8="V2",Parameters!$N$14,Parameters!$O$14))*INDEX(Context!$AC$4:$AC$51,$K8)</f>
        <v>15</v>
      </c>
      <c r="BS8" s="44" t="n">
        <f aca="false">BR8*(1+INDEX(Response_Table!$N$4:$N$21,MATCH($F8&amp;"|mid",Response_Table!$A$4:$A$21,0))*$R8*INDEX(Parameters!$X$14:$AA$14,1,MATCH($E8,Parameters!$X$3:$AA$3,0)))</f>
        <v>18.8597666778607</v>
      </c>
      <c r="BT8" s="44" t="n">
        <f aca="false">MAX(0,MIN(BR8*(1+INDEX(Response_Table!$N$4:$N$21,MATCH($F8&amp;"|low",Response_Table!$A$4:$A$21,0))*$R8*INDEX(Parameters!$X$14:$AA$14,1,MATCH($E8,Parameters!$X$3:$AA$3,0))),BR8*(1+INDEX(Response_Table!$N$4:$N$21,MATCH($F8&amp;"|high",Response_Table!$A$4:$A$21,0))*$R8*INDEX(Parameters!$X$14:$AA$14,1,MATCH($E8,Parameters!$X$3:$AA$3,0))))*(1-Inputs_General!$C$22*Parameters!$F$14))</f>
        <v>9.38321108026999</v>
      </c>
      <c r="BU8" s="44" t="n">
        <f aca="false">MAX(BR8*(1+INDEX(Response_Table!$N$4:$N$21,MATCH($F8&amp;"|low",Response_Table!$A$4:$A$21,0))*$R8*INDEX(Parameters!$X$14:$AA$14,1,MATCH($E8,Parameters!$X$3:$AA$3,0))),BR8*(1+INDEX(Response_Table!$N$4:$N$21,MATCH($F8&amp;"|high",Response_Table!$A$4:$A$21,0))*$R8*INDEX(Parameters!$X$14:$AA$14,1,MATCH($E8,Parameters!$X$3:$AA$3,0))))*(1+Inputs_General!$C$22*Parameters!$F$14)</f>
        <v>28.5984826432227</v>
      </c>
      <c r="BV8" s="45" t="n">
        <f aca="false">IF(BR8=0,0,BS8/BR8-1)</f>
        <v>0.257317778524046</v>
      </c>
      <c r="BW8" s="43" t="n">
        <f aca="false">Parameters!$E$15*IF($N8="V",Parameters!$I$15,IF($N8="F",Parameters!$J$15,Parameters!$K$15))*(1-Parameters!$L$15*$P8)*IF($D8="V1",Parameters!$M$15,IF($D8="V2",Parameters!$N$15,Parameters!$O$15))</f>
        <v>10.4</v>
      </c>
      <c r="BX8" s="43" t="n">
        <f aca="false">BW8*(1+INDEX(Response_Table!$O$4:$O$21,MATCH($F8&amp;"|mid",Response_Table!$A$4:$A$21,0))*$R8*INDEX(Parameters!$X$15:$AA$15,1,MATCH($E8,Parameters!$X$3:$AA$3,0)))</f>
        <v>9.73097377583748</v>
      </c>
      <c r="BY8" s="43" t="n">
        <f aca="false">MAX(0,MIN(BW8*(1+INDEX(Response_Table!$O$4:$O$21,MATCH($F8&amp;"|low",Response_Table!$A$4:$A$21,0))*$R8*INDEX(Parameters!$X$15:$AA$15,1,MATCH($E8,Parameters!$X$3:$AA$3,0))),BW8*(1+INDEX(Response_Table!$O$4:$O$21,MATCH($F8&amp;"|high",Response_Table!$A$4:$A$21,0))*$R8*INDEX(Parameters!$X$15:$AA$15,1,MATCH($E8,Parameters!$X$3:$AA$3,0))))*(1-Inputs_General!$C$22*Parameters!$F$15))</f>
        <v>7.76989330920337</v>
      </c>
      <c r="BZ8" s="43" t="n">
        <f aca="false">MAX(BW8*(1+INDEX(Response_Table!$O$4:$O$21,MATCH($F8&amp;"|low",Response_Table!$A$4:$A$21,0))*$R8*INDEX(Parameters!$X$15:$AA$15,1,MATCH($E8,Parameters!$X$3:$AA$3,0))),BW8*(1+INDEX(Response_Table!$O$4:$O$21,MATCH($F8&amp;"|high",Response_Table!$A$4:$A$21,0))*$R8*INDEX(Parameters!$X$15:$AA$15,1,MATCH($E8,Parameters!$X$3:$AA$3,0))))*(1+Inputs_General!$C$22*Parameters!$F$15)</f>
        <v>11.7212262502745</v>
      </c>
      <c r="CA8" s="45" t="n">
        <f aca="false">IF(BW8=0,0,BX8/BW8-1)</f>
        <v>-0.0643294446310114</v>
      </c>
      <c r="CB8" s="46" t="n">
        <f aca="false">BD8+BI8</f>
        <v>1.23835931506451</v>
      </c>
      <c r="CC8" s="43" t="n">
        <f aca="false">BD8/BI8</f>
        <v>2.60138492740009</v>
      </c>
      <c r="CD8" s="46" t="n">
        <f aca="false">BN8/CB8</f>
        <v>0.201019931357705</v>
      </c>
      <c r="CE8" s="43" t="n">
        <f aca="false">AE8/AO8</f>
        <v>2.92010974857108</v>
      </c>
      <c r="CF8" s="44" t="n">
        <f aca="false">AE8/AJ8</f>
        <v>32.0589525954921</v>
      </c>
      <c r="CG8" s="44" t="n">
        <f aca="false">INDEX(Context!$V$4:$V$51,$K8)</f>
        <v>22.6257142857143</v>
      </c>
      <c r="CH8" s="44" t="n">
        <f aca="false">INDEX(Context!$Y$4:$Y$51,$K8)</f>
        <v>21.3177449518561</v>
      </c>
      <c r="CI8" s="44" t="n">
        <f aca="false">INDEX(Context!$Z$4:$Z$51,$K8)</f>
        <v>26.6257142857143</v>
      </c>
      <c r="CJ8" s="43" t="n">
        <f aca="false">INDEX(Context!$AA$4:$AA$51,$K8)</f>
        <v>0.2</v>
      </c>
      <c r="CK8" s="43" t="n">
        <f aca="false">MAX(0,MIN(1,1-(1-CJ8)*AO8/AN8))</f>
        <v>0.484796258980762</v>
      </c>
      <c r="CL8" s="44" t="n">
        <f aca="false">CH8+CK8*(CI8-CH8)</f>
        <v>23.8910286276951</v>
      </c>
      <c r="CM8" s="44" t="n">
        <f aca="false">CH8+MAX(0,MIN(1,1-(1-CJ8)*AQ8/AN8))*(CI8-CH8)</f>
        <v>22.6711446054294</v>
      </c>
      <c r="CN8" s="44" t="n">
        <f aca="false">CH8+MAX(0,MIN(1,1-(1-CJ8)*AP8/AN8))*(CI8-CH8)</f>
        <v>24.8712193091816</v>
      </c>
      <c r="CO8" s="44" t="n">
        <f aca="false">CL8-CG8</f>
        <v>1.26531434198084</v>
      </c>
      <c r="CP8" s="44" t="n">
        <f aca="false">CL8-(CH8+CJ8*(CI8-CH8))</f>
        <v>1.51168980906743</v>
      </c>
      <c r="CQ8" s="46" t="n">
        <f aca="false">CL8/CG8</f>
        <v>1.05592373023024</v>
      </c>
      <c r="CR8" s="43" t="n">
        <f aca="false">IF(CL8-CH8&lt;=0,"n/a",(CI8-CL8)/(CL8-CH8))</f>
        <v>1.06272218787827</v>
      </c>
      <c r="CS8" s="43" t="n">
        <f aca="false">IF(CI8-CL8&lt;=0,"n/a",(CL8-CH8)/(CI8-CL8))</f>
        <v>0.94097969479352</v>
      </c>
      <c r="CT8" s="43" t="n">
        <f aca="false">Inputs_General!$C$23+Inputs_General!$C$24*$I8</f>
        <v>1.9</v>
      </c>
      <c r="CU8" s="44" t="n">
        <f aca="false">3.29*CT8</f>
        <v>6.251</v>
      </c>
    </row>
    <row r="9" customFormat="false" ht="15" hidden="false" customHeight="false" outlineLevel="0" collapsed="false">
      <c r="A9" s="33" t="str">
        <f aca="false">B9&amp;"|"&amp;E9&amp;"|"&amp;F9</f>
        <v>D1V1|24/02/2026|Healthy</v>
      </c>
      <c r="B9" s="34" t="s">
        <v>340</v>
      </c>
      <c r="C9" s="33" t="s">
        <v>127</v>
      </c>
      <c r="D9" s="33" t="s">
        <v>142</v>
      </c>
      <c r="E9" s="33" t="s">
        <v>160</v>
      </c>
      <c r="F9" s="34" t="s">
        <v>275</v>
      </c>
      <c r="G9" s="33" t="s">
        <v>276</v>
      </c>
      <c r="H9" s="35" t="n">
        <f aca="false">INDEX(Severity_Classes!$C$4:$C$9,MATCH(F9,Severity_Classes!$A$4:$A$9,0))</f>
        <v>0</v>
      </c>
      <c r="I9" s="35" t="n">
        <f aca="false">INDEX(Severity_Classes!$D$4:$D$9,MATCH(F9,Severity_Classes!$A$4:$A$9,0))</f>
        <v>0</v>
      </c>
      <c r="J9" s="35" t="n">
        <f aca="false">INDEX(Severity_Classes!$E$4:$E$9,MATCH(F9,Severity_Classes!$A$4:$A$9,0))</f>
        <v>0</v>
      </c>
      <c r="K9" s="36" t="n">
        <f aca="false">MATCH(B9&amp;"|"&amp;E9,Context!$A$4:$A$51,0)</f>
        <v>2</v>
      </c>
      <c r="L9" s="36" t="n">
        <f aca="false">INDEX(Context!$H$4:$H$51,K9)</f>
        <v>77</v>
      </c>
      <c r="M9" s="36" t="n">
        <f aca="false">INDEX(Context!$I$4:$I$51,K9)</f>
        <v>19</v>
      </c>
      <c r="N9" s="33" t="str">
        <f aca="false">INDEX(Context!$L$4:$L$51,K9)</f>
        <v>F</v>
      </c>
      <c r="O9" s="33" t="str">
        <f aca="false">INDEX(Context!$M$4:$M$51,K9)</f>
        <v>5th fully expanded leaf from top</v>
      </c>
      <c r="P9" s="37" t="n">
        <f aca="false">INDEX(Context!$R$4:$R$51,K9)</f>
        <v>0.0232142857142859</v>
      </c>
      <c r="Q9" s="37" t="n">
        <f aca="false">INDEX(Context!$U$4:$U$51,K9)</f>
        <v>1.19492600027053</v>
      </c>
      <c r="R9" s="37" t="n">
        <f aca="false">INDEX(Context!$AD$4:$AD$51,K9)</f>
        <v>1</v>
      </c>
      <c r="S9" s="33" t="str">
        <f aca="false">INDEX(Context!$AI$4:$AN$51,K9,MATCH(F9,Severity_Classes!$A$4:$A$9,0))</f>
        <v>Reference: healthy (uninoculated) control plot</v>
      </c>
      <c r="T9" s="38" t="n">
        <f aca="false">Parameters!$E$4*IF($N9="V",Parameters!$I$4,IF($N9="F",Parameters!$J$4,Parameters!$K$4))*(1-Parameters!$L$4*$P9)*IF($D9="V1",Parameters!$M$4,IF($D9="V2",Parameters!$N$4,Parameters!$O$4))</f>
        <v>85.0411767857143</v>
      </c>
      <c r="U9" s="38" t="n">
        <f aca="false">MIN(100,T9*(1+INDEX(Response_Table!$E$4:$E$21,MATCH($F9&amp;"|mid",Response_Table!$A$4:$A$21,0))*$R9*INDEX(Parameters!$X$4:$AA$4,1,MATCH($E9,Parameters!$X$3:$AA$3,0))))</f>
        <v>85.0411767857143</v>
      </c>
      <c r="V9" s="38" t="n">
        <f aca="false">MAX(0,MIN(T9*(1+INDEX(Response_Table!$E$4:$E$21,MATCH($F9&amp;"|low",Response_Table!$A$4:$A$21,0))*$R9*INDEX(Parameters!$X$4:$AA$4,1,MATCH($E9,Parameters!$X$3:$AA$3,0))),T9*(1+INDEX(Response_Table!$E$4:$E$21,MATCH($F9&amp;"|high",Response_Table!$A$4:$A$21,0))*$R9*INDEX(Parameters!$X$4:$AA$4,1,MATCH($E9,Parameters!$X$3:$AA$3,0))))*(1-Inputs_General!$C$22*Parameters!$F$4))</f>
        <v>79.4454673532143</v>
      </c>
      <c r="W9" s="38" t="n">
        <f aca="false">MIN(100,MAX(T9*(1+INDEX(Response_Table!$E$4:$E$21,MATCH($F9&amp;"|low",Response_Table!$A$4:$A$21,0))*$R9*INDEX(Parameters!$X$4:$AA$4,1,MATCH($E9,Parameters!$X$3:$AA$3,0))),T9*(1+INDEX(Response_Table!$E$4:$E$21,MATCH($F9&amp;"|high",Response_Table!$A$4:$A$21,0))*$R9*INDEX(Parameters!$X$4:$AA$4,1,MATCH($E9,Parameters!$X$3:$AA$3,0))))*(1+Inputs_General!$C$22*Parameters!$F$4))</f>
        <v>90.6368862182143</v>
      </c>
      <c r="X9" s="39" t="n">
        <f aca="false">IF(T9=0,0,U9/T9-1)</f>
        <v>0</v>
      </c>
      <c r="Y9" s="38" t="n">
        <f aca="false">Parameters!$E$5*IF($N9="V",Parameters!$I$5,IF($N9="F",Parameters!$J$5,Parameters!$K$5))*(1-Parameters!$L$5*$P9)*IF($D9="V1",Parameters!$M$5,IF($D9="V2",Parameters!$N$5,Parameters!$O$5))</f>
        <v>70.36344</v>
      </c>
      <c r="Z9" s="38" t="n">
        <f aca="false">MIN(100,Y9*(1+INDEX(Response_Table!$F$4:$F$21,MATCH($F9&amp;"|mid",Response_Table!$A$4:$A$21,0))*$R9*INDEX(Parameters!$X$5:$AA$5,1,MATCH($E9,Parameters!$X$3:$AA$3,0))))</f>
        <v>70.36344</v>
      </c>
      <c r="AA9" s="38" t="n">
        <f aca="false">MAX(0,MIN(Y9*(1+INDEX(Response_Table!$F$4:$F$21,MATCH($F9&amp;"|low",Response_Table!$A$4:$A$21,0))*$R9*INDEX(Parameters!$X$5:$AA$5,1,MATCH($E9,Parameters!$X$3:$AA$3,0))),Y9*(1+INDEX(Response_Table!$F$4:$F$21,MATCH($F9&amp;"|high",Response_Table!$A$4:$A$21,0))*$R9*INDEX(Parameters!$X$5:$AA$5,1,MATCH($E9,Parameters!$X$3:$AA$3,0))))*(1-Inputs_General!$C$22*Parameters!$F$5))</f>
        <v>62.261089884</v>
      </c>
      <c r="AB9" s="38" t="n">
        <f aca="false">MIN(100,MAX(Y9*(1+INDEX(Response_Table!$F$4:$F$21,MATCH($F9&amp;"|low",Response_Table!$A$4:$A$21,0))*$R9*INDEX(Parameters!$X$5:$AA$5,1,MATCH($E9,Parameters!$X$3:$AA$3,0))),Y9*(1+INDEX(Response_Table!$F$4:$F$21,MATCH($F9&amp;"|high",Response_Table!$A$4:$A$21,0))*$R9*INDEX(Parameters!$X$5:$AA$5,1,MATCH($E9,Parameters!$X$3:$AA$3,0))))*(1+Inputs_General!$C$22*Parameters!$F$5))</f>
        <v>78.465790116</v>
      </c>
      <c r="AC9" s="39" t="n">
        <f aca="false">IF(Y9=0,0,Z9/Y9-1)</f>
        <v>0</v>
      </c>
      <c r="AD9" s="38" t="n">
        <f aca="false">Parameters!$E$6*IF($N9="V",Parameters!$I$6,IF($N9="F",Parameters!$J$6,Parameters!$K$6))*(1-Parameters!$L$6*$P9)*IF($D9="V1",Parameters!$M$6,IF($D9="V2",Parameters!$N$6,Parameters!$O$6))</f>
        <v>18.9470714285714</v>
      </c>
      <c r="AE9" s="38" t="n">
        <f aca="false">AD9*(1+INDEX(Response_Table!$G$4:$G$21,MATCH($F9&amp;"|mid",Response_Table!$A$4:$A$21,0))*$R9*INDEX(Parameters!$X$6:$AA$6,1,MATCH($E9,Parameters!$X$3:$AA$3,0)))</f>
        <v>18.9470714285714</v>
      </c>
      <c r="AF9" s="38" t="n">
        <f aca="false">MAX(0,MIN(AD9*(1+INDEX(Response_Table!$G$4:$G$21,MATCH($F9&amp;"|low",Response_Table!$A$4:$A$21,0))*$R9*INDEX(Parameters!$X$6:$AA$6,1,MATCH($E9,Parameters!$X$3:$AA$3,0))),AD9*(1+INDEX(Response_Table!$G$4:$G$21,MATCH($F9&amp;"|high",Response_Table!$A$4:$A$21,0))*$R9*INDEX(Parameters!$X$6:$AA$6,1,MATCH($E9,Parameters!$X$3:$AA$3,0))))*(1-Inputs_General!$C$22*Parameters!$F$6))</f>
        <v>15.2069195285714</v>
      </c>
      <c r="AG9" s="38" t="n">
        <f aca="false">MAX(AD9*(1+INDEX(Response_Table!$G$4:$G$21,MATCH($F9&amp;"|low",Response_Table!$A$4:$A$21,0))*$R9*INDEX(Parameters!$X$6:$AA$6,1,MATCH($E9,Parameters!$X$3:$AA$3,0))),AD9*(1+INDEX(Response_Table!$G$4:$G$21,MATCH($F9&amp;"|high",Response_Table!$A$4:$A$21,0))*$R9*INDEX(Parameters!$X$6:$AA$6,1,MATCH($E9,Parameters!$X$3:$AA$3,0))))*(1+Inputs_General!$C$22*Parameters!$F$6)</f>
        <v>22.6872233285714</v>
      </c>
      <c r="AH9" s="39" t="n">
        <f aca="false">IF(AD9=0,0,AE9/AD9-1)</f>
        <v>0</v>
      </c>
      <c r="AI9" s="40" t="n">
        <f aca="false">Parameters!$E$7*IF($N9="V",Parameters!$I$7,IF($N9="F",Parameters!$J$7,Parameters!$K$7))*(1-Parameters!$L$7*$P9)*IF($D9="V1",Parameters!$M$7,IF($D9="V2",Parameters!$N$7,Parameters!$O$7))*POWER($Q9/Inputs_General!$C$26,-Inputs_General!$C$25)</f>
        <v>0.411663164578586</v>
      </c>
      <c r="AJ9" s="40" t="n">
        <f aca="false">AI9*(1+INDEX(Response_Table!$H$4:$H$21,MATCH($F9&amp;"|mid",Response_Table!$A$4:$A$21,0))*$R9*INDEX(Parameters!$X$7:$AA$7,1,MATCH($E9,Parameters!$X$3:$AA$3,0)))</f>
        <v>0.411663164578586</v>
      </c>
      <c r="AK9" s="40" t="n">
        <f aca="false">MAX(0,MIN(AI9*(1+INDEX(Response_Table!$H$4:$H$21,MATCH($F9&amp;"|low",Response_Table!$A$4:$A$21,0))*$R9*INDEX(Parameters!$X$7:$AA$7,1,MATCH($E9,Parameters!$X$3:$AA$3,0))),AI9*(1+INDEX(Response_Table!$H$4:$H$21,MATCH($F9&amp;"|high",Response_Table!$A$4:$A$21,0))*$R9*INDEX(Parameters!$X$7:$AA$7,1,MATCH($E9,Parameters!$X$3:$AA$3,0))))*(1-Inputs_General!$C$22*Parameters!$F$7))</f>
        <v>0.289769701546867</v>
      </c>
      <c r="AL9" s="40" t="n">
        <f aca="false">MAX(AI9*(1+INDEX(Response_Table!$H$4:$H$21,MATCH($F9&amp;"|low",Response_Table!$A$4:$A$21,0))*$R9*INDEX(Parameters!$X$7:$AA$7,1,MATCH($E9,Parameters!$X$3:$AA$3,0))),AI9*(1+INDEX(Response_Table!$H$4:$H$21,MATCH($F9&amp;"|high",Response_Table!$A$4:$A$21,0))*$R9*INDEX(Parameters!$X$7:$AA$7,1,MATCH($E9,Parameters!$X$3:$AA$3,0))))*(1+Inputs_General!$C$22*Parameters!$F$7)</f>
        <v>0.533556627610306</v>
      </c>
      <c r="AM9" s="39" t="n">
        <f aca="false">IF(AI9=0,0,AJ9/AI9-1)</f>
        <v>0</v>
      </c>
      <c r="AN9" s="37" t="n">
        <f aca="false">AI9*$Q9/Inputs_General!$C$13*1000</f>
        <v>4.95374641196979</v>
      </c>
      <c r="AO9" s="37" t="n">
        <f aca="false">AJ9*$Q9/Inputs_General!$C$13*1000*(1+Inputs_General!$C$21*$I9)</f>
        <v>4.95374641196979</v>
      </c>
      <c r="AP9" s="37" t="n">
        <f aca="false">AK9*$Q9/Inputs_General!$C$13*1000*(1+Inputs_General!$C$21*$H9)</f>
        <v>3.48694209938553</v>
      </c>
      <c r="AQ9" s="37" t="n">
        <f aca="false">AL9*$Q9/Inputs_General!$C$13*1000*(1+Inputs_General!$C$21*$J9)</f>
        <v>6.42055072455404</v>
      </c>
      <c r="AR9" s="39" t="n">
        <f aca="false">IF(AN9=0,0,AO9/AN9-1)</f>
        <v>0</v>
      </c>
      <c r="AS9" s="36" t="n">
        <f aca="false">Parameters!$E$9*IF($N9="V",Parameters!$I$9,IF($N9="F",Parameters!$J$9,Parameters!$K$9))*(1-Parameters!$L$9*$P9)*IF($D9="V1",Parameters!$M$9,IF($D9="V2",Parameters!$N$9,Parameters!$O$9))</f>
        <v>285</v>
      </c>
      <c r="AT9" s="36" t="n">
        <f aca="false">AS9*(1+INDEX(Response_Table!$I$4:$I$21,MATCH($F9&amp;"|mid",Response_Table!$A$4:$A$21,0))*$R9*INDEX(Parameters!$X$9:$AA$9,1,MATCH($E9,Parameters!$X$3:$AA$3,0)))</f>
        <v>285</v>
      </c>
      <c r="AU9" s="36" t="n">
        <f aca="false">MAX(0,MIN(AS9*(1+INDEX(Response_Table!$I$4:$I$21,MATCH($F9&amp;"|low",Response_Table!$A$4:$A$21,0))*$R9*INDEX(Parameters!$X$9:$AA$9,1,MATCH($E9,Parameters!$X$3:$AA$3,0))),AS9*(1+INDEX(Response_Table!$I$4:$I$21,MATCH($F9&amp;"|high",Response_Table!$A$4:$A$21,0))*$R9*INDEX(Parameters!$X$9:$AA$9,1,MATCH($E9,Parameters!$X$3:$AA$3,0))))*(1-Inputs_General!$C$22*Parameters!$F$9))</f>
        <v>256.8705</v>
      </c>
      <c r="AV9" s="36" t="n">
        <f aca="false">MAX(AS9*(1+INDEX(Response_Table!$I$4:$I$21,MATCH($F9&amp;"|low",Response_Table!$A$4:$A$21,0))*$R9*INDEX(Parameters!$X$9:$AA$9,1,MATCH($E9,Parameters!$X$3:$AA$3,0))),AS9*(1+INDEX(Response_Table!$I$4:$I$21,MATCH($F9&amp;"|high",Response_Table!$A$4:$A$21,0))*$R9*INDEX(Parameters!$X$9:$AA$9,1,MATCH($E9,Parameters!$X$3:$AA$3,0))))*(1+Inputs_General!$C$22*Parameters!$F$9)</f>
        <v>313.1295</v>
      </c>
      <c r="AW9" s="39" t="n">
        <f aca="false">IF(AS9=0,0,AT9/AS9-1)</f>
        <v>0</v>
      </c>
      <c r="AX9" s="37" t="n">
        <f aca="false">INDEX(Context!$AB$4:$AB$51,$K9)</f>
        <v>3.08698491176579</v>
      </c>
      <c r="AY9" s="37" t="n">
        <f aca="false">AX9*(1+INDEX(Response_Table!$J$4:$J$21,MATCH($F9&amp;"|mid",Response_Table!$A$4:$A$21,0))*$R9*INDEX(Parameters!$X$10:$AA$10,1,MATCH($E9,Parameters!$X$3:$AA$3,0)))</f>
        <v>3.08698491176579</v>
      </c>
      <c r="AZ9" s="37" t="n">
        <f aca="false">MAX(0,MIN(AX9*(1+INDEX(Response_Table!$J$4:$J$21,MATCH($F9&amp;"|low",Response_Table!$A$4:$A$21,0))*$R9*INDEX(Parameters!$X$10:$AA$10,1,MATCH($E9,Parameters!$X$3:$AA$3,0))),AX9*(1+INDEX(Response_Table!$J$4:$J$21,MATCH($F9&amp;"|high",Response_Table!$A$4:$A$21,0))*$R9*INDEX(Parameters!$X$10:$AA$10,1,MATCH($E9,Parameters!$X$3:$AA$3,0))))*(1-Inputs_General!$C$22*Parameters!$F$10))</f>
        <v>2.47761409018323</v>
      </c>
      <c r="BA9" s="37" t="n">
        <f aca="false">MAX(AX9*(1+INDEX(Response_Table!$J$4:$J$21,MATCH($F9&amp;"|low",Response_Table!$A$4:$A$21,0))*$R9*INDEX(Parameters!$X$10:$AA$10,1,MATCH($E9,Parameters!$X$3:$AA$3,0))),AX9*(1+INDEX(Response_Table!$J$4:$J$21,MATCH($F9&amp;"|high",Response_Table!$A$4:$A$21,0))*$R9*INDEX(Parameters!$X$10:$AA$10,1,MATCH($E9,Parameters!$X$3:$AA$3,0))))*(1+Inputs_General!$C$22*Parameters!$F$10)</f>
        <v>3.69635573334836</v>
      </c>
      <c r="BB9" s="39" t="n">
        <f aca="false">IF(AX9=0,0,AY9/AX9-1)</f>
        <v>0</v>
      </c>
      <c r="BC9" s="40" t="n">
        <f aca="false">Parameters!$E$11*IF($N9="V",Parameters!$I$11,IF($N9="F",Parameters!$J$11,Parameters!$K$11))*(1-Parameters!$L$11*$P9)*IF($D9="V1",Parameters!$M$11,IF($D9="V2",Parameters!$N$11,Parameters!$O$11))</f>
        <v>1.24825892857143</v>
      </c>
      <c r="BD9" s="40" t="n">
        <f aca="false">BC9*(1+INDEX(Response_Table!$K$4:$K$21,MATCH($F9&amp;"|mid",Response_Table!$A$4:$A$21,0))*$R9*INDEX(Parameters!$X$11:$AA$11,1,MATCH($E9,Parameters!$X$3:$AA$3,0)))</f>
        <v>1.24825892857143</v>
      </c>
      <c r="BE9" s="40" t="n">
        <f aca="false">MAX(0,MIN(BC9*(1+INDEX(Response_Table!$K$4:$K$21,MATCH($F9&amp;"|low",Response_Table!$A$4:$A$21,0))*$R9*INDEX(Parameters!$X$11:$AA$11,1,MATCH($E9,Parameters!$X$3:$AA$3,0))),BC9*(1+INDEX(Response_Table!$K$4:$K$21,MATCH($F9&amp;"|high",Response_Table!$A$4:$A$21,0))*$R9*INDEX(Parameters!$X$11:$AA$11,1,MATCH($E9,Parameters!$X$3:$AA$3,0))))*(1-Inputs_General!$C$22*Parameters!$F$11))</f>
        <v>1.04292033482143</v>
      </c>
      <c r="BF9" s="40" t="n">
        <f aca="false">MAX(BC9*(1+INDEX(Response_Table!$K$4:$K$21,MATCH($F9&amp;"|low",Response_Table!$A$4:$A$21,0))*$R9*INDEX(Parameters!$X$11:$AA$11,1,MATCH($E9,Parameters!$X$3:$AA$3,0))),BC9*(1+INDEX(Response_Table!$K$4:$K$21,MATCH($F9&amp;"|high",Response_Table!$A$4:$A$21,0))*$R9*INDEX(Parameters!$X$11:$AA$11,1,MATCH($E9,Parameters!$X$3:$AA$3,0))))*(1+Inputs_General!$C$22*Parameters!$F$11)</f>
        <v>1.45359752232143</v>
      </c>
      <c r="BG9" s="39" t="n">
        <f aca="false">IF(BC9=0,0,BD9/BC9-1)</f>
        <v>0</v>
      </c>
      <c r="BH9" s="40" t="n">
        <f aca="false">Parameters!$E$12*IF($N9="V",Parameters!$I$12,IF($N9="F",Parameters!$J$12,Parameters!$K$12))*(1-Parameters!$L$12*$P9)*IF($D9="V1",Parameters!$M$12,IF($D9="V2",Parameters!$N$12,Parameters!$O$12))</f>
        <v>0.449373214285714</v>
      </c>
      <c r="BI9" s="40" t="n">
        <f aca="false">BH9*(1+INDEX(Response_Table!$L$4:$L$21,MATCH($F9&amp;"|mid",Response_Table!$A$4:$A$21,0))*$R9*INDEX(Parameters!$X$12:$AA$12,1,MATCH($E9,Parameters!$X$3:$AA$3,0)))</f>
        <v>0.449373214285714</v>
      </c>
      <c r="BJ9" s="40" t="n">
        <f aca="false">MAX(0,MIN(BH9*(1+INDEX(Response_Table!$L$4:$L$21,MATCH($F9&amp;"|low",Response_Table!$A$4:$A$21,0))*$R9*INDEX(Parameters!$X$12:$AA$12,1,MATCH($E9,Parameters!$X$3:$AA$3,0))),BH9*(1+INDEX(Response_Table!$L$4:$L$21,MATCH($F9&amp;"|high",Response_Table!$A$4:$A$21,0))*$R9*INDEX(Parameters!$X$12:$AA$12,1,MATCH($E9,Parameters!$X$3:$AA$3,0))))*(1-Inputs_General!$C$22*Parameters!$F$12))</f>
        <v>0.360666941785714</v>
      </c>
      <c r="BK9" s="40" t="n">
        <f aca="false">MAX(BH9*(1+INDEX(Response_Table!$L$4:$L$21,MATCH($F9&amp;"|low",Response_Table!$A$4:$A$21,0))*$R9*INDEX(Parameters!$X$12:$AA$12,1,MATCH($E9,Parameters!$X$3:$AA$3,0))),BH9*(1+INDEX(Response_Table!$L$4:$L$21,MATCH($F9&amp;"|high",Response_Table!$A$4:$A$21,0))*$R9*INDEX(Parameters!$X$12:$AA$12,1,MATCH($E9,Parameters!$X$3:$AA$3,0))))*(1+Inputs_General!$C$22*Parameters!$F$12)</f>
        <v>0.538079486785714</v>
      </c>
      <c r="BL9" s="39" t="n">
        <f aca="false">IF(BH9=0,0,BI9/BH9-1)</f>
        <v>0</v>
      </c>
      <c r="BM9" s="40" t="n">
        <f aca="false">Parameters!$E$13*IF($N9="V",Parameters!$I$13,IF($N9="F",Parameters!$J$13,Parameters!$K$13))*(1-Parameters!$L$13*$P9)*IF($D9="V1",Parameters!$M$13,IF($D9="V2",Parameters!$N$13,Parameters!$O$13))</f>
        <v>0.299791071428571</v>
      </c>
      <c r="BN9" s="40" t="n">
        <f aca="false">BM9*(1+INDEX(Response_Table!$M$4:$M$21,MATCH($F9&amp;"|mid",Response_Table!$A$4:$A$21,0))*$R9*INDEX(Parameters!$X$13:$AA$13,1,MATCH($E9,Parameters!$X$3:$AA$3,0)))</f>
        <v>0.299791071428571</v>
      </c>
      <c r="BO9" s="40" t="n">
        <f aca="false">MAX(0,MIN(BM9*(1+INDEX(Response_Table!$M$4:$M$21,MATCH($F9&amp;"|low",Response_Table!$A$4:$A$21,0))*$R9*INDEX(Parameters!$X$13:$AA$13,1,MATCH($E9,Parameters!$X$3:$AA$3,0))),BM9*(1+INDEX(Response_Table!$M$4:$M$21,MATCH($F9&amp;"|high",Response_Table!$A$4:$A$21,0))*$R9*INDEX(Parameters!$X$13:$AA$13,1,MATCH($E9,Parameters!$X$3:$AA$3,0))))*(1-Inputs_General!$C$22*Parameters!$F$13))</f>
        <v>0.240612313928571</v>
      </c>
      <c r="BP9" s="40" t="n">
        <f aca="false">MAX(BM9*(1+INDEX(Response_Table!$M$4:$M$21,MATCH($F9&amp;"|low",Response_Table!$A$4:$A$21,0))*$R9*INDEX(Parameters!$X$13:$AA$13,1,MATCH($E9,Parameters!$X$3:$AA$3,0))),BM9*(1+INDEX(Response_Table!$M$4:$M$21,MATCH($F9&amp;"|high",Response_Table!$A$4:$A$21,0))*$R9*INDEX(Parameters!$X$13:$AA$13,1,MATCH($E9,Parameters!$X$3:$AA$3,0))))*(1+Inputs_General!$C$22*Parameters!$F$13)</f>
        <v>0.358969828928571</v>
      </c>
      <c r="BQ9" s="39" t="n">
        <f aca="false">IF(BM9=0,0,BN9/BM9-1)</f>
        <v>0</v>
      </c>
      <c r="BR9" s="38" t="n">
        <f aca="false">Parameters!$E$14*IF($N9="V",Parameters!$I$14,IF($N9="F",Parameters!$J$14,Parameters!$K$14))*(1-Parameters!$L$14*$P9)*IF($D9="V1",Parameters!$M$14,IF($D9="V2",Parameters!$N$14,Parameters!$O$14))*INDEX(Context!$AC$4:$AC$51,$K9)</f>
        <v>15</v>
      </c>
      <c r="BS9" s="38" t="n">
        <f aca="false">BR9*(1+INDEX(Response_Table!$N$4:$N$21,MATCH($F9&amp;"|mid",Response_Table!$A$4:$A$21,0))*$R9*INDEX(Parameters!$X$14:$AA$14,1,MATCH($E9,Parameters!$X$3:$AA$3,0)))</f>
        <v>15</v>
      </c>
      <c r="BT9" s="38" t="n">
        <f aca="false">MAX(0,MIN(BR9*(1+INDEX(Response_Table!$N$4:$N$21,MATCH($F9&amp;"|low",Response_Table!$A$4:$A$21,0))*$R9*INDEX(Parameters!$X$14:$AA$14,1,MATCH($E9,Parameters!$X$3:$AA$3,0))),BR9*(1+INDEX(Response_Table!$N$4:$N$21,MATCH($F9&amp;"|high",Response_Table!$A$4:$A$21,0))*$R9*INDEX(Parameters!$X$14:$AA$14,1,MATCH($E9,Parameters!$X$3:$AA$3,0))))*(1-Inputs_General!$C$22*Parameters!$F$14))</f>
        <v>7.5975</v>
      </c>
      <c r="BU9" s="38" t="n">
        <f aca="false">MAX(BR9*(1+INDEX(Response_Table!$N$4:$N$21,MATCH($F9&amp;"|low",Response_Table!$A$4:$A$21,0))*$R9*INDEX(Parameters!$X$14:$AA$14,1,MATCH($E9,Parameters!$X$3:$AA$3,0))),BR9*(1+INDEX(Response_Table!$N$4:$N$21,MATCH($F9&amp;"|high",Response_Table!$A$4:$A$21,0))*$R9*INDEX(Parameters!$X$14:$AA$14,1,MATCH($E9,Parameters!$X$3:$AA$3,0))))*(1+Inputs_General!$C$22*Parameters!$F$14)</f>
        <v>22.4025</v>
      </c>
      <c r="BV9" s="39" t="n">
        <f aca="false">IF(BR9=0,0,BS9/BR9-1)</f>
        <v>0</v>
      </c>
      <c r="BW9" s="37" t="n">
        <f aca="false">Parameters!$E$15*IF($N9="V",Parameters!$I$15,IF($N9="F",Parameters!$J$15,Parameters!$K$15))*(1-Parameters!$L$15*$P9)*IF($D9="V1",Parameters!$M$15,IF($D9="V2",Parameters!$N$15,Parameters!$O$15))</f>
        <v>10.3855142857143</v>
      </c>
      <c r="BX9" s="37" t="n">
        <f aca="false">BW9*(1+INDEX(Response_Table!$O$4:$O$21,MATCH($F9&amp;"|mid",Response_Table!$A$4:$A$21,0))*$R9*INDEX(Parameters!$X$15:$AA$15,1,MATCH($E9,Parameters!$X$3:$AA$3,0)))</f>
        <v>10.3855142857143</v>
      </c>
      <c r="BY9" s="37" t="n">
        <f aca="false">MAX(0,MIN(BW9*(1+INDEX(Response_Table!$O$4:$O$21,MATCH($F9&amp;"|low",Response_Table!$A$4:$A$21,0))*$R9*INDEX(Parameters!$X$15:$AA$15,1,MATCH($E9,Parameters!$X$3:$AA$3,0))),BW9*(1+INDEX(Response_Table!$O$4:$O$21,MATCH($F9&amp;"|high",Response_Table!$A$4:$A$21,0))*$R9*INDEX(Parameters!$X$15:$AA$15,1,MATCH($E9,Parameters!$X$3:$AA$3,0))))*(1-Inputs_General!$C$22*Parameters!$F$15))</f>
        <v>8.33541376571428</v>
      </c>
      <c r="BZ9" s="37" t="n">
        <f aca="false">MAX(BW9*(1+INDEX(Response_Table!$O$4:$O$21,MATCH($F9&amp;"|low",Response_Table!$A$4:$A$21,0))*$R9*INDEX(Parameters!$X$15:$AA$15,1,MATCH($E9,Parameters!$X$3:$AA$3,0))),BW9*(1+INDEX(Response_Table!$O$4:$O$21,MATCH($F9&amp;"|high",Response_Table!$A$4:$A$21,0))*$R9*INDEX(Parameters!$X$15:$AA$15,1,MATCH($E9,Parameters!$X$3:$AA$3,0))))*(1+Inputs_General!$C$22*Parameters!$F$15)</f>
        <v>12.4356148057143</v>
      </c>
      <c r="CA9" s="39" t="n">
        <f aca="false">IF(BW9=0,0,BX9/BW9-1)</f>
        <v>0</v>
      </c>
      <c r="CB9" s="40" t="n">
        <f aca="false">BD9+BI9</f>
        <v>1.69763214285714</v>
      </c>
      <c r="CC9" s="37" t="n">
        <f aca="false">BD9/BI9</f>
        <v>2.77777777777778</v>
      </c>
      <c r="CD9" s="40" t="n">
        <f aca="false">BN9/CB9</f>
        <v>0.176593658814694</v>
      </c>
      <c r="CE9" s="37" t="n">
        <f aca="false">AE9/AO9</f>
        <v>3.82479639708432</v>
      </c>
      <c r="CF9" s="38" t="n">
        <f aca="false">AE9/AJ9</f>
        <v>46.0256662700615</v>
      </c>
      <c r="CG9" s="38" t="n">
        <f aca="false">INDEX(Context!$V$4:$V$51,$K9)</f>
        <v>25.5785714285714</v>
      </c>
      <c r="CH9" s="38" t="n">
        <f aca="false">INDEX(Context!$Y$4:$Y$51,$K9)</f>
        <v>23.620522619794</v>
      </c>
      <c r="CI9" s="38" t="n">
        <f aca="false">INDEX(Context!$Z$4:$Z$51,$K9)</f>
        <v>29.5785714285714</v>
      </c>
      <c r="CJ9" s="37" t="n">
        <f aca="false">INDEX(Context!$AA$4:$AA$51,$K9)</f>
        <v>0.201160714285714</v>
      </c>
      <c r="CK9" s="37" t="n">
        <f aca="false">MAX(0,MIN(1,1-(1-CJ9)*AO9/AN9))</f>
        <v>0.201160714285714</v>
      </c>
      <c r="CL9" s="38" t="n">
        <f aca="false">CH9+CK9*(CI9-CH9)</f>
        <v>24.8190479739168</v>
      </c>
      <c r="CM9" s="38" t="n">
        <f aca="false">CH9+MAX(0,MIN(1,1-(1-CJ9)*AQ9/AN9))*(CI9-CH9)</f>
        <v>23.620522619794</v>
      </c>
      <c r="CN9" s="38" t="n">
        <f aca="false">CH9+MAX(0,MIN(1,1-(1-CJ9)*AP9/AN9))*(CI9-CH9)</f>
        <v>26.2283428688401</v>
      </c>
      <c r="CO9" s="38" t="n">
        <f aca="false">CL9-CG9</f>
        <v>-0.759523454654609</v>
      </c>
      <c r="CP9" s="38" t="n">
        <f aca="false">CL9-(CH9+CJ9*(CI9-CH9))</f>
        <v>0</v>
      </c>
      <c r="CQ9" s="40" t="n">
        <f aca="false">CL9/CG9</f>
        <v>0.970306259801272</v>
      </c>
      <c r="CR9" s="37" t="n">
        <f aca="false">IF(CL9-CH9&lt;=0,"n/a",(CI9-CL9)/(CL9-CH9))</f>
        <v>3.97114957834</v>
      </c>
      <c r="CS9" s="37" t="n">
        <f aca="false">IF(CI9-CL9&lt;=0,"n/a",(CL9-CH9)/(CI9-CL9))</f>
        <v>0.251816251257405</v>
      </c>
      <c r="CT9" s="37" t="n">
        <f aca="false">Inputs_General!$C$23+Inputs_General!$C$24*$I9</f>
        <v>0.6</v>
      </c>
      <c r="CU9" s="38" t="n">
        <f aca="false">3.29*CT9</f>
        <v>1.974</v>
      </c>
    </row>
    <row r="10" customFormat="false" ht="15" hidden="false" customHeight="false" outlineLevel="0" collapsed="false">
      <c r="A10" s="9" t="str">
        <f aca="false">B10&amp;"|"&amp;E10&amp;"|"&amp;F10</f>
        <v>D1V1|24/02/2026|Very low</v>
      </c>
      <c r="B10" s="7" t="s">
        <v>340</v>
      </c>
      <c r="C10" s="9" t="s">
        <v>127</v>
      </c>
      <c r="D10" s="9" t="s">
        <v>142</v>
      </c>
      <c r="E10" s="9" t="s">
        <v>160</v>
      </c>
      <c r="F10" s="7" t="s">
        <v>277</v>
      </c>
      <c r="G10" s="9" t="s">
        <v>278</v>
      </c>
      <c r="H10" s="41" t="n">
        <f aca="false">INDEX(Severity_Classes!$C$4:$C$9,MATCH(F10,Severity_Classes!$A$4:$A$9,0))</f>
        <v>0.01</v>
      </c>
      <c r="I10" s="41" t="n">
        <f aca="false">INDEX(Severity_Classes!$D$4:$D$9,MATCH(F10,Severity_Classes!$A$4:$A$9,0))</f>
        <v>0.03</v>
      </c>
      <c r="J10" s="41" t="n">
        <f aca="false">INDEX(Severity_Classes!$E$4:$E$9,MATCH(F10,Severity_Classes!$A$4:$A$9,0))</f>
        <v>0.05</v>
      </c>
      <c r="K10" s="42" t="n">
        <f aca="false">MATCH(B10&amp;"|"&amp;E10,Context!$A$4:$A$51,0)</f>
        <v>2</v>
      </c>
      <c r="L10" s="42" t="n">
        <f aca="false">INDEX(Context!$H$4:$H$51,K10)</f>
        <v>77</v>
      </c>
      <c r="M10" s="42" t="n">
        <f aca="false">INDEX(Context!$I$4:$I$51,K10)</f>
        <v>19</v>
      </c>
      <c r="N10" s="9" t="str">
        <f aca="false">INDEX(Context!$L$4:$L$51,K10)</f>
        <v>F</v>
      </c>
      <c r="O10" s="9" t="str">
        <f aca="false">INDEX(Context!$M$4:$M$51,K10)</f>
        <v>5th fully expanded leaf from top</v>
      </c>
      <c r="P10" s="43" t="n">
        <f aca="false">INDEX(Context!$R$4:$R$51,K10)</f>
        <v>0.0232142857142859</v>
      </c>
      <c r="Q10" s="43" t="n">
        <f aca="false">INDEX(Context!$U$4:$U$51,K10)</f>
        <v>1.19492600027053</v>
      </c>
      <c r="R10" s="43" t="n">
        <f aca="false">INDEX(Context!$AD$4:$AD$51,K10)</f>
        <v>1</v>
      </c>
      <c r="S10" s="9" t="str">
        <f aca="false">INDEX(Context!$AI$4:$AN$51,K10,MATCH(F10,Severity_Classes!$A$4:$A$9,0))</f>
        <v>Possible</v>
      </c>
      <c r="T10" s="44" t="n">
        <f aca="false">Parameters!$E$4*IF($N10="V",Parameters!$I$4,IF($N10="F",Parameters!$J$4,Parameters!$K$4))*(1-Parameters!$L$4*$P10)*IF($D10="V1",Parameters!$M$4,IF($D10="V2",Parameters!$N$4,Parameters!$O$4))</f>
        <v>85.0411767857143</v>
      </c>
      <c r="U10" s="44" t="n">
        <f aca="false">MIN(100,T10*(1+INDEX(Response_Table!$E$4:$E$21,MATCH($F10&amp;"|mid",Response_Table!$A$4:$A$21,0))*$R10*INDEX(Parameters!$X$4:$AA$4,1,MATCH($E10,Parameters!$X$3:$AA$3,0))))</f>
        <v>84.6745354605784</v>
      </c>
      <c r="V10" s="44" t="n">
        <f aca="false">MAX(0,MIN(T10*(1+INDEX(Response_Table!$E$4:$E$21,MATCH($F10&amp;"|low",Response_Table!$A$4:$A$21,0))*$R10*INDEX(Parameters!$X$4:$AA$4,1,MATCH($E10,Parameters!$X$3:$AA$3,0))),T10*(1+INDEX(Response_Table!$E$4:$E$21,MATCH($F10&amp;"|high",Response_Table!$A$4:$A$21,0))*$R10*INDEX(Parameters!$X$4:$AA$4,1,MATCH($E10,Parameters!$X$3:$AA$3,0))))*(1-Inputs_General!$C$22*Parameters!$F$4))</f>
        <v>78.8293823968454</v>
      </c>
      <c r="W10" s="44" t="n">
        <f aca="false">MIN(100,MAX(T10*(1+INDEX(Response_Table!$E$4:$E$21,MATCH($F10&amp;"|low",Response_Table!$A$4:$A$21,0))*$R10*INDEX(Parameters!$X$4:$AA$4,1,MATCH($E10,Parameters!$X$3:$AA$3,0))),T10*(1+INDEX(Response_Table!$E$4:$E$21,MATCH($F10&amp;"|high",Response_Table!$A$4:$A$21,0))*$R10*INDEX(Parameters!$X$4:$AA$4,1,MATCH($E10,Parameters!$X$3:$AA$3,0))))*(1+Inputs_General!$C$22*Parameters!$F$4))</f>
        <v>90.5161178166687</v>
      </c>
      <c r="X10" s="45" t="n">
        <f aca="false">IF(T10=0,0,U10/T10-1)</f>
        <v>-0.00431133880072843</v>
      </c>
      <c r="Y10" s="44" t="n">
        <f aca="false">Parameters!$E$5*IF($N10="V",Parameters!$I$5,IF($N10="F",Parameters!$J$5,Parameters!$K$5))*(1-Parameters!$L$5*$P10)*IF($D10="V1",Parameters!$M$5,IF($D10="V2",Parameters!$N$5,Parameters!$O$5))</f>
        <v>70.36344</v>
      </c>
      <c r="Z10" s="44" t="n">
        <f aca="false">MIN(100,Y10*(1+INDEX(Response_Table!$F$4:$F$21,MATCH($F10&amp;"|mid",Response_Table!$A$4:$A$21,0))*$R10*INDEX(Parameters!$X$5:$AA$5,1,MATCH($E10,Parameters!$X$3:$AA$3,0))))</f>
        <v>69.3950462239237</v>
      </c>
      <c r="AA10" s="44" t="n">
        <f aca="false">MAX(0,MIN(Y10*(1+INDEX(Response_Table!$F$4:$F$21,MATCH($F10&amp;"|low",Response_Table!$A$4:$A$21,0))*$R10*INDEX(Parameters!$X$5:$AA$5,1,MATCH($E10,Parameters!$X$3:$AA$3,0))),Y10*(1+INDEX(Response_Table!$F$4:$F$21,MATCH($F10&amp;"|high",Response_Table!$A$4:$A$21,0))*$R10*INDEX(Parameters!$X$5:$AA$5,1,MATCH($E10,Parameters!$X$3:$AA$3,0))))*(1-Inputs_General!$C$22*Parameters!$F$5))</f>
        <v>60.6984695207822</v>
      </c>
      <c r="AB10" s="44" t="n">
        <f aca="false">MIN(100,MAX(Y10*(1+INDEX(Response_Table!$F$4:$F$21,MATCH($F10&amp;"|low",Response_Table!$A$4:$A$21,0))*$R10*INDEX(Parameters!$X$5:$AA$5,1,MATCH($E10,Parameters!$X$3:$AA$3,0))),Y10*(1+INDEX(Response_Table!$F$4:$F$21,MATCH($F10&amp;"|high",Response_Table!$A$4:$A$21,0))*$R10*INDEX(Parameters!$X$5:$AA$5,1,MATCH($E10,Parameters!$X$3:$AA$3,0))))*(1+Inputs_General!$C$22*Parameters!$F$5))</f>
        <v>78.1366343645767</v>
      </c>
      <c r="AC10" s="45" t="n">
        <f aca="false">IF(Y10=0,0,Z10/Y10-1)</f>
        <v>-0.0137627406516267</v>
      </c>
      <c r="AD10" s="44" t="n">
        <f aca="false">Parameters!$E$6*IF($N10="V",Parameters!$I$6,IF($N10="F",Parameters!$J$6,Parameters!$K$6))*(1-Parameters!$L$6*$P10)*IF($D10="V1",Parameters!$M$6,IF($D10="V2",Parameters!$N$6,Parameters!$O$6))</f>
        <v>18.9470714285714</v>
      </c>
      <c r="AE10" s="44" t="n">
        <f aca="false">AD10*(1+INDEX(Response_Table!$G$4:$G$21,MATCH($F10&amp;"|mid",Response_Table!$A$4:$A$21,0))*$R10*INDEX(Parameters!$X$6:$AA$6,1,MATCH($E10,Parameters!$X$3:$AA$3,0)))</f>
        <v>17.1898394293085</v>
      </c>
      <c r="AF10" s="44" t="n">
        <f aca="false">MAX(0,MIN(AD10*(1+INDEX(Response_Table!$G$4:$G$21,MATCH($F10&amp;"|low",Response_Table!$A$4:$A$21,0))*$R10*INDEX(Parameters!$X$6:$AA$6,1,MATCH($E10,Parameters!$X$3:$AA$3,0))),AD10*(1+INDEX(Response_Table!$G$4:$G$21,MATCH($F10&amp;"|high",Response_Table!$A$4:$A$21,0))*$R10*INDEX(Parameters!$X$6:$AA$6,1,MATCH($E10,Parameters!$X$3:$AA$3,0))))*(1-Inputs_General!$C$22*Parameters!$F$6))</f>
        <v>12.9546089677288</v>
      </c>
      <c r="AG10" s="44" t="n">
        <f aca="false">MAX(AD10*(1+INDEX(Response_Table!$G$4:$G$21,MATCH($F10&amp;"|low",Response_Table!$A$4:$A$21,0))*$R10*INDEX(Parameters!$X$6:$AA$6,1,MATCH($E10,Parameters!$X$3:$AA$3,0))),AD10*(1+INDEX(Response_Table!$G$4:$G$21,MATCH($F10&amp;"|high",Response_Table!$A$4:$A$21,0))*$R10*INDEX(Parameters!$X$6:$AA$6,1,MATCH($E10,Parameters!$X$3:$AA$3,0))))*(1+Inputs_General!$C$22*Parameters!$F$6)</f>
        <v>21.9547769434063</v>
      </c>
      <c r="AH10" s="45" t="n">
        <f aca="false">IF(AD10=0,0,AE10/AD10-1)</f>
        <v>-0.0927442536904702</v>
      </c>
      <c r="AI10" s="46" t="n">
        <f aca="false">Parameters!$E$7*IF($N10="V",Parameters!$I$7,IF($N10="F",Parameters!$J$7,Parameters!$K$7))*(1-Parameters!$L$7*$P10)*IF($D10="V1",Parameters!$M$7,IF($D10="V2",Parameters!$N$7,Parameters!$O$7))*POWER($Q10/Inputs_General!$C$26,-Inputs_General!$C$25)</f>
        <v>0.411663164578586</v>
      </c>
      <c r="AJ10" s="46" t="n">
        <f aca="false">AI10*(1+INDEX(Response_Table!$H$4:$H$21,MATCH($F10&amp;"|mid",Response_Table!$A$4:$A$21,0))*$R10*INDEX(Parameters!$X$7:$AA$7,1,MATCH($E10,Parameters!$X$3:$AA$3,0)))</f>
        <v>0.388632780160783</v>
      </c>
      <c r="AK10" s="46" t="n">
        <f aca="false">MAX(0,MIN(AI10*(1+INDEX(Response_Table!$H$4:$H$21,MATCH($F10&amp;"|low",Response_Table!$A$4:$A$21,0))*$R10*INDEX(Parameters!$X$7:$AA$7,1,MATCH($E10,Parameters!$X$3:$AA$3,0))),AI10*(1+INDEX(Response_Table!$H$4:$H$21,MATCH($F10&amp;"|high",Response_Table!$A$4:$A$21,0))*$R10*INDEX(Parameters!$X$7:$AA$7,1,MATCH($E10,Parameters!$X$3:$AA$3,0))))*(1-Inputs_General!$C$22*Parameters!$F$7))</f>
        <v>0.263534006282406</v>
      </c>
      <c r="AL10" s="46" t="n">
        <f aca="false">MAX(AI10*(1+INDEX(Response_Table!$H$4:$H$21,MATCH($F10&amp;"|low",Response_Table!$A$4:$A$21,0))*$R10*INDEX(Parameters!$X$7:$AA$7,1,MATCH($E10,Parameters!$X$3:$AA$3,0))),AI10*(1+INDEX(Response_Table!$H$4:$H$21,MATCH($F10&amp;"|high",Response_Table!$A$4:$A$21,0))*$R10*INDEX(Parameters!$X$7:$AA$7,1,MATCH($E10,Parameters!$X$3:$AA$3,0))))*(1+Inputs_General!$C$22*Parameters!$F$7)</f>
        <v>0.523306789667364</v>
      </c>
      <c r="AM10" s="45" t="n">
        <f aca="false">IF(AI10=0,0,AJ10/AI10-1)</f>
        <v>-0.0559447295737017</v>
      </c>
      <c r="AN10" s="43" t="n">
        <f aca="false">AI10*$Q10/Inputs_General!$C$13*1000</f>
        <v>4.95374641196979</v>
      </c>
      <c r="AO10" s="43" t="n">
        <f aca="false">AJ10*$Q10/Inputs_General!$C$13*1000*(1+Inputs_General!$C$21*$I10)</f>
        <v>4.71168498663976</v>
      </c>
      <c r="AP10" s="43" t="n">
        <f aca="false">AK10*$Q10/Inputs_General!$C$13*1000*(1+Inputs_General!$C$21*$H10)</f>
        <v>3.17916309317684</v>
      </c>
      <c r="AQ10" s="43" t="n">
        <f aca="false">AL10*$Q10/Inputs_General!$C$13*1000*(1+Inputs_General!$C$21*$J10)</f>
        <v>6.37592447336637</v>
      </c>
      <c r="AR10" s="45" t="n">
        <f aca="false">IF(AN10=0,0,AO10/AN10-1)</f>
        <v>-0.0488643150455043</v>
      </c>
      <c r="AS10" s="42" t="n">
        <f aca="false">Parameters!$E$9*IF($N10="V",Parameters!$I$9,IF($N10="F",Parameters!$J$9,Parameters!$K$9))*(1-Parameters!$L$9*$P10)*IF($D10="V1",Parameters!$M$9,IF($D10="V2",Parameters!$N$9,Parameters!$O$9))</f>
        <v>285</v>
      </c>
      <c r="AT10" s="42" t="n">
        <f aca="false">AS10*(1+INDEX(Response_Table!$I$4:$I$21,MATCH($F10&amp;"|mid",Response_Table!$A$4:$A$21,0))*$R10*INDEX(Parameters!$X$9:$AA$9,1,MATCH($E10,Parameters!$X$3:$AA$3,0)))</f>
        <v>294.668302660683</v>
      </c>
      <c r="AU10" s="42" t="n">
        <f aca="false">MAX(0,MIN(AS10*(1+INDEX(Response_Table!$I$4:$I$21,MATCH($F10&amp;"|low",Response_Table!$A$4:$A$21,0))*$R10*INDEX(Parameters!$X$9:$AA$9,1,MATCH($E10,Parameters!$X$3:$AA$3,0))),AS10*(1+INDEX(Response_Table!$I$4:$I$21,MATCH($F10&amp;"|high",Response_Table!$A$4:$A$21,0))*$R10*INDEX(Parameters!$X$9:$AA$9,1,MATCH($E10,Parameters!$X$3:$AA$3,0))))*(1-Inputs_General!$C$22*Parameters!$F$9))</f>
        <v>259.892110911067</v>
      </c>
      <c r="AV10" s="42" t="n">
        <f aca="false">MAX(AS10*(1+INDEX(Response_Table!$I$4:$I$21,MATCH($F10&amp;"|low",Response_Table!$A$4:$A$21,0))*$R10*INDEX(Parameters!$X$9:$AA$9,1,MATCH($E10,Parameters!$X$3:$AA$3,0))),AS10*(1+INDEX(Response_Table!$I$4:$I$21,MATCH($F10&amp;"|high",Response_Table!$A$4:$A$21,0))*$R10*INDEX(Parameters!$X$9:$AA$9,1,MATCH($E10,Parameters!$X$3:$AA$3,0))))*(1+Inputs_General!$C$22*Parameters!$F$9)</f>
        <v>330.15772459622</v>
      </c>
      <c r="AW10" s="45" t="n">
        <f aca="false">IF(AS10=0,0,AT10/AS10-1)</f>
        <v>0.0339238689848527</v>
      </c>
      <c r="AX10" s="43" t="n">
        <f aca="false">INDEX(Context!$AB$4:$AB$51,$K10)</f>
        <v>3.08698491176579</v>
      </c>
      <c r="AY10" s="43" t="n">
        <f aca="false">AX10*(1+INDEX(Response_Table!$J$4:$J$21,MATCH($F10&amp;"|mid",Response_Table!$A$4:$A$21,0))*$R10*INDEX(Parameters!$X$10:$AA$10,1,MATCH($E10,Parameters!$X$3:$AA$3,0)))</f>
        <v>2.98661026639954</v>
      </c>
      <c r="AZ10" s="43" t="n">
        <f aca="false">MAX(0,MIN(AX10*(1+INDEX(Response_Table!$J$4:$J$21,MATCH($F10&amp;"|low",Response_Table!$A$4:$A$21,0))*$R10*INDEX(Parameters!$X$10:$AA$10,1,MATCH($E10,Parameters!$X$3:$AA$3,0))),AX10*(1+INDEX(Response_Table!$J$4:$J$21,MATCH($F10&amp;"|high",Response_Table!$A$4:$A$21,0))*$R10*INDEX(Parameters!$X$10:$AA$10,1,MATCH($E10,Parameters!$X$3:$AA$3,0))))*(1-Inputs_General!$C$22*Parameters!$F$10))</f>
        <v>2.34660679177477</v>
      </c>
      <c r="BA10" s="43" t="n">
        <f aca="false">MAX(AX10*(1+INDEX(Response_Table!$J$4:$J$21,MATCH($F10&amp;"|low",Response_Table!$A$4:$A$21,0))*$R10*INDEX(Parameters!$X$10:$AA$10,1,MATCH($E10,Parameters!$X$3:$AA$3,0))),AX10*(1+INDEX(Response_Table!$J$4:$J$21,MATCH($F10&amp;"|high",Response_Table!$A$4:$A$21,0))*$R10*INDEX(Parameters!$X$10:$AA$10,1,MATCH($E10,Parameters!$X$3:$AA$3,0))))*(1+Inputs_General!$C$22*Parameters!$F$10)</f>
        <v>3.65528722664444</v>
      </c>
      <c r="BB10" s="45" t="n">
        <f aca="false">IF(AX10=0,0,AY10/AX10-1)</f>
        <v>-0.0325154311521512</v>
      </c>
      <c r="BC10" s="46" t="n">
        <f aca="false">Parameters!$E$11*IF($N10="V",Parameters!$I$11,IF($N10="F",Parameters!$J$11,Parameters!$K$11))*(1-Parameters!$L$11*$P10)*IF($D10="V1",Parameters!$M$11,IF($D10="V2",Parameters!$N$11,Parameters!$O$11))</f>
        <v>1.24825892857143</v>
      </c>
      <c r="BD10" s="46" t="n">
        <f aca="false">BC10*(1+INDEX(Response_Table!$K$4:$K$21,MATCH($F10&amp;"|mid",Response_Table!$A$4:$A$21,0))*$R10*INDEX(Parameters!$X$11:$AA$11,1,MATCH($E10,Parameters!$X$3:$AA$3,0)))</f>
        <v>1.17398953257335</v>
      </c>
      <c r="BE10" s="46" t="n">
        <f aca="false">MAX(0,MIN(BC10*(1+INDEX(Response_Table!$K$4:$K$21,MATCH($F10&amp;"|low",Response_Table!$A$4:$A$21,0))*$R10*INDEX(Parameters!$X$11:$AA$11,1,MATCH($E10,Parameters!$X$3:$AA$3,0))),BC10*(1+INDEX(Response_Table!$K$4:$K$21,MATCH($F10&amp;"|high",Response_Table!$A$4:$A$21,0))*$R10*INDEX(Parameters!$X$11:$AA$11,1,MATCH($E10,Parameters!$X$3:$AA$3,0))))*(1-Inputs_General!$C$22*Parameters!$F$11))</f>
        <v>0.942688872895517</v>
      </c>
      <c r="BF10" s="46" t="n">
        <f aca="false">MAX(BC10*(1+INDEX(Response_Table!$K$4:$K$21,MATCH($F10&amp;"|low",Response_Table!$A$4:$A$21,0))*$R10*INDEX(Parameters!$X$11:$AA$11,1,MATCH($E10,Parameters!$X$3:$AA$3,0))),BC10*(1+INDEX(Response_Table!$K$4:$K$21,MATCH($F10&amp;"|high",Response_Table!$A$4:$A$21,0))*$R10*INDEX(Parameters!$X$11:$AA$11,1,MATCH($E10,Parameters!$X$3:$AA$3,0))))*(1+Inputs_General!$C$22*Parameters!$F$11)</f>
        <v>1.42384133205301</v>
      </c>
      <c r="BG10" s="45" t="n">
        <f aca="false">IF(BC10=0,0,BD10/BC10-1)</f>
        <v>-0.0594983895553409</v>
      </c>
      <c r="BH10" s="46" t="n">
        <f aca="false">Parameters!$E$12*IF($N10="V",Parameters!$I$12,IF($N10="F",Parameters!$J$12,Parameters!$K$12))*(1-Parameters!$L$12*$P10)*IF($D10="V1",Parameters!$M$12,IF($D10="V2",Parameters!$N$12,Parameters!$O$12))</f>
        <v>0.449373214285714</v>
      </c>
      <c r="BI10" s="46" t="n">
        <f aca="false">BH10*(1+INDEX(Response_Table!$L$4:$L$21,MATCH($F10&amp;"|mid",Response_Table!$A$4:$A$21,0))*$R10*INDEX(Parameters!$X$12:$AA$12,1,MATCH($E10,Parameters!$X$3:$AA$3,0)))</f>
        <v>0.428100853327278</v>
      </c>
      <c r="BJ10" s="46" t="n">
        <f aca="false">MAX(0,MIN(BH10*(1+INDEX(Response_Table!$L$4:$L$21,MATCH($F10&amp;"|low",Response_Table!$A$4:$A$21,0))*$R10*INDEX(Parameters!$X$12:$AA$12,1,MATCH($E10,Parameters!$X$3:$AA$3,0))),BH10*(1+INDEX(Response_Table!$L$4:$L$21,MATCH($F10&amp;"|high",Response_Table!$A$4:$A$21,0))*$R10*INDEX(Parameters!$X$12:$AA$12,1,MATCH($E10,Parameters!$X$3:$AA$3,0))))*(1-Inputs_General!$C$22*Parameters!$F$12))</f>
        <v>0.333036026298859</v>
      </c>
      <c r="BK10" s="46" t="n">
        <f aca="false">MAX(BH10*(1+INDEX(Response_Table!$L$4:$L$21,MATCH($F10&amp;"|low",Response_Table!$A$4:$A$21,0))*$R10*INDEX(Parameters!$X$12:$AA$12,1,MATCH($E10,Parameters!$X$3:$AA$3,0))),BH10*(1+INDEX(Response_Table!$L$4:$L$21,MATCH($F10&amp;"|high",Response_Table!$A$4:$A$21,0))*$R10*INDEX(Parameters!$X$12:$AA$12,1,MATCH($E10,Parameters!$X$3:$AA$3,0))))*(1+Inputs_General!$C$22*Parameters!$F$12)</f>
        <v>0.52933302810847</v>
      </c>
      <c r="BL10" s="45" t="n">
        <f aca="false">IF(BH10=0,0,BI10/BH10-1)</f>
        <v>-0.0473378481008245</v>
      </c>
      <c r="BM10" s="46" t="n">
        <f aca="false">Parameters!$E$13*IF($N10="V",Parameters!$I$13,IF($N10="F",Parameters!$J$13,Parameters!$K$13))*(1-Parameters!$L$13*$P10)*IF($D10="V1",Parameters!$M$13,IF($D10="V2",Parameters!$N$13,Parameters!$O$13))</f>
        <v>0.299791071428571</v>
      </c>
      <c r="BN10" s="46" t="n">
        <f aca="false">BM10*(1+INDEX(Response_Table!$M$4:$M$21,MATCH($F10&amp;"|mid",Response_Table!$A$4:$A$21,0))*$R10*INDEX(Parameters!$X$13:$AA$13,1,MATCH($E10,Parameters!$X$3:$AA$3,0)))</f>
        <v>0.307581159007864</v>
      </c>
      <c r="BO10" s="46" t="n">
        <f aca="false">MAX(0,MIN(BM10*(1+INDEX(Response_Table!$M$4:$M$21,MATCH($F10&amp;"|low",Response_Table!$A$4:$A$21,0))*$R10*INDEX(Parameters!$X$13:$AA$13,1,MATCH($E10,Parameters!$X$3:$AA$3,0))),BM10*(1+INDEX(Response_Table!$M$4:$M$21,MATCH($F10&amp;"|high",Response_Table!$A$4:$A$21,0))*$R10*INDEX(Parameters!$X$13:$AA$13,1,MATCH($E10,Parameters!$X$3:$AA$3,0))))*(1-Inputs_General!$C$22*Parameters!$F$13))</f>
        <v>0.243685954463858</v>
      </c>
      <c r="BP10" s="46" t="n">
        <f aca="false">MAX(BM10*(1+INDEX(Response_Table!$M$4:$M$21,MATCH($F10&amp;"|low",Response_Table!$A$4:$A$21,0))*$R10*INDEX(Parameters!$X$13:$AA$13,1,MATCH($E10,Parameters!$X$3:$AA$3,0))),BM10*(1+INDEX(Response_Table!$M$4:$M$21,MATCH($F10&amp;"|high",Response_Table!$A$4:$A$21,0))*$R10*INDEX(Parameters!$X$13:$AA$13,1,MATCH($E10,Parameters!$X$3:$AA$3,0))))*(1+Inputs_General!$C$22*Parameters!$F$13)</f>
        <v>0.368561235003753</v>
      </c>
      <c r="BQ10" s="45" t="n">
        <f aca="false">IF(BM10=0,0,BN10/BM10-1)</f>
        <v>0.0259850553326055</v>
      </c>
      <c r="BR10" s="44" t="n">
        <f aca="false">Parameters!$E$14*IF($N10="V",Parameters!$I$14,IF($N10="F",Parameters!$J$14,Parameters!$K$14))*(1-Parameters!$L$14*$P10)*IF($D10="V1",Parameters!$M$14,IF($D10="V2",Parameters!$N$14,Parameters!$O$14))*INDEX(Context!$AC$4:$AC$51,$K10)</f>
        <v>15</v>
      </c>
      <c r="BS10" s="44" t="n">
        <f aca="false">BR10*(1+INDEX(Response_Table!$N$4:$N$21,MATCH($F10&amp;"|mid",Response_Table!$A$4:$A$21,0))*$R10*INDEX(Parameters!$X$14:$AA$14,1,MATCH($E10,Parameters!$X$3:$AA$3,0)))</f>
        <v>15.7746193325589</v>
      </c>
      <c r="BT10" s="44" t="n">
        <f aca="false">MAX(0,MIN(BR10*(1+INDEX(Response_Table!$N$4:$N$21,MATCH($F10&amp;"|low",Response_Table!$A$4:$A$21,0))*$R10*INDEX(Parameters!$X$14:$AA$14,1,MATCH($E10,Parameters!$X$3:$AA$3,0))),BR10*(1+INDEX(Response_Table!$N$4:$N$21,MATCH($F10&amp;"|high",Response_Table!$A$4:$A$21,0))*$R10*INDEX(Parameters!$X$14:$AA$14,1,MATCH($E10,Parameters!$X$3:$AA$3,0))))*(1-Inputs_General!$C$22*Parameters!$F$14))</f>
        <v>7.73222403531913</v>
      </c>
      <c r="BU10" s="44" t="n">
        <f aca="false">MAX(BR10*(1+INDEX(Response_Table!$N$4:$N$21,MATCH($F10&amp;"|low",Response_Table!$A$4:$A$21,0))*$R10*INDEX(Parameters!$X$14:$AA$14,1,MATCH($E10,Parameters!$X$3:$AA$3,0))),BR10*(1+INDEX(Response_Table!$N$4:$N$21,MATCH($F10&amp;"|high",Response_Table!$A$4:$A$21,0))*$R10*INDEX(Parameters!$X$14:$AA$14,1,MATCH($E10,Parameters!$X$3:$AA$3,0))))*(1+Inputs_General!$C$22*Parameters!$F$14)</f>
        <v>24.2747937348826</v>
      </c>
      <c r="BV10" s="45" t="n">
        <f aca="false">IF(BR10=0,0,BS10/BR10-1)</f>
        <v>0.051641288837263</v>
      </c>
      <c r="BW10" s="43" t="n">
        <f aca="false">Parameters!$E$15*IF($N10="V",Parameters!$I$15,IF($N10="F",Parameters!$J$15,Parameters!$K$15))*(1-Parameters!$L$15*$P10)*IF($D10="V1",Parameters!$M$15,IF($D10="V2",Parameters!$N$15,Parameters!$O$15))</f>
        <v>10.3855142857143</v>
      </c>
      <c r="BX10" s="43" t="n">
        <f aca="false">BW10*(1+INDEX(Response_Table!$O$4:$O$21,MATCH($F10&amp;"|mid",Response_Table!$A$4:$A$21,0))*$R10*INDEX(Parameters!$X$15:$AA$15,1,MATCH($E10,Parameters!$X$3:$AA$3,0)))</f>
        <v>10.2514339499763</v>
      </c>
      <c r="BY10" s="43" t="n">
        <f aca="false">MAX(0,MIN(BW10*(1+INDEX(Response_Table!$O$4:$O$21,MATCH($F10&amp;"|low",Response_Table!$A$4:$A$21,0))*$R10*INDEX(Parameters!$X$15:$AA$15,1,MATCH($E10,Parameters!$X$3:$AA$3,0))),BW10*(1+INDEX(Response_Table!$O$4:$O$21,MATCH($F10&amp;"|high",Response_Table!$A$4:$A$21,0))*$R10*INDEX(Parameters!$X$15:$AA$15,1,MATCH($E10,Parameters!$X$3:$AA$3,0))))*(1-Inputs_General!$C$22*Parameters!$F$15))</f>
        <v>8.16125526810017</v>
      </c>
      <c r="BZ10" s="43" t="n">
        <f aca="false">MAX(BW10*(1+INDEX(Response_Table!$O$4:$O$21,MATCH($F10&amp;"|low",Response_Table!$A$4:$A$21,0))*$R10*INDEX(Parameters!$X$15:$AA$15,1,MATCH($E10,Parameters!$X$3:$AA$3,0))),BW10*(1+INDEX(Response_Table!$O$4:$O$21,MATCH($F10&amp;"|high",Response_Table!$A$4:$A$21,0))*$R10*INDEX(Parameters!$X$15:$AA$15,1,MATCH($E10,Parameters!$X$3:$AA$3,0))))*(1+Inputs_General!$C$22*Parameters!$F$15)</f>
        <v>12.3804856116274</v>
      </c>
      <c r="CA10" s="45" t="n">
        <f aca="false">IF(BW10=0,0,BX10/BW10-1)</f>
        <v>-0.0129103222093158</v>
      </c>
      <c r="CB10" s="46" t="n">
        <f aca="false">BD10+BI10</f>
        <v>1.60209038590063</v>
      </c>
      <c r="CC10" s="43" t="n">
        <f aca="false">BD10/BI10</f>
        <v>2.74232000111397</v>
      </c>
      <c r="CD10" s="46" t="n">
        <f aca="false">BN10/CB10</f>
        <v>0.191987394540761</v>
      </c>
      <c r="CE10" s="43" t="n">
        <f aca="false">AE10/AO10</f>
        <v>3.64834225506401</v>
      </c>
      <c r="CF10" s="44" t="n">
        <f aca="false">AE10/AJ10</f>
        <v>44.2315736263854</v>
      </c>
      <c r="CG10" s="44" t="n">
        <f aca="false">INDEX(Context!$V$4:$V$51,$K10)</f>
        <v>25.5785714285714</v>
      </c>
      <c r="CH10" s="44" t="n">
        <f aca="false">INDEX(Context!$Y$4:$Y$51,$K10)</f>
        <v>23.620522619794</v>
      </c>
      <c r="CI10" s="44" t="n">
        <f aca="false">INDEX(Context!$Z$4:$Z$51,$K10)</f>
        <v>29.5785714285714</v>
      </c>
      <c r="CJ10" s="43" t="n">
        <f aca="false">INDEX(Context!$AA$4:$AA$51,$K10)</f>
        <v>0.201160714285714</v>
      </c>
      <c r="CK10" s="43" t="n">
        <f aca="false">MAX(0,MIN(1,1-(1-CJ10)*AO10/AN10))</f>
        <v>0.240195448813583</v>
      </c>
      <c r="CL10" s="44" t="n">
        <f aca="false">CH10+CK10*(CI10-CH10)</f>
        <v>25.0516188274715</v>
      </c>
      <c r="CM10" s="44" t="n">
        <f aca="false">CH10+MAX(0,MIN(1,1-(1-CJ10)*AQ10/AN10))*(CI10-CH10)</f>
        <v>23.620522619794</v>
      </c>
      <c r="CN10" s="44" t="n">
        <f aca="false">CH10+MAX(0,MIN(1,1-(1-CJ10)*AP10/AN10))*(CI10-CH10)</f>
        <v>26.5240546952188</v>
      </c>
      <c r="CO10" s="44" t="n">
        <f aca="false">CL10-CG10</f>
        <v>-0.5269526010999</v>
      </c>
      <c r="CP10" s="44" t="n">
        <f aca="false">CL10-(CH10+CJ10*(CI10-CH10))</f>
        <v>0.232570853554709</v>
      </c>
      <c r="CQ10" s="46" t="n">
        <f aca="false">CL10/CG10</f>
        <v>0.97939866960235</v>
      </c>
      <c r="CR10" s="43" t="n">
        <f aca="false">IF(CL10-CH10&lt;=0,"n/a",(CI10-CL10)/(CL10-CH10))</f>
        <v>3.16327621917644</v>
      </c>
      <c r="CS10" s="43" t="n">
        <f aca="false">IF(CI10-CL10&lt;=0,"n/a",(CL10-CH10)/(CI10-CL10))</f>
        <v>0.316127941637784</v>
      </c>
      <c r="CT10" s="43" t="n">
        <f aca="false">Inputs_General!$C$23+Inputs_General!$C$24*$I10</f>
        <v>0.66</v>
      </c>
      <c r="CU10" s="44" t="n">
        <f aca="false">3.29*CT10</f>
        <v>2.1714</v>
      </c>
    </row>
    <row r="11" customFormat="false" ht="15" hidden="false" customHeight="false" outlineLevel="0" collapsed="false">
      <c r="A11" s="9" t="str">
        <f aca="false">B11&amp;"|"&amp;E11&amp;"|"&amp;F11</f>
        <v>D1V1|24/02/2026|Low</v>
      </c>
      <c r="B11" s="7" t="s">
        <v>340</v>
      </c>
      <c r="C11" s="9" t="s">
        <v>127</v>
      </c>
      <c r="D11" s="9" t="s">
        <v>142</v>
      </c>
      <c r="E11" s="9" t="s">
        <v>160</v>
      </c>
      <c r="F11" s="7" t="s">
        <v>279</v>
      </c>
      <c r="G11" s="9" t="s">
        <v>280</v>
      </c>
      <c r="H11" s="41" t="n">
        <f aca="false">INDEX(Severity_Classes!$C$4:$C$9,MATCH(F11,Severity_Classes!$A$4:$A$9,0))</f>
        <v>0.06</v>
      </c>
      <c r="I11" s="41" t="n">
        <f aca="false">INDEX(Severity_Classes!$D$4:$D$9,MATCH(F11,Severity_Classes!$A$4:$A$9,0))</f>
        <v>0.08</v>
      </c>
      <c r="J11" s="41" t="n">
        <f aca="false">INDEX(Severity_Classes!$E$4:$E$9,MATCH(F11,Severity_Classes!$A$4:$A$9,0))</f>
        <v>0.1</v>
      </c>
      <c r="K11" s="42" t="n">
        <f aca="false">MATCH(B11&amp;"|"&amp;E11,Context!$A$4:$A$51,0)</f>
        <v>2</v>
      </c>
      <c r="L11" s="42" t="n">
        <f aca="false">INDEX(Context!$H$4:$H$51,K11)</f>
        <v>77</v>
      </c>
      <c r="M11" s="42" t="n">
        <f aca="false">INDEX(Context!$I$4:$I$51,K11)</f>
        <v>19</v>
      </c>
      <c r="N11" s="9" t="str">
        <f aca="false">INDEX(Context!$L$4:$L$51,K11)</f>
        <v>F</v>
      </c>
      <c r="O11" s="9" t="str">
        <f aca="false">INDEX(Context!$M$4:$M$51,K11)</f>
        <v>5th fully expanded leaf from top</v>
      </c>
      <c r="P11" s="43" t="n">
        <f aca="false">INDEX(Context!$R$4:$R$51,K11)</f>
        <v>0.0232142857142859</v>
      </c>
      <c r="Q11" s="43" t="n">
        <f aca="false">INDEX(Context!$U$4:$U$51,K11)</f>
        <v>1.19492600027053</v>
      </c>
      <c r="R11" s="43" t="n">
        <f aca="false">INDEX(Context!$AD$4:$AD$51,K11)</f>
        <v>1</v>
      </c>
      <c r="S11" s="9" t="str">
        <f aca="false">INDEX(Context!$AI$4:$AN$51,K11,MATCH(F11,Severity_Classes!$A$4:$A$9,0))</f>
        <v>Likely</v>
      </c>
      <c r="T11" s="44" t="n">
        <f aca="false">Parameters!$E$4*IF($N11="V",Parameters!$I$4,IF($N11="F",Parameters!$J$4,Parameters!$K$4))*(1-Parameters!$L$4*$P11)*IF($D11="V1",Parameters!$M$4,IF($D11="V2",Parameters!$N$4,Parameters!$O$4))</f>
        <v>85.0411767857143</v>
      </c>
      <c r="U11" s="44" t="n">
        <f aca="false">MIN(100,T11*(1+INDEX(Response_Table!$E$4:$E$21,MATCH($F11&amp;"|mid",Response_Table!$A$4:$A$21,0))*$R11*INDEX(Parameters!$X$4:$AA$4,1,MATCH($E11,Parameters!$X$3:$AA$3,0))))</f>
        <v>83.8575205195697</v>
      </c>
      <c r="V11" s="44" t="n">
        <f aca="false">MAX(0,MIN(T11*(1+INDEX(Response_Table!$E$4:$E$21,MATCH($F11&amp;"|low",Response_Table!$A$4:$A$21,0))*$R11*INDEX(Parameters!$X$4:$AA$4,1,MATCH($E11,Parameters!$X$3:$AA$3,0))),T11*(1+INDEX(Response_Table!$E$4:$E$21,MATCH($F11&amp;"|high",Response_Table!$A$4:$A$21,0))*$R11*INDEX(Parameters!$X$4:$AA$4,1,MATCH($E11,Parameters!$X$3:$AA$3,0))))*(1-Inputs_General!$C$22*Parameters!$F$4))</f>
        <v>77.9533522038771</v>
      </c>
      <c r="W11" s="44" t="n">
        <f aca="false">MIN(100,MAX(T11*(1+INDEX(Response_Table!$E$4:$E$21,MATCH($F11&amp;"|low",Response_Table!$A$4:$A$21,0))*$R11*INDEX(Parameters!$X$4:$AA$4,1,MATCH($E11,Parameters!$X$3:$AA$3,0))),T11*(1+INDEX(Response_Table!$E$4:$E$21,MATCH($F11&amp;"|high",Response_Table!$A$4:$A$21,0))*$R11*INDEX(Parameters!$X$4:$AA$4,1,MATCH($E11,Parameters!$X$3:$AA$3,0))))*(1+Inputs_General!$C$22*Parameters!$F$4))</f>
        <v>89.7605371785638</v>
      </c>
      <c r="X11" s="45" t="n">
        <f aca="false">IF(T11=0,0,U11/T11-1)</f>
        <v>-0.0139186251987928</v>
      </c>
      <c r="Y11" s="44" t="n">
        <f aca="false">Parameters!$E$5*IF($N11="V",Parameters!$I$5,IF($N11="F",Parameters!$J$5,Parameters!$K$5))*(1-Parameters!$L$5*$P11)*IF($D11="V1",Parameters!$M$5,IF($D11="V2",Parameters!$N$5,Parameters!$O$5))</f>
        <v>70.36344</v>
      </c>
      <c r="Z11" s="44" t="n">
        <f aca="false">MIN(100,Y11*(1+INDEX(Response_Table!$F$4:$F$21,MATCH($F11&amp;"|mid",Response_Table!$A$4:$A$21,0))*$R11*INDEX(Parameters!$X$5:$AA$5,1,MATCH($E11,Parameters!$X$3:$AA$3,0))))</f>
        <v>67.1303020217464</v>
      </c>
      <c r="AA11" s="44" t="n">
        <f aca="false">MAX(0,MIN(Y11*(1+INDEX(Response_Table!$F$4:$F$21,MATCH($F11&amp;"|low",Response_Table!$A$4:$A$21,0))*$R11*INDEX(Parameters!$X$5:$AA$5,1,MATCH($E11,Parameters!$X$3:$AA$3,0))),Y11*(1+INDEX(Response_Table!$F$4:$F$21,MATCH($F11&amp;"|high",Response_Table!$A$4:$A$21,0))*$R11*INDEX(Parameters!$X$5:$AA$5,1,MATCH($E11,Parameters!$X$3:$AA$3,0))))*(1-Inputs_General!$C$22*Parameters!$F$5))</f>
        <v>58.3531553964109</v>
      </c>
      <c r="AB11" s="44" t="n">
        <f aca="false">MIN(100,MAX(Y11*(1+INDEX(Response_Table!$F$4:$F$21,MATCH($F11&amp;"|low",Response_Table!$A$4:$A$21,0))*$R11*INDEX(Parameters!$X$5:$AA$5,1,MATCH($E11,Parameters!$X$3:$AA$3,0))),Y11*(1+INDEX(Response_Table!$F$4:$F$21,MATCH($F11&amp;"|high",Response_Table!$A$4:$A$21,0))*$R11*INDEX(Parameters!$X$5:$AA$5,1,MATCH($E11,Parameters!$X$3:$AA$3,0))))*(1+Inputs_General!$C$22*Parameters!$F$5))</f>
        <v>75.9937738910924</v>
      </c>
      <c r="AC11" s="45" t="n">
        <f aca="false">IF(Y11=0,0,Z11/Y11-1)</f>
        <v>-0.0459491175851214</v>
      </c>
      <c r="AD11" s="44" t="n">
        <f aca="false">Parameters!$E$6*IF($N11="V",Parameters!$I$6,IF($N11="F",Parameters!$J$6,Parameters!$K$6))*(1-Parameters!$L$6*$P11)*IF($D11="V1",Parameters!$M$6,IF($D11="V2",Parameters!$N$6,Parameters!$O$6))</f>
        <v>18.9470714285714</v>
      </c>
      <c r="AE11" s="44" t="n">
        <f aca="false">AD11*(1+INDEX(Response_Table!$G$4:$G$21,MATCH($F11&amp;"|mid",Response_Table!$A$4:$A$21,0))*$R11*INDEX(Parameters!$X$6:$AA$6,1,MATCH($E11,Parameters!$X$3:$AA$3,0)))</f>
        <v>14.730591886178</v>
      </c>
      <c r="AF11" s="44" t="n">
        <f aca="false">MAX(0,MIN(AD11*(1+INDEX(Response_Table!$G$4:$G$21,MATCH($F11&amp;"|low",Response_Table!$A$4:$A$21,0))*$R11*INDEX(Parameters!$X$6:$AA$6,1,MATCH($E11,Parameters!$X$3:$AA$3,0))),AD11*(1+INDEX(Response_Table!$G$4:$G$21,MATCH($F11&amp;"|high",Response_Table!$A$4:$A$21,0))*$R11*INDEX(Parameters!$X$6:$AA$6,1,MATCH($E11,Parameters!$X$3:$AA$3,0))))*(1-Inputs_General!$C$22*Parameters!$F$6))</f>
        <v>11.1470874038032</v>
      </c>
      <c r="AG11" s="44" t="n">
        <f aca="false">MAX(AD11*(1+INDEX(Response_Table!$G$4:$G$21,MATCH($F11&amp;"|low",Response_Table!$A$4:$A$21,0))*$R11*INDEX(Parameters!$X$6:$AA$6,1,MATCH($E11,Parameters!$X$3:$AA$3,0))),AD11*(1+INDEX(Response_Table!$G$4:$G$21,MATCH($F11&amp;"|high",Response_Table!$A$4:$A$21,0))*$R11*INDEX(Parameters!$X$6:$AA$6,1,MATCH($E11,Parameters!$X$3:$AA$3,0))))*(1+Inputs_General!$C$22*Parameters!$F$6)</f>
        <v>18.7391962356118</v>
      </c>
      <c r="AH11" s="45" t="n">
        <f aca="false">IF(AD11=0,0,AE11/AD11-1)</f>
        <v>-0.222539908517744</v>
      </c>
      <c r="AI11" s="46" t="n">
        <f aca="false">Parameters!$E$7*IF($N11="V",Parameters!$I$7,IF($N11="F",Parameters!$J$7,Parameters!$K$7))*(1-Parameters!$L$7*$P11)*IF($D11="V1",Parameters!$M$7,IF($D11="V2",Parameters!$N$7,Parameters!$O$7))*POWER($Q11/Inputs_General!$C$26,-Inputs_General!$C$25)</f>
        <v>0.411663164578586</v>
      </c>
      <c r="AJ11" s="46" t="n">
        <f aca="false">AI11*(1+INDEX(Response_Table!$H$4:$H$21,MATCH($F11&amp;"|mid",Response_Table!$A$4:$A$21,0))*$R11*INDEX(Parameters!$X$7:$AA$7,1,MATCH($E11,Parameters!$X$3:$AA$3,0)))</f>
        <v>0.354568822113528</v>
      </c>
      <c r="AK11" s="46" t="n">
        <f aca="false">MAX(0,MIN(AI11*(1+INDEX(Response_Table!$H$4:$H$21,MATCH($F11&amp;"|low",Response_Table!$A$4:$A$21,0))*$R11*INDEX(Parameters!$X$7:$AA$7,1,MATCH($E11,Parameters!$X$3:$AA$3,0))),AI11*(1+INDEX(Response_Table!$H$4:$H$21,MATCH($F11&amp;"|high",Response_Table!$A$4:$A$21,0))*$R11*INDEX(Parameters!$X$7:$AA$7,1,MATCH($E11,Parameters!$X$3:$AA$3,0))))*(1-Inputs_General!$C$22*Parameters!$F$7))</f>
        <v>0.240952734101228</v>
      </c>
      <c r="AL11" s="46" t="n">
        <f aca="false">MAX(AI11*(1+INDEX(Response_Table!$H$4:$H$21,MATCH($F11&amp;"|low",Response_Table!$A$4:$A$21,0))*$R11*INDEX(Parameters!$X$7:$AA$7,1,MATCH($E11,Parameters!$X$3:$AA$3,0))),AI11*(1+INDEX(Response_Table!$H$4:$H$21,MATCH($F11&amp;"|high",Response_Table!$A$4:$A$21,0))*$R11*INDEX(Parameters!$X$7:$AA$7,1,MATCH($E11,Parameters!$X$3:$AA$3,0))))*(1+Inputs_General!$C$22*Parameters!$F$7)</f>
        <v>0.476426391807172</v>
      </c>
      <c r="AM11" s="45" t="n">
        <f aca="false">IF(AI11=0,0,AJ11/AI11-1)</f>
        <v>-0.13869189030674</v>
      </c>
      <c r="AN11" s="43" t="n">
        <f aca="false">AI11*$Q11/Inputs_General!$C$13*1000</f>
        <v>4.95374641196979</v>
      </c>
      <c r="AO11" s="43" t="n">
        <f aca="false">AJ11*$Q11/Inputs_General!$C$13*1000*(1+Inputs_General!$C$21*$I11)</f>
        <v>4.35203599715333</v>
      </c>
      <c r="AP11" s="43" t="n">
        <f aca="false">AK11*$Q11/Inputs_General!$C$13*1000*(1+Inputs_General!$C$21*$H11)</f>
        <v>2.94299594275968</v>
      </c>
      <c r="AQ11" s="43" t="n">
        <f aca="false">AL11*$Q11/Inputs_General!$C$13*1000*(1+Inputs_General!$C$21*$J11)</f>
        <v>5.87640120700001</v>
      </c>
      <c r="AR11" s="45" t="n">
        <f aca="false">IF(AN11=0,0,AO11/AN11-1)</f>
        <v>-0.121465728112875</v>
      </c>
      <c r="AS11" s="42" t="n">
        <f aca="false">Parameters!$E$9*IF($N11="V",Parameters!$I$9,IF($N11="F",Parameters!$J$9,Parameters!$K$9))*(1-Parameters!$L$9*$P11)*IF($D11="V1",Parameters!$M$9,IF($D11="V2",Parameters!$N$9,Parameters!$O$9))</f>
        <v>285</v>
      </c>
      <c r="AT11" s="42" t="n">
        <f aca="false">AS11*(1+INDEX(Response_Table!$I$4:$I$21,MATCH($F11&amp;"|mid",Response_Table!$A$4:$A$21,0))*$R11*INDEX(Parameters!$X$9:$AA$9,1,MATCH($E11,Parameters!$X$3:$AA$3,0)))</f>
        <v>308.414257330199</v>
      </c>
      <c r="AU11" s="42" t="n">
        <f aca="false">MAX(0,MIN(AS11*(1+INDEX(Response_Table!$I$4:$I$21,MATCH($F11&amp;"|low",Response_Table!$A$4:$A$21,0))*$R11*INDEX(Parameters!$X$9:$AA$9,1,MATCH($E11,Parameters!$X$3:$AA$3,0))),AS11*(1+INDEX(Response_Table!$I$4:$I$21,MATCH($F11&amp;"|high",Response_Table!$A$4:$A$21,0))*$R11*INDEX(Parameters!$X$9:$AA$9,1,MATCH($E11,Parameters!$X$3:$AA$3,0))))*(1-Inputs_General!$C$22*Parameters!$F$9))</f>
        <v>273.313202404171</v>
      </c>
      <c r="AV11" s="42" t="n">
        <f aca="false">MAX(AS11*(1+INDEX(Response_Table!$I$4:$I$21,MATCH($F11&amp;"|low",Response_Table!$A$4:$A$21,0))*$R11*INDEX(Parameters!$X$9:$AA$9,1,MATCH($E11,Parameters!$X$3:$AA$3,0))),AS11*(1+INDEX(Response_Table!$I$4:$I$21,MATCH($F11&amp;"|high",Response_Table!$A$4:$A$21,0))*$R11*INDEX(Parameters!$X$9:$AA$9,1,MATCH($E11,Parameters!$X$3:$AA$3,0))))*(1+Inputs_General!$C$22*Parameters!$F$9)</f>
        <v>344.099255743465</v>
      </c>
      <c r="AW11" s="45" t="n">
        <f aca="false">IF(AS11=0,0,AT11/AS11-1)</f>
        <v>0.0821552888778927</v>
      </c>
      <c r="AX11" s="43" t="n">
        <f aca="false">INDEX(Context!$AB$4:$AB$51,$K11)</f>
        <v>3.08698491176579</v>
      </c>
      <c r="AY11" s="43" t="n">
        <f aca="false">AX11*(1+INDEX(Response_Table!$J$4:$J$21,MATCH($F11&amp;"|mid",Response_Table!$A$4:$A$21,0))*$R11*INDEX(Parameters!$X$10:$AA$10,1,MATCH($E11,Parameters!$X$3:$AA$3,0)))</f>
        <v>2.83517596816886</v>
      </c>
      <c r="AZ11" s="43" t="n">
        <f aca="false">MAX(0,MIN(AX11*(1+INDEX(Response_Table!$J$4:$J$21,MATCH($F11&amp;"|low",Response_Table!$A$4:$A$21,0))*$R11*INDEX(Parameters!$X$10:$AA$10,1,MATCH($E11,Parameters!$X$3:$AA$3,0))),AX11*(1+INDEX(Response_Table!$J$4:$J$21,MATCH($F11&amp;"|high",Response_Table!$A$4:$A$21,0))*$R11*INDEX(Parameters!$X$10:$AA$10,1,MATCH($E11,Parameters!$X$3:$AA$3,0))))*(1-Inputs_General!$C$22*Parameters!$F$10))</f>
        <v>2.23099325671332</v>
      </c>
      <c r="BA11" s="43" t="n">
        <f aca="false">MAX(AX11*(1+INDEX(Response_Table!$J$4:$J$21,MATCH($F11&amp;"|low",Response_Table!$A$4:$A$21,0))*$R11*INDEX(Parameters!$X$10:$AA$10,1,MATCH($E11,Parameters!$X$3:$AA$3,0))),AX11*(1+INDEX(Response_Table!$J$4:$J$21,MATCH($F11&amp;"|high",Response_Table!$A$4:$A$21,0))*$R11*INDEX(Parameters!$X$10:$AA$10,1,MATCH($E11,Parameters!$X$3:$AA$3,0))))*(1+Inputs_General!$C$22*Parameters!$F$10)</f>
        <v>3.46466294187044</v>
      </c>
      <c r="BB11" s="45" t="n">
        <f aca="false">IF(AX11=0,0,AY11/AX11-1)</f>
        <v>-0.0815711611149081</v>
      </c>
      <c r="BC11" s="46" t="n">
        <f aca="false">Parameters!$E$11*IF($N11="V",Parameters!$I$11,IF($N11="F",Parameters!$J$11,Parameters!$K$11))*(1-Parameters!$L$11*$P11)*IF($D11="V1",Parameters!$M$11,IF($D11="V2",Parameters!$N$11,Parameters!$O$11))</f>
        <v>1.24825892857143</v>
      </c>
      <c r="BD11" s="46" t="n">
        <f aca="false">BC11*(1+INDEX(Response_Table!$K$4:$K$21,MATCH($F11&amp;"|mid",Response_Table!$A$4:$A$21,0))*$R11*INDEX(Parameters!$X$11:$AA$11,1,MATCH($E11,Parameters!$X$3:$AA$3,0)))</f>
        <v>1.06500488094241</v>
      </c>
      <c r="BE11" s="46" t="n">
        <f aca="false">MAX(0,MIN(BC11*(1+INDEX(Response_Table!$K$4:$K$21,MATCH($F11&amp;"|low",Response_Table!$A$4:$A$21,0))*$R11*INDEX(Parameters!$X$11:$AA$11,1,MATCH($E11,Parameters!$X$3:$AA$3,0))),BC11*(1+INDEX(Response_Table!$K$4:$K$21,MATCH($F11&amp;"|high",Response_Table!$A$4:$A$21,0))*$R11*INDEX(Parameters!$X$11:$AA$11,1,MATCH($E11,Parameters!$X$3:$AA$3,0))))*(1-Inputs_General!$C$22*Parameters!$F$11))</f>
        <v>0.857277255156348</v>
      </c>
      <c r="BF11" s="46" t="n">
        <f aca="false">MAX(BC11*(1+INDEX(Response_Table!$K$4:$K$21,MATCH($F11&amp;"|low",Response_Table!$A$4:$A$21,0))*$R11*INDEX(Parameters!$X$11:$AA$11,1,MATCH($E11,Parameters!$X$3:$AA$3,0))),BC11*(1+INDEX(Response_Table!$K$4:$K$21,MATCH($F11&amp;"|high",Response_Table!$A$4:$A$21,0))*$R11*INDEX(Parameters!$X$11:$AA$11,1,MATCH($E11,Parameters!$X$3:$AA$3,0))))*(1+Inputs_General!$C$22*Parameters!$F$11)</f>
        <v>1.28854074528884</v>
      </c>
      <c r="BG11" s="45" t="n">
        <f aca="false">IF(BC11=0,0,BD11/BC11-1)</f>
        <v>-0.146807720285039</v>
      </c>
      <c r="BH11" s="46" t="n">
        <f aca="false">Parameters!$E$12*IF($N11="V",Parameters!$I$12,IF($N11="F",Parameters!$J$12,Parameters!$K$12))*(1-Parameters!$L$12*$P11)*IF($D11="V1",Parameters!$M$12,IF($D11="V2",Parameters!$N$12,Parameters!$O$12))</f>
        <v>0.449373214285714</v>
      </c>
      <c r="BI11" s="46" t="n">
        <f aca="false">BH11*(1+INDEX(Response_Table!$L$4:$L$21,MATCH($F11&amp;"|mid",Response_Table!$A$4:$A$21,0))*$R11*INDEX(Parameters!$X$12:$AA$12,1,MATCH($E11,Parameters!$X$3:$AA$3,0)))</f>
        <v>0.396637166134367</v>
      </c>
      <c r="BJ11" s="46" t="n">
        <f aca="false">MAX(0,MIN(BH11*(1+INDEX(Response_Table!$L$4:$L$21,MATCH($F11&amp;"|low",Response_Table!$A$4:$A$21,0))*$R11*INDEX(Parameters!$X$12:$AA$12,1,MATCH($E11,Parameters!$X$3:$AA$3,0))),BH11*(1+INDEX(Response_Table!$L$4:$L$21,MATCH($F11&amp;"|high",Response_Table!$A$4:$A$21,0))*$R11*INDEX(Parameters!$X$12:$AA$12,1,MATCH($E11,Parameters!$X$3:$AA$3,0))))*(1-Inputs_General!$C$22*Parameters!$F$12))</f>
        <v>0.309253876943397</v>
      </c>
      <c r="BK11" s="46" t="n">
        <f aca="false">MAX(BH11*(1+INDEX(Response_Table!$L$4:$L$21,MATCH($F11&amp;"|low",Response_Table!$A$4:$A$21,0))*$R11*INDEX(Parameters!$X$12:$AA$12,1,MATCH($E11,Parameters!$X$3:$AA$3,0))),BH11*(1+INDEX(Response_Table!$L$4:$L$21,MATCH($F11&amp;"|high",Response_Table!$A$4:$A$21,0))*$R11*INDEX(Parameters!$X$12:$AA$12,1,MATCH($E11,Parameters!$X$3:$AA$3,0))))*(1+Inputs_General!$C$22*Parameters!$F$12)</f>
        <v>0.489328740729536</v>
      </c>
      <c r="BL11" s="45" t="n">
        <f aca="false">IF(BH11=0,0,BI11/BH11-1)</f>
        <v>-0.117354676413396</v>
      </c>
      <c r="BM11" s="46" t="n">
        <f aca="false">Parameters!$E$13*IF($N11="V",Parameters!$I$13,IF($N11="F",Parameters!$J$13,Parameters!$K$13))*(1-Parameters!$L$13*$P11)*IF($D11="V1",Parameters!$M$13,IF($D11="V2",Parameters!$N$13,Parameters!$O$13))</f>
        <v>0.299791071428571</v>
      </c>
      <c r="BN11" s="46" t="n">
        <f aca="false">BM11*(1+INDEX(Response_Table!$M$4:$M$21,MATCH($F11&amp;"|mid",Response_Table!$A$4:$A$21,0))*$R11*INDEX(Parameters!$X$13:$AA$13,1,MATCH($E11,Parameters!$X$3:$AA$3,0)))</f>
        <v>0.303497497892198</v>
      </c>
      <c r="BO11" s="46" t="n">
        <f aca="false">MAX(0,MIN(BM11*(1+INDEX(Response_Table!$M$4:$M$21,MATCH($F11&amp;"|low",Response_Table!$A$4:$A$21,0))*$R11*INDEX(Parameters!$X$13:$AA$13,1,MATCH($E11,Parameters!$X$3:$AA$3,0))),BM11*(1+INDEX(Response_Table!$M$4:$M$21,MATCH($F11&amp;"|high",Response_Table!$A$4:$A$21,0))*$R11*INDEX(Parameters!$X$13:$AA$13,1,MATCH($E11,Parameters!$X$3:$AA$3,0))))*(1-Inputs_General!$C$22*Parameters!$F$13))</f>
        <v>0.23972861426147</v>
      </c>
      <c r="BP11" s="46" t="n">
        <f aca="false">MAX(BM11*(1+INDEX(Response_Table!$M$4:$M$21,MATCH($F11&amp;"|low",Response_Table!$A$4:$A$21,0))*$R11*INDEX(Parameters!$X$13:$AA$13,1,MATCH($E11,Parameters!$X$3:$AA$3,0))),BM11*(1+INDEX(Response_Table!$M$4:$M$21,MATCH($F11&amp;"|high",Response_Table!$A$4:$A$21,0))*$R11*INDEX(Parameters!$X$13:$AA$13,1,MATCH($E11,Parameters!$X$3:$AA$3,0))))*(1+Inputs_General!$C$22*Parameters!$F$13)</f>
        <v>0.36744782270714</v>
      </c>
      <c r="BQ11" s="45" t="n">
        <f aca="false">IF(BM11=0,0,BN11/BM11-1)</f>
        <v>0.012363365079435</v>
      </c>
      <c r="BR11" s="44" t="n">
        <f aca="false">Parameters!$E$14*IF($N11="V",Parameters!$I$14,IF($N11="F",Parameters!$J$14,Parameters!$K$14))*(1-Parameters!$L$14*$P11)*IF($D11="V1",Parameters!$M$14,IF($D11="V2",Parameters!$N$14,Parameters!$O$14))*INDEX(Context!$AC$4:$AC$51,$K11)</f>
        <v>15</v>
      </c>
      <c r="BS11" s="44" t="n">
        <f aca="false">BR11*(1+INDEX(Response_Table!$N$4:$N$21,MATCH($F11&amp;"|mid",Response_Table!$A$4:$A$21,0))*$R11*INDEX(Parameters!$X$14:$AA$14,1,MATCH($E11,Parameters!$X$3:$AA$3,0)))</f>
        <v>16.920349250401</v>
      </c>
      <c r="BT11" s="44" t="n">
        <f aca="false">MAX(0,MIN(BR11*(1+INDEX(Response_Table!$N$4:$N$21,MATCH($F11&amp;"|low",Response_Table!$A$4:$A$21,0))*$R11*INDEX(Parameters!$X$14:$AA$14,1,MATCH($E11,Parameters!$X$3:$AA$3,0))),BR11*(1+INDEX(Response_Table!$N$4:$N$21,MATCH($F11&amp;"|high",Response_Table!$A$4:$A$21,0))*$R11*INDEX(Parameters!$X$14:$AA$14,1,MATCH($E11,Parameters!$X$3:$AA$3,0))))*(1-Inputs_General!$C$22*Parameters!$F$14))</f>
        <v>8.34842074128172</v>
      </c>
      <c r="BU11" s="44" t="n">
        <f aca="false">MAX(BR11*(1+INDEX(Response_Table!$N$4:$N$21,MATCH($F11&amp;"|low",Response_Table!$A$4:$A$21,0))*$R11*INDEX(Parameters!$X$14:$AA$14,1,MATCH($E11,Parameters!$X$3:$AA$3,0))),BR11*(1+INDEX(Response_Table!$N$4:$N$21,MATCH($F11&amp;"|high",Response_Table!$A$4:$A$21,0))*$R11*INDEX(Parameters!$X$14:$AA$14,1,MATCH($E11,Parameters!$X$3:$AA$3,0))))*(1+Inputs_General!$C$22*Parameters!$F$14)</f>
        <v>25.8862918867067</v>
      </c>
      <c r="BV11" s="45" t="n">
        <f aca="false">IF(BR11=0,0,BS11/BR11-1)</f>
        <v>0.128023283360068</v>
      </c>
      <c r="BW11" s="43" t="n">
        <f aca="false">Parameters!$E$15*IF($N11="V",Parameters!$I$15,IF($N11="F",Parameters!$J$15,Parameters!$K$15))*(1-Parameters!$L$15*$P11)*IF($D11="V1",Parameters!$M$15,IF($D11="V2",Parameters!$N$15,Parameters!$O$15))</f>
        <v>10.3855142857143</v>
      </c>
      <c r="BX11" s="43" t="n">
        <f aca="false">BW11*(1+INDEX(Response_Table!$O$4:$O$21,MATCH($F11&amp;"|mid",Response_Table!$A$4:$A$21,0))*$R11*INDEX(Parameters!$X$15:$AA$15,1,MATCH($E11,Parameters!$X$3:$AA$3,0)))</f>
        <v>10.0531173761543</v>
      </c>
      <c r="BY11" s="43" t="n">
        <f aca="false">MAX(0,MIN(BW11*(1+INDEX(Response_Table!$O$4:$O$21,MATCH($F11&amp;"|low",Response_Table!$A$4:$A$21,0))*$R11*INDEX(Parameters!$X$15:$AA$15,1,MATCH($E11,Parameters!$X$3:$AA$3,0))),BW11*(1+INDEX(Response_Table!$O$4:$O$21,MATCH($F11&amp;"|high",Response_Table!$A$4:$A$21,0))*$R11*INDEX(Parameters!$X$15:$AA$15,1,MATCH($E11,Parameters!$X$3:$AA$3,0))))*(1-Inputs_General!$C$22*Parameters!$F$15))</f>
        <v>8.0113556600415</v>
      </c>
      <c r="BZ11" s="43" t="n">
        <f aca="false">MAX(BW11*(1+INDEX(Response_Table!$O$4:$O$21,MATCH($F11&amp;"|low",Response_Table!$A$4:$A$21,0))*$R11*INDEX(Parameters!$X$15:$AA$15,1,MATCH($E11,Parameters!$X$3:$AA$3,0))),BW11*(1+INDEX(Response_Table!$O$4:$O$21,MATCH($F11&amp;"|high",Response_Table!$A$4:$A$21,0))*$R11*INDEX(Parameters!$X$15:$AA$15,1,MATCH($E11,Parameters!$X$3:$AA$3,0))))*(1+Inputs_General!$C$22*Parameters!$F$15)</f>
        <v>12.1283373760269</v>
      </c>
      <c r="CA11" s="45" t="n">
        <f aca="false">IF(BW11=0,0,BX11/BW11-1)</f>
        <v>-0.032005820840017</v>
      </c>
      <c r="CB11" s="46" t="n">
        <f aca="false">BD11+BI11</f>
        <v>1.46164204707678</v>
      </c>
      <c r="CC11" s="43" t="n">
        <f aca="false">BD11/BI11</f>
        <v>2.68508594724486</v>
      </c>
      <c r="CD11" s="46" t="n">
        <f aca="false">BN11/CB11</f>
        <v>0.207641466321511</v>
      </c>
      <c r="CE11" s="43" t="n">
        <f aca="false">AE11/AO11</f>
        <v>3.3847587418425</v>
      </c>
      <c r="CF11" s="44" t="n">
        <f aca="false">AE11/AJ11</f>
        <v>41.5450850934137</v>
      </c>
      <c r="CG11" s="44" t="n">
        <f aca="false">INDEX(Context!$V$4:$V$51,$K11)</f>
        <v>25.5785714285714</v>
      </c>
      <c r="CH11" s="44" t="n">
        <f aca="false">INDEX(Context!$Y$4:$Y$51,$K11)</f>
        <v>23.620522619794</v>
      </c>
      <c r="CI11" s="44" t="n">
        <f aca="false">INDEX(Context!$Z$4:$Z$51,$K11)</f>
        <v>29.5785714285714</v>
      </c>
      <c r="CJ11" s="43" t="n">
        <f aca="false">INDEX(Context!$AA$4:$AA$51,$K11)</f>
        <v>0.201160714285714</v>
      </c>
      <c r="CK11" s="43" t="n">
        <f aca="false">MAX(0,MIN(1,1-(1-CJ11)*AO11/AN11))</f>
        <v>0.298192309770169</v>
      </c>
      <c r="CL11" s="44" t="n">
        <f aca="false">CH11+CK11*(CI11-CH11)</f>
        <v>25.3971669558068</v>
      </c>
      <c r="CM11" s="44" t="n">
        <f aca="false">CH11+MAX(0,MIN(1,1-(1-CJ11)*AQ11/AN11))*(CI11-CH11)</f>
        <v>23.9325679702402</v>
      </c>
      <c r="CN11" s="44" t="n">
        <f aca="false">CH11+MAX(0,MIN(1,1-(1-CJ11)*AP11/AN11))*(CI11-CH11)</f>
        <v>26.7509623723888</v>
      </c>
      <c r="CO11" s="44" t="n">
        <f aca="false">CL11-CG11</f>
        <v>-0.18140447276468</v>
      </c>
      <c r="CP11" s="44" t="n">
        <f aca="false">CL11-(CH11+CJ11*(CI11-CH11))</f>
        <v>0.578118981889929</v>
      </c>
      <c r="CQ11" s="46" t="n">
        <f aca="false">CL11/CG11</f>
        <v>0.992907951357985</v>
      </c>
      <c r="CR11" s="43" t="n">
        <f aca="false">IF(CL11-CH11&lt;=0,"n/a",(CI11-CL11)/(CL11-CH11))</f>
        <v>2.35354054157449</v>
      </c>
      <c r="CS11" s="43" t="n">
        <f aca="false">IF(CI11-CL11&lt;=0,"n/a",(CL11-CH11)/(CI11-CL11))</f>
        <v>0.424891767248255</v>
      </c>
      <c r="CT11" s="43" t="n">
        <f aca="false">Inputs_General!$C$23+Inputs_General!$C$24*$I11</f>
        <v>0.76</v>
      </c>
      <c r="CU11" s="44" t="n">
        <f aca="false">3.29*CT11</f>
        <v>2.5004</v>
      </c>
    </row>
    <row r="12" customFormat="false" ht="15" hidden="false" customHeight="false" outlineLevel="0" collapsed="false">
      <c r="A12" s="9" t="str">
        <f aca="false">B12&amp;"|"&amp;E12&amp;"|"&amp;F12</f>
        <v>D1V1|24/02/2026|Moderate</v>
      </c>
      <c r="B12" s="7" t="s">
        <v>340</v>
      </c>
      <c r="C12" s="9" t="s">
        <v>127</v>
      </c>
      <c r="D12" s="9" t="s">
        <v>142</v>
      </c>
      <c r="E12" s="9" t="s">
        <v>160</v>
      </c>
      <c r="F12" s="7" t="s">
        <v>281</v>
      </c>
      <c r="G12" s="9" t="s">
        <v>282</v>
      </c>
      <c r="H12" s="41" t="n">
        <f aca="false">INDEX(Severity_Classes!$C$4:$C$9,MATCH(F12,Severity_Classes!$A$4:$A$9,0))</f>
        <v>0.11</v>
      </c>
      <c r="I12" s="41" t="n">
        <f aca="false">INDEX(Severity_Classes!$D$4:$D$9,MATCH(F12,Severity_Classes!$A$4:$A$9,0))</f>
        <v>0.18</v>
      </c>
      <c r="J12" s="41" t="n">
        <f aca="false">INDEX(Severity_Classes!$E$4:$E$9,MATCH(F12,Severity_Classes!$A$4:$A$9,0))</f>
        <v>0.25</v>
      </c>
      <c r="K12" s="42" t="n">
        <f aca="false">MATCH(B12&amp;"|"&amp;E12,Context!$A$4:$A$51,0)</f>
        <v>2</v>
      </c>
      <c r="L12" s="42" t="n">
        <f aca="false">INDEX(Context!$H$4:$H$51,K12)</f>
        <v>77</v>
      </c>
      <c r="M12" s="42" t="n">
        <f aca="false">INDEX(Context!$I$4:$I$51,K12)</f>
        <v>19</v>
      </c>
      <c r="N12" s="9" t="str">
        <f aca="false">INDEX(Context!$L$4:$L$51,K12)</f>
        <v>F</v>
      </c>
      <c r="O12" s="9" t="str">
        <f aca="false">INDEX(Context!$M$4:$M$51,K12)</f>
        <v>5th fully expanded leaf from top</v>
      </c>
      <c r="P12" s="43" t="n">
        <f aca="false">INDEX(Context!$R$4:$R$51,K12)</f>
        <v>0.0232142857142859</v>
      </c>
      <c r="Q12" s="43" t="n">
        <f aca="false">INDEX(Context!$U$4:$U$51,K12)</f>
        <v>1.19492600027053</v>
      </c>
      <c r="R12" s="43" t="n">
        <f aca="false">INDEX(Context!$AD$4:$AD$51,K12)</f>
        <v>1</v>
      </c>
      <c r="S12" s="9" t="str">
        <f aca="false">INDEX(Context!$AI$4:$AN$51,K12,MATCH(F12,Severity_Classes!$A$4:$A$9,0))</f>
        <v>Likely</v>
      </c>
      <c r="T12" s="44" t="n">
        <f aca="false">Parameters!$E$4*IF($N12="V",Parameters!$I$4,IF($N12="F",Parameters!$J$4,Parameters!$K$4))*(1-Parameters!$L$4*$P12)*IF($D12="V1",Parameters!$M$4,IF($D12="V2",Parameters!$N$4,Parameters!$O$4))</f>
        <v>85.0411767857143</v>
      </c>
      <c r="U12" s="44" t="n">
        <f aca="false">MIN(100,T12*(1+INDEX(Response_Table!$E$4:$E$21,MATCH($F12&amp;"|mid",Response_Table!$A$4:$A$21,0))*$R12*INDEX(Parameters!$X$4:$AA$4,1,MATCH($E12,Parameters!$X$3:$AA$3,0))))</f>
        <v>81.172659893036</v>
      </c>
      <c r="V12" s="44" t="n">
        <f aca="false">MAX(0,MIN(T12*(1+INDEX(Response_Table!$E$4:$E$21,MATCH($F12&amp;"|low",Response_Table!$A$4:$A$21,0))*$R12*INDEX(Parameters!$X$4:$AA$4,1,MATCH($E12,Parameters!$X$3:$AA$3,0))),T12*(1+INDEX(Response_Table!$E$4:$E$21,MATCH($F12&amp;"|high",Response_Table!$A$4:$A$21,0))*$R12*INDEX(Parameters!$X$4:$AA$4,1,MATCH($E12,Parameters!$X$3:$AA$3,0))))*(1-Inputs_General!$C$22*Parameters!$F$4))</f>
        <v>73.1243042236388</v>
      </c>
      <c r="W12" s="44" t="n">
        <f aca="false">MIN(100,MAX(T12*(1+INDEX(Response_Table!$E$4:$E$21,MATCH($F12&amp;"|low",Response_Table!$A$4:$A$21,0))*$R12*INDEX(Parameters!$X$4:$AA$4,1,MATCH($E12,Parameters!$X$3:$AA$3,0))),T12*(1+INDEX(Response_Table!$E$4:$E$21,MATCH($F12&amp;"|high",Response_Table!$A$4:$A$21,0))*$R12*INDEX(Parameters!$X$4:$AA$4,1,MATCH($E12,Parameters!$X$3:$AA$3,0))))*(1+Inputs_General!$C$22*Parameters!$F$4))</f>
        <v>88.6916462072468</v>
      </c>
      <c r="X12" s="45" t="n">
        <f aca="false">IF(T12=0,0,U12/T12-1)</f>
        <v>-0.0454899266319667</v>
      </c>
      <c r="Y12" s="44" t="n">
        <f aca="false">Parameters!$E$5*IF($N12="V",Parameters!$I$5,IF($N12="F",Parameters!$J$5,Parameters!$K$5))*(1-Parameters!$L$5*$P12)*IF($D12="V1",Parameters!$M$5,IF($D12="V2",Parameters!$N$5,Parameters!$O$5))</f>
        <v>70.36344</v>
      </c>
      <c r="Z12" s="44" t="n">
        <f aca="false">MIN(100,Y12*(1+INDEX(Response_Table!$F$4:$F$21,MATCH($F12&amp;"|mid",Response_Table!$A$4:$A$21,0))*$R12*INDEX(Parameters!$X$5:$AA$5,1,MATCH($E12,Parameters!$X$3:$AA$3,0))))</f>
        <v>59.3065295735448</v>
      </c>
      <c r="AA12" s="44" t="n">
        <f aca="false">MAX(0,MIN(Y12*(1+INDEX(Response_Table!$F$4:$F$21,MATCH($F12&amp;"|low",Response_Table!$A$4:$A$21,0))*$R12*INDEX(Parameters!$X$5:$AA$5,1,MATCH($E12,Parameters!$X$3:$AA$3,0))),Y12*(1+INDEX(Response_Table!$F$4:$F$21,MATCH($F12&amp;"|high",Response_Table!$A$4:$A$21,0))*$R12*INDEX(Parameters!$X$5:$AA$5,1,MATCH($E12,Parameters!$X$3:$AA$3,0))))*(1-Inputs_General!$C$22*Parameters!$F$5))</f>
        <v>45.2365470665309</v>
      </c>
      <c r="AB12" s="44" t="n">
        <f aca="false">MIN(100,MAX(Y12*(1+INDEX(Response_Table!$F$4:$F$21,MATCH($F12&amp;"|low",Response_Table!$A$4:$A$21,0))*$R12*INDEX(Parameters!$X$5:$AA$5,1,MATCH($E12,Parameters!$X$3:$AA$3,0))),Y12*(1+INDEX(Response_Table!$F$4:$F$21,MATCH($F12&amp;"|high",Response_Table!$A$4:$A$21,0))*$R12*INDEX(Parameters!$X$5:$AA$5,1,MATCH($E12,Parameters!$X$3:$AA$3,0))))*(1+Inputs_General!$C$22*Parameters!$F$5))</f>
        <v>72.8057567466175</v>
      </c>
      <c r="AC12" s="45" t="n">
        <f aca="false">IF(Y12=0,0,Z12/Y12-1)</f>
        <v>-0.157139992394561</v>
      </c>
      <c r="AD12" s="44" t="n">
        <f aca="false">Parameters!$E$6*IF($N12="V",Parameters!$I$6,IF($N12="F",Parameters!$J$6,Parameters!$K$6))*(1-Parameters!$L$6*$P12)*IF($D12="V1",Parameters!$M$6,IF($D12="V2",Parameters!$N$6,Parameters!$O$6))</f>
        <v>18.9470714285714</v>
      </c>
      <c r="AE12" s="44" t="n">
        <f aca="false">AD12*(1+INDEX(Response_Table!$G$4:$G$21,MATCH($F12&amp;"|mid",Response_Table!$A$4:$A$21,0))*$R12*INDEX(Parameters!$X$6:$AA$6,1,MATCH($E12,Parameters!$X$3:$AA$3,0)))</f>
        <v>11.1731545177373</v>
      </c>
      <c r="AF12" s="44" t="n">
        <f aca="false">MAX(0,MIN(AD12*(1+INDEX(Response_Table!$G$4:$G$21,MATCH($F12&amp;"|low",Response_Table!$A$4:$A$21,0))*$R12*INDEX(Parameters!$X$6:$AA$6,1,MATCH($E12,Parameters!$X$3:$AA$3,0))),AD12*(1+INDEX(Response_Table!$G$4:$G$21,MATCH($F12&amp;"|high",Response_Table!$A$4:$A$21,0))*$R12*INDEX(Parameters!$X$6:$AA$6,1,MATCH($E12,Parameters!$X$3:$AA$3,0))))*(1-Inputs_General!$C$22*Parameters!$F$6))</f>
        <v>7.59818771953165</v>
      </c>
      <c r="AG12" s="44" t="n">
        <f aca="false">MAX(AD12*(1+INDEX(Response_Table!$G$4:$G$21,MATCH($F12&amp;"|low",Response_Table!$A$4:$A$21,0))*$R12*INDEX(Parameters!$X$6:$AA$6,1,MATCH($E12,Parameters!$X$3:$AA$3,0))),AD12*(1+INDEX(Response_Table!$G$4:$G$21,MATCH($F12&amp;"|high",Response_Table!$A$4:$A$21,0))*$R12*INDEX(Parameters!$X$6:$AA$6,1,MATCH($E12,Parameters!$X$3:$AA$3,0))))*(1+Inputs_General!$C$22*Parameters!$F$6)</f>
        <v>16.1586322712411</v>
      </c>
      <c r="AH12" s="45" t="n">
        <f aca="false">IF(AD12=0,0,AE12/AD12-1)</f>
        <v>-0.410296490417582</v>
      </c>
      <c r="AI12" s="46" t="n">
        <f aca="false">Parameters!$E$7*IF($N12="V",Parameters!$I$7,IF($N12="F",Parameters!$J$7,Parameters!$K$7))*(1-Parameters!$L$7*$P12)*IF($D12="V1",Parameters!$M$7,IF($D12="V2",Parameters!$N$7,Parameters!$O$7))*POWER($Q12/Inputs_General!$C$26,-Inputs_General!$C$25)</f>
        <v>0.411663164578586</v>
      </c>
      <c r="AJ12" s="46" t="n">
        <f aca="false">AI12*(1+INDEX(Response_Table!$H$4:$H$21,MATCH($F12&amp;"|mid",Response_Table!$A$4:$A$21,0))*$R12*INDEX(Parameters!$X$7:$AA$7,1,MATCH($E12,Parameters!$X$3:$AA$3,0)))</f>
        <v>0.300014500923701</v>
      </c>
      <c r="AK12" s="46" t="n">
        <f aca="false">MAX(0,MIN(AI12*(1+INDEX(Response_Table!$H$4:$H$21,MATCH($F12&amp;"|low",Response_Table!$A$4:$A$21,0))*$R12*INDEX(Parameters!$X$7:$AA$7,1,MATCH($E12,Parameters!$X$3:$AA$3,0))),AI12*(1+INDEX(Response_Table!$H$4:$H$21,MATCH($F12&amp;"|high",Response_Table!$A$4:$A$21,0))*$R12*INDEX(Parameters!$X$7:$AA$7,1,MATCH($E12,Parameters!$X$3:$AA$3,0))))*(1-Inputs_General!$C$22*Parameters!$F$7))</f>
        <v>0.190389780296919</v>
      </c>
      <c r="AL12" s="46" t="n">
        <f aca="false">MAX(AI12*(1+INDEX(Response_Table!$H$4:$H$21,MATCH($F12&amp;"|low",Response_Table!$A$4:$A$21,0))*$R12*INDEX(Parameters!$X$7:$AA$7,1,MATCH($E12,Parameters!$X$3:$AA$3,0))),AI12*(1+INDEX(Response_Table!$H$4:$H$21,MATCH($F12&amp;"|high",Response_Table!$A$4:$A$21,0))*$R12*INDEX(Parameters!$X$7:$AA$7,1,MATCH($E12,Parameters!$X$3:$AA$3,0))))*(1+Inputs_General!$C$22*Parameters!$F$7)</f>
        <v>0.436076059430924</v>
      </c>
      <c r="AM12" s="45" t="n">
        <f aca="false">IF(AI12=0,0,AJ12/AI12-1)</f>
        <v>-0.271213635956907</v>
      </c>
      <c r="AN12" s="43" t="n">
        <f aca="false">AI12*$Q12/Inputs_General!$C$13*1000</f>
        <v>4.95374641196979</v>
      </c>
      <c r="AO12" s="43" t="n">
        <f aca="false">AJ12*$Q12/Inputs_General!$C$13*1000*(1+Inputs_General!$C$21*$I12)</f>
        <v>3.77268286358967</v>
      </c>
      <c r="AP12" s="43" t="n">
        <f aca="false">AK12*$Q12/Inputs_General!$C$13*1000*(1+Inputs_General!$C$21*$H12)</f>
        <v>2.3540583622941</v>
      </c>
      <c r="AQ12" s="43" t="n">
        <f aca="false">AL12*$Q12/Inputs_General!$C$13*1000*(1+Inputs_General!$C$21*$J12)</f>
        <v>5.57548877496348</v>
      </c>
      <c r="AR12" s="45" t="n">
        <f aca="false">IF(AN12=0,0,AO12/AN12-1)</f>
        <v>-0.238418249574968</v>
      </c>
      <c r="AS12" s="42" t="n">
        <f aca="false">Parameters!$E$9*IF($N12="V",Parameters!$I$9,IF($N12="F",Parameters!$J$9,Parameters!$K$9))*(1-Parameters!$L$9*$P12)*IF($D12="V1",Parameters!$M$9,IF($D12="V2",Parameters!$N$9,Parameters!$O$9))</f>
        <v>285</v>
      </c>
      <c r="AT12" s="42" t="n">
        <f aca="false">AS12*(1+INDEX(Response_Table!$I$4:$I$21,MATCH($F12&amp;"|mid",Response_Table!$A$4:$A$21,0))*$R12*INDEX(Parameters!$X$9:$AA$9,1,MATCH($E12,Parameters!$X$3:$AA$3,0)))</f>
        <v>328.882682115422</v>
      </c>
      <c r="AU12" s="42" t="n">
        <f aca="false">MAX(0,MIN(AS12*(1+INDEX(Response_Table!$I$4:$I$21,MATCH($F12&amp;"|low",Response_Table!$A$4:$A$21,0))*$R12*INDEX(Parameters!$X$9:$AA$9,1,MATCH($E12,Parameters!$X$3:$AA$3,0))),AS12*(1+INDEX(Response_Table!$I$4:$I$21,MATCH($F12&amp;"|high",Response_Table!$A$4:$A$21,0))*$R12*INDEX(Parameters!$X$9:$AA$9,1,MATCH($E12,Parameters!$X$3:$AA$3,0))))*(1-Inputs_General!$C$22*Parameters!$F$9))</f>
        <v>284.301462749449</v>
      </c>
      <c r="AV12" s="42" t="n">
        <f aca="false">MAX(AS12*(1+INDEX(Response_Table!$I$4:$I$21,MATCH($F12&amp;"|low",Response_Table!$A$4:$A$21,0))*$R12*INDEX(Parameters!$X$9:$AA$9,1,MATCH($E12,Parameters!$X$3:$AA$3,0))),AS12*(1+INDEX(Response_Table!$I$4:$I$21,MATCH($F12&amp;"|high",Response_Table!$A$4:$A$21,0))*$R12*INDEX(Parameters!$X$9:$AA$9,1,MATCH($E12,Parameters!$X$3:$AA$3,0))))*(1+Inputs_General!$C$22*Parameters!$F$9)</f>
        <v>372.510178357712</v>
      </c>
      <c r="AW12" s="45" t="n">
        <f aca="false">IF(AS12=0,0,AT12/AS12-1)</f>
        <v>0.153974323212009</v>
      </c>
      <c r="AX12" s="43" t="n">
        <f aca="false">INDEX(Context!$AB$4:$AB$51,$K12)</f>
        <v>3.08698491176579</v>
      </c>
      <c r="AY12" s="43" t="n">
        <f aca="false">AX12*(1+INDEX(Response_Table!$J$4:$J$21,MATCH($F12&amp;"|mid",Response_Table!$A$4:$A$21,0))*$R12*INDEX(Parameters!$X$10:$AA$10,1,MATCH($E12,Parameters!$X$3:$AA$3,0)))</f>
        <v>2.58359851898927</v>
      </c>
      <c r="AZ12" s="43" t="n">
        <f aca="false">MAX(0,MIN(AX12*(1+INDEX(Response_Table!$J$4:$J$21,MATCH($F12&amp;"|low",Response_Table!$A$4:$A$21,0))*$R12*INDEX(Parameters!$X$10:$AA$10,1,MATCH($E12,Parameters!$X$3:$AA$3,0))),AX12*(1+INDEX(Response_Table!$J$4:$J$21,MATCH($F12&amp;"|high",Response_Table!$A$4:$A$21,0))*$R12*INDEX(Parameters!$X$10:$AA$10,1,MATCH($E12,Parameters!$X$3:$AA$3,0))))*(1-Inputs_General!$C$22*Parameters!$F$10))</f>
        <v>1.95946481535439</v>
      </c>
      <c r="BA12" s="43" t="n">
        <f aca="false">MAX(AX12*(1+INDEX(Response_Table!$J$4:$J$21,MATCH($F12&amp;"|low",Response_Table!$A$4:$A$21,0))*$R12*INDEX(Parameters!$X$10:$AA$10,1,MATCH($E12,Parameters!$X$3:$AA$3,0))),AX12*(1+INDEX(Response_Table!$J$4:$J$21,MATCH($F12&amp;"|high",Response_Table!$A$4:$A$21,0))*$R12*INDEX(Parameters!$X$10:$AA$10,1,MATCH($E12,Parameters!$X$3:$AA$3,0))))*(1+Inputs_General!$C$22*Parameters!$F$10)</f>
        <v>3.29643760099999</v>
      </c>
      <c r="BB12" s="45" t="n">
        <f aca="false">IF(AX12=0,0,AY12/AX12-1)</f>
        <v>-0.163067331770202</v>
      </c>
      <c r="BC12" s="46" t="n">
        <f aca="false">Parameters!$E$11*IF($N12="V",Parameters!$I$11,IF($N12="F",Parameters!$J$11,Parameters!$K$11))*(1-Parameters!$L$11*$P12)*IF($D12="V1",Parameters!$M$11,IF($D12="V2",Parameters!$N$11,Parameters!$O$11))</f>
        <v>1.24825892857143</v>
      </c>
      <c r="BD12" s="46" t="n">
        <f aca="false">BC12*(1+INDEX(Response_Table!$K$4:$K$21,MATCH($F12&amp;"|mid",Response_Table!$A$4:$A$21,0))*$R12*INDEX(Parameters!$X$11:$AA$11,1,MATCH($E12,Parameters!$X$3:$AA$3,0)))</f>
        <v>0.892995187124841</v>
      </c>
      <c r="BE12" s="46" t="n">
        <f aca="false">MAX(0,MIN(BC12*(1+INDEX(Response_Table!$K$4:$K$21,MATCH($F12&amp;"|low",Response_Table!$A$4:$A$21,0))*$R12*INDEX(Parameters!$X$11:$AA$11,1,MATCH($E12,Parameters!$X$3:$AA$3,0))),BC12*(1+INDEX(Response_Table!$K$4:$K$21,MATCH($F12&amp;"|high",Response_Table!$A$4:$A$21,0))*$R12*INDEX(Parameters!$X$11:$AA$11,1,MATCH($E12,Parameters!$X$3:$AA$3,0))))*(1-Inputs_General!$C$22*Parameters!$F$11))</f>
        <v>0.669621421093864</v>
      </c>
      <c r="BF12" s="46" t="n">
        <f aca="false">MAX(BC12*(1+INDEX(Response_Table!$K$4:$K$21,MATCH($F12&amp;"|low",Response_Table!$A$4:$A$21,0))*$R12*INDEX(Parameters!$X$11:$AA$11,1,MATCH($E12,Parameters!$X$3:$AA$3,0))),BC12*(1+INDEX(Response_Table!$K$4:$K$21,MATCH($F12&amp;"|high",Response_Table!$A$4:$A$21,0))*$R12*INDEX(Parameters!$X$11:$AA$11,1,MATCH($E12,Parameters!$X$3:$AA$3,0))))*(1+Inputs_General!$C$22*Parameters!$F$11)</f>
        <v>1.17324519063427</v>
      </c>
      <c r="BG12" s="45" t="n">
        <f aca="false">IF(BC12=0,0,BD12/BC12-1)</f>
        <v>-0.284607410622065</v>
      </c>
      <c r="BH12" s="46" t="n">
        <f aca="false">Parameters!$E$12*IF($N12="V",Parameters!$I$12,IF($N12="F",Parameters!$J$12,Parameters!$K$12))*(1-Parameters!$L$12*$P12)*IF($D12="V1",Parameters!$M$12,IF($D12="V2",Parameters!$N$12,Parameters!$O$12))</f>
        <v>0.449373214285714</v>
      </c>
      <c r="BI12" s="46" t="n">
        <f aca="false">BH12*(1+INDEX(Response_Table!$L$4:$L$21,MATCH($F12&amp;"|mid",Response_Table!$A$4:$A$21,0))*$R12*INDEX(Parameters!$X$12:$AA$12,1,MATCH($E12,Parameters!$X$3:$AA$3,0)))</f>
        <v>0.346247246837347</v>
      </c>
      <c r="BJ12" s="46" t="n">
        <f aca="false">MAX(0,MIN(BH12*(1+INDEX(Response_Table!$L$4:$L$21,MATCH($F12&amp;"|low",Response_Table!$A$4:$A$21,0))*$R12*INDEX(Parameters!$X$12:$AA$12,1,MATCH($E12,Parameters!$X$3:$AA$3,0))),BH12*(1+INDEX(Response_Table!$L$4:$L$21,MATCH($F12&amp;"|high",Response_Table!$A$4:$A$21,0))*$R12*INDEX(Parameters!$X$12:$AA$12,1,MATCH($E12,Parameters!$X$3:$AA$3,0))))*(1-Inputs_General!$C$22*Parameters!$F$12))</f>
        <v>0.256001973792001</v>
      </c>
      <c r="BK12" s="46" t="n">
        <f aca="false">MAX(BH12*(1+INDEX(Response_Table!$L$4:$L$21,MATCH($F12&amp;"|low",Response_Table!$A$4:$A$21,0))*$R12*INDEX(Parameters!$X$12:$AA$12,1,MATCH($E12,Parameters!$X$3:$AA$3,0))),BH12*(1+INDEX(Response_Table!$L$4:$L$21,MATCH($F12&amp;"|high",Response_Table!$A$4:$A$21,0))*$R12*INDEX(Parameters!$X$12:$AA$12,1,MATCH($E12,Parameters!$X$3:$AA$3,0))))*(1+Inputs_General!$C$22*Parameters!$F$12)</f>
        <v>0.454896731491288</v>
      </c>
      <c r="BL12" s="45" t="n">
        <f aca="false">IF(BH12=0,0,BI12/BH12-1)</f>
        <v>-0.229488461194306</v>
      </c>
      <c r="BM12" s="46" t="n">
        <f aca="false">Parameters!$E$13*IF($N12="V",Parameters!$I$13,IF($N12="F",Parameters!$J$13,Parameters!$K$13))*(1-Parameters!$L$13*$P12)*IF($D12="V1",Parameters!$M$13,IF($D12="V2",Parameters!$N$13,Parameters!$O$13))</f>
        <v>0.299791071428571</v>
      </c>
      <c r="BN12" s="46" t="n">
        <f aca="false">BM12*(1+INDEX(Response_Table!$M$4:$M$21,MATCH($F12&amp;"|mid",Response_Table!$A$4:$A$21,0))*$R12*INDEX(Parameters!$X$13:$AA$13,1,MATCH($E12,Parameters!$X$3:$AA$3,0)))</f>
        <v>0.27400259812186</v>
      </c>
      <c r="BO12" s="46" t="n">
        <f aca="false">MAX(0,MIN(BM12*(1+INDEX(Response_Table!$M$4:$M$21,MATCH($F12&amp;"|low",Response_Table!$A$4:$A$21,0))*$R12*INDEX(Parameters!$X$13:$AA$13,1,MATCH($E12,Parameters!$X$3:$AA$3,0))),BM12*(1+INDEX(Response_Table!$M$4:$M$21,MATCH($F12&amp;"|high",Response_Table!$A$4:$A$21,0))*$R12*INDEX(Parameters!$X$13:$AA$13,1,MATCH($E12,Parameters!$X$3:$AA$3,0))))*(1-Inputs_General!$C$22*Parameters!$F$13))</f>
        <v>0.203252238103276</v>
      </c>
      <c r="BP12" s="46" t="n">
        <f aca="false">MAX(BM12*(1+INDEX(Response_Table!$M$4:$M$21,MATCH($F12&amp;"|low",Response_Table!$A$4:$A$21,0))*$R12*INDEX(Parameters!$X$13:$AA$13,1,MATCH($E12,Parameters!$X$3:$AA$3,0))),BM12*(1+INDEX(Response_Table!$M$4:$M$21,MATCH($F12&amp;"|high",Response_Table!$A$4:$A$21,0))*$R12*INDEX(Parameters!$X$13:$AA$13,1,MATCH($E12,Parameters!$X$3:$AA$3,0))))*(1+Inputs_General!$C$22*Parameters!$F$13)</f>
        <v>0.354339695845901</v>
      </c>
      <c r="BQ12" s="45" t="n">
        <f aca="false">IF(BM12=0,0,BN12/BM12-1)</f>
        <v>-0.0860214855093042</v>
      </c>
      <c r="BR12" s="44" t="n">
        <f aca="false">Parameters!$E$14*IF($N12="V",Parameters!$I$14,IF($N12="F",Parameters!$J$14,Parameters!$K$14))*(1-Parameters!$L$14*$P12)*IF($D12="V1",Parameters!$M$14,IF($D12="V2",Parameters!$N$14,Parameters!$O$14))*INDEX(Context!$AC$4:$AC$51,$K12)</f>
        <v>15</v>
      </c>
      <c r="BS12" s="44" t="n">
        <f aca="false">BR12*(1+INDEX(Response_Table!$N$4:$N$21,MATCH($F12&amp;"|mid",Response_Table!$A$4:$A$21,0))*$R12*INDEX(Parameters!$X$14:$AA$14,1,MATCH($E12,Parameters!$X$3:$AA$3,0)))</f>
        <v>18.7552657286341</v>
      </c>
      <c r="BT12" s="44" t="n">
        <f aca="false">MAX(0,MIN(BR12*(1+INDEX(Response_Table!$N$4:$N$21,MATCH($F12&amp;"|low",Response_Table!$A$4:$A$21,0))*$R12*INDEX(Parameters!$X$14:$AA$14,1,MATCH($E12,Parameters!$X$3:$AA$3,0))),BR12*(1+INDEX(Response_Table!$N$4:$N$21,MATCH($F12&amp;"|high",Response_Table!$A$4:$A$21,0))*$R12*INDEX(Parameters!$X$14:$AA$14,1,MATCH($E12,Parameters!$X$3:$AA$3,0))))*(1-Inputs_General!$C$22*Parameters!$F$14))</f>
        <v>8.87878616115056</v>
      </c>
      <c r="BU12" s="44" t="n">
        <f aca="false">MAX(BR12*(1+INDEX(Response_Table!$N$4:$N$21,MATCH($F12&amp;"|low",Response_Table!$A$4:$A$21,0))*$R12*INDEX(Parameters!$X$14:$AA$14,1,MATCH($E12,Parameters!$X$3:$AA$3,0))),BR12*(1+INDEX(Response_Table!$N$4:$N$21,MATCH($F12&amp;"|high",Response_Table!$A$4:$A$21,0))*$R12*INDEX(Parameters!$X$14:$AA$14,1,MATCH($E12,Parameters!$X$3:$AA$3,0))))*(1+Inputs_General!$C$22*Parameters!$F$14)</f>
        <v>29.4946849813317</v>
      </c>
      <c r="BV12" s="45" t="n">
        <f aca="false">IF(BR12=0,0,BS12/BR12-1)</f>
        <v>0.250351048575606</v>
      </c>
      <c r="BW12" s="43" t="n">
        <f aca="false">Parameters!$E$15*IF($N12="V",Parameters!$I$15,IF($N12="F",Parameters!$J$15,Parameters!$K$15))*(1-Parameters!$L$15*$P12)*IF($D12="V1",Parameters!$M$15,IF($D12="V2",Parameters!$N$15,Parameters!$O$15))</f>
        <v>10.3855142857143</v>
      </c>
      <c r="BX12" s="43" t="n">
        <f aca="false">BW12*(1+INDEX(Response_Table!$O$4:$O$21,MATCH($F12&amp;"|mid",Response_Table!$A$4:$A$21,0))*$R12*INDEX(Parameters!$X$15:$AA$15,1,MATCH($E12,Parameters!$X$3:$AA$3,0)))</f>
        <v>9.73550818785791</v>
      </c>
      <c r="BY12" s="43" t="n">
        <f aca="false">MAX(0,MIN(BW12*(1+INDEX(Response_Table!$O$4:$O$21,MATCH($F12&amp;"|low",Response_Table!$A$4:$A$21,0))*$R12*INDEX(Parameters!$X$15:$AA$15,1,MATCH($E12,Parameters!$X$3:$AA$3,0))),BW12*(1+INDEX(Response_Table!$O$4:$O$21,MATCH($F12&amp;"|high",Response_Table!$A$4:$A$21,0))*$R12*INDEX(Parameters!$X$15:$AA$15,1,MATCH($E12,Parameters!$X$3:$AA$3,0))))*(1-Inputs_General!$C$22*Parameters!$F$15))</f>
        <v>7.67570730078421</v>
      </c>
      <c r="BZ12" s="43" t="n">
        <f aca="false">MAX(BW12*(1+INDEX(Response_Table!$O$4:$O$21,MATCH($F12&amp;"|low",Response_Table!$A$4:$A$21,0))*$R12*INDEX(Parameters!$X$15:$AA$15,1,MATCH($E12,Parameters!$X$3:$AA$3,0))),BW12*(1+INDEX(Response_Table!$O$4:$O$21,MATCH($F12&amp;"|high",Response_Table!$A$4:$A$21,0))*$R12*INDEX(Parameters!$X$15:$AA$15,1,MATCH($E12,Parameters!$X$3:$AA$3,0))))*(1+Inputs_General!$C$22*Parameters!$F$15)</f>
        <v>11.911311378404</v>
      </c>
      <c r="CA12" s="45" t="n">
        <f aca="false">IF(BW12=0,0,BX12/BW12-1)</f>
        <v>-0.0625877621439015</v>
      </c>
      <c r="CB12" s="46" t="n">
        <f aca="false">BD12+BI12</f>
        <v>1.23924243396219</v>
      </c>
      <c r="CC12" s="43" t="n">
        <f aca="false">BD12/BI12</f>
        <v>2.57906797897034</v>
      </c>
      <c r="CD12" s="46" t="n">
        <f aca="false">BN12/CB12</f>
        <v>0.221104919112397</v>
      </c>
      <c r="CE12" s="43" t="n">
        <f aca="false">AE12/AO12</f>
        <v>2.96159389000595</v>
      </c>
      <c r="CF12" s="44" t="n">
        <f aca="false">AE12/AJ12</f>
        <v>37.2420482454575</v>
      </c>
      <c r="CG12" s="44" t="n">
        <f aca="false">INDEX(Context!$V$4:$V$51,$K12)</f>
        <v>25.5785714285714</v>
      </c>
      <c r="CH12" s="44" t="n">
        <f aca="false">INDEX(Context!$Y$4:$Y$51,$K12)</f>
        <v>23.620522619794</v>
      </c>
      <c r="CI12" s="44" t="n">
        <f aca="false">INDEX(Context!$Z$4:$Z$51,$K12)</f>
        <v>29.5785714285714</v>
      </c>
      <c r="CJ12" s="43" t="n">
        <f aca="false">INDEX(Context!$AA$4:$AA$51,$K12)</f>
        <v>0.201160714285714</v>
      </c>
      <c r="CK12" s="43" t="n">
        <f aca="false">MAX(0,MIN(1,1-(1-CJ12)*AO12/AN12))</f>
        <v>0.391618578477432</v>
      </c>
      <c r="CL12" s="44" t="n">
        <f aca="false">CH12+CK12*(CI12-CH12)</f>
        <v>25.9538052247866</v>
      </c>
      <c r="CM12" s="44" t="n">
        <f aca="false">CH12+MAX(0,MIN(1,1-(1-CJ12)*AQ12/AN12))*(CI12-CH12)</f>
        <v>24.2216824421911</v>
      </c>
      <c r="CN12" s="44" t="n">
        <f aca="false">CH12+MAX(0,MIN(1,1-(1-CJ12)*AP12/AN12))*(CI12-CH12)</f>
        <v>27.3168093081101</v>
      </c>
      <c r="CO12" s="44" t="n">
        <f aca="false">CL12-CG12</f>
        <v>0.375233796215145</v>
      </c>
      <c r="CP12" s="44" t="n">
        <f aca="false">CL12-(CH12+CJ12*(CI12-CH12))</f>
        <v>1.13475725086975</v>
      </c>
      <c r="CQ12" s="46" t="n">
        <f aca="false">CL12/CG12</f>
        <v>1.01466984961467</v>
      </c>
      <c r="CR12" s="43" t="n">
        <f aca="false">IF(CL12-CH12&lt;=0,"n/a",(CI12-CL12)/(CL12-CH12))</f>
        <v>1.5535050045069</v>
      </c>
      <c r="CS12" s="43" t="n">
        <f aca="false">IF(CI12-CL12&lt;=0,"n/a",(CL12-CH12)/(CI12-CL12))</f>
        <v>0.64370568301929</v>
      </c>
      <c r="CT12" s="43" t="n">
        <f aca="false">Inputs_General!$C$23+Inputs_General!$C$24*$I12</f>
        <v>0.96</v>
      </c>
      <c r="CU12" s="44" t="n">
        <f aca="false">3.29*CT12</f>
        <v>3.1584</v>
      </c>
    </row>
    <row r="13" customFormat="false" ht="15" hidden="false" customHeight="false" outlineLevel="0" collapsed="false">
      <c r="A13" s="9" t="str">
        <f aca="false">B13&amp;"|"&amp;E13&amp;"|"&amp;F13</f>
        <v>D1V1|24/02/2026|High</v>
      </c>
      <c r="B13" s="7" t="s">
        <v>340</v>
      </c>
      <c r="C13" s="9" t="s">
        <v>127</v>
      </c>
      <c r="D13" s="9" t="s">
        <v>142</v>
      </c>
      <c r="E13" s="9" t="s">
        <v>160</v>
      </c>
      <c r="F13" s="7" t="s">
        <v>283</v>
      </c>
      <c r="G13" s="9" t="s">
        <v>284</v>
      </c>
      <c r="H13" s="41" t="n">
        <f aca="false">INDEX(Severity_Classes!$C$4:$C$9,MATCH(F13,Severity_Classes!$A$4:$A$9,0))</f>
        <v>0.26</v>
      </c>
      <c r="I13" s="41" t="n">
        <f aca="false">INDEX(Severity_Classes!$D$4:$D$9,MATCH(F13,Severity_Classes!$A$4:$A$9,0))</f>
        <v>0.38</v>
      </c>
      <c r="J13" s="41" t="n">
        <f aca="false">INDEX(Severity_Classes!$E$4:$E$9,MATCH(F13,Severity_Classes!$A$4:$A$9,0))</f>
        <v>0.5</v>
      </c>
      <c r="K13" s="42" t="n">
        <f aca="false">MATCH(B13&amp;"|"&amp;E13,Context!$A$4:$A$51,0)</f>
        <v>2</v>
      </c>
      <c r="L13" s="42" t="n">
        <f aca="false">INDEX(Context!$H$4:$H$51,K13)</f>
        <v>77</v>
      </c>
      <c r="M13" s="42" t="n">
        <f aca="false">INDEX(Context!$I$4:$I$51,K13)</f>
        <v>19</v>
      </c>
      <c r="N13" s="9" t="str">
        <f aca="false">INDEX(Context!$L$4:$L$51,K13)</f>
        <v>F</v>
      </c>
      <c r="O13" s="9" t="str">
        <f aca="false">INDEX(Context!$M$4:$M$51,K13)</f>
        <v>5th fully expanded leaf from top</v>
      </c>
      <c r="P13" s="43" t="n">
        <f aca="false">INDEX(Context!$R$4:$R$51,K13)</f>
        <v>0.0232142857142859</v>
      </c>
      <c r="Q13" s="43" t="n">
        <f aca="false">INDEX(Context!$U$4:$U$51,K13)</f>
        <v>1.19492600027053</v>
      </c>
      <c r="R13" s="43" t="n">
        <f aca="false">INDEX(Context!$AD$4:$AD$51,K13)</f>
        <v>1</v>
      </c>
      <c r="S13" s="9" t="str">
        <f aca="false">INDEX(Context!$AI$4:$AN$51,K13,MATCH(F13,Severity_Classes!$A$4:$A$9,0))</f>
        <v>Likely</v>
      </c>
      <c r="T13" s="44" t="n">
        <f aca="false">Parameters!$E$4*IF($N13="V",Parameters!$I$4,IF($N13="F",Parameters!$J$4,Parameters!$K$4))*(1-Parameters!$L$4*$P13)*IF($D13="V1",Parameters!$M$4,IF($D13="V2",Parameters!$N$4,Parameters!$O$4))</f>
        <v>85.0411767857143</v>
      </c>
      <c r="U13" s="44" t="n">
        <f aca="false">MIN(100,T13*(1+INDEX(Response_Table!$E$4:$E$21,MATCH($F13&amp;"|mid",Response_Table!$A$4:$A$21,0))*$R13*INDEX(Parameters!$X$4:$AA$4,1,MATCH($E13,Parameters!$X$3:$AA$3,0))))</f>
        <v>71.3031771994825</v>
      </c>
      <c r="V13" s="44" t="n">
        <f aca="false">MAX(0,MIN(T13*(1+INDEX(Response_Table!$E$4:$E$21,MATCH($F13&amp;"|low",Response_Table!$A$4:$A$21,0))*$R13*INDEX(Parameters!$X$4:$AA$4,1,MATCH($E13,Parameters!$X$3:$AA$3,0))),T13*(1+INDEX(Response_Table!$E$4:$E$21,MATCH($F13&amp;"|high",Response_Table!$A$4:$A$21,0))*$R13*INDEX(Parameters!$X$4:$AA$4,1,MATCH($E13,Parameters!$X$3:$AA$3,0))))*(1-Inputs_General!$C$22*Parameters!$F$4))</f>
        <v>61.2068047421261</v>
      </c>
      <c r="W13" s="44" t="n">
        <f aca="false">MIN(100,MAX(T13*(1+INDEX(Response_Table!$E$4:$E$21,MATCH($F13&amp;"|low",Response_Table!$A$4:$A$21,0))*$R13*INDEX(Parameters!$X$4:$AA$4,1,MATCH($E13,Parameters!$X$3:$AA$3,0))),T13*(1+INDEX(Response_Table!$E$4:$E$21,MATCH($F13&amp;"|high",Response_Table!$A$4:$A$21,0))*$R13*INDEX(Parameters!$X$4:$AA$4,1,MATCH($E13,Parameters!$X$3:$AA$3,0))))*(1+Inputs_General!$C$22*Parameters!$F$4))</f>
        <v>82.9127640928792</v>
      </c>
      <c r="X13" s="45" t="n">
        <f aca="false">IF(T13=0,0,U13/T13-1)</f>
        <v>-0.161545266722362</v>
      </c>
      <c r="Y13" s="44" t="n">
        <f aca="false">Parameters!$E$5*IF($N13="V",Parameters!$I$5,IF($N13="F",Parameters!$J$5,Parameters!$K$5))*(1-Parameters!$L$5*$P13)*IF($D13="V1",Parameters!$M$5,IF($D13="V2",Parameters!$N$5,Parameters!$O$5))</f>
        <v>70.36344</v>
      </c>
      <c r="Z13" s="44" t="n">
        <f aca="false">MIN(100,Y13*(1+INDEX(Response_Table!$F$4:$F$21,MATCH($F13&amp;"|mid",Response_Table!$A$4:$A$21,0))*$R13*INDEX(Parameters!$X$5:$AA$5,1,MATCH($E13,Parameters!$X$3:$AA$3,0))))</f>
        <v>35.1611060615032</v>
      </c>
      <c r="AA13" s="44" t="n">
        <f aca="false">MAX(0,MIN(Y13*(1+INDEX(Response_Table!$F$4:$F$21,MATCH($F13&amp;"|low",Response_Table!$A$4:$A$21,0))*$R13*INDEX(Parameters!$X$5:$AA$5,1,MATCH($E13,Parameters!$X$3:$AA$3,0))),Y13*(1+INDEX(Response_Table!$F$4:$F$21,MATCH($F13&amp;"|high",Response_Table!$A$4:$A$21,0))*$R13*INDEX(Parameters!$X$5:$AA$5,1,MATCH($E13,Parameters!$X$3:$AA$3,0))))*(1-Inputs_General!$C$22*Parameters!$F$5))</f>
        <v>23.2900946664487</v>
      </c>
      <c r="AB13" s="44" t="n">
        <f aca="false">MIN(100,MAX(Y13*(1+INDEX(Response_Table!$F$4:$F$21,MATCH($F13&amp;"|low",Response_Table!$A$4:$A$21,0))*$R13*INDEX(Parameters!$X$5:$AA$5,1,MATCH($E13,Parameters!$X$3:$AA$3,0))),Y13*(1+INDEX(Response_Table!$F$4:$F$21,MATCH($F13&amp;"|high",Response_Table!$A$4:$A$21,0))*$R13*INDEX(Parameters!$X$5:$AA$5,1,MATCH($E13,Parameters!$X$3:$AA$3,0))))*(1+Inputs_General!$C$22*Parameters!$F$5))</f>
        <v>55.5764250988334</v>
      </c>
      <c r="AC13" s="45" t="n">
        <f aca="false">IF(Y13=0,0,Z13/Y13-1)</f>
        <v>-0.500292963767786</v>
      </c>
      <c r="AD13" s="44" t="n">
        <f aca="false">Parameters!$E$6*IF($N13="V",Parameters!$I$6,IF($N13="F",Parameters!$J$6,Parameters!$K$6))*(1-Parameters!$L$6*$P13)*IF($D13="V1",Parameters!$M$6,IF($D13="V2",Parameters!$N$6,Parameters!$O$6))</f>
        <v>18.9470714285714</v>
      </c>
      <c r="AE13" s="44" t="n">
        <f aca="false">AD13*(1+INDEX(Response_Table!$G$4:$G$21,MATCH($F13&amp;"|mid",Response_Table!$A$4:$A$21,0))*$R13*INDEX(Parameters!$X$6:$AA$6,1,MATCH($E13,Parameters!$X$3:$AA$3,0)))</f>
        <v>7.40647105693273</v>
      </c>
      <c r="AF13" s="44" t="n">
        <f aca="false">MAX(0,MIN(AD13*(1+INDEX(Response_Table!$G$4:$G$21,MATCH($F13&amp;"|low",Response_Table!$A$4:$A$21,0))*$R13*INDEX(Parameters!$X$6:$AA$6,1,MATCH($E13,Parameters!$X$3:$AA$3,0))),AD13*(1+INDEX(Response_Table!$G$4:$G$21,MATCH($F13&amp;"|high",Response_Table!$A$4:$A$21,0))*$R13*INDEX(Parameters!$X$6:$AA$6,1,MATCH($E13,Parameters!$X$3:$AA$3,0))))*(1-Inputs_General!$C$22*Parameters!$F$6))</f>
        <v>5.06546091668854</v>
      </c>
      <c r="AG13" s="44" t="n">
        <f aca="false">MAX(AD13*(1+INDEX(Response_Table!$G$4:$G$21,MATCH($F13&amp;"|low",Response_Table!$A$4:$A$21,0))*$R13*INDEX(Parameters!$X$6:$AA$6,1,MATCH($E13,Parameters!$X$3:$AA$3,0))),AD13*(1+INDEX(Response_Table!$G$4:$G$21,MATCH($F13&amp;"|high",Response_Table!$A$4:$A$21,0))*$R13*INDEX(Parameters!$X$6:$AA$6,1,MATCH($E13,Parameters!$X$3:$AA$3,0))))*(1+Inputs_General!$C$22*Parameters!$F$6)</f>
        <v>11.0919360717736</v>
      </c>
      <c r="AH13" s="45" t="n">
        <f aca="false">IF(AD13=0,0,AE13/AD13-1)</f>
        <v>-0.609096789186953</v>
      </c>
      <c r="AI13" s="46" t="n">
        <f aca="false">Parameters!$E$7*IF($N13="V",Parameters!$I$7,IF($N13="F",Parameters!$J$7,Parameters!$K$7))*(1-Parameters!$L$7*$P13)*IF($D13="V1",Parameters!$M$7,IF($D13="V2",Parameters!$N$7,Parameters!$O$7))*POWER($Q13/Inputs_General!$C$26,-Inputs_General!$C$25)</f>
        <v>0.411663164578586</v>
      </c>
      <c r="AJ13" s="46" t="n">
        <f aca="false">AI13*(1+INDEX(Response_Table!$H$4:$H$21,MATCH($F13&amp;"|mid",Response_Table!$A$4:$A$21,0))*$R13*INDEX(Parameters!$X$7:$AA$7,1,MATCH($E13,Parameters!$X$3:$AA$3,0)))</f>
        <v>0.229659619501168</v>
      </c>
      <c r="AK13" s="46" t="n">
        <f aca="false">MAX(0,MIN(AI13*(1+INDEX(Response_Table!$H$4:$H$21,MATCH($F13&amp;"|low",Response_Table!$A$4:$A$21,0))*$R13*INDEX(Parameters!$X$7:$AA$7,1,MATCH($E13,Parameters!$X$3:$AA$3,0))),AI13*(1+INDEX(Response_Table!$H$4:$H$21,MATCH($F13&amp;"|high",Response_Table!$A$4:$A$21,0))*$R13*INDEX(Parameters!$X$7:$AA$7,1,MATCH($E13,Parameters!$X$3:$AA$3,0))))*(1-Inputs_General!$C$22*Parameters!$F$7))</f>
        <v>0.143446029484408</v>
      </c>
      <c r="AL13" s="46" t="n">
        <f aca="false">MAX(AI13*(1+INDEX(Response_Table!$H$4:$H$21,MATCH($F13&amp;"|low",Response_Table!$A$4:$A$21,0))*$R13*INDEX(Parameters!$X$7:$AA$7,1,MATCH($E13,Parameters!$X$3:$AA$3,0))),AI13*(1+INDEX(Response_Table!$H$4:$H$21,MATCH($F13&amp;"|high",Response_Table!$A$4:$A$21,0))*$R13*INDEX(Parameters!$X$7:$AA$7,1,MATCH($E13,Parameters!$X$3:$AA$3,0))))*(1+Inputs_General!$C$22*Parameters!$F$7)</f>
        <v>0.345725437218006</v>
      </c>
      <c r="AM13" s="45" t="n">
        <f aca="false">IF(AI13=0,0,AJ13/AI13-1)</f>
        <v>-0.442117635819403</v>
      </c>
      <c r="AN13" s="43" t="n">
        <f aca="false">AI13*$Q13/Inputs_General!$C$13*1000</f>
        <v>4.95374641196979</v>
      </c>
      <c r="AO13" s="43" t="n">
        <f aca="false">AJ13*$Q13/Inputs_General!$C$13*1000*(1+Inputs_General!$C$21*$I13)</f>
        <v>3.02615049704764</v>
      </c>
      <c r="AP13" s="43" t="n">
        <f aca="false">AK13*$Q13/Inputs_General!$C$13*1000*(1+Inputs_General!$C$21*$H13)</f>
        <v>1.83835720678565</v>
      </c>
      <c r="AQ13" s="43" t="n">
        <f aca="false">AL13*$Q13/Inputs_General!$C$13*1000*(1+Inputs_General!$C$21*$J13)</f>
        <v>4.68032077666193</v>
      </c>
      <c r="AR13" s="45" t="n">
        <f aca="false">IF(AN13=0,0,AO13/AN13-1)</f>
        <v>-0.389118811222246</v>
      </c>
      <c r="AS13" s="42" t="n">
        <f aca="false">Parameters!$E$9*IF($N13="V",Parameters!$I$9,IF($N13="F",Parameters!$J$9,Parameters!$K$9))*(1-Parameters!$L$9*$P13)*IF($D13="V1",Parameters!$M$9,IF($D13="V2",Parameters!$N$9,Parameters!$O$9))</f>
        <v>285</v>
      </c>
      <c r="AT13" s="42" t="n">
        <f aca="false">AS13*(1+INDEX(Response_Table!$I$4:$I$21,MATCH($F13&amp;"|mid",Response_Table!$A$4:$A$21,0))*$R13*INDEX(Parameters!$X$9:$AA$9,1,MATCH($E13,Parameters!$X$3:$AA$3,0)))</f>
        <v>351.800133665586</v>
      </c>
      <c r="AU13" s="42" t="n">
        <f aca="false">MAX(0,MIN(AS13*(1+INDEX(Response_Table!$I$4:$I$21,MATCH($F13&amp;"|low",Response_Table!$A$4:$A$21,0))*$R13*INDEX(Parameters!$X$9:$AA$9,1,MATCH($E13,Parameters!$X$3:$AA$3,0))),AS13*(1+INDEX(Response_Table!$I$4:$I$21,MATCH($F13&amp;"|high",Response_Table!$A$4:$A$21,0))*$R13*INDEX(Parameters!$X$9:$AA$9,1,MATCH($E13,Parameters!$X$3:$AA$3,0))))*(1-Inputs_General!$C$22*Parameters!$F$9))</f>
        <v>306.694025735372</v>
      </c>
      <c r="AV13" s="42" t="n">
        <f aca="false">MAX(AS13*(1+INDEX(Response_Table!$I$4:$I$21,MATCH($F13&amp;"|low",Response_Table!$A$4:$A$21,0))*$R13*INDEX(Parameters!$X$9:$AA$9,1,MATCH($E13,Parameters!$X$3:$AA$3,0))),AS13*(1+INDEX(Response_Table!$I$4:$I$21,MATCH($F13&amp;"|high",Response_Table!$A$4:$A$21,0))*$R13*INDEX(Parameters!$X$9:$AA$9,1,MATCH($E13,Parameters!$X$3:$AA$3,0))))*(1+Inputs_General!$C$22*Parameters!$F$9)</f>
        <v>394.355109128328</v>
      </c>
      <c r="AW13" s="45" t="n">
        <f aca="false">IF(AS13=0,0,AT13/AS13-1)</f>
        <v>0.234386433914336</v>
      </c>
      <c r="AX13" s="43" t="n">
        <f aca="false">INDEX(Context!$AB$4:$AB$51,$K13)</f>
        <v>3.08698491176579</v>
      </c>
      <c r="AY13" s="43" t="n">
        <f aca="false">AX13*(1+INDEX(Response_Table!$J$4:$J$21,MATCH($F13&amp;"|mid",Response_Table!$A$4:$A$21,0))*$R13*INDEX(Parameters!$X$10:$AA$10,1,MATCH($E13,Parameters!$X$3:$AA$3,0)))</f>
        <v>2.23508036834539</v>
      </c>
      <c r="AZ13" s="43" t="n">
        <f aca="false">MAX(0,MIN(AX13*(1+INDEX(Response_Table!$J$4:$J$21,MATCH($F13&amp;"|low",Response_Table!$A$4:$A$21,0))*$R13*INDEX(Parameters!$X$10:$AA$10,1,MATCH($E13,Parameters!$X$3:$AA$3,0))),AX13*(1+INDEX(Response_Table!$J$4:$J$21,MATCH($F13&amp;"|high",Response_Table!$A$4:$A$21,0))*$R13*INDEX(Parameters!$X$10:$AA$10,1,MATCH($E13,Parameters!$X$3:$AA$3,0))))*(1-Inputs_General!$C$22*Parameters!$F$10))</f>
        <v>1.68211949432342</v>
      </c>
      <c r="BA13" s="43" t="n">
        <f aca="false">MAX(AX13*(1+INDEX(Response_Table!$J$4:$J$21,MATCH($F13&amp;"|low",Response_Table!$A$4:$A$21,0))*$R13*INDEX(Parameters!$X$10:$AA$10,1,MATCH($E13,Parameters!$X$3:$AA$3,0))),AX13*(1+INDEX(Response_Table!$J$4:$J$21,MATCH($F13&amp;"|high",Response_Table!$A$4:$A$21,0))*$R13*INDEX(Parameters!$X$10:$AA$10,1,MATCH($E13,Parameters!$X$3:$AA$3,0))))*(1+Inputs_General!$C$22*Parameters!$F$10)</f>
        <v>2.901345758342</v>
      </c>
      <c r="BB13" s="45" t="n">
        <f aca="false">IF(AX13=0,0,AY13/AX13-1)</f>
        <v>-0.275966539445475</v>
      </c>
      <c r="BC13" s="46" t="n">
        <f aca="false">Parameters!$E$11*IF($N13="V",Parameters!$I$11,IF($N13="F",Parameters!$J$11,Parameters!$K$11))*(1-Parameters!$L$11*$P13)*IF($D13="V1",Parameters!$M$11,IF($D13="V2",Parameters!$N$11,Parameters!$O$11))</f>
        <v>1.24825892857143</v>
      </c>
      <c r="BD13" s="46" t="n">
        <f aca="false">BC13*(1+INDEX(Response_Table!$K$4:$K$21,MATCH($F13&amp;"|mid",Response_Table!$A$4:$A$21,0))*$R13*INDEX(Parameters!$X$11:$AA$11,1,MATCH($E13,Parameters!$X$3:$AA$3,0)))</f>
        <v>0.6773911051799</v>
      </c>
      <c r="BE13" s="46" t="n">
        <f aca="false">MAX(0,MIN(BC13*(1+INDEX(Response_Table!$K$4:$K$21,MATCH($F13&amp;"|low",Response_Table!$A$4:$A$21,0))*$R13*INDEX(Parameters!$X$11:$AA$11,1,MATCH($E13,Parameters!$X$3:$AA$3,0))),BC13*(1+INDEX(Response_Table!$K$4:$K$21,MATCH($F13&amp;"|high",Response_Table!$A$4:$A$21,0))*$R13*INDEX(Parameters!$X$11:$AA$11,1,MATCH($E13,Parameters!$X$3:$AA$3,0))))*(1-Inputs_General!$C$22*Parameters!$F$11))</f>
        <v>0.501887406882573</v>
      </c>
      <c r="BF13" s="46" t="n">
        <f aca="false">MAX(BC13*(1+INDEX(Response_Table!$K$4:$K$21,MATCH($F13&amp;"|low",Response_Table!$A$4:$A$21,0))*$R13*INDEX(Parameters!$X$11:$AA$11,1,MATCH($E13,Parameters!$X$3:$AA$3,0))),BC13*(1+INDEX(Response_Table!$K$4:$K$21,MATCH($F13&amp;"|high",Response_Table!$A$4:$A$21,0))*$R13*INDEX(Parameters!$X$11:$AA$11,1,MATCH($E13,Parameters!$X$3:$AA$3,0))))*(1+Inputs_General!$C$22*Parameters!$F$11)</f>
        <v>0.919932069479345</v>
      </c>
      <c r="BG13" s="45" t="n">
        <f aca="false">IF(BC13=0,0,BD13/BC13-1)</f>
        <v>-0.457331255819543</v>
      </c>
      <c r="BH13" s="46" t="n">
        <f aca="false">Parameters!$E$12*IF($N13="V",Parameters!$I$12,IF($N13="F",Parameters!$J$12,Parameters!$K$12))*(1-Parameters!$L$12*$P13)*IF($D13="V1",Parameters!$M$12,IF($D13="V2",Parameters!$N$12,Parameters!$O$12))</f>
        <v>0.449373214285714</v>
      </c>
      <c r="BI13" s="46" t="n">
        <f aca="false">BH13*(1+INDEX(Response_Table!$L$4:$L$21,MATCH($F13&amp;"|mid",Response_Table!$A$4:$A$21,0))*$R13*INDEX(Parameters!$X$12:$AA$12,1,MATCH($E13,Parameters!$X$3:$AA$3,0)))</f>
        <v>0.281262902431389</v>
      </c>
      <c r="BJ13" s="46" t="n">
        <f aca="false">MAX(0,MIN(BH13*(1+INDEX(Response_Table!$L$4:$L$21,MATCH($F13&amp;"|low",Response_Table!$A$4:$A$21,0))*$R13*INDEX(Parameters!$X$12:$AA$12,1,MATCH($E13,Parameters!$X$3:$AA$3,0))),BH13*(1+INDEX(Response_Table!$L$4:$L$21,MATCH($F13&amp;"|high",Response_Table!$A$4:$A$21,0))*$R13*INDEX(Parameters!$X$12:$AA$12,1,MATCH($E13,Parameters!$X$3:$AA$3,0))))*(1-Inputs_General!$C$22*Parameters!$F$12))</f>
        <v>0.206561743668061</v>
      </c>
      <c r="BK13" s="46" t="n">
        <f aca="false">MAX(BH13*(1+INDEX(Response_Table!$L$4:$L$21,MATCH($F13&amp;"|low",Response_Table!$A$4:$A$21,0))*$R13*INDEX(Parameters!$X$12:$AA$12,1,MATCH($E13,Parameters!$X$3:$AA$3,0))),BH13*(1+INDEX(Response_Table!$L$4:$L$21,MATCH($F13&amp;"|high",Response_Table!$A$4:$A$21,0))*$R13*INDEX(Parameters!$X$12:$AA$12,1,MATCH($E13,Parameters!$X$3:$AA$3,0))))*(1+Inputs_General!$C$22*Parameters!$F$12)</f>
        <v>0.377798148270002</v>
      </c>
      <c r="BL13" s="45" t="n">
        <f aca="false">IF(BH13=0,0,BI13/BH13-1)</f>
        <v>-0.374099538001033</v>
      </c>
      <c r="BM13" s="46" t="n">
        <f aca="false">Parameters!$E$13*IF($N13="V",Parameters!$I$13,IF($N13="F",Parameters!$J$13,Parameters!$K$13))*(1-Parameters!$L$13*$P13)*IF($D13="V1",Parameters!$M$13,IF($D13="V2",Parameters!$N$13,Parameters!$O$13))</f>
        <v>0.299791071428571</v>
      </c>
      <c r="BN13" s="46" t="n">
        <f aca="false">BM13*(1+INDEX(Response_Table!$M$4:$M$21,MATCH($F13&amp;"|mid",Response_Table!$A$4:$A$21,0))*$R13*INDEX(Parameters!$X$13:$AA$13,1,MATCH($E13,Parameters!$X$3:$AA$3,0)))</f>
        <v>0.225153716997222</v>
      </c>
      <c r="BO13" s="46" t="n">
        <f aca="false">MAX(0,MIN(BM13*(1+INDEX(Response_Table!$M$4:$M$21,MATCH($F13&amp;"|low",Response_Table!$A$4:$A$21,0))*$R13*INDEX(Parameters!$X$13:$AA$13,1,MATCH($E13,Parameters!$X$3:$AA$3,0))),BM13*(1+INDEX(Response_Table!$M$4:$M$21,MATCH($F13&amp;"|high",Response_Table!$A$4:$A$21,0))*$R13*INDEX(Parameters!$X$13:$AA$13,1,MATCH($E13,Parameters!$X$3:$AA$3,0))))*(1-Inputs_General!$C$22*Parameters!$F$13))</f>
        <v>0.168046018140419</v>
      </c>
      <c r="BP13" s="46" t="n">
        <f aca="false">MAX(BM13*(1+INDEX(Response_Table!$M$4:$M$21,MATCH($F13&amp;"|low",Response_Table!$A$4:$A$21,0))*$R13*INDEX(Parameters!$X$13:$AA$13,1,MATCH($E13,Parameters!$X$3:$AA$3,0))),BM13*(1+INDEX(Response_Table!$M$4:$M$21,MATCH($F13&amp;"|high",Response_Table!$A$4:$A$21,0))*$R13*INDEX(Parameters!$X$13:$AA$13,1,MATCH($E13,Parameters!$X$3:$AA$3,0))))*(1+Inputs_General!$C$22*Parameters!$F$13)</f>
        <v>0.300046905557081</v>
      </c>
      <c r="BQ13" s="45" t="n">
        <f aca="false">IF(BM13=0,0,BN13/BM13-1)</f>
        <v>-0.248964567475896</v>
      </c>
      <c r="BR13" s="44" t="n">
        <f aca="false">Parameters!$E$14*IF($N13="V",Parameters!$I$14,IF($N13="F",Parameters!$J$14,Parameters!$K$14))*(1-Parameters!$L$14*$P13)*IF($D13="V1",Parameters!$M$14,IF($D13="V2",Parameters!$N$14,Parameters!$O$14))*INDEX(Context!$AC$4:$AC$51,$K13)</f>
        <v>15</v>
      </c>
      <c r="BS13" s="44" t="n">
        <f aca="false">BR13*(1+INDEX(Response_Table!$N$4:$N$21,MATCH($F13&amp;"|mid",Response_Table!$A$4:$A$21,0))*$R13*INDEX(Parameters!$X$14:$AA$14,1,MATCH($E13,Parameters!$X$3:$AA$3,0)))</f>
        <v>21.1216288036533</v>
      </c>
      <c r="BT13" s="44" t="n">
        <f aca="false">MAX(0,MIN(BR13*(1+INDEX(Response_Table!$N$4:$N$21,MATCH($F13&amp;"|low",Response_Table!$A$4:$A$21,0))*$R13*INDEX(Parameters!$X$14:$AA$14,1,MATCH($E13,Parameters!$X$3:$AA$3,0))),BR13*(1+INDEX(Response_Table!$N$4:$N$21,MATCH($F13&amp;"|high",Response_Table!$A$4:$A$21,0))*$R13*INDEX(Parameters!$X$14:$AA$14,1,MATCH($E13,Parameters!$X$3:$AA$3,0))))*(1-Inputs_General!$C$22*Parameters!$F$14))</f>
        <v>10.0663561974651</v>
      </c>
      <c r="BU13" s="44" t="n">
        <f aca="false">MAX(BR13*(1+INDEX(Response_Table!$N$4:$N$21,MATCH($F13&amp;"|low",Response_Table!$A$4:$A$21,0))*$R13*INDEX(Parameters!$X$14:$AA$14,1,MATCH($E13,Parameters!$X$3:$AA$3,0))),BR13*(1+INDEX(Response_Table!$N$4:$N$21,MATCH($F13&amp;"|high",Response_Table!$A$4:$A$21,0))*$R13*INDEX(Parameters!$X$14:$AA$14,1,MATCH($E13,Parameters!$X$3:$AA$3,0))))*(1+Inputs_General!$C$22*Parameters!$F$14)</f>
        <v>32.8447959523649</v>
      </c>
      <c r="BV13" s="45" t="n">
        <f aca="false">IF(BR13=0,0,BS13/BR13-1)</f>
        <v>0.408108586910218</v>
      </c>
      <c r="BW13" s="43" t="n">
        <f aca="false">Parameters!$E$15*IF($N13="V",Parameters!$I$15,IF($N13="F",Parameters!$J$15,Parameters!$K$15))*(1-Parameters!$L$15*$P13)*IF($D13="V1",Parameters!$M$15,IF($D13="V2",Parameters!$N$15,Parameters!$O$15))</f>
        <v>10.3855142857143</v>
      </c>
      <c r="BX13" s="43" t="n">
        <f aca="false">BW13*(1+INDEX(Response_Table!$O$4:$O$21,MATCH($F13&amp;"|mid",Response_Table!$A$4:$A$21,0))*$R13*INDEX(Parameters!$X$15:$AA$15,1,MATCH($E13,Parameters!$X$3:$AA$3,0)))</f>
        <v>9.3259098958446</v>
      </c>
      <c r="BY13" s="43" t="n">
        <f aca="false">MAX(0,MIN(BW13*(1+INDEX(Response_Table!$O$4:$O$21,MATCH($F13&amp;"|low",Response_Table!$A$4:$A$21,0))*$R13*INDEX(Parameters!$X$15:$AA$15,1,MATCH($E13,Parameters!$X$3:$AA$3,0))),BW13*(1+INDEX(Response_Table!$O$4:$O$21,MATCH($F13&amp;"|high",Response_Table!$A$4:$A$21,0))*$R13*INDEX(Parameters!$X$15:$AA$15,1,MATCH($E13,Parameters!$X$3:$AA$3,0))))*(1-Inputs_General!$C$22*Parameters!$F$15))</f>
        <v>7.36408403212423</v>
      </c>
      <c r="BZ13" s="43" t="n">
        <f aca="false">MAX(BW13*(1+INDEX(Response_Table!$O$4:$O$21,MATCH($F13&amp;"|low",Response_Table!$A$4:$A$21,0))*$R13*INDEX(Parameters!$X$15:$AA$15,1,MATCH($E13,Parameters!$X$3:$AA$3,0))),BW13*(1+INDEX(Response_Table!$O$4:$O$21,MATCH($F13&amp;"|high",Response_Table!$A$4:$A$21,0))*$R13*INDEX(Parameters!$X$15:$AA$15,1,MATCH($E13,Parameters!$X$3:$AA$3,0))))*(1+Inputs_General!$C$22*Parameters!$F$15)</f>
        <v>11.4253566720395</v>
      </c>
      <c r="CA13" s="45" t="n">
        <f aca="false">IF(BW13=0,0,BX13/BW13-1)</f>
        <v>-0.102027146727554</v>
      </c>
      <c r="CB13" s="46" t="n">
        <f aca="false">BD13+BI13</f>
        <v>0.95865400761129</v>
      </c>
      <c r="CC13" s="43" t="n">
        <f aca="false">BD13/BI13</f>
        <v>2.40839122160855</v>
      </c>
      <c r="CD13" s="46" t="n">
        <f aca="false">BN13/CB13</f>
        <v>0.234864419498172</v>
      </c>
      <c r="CE13" s="43" t="n">
        <f aca="false">AE13/AO13</f>
        <v>2.44748933146537</v>
      </c>
      <c r="CF13" s="44" t="n">
        <f aca="false">AE13/AJ13</f>
        <v>32.2497750062459</v>
      </c>
      <c r="CG13" s="44" t="n">
        <f aca="false">INDEX(Context!$V$4:$V$51,$K13)</f>
        <v>25.5785714285714</v>
      </c>
      <c r="CH13" s="44" t="n">
        <f aca="false">INDEX(Context!$Y$4:$Y$51,$K13)</f>
        <v>23.620522619794</v>
      </c>
      <c r="CI13" s="44" t="n">
        <f aca="false">INDEX(Context!$Z$4:$Z$51,$K13)</f>
        <v>29.5785714285714</v>
      </c>
      <c r="CJ13" s="43" t="n">
        <f aca="false">INDEX(Context!$AA$4:$AA$51,$K13)</f>
        <v>0.201160714285714</v>
      </c>
      <c r="CK13" s="43" t="n">
        <f aca="false">MAX(0,MIN(1,1-(1-CJ13)*AO13/AN13))</f>
        <v>0.512004107500485</v>
      </c>
      <c r="CL13" s="44" t="n">
        <f aca="false">CH13+CK13*(CI13-CH13)</f>
        <v>26.6710680825764</v>
      </c>
      <c r="CM13" s="44" t="n">
        <f aca="false">CH13+MAX(0,MIN(1,1-(1-CJ13)*AQ13/AN13))*(CI13-CH13)</f>
        <v>25.0817533318671</v>
      </c>
      <c r="CN13" s="44" t="n">
        <f aca="false">CH13+MAX(0,MIN(1,1-(1-CJ13)*AP13/AN13))*(CI13-CH13)</f>
        <v>27.8122912204066</v>
      </c>
      <c r="CO13" s="44" t="n">
        <f aca="false">CL13-CG13</f>
        <v>1.09249665400499</v>
      </c>
      <c r="CP13" s="44" t="n">
        <f aca="false">CL13-(CH13+CJ13*(CI13-CH13))</f>
        <v>1.8520201086596</v>
      </c>
      <c r="CQ13" s="46" t="n">
        <f aca="false">CL13/CG13</f>
        <v>1.04271140227889</v>
      </c>
      <c r="CR13" s="43" t="n">
        <f aca="false">IF(CL13-CH13&lt;=0,"n/a",(CI13-CL13)/(CL13-CH13))</f>
        <v>0.953109331254833</v>
      </c>
      <c r="CS13" s="43" t="n">
        <f aca="false">IF(CI13-CL13&lt;=0,"n/a",(CL13-CH13)/(CI13-CL13))</f>
        <v>1.04919757598368</v>
      </c>
      <c r="CT13" s="43" t="n">
        <f aca="false">Inputs_General!$C$23+Inputs_General!$C$24*$I13</f>
        <v>1.36</v>
      </c>
      <c r="CU13" s="44" t="n">
        <f aca="false">3.29*CT13</f>
        <v>4.4744</v>
      </c>
    </row>
    <row r="14" customFormat="false" ht="15" hidden="false" customHeight="false" outlineLevel="0" collapsed="false">
      <c r="A14" s="9" t="str">
        <f aca="false">B14&amp;"|"&amp;E14&amp;"|"&amp;F14</f>
        <v>D1V1|24/02/2026|Very high</v>
      </c>
      <c r="B14" s="7" t="s">
        <v>340</v>
      </c>
      <c r="C14" s="9" t="s">
        <v>127</v>
      </c>
      <c r="D14" s="9" t="s">
        <v>142</v>
      </c>
      <c r="E14" s="9" t="s">
        <v>160</v>
      </c>
      <c r="F14" s="7" t="s">
        <v>285</v>
      </c>
      <c r="G14" s="9" t="s">
        <v>286</v>
      </c>
      <c r="H14" s="41" t="n">
        <f aca="false">INDEX(Severity_Classes!$C$4:$C$9,MATCH(F14,Severity_Classes!$A$4:$A$9,0))</f>
        <v>0.51</v>
      </c>
      <c r="I14" s="41" t="n">
        <f aca="false">INDEX(Severity_Classes!$D$4:$D$9,MATCH(F14,Severity_Classes!$A$4:$A$9,0))</f>
        <v>0.65</v>
      </c>
      <c r="J14" s="41" t="n">
        <f aca="false">INDEX(Severity_Classes!$E$4:$E$9,MATCH(F14,Severity_Classes!$A$4:$A$9,0))</f>
        <v>0.85</v>
      </c>
      <c r="K14" s="42" t="n">
        <f aca="false">MATCH(B14&amp;"|"&amp;E14,Context!$A$4:$A$51,0)</f>
        <v>2</v>
      </c>
      <c r="L14" s="42" t="n">
        <f aca="false">INDEX(Context!$H$4:$H$51,K14)</f>
        <v>77</v>
      </c>
      <c r="M14" s="42" t="n">
        <f aca="false">INDEX(Context!$I$4:$I$51,K14)</f>
        <v>19</v>
      </c>
      <c r="N14" s="9" t="str">
        <f aca="false">INDEX(Context!$L$4:$L$51,K14)</f>
        <v>F</v>
      </c>
      <c r="O14" s="9" t="str">
        <f aca="false">INDEX(Context!$M$4:$M$51,K14)</f>
        <v>5th fully expanded leaf from top</v>
      </c>
      <c r="P14" s="43" t="n">
        <f aca="false">INDEX(Context!$R$4:$R$51,K14)</f>
        <v>0.0232142857142859</v>
      </c>
      <c r="Q14" s="43" t="n">
        <f aca="false">INDEX(Context!$U$4:$U$51,K14)</f>
        <v>1.19492600027053</v>
      </c>
      <c r="R14" s="43" t="n">
        <f aca="false">INDEX(Context!$AD$4:$AD$51,K14)</f>
        <v>1</v>
      </c>
      <c r="S14" s="9" t="str">
        <f aca="false">INDEX(Context!$AI$4:$AN$51,K14,MATCH(F14,Severity_Classes!$A$4:$A$9,0))</f>
        <v>Possible</v>
      </c>
      <c r="T14" s="44" t="n">
        <f aca="false">Parameters!$E$4*IF($N14="V",Parameters!$I$4,IF($N14="F",Parameters!$J$4,Parameters!$K$4))*(1-Parameters!$L$4*$P14)*IF($D14="V1",Parameters!$M$4,IF($D14="V2",Parameters!$N$4,Parameters!$O$4))</f>
        <v>85.0411767857143</v>
      </c>
      <c r="U14" s="44" t="n">
        <f aca="false">MIN(100,T14*(1+INDEX(Response_Table!$E$4:$E$21,MATCH($F14&amp;"|mid",Response_Table!$A$4:$A$21,0))*$R14*INDEX(Parameters!$X$4:$AA$4,1,MATCH($E14,Parameters!$X$3:$AA$3,0))))</f>
        <v>61.5688719096161</v>
      </c>
      <c r="V14" s="44" t="n">
        <f aca="false">MAX(0,MIN(T14*(1+INDEX(Response_Table!$E$4:$E$21,MATCH($F14&amp;"|low",Response_Table!$A$4:$A$21,0))*$R14*INDEX(Parameters!$X$4:$AA$4,1,MATCH($E14,Parameters!$X$3:$AA$3,0))),T14*(1+INDEX(Response_Table!$E$4:$E$21,MATCH($F14&amp;"|high",Response_Table!$A$4:$A$21,0))*$R14*INDEX(Parameters!$X$4:$AA$4,1,MATCH($E14,Parameters!$X$3:$AA$3,0))))*(1-Inputs_General!$C$22*Parameters!$F$4))</f>
        <v>55.9953894761681</v>
      </c>
      <c r="W14" s="44" t="n">
        <f aca="false">MIN(100,MAX(T14*(1+INDEX(Response_Table!$E$4:$E$21,MATCH($F14&amp;"|low",Response_Table!$A$4:$A$21,0))*$R14*INDEX(Parameters!$X$4:$AA$4,1,MATCH($E14,Parameters!$X$3:$AA$3,0))),T14*(1+INDEX(Response_Table!$E$4:$E$21,MATCH($F14&amp;"|high",Response_Table!$A$4:$A$21,0))*$R14*INDEX(Parameters!$X$4:$AA$4,1,MATCH($E14,Parameters!$X$3:$AA$3,0))))*(1+Inputs_General!$C$22*Parameters!$F$4))</f>
        <v>69.4250574373315</v>
      </c>
      <c r="X14" s="45" t="n">
        <f aca="false">IF(T14=0,0,U14/T14-1)</f>
        <v>-0.276011054447699</v>
      </c>
      <c r="Y14" s="44" t="n">
        <f aca="false">Parameters!$E$5*IF($N14="V",Parameters!$I$5,IF($N14="F",Parameters!$J$5,Parameters!$K$5))*(1-Parameters!$L$5*$P14)*IF($D14="V1",Parameters!$M$5,IF($D14="V2",Parameters!$N$5,Parameters!$O$5))</f>
        <v>70.36344</v>
      </c>
      <c r="Z14" s="44" t="n">
        <f aca="false">MIN(100,Y14*(1+INDEX(Response_Table!$F$4:$F$21,MATCH($F14&amp;"|mid",Response_Table!$A$4:$A$21,0))*$R14*INDEX(Parameters!$X$5:$AA$5,1,MATCH($E14,Parameters!$X$3:$AA$3,0))))</f>
        <v>22.3696585339028</v>
      </c>
      <c r="AA14" s="44" t="n">
        <f aca="false">MAX(0,MIN(Y14*(1+INDEX(Response_Table!$F$4:$F$21,MATCH($F14&amp;"|low",Response_Table!$A$4:$A$21,0))*$R14*INDEX(Parameters!$X$5:$AA$5,1,MATCH($E14,Parameters!$X$3:$AA$3,0))),Y14*(1+INDEX(Response_Table!$F$4:$F$21,MATCH($F14&amp;"|high",Response_Table!$A$4:$A$21,0))*$R14*INDEX(Parameters!$X$5:$AA$5,1,MATCH($E14,Parameters!$X$3:$AA$3,0))))*(1-Inputs_General!$C$22*Parameters!$F$5))</f>
        <v>18.8325052230305</v>
      </c>
      <c r="AB14" s="44" t="n">
        <f aca="false">MIN(100,MAX(Y14*(1+INDEX(Response_Table!$F$4:$F$21,MATCH($F14&amp;"|low",Response_Table!$A$4:$A$21,0))*$R14*INDEX(Parameters!$X$5:$AA$5,1,MATCH($E14,Parameters!$X$3:$AA$3,0))),Y14*(1+INDEX(Response_Table!$F$4:$F$21,MATCH($F14&amp;"|high",Response_Table!$A$4:$A$21,0))*$R14*INDEX(Parameters!$X$5:$AA$5,1,MATCH($E14,Parameters!$X$3:$AA$3,0))))*(1+Inputs_General!$C$22*Parameters!$F$5))</f>
        <v>28.8491174873968</v>
      </c>
      <c r="AC14" s="45" t="n">
        <f aca="false">IF(Y14=0,0,Z14/Y14-1)</f>
        <v>-0.682084069029274</v>
      </c>
      <c r="AD14" s="44" t="n">
        <f aca="false">Parameters!$E$6*IF($N14="V",Parameters!$I$6,IF($N14="F",Parameters!$J$6,Parameters!$K$6))*(1-Parameters!$L$6*$P14)*IF($D14="V1",Parameters!$M$6,IF($D14="V2",Parameters!$N$6,Parameters!$O$6))</f>
        <v>18.9470714285714</v>
      </c>
      <c r="AE14" s="44" t="n">
        <f aca="false">AD14*(1+INDEX(Response_Table!$G$4:$G$21,MATCH($F14&amp;"|mid",Response_Table!$A$4:$A$21,0))*$R14*INDEX(Parameters!$X$6:$AA$6,1,MATCH($E14,Parameters!$X$3:$AA$3,0)))</f>
        <v>5.55057432567452</v>
      </c>
      <c r="AF14" s="44" t="n">
        <f aca="false">MAX(0,MIN(AD14*(1+INDEX(Response_Table!$G$4:$G$21,MATCH($F14&amp;"|low",Response_Table!$A$4:$A$21,0))*$R14*INDEX(Parameters!$X$6:$AA$6,1,MATCH($E14,Parameters!$X$3:$AA$3,0))),AD14*(1+INDEX(Response_Table!$G$4:$G$21,MATCH($F14&amp;"|high",Response_Table!$A$4:$A$21,0))*$R14*INDEX(Parameters!$X$6:$AA$6,1,MATCH($E14,Parameters!$X$3:$AA$3,0))))*(1-Inputs_General!$C$22*Parameters!$F$6))</f>
        <v>4.07264993323621</v>
      </c>
      <c r="AG14" s="44" t="n">
        <f aca="false">MAX(AD14*(1+INDEX(Response_Table!$G$4:$G$21,MATCH($F14&amp;"|low",Response_Table!$A$4:$A$21,0))*$R14*INDEX(Parameters!$X$6:$AA$6,1,MATCH($E14,Parameters!$X$3:$AA$3,0))),AD14*(1+INDEX(Response_Table!$G$4:$G$21,MATCH($F14&amp;"|high",Response_Table!$A$4:$A$21,0))*$R14*INDEX(Parameters!$X$6:$AA$6,1,MATCH($E14,Parameters!$X$3:$AA$3,0))))*(1+Inputs_General!$C$22*Parameters!$F$6)</f>
        <v>7.47601045879349</v>
      </c>
      <c r="AH14" s="45" t="n">
        <f aca="false">IF(AD14=0,0,AE14/AD14-1)</f>
        <v>-0.707048429800899</v>
      </c>
      <c r="AI14" s="46" t="n">
        <f aca="false">Parameters!$E$7*IF($N14="V",Parameters!$I$7,IF($N14="F",Parameters!$J$7,Parameters!$K$7))*(1-Parameters!$L$7*$P14)*IF($D14="V1",Parameters!$M$7,IF($D14="V2",Parameters!$N$7,Parameters!$O$7))*POWER($Q14/Inputs_General!$C$26,-Inputs_General!$C$25)</f>
        <v>0.411663164578586</v>
      </c>
      <c r="AJ14" s="46" t="n">
        <f aca="false">AI14*(1+INDEX(Response_Table!$H$4:$H$21,MATCH($F14&amp;"|mid",Response_Table!$A$4:$A$21,0))*$R14*INDEX(Parameters!$X$7:$AA$7,1,MATCH($E14,Parameters!$X$3:$AA$3,0)))</f>
        <v>0.182151954057915</v>
      </c>
      <c r="AK14" s="46" t="n">
        <f aca="false">MAX(0,MIN(AI14*(1+INDEX(Response_Table!$H$4:$H$21,MATCH($F14&amp;"|low",Response_Table!$A$4:$A$21,0))*$R14*INDEX(Parameters!$X$7:$AA$7,1,MATCH($E14,Parameters!$X$3:$AA$3,0))),AI14*(1+INDEX(Response_Table!$H$4:$H$21,MATCH($F14&amp;"|high",Response_Table!$A$4:$A$21,0))*$R14*INDEX(Parameters!$X$7:$AA$7,1,MATCH($E14,Parameters!$X$3:$AA$3,0))))*(1-Inputs_General!$C$22*Parameters!$F$7))</f>
        <v>0.116126101226137</v>
      </c>
      <c r="AL14" s="46" t="n">
        <f aca="false">MAX(AI14*(1+INDEX(Response_Table!$H$4:$H$21,MATCH($F14&amp;"|low",Response_Table!$A$4:$A$21,0))*$R14*INDEX(Parameters!$X$7:$AA$7,1,MATCH($E14,Parameters!$X$3:$AA$3,0))),AI14*(1+INDEX(Response_Table!$H$4:$H$21,MATCH($F14&amp;"|high",Response_Table!$A$4:$A$21,0))*$R14*INDEX(Parameters!$X$7:$AA$7,1,MATCH($E14,Parameters!$X$3:$AA$3,0))))*(1+Inputs_General!$C$22*Parameters!$F$7)</f>
        <v>0.261841945930416</v>
      </c>
      <c r="AM14" s="45" t="n">
        <f aca="false">IF(AI14=0,0,AJ14/AI14-1)</f>
        <v>-0.557521853468766</v>
      </c>
      <c r="AN14" s="43" t="n">
        <f aca="false">AI14*$Q14/Inputs_General!$C$13*1000</f>
        <v>4.95374641196979</v>
      </c>
      <c r="AO14" s="43" t="n">
        <f aca="false">AJ14*$Q14/Inputs_General!$C$13*1000*(1+Inputs_General!$C$21*$I14)</f>
        <v>2.54811226700169</v>
      </c>
      <c r="AP14" s="43" t="n">
        <f aca="false">AK14*$Q14/Inputs_General!$C$13*1000*(1+Inputs_General!$C$21*$H14)</f>
        <v>1.57557165274387</v>
      </c>
      <c r="AQ14" s="43" t="n">
        <f aca="false">AL14*$Q14/Inputs_General!$C$13*1000*(1+Inputs_General!$C$21*$J14)</f>
        <v>3.82043424822601</v>
      </c>
      <c r="AR14" s="45" t="n">
        <f aca="false">IF(AN14=0,0,AO14/AN14-1)</f>
        <v>-0.485619154657441</v>
      </c>
      <c r="AS14" s="42" t="n">
        <f aca="false">Parameters!$E$9*IF($N14="V",Parameters!$I$9,IF($N14="F",Parameters!$J$9,Parameters!$K$9))*(1-Parameters!$L$9*$P14)*IF($D14="V1",Parameters!$M$9,IF($D14="V2",Parameters!$N$9,Parameters!$O$9))</f>
        <v>285</v>
      </c>
      <c r="AT14" s="42" t="n">
        <f aca="false">AS14*(1+INDEX(Response_Table!$I$4:$I$21,MATCH($F14&amp;"|mid",Response_Table!$A$4:$A$21,0))*$R14*INDEX(Parameters!$X$9:$AA$9,1,MATCH($E14,Parameters!$X$3:$AA$3,0)))</f>
        <v>364.149609062674</v>
      </c>
      <c r="AU14" s="42" t="n">
        <f aca="false">MAX(0,MIN(AS14*(1+INDEX(Response_Table!$I$4:$I$21,MATCH($F14&amp;"|low",Response_Table!$A$4:$A$21,0))*$R14*INDEX(Parameters!$X$9:$AA$9,1,MATCH($E14,Parameters!$X$3:$AA$3,0))),AS14*(1+INDEX(Response_Table!$I$4:$I$21,MATCH($F14&amp;"|high",Response_Table!$A$4:$A$21,0))*$R14*INDEX(Parameters!$X$9:$AA$9,1,MATCH($E14,Parameters!$X$3:$AA$3,0))))*(1-Inputs_General!$C$22*Parameters!$F$9))</f>
        <v>323.911488006691</v>
      </c>
      <c r="AV14" s="42" t="n">
        <f aca="false">MAX(AS14*(1+INDEX(Response_Table!$I$4:$I$21,MATCH($F14&amp;"|low",Response_Table!$A$4:$A$21,0))*$R14*INDEX(Parameters!$X$9:$AA$9,1,MATCH($E14,Parameters!$X$3:$AA$3,0))),AS14*(1+INDEX(Response_Table!$I$4:$I$21,MATCH($F14&amp;"|high",Response_Table!$A$4:$A$21,0))*$R14*INDEX(Parameters!$X$9:$AA$9,1,MATCH($E14,Parameters!$X$3:$AA$3,0))))*(1+Inputs_General!$C$22*Parameters!$F$9)</f>
        <v>403.933303399187</v>
      </c>
      <c r="AW14" s="45" t="n">
        <f aca="false">IF(AS14=0,0,AT14/AS14-1)</f>
        <v>0.2777179265357</v>
      </c>
      <c r="AX14" s="43" t="n">
        <f aca="false">INDEX(Context!$AB$4:$AB$51,$K14)</f>
        <v>3.08698491176579</v>
      </c>
      <c r="AY14" s="43" t="n">
        <f aca="false">AX14*(1+INDEX(Response_Table!$J$4:$J$21,MATCH($F14&amp;"|mid",Response_Table!$A$4:$A$21,0))*$R14*INDEX(Parameters!$X$10:$AA$10,1,MATCH($E14,Parameters!$X$3:$AA$3,0)))</f>
        <v>1.97138021810883</v>
      </c>
      <c r="AZ14" s="43" t="n">
        <f aca="false">MAX(0,MIN(AX14*(1+INDEX(Response_Table!$J$4:$J$21,MATCH($F14&amp;"|low",Response_Table!$A$4:$A$21,0))*$R14*INDEX(Parameters!$X$10:$AA$10,1,MATCH($E14,Parameters!$X$3:$AA$3,0))),AX14*(1+INDEX(Response_Table!$J$4:$J$21,MATCH($F14&amp;"|high",Response_Table!$A$4:$A$21,0))*$R14*INDEX(Parameters!$X$10:$AA$10,1,MATCH($E14,Parameters!$X$3:$AA$3,0))))*(1-Inputs_General!$C$22*Parameters!$F$10))</f>
        <v>1.49584671185529</v>
      </c>
      <c r="BA14" s="43" t="n">
        <f aca="false">MAX(AX14*(1+INDEX(Response_Table!$J$4:$J$21,MATCH($F14&amp;"|low",Response_Table!$A$4:$A$21,0))*$R14*INDEX(Parameters!$X$10:$AA$10,1,MATCH($E14,Parameters!$X$3:$AA$3,0))),AX14*(1+INDEX(Response_Table!$J$4:$J$21,MATCH($F14&amp;"|high",Response_Table!$A$4:$A$21,0))*$R14*INDEX(Parameters!$X$10:$AA$10,1,MATCH($E14,Parameters!$X$3:$AA$3,0))))*(1+Inputs_General!$C$22*Parameters!$F$10)</f>
        <v>2.49778997099873</v>
      </c>
      <c r="BB14" s="45" t="n">
        <f aca="false">IF(AX14=0,0,AY14/AX14-1)</f>
        <v>-0.361389746158113</v>
      </c>
      <c r="BC14" s="46" t="n">
        <f aca="false">Parameters!$E$11*IF($N14="V",Parameters!$I$11,IF($N14="F",Parameters!$J$11,Parameters!$K$11))*(1-Parameters!$L$11*$P14)*IF($D14="V1",Parameters!$M$11,IF($D14="V2",Parameters!$N$11,Parameters!$O$11))</f>
        <v>1.24825892857143</v>
      </c>
      <c r="BD14" s="46" t="n">
        <f aca="false">BC14*(1+INDEX(Response_Table!$K$4:$K$21,MATCH($F14&amp;"|mid",Response_Table!$A$4:$A$21,0))*$R14*INDEX(Parameters!$X$11:$AA$11,1,MATCH($E14,Parameters!$X$3:$AA$3,0)))</f>
        <v>0.538255039336382</v>
      </c>
      <c r="BE14" s="46" t="n">
        <f aca="false">MAX(0,MIN(BC14*(1+INDEX(Response_Table!$K$4:$K$21,MATCH($F14&amp;"|low",Response_Table!$A$4:$A$21,0))*$R14*INDEX(Parameters!$X$11:$AA$11,1,MATCH($E14,Parameters!$X$3:$AA$3,0))),BC14*(1+INDEX(Response_Table!$K$4:$K$21,MATCH($F14&amp;"|high",Response_Table!$A$4:$A$21,0))*$R14*INDEX(Parameters!$X$11:$AA$11,1,MATCH($E14,Parameters!$X$3:$AA$3,0))))*(1-Inputs_General!$C$22*Parameters!$F$11))</f>
        <v>0.409678495800231</v>
      </c>
      <c r="BF14" s="46" t="n">
        <f aca="false">MAX(BC14*(1+INDEX(Response_Table!$K$4:$K$21,MATCH($F14&amp;"|low",Response_Table!$A$4:$A$21,0))*$R14*INDEX(Parameters!$X$11:$AA$11,1,MATCH($E14,Parameters!$X$3:$AA$3,0))),BC14*(1+INDEX(Response_Table!$K$4:$K$21,MATCH($F14&amp;"|high",Response_Table!$A$4:$A$21,0))*$R14*INDEX(Parameters!$X$11:$AA$11,1,MATCH($E14,Parameters!$X$3:$AA$3,0))))*(1+Inputs_General!$C$22*Parameters!$F$11)</f>
        <v>0.69351104251805</v>
      </c>
      <c r="BG14" s="45" t="n">
        <f aca="false">IF(BC14=0,0,BD14/BC14-1)</f>
        <v>-0.568795362070921</v>
      </c>
      <c r="BH14" s="46" t="n">
        <f aca="false">Parameters!$E$12*IF($N14="V",Parameters!$I$12,IF($N14="F",Parameters!$J$12,Parameters!$K$12))*(1-Parameters!$L$12*$P14)*IF($D14="V1",Parameters!$M$12,IF($D14="V2",Parameters!$N$12,Parameters!$O$12))</f>
        <v>0.449373214285714</v>
      </c>
      <c r="BI14" s="46" t="n">
        <f aca="false">BH14*(1+INDEX(Response_Table!$L$4:$L$21,MATCH($F14&amp;"|mid",Response_Table!$A$4:$A$21,0))*$R14*INDEX(Parameters!$X$12:$AA$12,1,MATCH($E14,Parameters!$X$3:$AA$3,0)))</f>
        <v>0.237381732700662</v>
      </c>
      <c r="BJ14" s="46" t="n">
        <f aca="false">MAX(0,MIN(BH14*(1+INDEX(Response_Table!$L$4:$L$21,MATCH($F14&amp;"|low",Response_Table!$A$4:$A$21,0))*$R14*INDEX(Parameters!$X$12:$AA$12,1,MATCH($E14,Parameters!$X$3:$AA$3,0))),BH14*(1+INDEX(Response_Table!$L$4:$L$21,MATCH($F14&amp;"|high",Response_Table!$A$4:$A$21,0))*$R14*INDEX(Parameters!$X$12:$AA$12,1,MATCH($E14,Parameters!$X$3:$AA$3,0))))*(1-Inputs_General!$C$22*Parameters!$F$12))</f>
        <v>0.177788935430965</v>
      </c>
      <c r="BK14" s="46" t="n">
        <f aca="false">MAX(BH14*(1+INDEX(Response_Table!$L$4:$L$21,MATCH($F14&amp;"|low",Response_Table!$A$4:$A$21,0))*$R14*INDEX(Parameters!$X$12:$AA$12,1,MATCH($E14,Parameters!$X$3:$AA$3,0))),BH14*(1+INDEX(Response_Table!$L$4:$L$21,MATCH($F14&amp;"|high",Response_Table!$A$4:$A$21,0))*$R14*INDEX(Parameters!$X$12:$AA$12,1,MATCH($E14,Parameters!$X$3:$AA$3,0))))*(1+Inputs_General!$C$22*Parameters!$F$12)</f>
        <v>0.306218139460681</v>
      </c>
      <c r="BL14" s="45" t="n">
        <f aca="false">IF(BH14=0,0,BI14/BH14-1)</f>
        <v>-0.471749260627418</v>
      </c>
      <c r="BM14" s="46" t="n">
        <f aca="false">Parameters!$E$13*IF($N14="V",Parameters!$I$13,IF($N14="F",Parameters!$J$13,Parameters!$K$13))*(1-Parameters!$L$13*$P14)*IF($D14="V1",Parameters!$M$13,IF($D14="V2",Parameters!$N$13,Parameters!$O$13))</f>
        <v>0.299791071428571</v>
      </c>
      <c r="BN14" s="46" t="n">
        <f aca="false">BM14*(1+INDEX(Response_Table!$M$4:$M$21,MATCH($F14&amp;"|mid",Response_Table!$A$4:$A$21,0))*$R14*INDEX(Parameters!$X$13:$AA$13,1,MATCH($E14,Parameters!$X$3:$AA$3,0)))</f>
        <v>0.197732006832457</v>
      </c>
      <c r="BO14" s="46" t="n">
        <f aca="false">MAX(0,MIN(BM14*(1+INDEX(Response_Table!$M$4:$M$21,MATCH($F14&amp;"|low",Response_Table!$A$4:$A$21,0))*$R14*INDEX(Parameters!$X$13:$AA$13,1,MATCH($E14,Parameters!$X$3:$AA$3,0))),BM14*(1+INDEX(Response_Table!$M$4:$M$21,MATCH($F14&amp;"|high",Response_Table!$A$4:$A$21,0))*$R14*INDEX(Parameters!$X$13:$AA$13,1,MATCH($E14,Parameters!$X$3:$AA$3,0))))*(1-Inputs_General!$C$22*Parameters!$F$13))</f>
        <v>0.151995469563501</v>
      </c>
      <c r="BP14" s="46" t="n">
        <f aca="false">MAX(BM14*(1+INDEX(Response_Table!$M$4:$M$21,MATCH($F14&amp;"|low",Response_Table!$A$4:$A$21,0))*$R14*INDEX(Parameters!$X$13:$AA$13,1,MATCH($E14,Parameters!$X$3:$AA$3,0))),BM14*(1+INDEX(Response_Table!$M$4:$M$21,MATCH($F14&amp;"|high",Response_Table!$A$4:$A$21,0))*$R14*INDEX(Parameters!$X$13:$AA$13,1,MATCH($E14,Parameters!$X$3:$AA$3,0))))*(1+Inputs_General!$C$22*Parameters!$F$13)</f>
        <v>0.249507842069955</v>
      </c>
      <c r="BQ14" s="45" t="n">
        <f aca="false">IF(BM14=0,0,BN14/BM14-1)</f>
        <v>-0.340433969930393</v>
      </c>
      <c r="BR14" s="44" t="n">
        <f aca="false">Parameters!$E$14*IF($N14="V",Parameters!$I$14,IF($N14="F",Parameters!$J$14,Parameters!$K$14))*(1-Parameters!$L$14*$P14)*IF($D14="V1",Parameters!$M$14,IF($D14="V2",Parameters!$N$14,Parameters!$O$14))*INDEX(Context!$AC$4:$AC$51,$K14)</f>
        <v>15</v>
      </c>
      <c r="BS14" s="44" t="n">
        <f aca="false">BR14*(1+INDEX(Response_Table!$N$4:$N$21,MATCH($F14&amp;"|mid",Response_Table!$A$4:$A$21,0))*$R14*INDEX(Parameters!$X$14:$AA$14,1,MATCH($E14,Parameters!$X$3:$AA$3,0)))</f>
        <v>22.7195333557214</v>
      </c>
      <c r="BT14" s="44" t="n">
        <f aca="false">MAX(0,MIN(BR14*(1+INDEX(Response_Table!$N$4:$N$21,MATCH($F14&amp;"|low",Response_Table!$A$4:$A$21,0))*$R14*INDEX(Parameters!$X$14:$AA$14,1,MATCH($E14,Parameters!$X$3:$AA$3,0))),BR14*(1+INDEX(Response_Table!$N$4:$N$21,MATCH($F14&amp;"|high",Response_Table!$A$4:$A$21,0))*$R14*INDEX(Parameters!$X$14:$AA$14,1,MATCH($E14,Parameters!$X$3:$AA$3,0))))*(1-Inputs_General!$C$22*Parameters!$F$14))</f>
        <v>11.16892216054</v>
      </c>
      <c r="BU14" s="44" t="n">
        <f aca="false">MAX(BR14*(1+INDEX(Response_Table!$N$4:$N$21,MATCH($F14&amp;"|low",Response_Table!$A$4:$A$21,0))*$R14*INDEX(Parameters!$X$14:$AA$14,1,MATCH($E14,Parameters!$X$3:$AA$3,0))),BR14*(1+INDEX(Response_Table!$N$4:$N$21,MATCH($F14&amp;"|high",Response_Table!$A$4:$A$21,0))*$R14*INDEX(Parameters!$X$14:$AA$14,1,MATCH($E14,Parameters!$X$3:$AA$3,0))))*(1+Inputs_General!$C$22*Parameters!$F$14)</f>
        <v>34.7944652864455</v>
      </c>
      <c r="BV14" s="45" t="n">
        <f aca="false">IF(BR14=0,0,BS14/BR14-1)</f>
        <v>0.514635557048092</v>
      </c>
      <c r="BW14" s="43" t="n">
        <f aca="false">Parameters!$E$15*IF($N14="V",Parameters!$I$15,IF($N14="F",Parameters!$J$15,Parameters!$K$15))*(1-Parameters!$L$15*$P14)*IF($D14="V1",Parameters!$M$15,IF($D14="V2",Parameters!$N$15,Parameters!$O$15))</f>
        <v>10.3855142857143</v>
      </c>
      <c r="BX14" s="43" t="n">
        <f aca="false">BW14*(1+INDEX(Response_Table!$O$4:$O$21,MATCH($F14&amp;"|mid",Response_Table!$A$4:$A$21,0))*$R14*INDEX(Parameters!$X$15:$AA$15,1,MATCH($E14,Parameters!$X$3:$AA$3,0)))</f>
        <v>9.04932555329941</v>
      </c>
      <c r="BY14" s="43" t="n">
        <f aca="false">MAX(0,MIN(BW14*(1+INDEX(Response_Table!$O$4:$O$21,MATCH($F14&amp;"|low",Response_Table!$A$4:$A$21,0))*$R14*INDEX(Parameters!$X$15:$AA$15,1,MATCH($E14,Parameters!$X$3:$AA$3,0))),BW14*(1+INDEX(Response_Table!$O$4:$O$21,MATCH($F14&amp;"|high",Response_Table!$A$4:$A$21,0))*$R14*INDEX(Parameters!$X$15:$AA$15,1,MATCH($E14,Parameters!$X$3:$AA$3,0))))*(1-Inputs_General!$C$22*Parameters!$F$15))</f>
        <v>7.18272814990253</v>
      </c>
      <c r="BZ14" s="43" t="n">
        <f aca="false">MAX(BW14*(1+INDEX(Response_Table!$O$4:$O$21,MATCH($F14&amp;"|low",Response_Table!$A$4:$A$21,0))*$R14*INDEX(Parameters!$X$15:$AA$15,1,MATCH($E14,Parameters!$X$3:$AA$3,0))),BW14*(1+INDEX(Response_Table!$O$4:$O$21,MATCH($F14&amp;"|high",Response_Table!$A$4:$A$21,0))*$R14*INDEX(Parameters!$X$15:$AA$15,1,MATCH($E14,Parameters!$X$3:$AA$3,0))))*(1+Inputs_General!$C$22*Parameters!$F$15)</f>
        <v>10.9741857074232</v>
      </c>
      <c r="CA14" s="45" t="n">
        <f aca="false">IF(BW14=0,0,BX14/BW14-1)</f>
        <v>-0.128658889262023</v>
      </c>
      <c r="CB14" s="46" t="n">
        <f aca="false">BD14+BI14</f>
        <v>0.775636772037045</v>
      </c>
      <c r="CC14" s="43" t="n">
        <f aca="false">BD14/BI14</f>
        <v>2.26746613234608</v>
      </c>
      <c r="CD14" s="46" t="n">
        <f aca="false">BN14/CB14</f>
        <v>0.254928613445126</v>
      </c>
      <c r="CE14" s="43" t="n">
        <f aca="false">AE14/AO14</f>
        <v>2.17830838835283</v>
      </c>
      <c r="CF14" s="44" t="n">
        <f aca="false">AE14/AJ14</f>
        <v>30.4722194959803</v>
      </c>
      <c r="CG14" s="44" t="n">
        <f aca="false">INDEX(Context!$V$4:$V$51,$K14)</f>
        <v>25.5785714285714</v>
      </c>
      <c r="CH14" s="44" t="n">
        <f aca="false">INDEX(Context!$Y$4:$Y$51,$K14)</f>
        <v>23.620522619794</v>
      </c>
      <c r="CI14" s="44" t="n">
        <f aca="false">INDEX(Context!$Z$4:$Z$51,$K14)</f>
        <v>29.5785714285714</v>
      </c>
      <c r="CJ14" s="43" t="n">
        <f aca="false">INDEX(Context!$AA$4:$AA$51,$K14)</f>
        <v>0.201160714285714</v>
      </c>
      <c r="CK14" s="43" t="n">
        <f aca="false">MAX(0,MIN(1,1-(1-CJ14)*AO14/AN14))</f>
        <v>0.58909237292144</v>
      </c>
      <c r="CL14" s="44" t="n">
        <f aca="false">CH14+CK14*(CI14-CH14)</f>
        <v>27.1303637305385</v>
      </c>
      <c r="CM14" s="44" t="n">
        <f aca="false">CH14+MAX(0,MIN(1,1-(1-CJ14)*AQ14/AN14))*(CI14-CH14)</f>
        <v>25.9079260423925</v>
      </c>
      <c r="CN14" s="44" t="n">
        <f aca="false">CH14+MAX(0,MIN(1,1-(1-CJ14)*AP14/AN14))*(CI14-CH14)</f>
        <v>28.0647736658108</v>
      </c>
      <c r="CO14" s="44" t="n">
        <f aca="false">CL14-CG14</f>
        <v>1.55179230196703</v>
      </c>
      <c r="CP14" s="44" t="n">
        <f aca="false">CL14-(CH14+CJ14*(CI14-CH14))</f>
        <v>2.31131575662164</v>
      </c>
      <c r="CQ14" s="46" t="n">
        <f aca="false">CL14/CG14</f>
        <v>1.0606676688845</v>
      </c>
      <c r="CR14" s="43" t="n">
        <f aca="false">IF(CL14-CH14&lt;=0,"n/a",(CI14-CL14)/(CL14-CH14))</f>
        <v>0.697526646017802</v>
      </c>
      <c r="CS14" s="43" t="n">
        <f aca="false">IF(CI14-CL14&lt;=0,"n/a",(CL14-CH14)/(CI14-CL14))</f>
        <v>1.43363698821977</v>
      </c>
      <c r="CT14" s="43" t="n">
        <f aca="false">Inputs_General!$C$23+Inputs_General!$C$24*$I14</f>
        <v>1.9</v>
      </c>
      <c r="CU14" s="44" t="n">
        <f aca="false">3.29*CT14</f>
        <v>6.251</v>
      </c>
    </row>
    <row r="15" customFormat="false" ht="15" hidden="false" customHeight="false" outlineLevel="0" collapsed="false">
      <c r="A15" s="33" t="str">
        <f aca="false">B15&amp;"|"&amp;E15&amp;"|"&amp;F15</f>
        <v>D1V1|03/03/2026|Healthy</v>
      </c>
      <c r="B15" s="34" t="s">
        <v>340</v>
      </c>
      <c r="C15" s="33" t="s">
        <v>127</v>
      </c>
      <c r="D15" s="33" t="s">
        <v>142</v>
      </c>
      <c r="E15" s="33" t="s">
        <v>162</v>
      </c>
      <c r="F15" s="34" t="s">
        <v>275</v>
      </c>
      <c r="G15" s="33" t="s">
        <v>276</v>
      </c>
      <c r="H15" s="35" t="n">
        <f aca="false">INDEX(Severity_Classes!$C$4:$C$9,MATCH(F15,Severity_Classes!$A$4:$A$9,0))</f>
        <v>0</v>
      </c>
      <c r="I15" s="35" t="n">
        <f aca="false">INDEX(Severity_Classes!$D$4:$D$9,MATCH(F15,Severity_Classes!$A$4:$A$9,0))</f>
        <v>0</v>
      </c>
      <c r="J15" s="35" t="n">
        <f aca="false">INDEX(Severity_Classes!$E$4:$E$9,MATCH(F15,Severity_Classes!$A$4:$A$9,0))</f>
        <v>0</v>
      </c>
      <c r="K15" s="36" t="n">
        <f aca="false">MATCH(B15&amp;"|"&amp;E15,Context!$A$4:$A$51,0)</f>
        <v>3</v>
      </c>
      <c r="L15" s="36" t="n">
        <f aca="false">INDEX(Context!$H$4:$H$51,K15)</f>
        <v>84</v>
      </c>
      <c r="M15" s="36" t="n">
        <f aca="false">INDEX(Context!$I$4:$I$51,K15)</f>
        <v>26</v>
      </c>
      <c r="N15" s="33" t="str">
        <f aca="false">INDEX(Context!$L$4:$L$51,K15)</f>
        <v>P</v>
      </c>
      <c r="O15" s="33" t="str">
        <f aca="false">INDEX(Context!$M$4:$M$51,K15)</f>
        <v>5th fully expanded leaf from top</v>
      </c>
      <c r="P15" s="37" t="n">
        <f aca="false">INDEX(Context!$R$4:$R$51,K15)</f>
        <v>0.433928571428571</v>
      </c>
      <c r="Q15" s="37" t="n">
        <f aca="false">INDEX(Context!$U$4:$U$51,K15)</f>
        <v>1.73951545534029</v>
      </c>
      <c r="R15" s="37" t="n">
        <f aca="false">INDEX(Context!$AD$4:$AD$51,K15)</f>
        <v>1</v>
      </c>
      <c r="S15" s="33" t="str">
        <f aca="false">INDEX(Context!$AI$4:$AN$51,K15,MATCH(F15,Severity_Classes!$A$4:$A$9,0))</f>
        <v>Reference: healthy (uninoculated) control plot</v>
      </c>
      <c r="T15" s="38" t="n">
        <f aca="false">Parameters!$E$4*IF($N15="V",Parameters!$I$4,IF($N15="F",Parameters!$J$4,Parameters!$K$4))*(1-Parameters!$L$4*$P15)*IF($D15="V1",Parameters!$M$4,IF($D15="V2",Parameters!$N$4,Parameters!$O$4))</f>
        <v>79.9274017857143</v>
      </c>
      <c r="U15" s="38" t="n">
        <f aca="false">MIN(100,T15*(1+INDEX(Response_Table!$E$4:$E$21,MATCH($F15&amp;"|mid",Response_Table!$A$4:$A$21,0))*$R15*INDEX(Parameters!$X$4:$AA$4,1,MATCH($E15,Parameters!$X$3:$AA$3,0))))</f>
        <v>79.9274017857143</v>
      </c>
      <c r="V15" s="38" t="n">
        <f aca="false">MAX(0,MIN(T15*(1+INDEX(Response_Table!$E$4:$E$21,MATCH($F15&amp;"|low",Response_Table!$A$4:$A$21,0))*$R15*INDEX(Parameters!$X$4:$AA$4,1,MATCH($E15,Parameters!$X$3:$AA$3,0))),T15*(1+INDEX(Response_Table!$E$4:$E$21,MATCH($F15&amp;"|high",Response_Table!$A$4:$A$21,0))*$R15*INDEX(Parameters!$X$4:$AA$4,1,MATCH($E15,Parameters!$X$3:$AA$3,0))))*(1-Inputs_General!$C$22*Parameters!$F$4))</f>
        <v>74.6681787482143</v>
      </c>
      <c r="W15" s="38" t="n">
        <f aca="false">MIN(100,MAX(T15*(1+INDEX(Response_Table!$E$4:$E$21,MATCH($F15&amp;"|low",Response_Table!$A$4:$A$21,0))*$R15*INDEX(Parameters!$X$4:$AA$4,1,MATCH($E15,Parameters!$X$3:$AA$3,0))),T15*(1+INDEX(Response_Table!$E$4:$E$21,MATCH($F15&amp;"|high",Response_Table!$A$4:$A$21,0))*$R15*INDEX(Parameters!$X$4:$AA$4,1,MATCH($E15,Parameters!$X$3:$AA$3,0))))*(1+Inputs_General!$C$22*Parameters!$F$4))</f>
        <v>85.1866248232143</v>
      </c>
      <c r="X15" s="39" t="n">
        <f aca="false">IF(T15=0,0,U15/T15-1)</f>
        <v>0</v>
      </c>
      <c r="Y15" s="38" t="n">
        <f aca="false">Parameters!$E$5*IF($N15="V",Parameters!$I$5,IF($N15="F",Parameters!$J$5,Parameters!$K$5))*(1-Parameters!$L$5*$P15)*IF($D15="V1",Parameters!$M$5,IF($D15="V2",Parameters!$N$5,Parameters!$O$5))</f>
        <v>62.7907885714286</v>
      </c>
      <c r="Z15" s="38" t="n">
        <f aca="false">MIN(100,Y15*(1+INDEX(Response_Table!$F$4:$F$21,MATCH($F15&amp;"|mid",Response_Table!$A$4:$A$21,0))*$R15*INDEX(Parameters!$X$5:$AA$5,1,MATCH($E15,Parameters!$X$3:$AA$3,0))))</f>
        <v>62.7907885714286</v>
      </c>
      <c r="AA15" s="38" t="n">
        <f aca="false">MAX(0,MIN(Y15*(1+INDEX(Response_Table!$F$4:$F$21,MATCH($F15&amp;"|low",Response_Table!$A$4:$A$21,0))*$R15*INDEX(Parameters!$X$5:$AA$5,1,MATCH($E15,Parameters!$X$3:$AA$3,0))),Y15*(1+INDEX(Response_Table!$F$4:$F$21,MATCH($F15&amp;"|high",Response_Table!$A$4:$A$21,0))*$R15*INDEX(Parameters!$X$5:$AA$5,1,MATCH($E15,Parameters!$X$3:$AA$3,0))))*(1-Inputs_General!$C$22*Parameters!$F$5))</f>
        <v>55.5604292674286</v>
      </c>
      <c r="AB15" s="38" t="n">
        <f aca="false">MIN(100,MAX(Y15*(1+INDEX(Response_Table!$F$4:$F$21,MATCH($F15&amp;"|low",Response_Table!$A$4:$A$21,0))*$R15*INDEX(Parameters!$X$5:$AA$5,1,MATCH($E15,Parameters!$X$3:$AA$3,0))),Y15*(1+INDEX(Response_Table!$F$4:$F$21,MATCH($F15&amp;"|high",Response_Table!$A$4:$A$21,0))*$R15*INDEX(Parameters!$X$5:$AA$5,1,MATCH($E15,Parameters!$X$3:$AA$3,0))))*(1+Inputs_General!$C$22*Parameters!$F$5))</f>
        <v>70.0211478754286</v>
      </c>
      <c r="AC15" s="39" t="n">
        <f aca="false">IF(Y15=0,0,Z15/Y15-1)</f>
        <v>0</v>
      </c>
      <c r="AD15" s="38" t="n">
        <f aca="false">Parameters!$E$6*IF($N15="V",Parameters!$I$6,IF($N15="F",Parameters!$J$6,Parameters!$K$6))*(1-Parameters!$L$6*$P15)*IF($D15="V1",Parameters!$M$6,IF($D15="V2",Parameters!$N$6,Parameters!$O$6))</f>
        <v>15.3090464285714</v>
      </c>
      <c r="AE15" s="38" t="n">
        <f aca="false">AD15*(1+INDEX(Response_Table!$G$4:$G$21,MATCH($F15&amp;"|mid",Response_Table!$A$4:$A$21,0))*$R15*INDEX(Parameters!$X$6:$AA$6,1,MATCH($E15,Parameters!$X$3:$AA$3,0)))</f>
        <v>15.3090464285714</v>
      </c>
      <c r="AF15" s="38" t="n">
        <f aca="false">MAX(0,MIN(AD15*(1+INDEX(Response_Table!$G$4:$G$21,MATCH($F15&amp;"|low",Response_Table!$A$4:$A$21,0))*$R15*INDEX(Parameters!$X$6:$AA$6,1,MATCH($E15,Parameters!$X$3:$AA$3,0))),AD15*(1+INDEX(Response_Table!$G$4:$G$21,MATCH($F15&amp;"|high",Response_Table!$A$4:$A$21,0))*$R15*INDEX(Parameters!$X$6:$AA$6,1,MATCH($E15,Parameters!$X$3:$AA$3,0))))*(1-Inputs_General!$C$22*Parameters!$F$6))</f>
        <v>12.2870406635714</v>
      </c>
      <c r="AG15" s="38" t="n">
        <f aca="false">MAX(AD15*(1+INDEX(Response_Table!$G$4:$G$21,MATCH($F15&amp;"|low",Response_Table!$A$4:$A$21,0))*$R15*INDEX(Parameters!$X$6:$AA$6,1,MATCH($E15,Parameters!$X$3:$AA$3,0))),AD15*(1+INDEX(Response_Table!$G$4:$G$21,MATCH($F15&amp;"|high",Response_Table!$A$4:$A$21,0))*$R15*INDEX(Parameters!$X$6:$AA$6,1,MATCH($E15,Parameters!$X$3:$AA$3,0))))*(1+Inputs_General!$C$22*Parameters!$F$6)</f>
        <v>18.3310521935714</v>
      </c>
      <c r="AH15" s="39" t="n">
        <f aca="false">IF(AD15=0,0,AE15/AD15-1)</f>
        <v>0</v>
      </c>
      <c r="AI15" s="40" t="n">
        <f aca="false">Parameters!$E$7*IF($N15="V",Parameters!$I$7,IF($N15="F",Parameters!$J$7,Parameters!$K$7))*(1-Parameters!$L$7*$P15)*IF($D15="V1",Parameters!$M$7,IF($D15="V2",Parameters!$N$7,Parameters!$O$7))*POWER($Q15/Inputs_General!$C$26,-Inputs_General!$C$25)</f>
        <v>0.290012884996263</v>
      </c>
      <c r="AJ15" s="40" t="n">
        <f aca="false">AI15*(1+INDEX(Response_Table!$H$4:$H$21,MATCH($F15&amp;"|mid",Response_Table!$A$4:$A$21,0))*$R15*INDEX(Parameters!$X$7:$AA$7,1,MATCH($E15,Parameters!$X$3:$AA$3,0)))</f>
        <v>0.290012884996263</v>
      </c>
      <c r="AK15" s="40" t="n">
        <f aca="false">MAX(0,MIN(AI15*(1+INDEX(Response_Table!$H$4:$H$21,MATCH($F15&amp;"|low",Response_Table!$A$4:$A$21,0))*$R15*INDEX(Parameters!$X$7:$AA$7,1,MATCH($E15,Parameters!$X$3:$AA$3,0))),AI15*(1+INDEX(Response_Table!$H$4:$H$21,MATCH($F15&amp;"|high",Response_Table!$A$4:$A$21,0))*$R15*INDEX(Parameters!$X$7:$AA$7,1,MATCH($E15,Parameters!$X$3:$AA$3,0))))*(1-Inputs_General!$C$22*Parameters!$F$7))</f>
        <v>0.204140069748869</v>
      </c>
      <c r="AL15" s="40" t="n">
        <f aca="false">MAX(AI15*(1+INDEX(Response_Table!$H$4:$H$21,MATCH($F15&amp;"|low",Response_Table!$A$4:$A$21,0))*$R15*INDEX(Parameters!$X$7:$AA$7,1,MATCH($E15,Parameters!$X$3:$AA$3,0))),AI15*(1+INDEX(Response_Table!$H$4:$H$21,MATCH($F15&amp;"|high",Response_Table!$A$4:$A$21,0))*$R15*INDEX(Parameters!$X$7:$AA$7,1,MATCH($E15,Parameters!$X$3:$AA$3,0))))*(1+Inputs_General!$C$22*Parameters!$F$7)</f>
        <v>0.375885700243656</v>
      </c>
      <c r="AM15" s="39" t="n">
        <f aca="false">IF(AI15=0,0,AJ15/AI15-1)</f>
        <v>0</v>
      </c>
      <c r="AN15" s="37" t="n">
        <f aca="false">AI15*$Q15/Inputs_General!$C$13*1000</f>
        <v>5.08038162838696</v>
      </c>
      <c r="AO15" s="37" t="n">
        <f aca="false">AJ15*$Q15/Inputs_General!$C$13*1000*(1+Inputs_General!$C$21*$I15)</f>
        <v>5.08038162838696</v>
      </c>
      <c r="AP15" s="37" t="n">
        <f aca="false">AK15*$Q15/Inputs_General!$C$13*1000*(1+Inputs_General!$C$21*$H15)</f>
        <v>3.57608062822158</v>
      </c>
      <c r="AQ15" s="37" t="n">
        <f aca="false">AL15*$Q15/Inputs_General!$C$13*1000*(1+Inputs_General!$C$21*$J15)</f>
        <v>6.58468262855234</v>
      </c>
      <c r="AR15" s="39" t="n">
        <f aca="false">IF(AN15=0,0,AO15/AN15-1)</f>
        <v>0</v>
      </c>
      <c r="AS15" s="36" t="n">
        <f aca="false">Parameters!$E$9*IF($N15="V",Parameters!$I$9,IF($N15="F",Parameters!$J$9,Parameters!$K$9))*(1-Parameters!$L$9*$P15)*IF($D15="V1",Parameters!$M$9,IF($D15="V2",Parameters!$N$9,Parameters!$O$9))</f>
        <v>293.55</v>
      </c>
      <c r="AT15" s="36" t="n">
        <f aca="false">AS15*(1+INDEX(Response_Table!$I$4:$I$21,MATCH($F15&amp;"|mid",Response_Table!$A$4:$A$21,0))*$R15*INDEX(Parameters!$X$9:$AA$9,1,MATCH($E15,Parameters!$X$3:$AA$3,0)))</f>
        <v>293.55</v>
      </c>
      <c r="AU15" s="36" t="n">
        <f aca="false">MAX(0,MIN(AS15*(1+INDEX(Response_Table!$I$4:$I$21,MATCH($F15&amp;"|low",Response_Table!$A$4:$A$21,0))*$R15*INDEX(Parameters!$X$9:$AA$9,1,MATCH($E15,Parameters!$X$3:$AA$3,0))),AS15*(1+INDEX(Response_Table!$I$4:$I$21,MATCH($F15&amp;"|high",Response_Table!$A$4:$A$21,0))*$R15*INDEX(Parameters!$X$9:$AA$9,1,MATCH($E15,Parameters!$X$3:$AA$3,0))))*(1-Inputs_General!$C$22*Parameters!$F$9))</f>
        <v>264.576615</v>
      </c>
      <c r="AV15" s="36" t="n">
        <f aca="false">MAX(AS15*(1+INDEX(Response_Table!$I$4:$I$21,MATCH($F15&amp;"|low",Response_Table!$A$4:$A$21,0))*$R15*INDEX(Parameters!$X$9:$AA$9,1,MATCH($E15,Parameters!$X$3:$AA$3,0))),AS15*(1+INDEX(Response_Table!$I$4:$I$21,MATCH($F15&amp;"|high",Response_Table!$A$4:$A$21,0))*$R15*INDEX(Parameters!$X$9:$AA$9,1,MATCH($E15,Parameters!$X$3:$AA$3,0))))*(1+Inputs_General!$C$22*Parameters!$F$9)</f>
        <v>322.523385</v>
      </c>
      <c r="AW15" s="39" t="n">
        <f aca="false">IF(AS15=0,0,AT15/AS15-1)</f>
        <v>0</v>
      </c>
      <c r="AX15" s="37" t="n">
        <f aca="false">INDEX(Context!$AB$4:$AB$51,$K15)</f>
        <v>3.1826078679718</v>
      </c>
      <c r="AY15" s="37" t="n">
        <f aca="false">AX15*(1+INDEX(Response_Table!$J$4:$J$21,MATCH($F15&amp;"|mid",Response_Table!$A$4:$A$21,0))*$R15*INDEX(Parameters!$X$10:$AA$10,1,MATCH($E15,Parameters!$X$3:$AA$3,0)))</f>
        <v>3.1826078679718</v>
      </c>
      <c r="AZ15" s="37" t="n">
        <f aca="false">MAX(0,MIN(AX15*(1+INDEX(Response_Table!$J$4:$J$21,MATCH($F15&amp;"|low",Response_Table!$A$4:$A$21,0))*$R15*INDEX(Parameters!$X$10:$AA$10,1,MATCH($E15,Parameters!$X$3:$AA$3,0))),AX15*(1+INDEX(Response_Table!$J$4:$J$21,MATCH($F15&amp;"|high",Response_Table!$A$4:$A$21,0))*$R15*INDEX(Parameters!$X$10:$AA$10,1,MATCH($E15,Parameters!$X$3:$AA$3,0))))*(1-Inputs_General!$C$22*Parameters!$F$10))</f>
        <v>2.55436107483417</v>
      </c>
      <c r="BA15" s="37" t="n">
        <f aca="false">MAX(AX15*(1+INDEX(Response_Table!$J$4:$J$21,MATCH($F15&amp;"|low",Response_Table!$A$4:$A$21,0))*$R15*INDEX(Parameters!$X$10:$AA$10,1,MATCH($E15,Parameters!$X$3:$AA$3,0))),AX15*(1+INDEX(Response_Table!$J$4:$J$21,MATCH($F15&amp;"|high",Response_Table!$A$4:$A$21,0))*$R15*INDEX(Parameters!$X$10:$AA$10,1,MATCH($E15,Parameters!$X$3:$AA$3,0))))*(1+Inputs_General!$C$22*Parameters!$F$10)</f>
        <v>3.81085466110944</v>
      </c>
      <c r="BB15" s="39" t="n">
        <f aca="false">IF(AX15=0,0,AY15/AX15-1)</f>
        <v>0</v>
      </c>
      <c r="BC15" s="40" t="n">
        <f aca="false">Parameters!$E$11*IF($N15="V",Parameters!$I$11,IF($N15="F",Parameters!$J$11,Parameters!$K$11))*(1-Parameters!$L$11*$P15)*IF($D15="V1",Parameters!$M$11,IF($D15="V2",Parameters!$N$11,Parameters!$O$11))</f>
        <v>1.03483705357143</v>
      </c>
      <c r="BD15" s="40" t="n">
        <f aca="false">BC15*(1+INDEX(Response_Table!$K$4:$K$21,MATCH($F15&amp;"|mid",Response_Table!$A$4:$A$21,0))*$R15*INDEX(Parameters!$X$11:$AA$11,1,MATCH($E15,Parameters!$X$3:$AA$3,0)))</f>
        <v>1.03483705357143</v>
      </c>
      <c r="BE15" s="40" t="n">
        <f aca="false">MAX(0,MIN(BC15*(1+INDEX(Response_Table!$K$4:$K$21,MATCH($F15&amp;"|low",Response_Table!$A$4:$A$21,0))*$R15*INDEX(Parameters!$X$11:$AA$11,1,MATCH($E15,Parameters!$X$3:$AA$3,0))),BC15*(1+INDEX(Response_Table!$K$4:$K$21,MATCH($F15&amp;"|high",Response_Table!$A$4:$A$21,0))*$R15*INDEX(Parameters!$X$11:$AA$11,1,MATCH($E15,Parameters!$X$3:$AA$3,0))))*(1-Inputs_General!$C$22*Parameters!$F$11))</f>
        <v>0.864606358258929</v>
      </c>
      <c r="BF15" s="40" t="n">
        <f aca="false">MAX(BC15*(1+INDEX(Response_Table!$K$4:$K$21,MATCH($F15&amp;"|low",Response_Table!$A$4:$A$21,0))*$R15*INDEX(Parameters!$X$11:$AA$11,1,MATCH($E15,Parameters!$X$3:$AA$3,0))),BC15*(1+INDEX(Response_Table!$K$4:$K$21,MATCH($F15&amp;"|high",Response_Table!$A$4:$A$21,0))*$R15*INDEX(Parameters!$X$11:$AA$11,1,MATCH($E15,Parameters!$X$3:$AA$3,0))))*(1+Inputs_General!$C$22*Parameters!$F$11)</f>
        <v>1.20506774888393</v>
      </c>
      <c r="BG15" s="39" t="n">
        <f aca="false">IF(BC15=0,0,BD15/BC15-1)</f>
        <v>0</v>
      </c>
      <c r="BH15" s="40" t="n">
        <f aca="false">Parameters!$E$12*IF($N15="V",Parameters!$I$12,IF($N15="F",Parameters!$J$12,Parameters!$K$12))*(1-Parameters!$L$12*$P15)*IF($D15="V1",Parameters!$M$12,IF($D15="V2",Parameters!$N$12,Parameters!$O$12))</f>
        <v>0.385689857142857</v>
      </c>
      <c r="BI15" s="40" t="n">
        <f aca="false">BH15*(1+INDEX(Response_Table!$L$4:$L$21,MATCH($F15&amp;"|mid",Response_Table!$A$4:$A$21,0))*$R15*INDEX(Parameters!$X$12:$AA$12,1,MATCH($E15,Parameters!$X$3:$AA$3,0)))</f>
        <v>0.385689857142857</v>
      </c>
      <c r="BJ15" s="40" t="n">
        <f aca="false">MAX(0,MIN(BH15*(1+INDEX(Response_Table!$L$4:$L$21,MATCH($F15&amp;"|low",Response_Table!$A$4:$A$21,0))*$R15*INDEX(Parameters!$X$12:$AA$12,1,MATCH($E15,Parameters!$X$3:$AA$3,0))),BH15*(1+INDEX(Response_Table!$L$4:$L$21,MATCH($F15&amp;"|high",Response_Table!$A$4:$A$21,0))*$R15*INDEX(Parameters!$X$12:$AA$12,1,MATCH($E15,Parameters!$X$3:$AA$3,0))))*(1-Inputs_General!$C$22*Parameters!$F$12))</f>
        <v>0.309554679342857</v>
      </c>
      <c r="BK15" s="40" t="n">
        <f aca="false">MAX(BH15*(1+INDEX(Response_Table!$L$4:$L$21,MATCH($F15&amp;"|low",Response_Table!$A$4:$A$21,0))*$R15*INDEX(Parameters!$X$12:$AA$12,1,MATCH($E15,Parameters!$X$3:$AA$3,0))),BH15*(1+INDEX(Response_Table!$L$4:$L$21,MATCH($F15&amp;"|high",Response_Table!$A$4:$A$21,0))*$R15*INDEX(Parameters!$X$12:$AA$12,1,MATCH($E15,Parameters!$X$3:$AA$3,0))))*(1+Inputs_General!$C$22*Parameters!$F$12)</f>
        <v>0.461825034942857</v>
      </c>
      <c r="BL15" s="39" t="n">
        <f aca="false">IF(BH15=0,0,BI15/BH15-1)</f>
        <v>0</v>
      </c>
      <c r="BM15" s="40" t="n">
        <f aca="false">Parameters!$E$13*IF($N15="V",Parameters!$I$13,IF($N15="F",Parameters!$J$13,Parameters!$K$13))*(1-Parameters!$L$13*$P15)*IF($D15="V1",Parameters!$M$13,IF($D15="V2",Parameters!$N$13,Parameters!$O$13))</f>
        <v>0.266485178571429</v>
      </c>
      <c r="BN15" s="40" t="n">
        <f aca="false">BM15*(1+INDEX(Response_Table!$M$4:$M$21,MATCH($F15&amp;"|mid",Response_Table!$A$4:$A$21,0))*$R15*INDEX(Parameters!$X$13:$AA$13,1,MATCH($E15,Parameters!$X$3:$AA$3,0)))</f>
        <v>0.266485178571429</v>
      </c>
      <c r="BO15" s="40" t="n">
        <f aca="false">MAX(0,MIN(BM15*(1+INDEX(Response_Table!$M$4:$M$21,MATCH($F15&amp;"|low",Response_Table!$A$4:$A$21,0))*$R15*INDEX(Parameters!$X$13:$AA$13,1,MATCH($E15,Parameters!$X$3:$AA$3,0))),BM15*(1+INDEX(Response_Table!$M$4:$M$21,MATCH($F15&amp;"|high",Response_Table!$A$4:$A$21,0))*$R15*INDEX(Parameters!$X$13:$AA$13,1,MATCH($E15,Parameters!$X$3:$AA$3,0))))*(1-Inputs_General!$C$22*Parameters!$F$13))</f>
        <v>0.213881004321429</v>
      </c>
      <c r="BP15" s="40" t="n">
        <f aca="false">MAX(BM15*(1+INDEX(Response_Table!$M$4:$M$21,MATCH($F15&amp;"|low",Response_Table!$A$4:$A$21,0))*$R15*INDEX(Parameters!$X$13:$AA$13,1,MATCH($E15,Parameters!$X$3:$AA$3,0))),BM15*(1+INDEX(Response_Table!$M$4:$M$21,MATCH($F15&amp;"|high",Response_Table!$A$4:$A$21,0))*$R15*INDEX(Parameters!$X$13:$AA$13,1,MATCH($E15,Parameters!$X$3:$AA$3,0))))*(1+Inputs_General!$C$22*Parameters!$F$13)</f>
        <v>0.319089352821429</v>
      </c>
      <c r="BQ15" s="39" t="n">
        <f aca="false">IF(BM15=0,0,BN15/BM15-1)</f>
        <v>0</v>
      </c>
      <c r="BR15" s="38" t="n">
        <f aca="false">Parameters!$E$14*IF($N15="V",Parameters!$I$14,IF($N15="F",Parameters!$J$14,Parameters!$K$14))*(1-Parameters!$L$14*$P15)*IF($D15="V1",Parameters!$M$14,IF($D15="V2",Parameters!$N$14,Parameters!$O$14))*INDEX(Context!$AC$4:$AC$51,$K15)</f>
        <v>17.25</v>
      </c>
      <c r="BS15" s="38" t="n">
        <f aca="false">BR15*(1+INDEX(Response_Table!$N$4:$N$21,MATCH($F15&amp;"|mid",Response_Table!$A$4:$A$21,0))*$R15*INDEX(Parameters!$X$14:$AA$14,1,MATCH($E15,Parameters!$X$3:$AA$3,0)))</f>
        <v>17.25</v>
      </c>
      <c r="BT15" s="38" t="n">
        <f aca="false">MAX(0,MIN(BR15*(1+INDEX(Response_Table!$N$4:$N$21,MATCH($F15&amp;"|low",Response_Table!$A$4:$A$21,0))*$R15*INDEX(Parameters!$X$14:$AA$14,1,MATCH($E15,Parameters!$X$3:$AA$3,0))),BR15*(1+INDEX(Response_Table!$N$4:$N$21,MATCH($F15&amp;"|high",Response_Table!$A$4:$A$21,0))*$R15*INDEX(Parameters!$X$14:$AA$14,1,MATCH($E15,Parameters!$X$3:$AA$3,0))))*(1-Inputs_General!$C$22*Parameters!$F$14))</f>
        <v>8.737125</v>
      </c>
      <c r="BU15" s="38" t="n">
        <f aca="false">MAX(BR15*(1+INDEX(Response_Table!$N$4:$N$21,MATCH($F15&amp;"|low",Response_Table!$A$4:$A$21,0))*$R15*INDEX(Parameters!$X$14:$AA$14,1,MATCH($E15,Parameters!$X$3:$AA$3,0))),BR15*(1+INDEX(Response_Table!$N$4:$N$21,MATCH($F15&amp;"|high",Response_Table!$A$4:$A$21,0))*$R15*INDEX(Parameters!$X$14:$AA$14,1,MATCH($E15,Parameters!$X$3:$AA$3,0))))*(1+Inputs_General!$C$22*Parameters!$F$14)</f>
        <v>25.762875</v>
      </c>
      <c r="BV15" s="39" t="n">
        <f aca="false">IF(BR15=0,0,BS15/BR15-1)</f>
        <v>0</v>
      </c>
      <c r="BW15" s="37" t="n">
        <f aca="false">Parameters!$E$15*IF($N15="V",Parameters!$I$15,IF($N15="F",Parameters!$J$15,Parameters!$K$15))*(1-Parameters!$L$15*$P15)*IF($D15="V1",Parameters!$M$15,IF($D15="V2",Parameters!$N$15,Parameters!$O$15))</f>
        <v>8.30596742857143</v>
      </c>
      <c r="BX15" s="37" t="n">
        <f aca="false">BW15*(1+INDEX(Response_Table!$O$4:$O$21,MATCH($F15&amp;"|mid",Response_Table!$A$4:$A$21,0))*$R15*INDEX(Parameters!$X$15:$AA$15,1,MATCH($E15,Parameters!$X$3:$AA$3,0)))</f>
        <v>8.30596742857143</v>
      </c>
      <c r="BY15" s="37" t="n">
        <f aca="false">MAX(0,MIN(BW15*(1+INDEX(Response_Table!$O$4:$O$21,MATCH($F15&amp;"|low",Response_Table!$A$4:$A$21,0))*$R15*INDEX(Parameters!$X$15:$AA$15,1,MATCH($E15,Parameters!$X$3:$AA$3,0))),BW15*(1+INDEX(Response_Table!$O$4:$O$21,MATCH($F15&amp;"|high",Response_Table!$A$4:$A$21,0))*$R15*INDEX(Parameters!$X$15:$AA$15,1,MATCH($E15,Parameters!$X$3:$AA$3,0))))*(1-Inputs_General!$C$22*Parameters!$F$15))</f>
        <v>6.66636945817143</v>
      </c>
      <c r="BZ15" s="37" t="n">
        <f aca="false">MAX(BW15*(1+INDEX(Response_Table!$O$4:$O$21,MATCH($F15&amp;"|low",Response_Table!$A$4:$A$21,0))*$R15*INDEX(Parameters!$X$15:$AA$15,1,MATCH($E15,Parameters!$X$3:$AA$3,0))),BW15*(1+INDEX(Response_Table!$O$4:$O$21,MATCH($F15&amp;"|high",Response_Table!$A$4:$A$21,0))*$R15*INDEX(Parameters!$X$15:$AA$15,1,MATCH($E15,Parameters!$X$3:$AA$3,0))))*(1+Inputs_General!$C$22*Parameters!$F$15)</f>
        <v>9.94556539897143</v>
      </c>
      <c r="CA15" s="39" t="n">
        <f aca="false">IF(BW15=0,0,BX15/BW15-1)</f>
        <v>0</v>
      </c>
      <c r="CB15" s="40" t="n">
        <f aca="false">BD15+BI15</f>
        <v>1.42052691071429</v>
      </c>
      <c r="CC15" s="37" t="n">
        <f aca="false">BD15/BI15</f>
        <v>2.68308080808081</v>
      </c>
      <c r="CD15" s="40" t="n">
        <f aca="false">BN15/CB15</f>
        <v>0.187596008608828</v>
      </c>
      <c r="CE15" s="37" t="n">
        <f aca="false">AE15/AO15</f>
        <v>3.01336544149186</v>
      </c>
      <c r="CF15" s="38" t="n">
        <f aca="false">AE15/AJ15</f>
        <v>52.7874698697222</v>
      </c>
      <c r="CG15" s="38" t="n">
        <f aca="false">INDEX(Context!$V$4:$V$51,$K15)</f>
        <v>28.62</v>
      </c>
      <c r="CH15" s="38" t="n">
        <f aca="false">INDEX(Context!$Y$4:$Y$51,$K15)</f>
        <v>25.3060134606718</v>
      </c>
      <c r="CI15" s="38" t="n">
        <f aca="false">INDEX(Context!$Z$4:$Z$51,$K15)</f>
        <v>32.62</v>
      </c>
      <c r="CJ15" s="37" t="n">
        <f aca="false">INDEX(Context!$AA$4:$AA$51,$K15)</f>
        <v>0.321696428571429</v>
      </c>
      <c r="CK15" s="37" t="n">
        <f aca="false">MAX(0,MIN(1,1-(1-CJ15)*AO15/AN15))</f>
        <v>0.321696428571429</v>
      </c>
      <c r="CL15" s="38" t="n">
        <f aca="false">CH15+CK15*(CI15-CH15)</f>
        <v>27.6588968089932</v>
      </c>
      <c r="CM15" s="38" t="n">
        <f aca="false">CH15+MAX(0,MIN(1,1-(1-CJ15)*AQ15/AN15))*(CI15-CH15)</f>
        <v>26.189914154136</v>
      </c>
      <c r="CN15" s="38" t="n">
        <f aca="false">CH15+MAX(0,MIN(1,1-(1-CJ15)*AP15/AN15))*(CI15-CH15)</f>
        <v>29.1278794638503</v>
      </c>
      <c r="CO15" s="38" t="n">
        <f aca="false">CL15-CG15</f>
        <v>-0.961103191006838</v>
      </c>
      <c r="CP15" s="38" t="n">
        <f aca="false">CL15-(CH15+CJ15*(CI15-CH15))</f>
        <v>0</v>
      </c>
      <c r="CQ15" s="40" t="n">
        <f aca="false">CL15/CG15</f>
        <v>0.966418476904024</v>
      </c>
      <c r="CR15" s="37" t="n">
        <f aca="false">IF(CL15-CH15&lt;=0,"n/a",(CI15-CL15)/(CL15-CH15))</f>
        <v>2.10852067721343</v>
      </c>
      <c r="CS15" s="37" t="n">
        <f aca="false">IF(CI15-CL15&lt;=0,"n/a",(CL15-CH15)/(CI15-CL15))</f>
        <v>0.474266157693827</v>
      </c>
      <c r="CT15" s="37" t="n">
        <f aca="false">Inputs_General!$C$23+Inputs_General!$C$24*$I15</f>
        <v>0.6</v>
      </c>
      <c r="CU15" s="38" t="n">
        <f aca="false">3.29*CT15</f>
        <v>1.974</v>
      </c>
    </row>
    <row r="16" customFormat="false" ht="15" hidden="false" customHeight="false" outlineLevel="0" collapsed="false">
      <c r="A16" s="9" t="str">
        <f aca="false">B16&amp;"|"&amp;E16&amp;"|"&amp;F16</f>
        <v>D1V1|03/03/2026|Very low</v>
      </c>
      <c r="B16" s="7" t="s">
        <v>340</v>
      </c>
      <c r="C16" s="9" t="s">
        <v>127</v>
      </c>
      <c r="D16" s="9" t="s">
        <v>142</v>
      </c>
      <c r="E16" s="9" t="s">
        <v>162</v>
      </c>
      <c r="F16" s="7" t="s">
        <v>277</v>
      </c>
      <c r="G16" s="9" t="s">
        <v>278</v>
      </c>
      <c r="H16" s="41" t="n">
        <f aca="false">INDEX(Severity_Classes!$C$4:$C$9,MATCH(F16,Severity_Classes!$A$4:$A$9,0))</f>
        <v>0.01</v>
      </c>
      <c r="I16" s="41" t="n">
        <f aca="false">INDEX(Severity_Classes!$D$4:$D$9,MATCH(F16,Severity_Classes!$A$4:$A$9,0))</f>
        <v>0.03</v>
      </c>
      <c r="J16" s="41" t="n">
        <f aca="false">INDEX(Severity_Classes!$E$4:$E$9,MATCH(F16,Severity_Classes!$A$4:$A$9,0))</f>
        <v>0.05</v>
      </c>
      <c r="K16" s="42" t="n">
        <f aca="false">MATCH(B16&amp;"|"&amp;E16,Context!$A$4:$A$51,0)</f>
        <v>3</v>
      </c>
      <c r="L16" s="42" t="n">
        <f aca="false">INDEX(Context!$H$4:$H$51,K16)</f>
        <v>84</v>
      </c>
      <c r="M16" s="42" t="n">
        <f aca="false">INDEX(Context!$I$4:$I$51,K16)</f>
        <v>26</v>
      </c>
      <c r="N16" s="9" t="str">
        <f aca="false">INDEX(Context!$L$4:$L$51,K16)</f>
        <v>P</v>
      </c>
      <c r="O16" s="9" t="str">
        <f aca="false">INDEX(Context!$M$4:$M$51,K16)</f>
        <v>5th fully expanded leaf from top</v>
      </c>
      <c r="P16" s="43" t="n">
        <f aca="false">INDEX(Context!$R$4:$R$51,K16)</f>
        <v>0.433928571428571</v>
      </c>
      <c r="Q16" s="43" t="n">
        <f aca="false">INDEX(Context!$U$4:$U$51,K16)</f>
        <v>1.73951545534029</v>
      </c>
      <c r="R16" s="43" t="n">
        <f aca="false">INDEX(Context!$AD$4:$AD$51,K16)</f>
        <v>1</v>
      </c>
      <c r="S16" s="9" t="str">
        <f aca="false">INDEX(Context!$AI$4:$AN$51,K16,MATCH(F16,Severity_Classes!$A$4:$A$9,0))</f>
        <v>Possible</v>
      </c>
      <c r="T16" s="44" t="n">
        <f aca="false">Parameters!$E$4*IF($N16="V",Parameters!$I$4,IF($N16="F",Parameters!$J$4,Parameters!$K$4))*(1-Parameters!$L$4*$P16)*IF($D16="V1",Parameters!$M$4,IF($D16="V2",Parameters!$N$4,Parameters!$O$4))</f>
        <v>79.9274017857143</v>
      </c>
      <c r="U16" s="44" t="n">
        <f aca="false">MIN(100,T16*(1+INDEX(Response_Table!$E$4:$E$21,MATCH($F16&amp;"|mid",Response_Table!$A$4:$A$21,0))*$R16*INDEX(Parameters!$X$4:$AA$4,1,MATCH($E16,Parameters!$X$3:$AA$3,0))))</f>
        <v>79.5828076771541</v>
      </c>
      <c r="V16" s="44" t="n">
        <f aca="false">MAX(0,MIN(T16*(1+INDEX(Response_Table!$E$4:$E$21,MATCH($F16&amp;"|low",Response_Table!$A$4:$A$21,0))*$R16*INDEX(Parameters!$X$4:$AA$4,1,MATCH($E16,Parameters!$X$3:$AA$3,0))),T16*(1+INDEX(Response_Table!$E$4:$E$21,MATCH($F16&amp;"|high",Response_Table!$A$4:$A$21,0))*$R16*INDEX(Parameters!$X$4:$AA$4,1,MATCH($E16,Parameters!$X$3:$AA$3,0))))*(1-Inputs_General!$C$22*Parameters!$F$4))</f>
        <v>74.0891407844534</v>
      </c>
      <c r="W16" s="44" t="n">
        <f aca="false">MIN(100,MAX(T16*(1+INDEX(Response_Table!$E$4:$E$21,MATCH($F16&amp;"|low",Response_Table!$A$4:$A$21,0))*$R16*INDEX(Parameters!$X$4:$AA$4,1,MATCH($E16,Parameters!$X$3:$AA$3,0))),T16*(1+INDEX(Response_Table!$E$4:$E$21,MATCH($F16&amp;"|high",Response_Table!$A$4:$A$21,0))*$R16*INDEX(Parameters!$X$4:$AA$4,1,MATCH($E16,Parameters!$X$3:$AA$3,0))))*(1+Inputs_General!$C$22*Parameters!$F$4))</f>
        <v>85.0731185793193</v>
      </c>
      <c r="X16" s="45" t="n">
        <f aca="false">IF(T16=0,0,U16/T16-1)</f>
        <v>-0.00431133880072854</v>
      </c>
      <c r="Y16" s="44" t="n">
        <f aca="false">Parameters!$E$5*IF($N16="V",Parameters!$I$5,IF($N16="F",Parameters!$J$5,Parameters!$K$5))*(1-Parameters!$L$5*$P16)*IF($D16="V1",Parameters!$M$5,IF($D16="V2",Parameters!$N$5,Parameters!$O$5))</f>
        <v>62.7907885714286</v>
      </c>
      <c r="Z16" s="44" t="n">
        <f aca="false">MIN(100,Y16*(1+INDEX(Response_Table!$F$4:$F$21,MATCH($F16&amp;"|mid",Response_Table!$A$4:$A$21,0))*$R16*INDEX(Parameters!$X$5:$AA$5,1,MATCH($E16,Parameters!$X$3:$AA$3,0))))</f>
        <v>61.9266152330089</v>
      </c>
      <c r="AA16" s="44" t="n">
        <f aca="false">MAX(0,MIN(Y16*(1+INDEX(Response_Table!$F$4:$F$21,MATCH($F16&amp;"|low",Response_Table!$A$4:$A$21,0))*$R16*INDEX(Parameters!$X$5:$AA$5,1,MATCH($E16,Parameters!$X$3:$AA$3,0))),Y16*(1+INDEX(Response_Table!$F$4:$F$21,MATCH($F16&amp;"|high",Response_Table!$A$4:$A$21,0))*$R16*INDEX(Parameters!$X$5:$AA$5,1,MATCH($E16,Parameters!$X$3:$AA$3,0))))*(1-Inputs_General!$C$22*Parameters!$F$5))</f>
        <v>54.1659811727331</v>
      </c>
      <c r="AB16" s="44" t="n">
        <f aca="false">MIN(100,MAX(Y16*(1+INDEX(Response_Table!$F$4:$F$21,MATCH($F16&amp;"|low",Response_Table!$A$4:$A$21,0))*$R16*INDEX(Parameters!$X$5:$AA$5,1,MATCH($E16,Parameters!$X$3:$AA$3,0))),Y16*(1+INDEX(Response_Table!$F$4:$F$21,MATCH($F16&amp;"|high",Response_Table!$A$4:$A$21,0))*$R16*INDEX(Parameters!$X$5:$AA$5,1,MATCH($E16,Parameters!$X$3:$AA$3,0))))*(1+Inputs_General!$C$22*Parameters!$F$5))</f>
        <v>69.7274165116026</v>
      </c>
      <c r="AC16" s="45" t="n">
        <f aca="false">IF(Y16=0,0,Z16/Y16-1)</f>
        <v>-0.0137627406516266</v>
      </c>
      <c r="AD16" s="44" t="n">
        <f aca="false">Parameters!$E$6*IF($N16="V",Parameters!$I$6,IF($N16="F",Parameters!$J$6,Parameters!$K$6))*(1-Parameters!$L$6*$P16)*IF($D16="V1",Parameters!$M$6,IF($D16="V2",Parameters!$N$6,Parameters!$O$6))</f>
        <v>15.3090464285714</v>
      </c>
      <c r="AE16" s="44" t="n">
        <f aca="false">AD16*(1+INDEX(Response_Table!$G$4:$G$21,MATCH($F16&amp;"|mid",Response_Table!$A$4:$A$21,0))*$R16*INDEX(Parameters!$X$6:$AA$6,1,MATCH($E16,Parameters!$X$3:$AA$3,0)))</f>
        <v>13.8892203428408</v>
      </c>
      <c r="AF16" s="44" t="n">
        <f aca="false">MAX(0,MIN(AD16*(1+INDEX(Response_Table!$G$4:$G$21,MATCH($F16&amp;"|low",Response_Table!$A$4:$A$21,0))*$R16*INDEX(Parameters!$X$6:$AA$6,1,MATCH($E16,Parameters!$X$3:$AA$3,0))),AD16*(1+INDEX(Response_Table!$G$4:$G$21,MATCH($F16&amp;"|high",Response_Table!$A$4:$A$21,0))*$R16*INDEX(Parameters!$X$6:$AA$6,1,MATCH($E16,Parameters!$X$3:$AA$3,0))))*(1-Inputs_General!$C$22*Parameters!$F$6))</f>
        <v>10.4671959937769</v>
      </c>
      <c r="AG16" s="44" t="n">
        <f aca="false">MAX(AD16*(1+INDEX(Response_Table!$G$4:$G$21,MATCH($F16&amp;"|low",Response_Table!$A$4:$A$21,0))*$R16*INDEX(Parameters!$X$6:$AA$6,1,MATCH($E16,Parameters!$X$3:$AA$3,0))),AD16*(1+INDEX(Response_Table!$G$4:$G$21,MATCH($F16&amp;"|high",Response_Table!$A$4:$A$21,0))*$R16*INDEX(Parameters!$X$6:$AA$6,1,MATCH($E16,Parameters!$X$3:$AA$3,0))))*(1+Inputs_General!$C$22*Parameters!$F$6)</f>
        <v>17.7392427543552</v>
      </c>
      <c r="AH16" s="45" t="n">
        <f aca="false">IF(AD16=0,0,AE16/AD16-1)</f>
        <v>-0.0927442536904701</v>
      </c>
      <c r="AI16" s="46" t="n">
        <f aca="false">Parameters!$E$7*IF($N16="V",Parameters!$I$7,IF($N16="F",Parameters!$J$7,Parameters!$K$7))*(1-Parameters!$L$7*$P16)*IF($D16="V1",Parameters!$M$7,IF($D16="V2",Parameters!$N$7,Parameters!$O$7))*POWER($Q16/Inputs_General!$C$26,-Inputs_General!$C$25)</f>
        <v>0.290012884996263</v>
      </c>
      <c r="AJ16" s="46" t="n">
        <f aca="false">AI16*(1+INDEX(Response_Table!$H$4:$H$21,MATCH($F16&amp;"|mid",Response_Table!$A$4:$A$21,0))*$R16*INDEX(Parameters!$X$7:$AA$7,1,MATCH($E16,Parameters!$X$3:$AA$3,0)))</f>
        <v>0.273788192572258</v>
      </c>
      <c r="AK16" s="46" t="n">
        <f aca="false">MAX(0,MIN(AI16*(1+INDEX(Response_Table!$H$4:$H$21,MATCH($F16&amp;"|low",Response_Table!$A$4:$A$21,0))*$R16*INDEX(Parameters!$X$7:$AA$7,1,MATCH($E16,Parameters!$X$3:$AA$3,0))),AI16*(1+INDEX(Response_Table!$H$4:$H$21,MATCH($F16&amp;"|high",Response_Table!$A$4:$A$21,0))*$R16*INDEX(Parameters!$X$7:$AA$7,1,MATCH($E16,Parameters!$X$3:$AA$3,0))))*(1-Inputs_General!$C$22*Parameters!$F$7))</f>
        <v>0.185657265533637</v>
      </c>
      <c r="AL16" s="46" t="n">
        <f aca="false">MAX(AI16*(1+INDEX(Response_Table!$H$4:$H$21,MATCH($F16&amp;"|low",Response_Table!$A$4:$A$21,0))*$R16*INDEX(Parameters!$X$7:$AA$7,1,MATCH($E16,Parameters!$X$3:$AA$3,0))),AI16*(1+INDEX(Response_Table!$H$4:$H$21,MATCH($F16&amp;"|high",Response_Table!$A$4:$A$21,0))*$R16*INDEX(Parameters!$X$7:$AA$7,1,MATCH($E16,Parameters!$X$3:$AA$3,0))))*(1+Inputs_General!$C$22*Parameters!$F$7)</f>
        <v>0.368664784387316</v>
      </c>
      <c r="AM16" s="45" t="n">
        <f aca="false">IF(AI16=0,0,AJ16/AI16-1)</f>
        <v>-0.0559447295737018</v>
      </c>
      <c r="AN16" s="43" t="n">
        <f aca="false">AI16*$Q16/Inputs_General!$C$13*1000</f>
        <v>5.08038162838696</v>
      </c>
      <c r="AO16" s="43" t="n">
        <f aca="false">AJ16*$Q16/Inputs_General!$C$13*1000*(1+Inputs_General!$C$21*$I16)</f>
        <v>4.83213225994607</v>
      </c>
      <c r="AP16" s="43" t="n">
        <f aca="false">AK16*$Q16/Inputs_General!$C$13*1000*(1+Inputs_General!$C$21*$H16)</f>
        <v>3.26043370593109</v>
      </c>
      <c r="AQ16" s="43" t="n">
        <f aca="false">AL16*$Q16/Inputs_General!$C$13*1000*(1+Inputs_General!$C$21*$J16)</f>
        <v>6.53891557311127</v>
      </c>
      <c r="AR16" s="45" t="n">
        <f aca="false">IF(AN16=0,0,AO16/AN16-1)</f>
        <v>-0.0488643150455045</v>
      </c>
      <c r="AS16" s="42" t="n">
        <f aca="false">Parameters!$E$9*IF($N16="V",Parameters!$I$9,IF($N16="F",Parameters!$J$9,Parameters!$K$9))*(1-Parameters!$L$9*$P16)*IF($D16="V1",Parameters!$M$9,IF($D16="V2",Parameters!$N$9,Parameters!$O$9))</f>
        <v>293.55</v>
      </c>
      <c r="AT16" s="42" t="n">
        <f aca="false">AS16*(1+INDEX(Response_Table!$I$4:$I$21,MATCH($F16&amp;"|mid",Response_Table!$A$4:$A$21,0))*$R16*INDEX(Parameters!$X$9:$AA$9,1,MATCH($E16,Parameters!$X$3:$AA$3,0)))</f>
        <v>303.508351740504</v>
      </c>
      <c r="AU16" s="42" t="n">
        <f aca="false">MAX(0,MIN(AS16*(1+INDEX(Response_Table!$I$4:$I$21,MATCH($F16&amp;"|low",Response_Table!$A$4:$A$21,0))*$R16*INDEX(Parameters!$X$9:$AA$9,1,MATCH($E16,Parameters!$X$3:$AA$3,0))),AS16*(1+INDEX(Response_Table!$I$4:$I$21,MATCH($F16&amp;"|high",Response_Table!$A$4:$A$21,0))*$R16*INDEX(Parameters!$X$9:$AA$9,1,MATCH($E16,Parameters!$X$3:$AA$3,0))))*(1-Inputs_General!$C$22*Parameters!$F$9))</f>
        <v>267.688874238399</v>
      </c>
      <c r="AV16" s="42" t="n">
        <f aca="false">MAX(AS16*(1+INDEX(Response_Table!$I$4:$I$21,MATCH($F16&amp;"|low",Response_Table!$A$4:$A$21,0))*$R16*INDEX(Parameters!$X$9:$AA$9,1,MATCH($E16,Parameters!$X$3:$AA$3,0))),AS16*(1+INDEX(Response_Table!$I$4:$I$21,MATCH($F16&amp;"|high",Response_Table!$A$4:$A$21,0))*$R16*INDEX(Parameters!$X$9:$AA$9,1,MATCH($E16,Parameters!$X$3:$AA$3,0))))*(1+Inputs_General!$C$22*Parameters!$F$9)</f>
        <v>340.062456334107</v>
      </c>
      <c r="AW16" s="45" t="n">
        <f aca="false">IF(AS16=0,0,AT16/AS16-1)</f>
        <v>0.0339238689848527</v>
      </c>
      <c r="AX16" s="43" t="n">
        <f aca="false">INDEX(Context!$AB$4:$AB$51,$K16)</f>
        <v>3.1826078679718</v>
      </c>
      <c r="AY16" s="43" t="n">
        <f aca="false">AX16*(1+INDEX(Response_Table!$J$4:$J$21,MATCH($F16&amp;"|mid",Response_Table!$A$4:$A$21,0))*$R16*INDEX(Parameters!$X$10:$AA$10,1,MATCH($E16,Parameters!$X$3:$AA$3,0)))</f>
        <v>3.07912400095647</v>
      </c>
      <c r="AZ16" s="43" t="n">
        <f aca="false">MAX(0,MIN(AX16*(1+INDEX(Response_Table!$J$4:$J$21,MATCH($F16&amp;"|low",Response_Table!$A$4:$A$21,0))*$R16*INDEX(Parameters!$X$10:$AA$10,1,MATCH($E16,Parameters!$X$3:$AA$3,0))),AX16*(1+INDEX(Response_Table!$J$4:$J$21,MATCH($F16&amp;"|high",Response_Table!$A$4:$A$21,0))*$R16*INDEX(Parameters!$X$10:$AA$10,1,MATCH($E16,Parameters!$X$3:$AA$3,0))))*(1-Inputs_General!$C$22*Parameters!$F$10))</f>
        <v>2.41929567263951</v>
      </c>
      <c r="BA16" s="43" t="n">
        <f aca="false">MAX(AX16*(1+INDEX(Response_Table!$J$4:$J$21,MATCH($F16&amp;"|low",Response_Table!$A$4:$A$21,0))*$R16*INDEX(Parameters!$X$10:$AA$10,1,MATCH($E16,Parameters!$X$3:$AA$3,0))),AX16*(1+INDEX(Response_Table!$J$4:$J$21,MATCH($F16&amp;"|high",Response_Table!$A$4:$A$21,0))*$R16*INDEX(Parameters!$X$10:$AA$10,1,MATCH($E16,Parameters!$X$3:$AA$3,0))))*(1+Inputs_General!$C$22*Parameters!$F$10)</f>
        <v>3.76851400953592</v>
      </c>
      <c r="BB16" s="45" t="n">
        <f aca="false">IF(AX16=0,0,AY16/AX16-1)</f>
        <v>-0.0325154311521512</v>
      </c>
      <c r="BC16" s="46" t="n">
        <f aca="false">Parameters!$E$11*IF($N16="V",Parameters!$I$11,IF($N16="F",Parameters!$J$11,Parameters!$K$11))*(1-Parameters!$L$11*$P16)*IF($D16="V1",Parameters!$M$11,IF($D16="V2",Parameters!$N$11,Parameters!$O$11))</f>
        <v>1.03483705357143</v>
      </c>
      <c r="BD16" s="46" t="n">
        <f aca="false">BC16*(1+INDEX(Response_Table!$K$4:$K$21,MATCH($F16&amp;"|mid",Response_Table!$A$4:$A$21,0))*$R16*INDEX(Parameters!$X$11:$AA$11,1,MATCH($E16,Parameters!$X$3:$AA$3,0)))</f>
        <v>0.973265915431735</v>
      </c>
      <c r="BE16" s="46" t="n">
        <f aca="false">MAX(0,MIN(BC16*(1+INDEX(Response_Table!$K$4:$K$21,MATCH($F16&amp;"|low",Response_Table!$A$4:$A$21,0))*$R16*INDEX(Parameters!$X$11:$AA$11,1,MATCH($E16,Parameters!$X$3:$AA$3,0))),BC16*(1+INDEX(Response_Table!$K$4:$K$21,MATCH($F16&amp;"|high",Response_Table!$A$4:$A$21,0))*$R16*INDEX(Parameters!$X$11:$AA$11,1,MATCH($E16,Parameters!$X$3:$AA$3,0))))*(1-Inputs_General!$C$22*Parameters!$F$11))</f>
        <v>0.781512035149802</v>
      </c>
      <c r="BF16" s="46" t="n">
        <f aca="false">MAX(BC16*(1+INDEX(Response_Table!$K$4:$K$21,MATCH($F16&amp;"|low",Response_Table!$A$4:$A$21,0))*$R16*INDEX(Parameters!$X$11:$AA$11,1,MATCH($E16,Parameters!$X$3:$AA$3,0))),BC16*(1+INDEX(Response_Table!$K$4:$K$21,MATCH($F16&amp;"|high",Response_Table!$A$4:$A$21,0))*$R16*INDEX(Parameters!$X$11:$AA$11,1,MATCH($E16,Parameters!$X$3:$AA$3,0))))*(1+Inputs_General!$C$22*Parameters!$F$11)</f>
        <v>1.18039914242892</v>
      </c>
      <c r="BG16" s="45" t="n">
        <f aca="false">IF(BC16=0,0,BD16/BC16-1)</f>
        <v>-0.0594983895553409</v>
      </c>
      <c r="BH16" s="46" t="n">
        <f aca="false">Parameters!$E$12*IF($N16="V",Parameters!$I$12,IF($N16="F",Parameters!$J$12,Parameters!$K$12))*(1-Parameters!$L$12*$P16)*IF($D16="V1",Parameters!$M$12,IF($D16="V2",Parameters!$N$12,Parameters!$O$12))</f>
        <v>0.385689857142857</v>
      </c>
      <c r="BI16" s="46" t="n">
        <f aca="false">BH16*(1+INDEX(Response_Table!$L$4:$L$21,MATCH($F16&amp;"|mid",Response_Table!$A$4:$A$21,0))*$R16*INDEX(Parameters!$X$12:$AA$12,1,MATCH($E16,Parameters!$X$3:$AA$3,0)))</f>
        <v>0.3674321292714</v>
      </c>
      <c r="BJ16" s="46" t="n">
        <f aca="false">MAX(0,MIN(BH16*(1+INDEX(Response_Table!$L$4:$L$21,MATCH($F16&amp;"|low",Response_Table!$A$4:$A$21,0))*$R16*INDEX(Parameters!$X$12:$AA$12,1,MATCH($E16,Parameters!$X$3:$AA$3,0))),BH16*(1+INDEX(Response_Table!$L$4:$L$21,MATCH($F16&amp;"|high",Response_Table!$A$4:$A$21,0))*$R16*INDEX(Parameters!$X$12:$AA$12,1,MATCH($E16,Parameters!$X$3:$AA$3,0))))*(1-Inputs_General!$C$22*Parameters!$F$12))</f>
        <v>0.28583950561184</v>
      </c>
      <c r="BK16" s="46" t="n">
        <f aca="false">MAX(BH16*(1+INDEX(Response_Table!$L$4:$L$21,MATCH($F16&amp;"|low",Response_Table!$A$4:$A$21,0))*$R16*INDEX(Parameters!$X$12:$AA$12,1,MATCH($E16,Parameters!$X$3:$AA$3,0))),BH16*(1+INDEX(Response_Table!$L$4:$L$21,MATCH($F16&amp;"|high",Response_Table!$A$4:$A$21,0))*$R16*INDEX(Parameters!$X$12:$AA$12,1,MATCH($E16,Parameters!$X$3:$AA$3,0))))*(1+Inputs_General!$C$22*Parameters!$F$12)</f>
        <v>0.454318089066934</v>
      </c>
      <c r="BL16" s="45" t="n">
        <f aca="false">IF(BH16=0,0,BI16/BH16-1)</f>
        <v>-0.0473378481008245</v>
      </c>
      <c r="BM16" s="46" t="n">
        <f aca="false">Parameters!$E$13*IF($N16="V",Parameters!$I$13,IF($N16="F",Parameters!$J$13,Parameters!$K$13))*(1-Parameters!$L$13*$P16)*IF($D16="V1",Parameters!$M$13,IF($D16="V2",Parameters!$N$13,Parameters!$O$13))</f>
        <v>0.266485178571429</v>
      </c>
      <c r="BN16" s="46" t="n">
        <f aca="false">BM16*(1+INDEX(Response_Table!$M$4:$M$21,MATCH($F16&amp;"|mid",Response_Table!$A$4:$A$21,0))*$R16*INDEX(Parameters!$X$13:$AA$13,1,MATCH($E16,Parameters!$X$3:$AA$3,0)))</f>
        <v>0.273409810681926</v>
      </c>
      <c r="BO16" s="46" t="n">
        <f aca="false">MAX(0,MIN(BM16*(1+INDEX(Response_Table!$M$4:$M$21,MATCH($F16&amp;"|low",Response_Table!$A$4:$A$21,0))*$R16*INDEX(Parameters!$X$13:$AA$13,1,MATCH($E16,Parameters!$X$3:$AA$3,0))),BM16*(1+INDEX(Response_Table!$M$4:$M$21,MATCH($F16&amp;"|high",Response_Table!$A$4:$A$21,0))*$R16*INDEX(Parameters!$X$13:$AA$13,1,MATCH($E16,Parameters!$X$3:$AA$3,0))))*(1-Inputs_General!$C$22*Parameters!$F$13))</f>
        <v>0.216613172571161</v>
      </c>
      <c r="BP16" s="46" t="n">
        <f aca="false">MAX(BM16*(1+INDEX(Response_Table!$M$4:$M$21,MATCH($F16&amp;"|low",Response_Table!$A$4:$A$21,0))*$R16*INDEX(Parameters!$X$13:$AA$13,1,MATCH($E16,Parameters!$X$3:$AA$3,0))),BM16*(1+INDEX(Response_Table!$M$4:$M$21,MATCH($F16&amp;"|high",Response_Table!$A$4:$A$21,0))*$R16*INDEX(Parameters!$X$13:$AA$13,1,MATCH($E16,Parameters!$X$3:$AA$3,0))))*(1+Inputs_General!$C$22*Parameters!$F$13)</f>
        <v>0.327615182321674</v>
      </c>
      <c r="BQ16" s="45" t="n">
        <f aca="false">IF(BM16=0,0,BN16/BM16-1)</f>
        <v>0.0259850553326055</v>
      </c>
      <c r="BR16" s="44" t="n">
        <f aca="false">Parameters!$E$14*IF($N16="V",Parameters!$I$14,IF($N16="F",Parameters!$J$14,Parameters!$K$14))*(1-Parameters!$L$14*$P16)*IF($D16="V1",Parameters!$M$14,IF($D16="V2",Parameters!$N$14,Parameters!$O$14))*INDEX(Context!$AC$4:$AC$51,$K16)</f>
        <v>17.25</v>
      </c>
      <c r="BS16" s="44" t="n">
        <f aca="false">BR16*(1+INDEX(Response_Table!$N$4:$N$21,MATCH($F16&amp;"|mid",Response_Table!$A$4:$A$21,0))*$R16*INDEX(Parameters!$X$14:$AA$14,1,MATCH($E16,Parameters!$X$3:$AA$3,0)))</f>
        <v>18.1408122324428</v>
      </c>
      <c r="BT16" s="44" t="n">
        <f aca="false">MAX(0,MIN(BR16*(1+INDEX(Response_Table!$N$4:$N$21,MATCH($F16&amp;"|low",Response_Table!$A$4:$A$21,0))*$R16*INDEX(Parameters!$X$14:$AA$14,1,MATCH($E16,Parameters!$X$3:$AA$3,0))),BR16*(1+INDEX(Response_Table!$N$4:$N$21,MATCH($F16&amp;"|high",Response_Table!$A$4:$A$21,0))*$R16*INDEX(Parameters!$X$14:$AA$14,1,MATCH($E16,Parameters!$X$3:$AA$3,0))))*(1-Inputs_General!$C$22*Parameters!$F$14))</f>
        <v>8.89205764061699</v>
      </c>
      <c r="BU16" s="44" t="n">
        <f aca="false">MAX(BR16*(1+INDEX(Response_Table!$N$4:$N$21,MATCH($F16&amp;"|low",Response_Table!$A$4:$A$21,0))*$R16*INDEX(Parameters!$X$14:$AA$14,1,MATCH($E16,Parameters!$X$3:$AA$3,0))),BR16*(1+INDEX(Response_Table!$N$4:$N$21,MATCH($F16&amp;"|high",Response_Table!$A$4:$A$21,0))*$R16*INDEX(Parameters!$X$14:$AA$14,1,MATCH($E16,Parameters!$X$3:$AA$3,0))))*(1+Inputs_General!$C$22*Parameters!$F$14)</f>
        <v>27.916012795115</v>
      </c>
      <c r="BV16" s="45" t="n">
        <f aca="false">IF(BR16=0,0,BS16/BR16-1)</f>
        <v>0.051641288837263</v>
      </c>
      <c r="BW16" s="43" t="n">
        <f aca="false">Parameters!$E$15*IF($N16="V",Parameters!$I$15,IF($N16="F",Parameters!$J$15,Parameters!$K$15))*(1-Parameters!$L$15*$P16)*IF($D16="V1",Parameters!$M$15,IF($D16="V2",Parameters!$N$15,Parameters!$O$15))</f>
        <v>8.30596742857143</v>
      </c>
      <c r="BX16" s="43" t="n">
        <f aca="false">BW16*(1+INDEX(Response_Table!$O$4:$O$21,MATCH($F16&amp;"|mid",Response_Table!$A$4:$A$21,0))*$R16*INDEX(Parameters!$X$15:$AA$15,1,MATCH($E16,Parameters!$X$3:$AA$3,0)))</f>
        <v>8.19873471280849</v>
      </c>
      <c r="BY16" s="43" t="n">
        <f aca="false">MAX(0,MIN(BW16*(1+INDEX(Response_Table!$O$4:$O$21,MATCH($F16&amp;"|low",Response_Table!$A$4:$A$21,0))*$R16*INDEX(Parameters!$X$15:$AA$15,1,MATCH($E16,Parameters!$X$3:$AA$3,0))),BW16*(1+INDEX(Response_Table!$O$4:$O$21,MATCH($F16&amp;"|high",Response_Table!$A$4:$A$21,0))*$R16*INDEX(Parameters!$X$15:$AA$15,1,MATCH($E16,Parameters!$X$3:$AA$3,0))))*(1-Inputs_General!$C$22*Parameters!$F$15))</f>
        <v>6.52708364441239</v>
      </c>
      <c r="BZ16" s="43" t="n">
        <f aca="false">MAX(BW16*(1+INDEX(Response_Table!$O$4:$O$21,MATCH($F16&amp;"|low",Response_Table!$A$4:$A$21,0))*$R16*INDEX(Parameters!$X$15:$AA$15,1,MATCH($E16,Parameters!$X$3:$AA$3,0))),BW16*(1+INDEX(Response_Table!$O$4:$O$21,MATCH($F16&amp;"|high",Response_Table!$A$4:$A$21,0))*$R16*INDEX(Parameters!$X$15:$AA$15,1,MATCH($E16,Parameters!$X$3:$AA$3,0))))*(1+Inputs_General!$C$22*Parameters!$F$15)</f>
        <v>9.90147501713268</v>
      </c>
      <c r="CA16" s="45" t="n">
        <f aca="false">IF(BW16=0,0,BX16/BW16-1)</f>
        <v>-0.0129103222093157</v>
      </c>
      <c r="CB16" s="46" t="n">
        <f aca="false">BD16+BI16</f>
        <v>1.34069804470313</v>
      </c>
      <c r="CC16" s="43" t="n">
        <f aca="false">BD16/BI16</f>
        <v>2.64883181925782</v>
      </c>
      <c r="CD16" s="46" t="n">
        <f aca="false">BN16/CB16</f>
        <v>0.203930938634632</v>
      </c>
      <c r="CE16" s="43" t="n">
        <f aca="false">AE16/AO16</f>
        <v>2.87434606415261</v>
      </c>
      <c r="CF16" s="44" t="n">
        <f aca="false">AE16/AJ16</f>
        <v>50.7298003334282</v>
      </c>
      <c r="CG16" s="44" t="n">
        <f aca="false">INDEX(Context!$V$4:$V$51,$K16)</f>
        <v>28.62</v>
      </c>
      <c r="CH16" s="44" t="n">
        <f aca="false">INDEX(Context!$Y$4:$Y$51,$K16)</f>
        <v>25.3060134606718</v>
      </c>
      <c r="CI16" s="44" t="n">
        <f aca="false">INDEX(Context!$Z$4:$Z$51,$K16)</f>
        <v>32.62</v>
      </c>
      <c r="CJ16" s="43" t="n">
        <f aca="false">INDEX(Context!$AA$4:$AA$51,$K16)</f>
        <v>0.321696428571429</v>
      </c>
      <c r="CK16" s="43" t="n">
        <f aca="false">MAX(0,MIN(1,1-(1-CJ16)*AO16/AN16))</f>
        <v>0.354841267982205</v>
      </c>
      <c r="CL16" s="44" t="n">
        <f aca="false">CH16+CK16*(CI16-CH16)</f>
        <v>27.9013177182918</v>
      </c>
      <c r="CM16" s="44" t="n">
        <f aca="false">CH16+MAX(0,MIN(1,1-(1-CJ16)*AQ16/AN16))*(CI16-CH16)</f>
        <v>26.2346066795013</v>
      </c>
      <c r="CN16" s="44" t="n">
        <f aca="false">CH16+MAX(0,MIN(1,1-(1-CJ16)*AP16/AN16))*(CI16-CH16)</f>
        <v>29.4361155508121</v>
      </c>
      <c r="CO16" s="44" t="n">
        <f aca="false">CL16-CG16</f>
        <v>-0.718682281708222</v>
      </c>
      <c r="CP16" s="44" t="n">
        <f aca="false">CL16-(CH16+CJ16*(CI16-CH16))</f>
        <v>0.242420909298616</v>
      </c>
      <c r="CQ16" s="46" t="n">
        <f aca="false">CL16/CG16</f>
        <v>0.974888809164632</v>
      </c>
      <c r="CR16" s="43" t="n">
        <f aca="false">IF(CL16-CH16&lt;=0,"n/a",(CI16-CL16)/(CL16-CH16))</f>
        <v>1.81816149989113</v>
      </c>
      <c r="CS16" s="43" t="n">
        <f aca="false">IF(CI16-CL16&lt;=0,"n/a",(CL16-CH16)/(CI16-CL16))</f>
        <v>0.550006146351621</v>
      </c>
      <c r="CT16" s="43" t="n">
        <f aca="false">Inputs_General!$C$23+Inputs_General!$C$24*$I16</f>
        <v>0.66</v>
      </c>
      <c r="CU16" s="44" t="n">
        <f aca="false">3.29*CT16</f>
        <v>2.1714</v>
      </c>
    </row>
    <row r="17" customFormat="false" ht="15" hidden="false" customHeight="false" outlineLevel="0" collapsed="false">
      <c r="A17" s="9" t="str">
        <f aca="false">B17&amp;"|"&amp;E17&amp;"|"&amp;F17</f>
        <v>D1V1|03/03/2026|Low</v>
      </c>
      <c r="B17" s="7" t="s">
        <v>340</v>
      </c>
      <c r="C17" s="9" t="s">
        <v>127</v>
      </c>
      <c r="D17" s="9" t="s">
        <v>142</v>
      </c>
      <c r="E17" s="9" t="s">
        <v>162</v>
      </c>
      <c r="F17" s="7" t="s">
        <v>279</v>
      </c>
      <c r="G17" s="9" t="s">
        <v>280</v>
      </c>
      <c r="H17" s="41" t="n">
        <f aca="false">INDEX(Severity_Classes!$C$4:$C$9,MATCH(F17,Severity_Classes!$A$4:$A$9,0))</f>
        <v>0.06</v>
      </c>
      <c r="I17" s="41" t="n">
        <f aca="false">INDEX(Severity_Classes!$D$4:$D$9,MATCH(F17,Severity_Classes!$A$4:$A$9,0))</f>
        <v>0.08</v>
      </c>
      <c r="J17" s="41" t="n">
        <f aca="false">INDEX(Severity_Classes!$E$4:$E$9,MATCH(F17,Severity_Classes!$A$4:$A$9,0))</f>
        <v>0.1</v>
      </c>
      <c r="K17" s="42" t="n">
        <f aca="false">MATCH(B17&amp;"|"&amp;E17,Context!$A$4:$A$51,0)</f>
        <v>3</v>
      </c>
      <c r="L17" s="42" t="n">
        <f aca="false">INDEX(Context!$H$4:$H$51,K17)</f>
        <v>84</v>
      </c>
      <c r="M17" s="42" t="n">
        <f aca="false">INDEX(Context!$I$4:$I$51,K17)</f>
        <v>26</v>
      </c>
      <c r="N17" s="9" t="str">
        <f aca="false">INDEX(Context!$L$4:$L$51,K17)</f>
        <v>P</v>
      </c>
      <c r="O17" s="9" t="str">
        <f aca="false">INDEX(Context!$M$4:$M$51,K17)</f>
        <v>5th fully expanded leaf from top</v>
      </c>
      <c r="P17" s="43" t="n">
        <f aca="false">INDEX(Context!$R$4:$R$51,K17)</f>
        <v>0.433928571428571</v>
      </c>
      <c r="Q17" s="43" t="n">
        <f aca="false">INDEX(Context!$U$4:$U$51,K17)</f>
        <v>1.73951545534029</v>
      </c>
      <c r="R17" s="43" t="n">
        <f aca="false">INDEX(Context!$AD$4:$AD$51,K17)</f>
        <v>1</v>
      </c>
      <c r="S17" s="9" t="str">
        <f aca="false">INDEX(Context!$AI$4:$AN$51,K17,MATCH(F17,Severity_Classes!$A$4:$A$9,0))</f>
        <v>Likely</v>
      </c>
      <c r="T17" s="44" t="n">
        <f aca="false">Parameters!$E$4*IF($N17="V",Parameters!$I$4,IF($N17="F",Parameters!$J$4,Parameters!$K$4))*(1-Parameters!$L$4*$P17)*IF($D17="V1",Parameters!$M$4,IF($D17="V2",Parameters!$N$4,Parameters!$O$4))</f>
        <v>79.9274017857143</v>
      </c>
      <c r="U17" s="44" t="n">
        <f aca="false">MIN(100,T17*(1+INDEX(Response_Table!$E$4:$E$21,MATCH($F17&amp;"|mid",Response_Table!$A$4:$A$21,0))*$R17*INDEX(Parameters!$X$4:$AA$4,1,MATCH($E17,Parameters!$X$3:$AA$3,0))))</f>
        <v>78.8149222371456</v>
      </c>
      <c r="V17" s="44" t="n">
        <f aca="false">MAX(0,MIN(T17*(1+INDEX(Response_Table!$E$4:$E$21,MATCH($F17&amp;"|low",Response_Table!$A$4:$A$21,0))*$R17*INDEX(Parameters!$X$4:$AA$4,1,MATCH($E17,Parameters!$X$3:$AA$3,0))),T17*(1+INDEX(Response_Table!$E$4:$E$21,MATCH($F17&amp;"|high",Response_Table!$A$4:$A$21,0))*$R17*INDEX(Parameters!$X$4:$AA$4,1,MATCH($E17,Parameters!$X$3:$AA$3,0))))*(1-Inputs_General!$C$22*Parameters!$F$4))</f>
        <v>73.2657888524096</v>
      </c>
      <c r="W17" s="44" t="n">
        <f aca="false">MIN(100,MAX(T17*(1+INDEX(Response_Table!$E$4:$E$21,MATCH($F17&amp;"|low",Response_Table!$A$4:$A$21,0))*$R17*INDEX(Parameters!$X$4:$AA$4,1,MATCH($E17,Parameters!$X$3:$AA$3,0))),T17*(1+INDEX(Response_Table!$E$4:$E$21,MATCH($F17&amp;"|high",Response_Table!$A$4:$A$21,0))*$R17*INDEX(Parameters!$X$4:$AA$4,1,MATCH($E17,Parameters!$X$3:$AA$3,0))))*(1+Inputs_General!$C$22*Parameters!$F$4))</f>
        <v>84.362973217673</v>
      </c>
      <c r="X17" s="45" t="n">
        <f aca="false">IF(T17=0,0,U17/T17-1)</f>
        <v>-0.0139186251987928</v>
      </c>
      <c r="Y17" s="44" t="n">
        <f aca="false">Parameters!$E$5*IF($N17="V",Parameters!$I$5,IF($N17="F",Parameters!$J$5,Parameters!$K$5))*(1-Parameters!$L$5*$P17)*IF($D17="V1",Parameters!$M$5,IF($D17="V2",Parameters!$N$5,Parameters!$O$5))</f>
        <v>62.7907885714286</v>
      </c>
      <c r="Z17" s="44" t="n">
        <f aca="false">MIN(100,Y17*(1+INDEX(Response_Table!$F$4:$F$21,MATCH($F17&amp;"|mid",Response_Table!$A$4:$A$21,0))*$R17*INDEX(Parameters!$X$5:$AA$5,1,MATCH($E17,Parameters!$X$3:$AA$3,0))))</f>
        <v>59.9056072440975</v>
      </c>
      <c r="AA17" s="44" t="n">
        <f aca="false">MAX(0,MIN(Y17*(1+INDEX(Response_Table!$F$4:$F$21,MATCH($F17&amp;"|low",Response_Table!$A$4:$A$21,0))*$R17*INDEX(Parameters!$X$5:$AA$5,1,MATCH($E17,Parameters!$X$3:$AA$3,0))),Y17*(1+INDEX(Response_Table!$F$4:$F$21,MATCH($F17&amp;"|high",Response_Table!$A$4:$A$21,0))*$R17*INDEX(Parameters!$X$5:$AA$5,1,MATCH($E17,Parameters!$X$3:$AA$3,0))))*(1-Inputs_General!$C$22*Parameters!$F$5))</f>
        <v>52.0730743546898</v>
      </c>
      <c r="AB17" s="44" t="n">
        <f aca="false">MIN(100,MAX(Y17*(1+INDEX(Response_Table!$F$4:$F$21,MATCH($F17&amp;"|low",Response_Table!$A$4:$A$21,0))*$R17*INDEX(Parameters!$X$5:$AA$5,1,MATCH($E17,Parameters!$X$3:$AA$3,0))),Y17*(1+INDEX(Response_Table!$F$4:$F$21,MATCH($F17&amp;"|high",Response_Table!$A$4:$A$21,0))*$R17*INDEX(Parameters!$X$5:$AA$5,1,MATCH($E17,Parameters!$X$3:$AA$3,0))))*(1+Inputs_General!$C$22*Parameters!$F$5))</f>
        <v>67.815174885431</v>
      </c>
      <c r="AC17" s="45" t="n">
        <f aca="false">IF(Y17=0,0,Z17/Y17-1)</f>
        <v>-0.0459491175851214</v>
      </c>
      <c r="AD17" s="44" t="n">
        <f aca="false">Parameters!$E$6*IF($N17="V",Parameters!$I$6,IF($N17="F",Parameters!$J$6,Parameters!$K$6))*(1-Parameters!$L$6*$P17)*IF($D17="V1",Parameters!$M$6,IF($D17="V2",Parameters!$N$6,Parameters!$O$6))</f>
        <v>15.3090464285714</v>
      </c>
      <c r="AE17" s="44" t="n">
        <f aca="false">AD17*(1+INDEX(Response_Table!$G$4:$G$21,MATCH($F17&amp;"|mid",Response_Table!$A$4:$A$21,0))*$R17*INDEX(Parameters!$X$6:$AA$6,1,MATCH($E17,Parameters!$X$3:$AA$3,0)))</f>
        <v>11.9021726368632</v>
      </c>
      <c r="AF17" s="44" t="n">
        <f aca="false">MAX(0,MIN(AD17*(1+INDEX(Response_Table!$G$4:$G$21,MATCH($F17&amp;"|low",Response_Table!$A$4:$A$21,0))*$R17*INDEX(Parameters!$X$6:$AA$6,1,MATCH($E17,Parameters!$X$3:$AA$3,0))),AD17*(1+INDEX(Response_Table!$G$4:$G$21,MATCH($F17&amp;"|high",Response_Table!$A$4:$A$21,0))*$R17*INDEX(Parameters!$X$6:$AA$6,1,MATCH($E17,Parameters!$X$3:$AA$3,0))))*(1-Inputs_General!$C$22*Parameters!$F$6))</f>
        <v>9.00673643689503</v>
      </c>
      <c r="AG17" s="44" t="n">
        <f aca="false">MAX(AD17*(1+INDEX(Response_Table!$G$4:$G$21,MATCH($F17&amp;"|low",Response_Table!$A$4:$A$21,0))*$R17*INDEX(Parameters!$X$6:$AA$6,1,MATCH($E17,Parameters!$X$3:$AA$3,0))),AD17*(1+INDEX(Response_Table!$G$4:$G$21,MATCH($F17&amp;"|high",Response_Table!$A$4:$A$21,0))*$R17*INDEX(Parameters!$X$6:$AA$6,1,MATCH($E17,Parameters!$X$3:$AA$3,0))))*(1+Inputs_General!$C$22*Parameters!$F$6)</f>
        <v>15.1410853274395</v>
      </c>
      <c r="AH17" s="45" t="n">
        <f aca="false">IF(AD17=0,0,AE17/AD17-1)</f>
        <v>-0.222539908517744</v>
      </c>
      <c r="AI17" s="46" t="n">
        <f aca="false">Parameters!$E$7*IF($N17="V",Parameters!$I$7,IF($N17="F",Parameters!$J$7,Parameters!$K$7))*(1-Parameters!$L$7*$P17)*IF($D17="V1",Parameters!$M$7,IF($D17="V2",Parameters!$N$7,Parameters!$O$7))*POWER($Q17/Inputs_General!$C$26,-Inputs_General!$C$25)</f>
        <v>0.290012884996263</v>
      </c>
      <c r="AJ17" s="46" t="n">
        <f aca="false">AI17*(1+INDEX(Response_Table!$H$4:$H$21,MATCH($F17&amp;"|mid",Response_Table!$A$4:$A$21,0))*$R17*INDEX(Parameters!$X$7:$AA$7,1,MATCH($E17,Parameters!$X$3:$AA$3,0)))</f>
        <v>0.24979044976282</v>
      </c>
      <c r="AK17" s="46" t="n">
        <f aca="false">MAX(0,MIN(AI17*(1+INDEX(Response_Table!$H$4:$H$21,MATCH($F17&amp;"|low",Response_Table!$A$4:$A$21,0))*$R17*INDEX(Parameters!$X$7:$AA$7,1,MATCH($E17,Parameters!$X$3:$AA$3,0))),AI17*(1+INDEX(Response_Table!$H$4:$H$21,MATCH($F17&amp;"|high",Response_Table!$A$4:$A$21,0))*$R17*INDEX(Parameters!$X$7:$AA$7,1,MATCH($E17,Parameters!$X$3:$AA$3,0))))*(1-Inputs_General!$C$22*Parameters!$F$7))</f>
        <v>0.169748968518884</v>
      </c>
      <c r="AL17" s="46" t="n">
        <f aca="false">MAX(AI17*(1+INDEX(Response_Table!$H$4:$H$21,MATCH($F17&amp;"|low",Response_Table!$A$4:$A$21,0))*$R17*INDEX(Parameters!$X$7:$AA$7,1,MATCH($E17,Parameters!$X$3:$AA$3,0))),AI17*(1+INDEX(Response_Table!$H$4:$H$21,MATCH($F17&amp;"|high",Response_Table!$A$4:$A$21,0))*$R17*INDEX(Parameters!$X$7:$AA$7,1,MATCH($E17,Parameters!$X$3:$AA$3,0))))*(1+Inputs_General!$C$22*Parameters!$F$7)</f>
        <v>0.335637978486125</v>
      </c>
      <c r="AM17" s="45" t="n">
        <f aca="false">IF(AI17=0,0,AJ17/AI17-1)</f>
        <v>-0.13869189030674</v>
      </c>
      <c r="AN17" s="43" t="n">
        <f aca="false">AI17*$Q17/Inputs_General!$C$13*1000</f>
        <v>5.08038162838696</v>
      </c>
      <c r="AO17" s="43" t="n">
        <f aca="false">AJ17*$Q17/Inputs_General!$C$13*1000*(1+Inputs_General!$C$21*$I17)</f>
        <v>4.46328937480366</v>
      </c>
      <c r="AP17" s="43" t="n">
        <f aca="false">AK17*$Q17/Inputs_General!$C$13*1000*(1+Inputs_General!$C$21*$H17)</f>
        <v>3.0182292908426</v>
      </c>
      <c r="AQ17" s="43" t="n">
        <f aca="false">AL17*$Q17/Inputs_General!$C$13*1000*(1+Inputs_General!$C$21*$J17)</f>
        <v>6.02662273162317</v>
      </c>
      <c r="AR17" s="45" t="n">
        <f aca="false">IF(AN17=0,0,AO17/AN17-1)</f>
        <v>-0.121465728112875</v>
      </c>
      <c r="AS17" s="42" t="n">
        <f aca="false">Parameters!$E$9*IF($N17="V",Parameters!$I$9,IF($N17="F",Parameters!$J$9,Parameters!$K$9))*(1-Parameters!$L$9*$P17)*IF($D17="V1",Parameters!$M$9,IF($D17="V2",Parameters!$N$9,Parameters!$O$9))</f>
        <v>293.55</v>
      </c>
      <c r="AT17" s="42" t="n">
        <f aca="false">AS17*(1+INDEX(Response_Table!$I$4:$I$21,MATCH($F17&amp;"|mid",Response_Table!$A$4:$A$21,0))*$R17*INDEX(Parameters!$X$9:$AA$9,1,MATCH($E17,Parameters!$X$3:$AA$3,0)))</f>
        <v>317.666685050105</v>
      </c>
      <c r="AU17" s="42" t="n">
        <f aca="false">MAX(0,MIN(AS17*(1+INDEX(Response_Table!$I$4:$I$21,MATCH($F17&amp;"|low",Response_Table!$A$4:$A$21,0))*$R17*INDEX(Parameters!$X$9:$AA$9,1,MATCH($E17,Parameters!$X$3:$AA$3,0))),AS17*(1+INDEX(Response_Table!$I$4:$I$21,MATCH($F17&amp;"|high",Response_Table!$A$4:$A$21,0))*$R17*INDEX(Parameters!$X$9:$AA$9,1,MATCH($E17,Parameters!$X$3:$AA$3,0))))*(1-Inputs_General!$C$22*Parameters!$F$9))</f>
        <v>281.512598476296</v>
      </c>
      <c r="AV17" s="42" t="n">
        <f aca="false">MAX(AS17*(1+INDEX(Response_Table!$I$4:$I$21,MATCH($F17&amp;"|low",Response_Table!$A$4:$A$21,0))*$R17*INDEX(Parameters!$X$9:$AA$9,1,MATCH($E17,Parameters!$X$3:$AA$3,0))),AS17*(1+INDEX(Response_Table!$I$4:$I$21,MATCH($F17&amp;"|high",Response_Table!$A$4:$A$21,0))*$R17*INDEX(Parameters!$X$9:$AA$9,1,MATCH($E17,Parameters!$X$3:$AA$3,0))))*(1+Inputs_General!$C$22*Parameters!$F$9)</f>
        <v>354.422233415769</v>
      </c>
      <c r="AW17" s="45" t="n">
        <f aca="false">IF(AS17=0,0,AT17/AS17-1)</f>
        <v>0.0821552888778927</v>
      </c>
      <c r="AX17" s="43" t="n">
        <f aca="false">INDEX(Context!$AB$4:$AB$51,$K17)</f>
        <v>3.1826078679718</v>
      </c>
      <c r="AY17" s="43" t="n">
        <f aca="false">AX17*(1+INDEX(Response_Table!$J$4:$J$21,MATCH($F17&amp;"|mid",Response_Table!$A$4:$A$21,0))*$R17*INDEX(Parameters!$X$10:$AA$10,1,MATCH($E17,Parameters!$X$3:$AA$3,0)))</f>
        <v>2.9229988488079</v>
      </c>
      <c r="AZ17" s="43" t="n">
        <f aca="false">MAX(0,MIN(AX17*(1+INDEX(Response_Table!$J$4:$J$21,MATCH($F17&amp;"|low",Response_Table!$A$4:$A$21,0))*$R17*INDEX(Parameters!$X$10:$AA$10,1,MATCH($E17,Parameters!$X$3:$AA$3,0))),AX17*(1+INDEX(Response_Table!$J$4:$J$21,MATCH($F17&amp;"|high",Response_Table!$A$4:$A$21,0))*$R17*INDEX(Parameters!$X$10:$AA$10,1,MATCH($E17,Parameters!$X$3:$AA$3,0))))*(1-Inputs_General!$C$22*Parameters!$F$10))</f>
        <v>2.30010087355638</v>
      </c>
      <c r="BA17" s="43" t="n">
        <f aca="false">MAX(AX17*(1+INDEX(Response_Table!$J$4:$J$21,MATCH($F17&amp;"|low",Response_Table!$A$4:$A$21,0))*$R17*INDEX(Parameters!$X$10:$AA$10,1,MATCH($E17,Parameters!$X$3:$AA$3,0))),AX17*(1+INDEX(Response_Table!$J$4:$J$21,MATCH($F17&amp;"|high",Response_Table!$A$4:$A$21,0))*$R17*INDEX(Parameters!$X$10:$AA$10,1,MATCH($E17,Parameters!$X$3:$AA$3,0))))*(1+Inputs_General!$C$22*Parameters!$F$10)</f>
        <v>3.57198491532627</v>
      </c>
      <c r="BB17" s="45" t="n">
        <f aca="false">IF(AX17=0,0,AY17/AX17-1)</f>
        <v>-0.0815711611149081</v>
      </c>
      <c r="BC17" s="46" t="n">
        <f aca="false">Parameters!$E$11*IF($N17="V",Parameters!$I$11,IF($N17="F",Parameters!$J$11,Parameters!$K$11))*(1-Parameters!$L$11*$P17)*IF($D17="V1",Parameters!$M$11,IF($D17="V2",Parameters!$N$11,Parameters!$O$11))</f>
        <v>1.03483705357143</v>
      </c>
      <c r="BD17" s="46" t="n">
        <f aca="false">BC17*(1+INDEX(Response_Table!$K$4:$K$21,MATCH($F17&amp;"|mid",Response_Table!$A$4:$A$21,0))*$R17*INDEX(Parameters!$X$11:$AA$11,1,MATCH($E17,Parameters!$X$3:$AA$3,0)))</f>
        <v>0.882914984870121</v>
      </c>
      <c r="BE17" s="46" t="n">
        <f aca="false">MAX(0,MIN(BC17*(1+INDEX(Response_Table!$K$4:$K$21,MATCH($F17&amp;"|low",Response_Table!$A$4:$A$21,0))*$R17*INDEX(Parameters!$X$11:$AA$11,1,MATCH($E17,Parameters!$X$3:$AA$3,0))),BC17*(1+INDEX(Response_Table!$K$4:$K$21,MATCH($F17&amp;"|high",Response_Table!$A$4:$A$21,0))*$R17*INDEX(Parameters!$X$11:$AA$11,1,MATCH($E17,Parameters!$X$3:$AA$3,0))))*(1-Inputs_General!$C$22*Parameters!$F$11))</f>
        <v>0.710703723814008</v>
      </c>
      <c r="BF17" s="46" t="n">
        <f aca="false">MAX(BC17*(1+INDEX(Response_Table!$K$4:$K$21,MATCH($F17&amp;"|low",Response_Table!$A$4:$A$21,0))*$R17*INDEX(Parameters!$X$11:$AA$11,1,MATCH($E17,Parameters!$X$3:$AA$3,0))),BC17*(1+INDEX(Response_Table!$K$4:$K$21,MATCH($F17&amp;"|high",Response_Table!$A$4:$A$21,0))*$R17*INDEX(Parameters!$X$11:$AA$11,1,MATCH($E17,Parameters!$X$3:$AA$3,0))))*(1+Inputs_General!$C$22*Parameters!$F$11)</f>
        <v>1.06823166070799</v>
      </c>
      <c r="BG17" s="45" t="n">
        <f aca="false">IF(BC17=0,0,BD17/BC17-1)</f>
        <v>-0.146807720285039</v>
      </c>
      <c r="BH17" s="46" t="n">
        <f aca="false">Parameters!$E$12*IF($N17="V",Parameters!$I$12,IF($N17="F",Parameters!$J$12,Parameters!$K$12))*(1-Parameters!$L$12*$P17)*IF($D17="V1",Parameters!$M$12,IF($D17="V2",Parameters!$N$12,Parameters!$O$12))</f>
        <v>0.385689857142857</v>
      </c>
      <c r="BI17" s="46" t="n">
        <f aca="false">BH17*(1+INDEX(Response_Table!$L$4:$L$21,MATCH($F17&amp;"|mid",Response_Table!$A$4:$A$21,0))*$R17*INDEX(Parameters!$X$12:$AA$12,1,MATCH($E17,Parameters!$X$3:$AA$3,0)))</f>
        <v>0.340427348761928</v>
      </c>
      <c r="BJ17" s="46" t="n">
        <f aca="false">MAX(0,MIN(BH17*(1+INDEX(Response_Table!$L$4:$L$21,MATCH($F17&amp;"|low",Response_Table!$A$4:$A$21,0))*$R17*INDEX(Parameters!$X$12:$AA$12,1,MATCH($E17,Parameters!$X$3:$AA$3,0))),BH17*(1+INDEX(Response_Table!$L$4:$L$21,MATCH($F17&amp;"|high",Response_Table!$A$4:$A$21,0))*$R17*INDEX(Parameters!$X$12:$AA$12,1,MATCH($E17,Parameters!$X$3:$AA$3,0))))*(1-Inputs_General!$C$22*Parameters!$F$12))</f>
        <v>0.265427666419247</v>
      </c>
      <c r="BK17" s="46" t="n">
        <f aca="false">MAX(BH17*(1+INDEX(Response_Table!$L$4:$L$21,MATCH($F17&amp;"|low",Response_Table!$A$4:$A$21,0))*$R17*INDEX(Parameters!$X$12:$AA$12,1,MATCH($E17,Parameters!$X$3:$AA$3,0))),BH17*(1+INDEX(Response_Table!$L$4:$L$21,MATCH($F17&amp;"|high",Response_Table!$A$4:$A$21,0))*$R17*INDEX(Parameters!$X$12:$AA$12,1,MATCH($E17,Parameters!$X$3:$AA$3,0))))*(1+Inputs_General!$C$22*Parameters!$F$12)</f>
        <v>0.419983047738742</v>
      </c>
      <c r="BL17" s="45" t="n">
        <f aca="false">IF(BH17=0,0,BI17/BH17-1)</f>
        <v>-0.117354676413396</v>
      </c>
      <c r="BM17" s="46" t="n">
        <f aca="false">Parameters!$E$13*IF($N17="V",Parameters!$I$13,IF($N17="F",Parameters!$J$13,Parameters!$K$13))*(1-Parameters!$L$13*$P17)*IF($D17="V1",Parameters!$M$13,IF($D17="V2",Parameters!$N$13,Parameters!$O$13))</f>
        <v>0.266485178571429</v>
      </c>
      <c r="BN17" s="46" t="n">
        <f aca="false">BM17*(1+INDEX(Response_Table!$M$4:$M$21,MATCH($F17&amp;"|mid",Response_Table!$A$4:$A$21,0))*$R17*INDEX(Parameters!$X$13:$AA$13,1,MATCH($E17,Parameters!$X$3:$AA$3,0)))</f>
        <v>0.269779832122366</v>
      </c>
      <c r="BO17" s="46" t="n">
        <f aca="false">MAX(0,MIN(BM17*(1+INDEX(Response_Table!$M$4:$M$21,MATCH($F17&amp;"|low",Response_Table!$A$4:$A$21,0))*$R17*INDEX(Parameters!$X$13:$AA$13,1,MATCH($E17,Parameters!$X$3:$AA$3,0))),BM17*(1+INDEX(Response_Table!$M$4:$M$21,MATCH($F17&amp;"|high",Response_Table!$A$4:$A$21,0))*$R17*INDEX(Parameters!$X$13:$AA$13,1,MATCH($E17,Parameters!$X$3:$AA$3,0))))*(1-Inputs_General!$C$22*Parameters!$F$13))</f>
        <v>0.213095481048608</v>
      </c>
      <c r="BP17" s="46" t="n">
        <f aca="false">MAX(BM17*(1+INDEX(Response_Table!$M$4:$M$21,MATCH($F17&amp;"|low",Response_Table!$A$4:$A$21,0))*$R17*INDEX(Parameters!$X$13:$AA$13,1,MATCH($E17,Parameters!$X$3:$AA$3,0))),BM17*(1+INDEX(Response_Table!$M$4:$M$21,MATCH($F17&amp;"|high",Response_Table!$A$4:$A$21,0))*$R17*INDEX(Parameters!$X$13:$AA$13,1,MATCH($E17,Parameters!$X$3:$AA$3,0))))*(1+Inputs_General!$C$22*Parameters!$F$13)</f>
        <v>0.326625466806556</v>
      </c>
      <c r="BQ17" s="45" t="n">
        <f aca="false">IF(BM17=0,0,BN17/BM17-1)</f>
        <v>0.012363365079435</v>
      </c>
      <c r="BR17" s="44" t="n">
        <f aca="false">Parameters!$E$14*IF($N17="V",Parameters!$I$14,IF($N17="F",Parameters!$J$14,Parameters!$K$14))*(1-Parameters!$L$14*$P17)*IF($D17="V1",Parameters!$M$14,IF($D17="V2",Parameters!$N$14,Parameters!$O$14))*INDEX(Context!$AC$4:$AC$51,$K17)</f>
        <v>17.25</v>
      </c>
      <c r="BS17" s="44" t="n">
        <f aca="false">BR17*(1+INDEX(Response_Table!$N$4:$N$21,MATCH($F17&amp;"|mid",Response_Table!$A$4:$A$21,0))*$R17*INDEX(Parameters!$X$14:$AA$14,1,MATCH($E17,Parameters!$X$3:$AA$3,0)))</f>
        <v>19.4584016379612</v>
      </c>
      <c r="BT17" s="44" t="n">
        <f aca="false">MAX(0,MIN(BR17*(1+INDEX(Response_Table!$N$4:$N$21,MATCH($F17&amp;"|low",Response_Table!$A$4:$A$21,0))*$R17*INDEX(Parameters!$X$14:$AA$14,1,MATCH($E17,Parameters!$X$3:$AA$3,0))),BR17*(1+INDEX(Response_Table!$N$4:$N$21,MATCH($F17&amp;"|high",Response_Table!$A$4:$A$21,0))*$R17*INDEX(Parameters!$X$14:$AA$14,1,MATCH($E17,Parameters!$X$3:$AA$3,0))))*(1-Inputs_General!$C$22*Parameters!$F$14))</f>
        <v>9.60068385247397</v>
      </c>
      <c r="BU17" s="44" t="n">
        <f aca="false">MAX(BR17*(1+INDEX(Response_Table!$N$4:$N$21,MATCH($F17&amp;"|low",Response_Table!$A$4:$A$21,0))*$R17*INDEX(Parameters!$X$14:$AA$14,1,MATCH($E17,Parameters!$X$3:$AA$3,0))),BR17*(1+INDEX(Response_Table!$N$4:$N$21,MATCH($F17&amp;"|high",Response_Table!$A$4:$A$21,0))*$R17*INDEX(Parameters!$X$14:$AA$14,1,MATCH($E17,Parameters!$X$3:$AA$3,0))))*(1+Inputs_General!$C$22*Parameters!$F$14)</f>
        <v>29.7692356697127</v>
      </c>
      <c r="BV17" s="45" t="n">
        <f aca="false">IF(BR17=0,0,BS17/BR17-1)</f>
        <v>0.128023283360068</v>
      </c>
      <c r="BW17" s="43" t="n">
        <f aca="false">Parameters!$E$15*IF($N17="V",Parameters!$I$15,IF($N17="F",Parameters!$J$15,Parameters!$K$15))*(1-Parameters!$L$15*$P17)*IF($D17="V1",Parameters!$M$15,IF($D17="V2",Parameters!$N$15,Parameters!$O$15))</f>
        <v>8.30596742857143</v>
      </c>
      <c r="BX17" s="43" t="n">
        <f aca="false">BW17*(1+INDEX(Response_Table!$O$4:$O$21,MATCH($F17&amp;"|mid",Response_Table!$A$4:$A$21,0))*$R17*INDEX(Parameters!$X$15:$AA$15,1,MATCH($E17,Parameters!$X$3:$AA$3,0)))</f>
        <v>8.04012812314955</v>
      </c>
      <c r="BY17" s="43" t="n">
        <f aca="false">MAX(0,MIN(BW17*(1+INDEX(Response_Table!$O$4:$O$21,MATCH($F17&amp;"|low",Response_Table!$A$4:$A$21,0))*$R17*INDEX(Parameters!$X$15:$AA$15,1,MATCH($E17,Parameters!$X$3:$AA$3,0))),BW17*(1+INDEX(Response_Table!$O$4:$O$21,MATCH($F17&amp;"|high",Response_Table!$A$4:$A$21,0))*$R17*INDEX(Parameters!$X$15:$AA$15,1,MATCH($E17,Parameters!$X$3:$AA$3,0))))*(1-Inputs_General!$C$22*Parameters!$F$15))</f>
        <v>6.40719923350714</v>
      </c>
      <c r="BZ17" s="43" t="n">
        <f aca="false">MAX(BW17*(1+INDEX(Response_Table!$O$4:$O$21,MATCH($F17&amp;"|low",Response_Table!$A$4:$A$21,0))*$R17*INDEX(Parameters!$X$15:$AA$15,1,MATCH($E17,Parameters!$X$3:$AA$3,0))),BW17*(1+INDEX(Response_Table!$O$4:$O$21,MATCH($F17&amp;"|high",Response_Table!$A$4:$A$21,0))*$R17*INDEX(Parameters!$X$15:$AA$15,1,MATCH($E17,Parameters!$X$3:$AA$3,0))))*(1+Inputs_General!$C$22*Parameters!$F$15)</f>
        <v>9.69981576613624</v>
      </c>
      <c r="CA17" s="45" t="n">
        <f aca="false">IF(BW17=0,0,BX17/BW17-1)</f>
        <v>-0.032005820840017</v>
      </c>
      <c r="CB17" s="46" t="n">
        <f aca="false">BD17+BI17</f>
        <v>1.22334233363205</v>
      </c>
      <c r="CC17" s="43" t="n">
        <f aca="false">BD17/BI17</f>
        <v>2.59354892631606</v>
      </c>
      <c r="CD17" s="46" t="n">
        <f aca="false">BN17/CB17</f>
        <v>0.220526850666077</v>
      </c>
      <c r="CE17" s="43" t="n">
        <f aca="false">AE17/AO17</f>
        <v>2.66668182082342</v>
      </c>
      <c r="CF17" s="44" t="n">
        <f aca="false">AE17/AJ17</f>
        <v>47.648629674051</v>
      </c>
      <c r="CG17" s="44" t="n">
        <f aca="false">INDEX(Context!$V$4:$V$51,$K17)</f>
        <v>28.62</v>
      </c>
      <c r="CH17" s="44" t="n">
        <f aca="false">INDEX(Context!$Y$4:$Y$51,$K17)</f>
        <v>25.3060134606718</v>
      </c>
      <c r="CI17" s="44" t="n">
        <f aca="false">INDEX(Context!$Z$4:$Z$51,$K17)</f>
        <v>32.62</v>
      </c>
      <c r="CJ17" s="43" t="n">
        <f aca="false">INDEX(Context!$AA$4:$AA$51,$K17)</f>
        <v>0.321696428571429</v>
      </c>
      <c r="CK17" s="43" t="n">
        <f aca="false">MAX(0,MIN(1,1-(1-CJ17)*AO17/AN17))</f>
        <v>0.404087065756564</v>
      </c>
      <c r="CL17" s="44" t="n">
        <f aca="false">CH17+CK17*(CI17-CH17)</f>
        <v>28.2615008203319</v>
      </c>
      <c r="CM17" s="44" t="n">
        <f aca="false">CH17+MAX(0,MIN(1,1-(1-CJ17)*AQ17/AN17))*(CI17-CH17)</f>
        <v>26.7348717848696</v>
      </c>
      <c r="CN17" s="44" t="n">
        <f aca="false">CH17+MAX(0,MIN(1,1-(1-CJ17)*AP17/AN17))*(CI17-CH17)</f>
        <v>29.6726334316456</v>
      </c>
      <c r="CO17" s="44" t="n">
        <f aca="false">CL17-CG17</f>
        <v>-0.358499179668083</v>
      </c>
      <c r="CP17" s="44" t="n">
        <f aca="false">CL17-(CH17+CJ17*(CI17-CH17))</f>
        <v>0.602604011338755</v>
      </c>
      <c r="CQ17" s="46" t="n">
        <f aca="false">CL17/CG17</f>
        <v>0.987473823212156</v>
      </c>
      <c r="CR17" s="43" t="n">
        <f aca="false">IF(CL17-CH17&lt;=0,"n/a",(CI17-CL17)/(CL17-CH17))</f>
        <v>1.47471420083125</v>
      </c>
      <c r="CS17" s="43" t="n">
        <f aca="false">IF(CI17-CL17&lt;=0,"n/a",(CL17-CH17)/(CI17-CL17))</f>
        <v>0.678097491321594</v>
      </c>
      <c r="CT17" s="43" t="n">
        <f aca="false">Inputs_General!$C$23+Inputs_General!$C$24*$I17</f>
        <v>0.76</v>
      </c>
      <c r="CU17" s="44" t="n">
        <f aca="false">3.29*CT17</f>
        <v>2.5004</v>
      </c>
    </row>
    <row r="18" customFormat="false" ht="15" hidden="false" customHeight="false" outlineLevel="0" collapsed="false">
      <c r="A18" s="9" t="str">
        <f aca="false">B18&amp;"|"&amp;E18&amp;"|"&amp;F18</f>
        <v>D1V1|03/03/2026|Moderate</v>
      </c>
      <c r="B18" s="7" t="s">
        <v>340</v>
      </c>
      <c r="C18" s="9" t="s">
        <v>127</v>
      </c>
      <c r="D18" s="9" t="s">
        <v>142</v>
      </c>
      <c r="E18" s="9" t="s">
        <v>162</v>
      </c>
      <c r="F18" s="7" t="s">
        <v>281</v>
      </c>
      <c r="G18" s="9" t="s">
        <v>282</v>
      </c>
      <c r="H18" s="41" t="n">
        <f aca="false">INDEX(Severity_Classes!$C$4:$C$9,MATCH(F18,Severity_Classes!$A$4:$A$9,0))</f>
        <v>0.11</v>
      </c>
      <c r="I18" s="41" t="n">
        <f aca="false">INDEX(Severity_Classes!$D$4:$D$9,MATCH(F18,Severity_Classes!$A$4:$A$9,0))</f>
        <v>0.18</v>
      </c>
      <c r="J18" s="41" t="n">
        <f aca="false">INDEX(Severity_Classes!$E$4:$E$9,MATCH(F18,Severity_Classes!$A$4:$A$9,0))</f>
        <v>0.25</v>
      </c>
      <c r="K18" s="42" t="n">
        <f aca="false">MATCH(B18&amp;"|"&amp;E18,Context!$A$4:$A$51,0)</f>
        <v>3</v>
      </c>
      <c r="L18" s="42" t="n">
        <f aca="false">INDEX(Context!$H$4:$H$51,K18)</f>
        <v>84</v>
      </c>
      <c r="M18" s="42" t="n">
        <f aca="false">INDEX(Context!$I$4:$I$51,K18)</f>
        <v>26</v>
      </c>
      <c r="N18" s="9" t="str">
        <f aca="false">INDEX(Context!$L$4:$L$51,K18)</f>
        <v>P</v>
      </c>
      <c r="O18" s="9" t="str">
        <f aca="false">INDEX(Context!$M$4:$M$51,K18)</f>
        <v>5th fully expanded leaf from top</v>
      </c>
      <c r="P18" s="43" t="n">
        <f aca="false">INDEX(Context!$R$4:$R$51,K18)</f>
        <v>0.433928571428571</v>
      </c>
      <c r="Q18" s="43" t="n">
        <f aca="false">INDEX(Context!$U$4:$U$51,K18)</f>
        <v>1.73951545534029</v>
      </c>
      <c r="R18" s="43" t="n">
        <f aca="false">INDEX(Context!$AD$4:$AD$51,K18)</f>
        <v>1</v>
      </c>
      <c r="S18" s="9" t="str">
        <f aca="false">INDEX(Context!$AI$4:$AN$51,K18,MATCH(F18,Severity_Classes!$A$4:$A$9,0))</f>
        <v>Likely</v>
      </c>
      <c r="T18" s="44" t="n">
        <f aca="false">Parameters!$E$4*IF($N18="V",Parameters!$I$4,IF($N18="F",Parameters!$J$4,Parameters!$K$4))*(1-Parameters!$L$4*$P18)*IF($D18="V1",Parameters!$M$4,IF($D18="V2",Parameters!$N$4,Parameters!$O$4))</f>
        <v>79.9274017857143</v>
      </c>
      <c r="U18" s="44" t="n">
        <f aca="false">MIN(100,T18*(1+INDEX(Response_Table!$E$4:$E$21,MATCH($F18&amp;"|mid",Response_Table!$A$4:$A$21,0))*$R18*INDEX(Parameters!$X$4:$AA$4,1,MATCH($E18,Parameters!$X$3:$AA$3,0))))</f>
        <v>76.2915101425984</v>
      </c>
      <c r="V18" s="44" t="n">
        <f aca="false">MAX(0,MIN(T18*(1+INDEX(Response_Table!$E$4:$E$21,MATCH($F18&amp;"|low",Response_Table!$A$4:$A$21,0))*$R18*INDEX(Parameters!$X$4:$AA$4,1,MATCH($E18,Parameters!$X$3:$AA$3,0))),T18*(1+INDEX(Response_Table!$E$4:$E$21,MATCH($F18&amp;"|high",Response_Table!$A$4:$A$21,0))*$R18*INDEX(Parameters!$X$4:$AA$4,1,MATCH($E18,Parameters!$X$3:$AA$3,0))))*(1-Inputs_General!$C$22*Parameters!$F$4))</f>
        <v>68.7271256689077</v>
      </c>
      <c r="W18" s="44" t="n">
        <f aca="false">MIN(100,MAX(T18*(1+INDEX(Response_Table!$E$4:$E$21,MATCH($F18&amp;"|low",Response_Table!$A$4:$A$21,0))*$R18*INDEX(Parameters!$X$4:$AA$4,1,MATCH($E18,Parameters!$X$3:$AA$3,0))),T18*(1+INDEX(Response_Table!$E$4:$E$21,MATCH($F18&amp;"|high",Response_Table!$A$4:$A$21,0))*$R18*INDEX(Parameters!$X$4:$AA$4,1,MATCH($E18,Parameters!$X$3:$AA$3,0))))*(1+Inputs_General!$C$22*Parameters!$F$4))</f>
        <v>83.3583577906682</v>
      </c>
      <c r="X18" s="45" t="n">
        <f aca="false">IF(T18=0,0,U18/T18-1)</f>
        <v>-0.0454899266319667</v>
      </c>
      <c r="Y18" s="44" t="n">
        <f aca="false">Parameters!$E$5*IF($N18="V",Parameters!$I$5,IF($N18="F",Parameters!$J$5,Parameters!$K$5))*(1-Parameters!$L$5*$P18)*IF($D18="V1",Parameters!$M$5,IF($D18="V2",Parameters!$N$5,Parameters!$O$5))</f>
        <v>62.7907885714286</v>
      </c>
      <c r="Z18" s="44" t="n">
        <f aca="false">MIN(100,Y18*(1+INDEX(Response_Table!$F$4:$F$21,MATCH($F18&amp;"|mid",Response_Table!$A$4:$A$21,0))*$R18*INDEX(Parameters!$X$5:$AA$5,1,MATCH($E18,Parameters!$X$3:$AA$3,0))))</f>
        <v>52.9238445328658</v>
      </c>
      <c r="AA18" s="44" t="n">
        <f aca="false">MAX(0,MIN(Y18*(1+INDEX(Response_Table!$F$4:$F$21,MATCH($F18&amp;"|low",Response_Table!$A$4:$A$21,0))*$R18*INDEX(Parameters!$X$5:$AA$5,1,MATCH($E18,Parameters!$X$3:$AA$3,0))),Y18*(1+INDEX(Response_Table!$F$4:$F$21,MATCH($F18&amp;"|high",Response_Table!$A$4:$A$21,0))*$R18*INDEX(Parameters!$X$5:$AA$5,1,MATCH($E18,Parameters!$X$3:$AA$3,0))))*(1-Inputs_General!$C$22*Parameters!$F$5))</f>
        <v>40.3681011411042</v>
      </c>
      <c r="AB18" s="44" t="n">
        <f aca="false">MIN(100,MAX(Y18*(1+INDEX(Response_Table!$F$4:$F$21,MATCH($F18&amp;"|low",Response_Table!$A$4:$A$21,0))*$R18*INDEX(Parameters!$X$5:$AA$5,1,MATCH($E18,Parameters!$X$3:$AA$3,0))),Y18*(1+INDEX(Response_Table!$F$4:$F$21,MATCH($F18&amp;"|high",Response_Table!$A$4:$A$21,0))*$R18*INDEX(Parameters!$X$5:$AA$5,1,MATCH($E18,Parameters!$X$3:$AA$3,0))))*(1+Inputs_General!$C$22*Parameters!$F$5))</f>
        <v>64.9702583992443</v>
      </c>
      <c r="AC18" s="45" t="n">
        <f aca="false">IF(Y18=0,0,Z18/Y18-1)</f>
        <v>-0.157139992394561</v>
      </c>
      <c r="AD18" s="44" t="n">
        <f aca="false">Parameters!$E$6*IF($N18="V",Parameters!$I$6,IF($N18="F",Parameters!$J$6,Parameters!$K$6))*(1-Parameters!$L$6*$P18)*IF($D18="V1",Parameters!$M$6,IF($D18="V2",Parameters!$N$6,Parameters!$O$6))</f>
        <v>15.3090464285714</v>
      </c>
      <c r="AE18" s="44" t="n">
        <f aca="false">AD18*(1+INDEX(Response_Table!$G$4:$G$21,MATCH($F18&amp;"|mid",Response_Table!$A$4:$A$21,0))*$R18*INDEX(Parameters!$X$6:$AA$6,1,MATCH($E18,Parameters!$X$3:$AA$3,0)))</f>
        <v>9.02779840728876</v>
      </c>
      <c r="AF18" s="44" t="n">
        <f aca="false">MAX(0,MIN(AD18*(1+INDEX(Response_Table!$G$4:$G$21,MATCH($F18&amp;"|low",Response_Table!$A$4:$A$21,0))*$R18*INDEX(Parameters!$X$6:$AA$6,1,MATCH($E18,Parameters!$X$3:$AA$3,0))),AD18*(1+INDEX(Response_Table!$G$4:$G$21,MATCH($F18&amp;"|high",Response_Table!$A$4:$A$21,0))*$R18*INDEX(Parameters!$X$6:$AA$6,1,MATCH($E18,Parameters!$X$3:$AA$3,0))))*(1-Inputs_General!$C$22*Parameters!$F$6))</f>
        <v>6.1392605717369</v>
      </c>
      <c r="AG18" s="44" t="n">
        <f aca="false">MAX(AD18*(1+INDEX(Response_Table!$G$4:$G$21,MATCH($F18&amp;"|low",Response_Table!$A$4:$A$21,0))*$R18*INDEX(Parameters!$X$6:$AA$6,1,MATCH($E18,Parameters!$X$3:$AA$3,0))),AD18*(1+INDEX(Response_Table!$G$4:$G$21,MATCH($F18&amp;"|high",Response_Table!$A$4:$A$21,0))*$R18*INDEX(Parameters!$X$6:$AA$6,1,MATCH($E18,Parameters!$X$3:$AA$3,0))))*(1+Inputs_General!$C$22*Parameters!$F$6)</f>
        <v>13.0560151522738</v>
      </c>
      <c r="AH18" s="45" t="n">
        <f aca="false">IF(AD18=0,0,AE18/AD18-1)</f>
        <v>-0.410296490417582</v>
      </c>
      <c r="AI18" s="46" t="n">
        <f aca="false">Parameters!$E$7*IF($N18="V",Parameters!$I$7,IF($N18="F",Parameters!$J$7,Parameters!$K$7))*(1-Parameters!$L$7*$P18)*IF($D18="V1",Parameters!$M$7,IF($D18="V2",Parameters!$N$7,Parameters!$O$7))*POWER($Q18/Inputs_General!$C$26,-Inputs_General!$C$25)</f>
        <v>0.290012884996263</v>
      </c>
      <c r="AJ18" s="46" t="n">
        <f aca="false">AI18*(1+INDEX(Response_Table!$H$4:$H$21,MATCH($F18&amp;"|mid",Response_Table!$A$4:$A$21,0))*$R18*INDEX(Parameters!$X$7:$AA$7,1,MATCH($E18,Parameters!$X$3:$AA$3,0)))</f>
        <v>0.211357435982074</v>
      </c>
      <c r="AK18" s="46" t="n">
        <f aca="false">MAX(0,MIN(AI18*(1+INDEX(Response_Table!$H$4:$H$21,MATCH($F18&amp;"|low",Response_Table!$A$4:$A$21,0))*$R18*INDEX(Parameters!$X$7:$AA$7,1,MATCH($E18,Parameters!$X$3:$AA$3,0))),AI18*(1+INDEX(Response_Table!$H$4:$H$21,MATCH($F18&amp;"|high",Response_Table!$A$4:$A$21,0))*$R18*INDEX(Parameters!$X$7:$AA$7,1,MATCH($E18,Parameters!$X$3:$AA$3,0))))*(1-Inputs_General!$C$22*Parameters!$F$7))</f>
        <v>0.134127836077434</v>
      </c>
      <c r="AL18" s="46" t="n">
        <f aca="false">MAX(AI18*(1+INDEX(Response_Table!$H$4:$H$21,MATCH($F18&amp;"|low",Response_Table!$A$4:$A$21,0))*$R18*INDEX(Parameters!$X$7:$AA$7,1,MATCH($E18,Parameters!$X$3:$AA$3,0))),AI18*(1+INDEX(Response_Table!$H$4:$H$21,MATCH($F18&amp;"|high",Response_Table!$A$4:$A$21,0))*$R18*INDEX(Parameters!$X$7:$AA$7,1,MATCH($E18,Parameters!$X$3:$AA$3,0))))*(1+Inputs_General!$C$22*Parameters!$F$7)</f>
        <v>0.307211543211128</v>
      </c>
      <c r="AM18" s="45" t="n">
        <f aca="false">IF(AI18=0,0,AJ18/AI18-1)</f>
        <v>-0.271213635956907</v>
      </c>
      <c r="AN18" s="43" t="n">
        <f aca="false">AI18*$Q18/Inputs_General!$C$13*1000</f>
        <v>5.08038162838696</v>
      </c>
      <c r="AO18" s="43" t="n">
        <f aca="false">AJ18*$Q18/Inputs_General!$C$13*1000*(1+Inputs_General!$C$21*$I18)</f>
        <v>3.86912593337412</v>
      </c>
      <c r="AP18" s="43" t="n">
        <f aca="false">AK18*$Q18/Inputs_General!$C$13*1000*(1+Inputs_General!$C$21*$H18)</f>
        <v>2.41423639027055</v>
      </c>
      <c r="AQ18" s="43" t="n">
        <f aca="false">AL18*$Q18/Inputs_General!$C$13*1000*(1+Inputs_General!$C$21*$J18)</f>
        <v>5.71801791734005</v>
      </c>
      <c r="AR18" s="45" t="n">
        <f aca="false">IF(AN18=0,0,AO18/AN18-1)</f>
        <v>-0.238418249574968</v>
      </c>
      <c r="AS18" s="42" t="n">
        <f aca="false">Parameters!$E$9*IF($N18="V",Parameters!$I$9,IF($N18="F",Parameters!$J$9,Parameters!$K$9))*(1-Parameters!$L$9*$P18)*IF($D18="V1",Parameters!$M$9,IF($D18="V2",Parameters!$N$9,Parameters!$O$9))</f>
        <v>293.55</v>
      </c>
      <c r="AT18" s="42" t="n">
        <f aca="false">AS18*(1+INDEX(Response_Table!$I$4:$I$21,MATCH($F18&amp;"|mid",Response_Table!$A$4:$A$21,0))*$R18*INDEX(Parameters!$X$9:$AA$9,1,MATCH($E18,Parameters!$X$3:$AA$3,0)))</f>
        <v>338.749162578885</v>
      </c>
      <c r="AU18" s="42" t="n">
        <f aca="false">MAX(0,MIN(AS18*(1+INDEX(Response_Table!$I$4:$I$21,MATCH($F18&amp;"|low",Response_Table!$A$4:$A$21,0))*$R18*INDEX(Parameters!$X$9:$AA$9,1,MATCH($E18,Parameters!$X$3:$AA$3,0))),AS18*(1+INDEX(Response_Table!$I$4:$I$21,MATCH($F18&amp;"|high",Response_Table!$A$4:$A$21,0))*$R18*INDEX(Parameters!$X$9:$AA$9,1,MATCH($E18,Parameters!$X$3:$AA$3,0))))*(1-Inputs_General!$C$22*Parameters!$F$9))</f>
        <v>292.830506631932</v>
      </c>
      <c r="AV18" s="42" t="n">
        <f aca="false">MAX(AS18*(1+INDEX(Response_Table!$I$4:$I$21,MATCH($F18&amp;"|low",Response_Table!$A$4:$A$21,0))*$R18*INDEX(Parameters!$X$9:$AA$9,1,MATCH($E18,Parameters!$X$3:$AA$3,0))),AS18*(1+INDEX(Response_Table!$I$4:$I$21,MATCH($F18&amp;"|high",Response_Table!$A$4:$A$21,0))*$R18*INDEX(Parameters!$X$9:$AA$9,1,MATCH($E18,Parameters!$X$3:$AA$3,0))))*(1+Inputs_General!$C$22*Parameters!$F$9)</f>
        <v>383.685483708443</v>
      </c>
      <c r="AW18" s="45" t="n">
        <f aca="false">IF(AS18=0,0,AT18/AS18-1)</f>
        <v>0.153974323212009</v>
      </c>
      <c r="AX18" s="43" t="n">
        <f aca="false">INDEX(Context!$AB$4:$AB$51,$K18)</f>
        <v>3.1826078679718</v>
      </c>
      <c r="AY18" s="43" t="n">
        <f aca="false">AX18*(1+INDEX(Response_Table!$J$4:$J$21,MATCH($F18&amp;"|mid",Response_Table!$A$4:$A$21,0))*$R18*INDEX(Parameters!$X$10:$AA$10,1,MATCH($E18,Parameters!$X$3:$AA$3,0)))</f>
        <v>2.66362849487079</v>
      </c>
      <c r="AZ18" s="43" t="n">
        <f aca="false">MAX(0,MIN(AX18*(1+INDEX(Response_Table!$J$4:$J$21,MATCH($F18&amp;"|low",Response_Table!$A$4:$A$21,0))*$R18*INDEX(Parameters!$X$10:$AA$10,1,MATCH($E18,Parameters!$X$3:$AA$3,0))),AX18*(1+INDEX(Response_Table!$J$4:$J$21,MATCH($F18&amp;"|high",Response_Table!$A$4:$A$21,0))*$R18*INDEX(Parameters!$X$10:$AA$10,1,MATCH($E18,Parameters!$X$3:$AA$3,0))))*(1-Inputs_General!$C$22*Parameters!$F$10))</f>
        <v>2.02016152219986</v>
      </c>
      <c r="BA18" s="43" t="n">
        <f aca="false">MAX(AX18*(1+INDEX(Response_Table!$J$4:$J$21,MATCH($F18&amp;"|low",Response_Table!$A$4:$A$21,0))*$R18*INDEX(Parameters!$X$10:$AA$10,1,MATCH($E18,Parameters!$X$3:$AA$3,0))),AX18*(1+INDEX(Response_Table!$J$4:$J$21,MATCH($F18&amp;"|high",Response_Table!$A$4:$A$21,0))*$R18*INDEX(Parameters!$X$10:$AA$10,1,MATCH($E18,Parameters!$X$3:$AA$3,0))))*(1+Inputs_General!$C$22*Parameters!$F$10)</f>
        <v>3.39854859841849</v>
      </c>
      <c r="BB18" s="45" t="n">
        <f aca="false">IF(AX18=0,0,AY18/AX18-1)</f>
        <v>-0.163067331770202</v>
      </c>
      <c r="BC18" s="46" t="n">
        <f aca="false">Parameters!$E$11*IF($N18="V",Parameters!$I$11,IF($N18="F",Parameters!$J$11,Parameters!$K$11))*(1-Parameters!$L$11*$P18)*IF($D18="V1",Parameters!$M$11,IF($D18="V2",Parameters!$N$11,Parameters!$O$11))</f>
        <v>1.03483705357143</v>
      </c>
      <c r="BD18" s="46" t="n">
        <f aca="false">BC18*(1+INDEX(Response_Table!$K$4:$K$21,MATCH($F18&amp;"|mid",Response_Table!$A$4:$A$21,0))*$R18*INDEX(Parameters!$X$11:$AA$11,1,MATCH($E18,Parameters!$X$3:$AA$3,0)))</f>
        <v>0.740314759338697</v>
      </c>
      <c r="BE18" s="46" t="n">
        <f aca="false">MAX(0,MIN(BC18*(1+INDEX(Response_Table!$K$4:$K$21,MATCH($F18&amp;"|low",Response_Table!$A$4:$A$21,0))*$R18*INDEX(Parameters!$X$11:$AA$11,1,MATCH($E18,Parameters!$X$3:$AA$3,0))),BC18*(1+INDEX(Response_Table!$K$4:$K$21,MATCH($F18&amp;"|high",Response_Table!$A$4:$A$21,0))*$R18*INDEX(Parameters!$X$11:$AA$11,1,MATCH($E18,Parameters!$X$3:$AA$3,0))))*(1-Inputs_General!$C$22*Parameters!$F$11))</f>
        <v>0.555132466952296</v>
      </c>
      <c r="BF18" s="46" t="n">
        <f aca="false">MAX(BC18*(1+INDEX(Response_Table!$K$4:$K$21,MATCH($F18&amp;"|low",Response_Table!$A$4:$A$21,0))*$R18*INDEX(Parameters!$X$11:$AA$11,1,MATCH($E18,Parameters!$X$3:$AA$3,0))),BC18*(1+INDEX(Response_Table!$K$4:$K$21,MATCH($F18&amp;"|high",Response_Table!$A$4:$A$21,0))*$R18*INDEX(Parameters!$X$11:$AA$11,1,MATCH($E18,Parameters!$X$3:$AA$3,0))))*(1+Inputs_General!$C$22*Parameters!$F$11)</f>
        <v>0.972648837835524</v>
      </c>
      <c r="BG18" s="45" t="n">
        <f aca="false">IF(BC18=0,0,BD18/BC18-1)</f>
        <v>-0.284607410622065</v>
      </c>
      <c r="BH18" s="46" t="n">
        <f aca="false">Parameters!$E$12*IF($N18="V",Parameters!$I$12,IF($N18="F",Parameters!$J$12,Parameters!$K$12))*(1-Parameters!$L$12*$P18)*IF($D18="V1",Parameters!$M$12,IF($D18="V2",Parameters!$N$12,Parameters!$O$12))</f>
        <v>0.385689857142857</v>
      </c>
      <c r="BI18" s="46" t="n">
        <f aca="false">BH18*(1+INDEX(Response_Table!$L$4:$L$21,MATCH($F18&amp;"|mid",Response_Table!$A$4:$A$21,0))*$R18*INDEX(Parameters!$X$12:$AA$12,1,MATCH($E18,Parameters!$X$3:$AA$3,0)))</f>
        <v>0.297178485328891</v>
      </c>
      <c r="BJ18" s="46" t="n">
        <f aca="false">MAX(0,MIN(BH18*(1+INDEX(Response_Table!$L$4:$L$21,MATCH($F18&amp;"|low",Response_Table!$A$4:$A$21,0))*$R18*INDEX(Parameters!$X$12:$AA$12,1,MATCH($E18,Parameters!$X$3:$AA$3,0))),BH18*(1+INDEX(Response_Table!$L$4:$L$21,MATCH($F18&amp;"|high",Response_Table!$A$4:$A$21,0))*$R18*INDEX(Parameters!$X$12:$AA$12,1,MATCH($E18,Parameters!$X$3:$AA$3,0))))*(1-Inputs_General!$C$22*Parameters!$F$12))</f>
        <v>0.219722407925605</v>
      </c>
      <c r="BK18" s="46" t="n">
        <f aca="false">MAX(BH18*(1+INDEX(Response_Table!$L$4:$L$21,MATCH($F18&amp;"|low",Response_Table!$A$4:$A$21,0))*$R18*INDEX(Parameters!$X$12:$AA$12,1,MATCH($E18,Parameters!$X$3:$AA$3,0))),BH18*(1+INDEX(Response_Table!$L$4:$L$21,MATCH($F18&amp;"|high",Response_Table!$A$4:$A$21,0))*$R18*INDEX(Parameters!$X$12:$AA$12,1,MATCH($E18,Parameters!$X$3:$AA$3,0))))*(1+Inputs_General!$C$22*Parameters!$F$12)</f>
        <v>0.390430603796682</v>
      </c>
      <c r="BL18" s="45" t="n">
        <f aca="false">IF(BH18=0,0,BI18/BH18-1)</f>
        <v>-0.229488461194306</v>
      </c>
      <c r="BM18" s="46" t="n">
        <f aca="false">Parameters!$E$13*IF($N18="V",Parameters!$I$13,IF($N18="F",Parameters!$J$13,Parameters!$K$13))*(1-Parameters!$L$13*$P18)*IF($D18="V1",Parameters!$M$13,IF($D18="V2",Parameters!$N$13,Parameters!$O$13))</f>
        <v>0.266485178571429</v>
      </c>
      <c r="BN18" s="46" t="n">
        <f aca="false">BM18*(1+INDEX(Response_Table!$M$4:$M$21,MATCH($F18&amp;"|mid",Response_Table!$A$4:$A$21,0))*$R18*INDEX(Parameters!$X$13:$AA$13,1,MATCH($E18,Parameters!$X$3:$AA$3,0)))</f>
        <v>0.243561727644502</v>
      </c>
      <c r="BO18" s="46" t="n">
        <f aca="false">MAX(0,MIN(BM18*(1+INDEX(Response_Table!$M$4:$M$21,MATCH($F18&amp;"|low",Response_Table!$A$4:$A$21,0))*$R18*INDEX(Parameters!$X$13:$AA$13,1,MATCH($E18,Parameters!$X$3:$AA$3,0))),BM18*(1+INDEX(Response_Table!$M$4:$M$21,MATCH($F18&amp;"|high",Response_Table!$A$4:$A$21,0))*$R18*INDEX(Parameters!$X$13:$AA$13,1,MATCH($E18,Parameters!$X$3:$AA$3,0))))*(1-Inputs_General!$C$22*Parameters!$F$13))</f>
        <v>0.180671521362834</v>
      </c>
      <c r="BP18" s="46" t="n">
        <f aca="false">MAX(BM18*(1+INDEX(Response_Table!$M$4:$M$21,MATCH($F18&amp;"|low",Response_Table!$A$4:$A$21,0))*$R18*INDEX(Parameters!$X$13:$AA$13,1,MATCH($E18,Parameters!$X$3:$AA$3,0))),BM18*(1+INDEX(Response_Table!$M$4:$M$21,MATCH($F18&amp;"|high",Response_Table!$A$4:$A$21,0))*$R18*INDEX(Parameters!$X$13:$AA$13,1,MATCH($E18,Parameters!$X$3:$AA$3,0))))*(1+Inputs_General!$C$22*Parameters!$F$13)</f>
        <v>0.314973613698628</v>
      </c>
      <c r="BQ18" s="45" t="n">
        <f aca="false">IF(BM18=0,0,BN18/BM18-1)</f>
        <v>-0.0860214855093042</v>
      </c>
      <c r="BR18" s="44" t="n">
        <f aca="false">Parameters!$E$14*IF($N18="V",Parameters!$I$14,IF($N18="F",Parameters!$J$14,Parameters!$K$14))*(1-Parameters!$L$14*$P18)*IF($D18="V1",Parameters!$M$14,IF($D18="V2",Parameters!$N$14,Parameters!$O$14))*INDEX(Context!$AC$4:$AC$51,$K18)</f>
        <v>17.25</v>
      </c>
      <c r="BS18" s="44" t="n">
        <f aca="false">BR18*(1+INDEX(Response_Table!$N$4:$N$21,MATCH($F18&amp;"|mid",Response_Table!$A$4:$A$21,0))*$R18*INDEX(Parameters!$X$14:$AA$14,1,MATCH($E18,Parameters!$X$3:$AA$3,0)))</f>
        <v>21.5685555879292</v>
      </c>
      <c r="BT18" s="44" t="n">
        <f aca="false">MAX(0,MIN(BR18*(1+INDEX(Response_Table!$N$4:$N$21,MATCH($F18&amp;"|low",Response_Table!$A$4:$A$21,0))*$R18*INDEX(Parameters!$X$14:$AA$14,1,MATCH($E18,Parameters!$X$3:$AA$3,0))),BR18*(1+INDEX(Response_Table!$N$4:$N$21,MATCH($F18&amp;"|high",Response_Table!$A$4:$A$21,0))*$R18*INDEX(Parameters!$X$14:$AA$14,1,MATCH($E18,Parameters!$X$3:$AA$3,0))))*(1-Inputs_General!$C$22*Parameters!$F$14))</f>
        <v>10.2106040853231</v>
      </c>
      <c r="BU18" s="44" t="n">
        <f aca="false">MAX(BR18*(1+INDEX(Response_Table!$N$4:$N$21,MATCH($F18&amp;"|low",Response_Table!$A$4:$A$21,0))*$R18*INDEX(Parameters!$X$14:$AA$14,1,MATCH($E18,Parameters!$X$3:$AA$3,0))),BR18*(1+INDEX(Response_Table!$N$4:$N$21,MATCH($F18&amp;"|high",Response_Table!$A$4:$A$21,0))*$R18*INDEX(Parameters!$X$14:$AA$14,1,MATCH($E18,Parameters!$X$3:$AA$3,0))))*(1+Inputs_General!$C$22*Parameters!$F$14)</f>
        <v>33.9188877285314</v>
      </c>
      <c r="BV18" s="45" t="n">
        <f aca="false">IF(BR18=0,0,BS18/BR18-1)</f>
        <v>0.250351048575606</v>
      </c>
      <c r="BW18" s="43" t="n">
        <f aca="false">Parameters!$E$15*IF($N18="V",Parameters!$I$15,IF($N18="F",Parameters!$J$15,Parameters!$K$15))*(1-Parameters!$L$15*$P18)*IF($D18="V1",Parameters!$M$15,IF($D18="V2",Parameters!$N$15,Parameters!$O$15))</f>
        <v>8.30596742857143</v>
      </c>
      <c r="BX18" s="43" t="n">
        <f aca="false">BW18*(1+INDEX(Response_Table!$O$4:$O$21,MATCH($F18&amp;"|mid",Response_Table!$A$4:$A$21,0))*$R18*INDEX(Parameters!$X$15:$AA$15,1,MATCH($E18,Parameters!$X$3:$AA$3,0)))</f>
        <v>7.78611551477701</v>
      </c>
      <c r="BY18" s="43" t="n">
        <f aca="false">MAX(0,MIN(BW18*(1+INDEX(Response_Table!$O$4:$O$21,MATCH($F18&amp;"|low",Response_Table!$A$4:$A$21,0))*$R18*INDEX(Parameters!$X$15:$AA$15,1,MATCH($E18,Parameters!$X$3:$AA$3,0))),BW18*(1+INDEX(Response_Table!$O$4:$O$21,MATCH($F18&amp;"|high",Response_Table!$A$4:$A$21,0))*$R18*INDEX(Parameters!$X$15:$AA$15,1,MATCH($E18,Parameters!$X$3:$AA$3,0))))*(1-Inputs_General!$C$22*Parameters!$F$15))</f>
        <v>6.13875953348388</v>
      </c>
      <c r="BZ18" s="43" t="n">
        <f aca="false">MAX(BW18*(1+INDEX(Response_Table!$O$4:$O$21,MATCH($F18&amp;"|low",Response_Table!$A$4:$A$21,0))*$R18*INDEX(Parameters!$X$15:$AA$15,1,MATCH($E18,Parameters!$X$3:$AA$3,0))),BW18*(1+INDEX(Response_Table!$O$4:$O$21,MATCH($F18&amp;"|high",Response_Table!$A$4:$A$21,0))*$R18*INDEX(Parameters!$X$15:$AA$15,1,MATCH($E18,Parameters!$X$3:$AA$3,0))))*(1+Inputs_General!$C$22*Parameters!$F$15)</f>
        <v>9.5262460402837</v>
      </c>
      <c r="CA18" s="45" t="n">
        <f aca="false">IF(BW18=0,0,BX18/BW18-1)</f>
        <v>-0.0625877621439015</v>
      </c>
      <c r="CB18" s="46" t="n">
        <f aca="false">BD18+BI18</f>
        <v>1.03749324466759</v>
      </c>
      <c r="CC18" s="43" t="n">
        <f aca="false">BD18/BI18</f>
        <v>2.49114520695999</v>
      </c>
      <c r="CD18" s="46" t="n">
        <f aca="false">BN18/CB18</f>
        <v>0.234759820265181</v>
      </c>
      <c r="CE18" s="43" t="n">
        <f aca="false">AE18/AO18</f>
        <v>2.33329143655346</v>
      </c>
      <c r="CF18" s="44" t="n">
        <f aca="false">AE18/AJ18</f>
        <v>42.7134175116244</v>
      </c>
      <c r="CG18" s="44" t="n">
        <f aca="false">INDEX(Context!$V$4:$V$51,$K18)</f>
        <v>28.62</v>
      </c>
      <c r="CH18" s="44" t="n">
        <f aca="false">INDEX(Context!$Y$4:$Y$51,$K18)</f>
        <v>25.3060134606718</v>
      </c>
      <c r="CI18" s="44" t="n">
        <f aca="false">INDEX(Context!$Z$4:$Z$51,$K18)</f>
        <v>32.62</v>
      </c>
      <c r="CJ18" s="43" t="n">
        <f aca="false">INDEX(Context!$AA$4:$AA$51,$K18)</f>
        <v>0.321696428571429</v>
      </c>
      <c r="CK18" s="43" t="n">
        <f aca="false">MAX(0,MIN(1,1-(1-CJ18)*AO18/AN18))</f>
        <v>0.483416378751878</v>
      </c>
      <c r="CL18" s="44" t="n">
        <f aca="false">CH18+CK18*(CI18-CH18)</f>
        <v>28.8417143477538</v>
      </c>
      <c r="CM18" s="44" t="n">
        <f aca="false">CH18+MAX(0,MIN(1,1-(1-CJ18)*AQ18/AN18))*(CI18-CH18)</f>
        <v>27.0362311001513</v>
      </c>
      <c r="CN18" s="44" t="n">
        <f aca="false">CH18+MAX(0,MIN(1,1-(1-CJ18)*AP18/AN18))*(CI18-CH18)</f>
        <v>30.2624456397739</v>
      </c>
      <c r="CO18" s="44" t="n">
        <f aca="false">CL18-CG18</f>
        <v>0.221714347753796</v>
      </c>
      <c r="CP18" s="44" t="n">
        <f aca="false">CL18-(CH18+CJ18*(CI18-CH18))</f>
        <v>1.18281753876063</v>
      </c>
      <c r="CQ18" s="46" t="n">
        <f aca="false">CL18/CG18</f>
        <v>1.00774683255604</v>
      </c>
      <c r="CR18" s="43" t="n">
        <f aca="false">IF(CL18-CH18&lt;=0,"n/a",(CI18-CL18)/(CL18-CH18))</f>
        <v>1.06861009257047</v>
      </c>
      <c r="CS18" s="43" t="n">
        <f aca="false">IF(CI18-CL18&lt;=0,"n/a",(CL18-CH18)/(CI18-CL18))</f>
        <v>0.935795017240172</v>
      </c>
      <c r="CT18" s="43" t="n">
        <f aca="false">Inputs_General!$C$23+Inputs_General!$C$24*$I18</f>
        <v>0.96</v>
      </c>
      <c r="CU18" s="44" t="n">
        <f aca="false">3.29*CT18</f>
        <v>3.1584</v>
      </c>
    </row>
    <row r="19" customFormat="false" ht="15" hidden="false" customHeight="false" outlineLevel="0" collapsed="false">
      <c r="A19" s="9" t="str">
        <f aca="false">B19&amp;"|"&amp;E19&amp;"|"&amp;F19</f>
        <v>D1V1|03/03/2026|High</v>
      </c>
      <c r="B19" s="7" t="s">
        <v>340</v>
      </c>
      <c r="C19" s="9" t="s">
        <v>127</v>
      </c>
      <c r="D19" s="9" t="s">
        <v>142</v>
      </c>
      <c r="E19" s="9" t="s">
        <v>162</v>
      </c>
      <c r="F19" s="7" t="s">
        <v>283</v>
      </c>
      <c r="G19" s="9" t="s">
        <v>284</v>
      </c>
      <c r="H19" s="41" t="n">
        <f aca="false">INDEX(Severity_Classes!$C$4:$C$9,MATCH(F19,Severity_Classes!$A$4:$A$9,0))</f>
        <v>0.26</v>
      </c>
      <c r="I19" s="41" t="n">
        <f aca="false">INDEX(Severity_Classes!$D$4:$D$9,MATCH(F19,Severity_Classes!$A$4:$A$9,0))</f>
        <v>0.38</v>
      </c>
      <c r="J19" s="41" t="n">
        <f aca="false">INDEX(Severity_Classes!$E$4:$E$9,MATCH(F19,Severity_Classes!$A$4:$A$9,0))</f>
        <v>0.5</v>
      </c>
      <c r="K19" s="42" t="n">
        <f aca="false">MATCH(B19&amp;"|"&amp;E19,Context!$A$4:$A$51,0)</f>
        <v>3</v>
      </c>
      <c r="L19" s="42" t="n">
        <f aca="false">INDEX(Context!$H$4:$H$51,K19)</f>
        <v>84</v>
      </c>
      <c r="M19" s="42" t="n">
        <f aca="false">INDEX(Context!$I$4:$I$51,K19)</f>
        <v>26</v>
      </c>
      <c r="N19" s="9" t="str">
        <f aca="false">INDEX(Context!$L$4:$L$51,K19)</f>
        <v>P</v>
      </c>
      <c r="O19" s="9" t="str">
        <f aca="false">INDEX(Context!$M$4:$M$51,K19)</f>
        <v>5th fully expanded leaf from top</v>
      </c>
      <c r="P19" s="43" t="n">
        <f aca="false">INDEX(Context!$R$4:$R$51,K19)</f>
        <v>0.433928571428571</v>
      </c>
      <c r="Q19" s="43" t="n">
        <f aca="false">INDEX(Context!$U$4:$U$51,K19)</f>
        <v>1.73951545534029</v>
      </c>
      <c r="R19" s="43" t="n">
        <f aca="false">INDEX(Context!$AD$4:$AD$51,K19)</f>
        <v>1</v>
      </c>
      <c r="S19" s="9" t="str">
        <f aca="false">INDEX(Context!$AI$4:$AN$51,K19,MATCH(F19,Severity_Classes!$A$4:$A$9,0))</f>
        <v>Likely</v>
      </c>
      <c r="T19" s="44" t="n">
        <f aca="false">Parameters!$E$4*IF($N19="V",Parameters!$I$4,IF($N19="F",Parameters!$J$4,Parameters!$K$4))*(1-Parameters!$L$4*$P19)*IF($D19="V1",Parameters!$M$4,IF($D19="V2",Parameters!$N$4,Parameters!$O$4))</f>
        <v>79.9274017857143</v>
      </c>
      <c r="U19" s="44" t="n">
        <f aca="false">MIN(100,T19*(1+INDEX(Response_Table!$E$4:$E$21,MATCH($F19&amp;"|mid",Response_Table!$A$4:$A$21,0))*$R19*INDEX(Parameters!$X$4:$AA$4,1,MATCH($E19,Parameters!$X$3:$AA$3,0))))</f>
        <v>67.0155083458157</v>
      </c>
      <c r="V19" s="44" t="n">
        <f aca="false">MAX(0,MIN(T19*(1+INDEX(Response_Table!$E$4:$E$21,MATCH($F19&amp;"|low",Response_Table!$A$4:$A$21,0))*$R19*INDEX(Parameters!$X$4:$AA$4,1,MATCH($E19,Parameters!$X$3:$AA$3,0))),T19*(1+INDEX(Response_Table!$E$4:$E$21,MATCH($F19&amp;"|high",Response_Table!$A$4:$A$21,0))*$R19*INDEX(Parameters!$X$4:$AA$4,1,MATCH($E19,Parameters!$X$3:$AA$3,0))))*(1-Inputs_General!$C$22*Parameters!$F$4))</f>
        <v>57.5262603311656</v>
      </c>
      <c r="W19" s="44" t="n">
        <f aca="false">MIN(100,MAX(T19*(1+INDEX(Response_Table!$E$4:$E$21,MATCH($F19&amp;"|low",Response_Table!$A$4:$A$21,0))*$R19*INDEX(Parameters!$X$4:$AA$4,1,MATCH($E19,Parameters!$X$3:$AA$3,0))),T19*(1+INDEX(Response_Table!$E$4:$E$21,MATCH($F19&amp;"|high",Response_Table!$A$4:$A$21,0))*$R19*INDEX(Parameters!$X$4:$AA$4,1,MATCH($E19,Parameters!$X$3:$AA$3,0))))*(1+Inputs_General!$C$22*Parameters!$F$4))</f>
        <v>77.9269767810756</v>
      </c>
      <c r="X19" s="45" t="n">
        <f aca="false">IF(T19=0,0,U19/T19-1)</f>
        <v>-0.161545266722362</v>
      </c>
      <c r="Y19" s="44" t="n">
        <f aca="false">Parameters!$E$5*IF($N19="V",Parameters!$I$5,IF($N19="F",Parameters!$J$5,Parameters!$K$5))*(1-Parameters!$L$5*$P19)*IF($D19="V1",Parameters!$M$5,IF($D19="V2",Parameters!$N$5,Parameters!$O$5))</f>
        <v>62.7907885714286</v>
      </c>
      <c r="Z19" s="44" t="n">
        <f aca="false">MIN(100,Y19*(1+INDEX(Response_Table!$F$4:$F$21,MATCH($F19&amp;"|mid",Response_Table!$A$4:$A$21,0))*$R19*INDEX(Parameters!$X$5:$AA$5,1,MATCH($E19,Parameters!$X$3:$AA$3,0))))</f>
        <v>31.3769988597121</v>
      </c>
      <c r="AA19" s="44" t="n">
        <f aca="false">MAX(0,MIN(Y19*(1+INDEX(Response_Table!$F$4:$F$21,MATCH($F19&amp;"|low",Response_Table!$A$4:$A$21,0))*$R19*INDEX(Parameters!$X$5:$AA$5,1,MATCH($E19,Parameters!$X$3:$AA$3,0))),Y19*(1+INDEX(Response_Table!$F$4:$F$21,MATCH($F19&amp;"|high",Response_Table!$A$4:$A$21,0))*$R19*INDEX(Parameters!$X$5:$AA$5,1,MATCH($E19,Parameters!$X$3:$AA$3,0))))*(1-Inputs_General!$C$22*Parameters!$F$5))</f>
        <v>20.7835689956252</v>
      </c>
      <c r="AB19" s="44" t="n">
        <f aca="false">MIN(100,MAX(Y19*(1+INDEX(Response_Table!$F$4:$F$21,MATCH($F19&amp;"|low",Response_Table!$A$4:$A$21,0))*$R19*INDEX(Parameters!$X$5:$AA$5,1,MATCH($E19,Parameters!$X$3:$AA$3,0))),Y19*(1+INDEX(Response_Table!$F$4:$F$21,MATCH($F19&amp;"|high",Response_Table!$A$4:$A$21,0))*$R19*INDEX(Parameters!$X$5:$AA$5,1,MATCH($E19,Parameters!$X$3:$AA$3,0))))*(1+Inputs_General!$C$22*Parameters!$F$5))</f>
        <v>49.5951812182105</v>
      </c>
      <c r="AC19" s="45" t="n">
        <f aca="false">IF(Y19=0,0,Z19/Y19-1)</f>
        <v>-0.500292963767786</v>
      </c>
      <c r="AD19" s="44" t="n">
        <f aca="false">Parameters!$E$6*IF($N19="V",Parameters!$I$6,IF($N19="F",Parameters!$J$6,Parameters!$K$6))*(1-Parameters!$L$6*$P19)*IF($D19="V1",Parameters!$M$6,IF($D19="V2",Parameters!$N$6,Parameters!$O$6))</f>
        <v>15.3090464285714</v>
      </c>
      <c r="AE19" s="44" t="n">
        <f aca="false">AD19*(1+INDEX(Response_Table!$G$4:$G$21,MATCH($F19&amp;"|mid",Response_Table!$A$4:$A$21,0))*$R19*INDEX(Parameters!$X$6:$AA$6,1,MATCH($E19,Parameters!$X$3:$AA$3,0)))</f>
        <v>5.98435540341459</v>
      </c>
      <c r="AF19" s="44" t="n">
        <f aca="false">MAX(0,MIN(AD19*(1+INDEX(Response_Table!$G$4:$G$21,MATCH($F19&amp;"|low",Response_Table!$A$4:$A$21,0))*$R19*INDEX(Parameters!$X$6:$AA$6,1,MATCH($E19,Parameters!$X$3:$AA$3,0))),AD19*(1+INDEX(Response_Table!$G$4:$G$21,MATCH($F19&amp;"|high",Response_Table!$A$4:$A$21,0))*$R19*INDEX(Parameters!$X$6:$AA$6,1,MATCH($E19,Parameters!$X$3:$AA$3,0))))*(1-Inputs_General!$C$22*Parameters!$F$6))</f>
        <v>4.09284235023046</v>
      </c>
      <c r="AG19" s="44" t="n">
        <f aca="false">MAX(AD19*(1+INDEX(Response_Table!$G$4:$G$21,MATCH($F19&amp;"|low",Response_Table!$A$4:$A$21,0))*$R19*INDEX(Parameters!$X$6:$AA$6,1,MATCH($E19,Parameters!$X$3:$AA$3,0))),AD19*(1+INDEX(Response_Table!$G$4:$G$21,MATCH($F19&amp;"|high",Response_Table!$A$4:$A$21,0))*$R19*INDEX(Parameters!$X$6:$AA$6,1,MATCH($E19,Parameters!$X$3:$AA$3,0))))*(1+Inputs_General!$C$22*Parameters!$F$6)</f>
        <v>8.96217470576834</v>
      </c>
      <c r="AH19" s="45" t="n">
        <f aca="false">IF(AD19=0,0,AE19/AD19-1)</f>
        <v>-0.609096789186953</v>
      </c>
      <c r="AI19" s="46" t="n">
        <f aca="false">Parameters!$E$7*IF($N19="V",Parameters!$I$7,IF($N19="F",Parameters!$J$7,Parameters!$K$7))*(1-Parameters!$L$7*$P19)*IF($D19="V1",Parameters!$M$7,IF($D19="V2",Parameters!$N$7,Parameters!$O$7))*POWER($Q19/Inputs_General!$C$26,-Inputs_General!$C$25)</f>
        <v>0.290012884996263</v>
      </c>
      <c r="AJ19" s="46" t="n">
        <f aca="false">AI19*(1+INDEX(Response_Table!$H$4:$H$21,MATCH($F19&amp;"|mid",Response_Table!$A$4:$A$21,0))*$R19*INDEX(Parameters!$X$7:$AA$7,1,MATCH($E19,Parameters!$X$3:$AA$3,0)))</f>
        <v>0.161793073924551</v>
      </c>
      <c r="AK19" s="46" t="n">
        <f aca="false">MAX(0,MIN(AI19*(1+INDEX(Response_Table!$H$4:$H$21,MATCH($F19&amp;"|low",Response_Table!$A$4:$A$21,0))*$R19*INDEX(Parameters!$X$7:$AA$7,1,MATCH($E19,Parameters!$X$3:$AA$3,0))),AI19*(1+INDEX(Response_Table!$H$4:$H$21,MATCH($F19&amp;"|high",Response_Table!$A$4:$A$21,0))*$R19*INDEX(Parameters!$X$7:$AA$7,1,MATCH($E19,Parameters!$X$3:$AA$3,0))))*(1-Inputs_General!$C$22*Parameters!$F$7))</f>
        <v>0.101056398608359</v>
      </c>
      <c r="AL19" s="46" t="n">
        <f aca="false">MAX(AI19*(1+INDEX(Response_Table!$H$4:$H$21,MATCH($F19&amp;"|low",Response_Table!$A$4:$A$21,0))*$R19*INDEX(Parameters!$X$7:$AA$7,1,MATCH($E19,Parameters!$X$3:$AA$3,0))),AI19*(1+INDEX(Response_Table!$H$4:$H$21,MATCH($F19&amp;"|high",Response_Table!$A$4:$A$21,0))*$R19*INDEX(Parameters!$X$7:$AA$7,1,MATCH($E19,Parameters!$X$3:$AA$3,0))))*(1+Inputs_General!$C$22*Parameters!$F$7)</f>
        <v>0.243560367046267</v>
      </c>
      <c r="AM19" s="45" t="n">
        <f aca="false">IF(AI19=0,0,AJ19/AI19-1)</f>
        <v>-0.442117635819403</v>
      </c>
      <c r="AN19" s="43" t="n">
        <f aca="false">AI19*$Q19/Inputs_General!$C$13*1000</f>
        <v>5.08038162838696</v>
      </c>
      <c r="AO19" s="43" t="n">
        <f aca="false">AJ19*$Q19/Inputs_General!$C$13*1000*(1+Inputs_General!$C$21*$I19)</f>
        <v>3.10350956859369</v>
      </c>
      <c r="AP19" s="43" t="n">
        <f aca="false">AK19*$Q19/Inputs_General!$C$13*1000*(1+Inputs_General!$C$21*$H19)</f>
        <v>1.88535209577933</v>
      </c>
      <c r="AQ19" s="43" t="n">
        <f aca="false">AL19*$Q19/Inputs_General!$C$13*1000*(1+Inputs_General!$C$21*$J19)</f>
        <v>4.79996627022661</v>
      </c>
      <c r="AR19" s="45" t="n">
        <f aca="false">IF(AN19=0,0,AO19/AN19-1)</f>
        <v>-0.389118811222246</v>
      </c>
      <c r="AS19" s="42" t="n">
        <f aca="false">Parameters!$E$9*IF($N19="V",Parameters!$I$9,IF($N19="F",Parameters!$J$9,Parameters!$K$9))*(1-Parameters!$L$9*$P19)*IF($D19="V1",Parameters!$M$9,IF($D19="V2",Parameters!$N$9,Parameters!$O$9))</f>
        <v>293.55</v>
      </c>
      <c r="AT19" s="42" t="n">
        <f aca="false">AS19*(1+INDEX(Response_Table!$I$4:$I$21,MATCH($F19&amp;"|mid",Response_Table!$A$4:$A$21,0))*$R19*INDEX(Parameters!$X$9:$AA$9,1,MATCH($E19,Parameters!$X$3:$AA$3,0)))</f>
        <v>362.354137675553</v>
      </c>
      <c r="AU19" s="42" t="n">
        <f aca="false">MAX(0,MIN(AS19*(1+INDEX(Response_Table!$I$4:$I$21,MATCH($F19&amp;"|low",Response_Table!$A$4:$A$21,0))*$R19*INDEX(Parameters!$X$9:$AA$9,1,MATCH($E19,Parameters!$X$3:$AA$3,0))),AS19*(1+INDEX(Response_Table!$I$4:$I$21,MATCH($F19&amp;"|high",Response_Table!$A$4:$A$21,0))*$R19*INDEX(Parameters!$X$9:$AA$9,1,MATCH($E19,Parameters!$X$3:$AA$3,0))))*(1-Inputs_General!$C$22*Parameters!$F$9))</f>
        <v>315.894846507433</v>
      </c>
      <c r="AV19" s="42" t="n">
        <f aca="false">MAX(AS19*(1+INDEX(Response_Table!$I$4:$I$21,MATCH($F19&amp;"|low",Response_Table!$A$4:$A$21,0))*$R19*INDEX(Parameters!$X$9:$AA$9,1,MATCH($E19,Parameters!$X$3:$AA$3,0))),AS19*(1+INDEX(Response_Table!$I$4:$I$21,MATCH($F19&amp;"|high",Response_Table!$A$4:$A$21,0))*$R19*INDEX(Parameters!$X$9:$AA$9,1,MATCH($E19,Parameters!$X$3:$AA$3,0))))*(1+Inputs_General!$C$22*Parameters!$F$9)</f>
        <v>406.185762402178</v>
      </c>
      <c r="AW19" s="45" t="n">
        <f aca="false">IF(AS19=0,0,AT19/AS19-1)</f>
        <v>0.234386433914336</v>
      </c>
      <c r="AX19" s="43" t="n">
        <f aca="false">INDEX(Context!$AB$4:$AB$51,$K19)</f>
        <v>3.1826078679718</v>
      </c>
      <c r="AY19" s="43" t="n">
        <f aca="false">AX19*(1+INDEX(Response_Table!$J$4:$J$21,MATCH($F19&amp;"|mid",Response_Table!$A$4:$A$21,0))*$R19*INDEX(Parameters!$X$10:$AA$10,1,MATCH($E19,Parameters!$X$3:$AA$3,0)))</f>
        <v>2.30431458823568</v>
      </c>
      <c r="AZ19" s="43" t="n">
        <f aca="false">MAX(0,MIN(AX19*(1+INDEX(Response_Table!$J$4:$J$21,MATCH($F19&amp;"|low",Response_Table!$A$4:$A$21,0))*$R19*INDEX(Parameters!$X$10:$AA$10,1,MATCH($E19,Parameters!$X$3:$AA$3,0))),AX19*(1+INDEX(Response_Table!$J$4:$J$21,MATCH($F19&amp;"|high",Response_Table!$A$4:$A$21,0))*$R19*INDEX(Parameters!$X$10:$AA$10,1,MATCH($E19,Parameters!$X$3:$AA$3,0))))*(1-Inputs_General!$C$22*Parameters!$F$10))</f>
        <v>1.73422510654262</v>
      </c>
      <c r="BA19" s="43" t="n">
        <f aca="false">MAX(AX19*(1+INDEX(Response_Table!$J$4:$J$21,MATCH($F19&amp;"|low",Response_Table!$A$4:$A$21,0))*$R19*INDEX(Parameters!$X$10:$AA$10,1,MATCH($E19,Parameters!$X$3:$AA$3,0))),AX19*(1+INDEX(Response_Table!$J$4:$J$21,MATCH($F19&amp;"|high",Response_Table!$A$4:$A$21,0))*$R19*INDEX(Parameters!$X$10:$AA$10,1,MATCH($E19,Parameters!$X$3:$AA$3,0))))*(1+Inputs_General!$C$22*Parameters!$F$10)</f>
        <v>2.99121832536719</v>
      </c>
      <c r="BB19" s="45" t="n">
        <f aca="false">IF(AX19=0,0,AY19/AX19-1)</f>
        <v>-0.275966539445474</v>
      </c>
      <c r="BC19" s="46" t="n">
        <f aca="false">Parameters!$E$11*IF($N19="V",Parameters!$I$11,IF($N19="F",Parameters!$J$11,Parameters!$K$11))*(1-Parameters!$L$11*$P19)*IF($D19="V1",Parameters!$M$11,IF($D19="V2",Parameters!$N$11,Parameters!$O$11))</f>
        <v>1.03483705357143</v>
      </c>
      <c r="BD19" s="46" t="n">
        <f aca="false">BC19*(1+INDEX(Response_Table!$K$4:$K$21,MATCH($F19&amp;"|mid",Response_Table!$A$4:$A$21,0))*$R19*INDEX(Parameters!$X$11:$AA$11,1,MATCH($E19,Parameters!$X$3:$AA$3,0)))</f>
        <v>0.561573724293012</v>
      </c>
      <c r="BE19" s="46" t="n">
        <f aca="false">MAX(0,MIN(BC19*(1+INDEX(Response_Table!$K$4:$K$21,MATCH($F19&amp;"|low",Response_Table!$A$4:$A$21,0))*$R19*INDEX(Parameters!$X$11:$AA$11,1,MATCH($E19,Parameters!$X$3:$AA$3,0))),BC19*(1+INDEX(Response_Table!$K$4:$K$21,MATCH($F19&amp;"|high",Response_Table!$A$4:$A$21,0))*$R19*INDEX(Parameters!$X$11:$AA$11,1,MATCH($E19,Parameters!$X$3:$AA$3,0))))*(1-Inputs_General!$C$22*Parameters!$F$11))</f>
        <v>0.416076883950161</v>
      </c>
      <c r="BF19" s="46" t="n">
        <f aca="false">MAX(BC19*(1+INDEX(Response_Table!$K$4:$K$21,MATCH($F19&amp;"|low",Response_Table!$A$4:$A$21,0))*$R19*INDEX(Parameters!$X$11:$AA$11,1,MATCH($E19,Parameters!$X$3:$AA$3,0))),BC19*(1+INDEX(Response_Table!$K$4:$K$21,MATCH($F19&amp;"|high",Response_Table!$A$4:$A$21,0))*$R19*INDEX(Parameters!$X$11:$AA$11,1,MATCH($E19,Parameters!$X$3:$AA$3,0))))*(1+Inputs_General!$C$22*Parameters!$F$11)</f>
        <v>0.762646090867836</v>
      </c>
      <c r="BG19" s="45" t="n">
        <f aca="false">IF(BC19=0,0,BD19/BC19-1)</f>
        <v>-0.457331255819543</v>
      </c>
      <c r="BH19" s="46" t="n">
        <f aca="false">Parameters!$E$12*IF($N19="V",Parameters!$I$12,IF($N19="F",Parameters!$J$12,Parameters!$K$12))*(1-Parameters!$L$12*$P19)*IF($D19="V1",Parameters!$M$12,IF($D19="V2",Parameters!$N$12,Parameters!$O$12))</f>
        <v>0.385689857142857</v>
      </c>
      <c r="BI19" s="46" t="n">
        <f aca="false">BH19*(1+INDEX(Response_Table!$L$4:$L$21,MATCH($F19&amp;"|mid",Response_Table!$A$4:$A$21,0))*$R19*INDEX(Parameters!$X$12:$AA$12,1,MATCH($E19,Parameters!$X$3:$AA$3,0)))</f>
        <v>0.24140345977403</v>
      </c>
      <c r="BJ19" s="46" t="n">
        <f aca="false">MAX(0,MIN(BH19*(1+INDEX(Response_Table!$L$4:$L$21,MATCH($F19&amp;"|low",Response_Table!$A$4:$A$21,0))*$R19*INDEX(Parameters!$X$12:$AA$12,1,MATCH($E19,Parameters!$X$3:$AA$3,0))),BH19*(1+INDEX(Response_Table!$L$4:$L$21,MATCH($F19&amp;"|high",Response_Table!$A$4:$A$21,0))*$R19*INDEX(Parameters!$X$12:$AA$12,1,MATCH($E19,Parameters!$X$3:$AA$3,0))))*(1-Inputs_General!$C$22*Parameters!$F$12))</f>
        <v>0.177288647551343</v>
      </c>
      <c r="BK19" s="46" t="n">
        <f aca="false">MAX(BH19*(1+INDEX(Response_Table!$L$4:$L$21,MATCH($F19&amp;"|low",Response_Table!$A$4:$A$21,0))*$R19*INDEX(Parameters!$X$12:$AA$12,1,MATCH($E19,Parameters!$X$3:$AA$3,0))),BH19*(1+INDEX(Response_Table!$L$4:$L$21,MATCH($F19&amp;"|high",Response_Table!$A$4:$A$21,0))*$R19*INDEX(Parameters!$X$12:$AA$12,1,MATCH($E19,Parameters!$X$3:$AA$3,0))))*(1+Inputs_General!$C$22*Parameters!$F$12)</f>
        <v>0.324258120428264</v>
      </c>
      <c r="BL19" s="45" t="n">
        <f aca="false">IF(BH19=0,0,BI19/BH19-1)</f>
        <v>-0.374099538001033</v>
      </c>
      <c r="BM19" s="46" t="n">
        <f aca="false">Parameters!$E$13*IF($N19="V",Parameters!$I$13,IF($N19="F",Parameters!$J$13,Parameters!$K$13))*(1-Parameters!$L$13*$P19)*IF($D19="V1",Parameters!$M$13,IF($D19="V2",Parameters!$N$13,Parameters!$O$13))</f>
        <v>0.266485178571429</v>
      </c>
      <c r="BN19" s="46" t="n">
        <f aca="false">BM19*(1+INDEX(Response_Table!$M$4:$M$21,MATCH($F19&amp;"|mid",Response_Table!$A$4:$A$21,0))*$R19*INDEX(Parameters!$X$13:$AA$13,1,MATCH($E19,Parameters!$X$3:$AA$3,0)))</f>
        <v>0.200139811349656</v>
      </c>
      <c r="BO19" s="46" t="n">
        <f aca="false">MAX(0,MIN(BM19*(1+INDEX(Response_Table!$M$4:$M$21,MATCH($F19&amp;"|low",Response_Table!$A$4:$A$21,0))*$R19*INDEX(Parameters!$X$13:$AA$13,1,MATCH($E19,Parameters!$X$3:$AA$3,0))),BM19*(1+INDEX(Response_Table!$M$4:$M$21,MATCH($F19&amp;"|high",Response_Table!$A$4:$A$21,0))*$R19*INDEX(Parameters!$X$13:$AA$13,1,MATCH($E19,Parameters!$X$3:$AA$3,0))))*(1-Inputs_General!$C$22*Parameters!$F$13))</f>
        <v>0.149376607311792</v>
      </c>
      <c r="BP19" s="46" t="n">
        <f aca="false">MAX(BM19*(1+INDEX(Response_Table!$M$4:$M$21,MATCH($F19&amp;"|low",Response_Table!$A$4:$A$21,0))*$R19*INDEX(Parameters!$X$13:$AA$13,1,MATCH($E19,Parameters!$X$3:$AA$3,0))),BM19*(1+INDEX(Response_Table!$M$4:$M$21,MATCH($F19&amp;"|high",Response_Table!$A$4:$A$21,0))*$R19*INDEX(Parameters!$X$13:$AA$13,1,MATCH($E19,Parameters!$X$3:$AA$3,0))))*(1+Inputs_General!$C$22*Parameters!$F$13)</f>
        <v>0.266712590292183</v>
      </c>
      <c r="BQ19" s="45" t="n">
        <f aca="false">IF(BM19=0,0,BN19/BM19-1)</f>
        <v>-0.248964567475896</v>
      </c>
      <c r="BR19" s="44" t="n">
        <f aca="false">Parameters!$E$14*IF($N19="V",Parameters!$I$14,IF($N19="F",Parameters!$J$14,Parameters!$K$14))*(1-Parameters!$L$14*$P19)*IF($D19="V1",Parameters!$M$14,IF($D19="V2",Parameters!$N$14,Parameters!$O$14))*INDEX(Context!$AC$4:$AC$51,$K19)</f>
        <v>17.25</v>
      </c>
      <c r="BS19" s="44" t="n">
        <f aca="false">BR19*(1+INDEX(Response_Table!$N$4:$N$21,MATCH($F19&amp;"|mid",Response_Table!$A$4:$A$21,0))*$R19*INDEX(Parameters!$X$14:$AA$14,1,MATCH($E19,Parameters!$X$3:$AA$3,0)))</f>
        <v>24.2898731242013</v>
      </c>
      <c r="BT19" s="44" t="n">
        <f aca="false">MAX(0,MIN(BR19*(1+INDEX(Response_Table!$N$4:$N$21,MATCH($F19&amp;"|low",Response_Table!$A$4:$A$21,0))*$R19*INDEX(Parameters!$X$14:$AA$14,1,MATCH($E19,Parameters!$X$3:$AA$3,0))),BR19*(1+INDEX(Response_Table!$N$4:$N$21,MATCH($F19&amp;"|high",Response_Table!$A$4:$A$21,0))*$R19*INDEX(Parameters!$X$14:$AA$14,1,MATCH($E19,Parameters!$X$3:$AA$3,0))))*(1-Inputs_General!$C$22*Parameters!$F$14))</f>
        <v>11.5763096270849</v>
      </c>
      <c r="BU19" s="44" t="n">
        <f aca="false">MAX(BR19*(1+INDEX(Response_Table!$N$4:$N$21,MATCH($F19&amp;"|low",Response_Table!$A$4:$A$21,0))*$R19*INDEX(Parameters!$X$14:$AA$14,1,MATCH($E19,Parameters!$X$3:$AA$3,0))),BR19*(1+INDEX(Response_Table!$N$4:$N$21,MATCH($F19&amp;"|high",Response_Table!$A$4:$A$21,0))*$R19*INDEX(Parameters!$X$14:$AA$14,1,MATCH($E19,Parameters!$X$3:$AA$3,0))))*(1+Inputs_General!$C$22*Parameters!$F$14)</f>
        <v>37.7715153452196</v>
      </c>
      <c r="BV19" s="45" t="n">
        <f aca="false">IF(BR19=0,0,BS19/BR19-1)</f>
        <v>0.408108586910218</v>
      </c>
      <c r="BW19" s="43" t="n">
        <f aca="false">Parameters!$E$15*IF($N19="V",Parameters!$I$15,IF($N19="F",Parameters!$J$15,Parameters!$K$15))*(1-Parameters!$L$15*$P19)*IF($D19="V1",Parameters!$M$15,IF($D19="V2",Parameters!$N$15,Parameters!$O$15))</f>
        <v>8.30596742857143</v>
      </c>
      <c r="BX19" s="43" t="n">
        <f aca="false">BW19*(1+INDEX(Response_Table!$O$4:$O$21,MATCH($F19&amp;"|mid",Response_Table!$A$4:$A$21,0))*$R19*INDEX(Parameters!$X$15:$AA$15,1,MATCH($E19,Parameters!$X$3:$AA$3,0)))</f>
        <v>7.45853327102228</v>
      </c>
      <c r="BY19" s="43" t="n">
        <f aca="false">MAX(0,MIN(BW19*(1+INDEX(Response_Table!$O$4:$O$21,MATCH($F19&amp;"|low",Response_Table!$A$4:$A$21,0))*$R19*INDEX(Parameters!$X$15:$AA$15,1,MATCH($E19,Parameters!$X$3:$AA$3,0))),BW19*(1+INDEX(Response_Table!$O$4:$O$21,MATCH($F19&amp;"|high",Response_Table!$A$4:$A$21,0))*$R19*INDEX(Parameters!$X$15:$AA$15,1,MATCH($E19,Parameters!$X$3:$AA$3,0))))*(1-Inputs_General!$C$22*Parameters!$F$15))</f>
        <v>5.88953425216727</v>
      </c>
      <c r="BZ19" s="43" t="n">
        <f aca="false">MAX(BW19*(1+INDEX(Response_Table!$O$4:$O$21,MATCH($F19&amp;"|low",Response_Table!$A$4:$A$21,0))*$R19*INDEX(Parameters!$X$15:$AA$15,1,MATCH($E19,Parameters!$X$3:$AA$3,0))),BW19*(1+INDEX(Response_Table!$O$4:$O$21,MATCH($F19&amp;"|high",Response_Table!$A$4:$A$21,0))*$R19*INDEX(Parameters!$X$15:$AA$15,1,MATCH($E19,Parameters!$X$3:$AA$3,0))))*(1+Inputs_General!$C$22*Parameters!$F$15)</f>
        <v>9.13759663383337</v>
      </c>
      <c r="CA19" s="45" t="n">
        <f aca="false">IF(BW19=0,0,BX19/BW19-1)</f>
        <v>-0.102027146727554</v>
      </c>
      <c r="CB19" s="46" t="n">
        <f aca="false">BD19+BI19</f>
        <v>0.802977184067042</v>
      </c>
      <c r="CC19" s="43" t="n">
        <f aca="false">BD19/BI19</f>
        <v>2.32628697541735</v>
      </c>
      <c r="CD19" s="46" t="n">
        <f aca="false">BN19/CB19</f>
        <v>0.249247195712283</v>
      </c>
      <c r="CE19" s="43" t="n">
        <f aca="false">AE19/AO19</f>
        <v>1.92825421386611</v>
      </c>
      <c r="CF19" s="44" t="n">
        <f aca="false">AE19/AJ19</f>
        <v>36.9877106495009</v>
      </c>
      <c r="CG19" s="44" t="n">
        <f aca="false">INDEX(Context!$V$4:$V$51,$K19)</f>
        <v>28.62</v>
      </c>
      <c r="CH19" s="44" t="n">
        <f aca="false">INDEX(Context!$Y$4:$Y$51,$K19)</f>
        <v>25.3060134606718</v>
      </c>
      <c r="CI19" s="44" t="n">
        <f aca="false">INDEX(Context!$Z$4:$Z$51,$K19)</f>
        <v>32.62</v>
      </c>
      <c r="CJ19" s="43" t="n">
        <f aca="false">INDEX(Context!$AA$4:$AA$51,$K19)</f>
        <v>0.321696428571429</v>
      </c>
      <c r="CK19" s="43" t="n">
        <f aca="false">MAX(0,MIN(1,1-(1-CJ19)*AO19/AN19))</f>
        <v>0.585637107933518</v>
      </c>
      <c r="CL19" s="44" t="n">
        <f aca="false">CH19+CK19*(CI19-CH19)</f>
        <v>29.5893553850286</v>
      </c>
      <c r="CM19" s="44" t="n">
        <f aca="false">CH19+MAX(0,MIN(1,1-(1-CJ19)*AQ19/AN19))*(CI19-CH19)</f>
        <v>27.9327285070694</v>
      </c>
      <c r="CN19" s="44" t="n">
        <f aca="false">CH19+MAX(0,MIN(1,1-(1-CJ19)*AP19/AN19))*(CI19-CH19)</f>
        <v>30.7789126599704</v>
      </c>
      <c r="CO19" s="44" t="n">
        <f aca="false">CL19-CG19</f>
        <v>0.969355385028635</v>
      </c>
      <c r="CP19" s="44" t="n">
        <f aca="false">CL19-(CH19+CJ19*(CI19-CH19))</f>
        <v>1.93045857603547</v>
      </c>
      <c r="CQ19" s="46" t="n">
        <f aca="false">CL19/CG19</f>
        <v>1.03386985971449</v>
      </c>
      <c r="CR19" s="43" t="n">
        <f aca="false">IF(CL19-CH19&lt;=0,"n/a",(CI19-CL19)/(CL19-CH19))</f>
        <v>0.707542070769054</v>
      </c>
      <c r="CS19" s="43" t="n">
        <f aca="false">IF(CI19-CL19&lt;=0,"n/a",(CL19-CH19)/(CI19-CL19))</f>
        <v>1.41334351880032</v>
      </c>
      <c r="CT19" s="43" t="n">
        <f aca="false">Inputs_General!$C$23+Inputs_General!$C$24*$I19</f>
        <v>1.36</v>
      </c>
      <c r="CU19" s="44" t="n">
        <f aca="false">3.29*CT19</f>
        <v>4.4744</v>
      </c>
    </row>
    <row r="20" customFormat="false" ht="15" hidden="false" customHeight="false" outlineLevel="0" collapsed="false">
      <c r="A20" s="9" t="str">
        <f aca="false">B20&amp;"|"&amp;E20&amp;"|"&amp;F20</f>
        <v>D1V1|03/03/2026|Very high</v>
      </c>
      <c r="B20" s="7" t="s">
        <v>340</v>
      </c>
      <c r="C20" s="9" t="s">
        <v>127</v>
      </c>
      <c r="D20" s="9" t="s">
        <v>142</v>
      </c>
      <c r="E20" s="9" t="s">
        <v>162</v>
      </c>
      <c r="F20" s="7" t="s">
        <v>285</v>
      </c>
      <c r="G20" s="9" t="s">
        <v>286</v>
      </c>
      <c r="H20" s="41" t="n">
        <f aca="false">INDEX(Severity_Classes!$C$4:$C$9,MATCH(F20,Severity_Classes!$A$4:$A$9,0))</f>
        <v>0.51</v>
      </c>
      <c r="I20" s="41" t="n">
        <f aca="false">INDEX(Severity_Classes!$D$4:$D$9,MATCH(F20,Severity_Classes!$A$4:$A$9,0))</f>
        <v>0.65</v>
      </c>
      <c r="J20" s="41" t="n">
        <f aca="false">INDEX(Severity_Classes!$E$4:$E$9,MATCH(F20,Severity_Classes!$A$4:$A$9,0))</f>
        <v>0.85</v>
      </c>
      <c r="K20" s="42" t="n">
        <f aca="false">MATCH(B20&amp;"|"&amp;E20,Context!$A$4:$A$51,0)</f>
        <v>3</v>
      </c>
      <c r="L20" s="42" t="n">
        <f aca="false">INDEX(Context!$H$4:$H$51,K20)</f>
        <v>84</v>
      </c>
      <c r="M20" s="42" t="n">
        <f aca="false">INDEX(Context!$I$4:$I$51,K20)</f>
        <v>26</v>
      </c>
      <c r="N20" s="9" t="str">
        <f aca="false">INDEX(Context!$L$4:$L$51,K20)</f>
        <v>P</v>
      </c>
      <c r="O20" s="9" t="str">
        <f aca="false">INDEX(Context!$M$4:$M$51,K20)</f>
        <v>5th fully expanded leaf from top</v>
      </c>
      <c r="P20" s="43" t="n">
        <f aca="false">INDEX(Context!$R$4:$R$51,K20)</f>
        <v>0.433928571428571</v>
      </c>
      <c r="Q20" s="43" t="n">
        <f aca="false">INDEX(Context!$U$4:$U$51,K20)</f>
        <v>1.73951545534029</v>
      </c>
      <c r="R20" s="43" t="n">
        <f aca="false">INDEX(Context!$AD$4:$AD$51,K20)</f>
        <v>1</v>
      </c>
      <c r="S20" s="9" t="str">
        <f aca="false">INDEX(Context!$AI$4:$AN$51,K20,MATCH(F20,Severity_Classes!$A$4:$A$9,0))</f>
        <v>Possible</v>
      </c>
      <c r="T20" s="44" t="n">
        <f aca="false">Parameters!$E$4*IF($N20="V",Parameters!$I$4,IF($N20="F",Parameters!$J$4,Parameters!$K$4))*(1-Parameters!$L$4*$P20)*IF($D20="V1",Parameters!$M$4,IF($D20="V2",Parameters!$N$4,Parameters!$O$4))</f>
        <v>79.9274017857143</v>
      </c>
      <c r="U20" s="44" t="n">
        <f aca="false">MIN(100,T20*(1+INDEX(Response_Table!$E$4:$E$21,MATCH($F20&amp;"|mid",Response_Table!$A$4:$A$21,0))*$R20*INDEX(Parameters!$X$4:$AA$4,1,MATCH($E20,Parameters!$X$3:$AA$3,0))))</f>
        <v>57.8665553395744</v>
      </c>
      <c r="V20" s="44" t="n">
        <f aca="false">MAX(0,MIN(T20*(1+INDEX(Response_Table!$E$4:$E$21,MATCH($F20&amp;"|low",Response_Table!$A$4:$A$21,0))*$R20*INDEX(Parameters!$X$4:$AA$4,1,MATCH($E20,Parameters!$X$3:$AA$3,0))),T20*(1+INDEX(Response_Table!$E$4:$E$21,MATCH($F20&amp;"|high",Response_Table!$A$4:$A$21,0))*$R20*INDEX(Parameters!$X$4:$AA$4,1,MATCH($E20,Parameters!$X$3:$AA$3,0))))*(1-Inputs_General!$C$22*Parameters!$F$4))</f>
        <v>52.6282227265825</v>
      </c>
      <c r="W20" s="44" t="n">
        <f aca="false">MIN(100,MAX(T20*(1+INDEX(Response_Table!$E$4:$E$21,MATCH($F20&amp;"|low",Response_Table!$A$4:$A$21,0))*$R20*INDEX(Parameters!$X$4:$AA$4,1,MATCH($E20,Parameters!$X$3:$AA$3,0))),T20*(1+INDEX(Response_Table!$E$4:$E$21,MATCH($F20&amp;"|high",Response_Table!$A$4:$A$21,0))*$R20*INDEX(Parameters!$X$4:$AA$4,1,MATCH($E20,Parameters!$X$3:$AA$3,0))))*(1+Inputs_General!$C$22*Parameters!$F$4))</f>
        <v>65.2503254249656</v>
      </c>
      <c r="X20" s="45" t="n">
        <f aca="false">IF(T20=0,0,U20/T20-1)</f>
        <v>-0.276011054447699</v>
      </c>
      <c r="Y20" s="44" t="n">
        <f aca="false">Parameters!$E$5*IF($N20="V",Parameters!$I$5,IF($N20="F",Parameters!$J$5,Parameters!$K$5))*(1-Parameters!$L$5*$P20)*IF($D20="V1",Parameters!$M$5,IF($D20="V2",Parameters!$N$5,Parameters!$O$5))</f>
        <v>62.7907885714286</v>
      </c>
      <c r="Z20" s="44" t="n">
        <f aca="false">MIN(100,Y20*(1+INDEX(Response_Table!$F$4:$F$21,MATCH($F20&amp;"|mid",Response_Table!$A$4:$A$21,0))*$R20*INDEX(Parameters!$X$5:$AA$5,1,MATCH($E20,Parameters!$X$3:$AA$3,0))))</f>
        <v>19.9621920050718</v>
      </c>
      <c r="AA20" s="44" t="n">
        <f aca="false">MAX(0,MIN(Y20*(1+INDEX(Response_Table!$F$4:$F$21,MATCH($F20&amp;"|low",Response_Table!$A$4:$A$21,0))*$R20*INDEX(Parameters!$X$5:$AA$5,1,MATCH($E20,Parameters!$X$3:$AA$3,0))),Y20*(1+INDEX(Response_Table!$F$4:$F$21,MATCH($F20&amp;"|high",Response_Table!$A$4:$A$21,0))*$R20*INDEX(Parameters!$X$5:$AA$5,1,MATCH($E20,Parameters!$X$3:$AA$3,0))))*(1-Inputs_General!$C$22*Parameters!$F$5))</f>
        <v>16.8057140715354</v>
      </c>
      <c r="AB20" s="44" t="n">
        <f aca="false">MIN(100,MAX(Y20*(1+INDEX(Response_Table!$F$4:$F$21,MATCH($F20&amp;"|low",Response_Table!$A$4:$A$21,0))*$R20*INDEX(Parameters!$X$5:$AA$5,1,MATCH($E20,Parameters!$X$3:$AA$3,0))),Y20*(1+INDEX(Response_Table!$F$4:$F$21,MATCH($F20&amp;"|high",Response_Table!$A$4:$A$21,0))*$R20*INDEX(Parameters!$X$5:$AA$5,1,MATCH($E20,Parameters!$X$3:$AA$3,0))))*(1+Inputs_General!$C$22*Parameters!$F$5))</f>
        <v>25.7443188767268</v>
      </c>
      <c r="AC20" s="45" t="n">
        <f aca="false">IF(Y20=0,0,Z20/Y20-1)</f>
        <v>-0.682084069029274</v>
      </c>
      <c r="AD20" s="44" t="n">
        <f aca="false">Parameters!$E$6*IF($N20="V",Parameters!$I$6,IF($N20="F",Parameters!$J$6,Parameters!$K$6))*(1-Parameters!$L$6*$P20)*IF($D20="V1",Parameters!$M$6,IF($D20="V2",Parameters!$N$6,Parameters!$O$6))</f>
        <v>15.3090464285714</v>
      </c>
      <c r="AE20" s="44" t="n">
        <f aca="false">AD20*(1+INDEX(Response_Table!$G$4:$G$21,MATCH($F20&amp;"|mid",Response_Table!$A$4:$A$21,0))*$R20*INDEX(Parameters!$X$6:$AA$6,1,MATCH($E20,Parameters!$X$3:$AA$3,0)))</f>
        <v>4.48480918950093</v>
      </c>
      <c r="AF20" s="44" t="n">
        <f aca="false">MAX(0,MIN(AD20*(1+INDEX(Response_Table!$G$4:$G$21,MATCH($F20&amp;"|low",Response_Table!$A$4:$A$21,0))*$R20*INDEX(Parameters!$X$6:$AA$6,1,MATCH($E20,Parameters!$X$3:$AA$3,0))),AD20*(1+INDEX(Response_Table!$G$4:$G$21,MATCH($F20&amp;"|high",Response_Table!$A$4:$A$21,0))*$R20*INDEX(Parameters!$X$6:$AA$6,1,MATCH($E20,Parameters!$X$3:$AA$3,0))))*(1-Inputs_General!$C$22*Parameters!$F$6))</f>
        <v>3.29066088921862</v>
      </c>
      <c r="AG20" s="44" t="n">
        <f aca="false">MAX(AD20*(1+INDEX(Response_Table!$G$4:$G$21,MATCH($F20&amp;"|low",Response_Table!$A$4:$A$21,0))*$R20*INDEX(Parameters!$X$6:$AA$6,1,MATCH($E20,Parameters!$X$3:$AA$3,0))),AD20*(1+INDEX(Response_Table!$G$4:$G$21,MATCH($F20&amp;"|high",Response_Table!$A$4:$A$21,0))*$R20*INDEX(Parameters!$X$6:$AA$6,1,MATCH($E20,Parameters!$X$3:$AA$3,0))))*(1+Inputs_General!$C$22*Parameters!$F$6)</f>
        <v>6.04054255274344</v>
      </c>
      <c r="AH20" s="45" t="n">
        <f aca="false">IF(AD20=0,0,AE20/AD20-1)</f>
        <v>-0.707048429800899</v>
      </c>
      <c r="AI20" s="46" t="n">
        <f aca="false">Parameters!$E$7*IF($N20="V",Parameters!$I$7,IF($N20="F",Parameters!$J$7,Parameters!$K$7))*(1-Parameters!$L$7*$P20)*IF($D20="V1",Parameters!$M$7,IF($D20="V2",Parameters!$N$7,Parameters!$O$7))*POWER($Q20/Inputs_General!$C$26,-Inputs_General!$C$25)</f>
        <v>0.290012884996263</v>
      </c>
      <c r="AJ20" s="46" t="n">
        <f aca="false">AI20*(1+INDEX(Response_Table!$H$4:$H$21,MATCH($F20&amp;"|mid",Response_Table!$A$4:$A$21,0))*$R20*INDEX(Parameters!$X$7:$AA$7,1,MATCH($E20,Parameters!$X$3:$AA$3,0)))</f>
        <v>0.128324363823322</v>
      </c>
      <c r="AK20" s="46" t="n">
        <f aca="false">MAX(0,MIN(AI20*(1+INDEX(Response_Table!$H$4:$H$21,MATCH($F20&amp;"|low",Response_Table!$A$4:$A$21,0))*$R20*INDEX(Parameters!$X$7:$AA$7,1,MATCH($E20,Parameters!$X$3:$AA$3,0))),AI20*(1+INDEX(Response_Table!$H$4:$H$21,MATCH($F20&amp;"|high",Response_Table!$A$4:$A$21,0))*$R20*INDEX(Parameters!$X$7:$AA$7,1,MATCH($E20,Parameters!$X$3:$AA$3,0))))*(1-Inputs_General!$C$22*Parameters!$F$7))</f>
        <v>0.0818097622954334</v>
      </c>
      <c r="AL20" s="46" t="n">
        <f aca="false">MAX(AI20*(1+INDEX(Response_Table!$H$4:$H$21,MATCH($F20&amp;"|low",Response_Table!$A$4:$A$21,0))*$R20*INDEX(Parameters!$X$7:$AA$7,1,MATCH($E20,Parameters!$X$3:$AA$3,0))),AI20*(1+INDEX(Response_Table!$H$4:$H$21,MATCH($F20&amp;"|high",Response_Table!$A$4:$A$21,0))*$R20*INDEX(Parameters!$X$7:$AA$7,1,MATCH($E20,Parameters!$X$3:$AA$3,0))))*(1+Inputs_General!$C$22*Parameters!$F$7)</f>
        <v>0.184465224694203</v>
      </c>
      <c r="AM20" s="45" t="n">
        <f aca="false">IF(AI20=0,0,AJ20/AI20-1)</f>
        <v>-0.557521853468766</v>
      </c>
      <c r="AN20" s="43" t="n">
        <f aca="false">AI20*$Q20/Inputs_General!$C$13*1000</f>
        <v>5.08038162838696</v>
      </c>
      <c r="AO20" s="43" t="n">
        <f aca="false">AJ20*$Q20/Inputs_General!$C$13*1000*(1+Inputs_General!$C$21*$I20)</f>
        <v>2.61325099667249</v>
      </c>
      <c r="AP20" s="43" t="n">
        <f aca="false">AK20*$Q20/Inputs_General!$C$13*1000*(1+Inputs_General!$C$21*$H20)</f>
        <v>1.61584881686028</v>
      </c>
      <c r="AQ20" s="43" t="n">
        <f aca="false">AL20*$Q20/Inputs_General!$C$13*1000*(1+Inputs_General!$C$21*$J20)</f>
        <v>3.91809801168849</v>
      </c>
      <c r="AR20" s="45" t="n">
        <f aca="false">IF(AN20=0,0,AO20/AN20-1)</f>
        <v>-0.485619154657441</v>
      </c>
      <c r="AS20" s="42" t="n">
        <f aca="false">Parameters!$E$9*IF($N20="V",Parameters!$I$9,IF($N20="F",Parameters!$J$9,Parameters!$K$9))*(1-Parameters!$L$9*$P20)*IF($D20="V1",Parameters!$M$9,IF($D20="V2",Parameters!$N$9,Parameters!$O$9))</f>
        <v>293.55</v>
      </c>
      <c r="AT20" s="42" t="n">
        <f aca="false">AS20*(1+INDEX(Response_Table!$I$4:$I$21,MATCH($F20&amp;"|mid",Response_Table!$A$4:$A$21,0))*$R20*INDEX(Parameters!$X$9:$AA$9,1,MATCH($E20,Parameters!$X$3:$AA$3,0)))</f>
        <v>375.074097334555</v>
      </c>
      <c r="AU20" s="42" t="n">
        <f aca="false">MAX(0,MIN(AS20*(1+INDEX(Response_Table!$I$4:$I$21,MATCH($F20&amp;"|low",Response_Table!$A$4:$A$21,0))*$R20*INDEX(Parameters!$X$9:$AA$9,1,MATCH($E20,Parameters!$X$3:$AA$3,0))),AS20*(1+INDEX(Response_Table!$I$4:$I$21,MATCH($F20&amp;"|high",Response_Table!$A$4:$A$21,0))*$R20*INDEX(Parameters!$X$9:$AA$9,1,MATCH($E20,Parameters!$X$3:$AA$3,0))))*(1-Inputs_General!$C$22*Parameters!$F$9))</f>
        <v>333.628832646892</v>
      </c>
      <c r="AV20" s="42" t="n">
        <f aca="false">MAX(AS20*(1+INDEX(Response_Table!$I$4:$I$21,MATCH($F20&amp;"|low",Response_Table!$A$4:$A$21,0))*$R20*INDEX(Parameters!$X$9:$AA$9,1,MATCH($E20,Parameters!$X$3:$AA$3,0))),AS20*(1+INDEX(Response_Table!$I$4:$I$21,MATCH($F20&amp;"|high",Response_Table!$A$4:$A$21,0))*$R20*INDEX(Parameters!$X$9:$AA$9,1,MATCH($E20,Parameters!$X$3:$AA$3,0))))*(1+Inputs_General!$C$22*Parameters!$F$9)</f>
        <v>416.051302501163</v>
      </c>
      <c r="AW20" s="45" t="n">
        <f aca="false">IF(AS20=0,0,AT20/AS20-1)</f>
        <v>0.2777179265357</v>
      </c>
      <c r="AX20" s="43" t="n">
        <f aca="false">INDEX(Context!$AB$4:$AB$51,$K20)</f>
        <v>3.1826078679718</v>
      </c>
      <c r="AY20" s="43" t="n">
        <f aca="false">AX20*(1+INDEX(Response_Table!$J$4:$J$21,MATCH($F20&amp;"|mid",Response_Table!$A$4:$A$21,0))*$R20*INDEX(Parameters!$X$10:$AA$10,1,MATCH($E20,Parameters!$X$3:$AA$3,0)))</f>
        <v>2.03244601844466</v>
      </c>
      <c r="AZ20" s="43" t="n">
        <f aca="false">MAX(0,MIN(AX20*(1+INDEX(Response_Table!$J$4:$J$21,MATCH($F20&amp;"|low",Response_Table!$A$4:$A$21,0))*$R20*INDEX(Parameters!$X$10:$AA$10,1,MATCH($E20,Parameters!$X$3:$AA$3,0))),AX20*(1+INDEX(Response_Table!$J$4:$J$21,MATCH($F20&amp;"|high",Response_Table!$A$4:$A$21,0))*$R20*INDEX(Parameters!$X$10:$AA$10,1,MATCH($E20,Parameters!$X$3:$AA$3,0))))*(1-Inputs_General!$C$22*Parameters!$F$10))</f>
        <v>1.54218230749538</v>
      </c>
      <c r="BA20" s="43" t="n">
        <f aca="false">MAX(AX20*(1+INDEX(Response_Table!$J$4:$J$21,MATCH($F20&amp;"|low",Response_Table!$A$4:$A$21,0))*$R20*INDEX(Parameters!$X$10:$AA$10,1,MATCH($E20,Parameters!$X$3:$AA$3,0))),AX20*(1+INDEX(Response_Table!$J$4:$J$21,MATCH($F20&amp;"|high",Response_Table!$A$4:$A$21,0))*$R20*INDEX(Parameters!$X$10:$AA$10,1,MATCH($E20,Parameters!$X$3:$AA$3,0))))*(1+Inputs_General!$C$22*Parameters!$F$10)</f>
        <v>2.57516192707738</v>
      </c>
      <c r="BB20" s="45" t="n">
        <f aca="false">IF(AX20=0,0,AY20/AX20-1)</f>
        <v>-0.361389746158113</v>
      </c>
      <c r="BC20" s="46" t="n">
        <f aca="false">Parameters!$E$11*IF($N20="V",Parameters!$I$11,IF($N20="F",Parameters!$J$11,Parameters!$K$11))*(1-Parameters!$L$11*$P20)*IF($D20="V1",Parameters!$M$11,IF($D20="V2",Parameters!$N$11,Parameters!$O$11))</f>
        <v>1.03483705357143</v>
      </c>
      <c r="BD20" s="46" t="n">
        <f aca="false">BC20*(1+INDEX(Response_Table!$K$4:$K$21,MATCH($F20&amp;"|mid",Response_Table!$A$4:$A$21,0))*$R20*INDEX(Parameters!$X$11:$AA$11,1,MATCH($E20,Parameters!$X$3:$AA$3,0)))</f>
        <v>0.446226537000862</v>
      </c>
      <c r="BE20" s="46" t="n">
        <f aca="false">MAX(0,MIN(BC20*(1+INDEX(Response_Table!$K$4:$K$21,MATCH($F20&amp;"|low",Response_Table!$A$4:$A$21,0))*$R20*INDEX(Parameters!$X$11:$AA$11,1,MATCH($E20,Parameters!$X$3:$AA$3,0))),BC20*(1+INDEX(Response_Table!$K$4:$K$21,MATCH($F20&amp;"|high",Response_Table!$A$4:$A$21,0))*$R20*INDEX(Parameters!$X$11:$AA$11,1,MATCH($E20,Parameters!$X$3:$AA$3,0))))*(1-Inputs_General!$C$22*Parameters!$F$11))</f>
        <v>0.339633450882404</v>
      </c>
      <c r="BF20" s="46" t="n">
        <f aca="false">MAX(BC20*(1+INDEX(Response_Table!$K$4:$K$21,MATCH($F20&amp;"|low",Response_Table!$A$4:$A$21,0))*$R20*INDEX(Parameters!$X$11:$AA$11,1,MATCH($E20,Parameters!$X$3:$AA$3,0))),BC20*(1+INDEX(Response_Table!$K$4:$K$21,MATCH($F20&amp;"|high",Response_Table!$A$4:$A$21,0))*$R20*INDEX(Parameters!$X$11:$AA$11,1,MATCH($E20,Parameters!$X$3:$AA$3,0))))*(1+Inputs_General!$C$22*Parameters!$F$11)</f>
        <v>0.574937544953087</v>
      </c>
      <c r="BG20" s="45" t="n">
        <f aca="false">IF(BC20=0,0,BD20/BC20-1)</f>
        <v>-0.568795362070921</v>
      </c>
      <c r="BH20" s="46" t="n">
        <f aca="false">Parameters!$E$12*IF($N20="V",Parameters!$I$12,IF($N20="F",Parameters!$J$12,Parameters!$K$12))*(1-Parameters!$L$12*$P20)*IF($D20="V1",Parameters!$M$12,IF($D20="V2",Parameters!$N$12,Parameters!$O$12))</f>
        <v>0.385689857142857</v>
      </c>
      <c r="BI20" s="46" t="n">
        <f aca="false">BH20*(1+INDEX(Response_Table!$L$4:$L$21,MATCH($F20&amp;"|mid",Response_Table!$A$4:$A$21,0))*$R20*INDEX(Parameters!$X$12:$AA$12,1,MATCH($E20,Parameters!$X$3:$AA$3,0)))</f>
        <v>0.20374095220422</v>
      </c>
      <c r="BJ20" s="46" t="n">
        <f aca="false">MAX(0,MIN(BH20*(1+INDEX(Response_Table!$L$4:$L$21,MATCH($F20&amp;"|low",Response_Table!$A$4:$A$21,0))*$R20*INDEX(Parameters!$X$12:$AA$12,1,MATCH($E20,Parameters!$X$3:$AA$3,0))),BH20*(1+INDEX(Response_Table!$L$4:$L$21,MATCH($F20&amp;"|high",Response_Table!$A$4:$A$21,0))*$R20*INDEX(Parameters!$X$12:$AA$12,1,MATCH($E20,Parameters!$X$3:$AA$3,0))))*(1-Inputs_General!$C$22*Parameters!$F$12))</f>
        <v>0.152593405499134</v>
      </c>
      <c r="BK20" s="46" t="n">
        <f aca="false">MAX(BH20*(1+INDEX(Response_Table!$L$4:$L$21,MATCH($F20&amp;"|low",Response_Table!$A$4:$A$21,0))*$R20*INDEX(Parameters!$X$12:$AA$12,1,MATCH($E20,Parameters!$X$3:$AA$3,0))),BH20*(1+INDEX(Response_Table!$L$4:$L$21,MATCH($F20&amp;"|high",Response_Table!$A$4:$A$21,0))*$R20*INDEX(Parameters!$X$12:$AA$12,1,MATCH($E20,Parameters!$X$3:$AA$3,0))))*(1+Inputs_General!$C$22*Parameters!$F$12)</f>
        <v>0.26282214139281</v>
      </c>
      <c r="BL20" s="45" t="n">
        <f aca="false">IF(BH20=0,0,BI20/BH20-1)</f>
        <v>-0.471749260627418</v>
      </c>
      <c r="BM20" s="46" t="n">
        <f aca="false">Parameters!$E$13*IF($N20="V",Parameters!$I$13,IF($N20="F",Parameters!$J$13,Parameters!$K$13))*(1-Parameters!$L$13*$P20)*IF($D20="V1",Parameters!$M$13,IF($D20="V2",Parameters!$N$13,Parameters!$O$13))</f>
        <v>0.266485178571429</v>
      </c>
      <c r="BN20" s="46" t="n">
        <f aca="false">BM20*(1+INDEX(Response_Table!$M$4:$M$21,MATCH($F20&amp;"|mid",Response_Table!$A$4:$A$21,0))*$R20*INDEX(Parameters!$X$13:$AA$13,1,MATCH($E20,Parameters!$X$3:$AA$3,0)))</f>
        <v>0.175764571302747</v>
      </c>
      <c r="BO20" s="46" t="n">
        <f aca="false">MAX(0,MIN(BM20*(1+INDEX(Response_Table!$M$4:$M$21,MATCH($F20&amp;"|low",Response_Table!$A$4:$A$21,0))*$R20*INDEX(Parameters!$X$13:$AA$13,1,MATCH($E20,Parameters!$X$3:$AA$3,0))),BM20*(1+INDEX(Response_Table!$M$4:$M$21,MATCH($F20&amp;"|high",Response_Table!$A$4:$A$21,0))*$R20*INDEX(Parameters!$X$13:$AA$13,1,MATCH($E20,Parameters!$X$3:$AA$3,0))))*(1-Inputs_General!$C$22*Parameters!$F$13))</f>
        <v>0.135109226754701</v>
      </c>
      <c r="BP20" s="46" t="n">
        <f aca="false">MAX(BM20*(1+INDEX(Response_Table!$M$4:$M$21,MATCH($F20&amp;"|low",Response_Table!$A$4:$A$21,0))*$R20*INDEX(Parameters!$X$13:$AA$13,1,MATCH($E20,Parameters!$X$3:$AA$3,0))),BM20*(1+INDEX(Response_Table!$M$4:$M$21,MATCH($F20&amp;"|high",Response_Table!$A$4:$A$21,0))*$R20*INDEX(Parameters!$X$13:$AA$13,1,MATCH($E20,Parameters!$X$3:$AA$3,0))))*(1+Inputs_General!$C$22*Parameters!$F$13)</f>
        <v>0.221788265848424</v>
      </c>
      <c r="BQ20" s="45" t="n">
        <f aca="false">IF(BM20=0,0,BN20/BM20-1)</f>
        <v>-0.340433969930393</v>
      </c>
      <c r="BR20" s="44" t="n">
        <f aca="false">Parameters!$E$14*IF($N20="V",Parameters!$I$14,IF($N20="F",Parameters!$J$14,Parameters!$K$14))*(1-Parameters!$L$14*$P20)*IF($D20="V1",Parameters!$M$14,IF($D20="V2",Parameters!$N$14,Parameters!$O$14))*INDEX(Context!$AC$4:$AC$51,$K20)</f>
        <v>17.25</v>
      </c>
      <c r="BS20" s="44" t="n">
        <f aca="false">BR20*(1+INDEX(Response_Table!$N$4:$N$21,MATCH($F20&amp;"|mid",Response_Table!$A$4:$A$21,0))*$R20*INDEX(Parameters!$X$14:$AA$14,1,MATCH($E20,Parameters!$X$3:$AA$3,0)))</f>
        <v>26.1274633590796</v>
      </c>
      <c r="BT20" s="44" t="n">
        <f aca="false">MAX(0,MIN(BR20*(1+INDEX(Response_Table!$N$4:$N$21,MATCH($F20&amp;"|low",Response_Table!$A$4:$A$21,0))*$R20*INDEX(Parameters!$X$14:$AA$14,1,MATCH($E20,Parameters!$X$3:$AA$3,0))),BR20*(1+INDEX(Response_Table!$N$4:$N$21,MATCH($F20&amp;"|high",Response_Table!$A$4:$A$21,0))*$R20*INDEX(Parameters!$X$14:$AA$14,1,MATCH($E20,Parameters!$X$3:$AA$3,0))))*(1-Inputs_General!$C$22*Parameters!$F$14))</f>
        <v>12.844260484621</v>
      </c>
      <c r="BU20" s="44" t="n">
        <f aca="false">MAX(BR20*(1+INDEX(Response_Table!$N$4:$N$21,MATCH($F20&amp;"|low",Response_Table!$A$4:$A$21,0))*$R20*INDEX(Parameters!$X$14:$AA$14,1,MATCH($E20,Parameters!$X$3:$AA$3,0))),BR20*(1+INDEX(Response_Table!$N$4:$N$21,MATCH($F20&amp;"|high",Response_Table!$A$4:$A$21,0))*$R20*INDEX(Parameters!$X$14:$AA$14,1,MATCH($E20,Parameters!$X$3:$AA$3,0))))*(1+Inputs_General!$C$22*Parameters!$F$14)</f>
        <v>40.0136350794123</v>
      </c>
      <c r="BV20" s="45" t="n">
        <f aca="false">IF(BR20=0,0,BS20/BR20-1)</f>
        <v>0.514635557048092</v>
      </c>
      <c r="BW20" s="43" t="n">
        <f aca="false">Parameters!$E$15*IF($N20="V",Parameters!$I$15,IF($N20="F",Parameters!$J$15,Parameters!$K$15))*(1-Parameters!$L$15*$P20)*IF($D20="V1",Parameters!$M$15,IF($D20="V2",Parameters!$N$15,Parameters!$O$15))</f>
        <v>8.30596742857143</v>
      </c>
      <c r="BX20" s="43" t="n">
        <f aca="false">BW20*(1+INDEX(Response_Table!$O$4:$O$21,MATCH($F20&amp;"|mid",Response_Table!$A$4:$A$21,0))*$R20*INDEX(Parameters!$X$15:$AA$15,1,MATCH($E20,Parameters!$X$3:$AA$3,0)))</f>
        <v>7.23733088496489</v>
      </c>
      <c r="BY20" s="43" t="n">
        <f aca="false">MAX(0,MIN(BW20*(1+INDEX(Response_Table!$O$4:$O$21,MATCH($F20&amp;"|low",Response_Table!$A$4:$A$21,0))*$R20*INDEX(Parameters!$X$15:$AA$15,1,MATCH($E20,Parameters!$X$3:$AA$3,0))),BW20*(1+INDEX(Response_Table!$O$4:$O$21,MATCH($F20&amp;"|high",Response_Table!$A$4:$A$21,0))*$R20*INDEX(Parameters!$X$15:$AA$15,1,MATCH($E20,Parameters!$X$3:$AA$3,0))))*(1-Inputs_General!$C$22*Parameters!$F$15))</f>
        <v>5.7444922244667</v>
      </c>
      <c r="BZ20" s="43" t="n">
        <f aca="false">MAX(BW20*(1+INDEX(Response_Table!$O$4:$O$21,MATCH($F20&amp;"|low",Response_Table!$A$4:$A$21,0))*$R20*INDEX(Parameters!$X$15:$AA$15,1,MATCH($E20,Parameters!$X$3:$AA$3,0))),BW20*(1+INDEX(Response_Table!$O$4:$O$21,MATCH($F20&amp;"|high",Response_Table!$A$4:$A$21,0))*$R20*INDEX(Parameters!$X$15:$AA$15,1,MATCH($E20,Parameters!$X$3:$AA$3,0))))*(1+Inputs_General!$C$22*Parameters!$F$15)</f>
        <v>8.7767660352009</v>
      </c>
      <c r="CA20" s="45" t="n">
        <f aca="false">IF(BW20=0,0,BX20/BW20-1)</f>
        <v>-0.128658889262023</v>
      </c>
      <c r="CB20" s="46" t="n">
        <f aca="false">BD20+BI20</f>
        <v>0.649967489205082</v>
      </c>
      <c r="CC20" s="43" t="n">
        <f aca="false">BD20/BI20</f>
        <v>2.19016615056156</v>
      </c>
      <c r="CD20" s="46" t="n">
        <f aca="false">BN20/CB20</f>
        <v>0.270420558292399</v>
      </c>
      <c r="CE20" s="43" t="n">
        <f aca="false">AE20/AO20</f>
        <v>1.71618003598259</v>
      </c>
      <c r="CF20" s="44" t="n">
        <f aca="false">AE20/AJ20</f>
        <v>34.9490077790344</v>
      </c>
      <c r="CG20" s="44" t="n">
        <f aca="false">INDEX(Context!$V$4:$V$51,$K20)</f>
        <v>28.62</v>
      </c>
      <c r="CH20" s="44" t="n">
        <f aca="false">INDEX(Context!$Y$4:$Y$51,$K20)</f>
        <v>25.3060134606718</v>
      </c>
      <c r="CI20" s="44" t="n">
        <f aca="false">INDEX(Context!$Z$4:$Z$51,$K20)</f>
        <v>32.62</v>
      </c>
      <c r="CJ20" s="43" t="n">
        <f aca="false">INDEX(Context!$AA$4:$AA$51,$K20)</f>
        <v>0.321696428571429</v>
      </c>
      <c r="CK20" s="43" t="n">
        <f aca="false">MAX(0,MIN(1,1-(1-CJ20)*AO20/AN20))</f>
        <v>0.651093635529695</v>
      </c>
      <c r="CL20" s="44" t="n">
        <f aca="false">CH20+CK20*(CI20-CH20)</f>
        <v>30.0681035467782</v>
      </c>
      <c r="CM20" s="44" t="n">
        <f aca="false">CH20+MAX(0,MIN(1,1-(1-CJ20)*AQ20/AN20))*(CI20-CH20)</f>
        <v>28.793892047823</v>
      </c>
      <c r="CN20" s="44" t="n">
        <f aca="false">CH20+MAX(0,MIN(1,1-(1-CJ20)*AP20/AN20))*(CI20-CH20)</f>
        <v>31.0420884752598</v>
      </c>
      <c r="CO20" s="44" t="n">
        <f aca="false">CL20-CG20</f>
        <v>1.44810354677823</v>
      </c>
      <c r="CP20" s="44" t="n">
        <f aca="false">CL20-(CH20+CJ20*(CI20-CH20))</f>
        <v>2.40920673778507</v>
      </c>
      <c r="CQ20" s="46" t="n">
        <f aca="false">CL20/CG20</f>
        <v>1.05059760820329</v>
      </c>
      <c r="CR20" s="43" t="n">
        <f aca="false">IF(CL20-CH20&lt;=0,"n/a",(CI20-CL20)/(CL20-CH20))</f>
        <v>0.535877399855789</v>
      </c>
      <c r="CS20" s="43" t="n">
        <f aca="false">IF(CI20-CL20&lt;=0,"n/a",(CL20-CH20)/(CI20-CL20))</f>
        <v>1.86609847750458</v>
      </c>
      <c r="CT20" s="43" t="n">
        <f aca="false">Inputs_General!$C$23+Inputs_General!$C$24*$I20</f>
        <v>1.9</v>
      </c>
      <c r="CU20" s="44" t="n">
        <f aca="false">3.29*CT20</f>
        <v>6.251</v>
      </c>
    </row>
    <row r="21" customFormat="false" ht="15" hidden="false" customHeight="false" outlineLevel="0" collapsed="false">
      <c r="A21" s="33" t="str">
        <f aca="false">B21&amp;"|"&amp;E21&amp;"|"&amp;F21</f>
        <v>D1V1|13/03/2026|Healthy</v>
      </c>
      <c r="B21" s="34" t="s">
        <v>340</v>
      </c>
      <c r="C21" s="33" t="s">
        <v>127</v>
      </c>
      <c r="D21" s="33" t="s">
        <v>142</v>
      </c>
      <c r="E21" s="33" t="s">
        <v>164</v>
      </c>
      <c r="F21" s="34" t="s">
        <v>275</v>
      </c>
      <c r="G21" s="33" t="s">
        <v>276</v>
      </c>
      <c r="H21" s="35" t="n">
        <f aca="false">INDEX(Severity_Classes!$C$4:$C$9,MATCH(F21,Severity_Classes!$A$4:$A$9,0))</f>
        <v>0</v>
      </c>
      <c r="I21" s="35" t="n">
        <f aca="false">INDEX(Severity_Classes!$D$4:$D$9,MATCH(F21,Severity_Classes!$A$4:$A$9,0))</f>
        <v>0</v>
      </c>
      <c r="J21" s="35" t="n">
        <f aca="false">INDEX(Severity_Classes!$E$4:$E$9,MATCH(F21,Severity_Classes!$A$4:$A$9,0))</f>
        <v>0</v>
      </c>
      <c r="K21" s="36" t="n">
        <f aca="false">MATCH(B21&amp;"|"&amp;E21,Context!$A$4:$A$51,0)</f>
        <v>4</v>
      </c>
      <c r="L21" s="36" t="n">
        <f aca="false">INDEX(Context!$H$4:$H$51,K21)</f>
        <v>94</v>
      </c>
      <c r="M21" s="36" t="n">
        <f aca="false">INDEX(Context!$I$4:$I$51,K21)</f>
        <v>36</v>
      </c>
      <c r="N21" s="33" t="str">
        <f aca="false">INDEX(Context!$L$4:$L$51,K21)</f>
        <v>P</v>
      </c>
      <c r="O21" s="33" t="str">
        <f aca="false">INDEX(Context!$M$4:$M$51,K21)</f>
        <v>5th fully expanded leaf from top</v>
      </c>
      <c r="P21" s="37" t="n">
        <f aca="false">INDEX(Context!$R$4:$R$51,K21)</f>
        <v>0.953571428571428</v>
      </c>
      <c r="Q21" s="37" t="n">
        <f aca="false">INDEX(Context!$U$4:$U$51,K21)</f>
        <v>2.18945736698217</v>
      </c>
      <c r="R21" s="37" t="n">
        <f aca="false">INDEX(Context!$AD$4:$AD$51,K21)</f>
        <v>1</v>
      </c>
      <c r="S21" s="33" t="str">
        <f aca="false">INDEX(Context!$AI$4:$AN$51,K21,MATCH(F21,Severity_Classes!$A$4:$A$9,0))</f>
        <v>Reference: healthy (uninoculated) control plot</v>
      </c>
      <c r="T21" s="38" t="n">
        <f aca="false">Parameters!$E$4*IF($N21="V",Parameters!$I$4,IF($N21="F",Parameters!$J$4,Parameters!$K$4))*(1-Parameters!$L$4*$P21)*IF($D21="V1",Parameters!$M$4,IF($D21="V2",Parameters!$N$4,Parameters!$O$4))</f>
        <v>77.8046607142857</v>
      </c>
      <c r="U21" s="38" t="n">
        <f aca="false">MIN(100,T21*(1+INDEX(Response_Table!$E$4:$E$21,MATCH($F21&amp;"|mid",Response_Table!$A$4:$A$21,0))*$R21*INDEX(Parameters!$X$4:$AA$4,1,MATCH($E21,Parameters!$X$3:$AA$3,0))))</f>
        <v>77.8046607142857</v>
      </c>
      <c r="V21" s="38" t="n">
        <f aca="false">MAX(0,MIN(T21*(1+INDEX(Response_Table!$E$4:$E$21,MATCH($F21&amp;"|low",Response_Table!$A$4:$A$21,0))*$R21*INDEX(Parameters!$X$4:$AA$4,1,MATCH($E21,Parameters!$X$3:$AA$3,0))),T21*(1+INDEX(Response_Table!$E$4:$E$21,MATCH($F21&amp;"|high",Response_Table!$A$4:$A$21,0))*$R21*INDEX(Parameters!$X$4:$AA$4,1,MATCH($E21,Parameters!$X$3:$AA$3,0))))*(1-Inputs_General!$C$22*Parameters!$F$4))</f>
        <v>72.6851140392857</v>
      </c>
      <c r="W21" s="38" t="n">
        <f aca="false">MIN(100,MAX(T21*(1+INDEX(Response_Table!$E$4:$E$21,MATCH($F21&amp;"|low",Response_Table!$A$4:$A$21,0))*$R21*INDEX(Parameters!$X$4:$AA$4,1,MATCH($E21,Parameters!$X$3:$AA$3,0))),T21*(1+INDEX(Response_Table!$E$4:$E$21,MATCH($F21&amp;"|high",Response_Table!$A$4:$A$21,0))*$R21*INDEX(Parameters!$X$4:$AA$4,1,MATCH($E21,Parameters!$X$3:$AA$3,0))))*(1+Inputs_General!$C$22*Parameters!$F$4))</f>
        <v>82.9242073892857</v>
      </c>
      <c r="X21" s="39" t="n">
        <f aca="false">IF(T21=0,0,U21/T21-1)</f>
        <v>0</v>
      </c>
      <c r="Y21" s="38" t="n">
        <f aca="false">Parameters!$E$5*IF($N21="V",Parameters!$I$5,IF($N21="F",Parameters!$J$5,Parameters!$K$5))*(1-Parameters!$L$5*$P21)*IF($D21="V1",Parameters!$M$5,IF($D21="V2",Parameters!$N$5,Parameters!$O$5))</f>
        <v>58.6602514285714</v>
      </c>
      <c r="Z21" s="38" t="n">
        <f aca="false">MIN(100,Y21*(1+INDEX(Response_Table!$F$4:$F$21,MATCH($F21&amp;"|mid",Response_Table!$A$4:$A$21,0))*$R21*INDEX(Parameters!$X$5:$AA$5,1,MATCH($E21,Parameters!$X$3:$AA$3,0))))</f>
        <v>58.6602514285714</v>
      </c>
      <c r="AA21" s="38" t="n">
        <f aca="false">MAX(0,MIN(Y21*(1+INDEX(Response_Table!$F$4:$F$21,MATCH($F21&amp;"|low",Response_Table!$A$4:$A$21,0))*$R21*INDEX(Parameters!$X$5:$AA$5,1,MATCH($E21,Parameters!$X$3:$AA$3,0))),Y21*(1+INDEX(Response_Table!$F$4:$F$21,MATCH($F21&amp;"|high",Response_Table!$A$4:$A$21,0))*$R21*INDEX(Parameters!$X$5:$AA$5,1,MATCH($E21,Parameters!$X$3:$AA$3,0))))*(1-Inputs_General!$C$22*Parameters!$F$5))</f>
        <v>51.9055234765714</v>
      </c>
      <c r="AB21" s="38" t="n">
        <f aca="false">MIN(100,MAX(Y21*(1+INDEX(Response_Table!$F$4:$F$21,MATCH($F21&amp;"|low",Response_Table!$A$4:$A$21,0))*$R21*INDEX(Parameters!$X$5:$AA$5,1,MATCH($E21,Parameters!$X$3:$AA$3,0))),Y21*(1+INDEX(Response_Table!$F$4:$F$21,MATCH($F21&amp;"|high",Response_Table!$A$4:$A$21,0))*$R21*INDEX(Parameters!$X$5:$AA$5,1,MATCH($E21,Parameters!$X$3:$AA$3,0))))*(1+Inputs_General!$C$22*Parameters!$F$5))</f>
        <v>65.4149793805714</v>
      </c>
      <c r="AC21" s="39" t="n">
        <f aca="false">IF(Y21=0,0,Z21/Y21-1)</f>
        <v>0</v>
      </c>
      <c r="AD21" s="38" t="n">
        <f aca="false">Parameters!$E$6*IF($N21="V",Parameters!$I$6,IF($N21="F",Parameters!$J$6,Parameters!$K$6))*(1-Parameters!$L$6*$P21)*IF($D21="V1",Parameters!$M$6,IF($D21="V2",Parameters!$N$6,Parameters!$O$6))</f>
        <v>14.3019785714286</v>
      </c>
      <c r="AE21" s="38" t="n">
        <f aca="false">AD21*(1+INDEX(Response_Table!$G$4:$G$21,MATCH($F21&amp;"|mid",Response_Table!$A$4:$A$21,0))*$R21*INDEX(Parameters!$X$6:$AA$6,1,MATCH($E21,Parameters!$X$3:$AA$3,0)))</f>
        <v>14.3019785714286</v>
      </c>
      <c r="AF21" s="38" t="n">
        <f aca="false">MAX(0,MIN(AD21*(1+INDEX(Response_Table!$G$4:$G$21,MATCH($F21&amp;"|low",Response_Table!$A$4:$A$21,0))*$R21*INDEX(Parameters!$X$6:$AA$6,1,MATCH($E21,Parameters!$X$3:$AA$3,0))),AD21*(1+INDEX(Response_Table!$G$4:$G$21,MATCH($F21&amp;"|high",Response_Table!$A$4:$A$21,0))*$R21*INDEX(Parameters!$X$6:$AA$6,1,MATCH($E21,Parameters!$X$3:$AA$3,0))))*(1-Inputs_General!$C$22*Parameters!$F$6))</f>
        <v>11.4787680014286</v>
      </c>
      <c r="AG21" s="38" t="n">
        <f aca="false">MAX(AD21*(1+INDEX(Response_Table!$G$4:$G$21,MATCH($F21&amp;"|low",Response_Table!$A$4:$A$21,0))*$R21*INDEX(Parameters!$X$6:$AA$6,1,MATCH($E21,Parameters!$X$3:$AA$3,0))),AD21*(1+INDEX(Response_Table!$G$4:$G$21,MATCH($F21&amp;"|high",Response_Table!$A$4:$A$21,0))*$R21*INDEX(Parameters!$X$6:$AA$6,1,MATCH($E21,Parameters!$X$3:$AA$3,0))))*(1+Inputs_General!$C$22*Parameters!$F$6)</f>
        <v>17.1251891414286</v>
      </c>
      <c r="AH21" s="39" t="n">
        <f aca="false">IF(AD21=0,0,AE21/AD21-1)</f>
        <v>0</v>
      </c>
      <c r="AI21" s="40" t="n">
        <f aca="false">Parameters!$E$7*IF($N21="V",Parameters!$I$7,IF($N21="F",Parameters!$J$7,Parameters!$K$7))*(1-Parameters!$L$7*$P21)*IF($D21="V1",Parameters!$M$7,IF($D21="V2",Parameters!$N$7,Parameters!$O$7))*POWER($Q21/Inputs_General!$C$26,-Inputs_General!$C$25)</f>
        <v>0.258501574676089</v>
      </c>
      <c r="AJ21" s="40" t="n">
        <f aca="false">AI21*(1+INDEX(Response_Table!$H$4:$H$21,MATCH($F21&amp;"|mid",Response_Table!$A$4:$A$21,0))*$R21*INDEX(Parameters!$X$7:$AA$7,1,MATCH($E21,Parameters!$X$3:$AA$3,0)))</f>
        <v>0.258501574676089</v>
      </c>
      <c r="AK21" s="40" t="n">
        <f aca="false">MAX(0,MIN(AI21*(1+INDEX(Response_Table!$H$4:$H$21,MATCH($F21&amp;"|low",Response_Table!$A$4:$A$21,0))*$R21*INDEX(Parameters!$X$7:$AA$7,1,MATCH($E21,Parameters!$X$3:$AA$3,0))),AI21*(1+INDEX(Response_Table!$H$4:$H$21,MATCH($F21&amp;"|high",Response_Table!$A$4:$A$21,0))*$R21*INDEX(Parameters!$X$7:$AA$7,1,MATCH($E21,Parameters!$X$3:$AA$3,0))))*(1-Inputs_General!$C$22*Parameters!$F$7))</f>
        <v>0.181959258414499</v>
      </c>
      <c r="AL21" s="40" t="n">
        <f aca="false">MAX(AI21*(1+INDEX(Response_Table!$H$4:$H$21,MATCH($F21&amp;"|low",Response_Table!$A$4:$A$21,0))*$R21*INDEX(Parameters!$X$7:$AA$7,1,MATCH($E21,Parameters!$X$3:$AA$3,0))),AI21*(1+INDEX(Response_Table!$H$4:$H$21,MATCH($F21&amp;"|high",Response_Table!$A$4:$A$21,0))*$R21*INDEX(Parameters!$X$7:$AA$7,1,MATCH($E21,Parameters!$X$3:$AA$3,0))))*(1+Inputs_General!$C$22*Parameters!$F$7)</f>
        <v>0.335043890937679</v>
      </c>
      <c r="AM21" s="39" t="n">
        <f aca="false">IF(AI21=0,0,AJ21/AI21-1)</f>
        <v>0</v>
      </c>
      <c r="AN21" s="37" t="n">
        <f aca="false">AI21*$Q21/Inputs_General!$C$13*1000</f>
        <v>5.69967952720096</v>
      </c>
      <c r="AO21" s="37" t="n">
        <f aca="false">AJ21*$Q21/Inputs_General!$C$13*1000*(1+Inputs_General!$C$21*$I21)</f>
        <v>5.69967952720096</v>
      </c>
      <c r="AP21" s="37" t="n">
        <f aca="false">AK21*$Q21/Inputs_General!$C$13*1000*(1+Inputs_General!$C$21*$H21)</f>
        <v>4.01200441919675</v>
      </c>
      <c r="AQ21" s="37" t="n">
        <f aca="false">AL21*$Q21/Inputs_General!$C$13*1000*(1+Inputs_General!$C$21*$J21)</f>
        <v>7.38735463520516</v>
      </c>
      <c r="AR21" s="39" t="n">
        <f aca="false">IF(AN21=0,0,AO21/AN21-1)</f>
        <v>0</v>
      </c>
      <c r="AS21" s="36" t="n">
        <f aca="false">Parameters!$E$9*IF($N21="V",Parameters!$I$9,IF($N21="F",Parameters!$J$9,Parameters!$K$9))*(1-Parameters!$L$9*$P21)*IF($D21="V1",Parameters!$M$9,IF($D21="V2",Parameters!$N$9,Parameters!$O$9))</f>
        <v>293.55</v>
      </c>
      <c r="AT21" s="36" t="n">
        <f aca="false">AS21*(1+INDEX(Response_Table!$I$4:$I$21,MATCH($F21&amp;"|mid",Response_Table!$A$4:$A$21,0))*$R21*INDEX(Parameters!$X$9:$AA$9,1,MATCH($E21,Parameters!$X$3:$AA$3,0)))</f>
        <v>293.55</v>
      </c>
      <c r="AU21" s="36" t="n">
        <f aca="false">MAX(0,MIN(AS21*(1+INDEX(Response_Table!$I$4:$I$21,MATCH($F21&amp;"|low",Response_Table!$A$4:$A$21,0))*$R21*INDEX(Parameters!$X$9:$AA$9,1,MATCH($E21,Parameters!$X$3:$AA$3,0))),AS21*(1+INDEX(Response_Table!$I$4:$I$21,MATCH($F21&amp;"|high",Response_Table!$A$4:$A$21,0))*$R21*INDEX(Parameters!$X$9:$AA$9,1,MATCH($E21,Parameters!$X$3:$AA$3,0))))*(1-Inputs_General!$C$22*Parameters!$F$9))</f>
        <v>264.576615</v>
      </c>
      <c r="AV21" s="36" t="n">
        <f aca="false">MAX(AS21*(1+INDEX(Response_Table!$I$4:$I$21,MATCH($F21&amp;"|low",Response_Table!$A$4:$A$21,0))*$R21*INDEX(Parameters!$X$9:$AA$9,1,MATCH($E21,Parameters!$X$3:$AA$3,0))),AS21*(1+INDEX(Response_Table!$I$4:$I$21,MATCH($F21&amp;"|high",Response_Table!$A$4:$A$21,0))*$R21*INDEX(Parameters!$X$9:$AA$9,1,MATCH($E21,Parameters!$X$3:$AA$3,0))))*(1+Inputs_General!$C$22*Parameters!$F$9)</f>
        <v>322.523385</v>
      </c>
      <c r="AW21" s="39" t="n">
        <f aca="false">IF(AS21=0,0,AT21/AS21-1)</f>
        <v>0</v>
      </c>
      <c r="AX21" s="37" t="n">
        <f aca="false">INDEX(Context!$AB$4:$AB$51,$K21)</f>
        <v>2.52121976455078</v>
      </c>
      <c r="AY21" s="37" t="n">
        <f aca="false">AX21*(1+INDEX(Response_Table!$J$4:$J$21,MATCH($F21&amp;"|mid",Response_Table!$A$4:$A$21,0))*$R21*INDEX(Parameters!$X$10:$AA$10,1,MATCH($E21,Parameters!$X$3:$AA$3,0)))</f>
        <v>2.52121976455078</v>
      </c>
      <c r="AZ21" s="37" t="n">
        <f aca="false">MAX(0,MIN(AX21*(1+INDEX(Response_Table!$J$4:$J$21,MATCH($F21&amp;"|low",Response_Table!$A$4:$A$21,0))*$R21*INDEX(Parameters!$X$10:$AA$10,1,MATCH($E21,Parameters!$X$3:$AA$3,0))),AX21*(1+INDEX(Response_Table!$J$4:$J$21,MATCH($F21&amp;"|high",Response_Table!$A$4:$A$21,0))*$R21*INDEX(Parameters!$X$10:$AA$10,1,MATCH($E21,Parameters!$X$3:$AA$3,0))))*(1-Inputs_General!$C$22*Parameters!$F$10))</f>
        <v>2.02353098302846</v>
      </c>
      <c r="BA21" s="37" t="n">
        <f aca="false">MAX(AX21*(1+INDEX(Response_Table!$J$4:$J$21,MATCH($F21&amp;"|low",Response_Table!$A$4:$A$21,0))*$R21*INDEX(Parameters!$X$10:$AA$10,1,MATCH($E21,Parameters!$X$3:$AA$3,0))),AX21*(1+INDEX(Response_Table!$J$4:$J$21,MATCH($F21&amp;"|high",Response_Table!$A$4:$A$21,0))*$R21*INDEX(Parameters!$X$10:$AA$10,1,MATCH($E21,Parameters!$X$3:$AA$3,0))))*(1+Inputs_General!$C$22*Parameters!$F$10)</f>
        <v>3.01890854607311</v>
      </c>
      <c r="BB21" s="39" t="n">
        <f aca="false">IF(AX21=0,0,AY21/AX21-1)</f>
        <v>0</v>
      </c>
      <c r="BC21" s="40" t="n">
        <f aca="false">Parameters!$E$11*IF($N21="V",Parameters!$I$11,IF($N21="F",Parameters!$J$11,Parameters!$K$11))*(1-Parameters!$L$11*$P21)*IF($D21="V1",Parameters!$M$11,IF($D21="V2",Parameters!$N$11,Parameters!$O$11))</f>
        <v>1.00170982142857</v>
      </c>
      <c r="BD21" s="40" t="n">
        <f aca="false">BC21*(1+INDEX(Response_Table!$K$4:$K$21,MATCH($F21&amp;"|mid",Response_Table!$A$4:$A$21,0))*$R21*INDEX(Parameters!$X$11:$AA$11,1,MATCH($E21,Parameters!$X$3:$AA$3,0)))</f>
        <v>1.00170982142857</v>
      </c>
      <c r="BE21" s="40" t="n">
        <f aca="false">MAX(0,MIN(BC21*(1+INDEX(Response_Table!$K$4:$K$21,MATCH($F21&amp;"|low",Response_Table!$A$4:$A$21,0))*$R21*INDEX(Parameters!$X$11:$AA$11,1,MATCH($E21,Parameters!$X$3:$AA$3,0))),BC21*(1+INDEX(Response_Table!$K$4:$K$21,MATCH($F21&amp;"|high",Response_Table!$A$4:$A$21,0))*$R21*INDEX(Parameters!$X$11:$AA$11,1,MATCH($E21,Parameters!$X$3:$AA$3,0))))*(1-Inputs_General!$C$22*Parameters!$F$11))</f>
        <v>0.836928555803572</v>
      </c>
      <c r="BF21" s="40" t="n">
        <f aca="false">MAX(BC21*(1+INDEX(Response_Table!$K$4:$K$21,MATCH($F21&amp;"|low",Response_Table!$A$4:$A$21,0))*$R21*INDEX(Parameters!$X$11:$AA$11,1,MATCH($E21,Parameters!$X$3:$AA$3,0))),BC21*(1+INDEX(Response_Table!$K$4:$K$21,MATCH($F21&amp;"|high",Response_Table!$A$4:$A$21,0))*$R21*INDEX(Parameters!$X$11:$AA$11,1,MATCH($E21,Parameters!$X$3:$AA$3,0))))*(1+Inputs_General!$C$22*Parameters!$F$11)</f>
        <v>1.16649108705357</v>
      </c>
      <c r="BG21" s="39" t="n">
        <f aca="false">IF(BC21=0,0,BD21/BC21-1)</f>
        <v>0</v>
      </c>
      <c r="BH21" s="40" t="n">
        <f aca="false">Parameters!$E$12*IF($N21="V",Parameters!$I$12,IF($N21="F",Parameters!$J$12,Parameters!$K$12))*(1-Parameters!$L$12*$P21)*IF($D21="V1",Parameters!$M$12,IF($D21="V2",Parameters!$N$12,Parameters!$O$12))</f>
        <v>0.373343142857143</v>
      </c>
      <c r="BI21" s="40" t="n">
        <f aca="false">BH21*(1+INDEX(Response_Table!$L$4:$L$21,MATCH($F21&amp;"|mid",Response_Table!$A$4:$A$21,0))*$R21*INDEX(Parameters!$X$12:$AA$12,1,MATCH($E21,Parameters!$X$3:$AA$3,0)))</f>
        <v>0.373343142857143</v>
      </c>
      <c r="BJ21" s="40" t="n">
        <f aca="false">MAX(0,MIN(BH21*(1+INDEX(Response_Table!$L$4:$L$21,MATCH($F21&amp;"|low",Response_Table!$A$4:$A$21,0))*$R21*INDEX(Parameters!$X$12:$AA$12,1,MATCH($E21,Parameters!$X$3:$AA$3,0))),BH21*(1+INDEX(Response_Table!$L$4:$L$21,MATCH($F21&amp;"|high",Response_Table!$A$4:$A$21,0))*$R21*INDEX(Parameters!$X$12:$AA$12,1,MATCH($E21,Parameters!$X$3:$AA$3,0))))*(1-Inputs_General!$C$22*Parameters!$F$12))</f>
        <v>0.299645206457143</v>
      </c>
      <c r="BK21" s="40" t="n">
        <f aca="false">MAX(BH21*(1+INDEX(Response_Table!$L$4:$L$21,MATCH($F21&amp;"|low",Response_Table!$A$4:$A$21,0))*$R21*INDEX(Parameters!$X$12:$AA$12,1,MATCH($E21,Parameters!$X$3:$AA$3,0))),BH21*(1+INDEX(Response_Table!$L$4:$L$21,MATCH($F21&amp;"|high",Response_Table!$A$4:$A$21,0))*$R21*INDEX(Parameters!$X$12:$AA$12,1,MATCH($E21,Parameters!$X$3:$AA$3,0))))*(1+Inputs_General!$C$22*Parameters!$F$12)</f>
        <v>0.447041079257143</v>
      </c>
      <c r="BL21" s="39" t="n">
        <f aca="false">IF(BH21=0,0,BI21/BH21-1)</f>
        <v>0</v>
      </c>
      <c r="BM21" s="40" t="n">
        <f aca="false">Parameters!$E$13*IF($N21="V",Parameters!$I$13,IF($N21="F",Parameters!$J$13,Parameters!$K$13))*(1-Parameters!$L$13*$P21)*IF($D21="V1",Parameters!$M$13,IF($D21="V2",Parameters!$N$13,Parameters!$O$13))</f>
        <v>0.262276071428571</v>
      </c>
      <c r="BN21" s="40" t="n">
        <f aca="false">BM21*(1+INDEX(Response_Table!$M$4:$M$21,MATCH($F21&amp;"|mid",Response_Table!$A$4:$A$21,0))*$R21*INDEX(Parameters!$X$13:$AA$13,1,MATCH($E21,Parameters!$X$3:$AA$3,0)))</f>
        <v>0.262276071428571</v>
      </c>
      <c r="BO21" s="40" t="n">
        <f aca="false">MAX(0,MIN(BM21*(1+INDEX(Response_Table!$M$4:$M$21,MATCH($F21&amp;"|low",Response_Table!$A$4:$A$21,0))*$R21*INDEX(Parameters!$X$13:$AA$13,1,MATCH($E21,Parameters!$X$3:$AA$3,0))),BM21*(1+INDEX(Response_Table!$M$4:$M$21,MATCH($F21&amp;"|high",Response_Table!$A$4:$A$21,0))*$R21*INDEX(Parameters!$X$13:$AA$13,1,MATCH($E21,Parameters!$X$3:$AA$3,0))))*(1-Inputs_General!$C$22*Parameters!$F$13))</f>
        <v>0.210502774928571</v>
      </c>
      <c r="BP21" s="40" t="n">
        <f aca="false">MAX(BM21*(1+INDEX(Response_Table!$M$4:$M$21,MATCH($F21&amp;"|low",Response_Table!$A$4:$A$21,0))*$R21*INDEX(Parameters!$X$13:$AA$13,1,MATCH($E21,Parameters!$X$3:$AA$3,0))),BM21*(1+INDEX(Response_Table!$M$4:$M$21,MATCH($F21&amp;"|high",Response_Table!$A$4:$A$21,0))*$R21*INDEX(Parameters!$X$13:$AA$13,1,MATCH($E21,Parameters!$X$3:$AA$3,0))))*(1+Inputs_General!$C$22*Parameters!$F$13)</f>
        <v>0.314049367928571</v>
      </c>
      <c r="BQ21" s="39" t="n">
        <f aca="false">IF(BM21=0,0,BN21/BM21-1)</f>
        <v>0</v>
      </c>
      <c r="BR21" s="38" t="n">
        <f aca="false">Parameters!$E$14*IF($N21="V",Parameters!$I$14,IF($N21="F",Parameters!$J$14,Parameters!$K$14))*(1-Parameters!$L$14*$P21)*IF($D21="V1",Parameters!$M$14,IF($D21="V2",Parameters!$N$14,Parameters!$O$14))*INDEX(Context!$AC$4:$AC$51,$K21)</f>
        <v>17.25</v>
      </c>
      <c r="BS21" s="38" t="n">
        <f aca="false">BR21*(1+INDEX(Response_Table!$N$4:$N$21,MATCH($F21&amp;"|mid",Response_Table!$A$4:$A$21,0))*$R21*INDEX(Parameters!$X$14:$AA$14,1,MATCH($E21,Parameters!$X$3:$AA$3,0)))</f>
        <v>17.25</v>
      </c>
      <c r="BT21" s="38" t="n">
        <f aca="false">MAX(0,MIN(BR21*(1+INDEX(Response_Table!$N$4:$N$21,MATCH($F21&amp;"|low",Response_Table!$A$4:$A$21,0))*$R21*INDEX(Parameters!$X$14:$AA$14,1,MATCH($E21,Parameters!$X$3:$AA$3,0))),BR21*(1+INDEX(Response_Table!$N$4:$N$21,MATCH($F21&amp;"|high",Response_Table!$A$4:$A$21,0))*$R21*INDEX(Parameters!$X$14:$AA$14,1,MATCH($E21,Parameters!$X$3:$AA$3,0))))*(1-Inputs_General!$C$22*Parameters!$F$14))</f>
        <v>8.737125</v>
      </c>
      <c r="BU21" s="38" t="n">
        <f aca="false">MAX(BR21*(1+INDEX(Response_Table!$N$4:$N$21,MATCH($F21&amp;"|low",Response_Table!$A$4:$A$21,0))*$R21*INDEX(Parameters!$X$14:$AA$14,1,MATCH($E21,Parameters!$X$3:$AA$3,0))),BR21*(1+INDEX(Response_Table!$N$4:$N$21,MATCH($F21&amp;"|high",Response_Table!$A$4:$A$21,0))*$R21*INDEX(Parameters!$X$14:$AA$14,1,MATCH($E21,Parameters!$X$3:$AA$3,0))))*(1+Inputs_General!$C$22*Parameters!$F$14)</f>
        <v>25.762875</v>
      </c>
      <c r="BV21" s="39" t="n">
        <f aca="false">IF(BR21=0,0,BS21/BR21-1)</f>
        <v>0</v>
      </c>
      <c r="BW21" s="37" t="n">
        <f aca="false">Parameters!$E$15*IF($N21="V",Parameters!$I$15,IF($N21="F",Parameters!$J$15,Parameters!$K$15))*(1-Parameters!$L$15*$P21)*IF($D21="V1",Parameters!$M$15,IF($D21="V2",Parameters!$N$15,Parameters!$O$15))</f>
        <v>8.04007657142857</v>
      </c>
      <c r="BX21" s="37" t="n">
        <f aca="false">BW21*(1+INDEX(Response_Table!$O$4:$O$21,MATCH($F21&amp;"|mid",Response_Table!$A$4:$A$21,0))*$R21*INDEX(Parameters!$X$15:$AA$15,1,MATCH($E21,Parameters!$X$3:$AA$3,0)))</f>
        <v>8.04007657142857</v>
      </c>
      <c r="BY21" s="37" t="n">
        <f aca="false">MAX(0,MIN(BW21*(1+INDEX(Response_Table!$O$4:$O$21,MATCH($F21&amp;"|low",Response_Table!$A$4:$A$21,0))*$R21*INDEX(Parameters!$X$15:$AA$15,1,MATCH($E21,Parameters!$X$3:$AA$3,0))),BW21*(1+INDEX(Response_Table!$O$4:$O$21,MATCH($F21&amp;"|high",Response_Table!$A$4:$A$21,0))*$R21*INDEX(Parameters!$X$15:$AA$15,1,MATCH($E21,Parameters!$X$3:$AA$3,0))))*(1-Inputs_General!$C$22*Parameters!$F$15))</f>
        <v>6.45296545622857</v>
      </c>
      <c r="BZ21" s="37" t="n">
        <f aca="false">MAX(BW21*(1+INDEX(Response_Table!$O$4:$O$21,MATCH($F21&amp;"|low",Response_Table!$A$4:$A$21,0))*$R21*INDEX(Parameters!$X$15:$AA$15,1,MATCH($E21,Parameters!$X$3:$AA$3,0))),BW21*(1+INDEX(Response_Table!$O$4:$O$21,MATCH($F21&amp;"|high",Response_Table!$A$4:$A$21,0))*$R21*INDEX(Parameters!$X$15:$AA$15,1,MATCH($E21,Parameters!$X$3:$AA$3,0))))*(1+Inputs_General!$C$22*Parameters!$F$15)</f>
        <v>9.62718768662857</v>
      </c>
      <c r="CA21" s="39" t="n">
        <f aca="false">IF(BW21=0,0,BX21/BW21-1)</f>
        <v>0</v>
      </c>
      <c r="CB21" s="40" t="n">
        <f aca="false">BD21+BI21</f>
        <v>1.37505296428571</v>
      </c>
      <c r="CC21" s="37" t="n">
        <f aca="false">BD21/BI21</f>
        <v>2.68308080808081</v>
      </c>
      <c r="CD21" s="40" t="n">
        <f aca="false">BN21/CB21</f>
        <v>0.190738886603407</v>
      </c>
      <c r="CE21" s="37" t="n">
        <f aca="false">AE21/AO21</f>
        <v>2.5092601264991</v>
      </c>
      <c r="CF21" s="38" t="n">
        <f aca="false">AE21/AJ21</f>
        <v>55.3264659580872</v>
      </c>
      <c r="CG21" s="38" t="n">
        <f aca="false">INDEX(Context!$V$4:$V$51,$K21)</f>
        <v>32.7871428571429</v>
      </c>
      <c r="CH21" s="38" t="n">
        <f aca="false">INDEX(Context!$Y$4:$Y$51,$K21)</f>
        <v>28.36912210206</v>
      </c>
      <c r="CI21" s="38" t="n">
        <f aca="false">INDEX(Context!$Z$4:$Z$51,$K21)</f>
        <v>36.7871428571429</v>
      </c>
      <c r="CJ21" s="37" t="n">
        <f aca="false">INDEX(Context!$AA$4:$AA$51,$K21)</f>
        <v>0.347678571428571</v>
      </c>
      <c r="CK21" s="37" t="n">
        <f aca="false">MAX(0,MIN(1,1-(1-CJ21)*AO21/AN21))</f>
        <v>0.347678571428571</v>
      </c>
      <c r="CL21" s="38" t="n">
        <f aca="false">CH21+CK21*(CI21-CH21)</f>
        <v>31.2958875324433</v>
      </c>
      <c r="CM21" s="38" t="n">
        <f aca="false">CH21+MAX(0,MIN(1,1-(1-CJ21)*AQ21/AN21))*(CI21-CH21)</f>
        <v>29.6699268307998</v>
      </c>
      <c r="CN21" s="38" t="n">
        <f aca="false">CH21+MAX(0,MIN(1,1-(1-CJ21)*AP21/AN21))*(CI21-CH21)</f>
        <v>32.9218482340868</v>
      </c>
      <c r="CO21" s="38" t="n">
        <f aca="false">CL21-CG21</f>
        <v>-1.49125532469956</v>
      </c>
      <c r="CP21" s="38" t="n">
        <f aca="false">CL21-(CH21+CJ21*(CI21-CH21))</f>
        <v>0</v>
      </c>
      <c r="CQ21" s="40" t="n">
        <f aca="false">CL21/CG21</f>
        <v>0.954517069962542</v>
      </c>
      <c r="CR21" s="37" t="n">
        <f aca="false">IF(CL21-CH21&lt;=0,"n/a",(CI21-CL21)/(CL21-CH21))</f>
        <v>1.87621982537237</v>
      </c>
      <c r="CS21" s="37" t="n">
        <f aca="false">IF(CI21-CL21&lt;=0,"n/a",(CL21-CH21)/(CI21-CL21))</f>
        <v>0.53298658636737</v>
      </c>
      <c r="CT21" s="37" t="n">
        <f aca="false">Inputs_General!$C$23+Inputs_General!$C$24*$I21</f>
        <v>0.6</v>
      </c>
      <c r="CU21" s="38" t="n">
        <f aca="false">3.29*CT21</f>
        <v>1.974</v>
      </c>
    </row>
    <row r="22" customFormat="false" ht="15" hidden="false" customHeight="false" outlineLevel="0" collapsed="false">
      <c r="A22" s="9" t="str">
        <f aca="false">B22&amp;"|"&amp;E22&amp;"|"&amp;F22</f>
        <v>D1V1|13/03/2026|Very low</v>
      </c>
      <c r="B22" s="7" t="s">
        <v>340</v>
      </c>
      <c r="C22" s="9" t="s">
        <v>127</v>
      </c>
      <c r="D22" s="9" t="s">
        <v>142</v>
      </c>
      <c r="E22" s="9" t="s">
        <v>164</v>
      </c>
      <c r="F22" s="7" t="s">
        <v>277</v>
      </c>
      <c r="G22" s="9" t="s">
        <v>278</v>
      </c>
      <c r="H22" s="41" t="n">
        <f aca="false">INDEX(Severity_Classes!$C$4:$C$9,MATCH(F22,Severity_Classes!$A$4:$A$9,0))</f>
        <v>0.01</v>
      </c>
      <c r="I22" s="41" t="n">
        <f aca="false">INDEX(Severity_Classes!$D$4:$D$9,MATCH(F22,Severity_Classes!$A$4:$A$9,0))</f>
        <v>0.03</v>
      </c>
      <c r="J22" s="41" t="n">
        <f aca="false">INDEX(Severity_Classes!$E$4:$E$9,MATCH(F22,Severity_Classes!$A$4:$A$9,0))</f>
        <v>0.05</v>
      </c>
      <c r="K22" s="42" t="n">
        <f aca="false">MATCH(B22&amp;"|"&amp;E22,Context!$A$4:$A$51,0)</f>
        <v>4</v>
      </c>
      <c r="L22" s="42" t="n">
        <f aca="false">INDEX(Context!$H$4:$H$51,K22)</f>
        <v>94</v>
      </c>
      <c r="M22" s="42" t="n">
        <f aca="false">INDEX(Context!$I$4:$I$51,K22)</f>
        <v>36</v>
      </c>
      <c r="N22" s="9" t="str">
        <f aca="false">INDEX(Context!$L$4:$L$51,K22)</f>
        <v>P</v>
      </c>
      <c r="O22" s="9" t="str">
        <f aca="false">INDEX(Context!$M$4:$M$51,K22)</f>
        <v>5th fully expanded leaf from top</v>
      </c>
      <c r="P22" s="43" t="n">
        <f aca="false">INDEX(Context!$R$4:$R$51,K22)</f>
        <v>0.953571428571428</v>
      </c>
      <c r="Q22" s="43" t="n">
        <f aca="false">INDEX(Context!$U$4:$U$51,K22)</f>
        <v>2.18945736698217</v>
      </c>
      <c r="R22" s="43" t="n">
        <f aca="false">INDEX(Context!$AD$4:$AD$51,K22)</f>
        <v>1</v>
      </c>
      <c r="S22" s="9" t="str">
        <f aca="false">INDEX(Context!$AI$4:$AN$51,K22,MATCH(F22,Severity_Classes!$A$4:$A$9,0))</f>
        <v>Unlikely</v>
      </c>
      <c r="T22" s="44" t="n">
        <f aca="false">Parameters!$E$4*IF($N22="V",Parameters!$I$4,IF($N22="F",Parameters!$J$4,Parameters!$K$4))*(1-Parameters!$L$4*$P22)*IF($D22="V1",Parameters!$M$4,IF($D22="V2",Parameters!$N$4,Parameters!$O$4))</f>
        <v>77.8046607142857</v>
      </c>
      <c r="U22" s="44" t="n">
        <f aca="false">MIN(100,T22*(1+INDEX(Response_Table!$E$4:$E$21,MATCH($F22&amp;"|mid",Response_Table!$A$4:$A$21,0))*$R22*INDEX(Parameters!$X$4:$AA$4,1,MATCH($E22,Parameters!$X$3:$AA$3,0))))</f>
        <v>77.4692184616707</v>
      </c>
      <c r="V22" s="44" t="n">
        <f aca="false">MAX(0,MIN(T22*(1+INDEX(Response_Table!$E$4:$E$21,MATCH($F22&amp;"|low",Response_Table!$A$4:$A$21,0))*$R22*INDEX(Parameters!$X$4:$AA$4,1,MATCH($E22,Parameters!$X$3:$AA$3,0))),T22*(1+INDEX(Response_Table!$E$4:$E$21,MATCH($F22&amp;"|high",Response_Table!$A$4:$A$21,0))*$R22*INDEX(Parameters!$X$4:$AA$4,1,MATCH($E22,Parameters!$X$3:$AA$3,0))))*(1-Inputs_General!$C$22*Parameters!$F$4))</f>
        <v>72.1214543768349</v>
      </c>
      <c r="W22" s="44" t="n">
        <f aca="false">MIN(100,MAX(T22*(1+INDEX(Response_Table!$E$4:$E$21,MATCH($F22&amp;"|low",Response_Table!$A$4:$A$21,0))*$R22*INDEX(Parameters!$X$4:$AA$4,1,MATCH($E22,Parameters!$X$3:$AA$3,0))),T22*(1+INDEX(Response_Table!$E$4:$E$21,MATCH($F22&amp;"|high",Response_Table!$A$4:$A$21,0))*$R22*INDEX(Parameters!$X$4:$AA$4,1,MATCH($E22,Parameters!$X$3:$AA$3,0))))*(1+Inputs_General!$C$22*Parameters!$F$4))</f>
        <v>82.8137156855909</v>
      </c>
      <c r="X22" s="45" t="n">
        <f aca="false">IF(T22=0,0,U22/T22-1)</f>
        <v>-0.00431133880072865</v>
      </c>
      <c r="Y22" s="44" t="n">
        <f aca="false">Parameters!$E$5*IF($N22="V",Parameters!$I$5,IF($N22="F",Parameters!$J$5,Parameters!$K$5))*(1-Parameters!$L$5*$P22)*IF($D22="V1",Parameters!$M$5,IF($D22="V2",Parameters!$N$5,Parameters!$O$5))</f>
        <v>58.6602514285714</v>
      </c>
      <c r="Z22" s="44" t="n">
        <f aca="false">MIN(100,Y22*(1+INDEX(Response_Table!$F$4:$F$21,MATCH($F22&amp;"|mid",Response_Table!$A$4:$A$21,0))*$R22*INDEX(Parameters!$X$5:$AA$5,1,MATCH($E22,Parameters!$X$3:$AA$3,0))))</f>
        <v>57.8529256016008</v>
      </c>
      <c r="AA22" s="44" t="n">
        <f aca="false">MAX(0,MIN(Y22*(1+INDEX(Response_Table!$F$4:$F$21,MATCH($F22&amp;"|low",Response_Table!$A$4:$A$21,0))*$R22*INDEX(Parameters!$X$5:$AA$5,1,MATCH($E22,Parameters!$X$3:$AA$3,0))),Y22*(1+INDEX(Response_Table!$F$4:$F$21,MATCH($F22&amp;"|high",Response_Table!$A$4:$A$21,0))*$R22*INDEX(Parameters!$X$5:$AA$5,1,MATCH($E22,Parameters!$X$3:$AA$3,0))))*(1-Inputs_General!$C$22*Parameters!$F$5))</f>
        <v>50.6028057101609</v>
      </c>
      <c r="AB22" s="44" t="n">
        <f aca="false">MIN(100,MAX(Y22*(1+INDEX(Response_Table!$F$4:$F$21,MATCH($F22&amp;"|low",Response_Table!$A$4:$A$21,0))*$R22*INDEX(Parameters!$X$5:$AA$5,1,MATCH($E22,Parameters!$X$3:$AA$3,0))),Y22*(1+INDEX(Response_Table!$F$4:$F$21,MATCH($F22&amp;"|high",Response_Table!$A$4:$A$21,0))*$R22*INDEX(Parameters!$X$5:$AA$5,1,MATCH($E22,Parameters!$X$3:$AA$3,0))))*(1+Inputs_General!$C$22*Parameters!$F$5))</f>
        <v>65.1405704099803</v>
      </c>
      <c r="AC22" s="45" t="n">
        <f aca="false">IF(Y22=0,0,Z22/Y22-1)</f>
        <v>-0.0137627406516267</v>
      </c>
      <c r="AD22" s="44" t="n">
        <f aca="false">Parameters!$E$6*IF($N22="V",Parameters!$I$6,IF($N22="F",Parameters!$J$6,Parameters!$K$6))*(1-Parameters!$L$6*$P22)*IF($D22="V1",Parameters!$M$6,IF($D22="V2",Parameters!$N$6,Parameters!$O$6))</f>
        <v>14.3019785714286</v>
      </c>
      <c r="AE22" s="44" t="n">
        <f aca="false">AD22*(1+INDEX(Response_Table!$G$4:$G$21,MATCH($F22&amp;"|mid",Response_Table!$A$4:$A$21,0))*$R22*INDEX(Parameters!$X$6:$AA$6,1,MATCH($E22,Parameters!$X$3:$AA$3,0)))</f>
        <v>12.9755522425243</v>
      </c>
      <c r="AF22" s="44" t="n">
        <f aca="false">MAX(0,MIN(AD22*(1+INDEX(Response_Table!$G$4:$G$21,MATCH($F22&amp;"|low",Response_Table!$A$4:$A$21,0))*$R22*INDEX(Parameters!$X$6:$AA$6,1,MATCH($E22,Parameters!$X$3:$AA$3,0))),AD22*(1+INDEX(Response_Table!$G$4:$G$21,MATCH($F22&amp;"|high",Response_Table!$A$4:$A$21,0))*$R22*INDEX(Parameters!$X$6:$AA$6,1,MATCH($E22,Parameters!$X$3:$AA$3,0))))*(1-Inputs_General!$C$22*Parameters!$F$6))</f>
        <v>9.77863732430461</v>
      </c>
      <c r="AG22" s="44" t="n">
        <f aca="false">MAX(AD22*(1+INDEX(Response_Table!$G$4:$G$21,MATCH($F22&amp;"|low",Response_Table!$A$4:$A$21,0))*$R22*INDEX(Parameters!$X$6:$AA$6,1,MATCH($E22,Parameters!$X$3:$AA$3,0))),AD22*(1+INDEX(Response_Table!$G$4:$G$21,MATCH($F22&amp;"|high",Response_Table!$A$4:$A$21,0))*$R22*INDEX(Parameters!$X$6:$AA$6,1,MATCH($E22,Parameters!$X$3:$AA$3,0))))*(1+Inputs_General!$C$22*Parameters!$F$6)</f>
        <v>16.5723104263805</v>
      </c>
      <c r="AH22" s="45" t="n">
        <f aca="false">IF(AD22=0,0,AE22/AD22-1)</f>
        <v>-0.0927442536904701</v>
      </c>
      <c r="AI22" s="46" t="n">
        <f aca="false">Parameters!$E$7*IF($N22="V",Parameters!$I$7,IF($N22="F",Parameters!$J$7,Parameters!$K$7))*(1-Parameters!$L$7*$P22)*IF($D22="V1",Parameters!$M$7,IF($D22="V2",Parameters!$N$7,Parameters!$O$7))*POWER($Q22/Inputs_General!$C$26,-Inputs_General!$C$25)</f>
        <v>0.258501574676089</v>
      </c>
      <c r="AJ22" s="46" t="n">
        <f aca="false">AI22*(1+INDEX(Response_Table!$H$4:$H$21,MATCH($F22&amp;"|mid",Response_Table!$A$4:$A$21,0))*$R22*INDEX(Parameters!$X$7:$AA$7,1,MATCH($E22,Parameters!$X$3:$AA$3,0)))</f>
        <v>0.244039773986459</v>
      </c>
      <c r="AK22" s="46" t="n">
        <f aca="false">MAX(0,MIN(AI22*(1+INDEX(Response_Table!$H$4:$H$21,MATCH($F22&amp;"|low",Response_Table!$A$4:$A$21,0))*$R22*INDEX(Parameters!$X$7:$AA$7,1,MATCH($E22,Parameters!$X$3:$AA$3,0))),AI22*(1+INDEX(Response_Table!$H$4:$H$21,MATCH($F22&amp;"|high",Response_Table!$A$4:$A$21,0))*$R22*INDEX(Parameters!$X$7:$AA$7,1,MATCH($E22,Parameters!$X$3:$AA$3,0))))*(1-Inputs_General!$C$22*Parameters!$F$7))</f>
        <v>0.165484700761211</v>
      </c>
      <c r="AL22" s="46" t="n">
        <f aca="false">MAX(AI22*(1+INDEX(Response_Table!$H$4:$H$21,MATCH($F22&amp;"|low",Response_Table!$A$4:$A$21,0))*$R22*INDEX(Parameters!$X$7:$AA$7,1,MATCH($E22,Parameters!$X$3:$AA$3,0))),AI22*(1+INDEX(Response_Table!$H$4:$H$21,MATCH($F22&amp;"|high",Response_Table!$A$4:$A$21,0))*$R22*INDEX(Parameters!$X$7:$AA$7,1,MATCH($E22,Parameters!$X$3:$AA$3,0))))*(1+Inputs_General!$C$22*Parameters!$F$7)</f>
        <v>0.328607562705257</v>
      </c>
      <c r="AM22" s="45" t="n">
        <f aca="false">IF(AI22=0,0,AJ22/AI22-1)</f>
        <v>-0.0559447295737017</v>
      </c>
      <c r="AN22" s="43" t="n">
        <f aca="false">AI22*$Q22/Inputs_General!$C$13*1000</f>
        <v>5.69967952720096</v>
      </c>
      <c r="AO22" s="43" t="n">
        <f aca="false">AJ22*$Q22/Inputs_General!$C$13*1000*(1+Inputs_General!$C$21*$I22)</f>
        <v>5.4211685911254</v>
      </c>
      <c r="AP22" s="43" t="n">
        <f aca="false">AK22*$Q22/Inputs_General!$C$13*1000*(1+Inputs_General!$C$21*$H22)</f>
        <v>3.65788017570477</v>
      </c>
      <c r="AQ22" s="43" t="n">
        <f aca="false">AL22*$Q22/Inputs_General!$C$13*1000*(1+Inputs_General!$C$21*$J22)</f>
        <v>7.33600858130634</v>
      </c>
      <c r="AR22" s="45" t="n">
        <f aca="false">IF(AN22=0,0,AO22/AN22-1)</f>
        <v>-0.0488643150455044</v>
      </c>
      <c r="AS22" s="42" t="n">
        <f aca="false">Parameters!$E$9*IF($N22="V",Parameters!$I$9,IF($N22="F",Parameters!$J$9,Parameters!$K$9))*(1-Parameters!$L$9*$P22)*IF($D22="V1",Parameters!$M$9,IF($D22="V2",Parameters!$N$9,Parameters!$O$9))</f>
        <v>293.55</v>
      </c>
      <c r="AT22" s="42" t="n">
        <f aca="false">AS22*(1+INDEX(Response_Table!$I$4:$I$21,MATCH($F22&amp;"|mid",Response_Table!$A$4:$A$21,0))*$R22*INDEX(Parameters!$X$9:$AA$9,1,MATCH($E22,Parameters!$X$3:$AA$3,0)))</f>
        <v>303.508351740504</v>
      </c>
      <c r="AU22" s="42" t="n">
        <f aca="false">MAX(0,MIN(AS22*(1+INDEX(Response_Table!$I$4:$I$21,MATCH($F22&amp;"|low",Response_Table!$A$4:$A$21,0))*$R22*INDEX(Parameters!$X$9:$AA$9,1,MATCH($E22,Parameters!$X$3:$AA$3,0))),AS22*(1+INDEX(Response_Table!$I$4:$I$21,MATCH($F22&amp;"|high",Response_Table!$A$4:$A$21,0))*$R22*INDEX(Parameters!$X$9:$AA$9,1,MATCH($E22,Parameters!$X$3:$AA$3,0))))*(1-Inputs_General!$C$22*Parameters!$F$9))</f>
        <v>267.688874238399</v>
      </c>
      <c r="AV22" s="42" t="n">
        <f aca="false">MAX(AS22*(1+INDEX(Response_Table!$I$4:$I$21,MATCH($F22&amp;"|low",Response_Table!$A$4:$A$21,0))*$R22*INDEX(Parameters!$X$9:$AA$9,1,MATCH($E22,Parameters!$X$3:$AA$3,0))),AS22*(1+INDEX(Response_Table!$I$4:$I$21,MATCH($F22&amp;"|high",Response_Table!$A$4:$A$21,0))*$R22*INDEX(Parameters!$X$9:$AA$9,1,MATCH($E22,Parameters!$X$3:$AA$3,0))))*(1+Inputs_General!$C$22*Parameters!$F$9)</f>
        <v>340.062456334107</v>
      </c>
      <c r="AW22" s="45" t="n">
        <f aca="false">IF(AS22=0,0,AT22/AS22-1)</f>
        <v>0.0339238689848527</v>
      </c>
      <c r="AX22" s="43" t="n">
        <f aca="false">INDEX(Context!$AB$4:$AB$51,$K22)</f>
        <v>2.52121976455078</v>
      </c>
      <c r="AY22" s="43" t="n">
        <f aca="false">AX22*(1+INDEX(Response_Table!$J$4:$J$21,MATCH($F22&amp;"|mid",Response_Table!$A$4:$A$21,0))*$R22*INDEX(Parameters!$X$10:$AA$10,1,MATCH($E22,Parameters!$X$3:$AA$3,0)))</f>
        <v>2.43924121687709</v>
      </c>
      <c r="AZ22" s="43" t="n">
        <f aca="false">MAX(0,MIN(AX22*(1+INDEX(Response_Table!$J$4:$J$21,MATCH($F22&amp;"|low",Response_Table!$A$4:$A$21,0))*$R22*INDEX(Parameters!$X$10:$AA$10,1,MATCH($E22,Parameters!$X$3:$AA$3,0))),AX22*(1+INDEX(Response_Table!$J$4:$J$21,MATCH($F22&amp;"|high",Response_Table!$A$4:$A$21,0))*$R22*INDEX(Parameters!$X$10:$AA$10,1,MATCH($E22,Parameters!$X$3:$AA$3,0))))*(1-Inputs_General!$C$22*Parameters!$F$10))</f>
        <v>1.91653396182861</v>
      </c>
      <c r="BA22" s="43" t="n">
        <f aca="false">MAX(AX22*(1+INDEX(Response_Table!$J$4:$J$21,MATCH($F22&amp;"|low",Response_Table!$A$4:$A$21,0))*$R22*INDEX(Parameters!$X$10:$AA$10,1,MATCH($E22,Parameters!$X$3:$AA$3,0))),AX22*(1+INDEX(Response_Table!$J$4:$J$21,MATCH($F22&amp;"|high",Response_Table!$A$4:$A$21,0))*$R22*INDEX(Parameters!$X$10:$AA$10,1,MATCH($E22,Parameters!$X$3:$AA$3,0))))*(1+Inputs_General!$C$22*Parameters!$F$10)</f>
        <v>2.98536684316167</v>
      </c>
      <c r="BB22" s="45" t="n">
        <f aca="false">IF(AX22=0,0,AY22/AX22-1)</f>
        <v>-0.0325154311521512</v>
      </c>
      <c r="BC22" s="46" t="n">
        <f aca="false">Parameters!$E$11*IF($N22="V",Parameters!$I$11,IF($N22="F",Parameters!$J$11,Parameters!$K$11))*(1-Parameters!$L$11*$P22)*IF($D22="V1",Parameters!$M$11,IF($D22="V2",Parameters!$N$11,Parameters!$O$11))</f>
        <v>1.00170982142857</v>
      </c>
      <c r="BD22" s="46" t="n">
        <f aca="false">BC22*(1+INDEX(Response_Table!$K$4:$K$21,MATCH($F22&amp;"|mid",Response_Table!$A$4:$A$21,0))*$R22*INDEX(Parameters!$X$11:$AA$11,1,MATCH($E22,Parameters!$X$3:$AA$3,0)))</f>
        <v>0.942109700251803</v>
      </c>
      <c r="BE22" s="46" t="n">
        <f aca="false">MAX(0,MIN(BC22*(1+INDEX(Response_Table!$K$4:$K$21,MATCH($F22&amp;"|low",Response_Table!$A$4:$A$21,0))*$R22*INDEX(Parameters!$X$11:$AA$11,1,MATCH($E22,Parameters!$X$3:$AA$3,0))),BC22*(1+INDEX(Response_Table!$K$4:$K$21,MATCH($F22&amp;"|high",Response_Table!$A$4:$A$21,0))*$R22*INDEX(Parameters!$X$11:$AA$11,1,MATCH($E22,Parameters!$X$3:$AA$3,0))))*(1-Inputs_General!$C$22*Parameters!$F$11))</f>
        <v>0.756494250444959</v>
      </c>
      <c r="BF22" s="46" t="n">
        <f aca="false">MAX(BC22*(1+INDEX(Response_Table!$K$4:$K$21,MATCH($F22&amp;"|low",Response_Table!$A$4:$A$21,0))*$R22*INDEX(Parameters!$X$11:$AA$11,1,MATCH($E22,Parameters!$X$3:$AA$3,0))),BC22*(1+INDEX(Response_Table!$K$4:$K$21,MATCH($F22&amp;"|high",Response_Table!$A$4:$A$21,0))*$R22*INDEX(Parameters!$X$11:$AA$11,1,MATCH($E22,Parameters!$X$3:$AA$3,0))))*(1+Inputs_General!$C$22*Parameters!$F$11)</f>
        <v>1.14261217270502</v>
      </c>
      <c r="BG22" s="45" t="n">
        <f aca="false">IF(BC22=0,0,BD22/BC22-1)</f>
        <v>-0.0594983895553409</v>
      </c>
      <c r="BH22" s="46" t="n">
        <f aca="false">Parameters!$E$12*IF($N22="V",Parameters!$I$12,IF($N22="F",Parameters!$J$12,Parameters!$K$12))*(1-Parameters!$L$12*$P22)*IF($D22="V1",Parameters!$M$12,IF($D22="V2",Parameters!$N$12,Parameters!$O$12))</f>
        <v>0.373343142857143</v>
      </c>
      <c r="BI22" s="46" t="n">
        <f aca="false">BH22*(1+INDEX(Response_Table!$L$4:$L$21,MATCH($F22&amp;"|mid",Response_Table!$A$4:$A$21,0))*$R22*INDEX(Parameters!$X$12:$AA$12,1,MATCH($E22,Parameters!$X$3:$AA$3,0)))</f>
        <v>0.355669881871087</v>
      </c>
      <c r="BJ22" s="46" t="n">
        <f aca="false">MAX(0,MIN(BH22*(1+INDEX(Response_Table!$L$4:$L$21,MATCH($F22&amp;"|low",Response_Table!$A$4:$A$21,0))*$R22*INDEX(Parameters!$X$12:$AA$12,1,MATCH($E22,Parameters!$X$3:$AA$3,0))),BH22*(1+INDEX(Response_Table!$L$4:$L$21,MATCH($F22&amp;"|high",Response_Table!$A$4:$A$21,0))*$R22*INDEX(Parameters!$X$12:$AA$12,1,MATCH($E22,Parameters!$X$3:$AA$3,0))))*(1-Inputs_General!$C$22*Parameters!$F$12))</f>
        <v>0.276689203518072</v>
      </c>
      <c r="BK22" s="46" t="n">
        <f aca="false">MAX(BH22*(1+INDEX(Response_Table!$L$4:$L$21,MATCH($F22&amp;"|low",Response_Table!$A$4:$A$21,0))*$R22*INDEX(Parameters!$X$12:$AA$12,1,MATCH($E22,Parameters!$X$3:$AA$3,0))),BH22*(1+INDEX(Response_Table!$L$4:$L$21,MATCH($F22&amp;"|high",Response_Table!$A$4:$A$21,0))*$R22*INDEX(Parameters!$X$12:$AA$12,1,MATCH($E22,Parameters!$X$3:$AA$3,0))))*(1+Inputs_General!$C$22*Parameters!$F$12)</f>
        <v>0.439774445938504</v>
      </c>
      <c r="BL22" s="45" t="n">
        <f aca="false">IF(BH22=0,0,BI22/BH22-1)</f>
        <v>-0.0473378481008245</v>
      </c>
      <c r="BM22" s="46" t="n">
        <f aca="false">Parameters!$E$13*IF($N22="V",Parameters!$I$13,IF($N22="F",Parameters!$J$13,Parameters!$K$13))*(1-Parameters!$L$13*$P22)*IF($D22="V1",Parameters!$M$13,IF($D22="V2",Parameters!$N$13,Parameters!$O$13))</f>
        <v>0.262276071428571</v>
      </c>
      <c r="BN22" s="46" t="n">
        <f aca="false">BM22*(1+INDEX(Response_Table!$M$4:$M$21,MATCH($F22&amp;"|mid",Response_Table!$A$4:$A$21,0))*$R22*INDEX(Parameters!$X$13:$AA$13,1,MATCH($E22,Parameters!$X$3:$AA$3,0)))</f>
        <v>0.269091329657061</v>
      </c>
      <c r="BO22" s="46" t="n">
        <f aca="false">MAX(0,MIN(BM22*(1+INDEX(Response_Table!$M$4:$M$21,MATCH($F22&amp;"|low",Response_Table!$A$4:$A$21,0))*$R22*INDEX(Parameters!$X$13:$AA$13,1,MATCH($E22,Parameters!$X$3:$AA$3,0))),BM22*(1+INDEX(Response_Table!$M$4:$M$21,MATCH($F22&amp;"|high",Response_Table!$A$4:$A$21,0))*$R22*INDEX(Parameters!$X$13:$AA$13,1,MATCH($E22,Parameters!$X$3:$AA$3,0))))*(1-Inputs_General!$C$22*Parameters!$F$13))</f>
        <v>0.213191788849957</v>
      </c>
      <c r="BP22" s="46" t="n">
        <f aca="false">MAX(BM22*(1+INDEX(Response_Table!$M$4:$M$21,MATCH($F22&amp;"|low",Response_Table!$A$4:$A$21,0))*$R22*INDEX(Parameters!$X$13:$AA$13,1,MATCH($E22,Parameters!$X$3:$AA$3,0))),BM22*(1+INDEX(Response_Table!$M$4:$M$21,MATCH($F22&amp;"|high",Response_Table!$A$4:$A$21,0))*$R22*INDEX(Parameters!$X$13:$AA$13,1,MATCH($E22,Parameters!$X$3:$AA$3,0))))*(1+Inputs_General!$C$22*Parameters!$F$13)</f>
        <v>0.322440532791779</v>
      </c>
      <c r="BQ22" s="45" t="n">
        <f aca="false">IF(BM22=0,0,BN22/BM22-1)</f>
        <v>0.0259850553326055</v>
      </c>
      <c r="BR22" s="44" t="n">
        <f aca="false">Parameters!$E$14*IF($N22="V",Parameters!$I$14,IF($N22="F",Parameters!$J$14,Parameters!$K$14))*(1-Parameters!$L$14*$P22)*IF($D22="V1",Parameters!$M$14,IF($D22="V2",Parameters!$N$14,Parameters!$O$14))*INDEX(Context!$AC$4:$AC$51,$K22)</f>
        <v>17.25</v>
      </c>
      <c r="BS22" s="44" t="n">
        <f aca="false">BR22*(1+INDEX(Response_Table!$N$4:$N$21,MATCH($F22&amp;"|mid",Response_Table!$A$4:$A$21,0))*$R22*INDEX(Parameters!$X$14:$AA$14,1,MATCH($E22,Parameters!$X$3:$AA$3,0)))</f>
        <v>18.1408122324428</v>
      </c>
      <c r="BT22" s="44" t="n">
        <f aca="false">MAX(0,MIN(BR22*(1+INDEX(Response_Table!$N$4:$N$21,MATCH($F22&amp;"|low",Response_Table!$A$4:$A$21,0))*$R22*INDEX(Parameters!$X$14:$AA$14,1,MATCH($E22,Parameters!$X$3:$AA$3,0))),BR22*(1+INDEX(Response_Table!$N$4:$N$21,MATCH($F22&amp;"|high",Response_Table!$A$4:$A$21,0))*$R22*INDEX(Parameters!$X$14:$AA$14,1,MATCH($E22,Parameters!$X$3:$AA$3,0))))*(1-Inputs_General!$C$22*Parameters!$F$14))</f>
        <v>8.89205764061699</v>
      </c>
      <c r="BU22" s="44" t="n">
        <f aca="false">MAX(BR22*(1+INDEX(Response_Table!$N$4:$N$21,MATCH($F22&amp;"|low",Response_Table!$A$4:$A$21,0))*$R22*INDEX(Parameters!$X$14:$AA$14,1,MATCH($E22,Parameters!$X$3:$AA$3,0))),BR22*(1+INDEX(Response_Table!$N$4:$N$21,MATCH($F22&amp;"|high",Response_Table!$A$4:$A$21,0))*$R22*INDEX(Parameters!$X$14:$AA$14,1,MATCH($E22,Parameters!$X$3:$AA$3,0))))*(1+Inputs_General!$C$22*Parameters!$F$14)</f>
        <v>27.916012795115</v>
      </c>
      <c r="BV22" s="45" t="n">
        <f aca="false">IF(BR22=0,0,BS22/BR22-1)</f>
        <v>0.051641288837263</v>
      </c>
      <c r="BW22" s="43" t="n">
        <f aca="false">Parameters!$E$15*IF($N22="V",Parameters!$I$15,IF($N22="F",Parameters!$J$15,Parameters!$K$15))*(1-Parameters!$L$15*$P22)*IF($D22="V1",Parameters!$M$15,IF($D22="V2",Parameters!$N$15,Parameters!$O$15))</f>
        <v>8.04007657142857</v>
      </c>
      <c r="BX22" s="43" t="n">
        <f aca="false">BW22*(1+INDEX(Response_Table!$O$4:$O$21,MATCH($F22&amp;"|mid",Response_Table!$A$4:$A$21,0))*$R22*INDEX(Parameters!$X$15:$AA$15,1,MATCH($E22,Parameters!$X$3:$AA$3,0)))</f>
        <v>7.93627659230386</v>
      </c>
      <c r="BY22" s="43" t="n">
        <f aca="false">MAX(0,MIN(BW22*(1+INDEX(Response_Table!$O$4:$O$21,MATCH($F22&amp;"|low",Response_Table!$A$4:$A$21,0))*$R22*INDEX(Parameters!$X$15:$AA$15,1,MATCH($E22,Parameters!$X$3:$AA$3,0))),BW22*(1+INDEX(Response_Table!$O$4:$O$21,MATCH($F22&amp;"|high",Response_Table!$A$4:$A$21,0))*$R22*INDEX(Parameters!$X$15:$AA$15,1,MATCH($E22,Parameters!$X$3:$AA$3,0))))*(1-Inputs_General!$C$22*Parameters!$F$15))</f>
        <v>6.31813846375998</v>
      </c>
      <c r="BZ22" s="43" t="n">
        <f aca="false">MAX(BW22*(1+INDEX(Response_Table!$O$4:$O$21,MATCH($F22&amp;"|low",Response_Table!$A$4:$A$21,0))*$R22*INDEX(Parameters!$X$15:$AA$15,1,MATCH($E22,Parameters!$X$3:$AA$3,0))),BW22*(1+INDEX(Response_Table!$O$4:$O$21,MATCH($F22&amp;"|high",Response_Table!$A$4:$A$21,0))*$R22*INDEX(Parameters!$X$15:$AA$15,1,MATCH($E22,Parameters!$X$3:$AA$3,0))))*(1+Inputs_General!$C$22*Parameters!$F$15)</f>
        <v>9.58450872730257</v>
      </c>
      <c r="CA22" s="45" t="n">
        <f aca="false">IF(BW22=0,0,BX22/BW22-1)</f>
        <v>-0.0129103222093158</v>
      </c>
      <c r="CB22" s="46" t="n">
        <f aca="false">BD22+BI22</f>
        <v>1.29777958212289</v>
      </c>
      <c r="CC22" s="43" t="n">
        <f aca="false">BD22/BI22</f>
        <v>2.64883181925781</v>
      </c>
      <c r="CD22" s="46" t="n">
        <f aca="false">BN22/CB22</f>
        <v>0.207347482857517</v>
      </c>
      <c r="CE22" s="43" t="n">
        <f aca="false">AE22/AO22</f>
        <v>2.39349727358889</v>
      </c>
      <c r="CF22" s="44" t="n">
        <f aca="false">AE22/AJ22</f>
        <v>53.169825682777</v>
      </c>
      <c r="CG22" s="44" t="n">
        <f aca="false">INDEX(Context!$V$4:$V$51,$K22)</f>
        <v>32.7871428571429</v>
      </c>
      <c r="CH22" s="44" t="n">
        <f aca="false">INDEX(Context!$Y$4:$Y$51,$K22)</f>
        <v>28.36912210206</v>
      </c>
      <c r="CI22" s="44" t="n">
        <f aca="false">INDEX(Context!$Z$4:$Z$51,$K22)</f>
        <v>36.7871428571429</v>
      </c>
      <c r="CJ22" s="43" t="n">
        <f aca="false">INDEX(Context!$AA$4:$AA$51,$K22)</f>
        <v>0.347678571428571</v>
      </c>
      <c r="CK22" s="43" t="n">
        <f aca="false">MAX(0,MIN(1,1-(1-CJ22)*AO22/AN22))</f>
        <v>0.379553811225219</v>
      </c>
      <c r="CL22" s="44" t="n">
        <f aca="false">CH22+CK22*(CI22-CH22)</f>
        <v>31.5642139626247</v>
      </c>
      <c r="CM22" s="44" t="n">
        <f aca="false">CH22+MAX(0,MIN(1,1-(1-CJ22)*AQ22/AN22))*(CI22-CH22)</f>
        <v>29.7193952773201</v>
      </c>
      <c r="CN22" s="44" t="n">
        <f aca="false">CH22+MAX(0,MIN(1,1-(1-CJ22)*AP22/AN22))*(CI22-CH22)</f>
        <v>33.2630229665258</v>
      </c>
      <c r="CO22" s="44" t="n">
        <f aca="false">CL22-CG22</f>
        <v>-1.22292889451814</v>
      </c>
      <c r="CP22" s="44" t="n">
        <f aca="false">CL22-(CH22+CJ22*(CI22-CH22))</f>
        <v>0.268326430181421</v>
      </c>
      <c r="CQ22" s="46" t="n">
        <f aca="false">CL22/CG22</f>
        <v>0.962700961781069</v>
      </c>
      <c r="CR22" s="43" t="n">
        <f aca="false">IF(CL22-CH22&lt;=0,"n/a",(CI22-CL22)/(CL22-CH22))</f>
        <v>1.6346725297579</v>
      </c>
      <c r="CS22" s="43" t="n">
        <f aca="false">IF(CI22-CL22&lt;=0,"n/a",(CL22-CH22)/(CI22-CL22))</f>
        <v>0.61174331971438</v>
      </c>
      <c r="CT22" s="43" t="n">
        <f aca="false">Inputs_General!$C$23+Inputs_General!$C$24*$I22</f>
        <v>0.66</v>
      </c>
      <c r="CU22" s="44" t="n">
        <f aca="false">3.29*CT22</f>
        <v>2.1714</v>
      </c>
    </row>
    <row r="23" customFormat="false" ht="15" hidden="false" customHeight="false" outlineLevel="0" collapsed="false">
      <c r="A23" s="9" t="str">
        <f aca="false">B23&amp;"|"&amp;E23&amp;"|"&amp;F23</f>
        <v>D1V1|13/03/2026|Low</v>
      </c>
      <c r="B23" s="7" t="s">
        <v>340</v>
      </c>
      <c r="C23" s="9" t="s">
        <v>127</v>
      </c>
      <c r="D23" s="9" t="s">
        <v>142</v>
      </c>
      <c r="E23" s="9" t="s">
        <v>164</v>
      </c>
      <c r="F23" s="7" t="s">
        <v>279</v>
      </c>
      <c r="G23" s="9" t="s">
        <v>280</v>
      </c>
      <c r="H23" s="41" t="n">
        <f aca="false">INDEX(Severity_Classes!$C$4:$C$9,MATCH(F23,Severity_Classes!$A$4:$A$9,0))</f>
        <v>0.06</v>
      </c>
      <c r="I23" s="41" t="n">
        <f aca="false">INDEX(Severity_Classes!$D$4:$D$9,MATCH(F23,Severity_Classes!$A$4:$A$9,0))</f>
        <v>0.08</v>
      </c>
      <c r="J23" s="41" t="n">
        <f aca="false">INDEX(Severity_Classes!$E$4:$E$9,MATCH(F23,Severity_Classes!$A$4:$A$9,0))</f>
        <v>0.1</v>
      </c>
      <c r="K23" s="42" t="n">
        <f aca="false">MATCH(B23&amp;"|"&amp;E23,Context!$A$4:$A$51,0)</f>
        <v>4</v>
      </c>
      <c r="L23" s="42" t="n">
        <f aca="false">INDEX(Context!$H$4:$H$51,K23)</f>
        <v>94</v>
      </c>
      <c r="M23" s="42" t="n">
        <f aca="false">INDEX(Context!$I$4:$I$51,K23)</f>
        <v>36</v>
      </c>
      <c r="N23" s="9" t="str">
        <f aca="false">INDEX(Context!$L$4:$L$51,K23)</f>
        <v>P</v>
      </c>
      <c r="O23" s="9" t="str">
        <f aca="false">INDEX(Context!$M$4:$M$51,K23)</f>
        <v>5th fully expanded leaf from top</v>
      </c>
      <c r="P23" s="43" t="n">
        <f aca="false">INDEX(Context!$R$4:$R$51,K23)</f>
        <v>0.953571428571428</v>
      </c>
      <c r="Q23" s="43" t="n">
        <f aca="false">INDEX(Context!$U$4:$U$51,K23)</f>
        <v>2.18945736698217</v>
      </c>
      <c r="R23" s="43" t="n">
        <f aca="false">INDEX(Context!$AD$4:$AD$51,K23)</f>
        <v>1</v>
      </c>
      <c r="S23" s="9" t="str">
        <f aca="false">INDEX(Context!$AI$4:$AN$51,K23,MATCH(F23,Severity_Classes!$A$4:$A$9,0))</f>
        <v>Possible</v>
      </c>
      <c r="T23" s="44" t="n">
        <f aca="false">Parameters!$E$4*IF($N23="V",Parameters!$I$4,IF($N23="F",Parameters!$J$4,Parameters!$K$4))*(1-Parameters!$L$4*$P23)*IF($D23="V1",Parameters!$M$4,IF($D23="V2",Parameters!$N$4,Parameters!$O$4))</f>
        <v>77.8046607142857</v>
      </c>
      <c r="U23" s="44" t="n">
        <f aca="false">MIN(100,T23*(1+INDEX(Response_Table!$E$4:$E$21,MATCH($F23&amp;"|mid",Response_Table!$A$4:$A$21,0))*$R23*INDEX(Parameters!$X$4:$AA$4,1,MATCH($E23,Parameters!$X$3:$AA$3,0))))</f>
        <v>76.7217268030843</v>
      </c>
      <c r="V23" s="44" t="n">
        <f aca="false">MAX(0,MIN(T23*(1+INDEX(Response_Table!$E$4:$E$21,MATCH($F23&amp;"|low",Response_Table!$A$4:$A$21,0))*$R23*INDEX(Parameters!$X$4:$AA$4,1,MATCH($E23,Parameters!$X$3:$AA$3,0))),T23*(1+INDEX(Response_Table!$E$4:$E$21,MATCH($F23&amp;"|high",Response_Table!$A$4:$A$21,0))*$R23*INDEX(Parameters!$X$4:$AA$4,1,MATCH($E23,Parameters!$X$3:$AA$3,0))))*(1-Inputs_General!$C$22*Parameters!$F$4))</f>
        <v>71.3199693255272</v>
      </c>
      <c r="W23" s="44" t="n">
        <f aca="false">MIN(100,MAX(T23*(1+INDEX(Response_Table!$E$4:$E$21,MATCH($F23&amp;"|low",Response_Table!$A$4:$A$21,0))*$R23*INDEX(Parameters!$X$4:$AA$4,1,MATCH($E23,Parameters!$X$3:$AA$3,0))),T23*(1+INDEX(Response_Table!$E$4:$E$21,MATCH($F23&amp;"|high",Response_Table!$A$4:$A$21,0))*$R23*INDEX(Parameters!$X$4:$AA$4,1,MATCH($E23,Parameters!$X$3:$AA$3,0))))*(1+Inputs_General!$C$22*Parameters!$F$4))</f>
        <v>82.1224306233185</v>
      </c>
      <c r="X23" s="45" t="n">
        <f aca="false">IF(T23=0,0,U23/T23-1)</f>
        <v>-0.0139186251987928</v>
      </c>
      <c r="Y23" s="44" t="n">
        <f aca="false">Parameters!$E$5*IF($N23="V",Parameters!$I$5,IF($N23="F",Parameters!$J$5,Parameters!$K$5))*(1-Parameters!$L$5*$P23)*IF($D23="V1",Parameters!$M$5,IF($D23="V2",Parameters!$N$5,Parameters!$O$5))</f>
        <v>58.6602514285714</v>
      </c>
      <c r="Z23" s="44" t="n">
        <f aca="false">MIN(100,Y23*(1+INDEX(Response_Table!$F$4:$F$21,MATCH($F23&amp;"|mid",Response_Table!$A$4:$A$21,0))*$R23*INDEX(Parameters!$X$5:$AA$5,1,MATCH($E23,Parameters!$X$3:$AA$3,0))))</f>
        <v>55.9648646381072</v>
      </c>
      <c r="AA23" s="44" t="n">
        <f aca="false">MAX(0,MIN(Y23*(1+INDEX(Response_Table!$F$4:$F$21,MATCH($F23&amp;"|low",Response_Table!$A$4:$A$21,0))*$R23*INDEX(Parameters!$X$5:$AA$5,1,MATCH($E23,Parameters!$X$3:$AA$3,0))),Y23*(1+INDEX(Response_Table!$F$4:$F$21,MATCH($F23&amp;"|high",Response_Table!$A$4:$A$21,0))*$R23*INDEX(Parameters!$X$5:$AA$5,1,MATCH($E23,Parameters!$X$3:$AA$3,0))))*(1-Inputs_General!$C$22*Parameters!$F$5))</f>
        <v>48.6475756046601</v>
      </c>
      <c r="AB23" s="44" t="n">
        <f aca="false">MIN(100,MAX(Y23*(1+INDEX(Response_Table!$F$4:$F$21,MATCH($F23&amp;"|low",Response_Table!$A$4:$A$21,0))*$R23*INDEX(Parameters!$X$5:$AA$5,1,MATCH($E23,Parameters!$X$3:$AA$3,0))),Y23*(1+INDEX(Response_Table!$F$4:$F$21,MATCH($F23&amp;"|high",Response_Table!$A$4:$A$21,0))*$R23*INDEX(Parameters!$X$5:$AA$5,1,MATCH($E23,Parameters!$X$3:$AA$3,0))))*(1+Inputs_General!$C$22*Parameters!$F$5))</f>
        <v>63.354120882343</v>
      </c>
      <c r="AC23" s="45" t="n">
        <f aca="false">IF(Y23=0,0,Z23/Y23-1)</f>
        <v>-0.0459491175851214</v>
      </c>
      <c r="AD23" s="44" t="n">
        <f aca="false">Parameters!$E$6*IF($N23="V",Parameters!$I$6,IF($N23="F",Parameters!$J$6,Parameters!$K$6))*(1-Parameters!$L$6*$P23)*IF($D23="V1",Parameters!$M$6,IF($D23="V2",Parameters!$N$6,Parameters!$O$6))</f>
        <v>14.3019785714286</v>
      </c>
      <c r="AE23" s="44" t="n">
        <f aca="false">AD23*(1+INDEX(Response_Table!$G$4:$G$21,MATCH($F23&amp;"|mid",Response_Table!$A$4:$A$21,0))*$R23*INDEX(Parameters!$X$6:$AA$6,1,MATCH($E23,Parameters!$X$3:$AA$3,0)))</f>
        <v>11.1192175685201</v>
      </c>
      <c r="AF23" s="44" t="n">
        <f aca="false">MAX(0,MIN(AD23*(1+INDEX(Response_Table!$G$4:$G$21,MATCH($F23&amp;"|low",Response_Table!$A$4:$A$21,0))*$R23*INDEX(Parameters!$X$6:$AA$6,1,MATCH($E23,Parameters!$X$3:$AA$3,0))),AD23*(1+INDEX(Response_Table!$G$4:$G$21,MATCH($F23&amp;"|high",Response_Table!$A$4:$A$21,0))*$R23*INDEX(Parameters!$X$6:$AA$6,1,MATCH($E23,Parameters!$X$3:$AA$3,0))))*(1-Inputs_General!$C$22*Parameters!$F$6))</f>
        <v>8.41425049691995</v>
      </c>
      <c r="AG23" s="44" t="n">
        <f aca="false">MAX(AD23*(1+INDEX(Response_Table!$G$4:$G$21,MATCH($F23&amp;"|low",Response_Table!$A$4:$A$21,0))*$R23*INDEX(Parameters!$X$6:$AA$6,1,MATCH($E23,Parameters!$X$3:$AA$3,0))),AD23*(1+INDEX(Response_Table!$G$4:$G$21,MATCH($F23&amp;"|high",Response_Table!$A$4:$A$21,0))*$R23*INDEX(Parameters!$X$6:$AA$6,1,MATCH($E23,Parameters!$X$3:$AA$3,0))))*(1+Inputs_General!$C$22*Parameters!$F$6)</f>
        <v>14.1450663770323</v>
      </c>
      <c r="AH23" s="45" t="n">
        <f aca="false">IF(AD23=0,0,AE23/AD23-1)</f>
        <v>-0.222539908517744</v>
      </c>
      <c r="AI23" s="46" t="n">
        <f aca="false">Parameters!$E$7*IF($N23="V",Parameters!$I$7,IF($N23="F",Parameters!$J$7,Parameters!$K$7))*(1-Parameters!$L$7*$P23)*IF($D23="V1",Parameters!$M$7,IF($D23="V2",Parameters!$N$7,Parameters!$O$7))*POWER($Q23/Inputs_General!$C$26,-Inputs_General!$C$25)</f>
        <v>0.258501574676089</v>
      </c>
      <c r="AJ23" s="46" t="n">
        <f aca="false">AI23*(1+INDEX(Response_Table!$H$4:$H$21,MATCH($F23&amp;"|mid",Response_Table!$A$4:$A$21,0))*$R23*INDEX(Parameters!$X$7:$AA$7,1,MATCH($E23,Parameters!$X$3:$AA$3,0)))</f>
        <v>0.222649502636993</v>
      </c>
      <c r="AK23" s="46" t="n">
        <f aca="false">MAX(0,MIN(AI23*(1+INDEX(Response_Table!$H$4:$H$21,MATCH($F23&amp;"|low",Response_Table!$A$4:$A$21,0))*$R23*INDEX(Parameters!$X$7:$AA$7,1,MATCH($E23,Parameters!$X$3:$AA$3,0))),AI23*(1+INDEX(Response_Table!$H$4:$H$21,MATCH($F23&amp;"|high",Response_Table!$A$4:$A$21,0))*$R23*INDEX(Parameters!$X$7:$AA$7,1,MATCH($E23,Parameters!$X$3:$AA$3,0))))*(1-Inputs_General!$C$22*Parameters!$F$7))</f>
        <v>0.151304917580951</v>
      </c>
      <c r="AL23" s="46" t="n">
        <f aca="false">MAX(AI23*(1+INDEX(Response_Table!$H$4:$H$21,MATCH($F23&amp;"|low",Response_Table!$A$4:$A$21,0))*$R23*INDEX(Parameters!$X$7:$AA$7,1,MATCH($E23,Parameters!$X$3:$AA$3,0))),AI23*(1+INDEX(Response_Table!$H$4:$H$21,MATCH($F23&amp;"|high",Response_Table!$A$4:$A$21,0))*$R23*INDEX(Parameters!$X$7:$AA$7,1,MATCH($E23,Parameters!$X$3:$AA$3,0))))*(1+Inputs_General!$C$22*Parameters!$F$7)</f>
        <v>0.299169279878308</v>
      </c>
      <c r="AM23" s="45" t="n">
        <f aca="false">IF(AI23=0,0,AJ23/AI23-1)</f>
        <v>-0.13869189030674</v>
      </c>
      <c r="AN23" s="43" t="n">
        <f aca="false">AI23*$Q23/Inputs_General!$C$13*1000</f>
        <v>5.69967952720096</v>
      </c>
      <c r="AO23" s="43" t="n">
        <f aca="false">AJ23*$Q23/Inputs_General!$C$13*1000*(1+Inputs_General!$C$21*$I23)</f>
        <v>5.00736380341944</v>
      </c>
      <c r="AP23" s="43" t="n">
        <f aca="false">AK23*$Q23/Inputs_General!$C$13*1000*(1+Inputs_General!$C$21*$H23)</f>
        <v>3.38615107205555</v>
      </c>
      <c r="AQ23" s="43" t="n">
        <f aca="false">AL23*$Q23/Inputs_General!$C$13*1000*(1+Inputs_General!$C$21*$J23)</f>
        <v>6.76126730513012</v>
      </c>
      <c r="AR23" s="45" t="n">
        <f aca="false">IF(AN23=0,0,AO23/AN23-1)</f>
        <v>-0.121465728112875</v>
      </c>
      <c r="AS23" s="42" t="n">
        <f aca="false">Parameters!$E$9*IF($N23="V",Parameters!$I$9,IF($N23="F",Parameters!$J$9,Parameters!$K$9))*(1-Parameters!$L$9*$P23)*IF($D23="V1",Parameters!$M$9,IF($D23="V2",Parameters!$N$9,Parameters!$O$9))</f>
        <v>293.55</v>
      </c>
      <c r="AT23" s="42" t="n">
        <f aca="false">AS23*(1+INDEX(Response_Table!$I$4:$I$21,MATCH($F23&amp;"|mid",Response_Table!$A$4:$A$21,0))*$R23*INDEX(Parameters!$X$9:$AA$9,1,MATCH($E23,Parameters!$X$3:$AA$3,0)))</f>
        <v>317.666685050105</v>
      </c>
      <c r="AU23" s="42" t="n">
        <f aca="false">MAX(0,MIN(AS23*(1+INDEX(Response_Table!$I$4:$I$21,MATCH($F23&amp;"|low",Response_Table!$A$4:$A$21,0))*$R23*INDEX(Parameters!$X$9:$AA$9,1,MATCH($E23,Parameters!$X$3:$AA$3,0))),AS23*(1+INDEX(Response_Table!$I$4:$I$21,MATCH($F23&amp;"|high",Response_Table!$A$4:$A$21,0))*$R23*INDEX(Parameters!$X$9:$AA$9,1,MATCH($E23,Parameters!$X$3:$AA$3,0))))*(1-Inputs_General!$C$22*Parameters!$F$9))</f>
        <v>281.512598476296</v>
      </c>
      <c r="AV23" s="42" t="n">
        <f aca="false">MAX(AS23*(1+INDEX(Response_Table!$I$4:$I$21,MATCH($F23&amp;"|low",Response_Table!$A$4:$A$21,0))*$R23*INDEX(Parameters!$X$9:$AA$9,1,MATCH($E23,Parameters!$X$3:$AA$3,0))),AS23*(1+INDEX(Response_Table!$I$4:$I$21,MATCH($F23&amp;"|high",Response_Table!$A$4:$A$21,0))*$R23*INDEX(Parameters!$X$9:$AA$9,1,MATCH($E23,Parameters!$X$3:$AA$3,0))))*(1+Inputs_General!$C$22*Parameters!$F$9)</f>
        <v>354.422233415769</v>
      </c>
      <c r="AW23" s="45" t="n">
        <f aca="false">IF(AS23=0,0,AT23/AS23-1)</f>
        <v>0.0821552888778927</v>
      </c>
      <c r="AX23" s="43" t="n">
        <f aca="false">INDEX(Context!$AB$4:$AB$51,$K23)</f>
        <v>2.52121976455078</v>
      </c>
      <c r="AY23" s="43" t="n">
        <f aca="false">AX23*(1+INDEX(Response_Table!$J$4:$J$21,MATCH($F23&amp;"|mid",Response_Table!$A$4:$A$21,0))*$R23*INDEX(Parameters!$X$10:$AA$10,1,MATCH($E23,Parameters!$X$3:$AA$3,0)))</f>
        <v>2.31556094093052</v>
      </c>
      <c r="AZ23" s="43" t="n">
        <f aca="false">MAX(0,MIN(AX23*(1+INDEX(Response_Table!$J$4:$J$21,MATCH($F23&amp;"|low",Response_Table!$A$4:$A$21,0))*$R23*INDEX(Parameters!$X$10:$AA$10,1,MATCH($E23,Parameters!$X$3:$AA$3,0))),AX23*(1+INDEX(Response_Table!$J$4:$J$21,MATCH($F23&amp;"|high",Response_Table!$A$4:$A$21,0))*$R23*INDEX(Parameters!$X$10:$AA$10,1,MATCH($E23,Parameters!$X$3:$AA$3,0))))*(1-Inputs_General!$C$22*Parameters!$F$10))</f>
        <v>1.82210942203397</v>
      </c>
      <c r="BA23" s="43" t="n">
        <f aca="false">MAX(AX23*(1+INDEX(Response_Table!$J$4:$J$21,MATCH($F23&amp;"|low",Response_Table!$A$4:$A$21,0))*$R23*INDEX(Parameters!$X$10:$AA$10,1,MATCH($E23,Parameters!$X$3:$AA$3,0))),AX23*(1+INDEX(Response_Table!$J$4:$J$21,MATCH($F23&amp;"|high",Response_Table!$A$4:$A$21,0))*$R23*INDEX(Parameters!$X$10:$AA$10,1,MATCH($E23,Parameters!$X$3:$AA$3,0))))*(1+Inputs_General!$C$22*Parameters!$F$10)</f>
        <v>2.82967909990651</v>
      </c>
      <c r="BB23" s="45" t="n">
        <f aca="false">IF(AX23=0,0,AY23/AX23-1)</f>
        <v>-0.0815711611149083</v>
      </c>
      <c r="BC23" s="46" t="n">
        <f aca="false">Parameters!$E$11*IF($N23="V",Parameters!$I$11,IF($N23="F",Parameters!$J$11,Parameters!$K$11))*(1-Parameters!$L$11*$P23)*IF($D23="V1",Parameters!$M$11,IF($D23="V2",Parameters!$N$11,Parameters!$O$11))</f>
        <v>1.00170982142857</v>
      </c>
      <c r="BD23" s="46" t="n">
        <f aca="false">BC23*(1+INDEX(Response_Table!$K$4:$K$21,MATCH($F23&amp;"|mid",Response_Table!$A$4:$A$21,0))*$R23*INDEX(Parameters!$X$11:$AA$11,1,MATCH($E23,Parameters!$X$3:$AA$3,0)))</f>
        <v>0.85465108615751</v>
      </c>
      <c r="BE23" s="46" t="n">
        <f aca="false">MAX(0,MIN(BC23*(1+INDEX(Response_Table!$K$4:$K$21,MATCH($F23&amp;"|low",Response_Table!$A$4:$A$21,0))*$R23*INDEX(Parameters!$X$11:$AA$11,1,MATCH($E23,Parameters!$X$3:$AA$3,0))),BC23*(1+INDEX(Response_Table!$K$4:$K$21,MATCH($F23&amp;"|high",Response_Table!$A$4:$A$21,0))*$R23*INDEX(Parameters!$X$11:$AA$11,1,MATCH($E23,Parameters!$X$3:$AA$3,0))))*(1-Inputs_General!$C$22*Parameters!$F$11))</f>
        <v>0.687952656713805</v>
      </c>
      <c r="BF23" s="46" t="n">
        <f aca="false">MAX(BC23*(1+INDEX(Response_Table!$K$4:$K$21,MATCH($F23&amp;"|low",Response_Table!$A$4:$A$21,0))*$R23*INDEX(Parameters!$X$11:$AA$11,1,MATCH($E23,Parameters!$X$3:$AA$3,0))),BC23*(1+INDEX(Response_Table!$K$4:$K$21,MATCH($F23&amp;"|high",Response_Table!$A$4:$A$21,0))*$R23*INDEX(Parameters!$X$11:$AA$11,1,MATCH($E23,Parameters!$X$3:$AA$3,0))))*(1+Inputs_General!$C$22*Parameters!$F$11)</f>
        <v>1.03403539948552</v>
      </c>
      <c r="BG23" s="45" t="n">
        <f aca="false">IF(BC23=0,0,BD23/BC23-1)</f>
        <v>-0.146807720285039</v>
      </c>
      <c r="BH23" s="46" t="n">
        <f aca="false">Parameters!$E$12*IF($N23="V",Parameters!$I$12,IF($N23="F",Parameters!$J$12,Parameters!$K$12))*(1-Parameters!$L$12*$P23)*IF($D23="V1",Parameters!$M$12,IF($D23="V2",Parameters!$N$12,Parameters!$O$12))</f>
        <v>0.373343142857143</v>
      </c>
      <c r="BI23" s="46" t="n">
        <f aca="false">BH23*(1+INDEX(Response_Table!$L$4:$L$21,MATCH($F23&amp;"|mid",Response_Table!$A$4:$A$21,0))*$R23*INDEX(Parameters!$X$12:$AA$12,1,MATCH($E23,Parameters!$X$3:$AA$3,0)))</f>
        <v>0.329529579135983</v>
      </c>
      <c r="BJ23" s="46" t="n">
        <f aca="false">MAX(0,MIN(BH23*(1+INDEX(Response_Table!$L$4:$L$21,MATCH($F23&amp;"|low",Response_Table!$A$4:$A$21,0))*$R23*INDEX(Parameters!$X$12:$AA$12,1,MATCH($E23,Parameters!$X$3:$AA$3,0))),BH23*(1+INDEX(Response_Table!$L$4:$L$21,MATCH($F23&amp;"|high",Response_Table!$A$4:$A$21,0))*$R23*INDEX(Parameters!$X$12:$AA$12,1,MATCH($E23,Parameters!$X$3:$AA$3,0))))*(1-Inputs_General!$C$22*Parameters!$F$12))</f>
        <v>0.256930788681577</v>
      </c>
      <c r="BK23" s="46" t="n">
        <f aca="false">MAX(BH23*(1+INDEX(Response_Table!$L$4:$L$21,MATCH($F23&amp;"|low",Response_Table!$A$4:$A$21,0))*$R23*INDEX(Parameters!$X$12:$AA$12,1,MATCH($E23,Parameters!$X$3:$AA$3,0))),BH23*(1+INDEX(Response_Table!$L$4:$L$21,MATCH($F23&amp;"|high",Response_Table!$A$4:$A$21,0))*$R23*INDEX(Parameters!$X$12:$AA$12,1,MATCH($E23,Parameters!$X$3:$AA$3,0))))*(1+Inputs_General!$C$22*Parameters!$F$12)</f>
        <v>0.406538538895065</v>
      </c>
      <c r="BL23" s="45" t="n">
        <f aca="false">IF(BH23=0,0,BI23/BH23-1)</f>
        <v>-0.117354676413396</v>
      </c>
      <c r="BM23" s="46" t="n">
        <f aca="false">Parameters!$E$13*IF($N23="V",Parameters!$I$13,IF($N23="F",Parameters!$J$13,Parameters!$K$13))*(1-Parameters!$L$13*$P23)*IF($D23="V1",Parameters!$M$13,IF($D23="V2",Parameters!$N$13,Parameters!$O$13))</f>
        <v>0.262276071428571</v>
      </c>
      <c r="BN23" s="46" t="n">
        <f aca="false">BM23*(1+INDEX(Response_Table!$M$4:$M$21,MATCH($F23&amp;"|mid",Response_Table!$A$4:$A$21,0))*$R23*INDEX(Parameters!$X$13:$AA$13,1,MATCH($E23,Parameters!$X$3:$AA$3,0)))</f>
        <v>0.265518686251243</v>
      </c>
      <c r="BO23" s="46" t="n">
        <f aca="false">MAX(0,MIN(BM23*(1+INDEX(Response_Table!$M$4:$M$21,MATCH($F23&amp;"|low",Response_Table!$A$4:$A$21,0))*$R23*INDEX(Parameters!$X$13:$AA$13,1,MATCH($E23,Parameters!$X$3:$AA$3,0))),BM23*(1+INDEX(Response_Table!$M$4:$M$21,MATCH($F23&amp;"|high",Response_Table!$A$4:$A$21,0))*$R23*INDEX(Parameters!$X$13:$AA$13,1,MATCH($E23,Parameters!$X$3:$AA$3,0))))*(1-Inputs_General!$C$22*Parameters!$F$13))</f>
        <v>0.209729658918459</v>
      </c>
      <c r="BP23" s="46" t="n">
        <f aca="false">MAX(BM23*(1+INDEX(Response_Table!$M$4:$M$21,MATCH($F23&amp;"|low",Response_Table!$A$4:$A$21,0))*$R23*INDEX(Parameters!$X$13:$AA$13,1,MATCH($E23,Parameters!$X$3:$AA$3,0))),BM23*(1+INDEX(Response_Table!$M$4:$M$21,MATCH($F23&amp;"|high",Response_Table!$A$4:$A$21,0))*$R23*INDEX(Parameters!$X$13:$AA$13,1,MATCH($E23,Parameters!$X$3:$AA$3,0))))*(1+Inputs_General!$C$22*Parameters!$F$13)</f>
        <v>0.321466449735721</v>
      </c>
      <c r="BQ23" s="45" t="n">
        <f aca="false">IF(BM23=0,0,BN23/BM23-1)</f>
        <v>0.012363365079435</v>
      </c>
      <c r="BR23" s="44" t="n">
        <f aca="false">Parameters!$E$14*IF($N23="V",Parameters!$I$14,IF($N23="F",Parameters!$J$14,Parameters!$K$14))*(1-Parameters!$L$14*$P23)*IF($D23="V1",Parameters!$M$14,IF($D23="V2",Parameters!$N$14,Parameters!$O$14))*INDEX(Context!$AC$4:$AC$51,$K23)</f>
        <v>17.25</v>
      </c>
      <c r="BS23" s="44" t="n">
        <f aca="false">BR23*(1+INDEX(Response_Table!$N$4:$N$21,MATCH($F23&amp;"|mid",Response_Table!$A$4:$A$21,0))*$R23*INDEX(Parameters!$X$14:$AA$14,1,MATCH($E23,Parameters!$X$3:$AA$3,0)))</f>
        <v>19.4584016379612</v>
      </c>
      <c r="BT23" s="44" t="n">
        <f aca="false">MAX(0,MIN(BR23*(1+INDEX(Response_Table!$N$4:$N$21,MATCH($F23&amp;"|low",Response_Table!$A$4:$A$21,0))*$R23*INDEX(Parameters!$X$14:$AA$14,1,MATCH($E23,Parameters!$X$3:$AA$3,0))),BR23*(1+INDEX(Response_Table!$N$4:$N$21,MATCH($F23&amp;"|high",Response_Table!$A$4:$A$21,0))*$R23*INDEX(Parameters!$X$14:$AA$14,1,MATCH($E23,Parameters!$X$3:$AA$3,0))))*(1-Inputs_General!$C$22*Parameters!$F$14))</f>
        <v>9.60068385247397</v>
      </c>
      <c r="BU23" s="44" t="n">
        <f aca="false">MAX(BR23*(1+INDEX(Response_Table!$N$4:$N$21,MATCH($F23&amp;"|low",Response_Table!$A$4:$A$21,0))*$R23*INDEX(Parameters!$X$14:$AA$14,1,MATCH($E23,Parameters!$X$3:$AA$3,0))),BR23*(1+INDEX(Response_Table!$N$4:$N$21,MATCH($F23&amp;"|high",Response_Table!$A$4:$A$21,0))*$R23*INDEX(Parameters!$X$14:$AA$14,1,MATCH($E23,Parameters!$X$3:$AA$3,0))))*(1+Inputs_General!$C$22*Parameters!$F$14)</f>
        <v>29.7692356697127</v>
      </c>
      <c r="BV23" s="45" t="n">
        <f aca="false">IF(BR23=0,0,BS23/BR23-1)</f>
        <v>0.128023283360068</v>
      </c>
      <c r="BW23" s="43" t="n">
        <f aca="false">Parameters!$E$15*IF($N23="V",Parameters!$I$15,IF($N23="F",Parameters!$J$15,Parameters!$K$15))*(1-Parameters!$L$15*$P23)*IF($D23="V1",Parameters!$M$15,IF($D23="V2",Parameters!$N$15,Parameters!$O$15))</f>
        <v>8.04007657142857</v>
      </c>
      <c r="BX23" s="43" t="n">
        <f aca="false">BW23*(1+INDEX(Response_Table!$O$4:$O$21,MATCH($F23&amp;"|mid",Response_Table!$A$4:$A$21,0))*$R23*INDEX(Parameters!$X$15:$AA$15,1,MATCH($E23,Parameters!$X$3:$AA$3,0)))</f>
        <v>7.78274732114341</v>
      </c>
      <c r="BY23" s="43" t="n">
        <f aca="false">MAX(0,MIN(BW23*(1+INDEX(Response_Table!$O$4:$O$21,MATCH($F23&amp;"|low",Response_Table!$A$4:$A$21,0))*$R23*INDEX(Parameters!$X$15:$AA$15,1,MATCH($E23,Parameters!$X$3:$AA$3,0))),BW23*(1+INDEX(Response_Table!$O$4:$O$21,MATCH($F23&amp;"|high",Response_Table!$A$4:$A$21,0))*$R23*INDEX(Parameters!$X$15:$AA$15,1,MATCH($E23,Parameters!$X$3:$AA$3,0))))*(1-Inputs_General!$C$22*Parameters!$F$15))</f>
        <v>6.20209179590486</v>
      </c>
      <c r="BZ23" s="43" t="n">
        <f aca="false">MAX(BW23*(1+INDEX(Response_Table!$O$4:$O$21,MATCH($F23&amp;"|low",Response_Table!$A$4:$A$21,0))*$R23*INDEX(Parameters!$X$15:$AA$15,1,MATCH($E23,Parameters!$X$3:$AA$3,0))),BW23*(1+INDEX(Response_Table!$O$4:$O$21,MATCH($F23&amp;"|high",Response_Table!$A$4:$A$21,0))*$R23*INDEX(Parameters!$X$15:$AA$15,1,MATCH($E23,Parameters!$X$3:$AA$3,0))))*(1+Inputs_General!$C$22*Parameters!$F$15)</f>
        <v>9.38930499778022</v>
      </c>
      <c r="CA23" s="45" t="n">
        <f aca="false">IF(BW23=0,0,BX23/BW23-1)</f>
        <v>-0.032005820840017</v>
      </c>
      <c r="CB23" s="46" t="n">
        <f aca="false">BD23+BI23</f>
        <v>1.18418066529349</v>
      </c>
      <c r="CC23" s="43" t="n">
        <f aca="false">BD23/BI23</f>
        <v>2.59354892631606</v>
      </c>
      <c r="CD23" s="46" t="n">
        <f aca="false">BN23/CB23</f>
        <v>0.224221433462972</v>
      </c>
      <c r="CE23" s="43" t="n">
        <f aca="false">AE23/AO23</f>
        <v>2.22057314088643</v>
      </c>
      <c r="CF23" s="44" t="n">
        <f aca="false">AE23/AJ23</f>
        <v>49.9404554549975</v>
      </c>
      <c r="CG23" s="44" t="n">
        <f aca="false">INDEX(Context!$V$4:$V$51,$K23)</f>
        <v>32.7871428571429</v>
      </c>
      <c r="CH23" s="44" t="n">
        <f aca="false">INDEX(Context!$Y$4:$Y$51,$K23)</f>
        <v>28.36912210206</v>
      </c>
      <c r="CI23" s="44" t="n">
        <f aca="false">INDEX(Context!$Z$4:$Z$51,$K23)</f>
        <v>36.7871428571429</v>
      </c>
      <c r="CJ23" s="43" t="n">
        <f aca="false">INDEX(Context!$AA$4:$AA$51,$K23)</f>
        <v>0.347678571428571</v>
      </c>
      <c r="CK23" s="43" t="n">
        <f aca="false">MAX(0,MIN(1,1-(1-CJ23)*AO23/AN23))</f>
        <v>0.426913268713631</v>
      </c>
      <c r="CL23" s="44" t="n">
        <f aca="false">CH23+CK23*(CI23-CH23)</f>
        <v>31.9628868587116</v>
      </c>
      <c r="CM23" s="44" t="n">
        <f aca="false">CH23+MAX(0,MIN(1,1-(1-CJ23)*AQ23/AN23))*(CI23-CH23)</f>
        <v>30.2731195837596</v>
      </c>
      <c r="CN23" s="44" t="n">
        <f aca="false">CH23+MAX(0,MIN(1,1-(1-CJ23)*AP23/AN23))*(CI23-CH23)</f>
        <v>33.5248155603319</v>
      </c>
      <c r="CO23" s="44" t="n">
        <f aca="false">CL23-CG23</f>
        <v>-0.824255998431227</v>
      </c>
      <c r="CP23" s="44" t="n">
        <f aca="false">CL23-(CH23+CJ23*(CI23-CH23))</f>
        <v>0.666999326268332</v>
      </c>
      <c r="CQ23" s="46" t="n">
        <f aca="false">CL23/CG23</f>
        <v>0.974860389573358</v>
      </c>
      <c r="CR23" s="43" t="n">
        <f aca="false">IF(CL23-CH23&lt;=0,"n/a",(CI23-CL23)/(CL23-CH23))</f>
        <v>1.34239615698333</v>
      </c>
      <c r="CS23" s="43" t="n">
        <f aca="false">IF(CI23-CL23&lt;=0,"n/a",(CL23-CH23)/(CI23-CL23))</f>
        <v>0.744936578369852</v>
      </c>
      <c r="CT23" s="43" t="n">
        <f aca="false">Inputs_General!$C$23+Inputs_General!$C$24*$I23</f>
        <v>0.76</v>
      </c>
      <c r="CU23" s="44" t="n">
        <f aca="false">3.29*CT23</f>
        <v>2.5004</v>
      </c>
    </row>
    <row r="24" customFormat="false" ht="15" hidden="false" customHeight="false" outlineLevel="0" collapsed="false">
      <c r="A24" s="9" t="str">
        <f aca="false">B24&amp;"|"&amp;E24&amp;"|"&amp;F24</f>
        <v>D1V1|13/03/2026|Moderate</v>
      </c>
      <c r="B24" s="7" t="s">
        <v>340</v>
      </c>
      <c r="C24" s="9" t="s">
        <v>127</v>
      </c>
      <c r="D24" s="9" t="s">
        <v>142</v>
      </c>
      <c r="E24" s="9" t="s">
        <v>164</v>
      </c>
      <c r="F24" s="7" t="s">
        <v>281</v>
      </c>
      <c r="G24" s="9" t="s">
        <v>282</v>
      </c>
      <c r="H24" s="41" t="n">
        <f aca="false">INDEX(Severity_Classes!$C$4:$C$9,MATCH(F24,Severity_Classes!$A$4:$A$9,0))</f>
        <v>0.11</v>
      </c>
      <c r="I24" s="41" t="n">
        <f aca="false">INDEX(Severity_Classes!$D$4:$D$9,MATCH(F24,Severity_Classes!$A$4:$A$9,0))</f>
        <v>0.18</v>
      </c>
      <c r="J24" s="41" t="n">
        <f aca="false">INDEX(Severity_Classes!$E$4:$E$9,MATCH(F24,Severity_Classes!$A$4:$A$9,0))</f>
        <v>0.25</v>
      </c>
      <c r="K24" s="42" t="n">
        <f aca="false">MATCH(B24&amp;"|"&amp;E24,Context!$A$4:$A$51,0)</f>
        <v>4</v>
      </c>
      <c r="L24" s="42" t="n">
        <f aca="false">INDEX(Context!$H$4:$H$51,K24)</f>
        <v>94</v>
      </c>
      <c r="M24" s="42" t="n">
        <f aca="false">INDEX(Context!$I$4:$I$51,K24)</f>
        <v>36</v>
      </c>
      <c r="N24" s="9" t="str">
        <f aca="false">INDEX(Context!$L$4:$L$51,K24)</f>
        <v>P</v>
      </c>
      <c r="O24" s="9" t="str">
        <f aca="false">INDEX(Context!$M$4:$M$51,K24)</f>
        <v>5th fully expanded leaf from top</v>
      </c>
      <c r="P24" s="43" t="n">
        <f aca="false">INDEX(Context!$R$4:$R$51,K24)</f>
        <v>0.953571428571428</v>
      </c>
      <c r="Q24" s="43" t="n">
        <f aca="false">INDEX(Context!$U$4:$U$51,K24)</f>
        <v>2.18945736698217</v>
      </c>
      <c r="R24" s="43" t="n">
        <f aca="false">INDEX(Context!$AD$4:$AD$51,K24)</f>
        <v>1</v>
      </c>
      <c r="S24" s="9" t="str">
        <f aca="false">INDEX(Context!$AI$4:$AN$51,K24,MATCH(F24,Severity_Classes!$A$4:$A$9,0))</f>
        <v>Likely</v>
      </c>
      <c r="T24" s="44" t="n">
        <f aca="false">Parameters!$E$4*IF($N24="V",Parameters!$I$4,IF($N24="F",Parameters!$J$4,Parameters!$K$4))*(1-Parameters!$L$4*$P24)*IF($D24="V1",Parameters!$M$4,IF($D24="V2",Parameters!$N$4,Parameters!$O$4))</f>
        <v>77.8046607142857</v>
      </c>
      <c r="U24" s="44" t="n">
        <f aca="false">MIN(100,T24*(1+INDEX(Response_Table!$E$4:$E$21,MATCH($F24&amp;"|mid",Response_Table!$A$4:$A$21,0))*$R24*INDEX(Parameters!$X$4:$AA$4,1,MATCH($E24,Parameters!$X$3:$AA$3,0))))</f>
        <v>74.2653324067678</v>
      </c>
      <c r="V24" s="44" t="n">
        <f aca="false">MAX(0,MIN(T24*(1+INDEX(Response_Table!$E$4:$E$21,MATCH($F24&amp;"|low",Response_Table!$A$4:$A$21,0))*$R24*INDEX(Parameters!$X$4:$AA$4,1,MATCH($E24,Parameters!$X$3:$AA$3,0))),T24*(1+INDEX(Response_Table!$E$4:$E$21,MATCH($F24&amp;"|high",Response_Table!$A$4:$A$21,0))*$R24*INDEX(Parameters!$X$4:$AA$4,1,MATCH($E24,Parameters!$X$3:$AA$3,0))))*(1-Inputs_General!$C$22*Parameters!$F$4))</f>
        <v>66.9018456132673</v>
      </c>
      <c r="W24" s="44" t="n">
        <f aca="false">MIN(100,MAX(T24*(1+INDEX(Response_Table!$E$4:$E$21,MATCH($F24&amp;"|low",Response_Table!$A$4:$A$21,0))*$R24*INDEX(Parameters!$X$4:$AA$4,1,MATCH($E24,Parameters!$X$3:$AA$3,0))),T24*(1+INDEX(Response_Table!$E$4:$E$21,MATCH($F24&amp;"|high",Response_Table!$A$4:$A$21,0))*$R24*INDEX(Parameters!$X$4:$AA$4,1,MATCH($E24,Parameters!$X$3:$AA$3,0))))*(1+Inputs_General!$C$22*Parameters!$F$4))</f>
        <v>81.1444961390223</v>
      </c>
      <c r="X24" s="45" t="n">
        <f aca="false">IF(T24=0,0,U24/T24-1)</f>
        <v>-0.0454899266319667</v>
      </c>
      <c r="Y24" s="44" t="n">
        <f aca="false">Parameters!$E$5*IF($N24="V",Parameters!$I$5,IF($N24="F",Parameters!$J$5,Parameters!$K$5))*(1-Parameters!$L$5*$P24)*IF($D24="V1",Parameters!$M$5,IF($D24="V2",Parameters!$N$5,Parameters!$O$5))</f>
        <v>58.6602514285714</v>
      </c>
      <c r="Z24" s="44" t="n">
        <f aca="false">MIN(100,Y24*(1+INDEX(Response_Table!$F$4:$F$21,MATCH($F24&amp;"|mid",Response_Table!$A$4:$A$21,0))*$R24*INDEX(Parameters!$X$5:$AA$5,1,MATCH($E24,Parameters!$X$3:$AA$3,0))))</f>
        <v>49.4423799652227</v>
      </c>
      <c r="AA24" s="44" t="n">
        <f aca="false">MAX(0,MIN(Y24*(1+INDEX(Response_Table!$F$4:$F$21,MATCH($F24&amp;"|low",Response_Table!$A$4:$A$21,0))*$R24*INDEX(Parameters!$X$5:$AA$5,1,MATCH($E24,Parameters!$X$3:$AA$3,0))),Y24*(1+INDEX(Response_Table!$F$4:$F$21,MATCH($F24&amp;"|high",Response_Table!$A$4:$A$21,0))*$R24*INDEX(Parameters!$X$5:$AA$5,1,MATCH($E24,Parameters!$X$3:$AA$3,0))))*(1-Inputs_General!$C$22*Parameters!$F$5))</f>
        <v>37.7125851817806</v>
      </c>
      <c r="AB24" s="44" t="n">
        <f aca="false">MIN(100,MAX(Y24*(1+INDEX(Response_Table!$F$4:$F$21,MATCH($F24&amp;"|low",Response_Table!$A$4:$A$21,0))*$R24*INDEX(Parameters!$X$5:$AA$5,1,MATCH($E24,Parameters!$X$3:$AA$3,0))),Y24*(1+INDEX(Response_Table!$F$4:$F$21,MATCH($F24&amp;"|high",Response_Table!$A$4:$A$21,0))*$R24*INDEX(Parameters!$X$5:$AA$5,1,MATCH($E24,Parameters!$X$3:$AA$3,0))))*(1+Inputs_General!$C$22*Parameters!$F$5))</f>
        <v>60.6963502097679</v>
      </c>
      <c r="AC24" s="45" t="n">
        <f aca="false">IF(Y24=0,0,Z24/Y24-1)</f>
        <v>-0.157139992394561</v>
      </c>
      <c r="AD24" s="44" t="n">
        <f aca="false">Parameters!$E$6*IF($N24="V",Parameters!$I$6,IF($N24="F",Parameters!$J$6,Parameters!$K$6))*(1-Parameters!$L$6*$P24)*IF($D24="V1",Parameters!$M$6,IF($D24="V2",Parameters!$N$6,Parameters!$O$6))</f>
        <v>14.3019785714286</v>
      </c>
      <c r="AE24" s="44" t="n">
        <f aca="false">AD24*(1+INDEX(Response_Table!$G$4:$G$21,MATCH($F24&amp;"|mid",Response_Table!$A$4:$A$21,0))*$R24*INDEX(Parameters!$X$6:$AA$6,1,MATCH($E24,Parameters!$X$3:$AA$3,0)))</f>
        <v>8.43392695754397</v>
      </c>
      <c r="AF24" s="44" t="n">
        <f aca="false">MAX(0,MIN(AD24*(1+INDEX(Response_Table!$G$4:$G$21,MATCH($F24&amp;"|low",Response_Table!$A$4:$A$21,0))*$R24*INDEX(Parameters!$X$6:$AA$6,1,MATCH($E24,Parameters!$X$3:$AA$3,0))),AD24*(1+INDEX(Response_Table!$G$4:$G$21,MATCH($F24&amp;"|high",Response_Table!$A$4:$A$21,0))*$R24*INDEX(Parameters!$X$6:$AA$6,1,MATCH($E24,Parameters!$X$3:$AA$3,0))))*(1-Inputs_General!$C$22*Parameters!$F$6))</f>
        <v>5.73540445847292</v>
      </c>
      <c r="AG24" s="44" t="n">
        <f aca="false">MAX(AD24*(1+INDEX(Response_Table!$G$4:$G$21,MATCH($F24&amp;"|low",Response_Table!$A$4:$A$21,0))*$R24*INDEX(Parameters!$X$6:$AA$6,1,MATCH($E24,Parameters!$X$3:$AA$3,0))),AD24*(1+INDEX(Response_Table!$G$4:$G$21,MATCH($F24&amp;"|high",Response_Table!$A$4:$A$21,0))*$R24*INDEX(Parameters!$X$6:$AA$6,1,MATCH($E24,Parameters!$X$3:$AA$3,0))))*(1+Inputs_General!$C$22*Parameters!$F$6)</f>
        <v>12.1971574001877</v>
      </c>
      <c r="AH24" s="45" t="n">
        <f aca="false">IF(AD24=0,0,AE24/AD24-1)</f>
        <v>-0.410296490417582</v>
      </c>
      <c r="AI24" s="46" t="n">
        <f aca="false">Parameters!$E$7*IF($N24="V",Parameters!$I$7,IF($N24="F",Parameters!$J$7,Parameters!$K$7))*(1-Parameters!$L$7*$P24)*IF($D24="V1",Parameters!$M$7,IF($D24="V2",Parameters!$N$7,Parameters!$O$7))*POWER($Q24/Inputs_General!$C$26,-Inputs_General!$C$25)</f>
        <v>0.258501574676089</v>
      </c>
      <c r="AJ24" s="46" t="n">
        <f aca="false">AI24*(1+INDEX(Response_Table!$H$4:$H$21,MATCH($F24&amp;"|mid",Response_Table!$A$4:$A$21,0))*$R24*INDEX(Parameters!$X$7:$AA$7,1,MATCH($E24,Parameters!$X$3:$AA$3,0)))</f>
        <v>0.188392422707601</v>
      </c>
      <c r="AK24" s="46" t="n">
        <f aca="false">MAX(0,MIN(AI24*(1+INDEX(Response_Table!$H$4:$H$21,MATCH($F24&amp;"|low",Response_Table!$A$4:$A$21,0))*$R24*INDEX(Parameters!$X$7:$AA$7,1,MATCH($E24,Parameters!$X$3:$AA$3,0))),AI24*(1+INDEX(Response_Table!$H$4:$H$21,MATCH($F24&amp;"|high",Response_Table!$A$4:$A$21,0))*$R24*INDEX(Parameters!$X$7:$AA$7,1,MATCH($E24,Parameters!$X$3:$AA$3,0))))*(1-Inputs_General!$C$22*Parameters!$F$7))</f>
        <v>0.119554194408844</v>
      </c>
      <c r="AL24" s="46" t="n">
        <f aca="false">MAX(AI24*(1+INDEX(Response_Table!$H$4:$H$21,MATCH($F24&amp;"|low",Response_Table!$A$4:$A$21,0))*$R24*INDEX(Parameters!$X$7:$AA$7,1,MATCH($E24,Parameters!$X$3:$AA$3,0))),AI24*(1+INDEX(Response_Table!$H$4:$H$21,MATCH($F24&amp;"|high",Response_Table!$A$4:$A$21,0))*$R24*INDEX(Parameters!$X$7:$AA$7,1,MATCH($E24,Parameters!$X$3:$AA$3,0))))*(1+Inputs_General!$C$22*Parameters!$F$7)</f>
        <v>0.273831515036897</v>
      </c>
      <c r="AM24" s="45" t="n">
        <f aca="false">IF(AI24=0,0,AJ24/AI24-1)</f>
        <v>-0.271213635956907</v>
      </c>
      <c r="AN24" s="43" t="n">
        <f aca="false">AI24*$Q24/Inputs_General!$C$13*1000</f>
        <v>5.69967952720096</v>
      </c>
      <c r="AO24" s="43" t="n">
        <f aca="false">AJ24*$Q24/Inputs_General!$C$13*1000*(1+Inputs_General!$C$21*$I24)</f>
        <v>4.34077191118742</v>
      </c>
      <c r="AP24" s="43" t="n">
        <f aca="false">AK24*$Q24/Inputs_General!$C$13*1000*(1+Inputs_General!$C$21*$H24)</f>
        <v>2.70853151081439</v>
      </c>
      <c r="AQ24" s="43" t="n">
        <f aca="false">AL24*$Q24/Inputs_General!$C$13*1000*(1+Inputs_General!$C$21*$J24)</f>
        <v>6.41504360174986</v>
      </c>
      <c r="AR24" s="45" t="n">
        <f aca="false">IF(AN24=0,0,AO24/AN24-1)</f>
        <v>-0.238418249574968</v>
      </c>
      <c r="AS24" s="42" t="n">
        <f aca="false">Parameters!$E$9*IF($N24="V",Parameters!$I$9,IF($N24="F",Parameters!$J$9,Parameters!$K$9))*(1-Parameters!$L$9*$P24)*IF($D24="V1",Parameters!$M$9,IF($D24="V2",Parameters!$N$9,Parameters!$O$9))</f>
        <v>293.55</v>
      </c>
      <c r="AT24" s="42" t="n">
        <f aca="false">AS24*(1+INDEX(Response_Table!$I$4:$I$21,MATCH($F24&amp;"|mid",Response_Table!$A$4:$A$21,0))*$R24*INDEX(Parameters!$X$9:$AA$9,1,MATCH($E24,Parameters!$X$3:$AA$3,0)))</f>
        <v>338.749162578885</v>
      </c>
      <c r="AU24" s="42" t="n">
        <f aca="false">MAX(0,MIN(AS24*(1+INDEX(Response_Table!$I$4:$I$21,MATCH($F24&amp;"|low",Response_Table!$A$4:$A$21,0))*$R24*INDEX(Parameters!$X$9:$AA$9,1,MATCH($E24,Parameters!$X$3:$AA$3,0))),AS24*(1+INDEX(Response_Table!$I$4:$I$21,MATCH($F24&amp;"|high",Response_Table!$A$4:$A$21,0))*$R24*INDEX(Parameters!$X$9:$AA$9,1,MATCH($E24,Parameters!$X$3:$AA$3,0))))*(1-Inputs_General!$C$22*Parameters!$F$9))</f>
        <v>292.830506631932</v>
      </c>
      <c r="AV24" s="42" t="n">
        <f aca="false">MAX(AS24*(1+INDEX(Response_Table!$I$4:$I$21,MATCH($F24&amp;"|low",Response_Table!$A$4:$A$21,0))*$R24*INDEX(Parameters!$X$9:$AA$9,1,MATCH($E24,Parameters!$X$3:$AA$3,0))),AS24*(1+INDEX(Response_Table!$I$4:$I$21,MATCH($F24&amp;"|high",Response_Table!$A$4:$A$21,0))*$R24*INDEX(Parameters!$X$9:$AA$9,1,MATCH($E24,Parameters!$X$3:$AA$3,0))))*(1+Inputs_General!$C$22*Parameters!$F$9)</f>
        <v>383.685483708443</v>
      </c>
      <c r="AW24" s="45" t="n">
        <f aca="false">IF(AS24=0,0,AT24/AS24-1)</f>
        <v>0.153974323212009</v>
      </c>
      <c r="AX24" s="43" t="n">
        <f aca="false">INDEX(Context!$AB$4:$AB$51,$K24)</f>
        <v>2.52121976455078</v>
      </c>
      <c r="AY24" s="43" t="n">
        <f aca="false">AX24*(1+INDEX(Response_Table!$J$4:$J$21,MATCH($F24&amp;"|mid",Response_Table!$A$4:$A$21,0))*$R24*INDEX(Parameters!$X$10:$AA$10,1,MATCH($E24,Parameters!$X$3:$AA$3,0)))</f>
        <v>2.11009118473919</v>
      </c>
      <c r="AZ24" s="43" t="n">
        <f aca="false">MAX(0,MIN(AX24*(1+INDEX(Response_Table!$J$4:$J$21,MATCH($F24&amp;"|low",Response_Table!$A$4:$A$21,0))*$R24*INDEX(Parameters!$X$10:$AA$10,1,MATCH($E24,Parameters!$X$3:$AA$3,0))),AX24*(1+INDEX(Response_Table!$J$4:$J$21,MATCH($F24&amp;"|high",Response_Table!$A$4:$A$21,0))*$R24*INDEX(Parameters!$X$10:$AA$10,1,MATCH($E24,Parameters!$X$3:$AA$3,0))))*(1-Inputs_General!$C$22*Parameters!$F$10))</f>
        <v>1.60034517874836</v>
      </c>
      <c r="BA24" s="43" t="n">
        <f aca="false">MAX(AX24*(1+INDEX(Response_Table!$J$4:$J$21,MATCH($F24&amp;"|low",Response_Table!$A$4:$A$21,0))*$R24*INDEX(Parameters!$X$10:$AA$10,1,MATCH($E24,Parameters!$X$3:$AA$3,0))),AX24*(1+INDEX(Response_Table!$J$4:$J$21,MATCH($F24&amp;"|high",Response_Table!$A$4:$A$21,0))*$R24*INDEX(Parameters!$X$10:$AA$10,1,MATCH($E24,Parameters!$X$3:$AA$3,0))))*(1+Inputs_General!$C$22*Parameters!$F$10)</f>
        <v>2.69228514871345</v>
      </c>
      <c r="BB24" s="45" t="n">
        <f aca="false">IF(AX24=0,0,AY24/AX24-1)</f>
        <v>-0.163067331770202</v>
      </c>
      <c r="BC24" s="46" t="n">
        <f aca="false">Parameters!$E$11*IF($N24="V",Parameters!$I$11,IF($N24="F",Parameters!$J$11,Parameters!$K$11))*(1-Parameters!$L$11*$P24)*IF($D24="V1",Parameters!$M$11,IF($D24="V2",Parameters!$N$11,Parameters!$O$11))</f>
        <v>1.00170982142857</v>
      </c>
      <c r="BD24" s="46" t="n">
        <f aca="false">BC24*(1+INDEX(Response_Table!$K$4:$K$21,MATCH($F24&amp;"|mid",Response_Table!$A$4:$A$21,0))*$R24*INDEX(Parameters!$X$11:$AA$11,1,MATCH($E24,Parameters!$X$3:$AA$3,0)))</f>
        <v>0.716615782957094</v>
      </c>
      <c r="BE24" s="46" t="n">
        <f aca="false">MAX(0,MIN(BC24*(1+INDEX(Response_Table!$K$4:$K$21,MATCH($F24&amp;"|low",Response_Table!$A$4:$A$21,0))*$R24*INDEX(Parameters!$X$11:$AA$11,1,MATCH($E24,Parameters!$X$3:$AA$3,0))),BC24*(1+INDEX(Response_Table!$K$4:$K$21,MATCH($F24&amp;"|high",Response_Table!$A$4:$A$21,0))*$R24*INDEX(Parameters!$X$11:$AA$11,1,MATCH($E24,Parameters!$X$3:$AA$3,0))))*(1-Inputs_General!$C$22*Parameters!$F$11))</f>
        <v>0.537361551193822</v>
      </c>
      <c r="BF24" s="46" t="n">
        <f aca="false">MAX(BC24*(1+INDEX(Response_Table!$K$4:$K$21,MATCH($F24&amp;"|low",Response_Table!$A$4:$A$21,0))*$R24*INDEX(Parameters!$X$11:$AA$11,1,MATCH($E24,Parameters!$X$3:$AA$3,0))),BC24*(1+INDEX(Response_Table!$K$4:$K$21,MATCH($F24&amp;"|high",Response_Table!$A$4:$A$21,0))*$R24*INDEX(Parameters!$X$11:$AA$11,1,MATCH($E24,Parameters!$X$3:$AA$3,0))))*(1+Inputs_General!$C$22*Parameters!$F$11)</f>
        <v>0.941512376560528</v>
      </c>
      <c r="BG24" s="45" t="n">
        <f aca="false">IF(BC24=0,0,BD24/BC24-1)</f>
        <v>-0.284607410622065</v>
      </c>
      <c r="BH24" s="46" t="n">
        <f aca="false">Parameters!$E$12*IF($N24="V",Parameters!$I$12,IF($N24="F",Parameters!$J$12,Parameters!$K$12))*(1-Parameters!$L$12*$P24)*IF($D24="V1",Parameters!$M$12,IF($D24="V2",Parameters!$N$12,Parameters!$O$12))</f>
        <v>0.373343142857143</v>
      </c>
      <c r="BI24" s="46" t="n">
        <f aca="false">BH24*(1+INDEX(Response_Table!$L$4:$L$21,MATCH($F24&amp;"|mid",Response_Table!$A$4:$A$21,0))*$R24*INDEX(Parameters!$X$12:$AA$12,1,MATCH($E24,Parameters!$X$3:$AA$3,0)))</f>
        <v>0.287665199505411</v>
      </c>
      <c r="BJ24" s="46" t="n">
        <f aca="false">MAX(0,MIN(BH24*(1+INDEX(Response_Table!$L$4:$L$21,MATCH($F24&amp;"|low",Response_Table!$A$4:$A$21,0))*$R24*INDEX(Parameters!$X$12:$AA$12,1,MATCH($E24,Parameters!$X$3:$AA$3,0))),BH24*(1+INDEX(Response_Table!$L$4:$L$21,MATCH($F24&amp;"|high",Response_Table!$A$4:$A$21,0))*$R24*INDEX(Parameters!$X$12:$AA$12,1,MATCH($E24,Parameters!$X$3:$AA$3,0))))*(1-Inputs_General!$C$22*Parameters!$F$12))</f>
        <v>0.212688648176456</v>
      </c>
      <c r="BK24" s="46" t="n">
        <f aca="false">MAX(BH24*(1+INDEX(Response_Table!$L$4:$L$21,MATCH($F24&amp;"|low",Response_Table!$A$4:$A$21,0))*$R24*INDEX(Parameters!$X$12:$AA$12,1,MATCH($E24,Parameters!$X$3:$AA$3,0))),BH24*(1+INDEX(Response_Table!$L$4:$L$21,MATCH($F24&amp;"|high",Response_Table!$A$4:$A$21,0))*$R24*INDEX(Parameters!$X$12:$AA$12,1,MATCH($E24,Parameters!$X$3:$AA$3,0))))*(1+Inputs_General!$C$22*Parameters!$F$12)</f>
        <v>0.377932128599055</v>
      </c>
      <c r="BL24" s="45" t="n">
        <f aca="false">IF(BH24=0,0,BI24/BH24-1)</f>
        <v>-0.229488461194306</v>
      </c>
      <c r="BM24" s="46" t="n">
        <f aca="false">Parameters!$E$13*IF($N24="V",Parameters!$I$13,IF($N24="F",Parameters!$J$13,Parameters!$K$13))*(1-Parameters!$L$13*$P24)*IF($D24="V1",Parameters!$M$13,IF($D24="V2",Parameters!$N$13,Parameters!$O$13))</f>
        <v>0.262276071428571</v>
      </c>
      <c r="BN24" s="46" t="n">
        <f aca="false">BM24*(1+INDEX(Response_Table!$M$4:$M$21,MATCH($F24&amp;"|mid",Response_Table!$A$4:$A$21,0))*$R24*INDEX(Parameters!$X$13:$AA$13,1,MATCH($E24,Parameters!$X$3:$AA$3,0)))</f>
        <v>0.239714694150741</v>
      </c>
      <c r="BO24" s="46" t="n">
        <f aca="false">MAX(0,MIN(BM24*(1+INDEX(Response_Table!$M$4:$M$21,MATCH($F24&amp;"|low",Response_Table!$A$4:$A$21,0))*$R24*INDEX(Parameters!$X$13:$AA$13,1,MATCH($E24,Parameters!$X$3:$AA$3,0))),BM24*(1+INDEX(Response_Table!$M$4:$M$21,MATCH($F24&amp;"|high",Response_Table!$A$4:$A$21,0))*$R24*INDEX(Parameters!$X$13:$AA$13,1,MATCH($E24,Parameters!$X$3:$AA$3,0))))*(1-Inputs_General!$C$22*Parameters!$F$13))</f>
        <v>0.177817832481689</v>
      </c>
      <c r="BP24" s="46" t="n">
        <f aca="false">MAX(BM24*(1+INDEX(Response_Table!$M$4:$M$21,MATCH($F24&amp;"|low",Response_Table!$A$4:$A$21,0))*$R24*INDEX(Parameters!$X$13:$AA$13,1,MATCH($E24,Parameters!$X$3:$AA$3,0))),BM24*(1+INDEX(Response_Table!$M$4:$M$21,MATCH($F24&amp;"|high",Response_Table!$A$4:$A$21,0))*$R24*INDEX(Parameters!$X$13:$AA$13,1,MATCH($E24,Parameters!$X$3:$AA$3,0))))*(1+Inputs_General!$C$22*Parameters!$F$13)</f>
        <v>0.309998636499755</v>
      </c>
      <c r="BQ24" s="45" t="n">
        <f aca="false">IF(BM24=0,0,BN24/BM24-1)</f>
        <v>-0.0860214855093042</v>
      </c>
      <c r="BR24" s="44" t="n">
        <f aca="false">Parameters!$E$14*IF($N24="V",Parameters!$I$14,IF($N24="F",Parameters!$J$14,Parameters!$K$14))*(1-Parameters!$L$14*$P24)*IF($D24="V1",Parameters!$M$14,IF($D24="V2",Parameters!$N$14,Parameters!$O$14))*INDEX(Context!$AC$4:$AC$51,$K24)</f>
        <v>17.25</v>
      </c>
      <c r="BS24" s="44" t="n">
        <f aca="false">BR24*(1+INDEX(Response_Table!$N$4:$N$21,MATCH($F24&amp;"|mid",Response_Table!$A$4:$A$21,0))*$R24*INDEX(Parameters!$X$14:$AA$14,1,MATCH($E24,Parameters!$X$3:$AA$3,0)))</f>
        <v>21.5685555879292</v>
      </c>
      <c r="BT24" s="44" t="n">
        <f aca="false">MAX(0,MIN(BR24*(1+INDEX(Response_Table!$N$4:$N$21,MATCH($F24&amp;"|low",Response_Table!$A$4:$A$21,0))*$R24*INDEX(Parameters!$X$14:$AA$14,1,MATCH($E24,Parameters!$X$3:$AA$3,0))),BR24*(1+INDEX(Response_Table!$N$4:$N$21,MATCH($F24&amp;"|high",Response_Table!$A$4:$A$21,0))*$R24*INDEX(Parameters!$X$14:$AA$14,1,MATCH($E24,Parameters!$X$3:$AA$3,0))))*(1-Inputs_General!$C$22*Parameters!$F$14))</f>
        <v>10.2106040853231</v>
      </c>
      <c r="BU24" s="44" t="n">
        <f aca="false">MAX(BR24*(1+INDEX(Response_Table!$N$4:$N$21,MATCH($F24&amp;"|low",Response_Table!$A$4:$A$21,0))*$R24*INDEX(Parameters!$X$14:$AA$14,1,MATCH($E24,Parameters!$X$3:$AA$3,0))),BR24*(1+INDEX(Response_Table!$N$4:$N$21,MATCH($F24&amp;"|high",Response_Table!$A$4:$A$21,0))*$R24*INDEX(Parameters!$X$14:$AA$14,1,MATCH($E24,Parameters!$X$3:$AA$3,0))))*(1+Inputs_General!$C$22*Parameters!$F$14)</f>
        <v>33.9188877285314</v>
      </c>
      <c r="BV24" s="45" t="n">
        <f aca="false">IF(BR24=0,0,BS24/BR24-1)</f>
        <v>0.250351048575606</v>
      </c>
      <c r="BW24" s="43" t="n">
        <f aca="false">Parameters!$E$15*IF($N24="V",Parameters!$I$15,IF($N24="F",Parameters!$J$15,Parameters!$K$15))*(1-Parameters!$L$15*$P24)*IF($D24="V1",Parameters!$M$15,IF($D24="V2",Parameters!$N$15,Parameters!$O$15))</f>
        <v>8.04007657142857</v>
      </c>
      <c r="BX24" s="43" t="n">
        <f aca="false">BW24*(1+INDEX(Response_Table!$O$4:$O$21,MATCH($F24&amp;"|mid",Response_Table!$A$4:$A$21,0))*$R24*INDEX(Parameters!$X$15:$AA$15,1,MATCH($E24,Parameters!$X$3:$AA$3,0)))</f>
        <v>7.53686617135725</v>
      </c>
      <c r="BY24" s="43" t="n">
        <f aca="false">MAX(0,MIN(BW24*(1+INDEX(Response_Table!$O$4:$O$21,MATCH($F24&amp;"|low",Response_Table!$A$4:$A$21,0))*$R24*INDEX(Parameters!$X$15:$AA$15,1,MATCH($E24,Parameters!$X$3:$AA$3,0))),BW24*(1+INDEX(Response_Table!$O$4:$O$21,MATCH($F24&amp;"|high",Response_Table!$A$4:$A$21,0))*$R24*INDEX(Parameters!$X$15:$AA$15,1,MATCH($E24,Parameters!$X$3:$AA$3,0))))*(1-Inputs_General!$C$22*Parameters!$F$15))</f>
        <v>5.94224539492162</v>
      </c>
      <c r="BZ24" s="43" t="n">
        <f aca="false">MAX(BW24*(1+INDEX(Response_Table!$O$4:$O$21,MATCH($F24&amp;"|low",Response_Table!$A$4:$A$21,0))*$R24*INDEX(Parameters!$X$15:$AA$15,1,MATCH($E24,Parameters!$X$3:$AA$3,0))),BW24*(1+INDEX(Response_Table!$O$4:$O$21,MATCH($F24&amp;"|high",Response_Table!$A$4:$A$21,0))*$R24*INDEX(Parameters!$X$15:$AA$15,1,MATCH($E24,Parameters!$X$3:$AA$3,0))))*(1+Inputs_General!$C$22*Parameters!$F$15)</f>
        <v>9.22129159075242</v>
      </c>
      <c r="CA24" s="45" t="n">
        <f aca="false">IF(BW24=0,0,BX24/BW24-1)</f>
        <v>-0.0625877621439015</v>
      </c>
      <c r="CB24" s="46" t="n">
        <f aca="false">BD24+BI24</f>
        <v>1.00428098246251</v>
      </c>
      <c r="CC24" s="43" t="n">
        <f aca="false">BD24/BI24</f>
        <v>2.49114520695999</v>
      </c>
      <c r="CD24" s="46" t="n">
        <f aca="false">BN24/CB24</f>
        <v>0.238692854227866</v>
      </c>
      <c r="CE24" s="43" t="n">
        <f aca="false">AE24/AO24</f>
        <v>1.94295556875663</v>
      </c>
      <c r="CF24" s="44" t="n">
        <f aca="false">AE24/AJ24</f>
        <v>44.7678671802742</v>
      </c>
      <c r="CG24" s="44" t="n">
        <f aca="false">INDEX(Context!$V$4:$V$51,$K24)</f>
        <v>32.7871428571429</v>
      </c>
      <c r="CH24" s="44" t="n">
        <f aca="false">INDEX(Context!$Y$4:$Y$51,$K24)</f>
        <v>28.36912210206</v>
      </c>
      <c r="CI24" s="44" t="n">
        <f aca="false">INDEX(Context!$Z$4:$Z$51,$K24)</f>
        <v>36.7871428571429</v>
      </c>
      <c r="CJ24" s="43" t="n">
        <f aca="false">INDEX(Context!$AA$4:$AA$51,$K24)</f>
        <v>0.347678571428571</v>
      </c>
      <c r="CK24" s="43" t="n">
        <f aca="false">MAX(0,MIN(1,1-(1-CJ24)*AO24/AN24))</f>
        <v>0.503203904588814</v>
      </c>
      <c r="CL24" s="44" t="n">
        <f aca="false">CH24+CK24*(CI24-CH24)</f>
        <v>32.6051030149274</v>
      </c>
      <c r="CM24" s="44" t="n">
        <f aca="false">CH24+MAX(0,MIN(1,1-(1-CJ24)*AQ24/AN24))*(CI24-CH24)</f>
        <v>30.6066826807111</v>
      </c>
      <c r="CN24" s="44" t="n">
        <f aca="false">CH24+MAX(0,MIN(1,1-(1-CJ24)*AP24/AN24))*(CI24-CH24)</f>
        <v>34.1776561290039</v>
      </c>
      <c r="CO24" s="44" t="n">
        <f aca="false">CL24-CG24</f>
        <v>-0.182039842215474</v>
      </c>
      <c r="CP24" s="44" t="n">
        <f aca="false">CL24-(CH24+CJ24*(CI24-CH24))</f>
        <v>1.30921548248408</v>
      </c>
      <c r="CQ24" s="46" t="n">
        <f aca="false">CL24/CG24</f>
        <v>0.994447828436633</v>
      </c>
      <c r="CR24" s="43" t="n">
        <f aca="false">IF(CL24-CH24&lt;=0,"n/a",(CI24-CL24)/(CL24-CH24))</f>
        <v>0.987265978822516</v>
      </c>
      <c r="CS24" s="43" t="n">
        <f aca="false">IF(CI24-CL24&lt;=0,"n/a",(CL24-CH24)/(CI24-CL24))</f>
        <v>1.01289826799529</v>
      </c>
      <c r="CT24" s="43" t="n">
        <f aca="false">Inputs_General!$C$23+Inputs_General!$C$24*$I24</f>
        <v>0.96</v>
      </c>
      <c r="CU24" s="44" t="n">
        <f aca="false">3.29*CT24</f>
        <v>3.1584</v>
      </c>
    </row>
    <row r="25" customFormat="false" ht="15" hidden="false" customHeight="false" outlineLevel="0" collapsed="false">
      <c r="A25" s="9" t="str">
        <f aca="false">B25&amp;"|"&amp;E25&amp;"|"&amp;F25</f>
        <v>D1V1|13/03/2026|High</v>
      </c>
      <c r="B25" s="7" t="s">
        <v>340</v>
      </c>
      <c r="C25" s="9" t="s">
        <v>127</v>
      </c>
      <c r="D25" s="9" t="s">
        <v>142</v>
      </c>
      <c r="E25" s="9" t="s">
        <v>164</v>
      </c>
      <c r="F25" s="7" t="s">
        <v>283</v>
      </c>
      <c r="G25" s="9" t="s">
        <v>284</v>
      </c>
      <c r="H25" s="41" t="n">
        <f aca="false">INDEX(Severity_Classes!$C$4:$C$9,MATCH(F25,Severity_Classes!$A$4:$A$9,0))</f>
        <v>0.26</v>
      </c>
      <c r="I25" s="41" t="n">
        <f aca="false">INDEX(Severity_Classes!$D$4:$D$9,MATCH(F25,Severity_Classes!$A$4:$A$9,0))</f>
        <v>0.38</v>
      </c>
      <c r="J25" s="41" t="n">
        <f aca="false">INDEX(Severity_Classes!$E$4:$E$9,MATCH(F25,Severity_Classes!$A$4:$A$9,0))</f>
        <v>0.5</v>
      </c>
      <c r="K25" s="42" t="n">
        <f aca="false">MATCH(B25&amp;"|"&amp;E25,Context!$A$4:$A$51,0)</f>
        <v>4</v>
      </c>
      <c r="L25" s="42" t="n">
        <f aca="false">INDEX(Context!$H$4:$H$51,K25)</f>
        <v>94</v>
      </c>
      <c r="M25" s="42" t="n">
        <f aca="false">INDEX(Context!$I$4:$I$51,K25)</f>
        <v>36</v>
      </c>
      <c r="N25" s="9" t="str">
        <f aca="false">INDEX(Context!$L$4:$L$51,K25)</f>
        <v>P</v>
      </c>
      <c r="O25" s="9" t="str">
        <f aca="false">INDEX(Context!$M$4:$M$51,K25)</f>
        <v>5th fully expanded leaf from top</v>
      </c>
      <c r="P25" s="43" t="n">
        <f aca="false">INDEX(Context!$R$4:$R$51,K25)</f>
        <v>0.953571428571428</v>
      </c>
      <c r="Q25" s="43" t="n">
        <f aca="false">INDEX(Context!$U$4:$U$51,K25)</f>
        <v>2.18945736698217</v>
      </c>
      <c r="R25" s="43" t="n">
        <f aca="false">INDEX(Context!$AD$4:$AD$51,K25)</f>
        <v>1</v>
      </c>
      <c r="S25" s="9" t="str">
        <f aca="false">INDEX(Context!$AI$4:$AN$51,K25,MATCH(F25,Severity_Classes!$A$4:$A$9,0))</f>
        <v>Likely</v>
      </c>
      <c r="T25" s="44" t="n">
        <f aca="false">Parameters!$E$4*IF($N25="V",Parameters!$I$4,IF($N25="F",Parameters!$J$4,Parameters!$K$4))*(1-Parameters!$L$4*$P25)*IF($D25="V1",Parameters!$M$4,IF($D25="V2",Parameters!$N$4,Parameters!$O$4))</f>
        <v>77.8046607142857</v>
      </c>
      <c r="U25" s="44" t="n">
        <f aca="false">MIN(100,T25*(1+INDEX(Response_Table!$E$4:$E$21,MATCH($F25&amp;"|mid",Response_Table!$A$4:$A$21,0))*$R25*INDEX(Parameters!$X$4:$AA$4,1,MATCH($E25,Parameters!$X$3:$AA$3,0))))</f>
        <v>65.2356860469535</v>
      </c>
      <c r="V25" s="44" t="n">
        <f aca="false">MAX(0,MIN(T25*(1+INDEX(Response_Table!$E$4:$E$21,MATCH($F25&amp;"|low",Response_Table!$A$4:$A$21,0))*$R25*INDEX(Parameters!$X$4:$AA$4,1,MATCH($E25,Parameters!$X$3:$AA$3,0))),T25*(1+INDEX(Response_Table!$E$4:$E$21,MATCH($F25&amp;"|high",Response_Table!$A$4:$A$21,0))*$R25*INDEX(Parameters!$X$4:$AA$4,1,MATCH($E25,Parameters!$X$3:$AA$3,0))))*(1-Inputs_General!$C$22*Parameters!$F$4))</f>
        <v>55.9984569400577</v>
      </c>
      <c r="W25" s="44" t="n">
        <f aca="false">MIN(100,MAX(T25*(1+INDEX(Response_Table!$E$4:$E$21,MATCH($F25&amp;"|low",Response_Table!$A$4:$A$21,0))*$R25*INDEX(Parameters!$X$4:$AA$4,1,MATCH($E25,Parameters!$X$3:$AA$3,0))),T25*(1+INDEX(Response_Table!$E$4:$E$21,MATCH($F25&amp;"|high",Response_Table!$A$4:$A$21,0))*$R25*INDEX(Parameters!$X$4:$AA$4,1,MATCH($E25,Parameters!$X$3:$AA$3,0))))*(1+Inputs_General!$C$22*Parameters!$F$4))</f>
        <v>75.8573637261068</v>
      </c>
      <c r="X25" s="45" t="n">
        <f aca="false">IF(T25=0,0,U25/T25-1)</f>
        <v>-0.161545266722362</v>
      </c>
      <c r="Y25" s="44" t="n">
        <f aca="false">Parameters!$E$5*IF($N25="V",Parameters!$I$5,IF($N25="F",Parameters!$J$5,Parameters!$K$5))*(1-Parameters!$L$5*$P25)*IF($D25="V1",Parameters!$M$5,IF($D25="V2",Parameters!$N$5,Parameters!$O$5))</f>
        <v>58.6602514285714</v>
      </c>
      <c r="Z25" s="44" t="n">
        <f aca="false">MIN(100,Y25*(1+INDEX(Response_Table!$F$4:$F$21,MATCH($F25&amp;"|mid",Response_Table!$A$4:$A$21,0))*$R25*INDEX(Parameters!$X$5:$AA$5,1,MATCH($E25,Parameters!$X$3:$AA$3,0))))</f>
        <v>29.3129403860079</v>
      </c>
      <c r="AA25" s="44" t="n">
        <f aca="false">MAX(0,MIN(Y25*(1+INDEX(Response_Table!$F$4:$F$21,MATCH($F25&amp;"|low",Response_Table!$A$4:$A$21,0))*$R25*INDEX(Parameters!$X$5:$AA$5,1,MATCH($E25,Parameters!$X$3:$AA$3,0))),Y25*(1+INDEX(Response_Table!$F$4:$F$21,MATCH($F25&amp;"|high",Response_Table!$A$4:$A$21,0))*$R25*INDEX(Parameters!$X$5:$AA$5,1,MATCH($E25,Parameters!$X$3:$AA$3,0))))*(1-Inputs_General!$C$22*Parameters!$F$5))</f>
        <v>19.4163731751761</v>
      </c>
      <c r="AB25" s="44" t="n">
        <f aca="false">MIN(100,MAX(Y25*(1+INDEX(Response_Table!$F$4:$F$21,MATCH($F25&amp;"|low",Response_Table!$A$4:$A$21,0))*$R25*INDEX(Parameters!$X$5:$AA$5,1,MATCH($E25,Parameters!$X$3:$AA$3,0))),Y25*(1+INDEX(Response_Table!$F$4:$F$21,MATCH($F25&amp;"|high",Response_Table!$A$4:$A$21,0))*$R25*INDEX(Parameters!$X$5:$AA$5,1,MATCH($E25,Parameters!$X$3:$AA$3,0))))*(1+Inputs_General!$C$22*Parameters!$F$5))</f>
        <v>46.3326845560526</v>
      </c>
      <c r="AC25" s="45" t="n">
        <f aca="false">IF(Y25=0,0,Z25/Y25-1)</f>
        <v>-0.500292963767786</v>
      </c>
      <c r="AD25" s="44" t="n">
        <f aca="false">Parameters!$E$6*IF($N25="V",Parameters!$I$6,IF($N25="F",Parameters!$J$6,Parameters!$K$6))*(1-Parameters!$L$6*$P25)*IF($D25="V1",Parameters!$M$6,IF($D25="V2",Parameters!$N$6,Parameters!$O$6))</f>
        <v>14.3019785714286</v>
      </c>
      <c r="AE25" s="44" t="n">
        <f aca="false">AD25*(1+INDEX(Response_Table!$G$4:$G$21,MATCH($F25&amp;"|mid",Response_Table!$A$4:$A$21,0))*$R25*INDEX(Parameters!$X$6:$AA$6,1,MATCH($E25,Parameters!$X$3:$AA$3,0)))</f>
        <v>5.59068934455083</v>
      </c>
      <c r="AF25" s="44" t="n">
        <f aca="false">MAX(0,MIN(AD25*(1+INDEX(Response_Table!$G$4:$G$21,MATCH($F25&amp;"|low",Response_Table!$A$4:$A$21,0))*$R25*INDEX(Parameters!$X$6:$AA$6,1,MATCH($E25,Parameters!$X$3:$AA$3,0))),AD25*(1+INDEX(Response_Table!$G$4:$G$21,MATCH($F25&amp;"|high",Response_Table!$A$4:$A$21,0))*$R25*INDEX(Parameters!$X$6:$AA$6,1,MATCH($E25,Parameters!$X$3:$AA$3,0))))*(1-Inputs_General!$C$22*Parameters!$F$6))</f>
        <v>3.82360481185723</v>
      </c>
      <c r="AG25" s="44" t="n">
        <f aca="false">MAX(AD25*(1+INDEX(Response_Table!$G$4:$G$21,MATCH($F25&amp;"|low",Response_Table!$A$4:$A$21,0))*$R25*INDEX(Parameters!$X$6:$AA$6,1,MATCH($E25,Parameters!$X$3:$AA$3,0))),AD25*(1+INDEX(Response_Table!$G$4:$G$21,MATCH($F25&amp;"|high",Response_Table!$A$4:$A$21,0))*$R25*INDEX(Parameters!$X$6:$AA$6,1,MATCH($E25,Parameters!$X$3:$AA$3,0))))*(1+Inputs_General!$C$22*Parameters!$F$6)</f>
        <v>8.37262014935694</v>
      </c>
      <c r="AH25" s="45" t="n">
        <f aca="false">IF(AD25=0,0,AE25/AD25-1)</f>
        <v>-0.609096789186953</v>
      </c>
      <c r="AI25" s="46" t="n">
        <f aca="false">Parameters!$E$7*IF($N25="V",Parameters!$I$7,IF($N25="F",Parameters!$J$7,Parameters!$K$7))*(1-Parameters!$L$7*$P25)*IF($D25="V1",Parameters!$M$7,IF($D25="V2",Parameters!$N$7,Parameters!$O$7))*POWER($Q25/Inputs_General!$C$26,-Inputs_General!$C$25)</f>
        <v>0.258501574676089</v>
      </c>
      <c r="AJ25" s="46" t="n">
        <f aca="false">AI25*(1+INDEX(Response_Table!$H$4:$H$21,MATCH($F25&amp;"|mid",Response_Table!$A$4:$A$21,0))*$R25*INDEX(Parameters!$X$7:$AA$7,1,MATCH($E25,Parameters!$X$3:$AA$3,0)))</f>
        <v>0.144213469624704</v>
      </c>
      <c r="AK25" s="46" t="n">
        <f aca="false">MAX(0,MIN(AI25*(1+INDEX(Response_Table!$H$4:$H$21,MATCH($F25&amp;"|low",Response_Table!$A$4:$A$21,0))*$R25*INDEX(Parameters!$X$7:$AA$7,1,MATCH($E25,Parameters!$X$3:$AA$3,0))),AI25*(1+INDEX(Response_Table!$H$4:$H$21,MATCH($F25&amp;"|high",Response_Table!$A$4:$A$21,0))*$R25*INDEX(Parameters!$X$7:$AA$7,1,MATCH($E25,Parameters!$X$3:$AA$3,0))))*(1-Inputs_General!$C$22*Parameters!$F$7))</f>
        <v>0.0900761294509106</v>
      </c>
      <c r="AL25" s="46" t="n">
        <f aca="false">MAX(AI25*(1+INDEX(Response_Table!$H$4:$H$21,MATCH($F25&amp;"|low",Response_Table!$A$4:$A$21,0))*$R25*INDEX(Parameters!$X$7:$AA$7,1,MATCH($E25,Parameters!$X$3:$AA$3,0))),AI25*(1+INDEX(Response_Table!$H$4:$H$21,MATCH($F25&amp;"|high",Response_Table!$A$4:$A$21,0))*$R25*INDEX(Parameters!$X$7:$AA$7,1,MATCH($E25,Parameters!$X$3:$AA$3,0))))*(1+Inputs_General!$C$22*Parameters!$F$7)</f>
        <v>0.217096348705188</v>
      </c>
      <c r="AM25" s="45" t="n">
        <f aca="false">IF(AI25=0,0,AJ25/AI25-1)</f>
        <v>-0.442117635819403</v>
      </c>
      <c r="AN25" s="43" t="n">
        <f aca="false">AI25*$Q25/Inputs_General!$C$13*1000</f>
        <v>5.69967952720096</v>
      </c>
      <c r="AO25" s="43" t="n">
        <f aca="false">AJ25*$Q25/Inputs_General!$C$13*1000*(1+Inputs_General!$C$21*$I25)</f>
        <v>3.48182700522875</v>
      </c>
      <c r="AP25" s="43" t="n">
        <f aca="false">AK25*$Q25/Inputs_General!$C$13*1000*(1+Inputs_General!$C$21*$H25)</f>
        <v>2.11517628554427</v>
      </c>
      <c r="AQ25" s="43" t="n">
        <f aca="false">AL25*$Q25/Inputs_General!$C$13*1000*(1+Inputs_General!$C$21*$J25)</f>
        <v>5.38508157119529</v>
      </c>
      <c r="AR25" s="45" t="n">
        <f aca="false">IF(AN25=0,0,AO25/AN25-1)</f>
        <v>-0.389118811222246</v>
      </c>
      <c r="AS25" s="42" t="n">
        <f aca="false">Parameters!$E$9*IF($N25="V",Parameters!$I$9,IF($N25="F",Parameters!$J$9,Parameters!$K$9))*(1-Parameters!$L$9*$P25)*IF($D25="V1",Parameters!$M$9,IF($D25="V2",Parameters!$N$9,Parameters!$O$9))</f>
        <v>293.55</v>
      </c>
      <c r="AT25" s="42" t="n">
        <f aca="false">AS25*(1+INDEX(Response_Table!$I$4:$I$21,MATCH($F25&amp;"|mid",Response_Table!$A$4:$A$21,0))*$R25*INDEX(Parameters!$X$9:$AA$9,1,MATCH($E25,Parameters!$X$3:$AA$3,0)))</f>
        <v>362.354137675553</v>
      </c>
      <c r="AU25" s="42" t="n">
        <f aca="false">MAX(0,MIN(AS25*(1+INDEX(Response_Table!$I$4:$I$21,MATCH($F25&amp;"|low",Response_Table!$A$4:$A$21,0))*$R25*INDEX(Parameters!$X$9:$AA$9,1,MATCH($E25,Parameters!$X$3:$AA$3,0))),AS25*(1+INDEX(Response_Table!$I$4:$I$21,MATCH($F25&amp;"|high",Response_Table!$A$4:$A$21,0))*$R25*INDEX(Parameters!$X$9:$AA$9,1,MATCH($E25,Parameters!$X$3:$AA$3,0))))*(1-Inputs_General!$C$22*Parameters!$F$9))</f>
        <v>315.894846507433</v>
      </c>
      <c r="AV25" s="42" t="n">
        <f aca="false">MAX(AS25*(1+INDEX(Response_Table!$I$4:$I$21,MATCH($F25&amp;"|low",Response_Table!$A$4:$A$21,0))*$R25*INDEX(Parameters!$X$9:$AA$9,1,MATCH($E25,Parameters!$X$3:$AA$3,0))),AS25*(1+INDEX(Response_Table!$I$4:$I$21,MATCH($F25&amp;"|high",Response_Table!$A$4:$A$21,0))*$R25*INDEX(Parameters!$X$9:$AA$9,1,MATCH($E25,Parameters!$X$3:$AA$3,0))))*(1+Inputs_General!$C$22*Parameters!$F$9)</f>
        <v>406.185762402178</v>
      </c>
      <c r="AW25" s="45" t="n">
        <f aca="false">IF(AS25=0,0,AT25/AS25-1)</f>
        <v>0.234386433914336</v>
      </c>
      <c r="AX25" s="43" t="n">
        <f aca="false">INDEX(Context!$AB$4:$AB$51,$K25)</f>
        <v>2.52121976455078</v>
      </c>
      <c r="AY25" s="43" t="n">
        <f aca="false">AX25*(1+INDEX(Response_Table!$J$4:$J$21,MATCH($F25&amp;"|mid",Response_Table!$A$4:$A$21,0))*$R25*INDEX(Parameters!$X$10:$AA$10,1,MATCH($E25,Parameters!$X$3:$AA$3,0)))</f>
        <v>1.82544747094617</v>
      </c>
      <c r="AZ25" s="43" t="n">
        <f aca="false">MAX(0,MIN(AX25*(1+INDEX(Response_Table!$J$4:$J$21,MATCH($F25&amp;"|low",Response_Table!$A$4:$A$21,0))*$R25*INDEX(Parameters!$X$10:$AA$10,1,MATCH($E25,Parameters!$X$3:$AA$3,0))),AX25*(1+INDEX(Response_Table!$J$4:$J$21,MATCH($F25&amp;"|high",Response_Table!$A$4:$A$21,0))*$R25*INDEX(Parameters!$X$10:$AA$10,1,MATCH($E25,Parameters!$X$3:$AA$3,0))))*(1-Inputs_General!$C$22*Parameters!$F$10))</f>
        <v>1.37383014062044</v>
      </c>
      <c r="BA25" s="43" t="n">
        <f aca="false">MAX(AX25*(1+INDEX(Response_Table!$J$4:$J$21,MATCH($F25&amp;"|low",Response_Table!$A$4:$A$21,0))*$R25*INDEX(Parameters!$X$10:$AA$10,1,MATCH($E25,Parameters!$X$3:$AA$3,0))),AX25*(1+INDEX(Response_Table!$J$4:$J$21,MATCH($F25&amp;"|high",Response_Table!$A$4:$A$21,0))*$R25*INDEX(Parameters!$X$10:$AA$10,1,MATCH($E25,Parameters!$X$3:$AA$3,0))))*(1+Inputs_General!$C$22*Parameters!$F$10)</f>
        <v>2.36960350594755</v>
      </c>
      <c r="BB25" s="45" t="n">
        <f aca="false">IF(AX25=0,0,AY25/AX25-1)</f>
        <v>-0.275966539445474</v>
      </c>
      <c r="BC25" s="46" t="n">
        <f aca="false">Parameters!$E$11*IF($N25="V",Parameters!$I$11,IF($N25="F",Parameters!$J$11,Parameters!$K$11))*(1-Parameters!$L$11*$P25)*IF($D25="V1",Parameters!$M$11,IF($D25="V2",Parameters!$N$11,Parameters!$O$11))</f>
        <v>1.00170982142857</v>
      </c>
      <c r="BD25" s="46" t="n">
        <f aca="false">BC25*(1+INDEX(Response_Table!$K$4:$K$21,MATCH($F25&amp;"|mid",Response_Table!$A$4:$A$21,0))*$R25*INDEX(Parameters!$X$11:$AA$11,1,MATCH($E25,Parameters!$X$3:$AA$3,0)))</f>
        <v>0.543596610827873</v>
      </c>
      <c r="BE25" s="46" t="n">
        <f aca="false">MAX(0,MIN(BC25*(1+INDEX(Response_Table!$K$4:$K$21,MATCH($F25&amp;"|low",Response_Table!$A$4:$A$21,0))*$R25*INDEX(Parameters!$X$11:$AA$11,1,MATCH($E25,Parameters!$X$3:$AA$3,0))),BC25*(1+INDEX(Response_Table!$K$4:$K$21,MATCH($F25&amp;"|high",Response_Table!$A$4:$A$21,0))*$R25*INDEX(Parameters!$X$11:$AA$11,1,MATCH($E25,Parameters!$X$3:$AA$3,0))))*(1-Inputs_General!$C$22*Parameters!$F$11))</f>
        <v>0.402757419328824</v>
      </c>
      <c r="BF25" s="46" t="n">
        <f aca="false">MAX(BC25*(1+INDEX(Response_Table!$K$4:$K$21,MATCH($F25&amp;"|low",Response_Table!$A$4:$A$21,0))*$R25*INDEX(Parameters!$X$11:$AA$11,1,MATCH($E25,Parameters!$X$3:$AA$3,0))),BC25*(1+INDEX(Response_Table!$K$4:$K$21,MATCH($F25&amp;"|high",Response_Table!$A$4:$A$21,0))*$R25*INDEX(Parameters!$X$11:$AA$11,1,MATCH($E25,Parameters!$X$3:$AA$3,0))))*(1+Inputs_General!$C$22*Parameters!$F$11)</f>
        <v>0.738232243288809</v>
      </c>
      <c r="BG25" s="45" t="n">
        <f aca="false">IF(BC25=0,0,BD25/BC25-1)</f>
        <v>-0.457331255819543</v>
      </c>
      <c r="BH25" s="46" t="n">
        <f aca="false">Parameters!$E$12*IF($N25="V",Parameters!$I$12,IF($N25="F",Parameters!$J$12,Parameters!$K$12))*(1-Parameters!$L$12*$P25)*IF($D25="V1",Parameters!$M$12,IF($D25="V2",Parameters!$N$12,Parameters!$O$12))</f>
        <v>0.373343142857143</v>
      </c>
      <c r="BI25" s="46" t="n">
        <f aca="false">BH25*(1+INDEX(Response_Table!$L$4:$L$21,MATCH($F25&amp;"|mid",Response_Table!$A$4:$A$21,0))*$R25*INDEX(Parameters!$X$12:$AA$12,1,MATCH($E25,Parameters!$X$3:$AA$3,0)))</f>
        <v>0.233675645598432</v>
      </c>
      <c r="BJ25" s="46" t="n">
        <f aca="false">MAX(0,MIN(BH25*(1+INDEX(Response_Table!$L$4:$L$21,MATCH($F25&amp;"|low",Response_Table!$A$4:$A$21,0))*$R25*INDEX(Parameters!$X$12:$AA$12,1,MATCH($E25,Parameters!$X$3:$AA$3,0))),BH25*(1+INDEX(Response_Table!$L$4:$L$21,MATCH($F25&amp;"|high",Response_Table!$A$4:$A$21,0))*$R25*INDEX(Parameters!$X$12:$AA$12,1,MATCH($E25,Parameters!$X$3:$AA$3,0))))*(1-Inputs_General!$C$22*Parameters!$F$12))</f>
        <v>0.171613278503185</v>
      </c>
      <c r="BK25" s="46" t="n">
        <f aca="false">MAX(BH25*(1+INDEX(Response_Table!$L$4:$L$21,MATCH($F25&amp;"|low",Response_Table!$A$4:$A$21,0))*$R25*INDEX(Parameters!$X$12:$AA$12,1,MATCH($E25,Parameters!$X$3:$AA$3,0))),BH25*(1+INDEX(Response_Table!$L$4:$L$21,MATCH($F25&amp;"|high",Response_Table!$A$4:$A$21,0))*$R25*INDEX(Parameters!$X$12:$AA$12,1,MATCH($E25,Parameters!$X$3:$AA$3,0))))*(1+Inputs_General!$C$22*Parameters!$F$12)</f>
        <v>0.313877960583231</v>
      </c>
      <c r="BL25" s="45" t="n">
        <f aca="false">IF(BH25=0,0,BI25/BH25-1)</f>
        <v>-0.374099538001033</v>
      </c>
      <c r="BM25" s="46" t="n">
        <f aca="false">Parameters!$E$13*IF($N25="V",Parameters!$I$13,IF($N25="F",Parameters!$J$13,Parameters!$K$13))*(1-Parameters!$L$13*$P25)*IF($D25="V1",Parameters!$M$13,IF($D25="V2",Parameters!$N$13,Parameters!$O$13))</f>
        <v>0.262276071428571</v>
      </c>
      <c r="BN25" s="46" t="n">
        <f aca="false">BM25*(1+INDEX(Response_Table!$M$4:$M$21,MATCH($F25&amp;"|mid",Response_Table!$A$4:$A$21,0))*$R25*INDEX(Parameters!$X$13:$AA$13,1,MATCH($E25,Parameters!$X$3:$AA$3,0)))</f>
        <v>0.19697862274608</v>
      </c>
      <c r="BO25" s="46" t="n">
        <f aca="false">MAX(0,MIN(BM25*(1+INDEX(Response_Table!$M$4:$M$21,MATCH($F25&amp;"|low",Response_Table!$A$4:$A$21,0))*$R25*INDEX(Parameters!$X$13:$AA$13,1,MATCH($E25,Parameters!$X$3:$AA$3,0))),BM25*(1+INDEX(Response_Table!$M$4:$M$21,MATCH($F25&amp;"|high",Response_Table!$A$4:$A$21,0))*$R25*INDEX(Parameters!$X$13:$AA$13,1,MATCH($E25,Parameters!$X$3:$AA$3,0))))*(1-Inputs_General!$C$22*Parameters!$F$13))</f>
        <v>0.147017218515077</v>
      </c>
      <c r="BP25" s="46" t="n">
        <f aca="false">MAX(BM25*(1+INDEX(Response_Table!$M$4:$M$21,MATCH($F25&amp;"|low",Response_Table!$A$4:$A$21,0))*$R25*INDEX(Parameters!$X$13:$AA$13,1,MATCH($E25,Parameters!$X$3:$AA$3,0))),BM25*(1+INDEX(Response_Table!$M$4:$M$21,MATCH($F25&amp;"|high",Response_Table!$A$4:$A$21,0))*$R25*INDEX(Parameters!$X$13:$AA$13,1,MATCH($E25,Parameters!$X$3:$AA$3,0))))*(1+Inputs_General!$C$22*Parameters!$F$13)</f>
        <v>0.2624998912036</v>
      </c>
      <c r="BQ25" s="45" t="n">
        <f aca="false">IF(BM25=0,0,BN25/BM25-1)</f>
        <v>-0.248964567475896</v>
      </c>
      <c r="BR25" s="44" t="n">
        <f aca="false">Parameters!$E$14*IF($N25="V",Parameters!$I$14,IF($N25="F",Parameters!$J$14,Parameters!$K$14))*(1-Parameters!$L$14*$P25)*IF($D25="V1",Parameters!$M$14,IF($D25="V2",Parameters!$N$14,Parameters!$O$14))*INDEX(Context!$AC$4:$AC$51,$K25)</f>
        <v>17.25</v>
      </c>
      <c r="BS25" s="44" t="n">
        <f aca="false">BR25*(1+INDEX(Response_Table!$N$4:$N$21,MATCH($F25&amp;"|mid",Response_Table!$A$4:$A$21,0))*$R25*INDEX(Parameters!$X$14:$AA$14,1,MATCH($E25,Parameters!$X$3:$AA$3,0)))</f>
        <v>24.2898731242013</v>
      </c>
      <c r="BT25" s="44" t="n">
        <f aca="false">MAX(0,MIN(BR25*(1+INDEX(Response_Table!$N$4:$N$21,MATCH($F25&amp;"|low",Response_Table!$A$4:$A$21,0))*$R25*INDEX(Parameters!$X$14:$AA$14,1,MATCH($E25,Parameters!$X$3:$AA$3,0))),BR25*(1+INDEX(Response_Table!$N$4:$N$21,MATCH($F25&amp;"|high",Response_Table!$A$4:$A$21,0))*$R25*INDEX(Parameters!$X$14:$AA$14,1,MATCH($E25,Parameters!$X$3:$AA$3,0))))*(1-Inputs_General!$C$22*Parameters!$F$14))</f>
        <v>11.5763096270849</v>
      </c>
      <c r="BU25" s="44" t="n">
        <f aca="false">MAX(BR25*(1+INDEX(Response_Table!$N$4:$N$21,MATCH($F25&amp;"|low",Response_Table!$A$4:$A$21,0))*$R25*INDEX(Parameters!$X$14:$AA$14,1,MATCH($E25,Parameters!$X$3:$AA$3,0))),BR25*(1+INDEX(Response_Table!$N$4:$N$21,MATCH($F25&amp;"|high",Response_Table!$A$4:$A$21,0))*$R25*INDEX(Parameters!$X$14:$AA$14,1,MATCH($E25,Parameters!$X$3:$AA$3,0))))*(1+Inputs_General!$C$22*Parameters!$F$14)</f>
        <v>37.7715153452196</v>
      </c>
      <c r="BV25" s="45" t="n">
        <f aca="false">IF(BR25=0,0,BS25/BR25-1)</f>
        <v>0.408108586910218</v>
      </c>
      <c r="BW25" s="43" t="n">
        <f aca="false">Parameters!$E$15*IF($N25="V",Parameters!$I$15,IF($N25="F",Parameters!$J$15,Parameters!$K$15))*(1-Parameters!$L$15*$P25)*IF($D25="V1",Parameters!$M$15,IF($D25="V2",Parameters!$N$15,Parameters!$O$15))</f>
        <v>8.04007657142857</v>
      </c>
      <c r="BX25" s="43" t="n">
        <f aca="false">BW25*(1+INDEX(Response_Table!$O$4:$O$21,MATCH($F25&amp;"|mid",Response_Table!$A$4:$A$21,0))*$R25*INDEX(Parameters!$X$15:$AA$15,1,MATCH($E25,Parameters!$X$3:$AA$3,0)))</f>
        <v>7.21977049937466</v>
      </c>
      <c r="BY25" s="43" t="n">
        <f aca="false">MAX(0,MIN(BW25*(1+INDEX(Response_Table!$O$4:$O$21,MATCH($F25&amp;"|low",Response_Table!$A$4:$A$21,0))*$R25*INDEX(Parameters!$X$15:$AA$15,1,MATCH($E25,Parameters!$X$3:$AA$3,0))),BW25*(1+INDEX(Response_Table!$O$4:$O$21,MATCH($F25&amp;"|high",Response_Table!$A$4:$A$21,0))*$R25*INDEX(Parameters!$X$15:$AA$15,1,MATCH($E25,Parameters!$X$3:$AA$3,0))))*(1-Inputs_General!$C$22*Parameters!$F$15))</f>
        <v>5.70099832014637</v>
      </c>
      <c r="BZ25" s="43" t="n">
        <f aca="false">MAX(BW25*(1+INDEX(Response_Table!$O$4:$O$21,MATCH($F25&amp;"|low",Response_Table!$A$4:$A$21,0))*$R25*INDEX(Parameters!$X$15:$AA$15,1,MATCH($E25,Parameters!$X$3:$AA$3,0))),BW25*(1+INDEX(Response_Table!$O$4:$O$21,MATCH($F25&amp;"|high",Response_Table!$A$4:$A$21,0))*$R25*INDEX(Parameters!$X$15:$AA$15,1,MATCH($E25,Parameters!$X$3:$AA$3,0))))*(1+Inputs_General!$C$22*Parameters!$F$15)</f>
        <v>8.84508363976141</v>
      </c>
      <c r="CA25" s="45" t="n">
        <f aca="false">IF(BW25=0,0,BX25/BW25-1)</f>
        <v>-0.102027146727554</v>
      </c>
      <c r="CB25" s="46" t="n">
        <f aca="false">BD25+BI25</f>
        <v>0.777272256426305</v>
      </c>
      <c r="CC25" s="43" t="n">
        <f aca="false">BD25/BI25</f>
        <v>2.32628697541735</v>
      </c>
      <c r="CD25" s="46" t="n">
        <f aca="false">BN25/CB25</f>
        <v>0.253422943013219</v>
      </c>
      <c r="CE25" s="43" t="n">
        <f aca="false">AE25/AO25</f>
        <v>1.60567694378703</v>
      </c>
      <c r="CF25" s="44" t="n">
        <f aca="false">AE25/AJ25</f>
        <v>38.7667626269574</v>
      </c>
      <c r="CG25" s="44" t="n">
        <f aca="false">INDEX(Context!$V$4:$V$51,$K25)</f>
        <v>32.7871428571429</v>
      </c>
      <c r="CH25" s="44" t="n">
        <f aca="false">INDEX(Context!$Y$4:$Y$51,$K25)</f>
        <v>28.36912210206</v>
      </c>
      <c r="CI25" s="44" t="n">
        <f aca="false">INDEX(Context!$Z$4:$Z$51,$K25)</f>
        <v>36.7871428571429</v>
      </c>
      <c r="CJ25" s="43" t="n">
        <f aca="false">INDEX(Context!$AA$4:$AA$51,$K25)</f>
        <v>0.347678571428571</v>
      </c>
      <c r="CK25" s="43" t="n">
        <f aca="false">MAX(0,MIN(1,1-(1-CJ25)*AO25/AN25))</f>
        <v>0.601509110249083</v>
      </c>
      <c r="CL25" s="44" t="n">
        <f aca="false">CH25+CK25*(CI25-CH25)</f>
        <v>33.4326382765082</v>
      </c>
      <c r="CM25" s="44" t="n">
        <f aca="false">CH25+MAX(0,MIN(1,1-(1-CJ25)*AQ25/AN25))*(CI25-CH25)</f>
        <v>31.598981363037</v>
      </c>
      <c r="CN25" s="44" t="n">
        <f aca="false">CH25+MAX(0,MIN(1,1-(1-CJ25)*AP25/AN25))*(CI25-CH25)</f>
        <v>34.7493137151284</v>
      </c>
      <c r="CO25" s="44" t="n">
        <f aca="false">CL25-CG25</f>
        <v>0.645495419365361</v>
      </c>
      <c r="CP25" s="44" t="n">
        <f aca="false">CL25-(CH25+CJ25*(CI25-CH25))</f>
        <v>2.13675074406492</v>
      </c>
      <c r="CQ25" s="46" t="n">
        <f aca="false">CL25/CG25</f>
        <v>1.01968745560349</v>
      </c>
      <c r="CR25" s="43" t="n">
        <f aca="false">IF(CL25-CH25&lt;=0,"n/a",(CI25-CL25)/(CL25-CH25))</f>
        <v>0.662485210882182</v>
      </c>
      <c r="CS25" s="43" t="n">
        <f aca="false">IF(CI25-CL25&lt;=0,"n/a",(CL25-CH25)/(CI25-CL25))</f>
        <v>1.50946765840761</v>
      </c>
      <c r="CT25" s="43" t="n">
        <f aca="false">Inputs_General!$C$23+Inputs_General!$C$24*$I25</f>
        <v>1.36</v>
      </c>
      <c r="CU25" s="44" t="n">
        <f aca="false">3.29*CT25</f>
        <v>4.4744</v>
      </c>
    </row>
    <row r="26" customFormat="false" ht="15" hidden="false" customHeight="false" outlineLevel="0" collapsed="false">
      <c r="A26" s="9" t="str">
        <f aca="false">B26&amp;"|"&amp;E26&amp;"|"&amp;F26</f>
        <v>D1V1|13/03/2026|Very high</v>
      </c>
      <c r="B26" s="7" t="s">
        <v>340</v>
      </c>
      <c r="C26" s="9" t="s">
        <v>127</v>
      </c>
      <c r="D26" s="9" t="s">
        <v>142</v>
      </c>
      <c r="E26" s="9" t="s">
        <v>164</v>
      </c>
      <c r="F26" s="7" t="s">
        <v>285</v>
      </c>
      <c r="G26" s="9" t="s">
        <v>286</v>
      </c>
      <c r="H26" s="41" t="n">
        <f aca="false">INDEX(Severity_Classes!$C$4:$C$9,MATCH(F26,Severity_Classes!$A$4:$A$9,0))</f>
        <v>0.51</v>
      </c>
      <c r="I26" s="41" t="n">
        <f aca="false">INDEX(Severity_Classes!$D$4:$D$9,MATCH(F26,Severity_Classes!$A$4:$A$9,0))</f>
        <v>0.65</v>
      </c>
      <c r="J26" s="41" t="n">
        <f aca="false">INDEX(Severity_Classes!$E$4:$E$9,MATCH(F26,Severity_Classes!$A$4:$A$9,0))</f>
        <v>0.85</v>
      </c>
      <c r="K26" s="42" t="n">
        <f aca="false">MATCH(B26&amp;"|"&amp;E26,Context!$A$4:$A$51,0)</f>
        <v>4</v>
      </c>
      <c r="L26" s="42" t="n">
        <f aca="false">INDEX(Context!$H$4:$H$51,K26)</f>
        <v>94</v>
      </c>
      <c r="M26" s="42" t="n">
        <f aca="false">INDEX(Context!$I$4:$I$51,K26)</f>
        <v>36</v>
      </c>
      <c r="N26" s="9" t="str">
        <f aca="false">INDEX(Context!$L$4:$L$51,K26)</f>
        <v>P</v>
      </c>
      <c r="O26" s="9" t="str">
        <f aca="false">INDEX(Context!$M$4:$M$51,K26)</f>
        <v>5th fully expanded leaf from top</v>
      </c>
      <c r="P26" s="43" t="n">
        <f aca="false">INDEX(Context!$R$4:$R$51,K26)</f>
        <v>0.953571428571428</v>
      </c>
      <c r="Q26" s="43" t="n">
        <f aca="false">INDEX(Context!$U$4:$U$51,K26)</f>
        <v>2.18945736698217</v>
      </c>
      <c r="R26" s="43" t="n">
        <f aca="false">INDEX(Context!$AD$4:$AD$51,K26)</f>
        <v>1</v>
      </c>
      <c r="S26" s="9" t="str">
        <f aca="false">INDEX(Context!$AI$4:$AN$51,K26,MATCH(F26,Severity_Classes!$A$4:$A$9,0))</f>
        <v>Likely</v>
      </c>
      <c r="T26" s="44" t="n">
        <f aca="false">Parameters!$E$4*IF($N26="V",Parameters!$I$4,IF($N26="F",Parameters!$J$4,Parameters!$K$4))*(1-Parameters!$L$4*$P26)*IF($D26="V1",Parameters!$M$4,IF($D26="V2",Parameters!$N$4,Parameters!$O$4))</f>
        <v>77.8046607142857</v>
      </c>
      <c r="U26" s="44" t="n">
        <f aca="false">MIN(100,T26*(1+INDEX(Response_Table!$E$4:$E$21,MATCH($F26&amp;"|mid",Response_Table!$A$4:$A$21,0))*$R26*INDEX(Parameters!$X$4:$AA$4,1,MATCH($E26,Parameters!$X$3:$AA$3,0))))</f>
        <v>56.3297142695902</v>
      </c>
      <c r="V26" s="44" t="n">
        <f aca="false">MAX(0,MIN(T26*(1+INDEX(Response_Table!$E$4:$E$21,MATCH($F26&amp;"|low",Response_Table!$A$4:$A$21,0))*$R26*INDEX(Parameters!$X$4:$AA$4,1,MATCH($E26,Parameters!$X$3:$AA$3,0))),T26*(1+INDEX(Response_Table!$E$4:$E$21,MATCH($F26&amp;"|high",Response_Table!$A$4:$A$21,0))*$R26*INDEX(Parameters!$X$4:$AA$4,1,MATCH($E26,Parameters!$X$3:$AA$3,0))))*(1-Inputs_General!$C$22*Parameters!$F$4))</f>
        <v>51.2305032035894</v>
      </c>
      <c r="W26" s="44" t="n">
        <f aca="false">MIN(100,MAX(T26*(1+INDEX(Response_Table!$E$4:$E$21,MATCH($F26&amp;"|low",Response_Table!$A$4:$A$21,0))*$R26*INDEX(Parameters!$X$4:$AA$4,1,MATCH($E26,Parameters!$X$3:$AA$3,0))),T26*(1+INDEX(Response_Table!$E$4:$E$21,MATCH($F26&amp;"|high",Response_Table!$A$4:$A$21,0))*$R26*INDEX(Parameters!$X$4:$AA$4,1,MATCH($E26,Parameters!$X$3:$AA$3,0))))*(1+Inputs_General!$C$22*Parameters!$F$4))</f>
        <v>63.5173834975525</v>
      </c>
      <c r="X26" s="45" t="n">
        <f aca="false">IF(T26=0,0,U26/T26-1)</f>
        <v>-0.276011054447699</v>
      </c>
      <c r="Y26" s="44" t="n">
        <f aca="false">Parameters!$E$5*IF($N26="V",Parameters!$I$5,IF($N26="F",Parameters!$J$5,Parameters!$K$5))*(1-Parameters!$L$5*$P26)*IF($D26="V1",Parameters!$M$5,IF($D26="V2",Parameters!$N$5,Parameters!$O$5))</f>
        <v>58.6602514285714</v>
      </c>
      <c r="Z26" s="44" t="n">
        <f aca="false">MIN(100,Y26*(1+INDEX(Response_Table!$F$4:$F$21,MATCH($F26&amp;"|mid",Response_Table!$A$4:$A$21,0))*$R26*INDEX(Parameters!$X$5:$AA$5,1,MATCH($E26,Parameters!$X$3:$AA$3,0))))</f>
        <v>18.6490284438912</v>
      </c>
      <c r="AA26" s="44" t="n">
        <f aca="false">MAX(0,MIN(Y26*(1+INDEX(Response_Table!$F$4:$F$21,MATCH($F26&amp;"|low",Response_Table!$A$4:$A$21,0))*$R26*INDEX(Parameters!$X$5:$AA$5,1,MATCH($E26,Parameters!$X$3:$AA$3,0))),Y26*(1+INDEX(Response_Table!$F$4:$F$21,MATCH($F26&amp;"|high",Response_Table!$A$4:$A$21,0))*$R26*INDEX(Parameters!$X$5:$AA$5,1,MATCH($E26,Parameters!$X$3:$AA$3,0))))*(1-Inputs_General!$C$22*Parameters!$F$5))</f>
        <v>15.7001916252653</v>
      </c>
      <c r="AB26" s="44" t="n">
        <f aca="false">MIN(100,MAX(Y26*(1+INDEX(Response_Table!$F$4:$F$21,MATCH($F26&amp;"|low",Response_Table!$A$4:$A$21,0))*$R26*INDEX(Parameters!$X$5:$AA$5,1,MATCH($E26,Parameters!$X$3:$AA$3,0))),Y26*(1+INDEX(Response_Table!$F$4:$F$21,MATCH($F26&amp;"|high",Response_Table!$A$4:$A$21,0))*$R26*INDEX(Parameters!$X$5:$AA$5,1,MATCH($E26,Parameters!$X$3:$AA$3,0))))*(1+Inputs_General!$C$22*Parameters!$F$5))</f>
        <v>24.0507923618159</v>
      </c>
      <c r="AC26" s="45" t="n">
        <f aca="false">IF(Y26=0,0,Z26/Y26-1)</f>
        <v>-0.682084069029274</v>
      </c>
      <c r="AD26" s="44" t="n">
        <f aca="false">Parameters!$E$6*IF($N26="V",Parameters!$I$6,IF($N26="F",Parameters!$J$6,Parameters!$K$6))*(1-Parameters!$L$6*$P26)*IF($D26="V1",Parameters!$M$6,IF($D26="V2",Parameters!$N$6,Parameters!$O$6))</f>
        <v>14.3019785714286</v>
      </c>
      <c r="AE26" s="44" t="n">
        <f aca="false">AD26*(1+INDEX(Response_Table!$G$4:$G$21,MATCH($F26&amp;"|mid",Response_Table!$A$4:$A$21,0))*$R26*INDEX(Parameters!$X$6:$AA$6,1,MATCH($E26,Parameters!$X$3:$AA$3,0)))</f>
        <v>4.18978707945389</v>
      </c>
      <c r="AF26" s="44" t="n">
        <f aca="false">MAX(0,MIN(AD26*(1+INDEX(Response_Table!$G$4:$G$21,MATCH($F26&amp;"|low",Response_Table!$A$4:$A$21,0))*$R26*INDEX(Parameters!$X$6:$AA$6,1,MATCH($E26,Parameters!$X$3:$AA$3,0))),AD26*(1+INDEX(Response_Table!$G$4:$G$21,MATCH($F26&amp;"|high",Response_Table!$A$4:$A$21,0))*$R26*INDEX(Parameters!$X$6:$AA$6,1,MATCH($E26,Parameters!$X$3:$AA$3,0))))*(1-Inputs_General!$C$22*Parameters!$F$6))</f>
        <v>3.07419287955184</v>
      </c>
      <c r="AG26" s="44" t="n">
        <f aca="false">MAX(AD26*(1+INDEX(Response_Table!$G$4:$G$21,MATCH($F26&amp;"|low",Response_Table!$A$4:$A$21,0))*$R26*INDEX(Parameters!$X$6:$AA$6,1,MATCH($E26,Parameters!$X$3:$AA$3,0))),AD26*(1+INDEX(Response_Table!$G$4:$G$21,MATCH($F26&amp;"|high",Response_Table!$A$4:$A$21,0))*$R26*INDEX(Parameters!$X$6:$AA$6,1,MATCH($E26,Parameters!$X$3:$AA$3,0))))*(1+Inputs_General!$C$22*Parameters!$F$6)</f>
        <v>5.64318036085548</v>
      </c>
      <c r="AH26" s="45" t="n">
        <f aca="false">IF(AD26=0,0,AE26/AD26-1)</f>
        <v>-0.707048429800899</v>
      </c>
      <c r="AI26" s="46" t="n">
        <f aca="false">Parameters!$E$7*IF($N26="V",Parameters!$I$7,IF($N26="F",Parameters!$J$7,Parameters!$K$7))*(1-Parameters!$L$7*$P26)*IF($D26="V1",Parameters!$M$7,IF($D26="V2",Parameters!$N$7,Parameters!$O$7))*POWER($Q26/Inputs_General!$C$26,-Inputs_General!$C$25)</f>
        <v>0.258501574676089</v>
      </c>
      <c r="AJ26" s="46" t="n">
        <f aca="false">AI26*(1+INDEX(Response_Table!$H$4:$H$21,MATCH($F26&amp;"|mid",Response_Table!$A$4:$A$21,0))*$R26*INDEX(Parameters!$X$7:$AA$7,1,MATCH($E26,Parameters!$X$3:$AA$3,0)))</f>
        <v>0.114381297638081</v>
      </c>
      <c r="AK26" s="46" t="n">
        <f aca="false">MAX(0,MIN(AI26*(1+INDEX(Response_Table!$H$4:$H$21,MATCH($F26&amp;"|low",Response_Table!$A$4:$A$21,0))*$R26*INDEX(Parameters!$X$7:$AA$7,1,MATCH($E26,Parameters!$X$3:$AA$3,0))),AI26*(1+INDEX(Response_Table!$H$4:$H$21,MATCH($F26&amp;"|high",Response_Table!$A$4:$A$21,0))*$R26*INDEX(Parameters!$X$7:$AA$7,1,MATCH($E26,Parameters!$X$3:$AA$3,0))))*(1-Inputs_General!$C$22*Parameters!$F$7))</f>
        <v>0.0729207337719447</v>
      </c>
      <c r="AL26" s="46" t="n">
        <f aca="false">MAX(AI26*(1+INDEX(Response_Table!$H$4:$H$21,MATCH($F26&amp;"|low",Response_Table!$A$4:$A$21,0))*$R26*INDEX(Parameters!$X$7:$AA$7,1,MATCH($E26,Parameters!$X$3:$AA$3,0))),AI26*(1+INDEX(Response_Table!$H$4:$H$21,MATCH($F26&amp;"|high",Response_Table!$A$4:$A$21,0))*$R26*INDEX(Parameters!$X$7:$AA$7,1,MATCH($E26,Parameters!$X$3:$AA$3,0))))*(1+Inputs_General!$C$22*Parameters!$F$7)</f>
        <v>0.16442218095601</v>
      </c>
      <c r="AM26" s="45" t="n">
        <f aca="false">IF(AI26=0,0,AJ26/AI26-1)</f>
        <v>-0.557521853468766</v>
      </c>
      <c r="AN26" s="43" t="n">
        <f aca="false">AI26*$Q26/Inputs_General!$C$13*1000</f>
        <v>5.69967952720096</v>
      </c>
      <c r="AO26" s="43" t="n">
        <f aca="false">AJ26*$Q26/Inputs_General!$C$13*1000*(1+Inputs_General!$C$21*$I26)</f>
        <v>2.93180597338331</v>
      </c>
      <c r="AP26" s="43" t="n">
        <f aca="false">AK26*$Q26/Inputs_General!$C$13*1000*(1+Inputs_General!$C$21*$H26)</f>
        <v>1.81282058990411</v>
      </c>
      <c r="AQ26" s="43" t="n">
        <f aca="false">AL26*$Q26/Inputs_General!$C$13*1000*(1+Inputs_General!$C$21*$J26)</f>
        <v>4.3957136798556</v>
      </c>
      <c r="AR26" s="45" t="n">
        <f aca="false">IF(AN26=0,0,AO26/AN26-1)</f>
        <v>-0.485619154657441</v>
      </c>
      <c r="AS26" s="42" t="n">
        <f aca="false">Parameters!$E$9*IF($N26="V",Parameters!$I$9,IF($N26="F",Parameters!$J$9,Parameters!$K$9))*(1-Parameters!$L$9*$P26)*IF($D26="V1",Parameters!$M$9,IF($D26="V2",Parameters!$N$9,Parameters!$O$9))</f>
        <v>293.55</v>
      </c>
      <c r="AT26" s="42" t="n">
        <f aca="false">AS26*(1+INDEX(Response_Table!$I$4:$I$21,MATCH($F26&amp;"|mid",Response_Table!$A$4:$A$21,0))*$R26*INDEX(Parameters!$X$9:$AA$9,1,MATCH($E26,Parameters!$X$3:$AA$3,0)))</f>
        <v>375.074097334555</v>
      </c>
      <c r="AU26" s="42" t="n">
        <f aca="false">MAX(0,MIN(AS26*(1+INDEX(Response_Table!$I$4:$I$21,MATCH($F26&amp;"|low",Response_Table!$A$4:$A$21,0))*$R26*INDEX(Parameters!$X$9:$AA$9,1,MATCH($E26,Parameters!$X$3:$AA$3,0))),AS26*(1+INDEX(Response_Table!$I$4:$I$21,MATCH($F26&amp;"|high",Response_Table!$A$4:$A$21,0))*$R26*INDEX(Parameters!$X$9:$AA$9,1,MATCH($E26,Parameters!$X$3:$AA$3,0))))*(1-Inputs_General!$C$22*Parameters!$F$9))</f>
        <v>333.628832646892</v>
      </c>
      <c r="AV26" s="42" t="n">
        <f aca="false">MAX(AS26*(1+INDEX(Response_Table!$I$4:$I$21,MATCH($F26&amp;"|low",Response_Table!$A$4:$A$21,0))*$R26*INDEX(Parameters!$X$9:$AA$9,1,MATCH($E26,Parameters!$X$3:$AA$3,0))),AS26*(1+INDEX(Response_Table!$I$4:$I$21,MATCH($F26&amp;"|high",Response_Table!$A$4:$A$21,0))*$R26*INDEX(Parameters!$X$9:$AA$9,1,MATCH($E26,Parameters!$X$3:$AA$3,0))))*(1+Inputs_General!$C$22*Parameters!$F$9)</f>
        <v>416.051302501163</v>
      </c>
      <c r="AW26" s="45" t="n">
        <f aca="false">IF(AS26=0,0,AT26/AS26-1)</f>
        <v>0.2777179265357</v>
      </c>
      <c r="AX26" s="43" t="n">
        <f aca="false">INDEX(Context!$AB$4:$AB$51,$K26)</f>
        <v>2.52121976455078</v>
      </c>
      <c r="AY26" s="43" t="n">
        <f aca="false">AX26*(1+INDEX(Response_Table!$J$4:$J$21,MATCH($F26&amp;"|mid",Response_Table!$A$4:$A$21,0))*$R26*INDEX(Parameters!$X$10:$AA$10,1,MATCH($E26,Parameters!$X$3:$AA$3,0)))</f>
        <v>1.61007679383096</v>
      </c>
      <c r="AZ26" s="43" t="n">
        <f aca="false">MAX(0,MIN(AX26*(1+INDEX(Response_Table!$J$4:$J$21,MATCH($F26&amp;"|low",Response_Table!$A$4:$A$21,0))*$R26*INDEX(Parameters!$X$10:$AA$10,1,MATCH($E26,Parameters!$X$3:$AA$3,0))),AX26*(1+INDEX(Response_Table!$J$4:$J$21,MATCH($F26&amp;"|high",Response_Table!$A$4:$A$21,0))*$R26*INDEX(Parameters!$X$10:$AA$10,1,MATCH($E26,Parameters!$X$3:$AA$3,0))))*(1-Inputs_General!$C$22*Parameters!$F$10))</f>
        <v>1.22169638092289</v>
      </c>
      <c r="BA26" s="43" t="n">
        <f aca="false">MAX(AX26*(1+INDEX(Response_Table!$J$4:$J$21,MATCH($F26&amp;"|low",Response_Table!$A$4:$A$21,0))*$R26*INDEX(Parameters!$X$10:$AA$10,1,MATCH($E26,Parameters!$X$3:$AA$3,0))),AX26*(1+INDEX(Response_Table!$J$4:$J$21,MATCH($F26&amp;"|high",Response_Table!$A$4:$A$21,0))*$R26*INDEX(Parameters!$X$10:$AA$10,1,MATCH($E26,Parameters!$X$3:$AA$3,0))))*(1+Inputs_General!$C$22*Parameters!$F$10)</f>
        <v>2.0400091424407</v>
      </c>
      <c r="BB26" s="45" t="n">
        <f aca="false">IF(AX26=0,0,AY26/AX26-1)</f>
        <v>-0.361389746158113</v>
      </c>
      <c r="BC26" s="46" t="n">
        <f aca="false">Parameters!$E$11*IF($N26="V",Parameters!$I$11,IF($N26="F",Parameters!$J$11,Parameters!$K$11))*(1-Parameters!$L$11*$P26)*IF($D26="V1",Parameters!$M$11,IF($D26="V2",Parameters!$N$11,Parameters!$O$11))</f>
        <v>1.00170982142857</v>
      </c>
      <c r="BD26" s="46" t="n">
        <f aca="false">BC26*(1+INDEX(Response_Table!$K$4:$K$21,MATCH($F26&amp;"|mid",Response_Table!$A$4:$A$21,0))*$R26*INDEX(Parameters!$X$11:$AA$11,1,MATCH($E26,Parameters!$X$3:$AA$3,0)))</f>
        <v>0.431941920859109</v>
      </c>
      <c r="BE26" s="46" t="n">
        <f aca="false">MAX(0,MIN(BC26*(1+INDEX(Response_Table!$K$4:$K$21,MATCH($F26&amp;"|low",Response_Table!$A$4:$A$21,0))*$R26*INDEX(Parameters!$X$11:$AA$11,1,MATCH($E26,Parameters!$X$3:$AA$3,0))),BC26*(1+INDEX(Response_Table!$K$4:$K$21,MATCH($F26&amp;"|high",Response_Table!$A$4:$A$21,0))*$R26*INDEX(Parameters!$X$11:$AA$11,1,MATCH($E26,Parameters!$X$3:$AA$3,0))))*(1-Inputs_General!$C$22*Parameters!$F$11))</f>
        <v>0.328761095537153</v>
      </c>
      <c r="BF26" s="46" t="n">
        <f aca="false">MAX(BC26*(1+INDEX(Response_Table!$K$4:$K$21,MATCH($F26&amp;"|low",Response_Table!$A$4:$A$21,0))*$R26*INDEX(Parameters!$X$11:$AA$11,1,MATCH($E26,Parameters!$X$3:$AA$3,0))),BC26*(1+INDEX(Response_Table!$K$4:$K$21,MATCH($F26&amp;"|high",Response_Table!$A$4:$A$21,0))*$R26*INDEX(Parameters!$X$11:$AA$11,1,MATCH($E26,Parameters!$X$3:$AA$3,0))))*(1+Inputs_General!$C$22*Parameters!$F$11)</f>
        <v>0.55653262849443</v>
      </c>
      <c r="BG26" s="45" t="n">
        <f aca="false">IF(BC26=0,0,BD26/BC26-1)</f>
        <v>-0.568795362070921</v>
      </c>
      <c r="BH26" s="46" t="n">
        <f aca="false">Parameters!$E$12*IF($N26="V",Parameters!$I$12,IF($N26="F",Parameters!$J$12,Parameters!$K$12))*(1-Parameters!$L$12*$P26)*IF($D26="V1",Parameters!$M$12,IF($D26="V2",Parameters!$N$12,Parameters!$O$12))</f>
        <v>0.373343142857143</v>
      </c>
      <c r="BI26" s="46" t="n">
        <f aca="false">BH26*(1+INDEX(Response_Table!$L$4:$L$21,MATCH($F26&amp;"|mid",Response_Table!$A$4:$A$21,0))*$R26*INDEX(Parameters!$X$12:$AA$12,1,MATCH($E26,Parameters!$X$3:$AA$3,0)))</f>
        <v>0.197218791253969</v>
      </c>
      <c r="BJ26" s="46" t="n">
        <f aca="false">MAX(0,MIN(BH26*(1+INDEX(Response_Table!$L$4:$L$21,MATCH($F26&amp;"|low",Response_Table!$A$4:$A$21,0))*$R26*INDEX(Parameters!$X$12:$AA$12,1,MATCH($E26,Parameters!$X$3:$AA$3,0))),BH26*(1+INDEX(Response_Table!$L$4:$L$21,MATCH($F26&amp;"|high",Response_Table!$A$4:$A$21,0))*$R26*INDEX(Parameters!$X$12:$AA$12,1,MATCH($E26,Parameters!$X$3:$AA$3,0))))*(1-Inputs_General!$C$22*Parameters!$F$12))</f>
        <v>0.147708581216903</v>
      </c>
      <c r="BK26" s="46" t="n">
        <f aca="false">MAX(BH26*(1+INDEX(Response_Table!$L$4:$L$21,MATCH($F26&amp;"|low",Response_Table!$A$4:$A$21,0))*$R26*INDEX(Parameters!$X$12:$AA$12,1,MATCH($E26,Parameters!$X$3:$AA$3,0))),BH26*(1+INDEX(Response_Table!$L$4:$L$21,MATCH($F26&amp;"|high",Response_Table!$A$4:$A$21,0))*$R26*INDEX(Parameters!$X$12:$AA$12,1,MATCH($E26,Parameters!$X$3:$AA$3,0))))*(1+Inputs_General!$C$22*Parameters!$F$12)</f>
        <v>0.254408671793752</v>
      </c>
      <c r="BL26" s="45" t="n">
        <f aca="false">IF(BH26=0,0,BI26/BH26-1)</f>
        <v>-0.471749260627418</v>
      </c>
      <c r="BM26" s="46" t="n">
        <f aca="false">Parameters!$E$13*IF($N26="V",Parameters!$I$13,IF($N26="F",Parameters!$J$13,Parameters!$K$13))*(1-Parameters!$L$13*$P26)*IF($D26="V1",Parameters!$M$13,IF($D26="V2",Parameters!$N$13,Parameters!$O$13))</f>
        <v>0.262276071428571</v>
      </c>
      <c r="BN26" s="46" t="n">
        <f aca="false">BM26*(1+INDEX(Response_Table!$M$4:$M$21,MATCH($F26&amp;"|mid",Response_Table!$A$4:$A$21,0))*$R26*INDEX(Parameters!$X$13:$AA$13,1,MATCH($E26,Parameters!$X$3:$AA$3,0)))</f>
        <v>0.172988387214396</v>
      </c>
      <c r="BO26" s="46" t="n">
        <f aca="false">MAX(0,MIN(BM26*(1+INDEX(Response_Table!$M$4:$M$21,MATCH($F26&amp;"|low",Response_Table!$A$4:$A$21,0))*$R26*INDEX(Parameters!$X$13:$AA$13,1,MATCH($E26,Parameters!$X$3:$AA$3,0))),BM26*(1+INDEX(Response_Table!$M$4:$M$21,MATCH($F26&amp;"|high",Response_Table!$A$4:$A$21,0))*$R26*INDEX(Parameters!$X$13:$AA$13,1,MATCH($E26,Parameters!$X$3:$AA$3,0))))*(1-Inputs_General!$C$22*Parameters!$F$13))</f>
        <v>0.132975189828341</v>
      </c>
      <c r="BP26" s="46" t="n">
        <f aca="false">MAX(BM26*(1+INDEX(Response_Table!$M$4:$M$21,MATCH($F26&amp;"|low",Response_Table!$A$4:$A$21,0))*$R26*INDEX(Parameters!$X$13:$AA$13,1,MATCH($E26,Parameters!$X$3:$AA$3,0))),BM26*(1+INDEX(Response_Table!$M$4:$M$21,MATCH($F26&amp;"|high",Response_Table!$A$4:$A$21,0))*$R26*INDEX(Parameters!$X$13:$AA$13,1,MATCH($E26,Parameters!$X$3:$AA$3,0))))*(1+Inputs_General!$C$22*Parameters!$F$13)</f>
        <v>0.218285142038729</v>
      </c>
      <c r="BQ26" s="45" t="n">
        <f aca="false">IF(BM26=0,0,BN26/BM26-1)</f>
        <v>-0.340433969930393</v>
      </c>
      <c r="BR26" s="44" t="n">
        <f aca="false">Parameters!$E$14*IF($N26="V",Parameters!$I$14,IF($N26="F",Parameters!$J$14,Parameters!$K$14))*(1-Parameters!$L$14*$P26)*IF($D26="V1",Parameters!$M$14,IF($D26="V2",Parameters!$N$14,Parameters!$O$14))*INDEX(Context!$AC$4:$AC$51,$K26)</f>
        <v>17.25</v>
      </c>
      <c r="BS26" s="44" t="n">
        <f aca="false">BR26*(1+INDEX(Response_Table!$N$4:$N$21,MATCH($F26&amp;"|mid",Response_Table!$A$4:$A$21,0))*$R26*INDEX(Parameters!$X$14:$AA$14,1,MATCH($E26,Parameters!$X$3:$AA$3,0)))</f>
        <v>26.1274633590796</v>
      </c>
      <c r="BT26" s="44" t="n">
        <f aca="false">MAX(0,MIN(BR26*(1+INDEX(Response_Table!$N$4:$N$21,MATCH($F26&amp;"|low",Response_Table!$A$4:$A$21,0))*$R26*INDEX(Parameters!$X$14:$AA$14,1,MATCH($E26,Parameters!$X$3:$AA$3,0))),BR26*(1+INDEX(Response_Table!$N$4:$N$21,MATCH($F26&amp;"|high",Response_Table!$A$4:$A$21,0))*$R26*INDEX(Parameters!$X$14:$AA$14,1,MATCH($E26,Parameters!$X$3:$AA$3,0))))*(1-Inputs_General!$C$22*Parameters!$F$14))</f>
        <v>12.844260484621</v>
      </c>
      <c r="BU26" s="44" t="n">
        <f aca="false">MAX(BR26*(1+INDEX(Response_Table!$N$4:$N$21,MATCH($F26&amp;"|low",Response_Table!$A$4:$A$21,0))*$R26*INDEX(Parameters!$X$14:$AA$14,1,MATCH($E26,Parameters!$X$3:$AA$3,0))),BR26*(1+INDEX(Response_Table!$N$4:$N$21,MATCH($F26&amp;"|high",Response_Table!$A$4:$A$21,0))*$R26*INDEX(Parameters!$X$14:$AA$14,1,MATCH($E26,Parameters!$X$3:$AA$3,0))))*(1+Inputs_General!$C$22*Parameters!$F$14)</f>
        <v>40.0136350794123</v>
      </c>
      <c r="BV26" s="45" t="n">
        <f aca="false">IF(BR26=0,0,BS26/BR26-1)</f>
        <v>0.514635557048092</v>
      </c>
      <c r="BW26" s="43" t="n">
        <f aca="false">Parameters!$E$15*IF($N26="V",Parameters!$I$15,IF($N26="F",Parameters!$J$15,Parameters!$K$15))*(1-Parameters!$L$15*$P26)*IF($D26="V1",Parameters!$M$15,IF($D26="V2",Parameters!$N$15,Parameters!$O$15))</f>
        <v>8.04007657142857</v>
      </c>
      <c r="BX26" s="43" t="n">
        <f aca="false">BW26*(1+INDEX(Response_Table!$O$4:$O$21,MATCH($F26&amp;"|mid",Response_Table!$A$4:$A$21,0))*$R26*INDEX(Parameters!$X$15:$AA$15,1,MATCH($E26,Parameters!$X$3:$AA$3,0)))</f>
        <v>7.00564925016696</v>
      </c>
      <c r="BY26" s="43" t="n">
        <f aca="false">MAX(0,MIN(BW26*(1+INDEX(Response_Table!$O$4:$O$21,MATCH($F26&amp;"|low",Response_Table!$A$4:$A$21,0))*$R26*INDEX(Parameters!$X$15:$AA$15,1,MATCH($E26,Parameters!$X$3:$AA$3,0))),BW26*(1+INDEX(Response_Table!$O$4:$O$21,MATCH($F26&amp;"|high",Response_Table!$A$4:$A$21,0))*$R26*INDEX(Parameters!$X$15:$AA$15,1,MATCH($E26,Parameters!$X$3:$AA$3,0))))*(1-Inputs_General!$C$22*Parameters!$F$15))</f>
        <v>5.56059938181482</v>
      </c>
      <c r="BZ26" s="43" t="n">
        <f aca="false">MAX(BW26*(1+INDEX(Response_Table!$O$4:$O$21,MATCH($F26&amp;"|low",Response_Table!$A$4:$A$21,0))*$R26*INDEX(Parameters!$X$15:$AA$15,1,MATCH($E26,Parameters!$X$3:$AA$3,0))),BW26*(1+INDEX(Response_Table!$O$4:$O$21,MATCH($F26&amp;"|high",Response_Table!$A$4:$A$21,0))*$R26*INDEX(Parameters!$X$15:$AA$15,1,MATCH($E26,Parameters!$X$3:$AA$3,0))))*(1+Inputs_General!$C$22*Parameters!$F$15)</f>
        <v>8.49580396014937</v>
      </c>
      <c r="CA26" s="45" t="n">
        <f aca="false">IF(BW26=0,0,BX26/BW26-1)</f>
        <v>-0.128658889262023</v>
      </c>
      <c r="CB26" s="46" t="n">
        <f aca="false">BD26+BI26</f>
        <v>0.629160712113079</v>
      </c>
      <c r="CC26" s="43" t="n">
        <f aca="false">BD26/BI26</f>
        <v>2.19016615056156</v>
      </c>
      <c r="CD26" s="46" t="n">
        <f aca="false">BN26/CB26</f>
        <v>0.274951032198756</v>
      </c>
      <c r="CE26" s="43" t="n">
        <f aca="false">AE26/AO26</f>
        <v>1.4290806136188</v>
      </c>
      <c r="CF26" s="44" t="n">
        <f aca="false">AE26/AJ26</f>
        <v>36.6300012849214</v>
      </c>
      <c r="CG26" s="44" t="n">
        <f aca="false">INDEX(Context!$V$4:$V$51,$K26)</f>
        <v>32.7871428571429</v>
      </c>
      <c r="CH26" s="44" t="n">
        <f aca="false">INDEX(Context!$Y$4:$Y$51,$K26)</f>
        <v>28.36912210206</v>
      </c>
      <c r="CI26" s="44" t="n">
        <f aca="false">INDEX(Context!$Z$4:$Z$51,$K26)</f>
        <v>36.7871428571429</v>
      </c>
      <c r="CJ26" s="43" t="n">
        <f aca="false">INDEX(Context!$AA$4:$AA$51,$K26)</f>
        <v>0.347678571428571</v>
      </c>
      <c r="CK26" s="43" t="n">
        <f aca="false">MAX(0,MIN(1,1-(1-CJ26)*AO26/AN26))</f>
        <v>0.664458352136363</v>
      </c>
      <c r="CL26" s="44" t="n">
        <f aca="false">CH26+CK26*(CI26-CH26)</f>
        <v>33.9625463012321</v>
      </c>
      <c r="CM26" s="44" t="n">
        <f aca="false">CH26+MAX(0,MIN(1,1-(1-CJ26)*AQ26/AN26))*(CI26-CH26)</f>
        <v>32.5521703406765</v>
      </c>
      <c r="CN26" s="44" t="n">
        <f aca="false">CH26+MAX(0,MIN(1,1-(1-CJ26)*AP26/AN26))*(CI26-CH26)</f>
        <v>35.0406129567285</v>
      </c>
      <c r="CO26" s="44" t="n">
        <f aca="false">CL26-CG26</f>
        <v>1.17540344408921</v>
      </c>
      <c r="CP26" s="44" t="n">
        <f aca="false">CL26-(CH26+CJ26*(CI26-CH26))</f>
        <v>2.66665876878877</v>
      </c>
      <c r="CQ26" s="46" t="n">
        <f aca="false">CL26/CG26</f>
        <v>1.03584952336989</v>
      </c>
      <c r="CR26" s="43" t="n">
        <f aca="false">IF(CL26-CH26&lt;=0,"n/a",(CI26-CL26)/(CL26-CH26))</f>
        <v>0.504985221097463</v>
      </c>
      <c r="CS26" s="43" t="n">
        <f aca="false">IF(CI26-CL26&lt;=0,"n/a",(CL26-CH26)/(CI26-CL26))</f>
        <v>1.98025597229706</v>
      </c>
      <c r="CT26" s="43" t="n">
        <f aca="false">Inputs_General!$C$23+Inputs_General!$C$24*$I26</f>
        <v>1.9</v>
      </c>
      <c r="CU26" s="44" t="n">
        <f aca="false">3.29*CT26</f>
        <v>6.251</v>
      </c>
    </row>
    <row r="27" customFormat="false" ht="15" hidden="false" customHeight="false" outlineLevel="0" collapsed="false">
      <c r="A27" s="33" t="str">
        <f aca="false">B27&amp;"|"&amp;E27&amp;"|"&amp;F27</f>
        <v>D1V2|11/02/2026|Healthy</v>
      </c>
      <c r="B27" s="34" t="s">
        <v>343</v>
      </c>
      <c r="C27" s="33" t="s">
        <v>127</v>
      </c>
      <c r="D27" s="33" t="s">
        <v>146</v>
      </c>
      <c r="E27" s="33" t="s">
        <v>158</v>
      </c>
      <c r="F27" s="34" t="s">
        <v>275</v>
      </c>
      <c r="G27" s="33" t="s">
        <v>276</v>
      </c>
      <c r="H27" s="35" t="n">
        <f aca="false">INDEX(Severity_Classes!$C$4:$C$9,MATCH(F27,Severity_Classes!$A$4:$A$9,0))</f>
        <v>0</v>
      </c>
      <c r="I27" s="35" t="n">
        <f aca="false">INDEX(Severity_Classes!$D$4:$D$9,MATCH(F27,Severity_Classes!$A$4:$A$9,0))</f>
        <v>0</v>
      </c>
      <c r="J27" s="35" t="n">
        <f aca="false">INDEX(Severity_Classes!$E$4:$E$9,MATCH(F27,Severity_Classes!$A$4:$A$9,0))</f>
        <v>0</v>
      </c>
      <c r="K27" s="36" t="n">
        <f aca="false">MATCH(B27&amp;"|"&amp;E27,Context!$A$4:$A$51,0)</f>
        <v>5</v>
      </c>
      <c r="L27" s="36" t="n">
        <f aca="false">INDEX(Context!$H$4:$H$51,K27)</f>
        <v>64</v>
      </c>
      <c r="M27" s="36" t="n">
        <f aca="false">INDEX(Context!$I$4:$I$51,K27)</f>
        <v>6</v>
      </c>
      <c r="N27" s="33" t="str">
        <f aca="false">INDEX(Context!$L$4:$L$51,K27)</f>
        <v>V</v>
      </c>
      <c r="O27" s="33" t="str">
        <f aca="false">INDEX(Context!$M$4:$M$51,K27)</f>
        <v>3rd fully expanded leaf from top</v>
      </c>
      <c r="P27" s="37" t="n">
        <f aca="false">INDEX(Context!$R$4:$R$51,K27)</f>
        <v>0</v>
      </c>
      <c r="Q27" s="37" t="n">
        <f aca="false">INDEX(Context!$U$4:$U$51,K27)</f>
        <v>0.937791824040773</v>
      </c>
      <c r="R27" s="37" t="n">
        <f aca="false">INDEX(Context!$AD$4:$AD$51,K27)</f>
        <v>1.1</v>
      </c>
      <c r="S27" s="33" t="str">
        <f aca="false">INDEX(Context!$AI$4:$AN$51,K27,MATCH(F27,Severity_Classes!$A$4:$A$9,0))</f>
        <v>Reference: healthy (uninoculated) control plot</v>
      </c>
      <c r="T27" s="38" t="n">
        <f aca="false">Parameters!$E$4*IF($N27="V",Parameters!$I$4,IF($N27="F",Parameters!$J$4,Parameters!$K$4))*(1-Parameters!$L$4*$P27)*IF($D27="V1",Parameters!$M$4,IF($D27="V2",Parameters!$N$4,Parameters!$O$4))</f>
        <v>86</v>
      </c>
      <c r="U27" s="38" t="n">
        <f aca="false">MIN(100,T27*(1+INDEX(Response_Table!$E$4:$E$21,MATCH($F27&amp;"|mid",Response_Table!$A$4:$A$21,0))*$R27*INDEX(Parameters!$X$4:$AA$4,1,MATCH($E27,Parameters!$X$3:$AA$3,0))))</f>
        <v>86</v>
      </c>
      <c r="V27" s="38" t="n">
        <f aca="false">MAX(0,MIN(T27*(1+INDEX(Response_Table!$E$4:$E$21,MATCH($F27&amp;"|low",Response_Table!$A$4:$A$21,0))*$R27*INDEX(Parameters!$X$4:$AA$4,1,MATCH($E27,Parameters!$X$3:$AA$3,0))),T27*(1+INDEX(Response_Table!$E$4:$E$21,MATCH($F27&amp;"|high",Response_Table!$A$4:$A$21,0))*$R27*INDEX(Parameters!$X$4:$AA$4,1,MATCH($E27,Parameters!$X$3:$AA$3,0))))*(1-Inputs_General!$C$22*Parameters!$F$4))</f>
        <v>80.3412</v>
      </c>
      <c r="W27" s="38" t="n">
        <f aca="false">MIN(100,MAX(T27*(1+INDEX(Response_Table!$E$4:$E$21,MATCH($F27&amp;"|low",Response_Table!$A$4:$A$21,0))*$R27*INDEX(Parameters!$X$4:$AA$4,1,MATCH($E27,Parameters!$X$3:$AA$3,0))),T27*(1+INDEX(Response_Table!$E$4:$E$21,MATCH($F27&amp;"|high",Response_Table!$A$4:$A$21,0))*$R27*INDEX(Parameters!$X$4:$AA$4,1,MATCH($E27,Parameters!$X$3:$AA$3,0))))*(1+Inputs_General!$C$22*Parameters!$F$4))</f>
        <v>91.6588</v>
      </c>
      <c r="X27" s="39" t="n">
        <f aca="false">IF(T27=0,0,U27/T27-1)</f>
        <v>0</v>
      </c>
      <c r="Y27" s="38" t="n">
        <f aca="false">Parameters!$E$5*IF($N27="V",Parameters!$I$5,IF($N27="F",Parameters!$J$5,Parameters!$K$5))*(1-Parameters!$L$5*$P27)*IF($D27="V1",Parameters!$M$5,IF($D27="V2",Parameters!$N$5,Parameters!$O$5))</f>
        <v>72</v>
      </c>
      <c r="Z27" s="38" t="n">
        <f aca="false">MIN(100,Y27*(1+INDEX(Response_Table!$F$4:$F$21,MATCH($F27&amp;"|mid",Response_Table!$A$4:$A$21,0))*$R27*INDEX(Parameters!$X$5:$AA$5,1,MATCH($E27,Parameters!$X$3:$AA$3,0))))</f>
        <v>72</v>
      </c>
      <c r="AA27" s="38" t="n">
        <f aca="false">MAX(0,MIN(Y27*(1+INDEX(Response_Table!$F$4:$F$21,MATCH($F27&amp;"|low",Response_Table!$A$4:$A$21,0))*$R27*INDEX(Parameters!$X$5:$AA$5,1,MATCH($E27,Parameters!$X$3:$AA$3,0))),Y27*(1+INDEX(Response_Table!$F$4:$F$21,MATCH($F27&amp;"|high",Response_Table!$A$4:$A$21,0))*$R27*INDEX(Parameters!$X$5:$AA$5,1,MATCH($E27,Parameters!$X$3:$AA$3,0))))*(1-Inputs_General!$C$22*Parameters!$F$5))</f>
        <v>63.7092</v>
      </c>
      <c r="AB27" s="38" t="n">
        <f aca="false">MIN(100,MAX(Y27*(1+INDEX(Response_Table!$F$4:$F$21,MATCH($F27&amp;"|low",Response_Table!$A$4:$A$21,0))*$R27*INDEX(Parameters!$X$5:$AA$5,1,MATCH($E27,Parameters!$X$3:$AA$3,0))),Y27*(1+INDEX(Response_Table!$F$4:$F$21,MATCH($F27&amp;"|high",Response_Table!$A$4:$A$21,0))*$R27*INDEX(Parameters!$X$5:$AA$5,1,MATCH($E27,Parameters!$X$3:$AA$3,0))))*(1+Inputs_General!$C$22*Parameters!$F$5))</f>
        <v>80.2908</v>
      </c>
      <c r="AC27" s="39" t="n">
        <f aca="false">IF(Y27=0,0,Z27/Y27-1)</f>
        <v>0</v>
      </c>
      <c r="AD27" s="38" t="n">
        <f aca="false">Parameters!$E$6*IF($N27="V",Parameters!$I$6,IF($N27="F",Parameters!$J$6,Parameters!$K$6))*(1-Parameters!$L$6*$P27)*IF($D27="V1",Parameters!$M$6,IF($D27="V2",Parameters!$N$6,Parameters!$O$6))</f>
        <v>19</v>
      </c>
      <c r="AE27" s="38" t="n">
        <f aca="false">AD27*(1+INDEX(Response_Table!$G$4:$G$21,MATCH($F27&amp;"|mid",Response_Table!$A$4:$A$21,0))*$R27*INDEX(Parameters!$X$6:$AA$6,1,MATCH($E27,Parameters!$X$3:$AA$3,0)))</f>
        <v>19</v>
      </c>
      <c r="AF27" s="38" t="n">
        <f aca="false">MAX(0,MIN(AD27*(1+INDEX(Response_Table!$G$4:$G$21,MATCH($F27&amp;"|low",Response_Table!$A$4:$A$21,0))*$R27*INDEX(Parameters!$X$6:$AA$6,1,MATCH($E27,Parameters!$X$3:$AA$3,0))),AD27*(1+INDEX(Response_Table!$G$4:$G$21,MATCH($F27&amp;"|high",Response_Table!$A$4:$A$21,0))*$R27*INDEX(Parameters!$X$6:$AA$6,1,MATCH($E27,Parameters!$X$3:$AA$3,0))))*(1-Inputs_General!$C$22*Parameters!$F$6))</f>
        <v>15.2494</v>
      </c>
      <c r="AG27" s="38" t="n">
        <f aca="false">MAX(AD27*(1+INDEX(Response_Table!$G$4:$G$21,MATCH($F27&amp;"|low",Response_Table!$A$4:$A$21,0))*$R27*INDEX(Parameters!$X$6:$AA$6,1,MATCH($E27,Parameters!$X$3:$AA$3,0))),AD27*(1+INDEX(Response_Table!$G$4:$G$21,MATCH($F27&amp;"|high",Response_Table!$A$4:$A$21,0))*$R27*INDEX(Parameters!$X$6:$AA$6,1,MATCH($E27,Parameters!$X$3:$AA$3,0))))*(1+Inputs_General!$C$22*Parameters!$F$6)</f>
        <v>22.7506</v>
      </c>
      <c r="AH27" s="39" t="n">
        <f aca="false">IF(AD27=0,0,AE27/AD27-1)</f>
        <v>0</v>
      </c>
      <c r="AI27" s="40" t="n">
        <f aca="false">Parameters!$E$7*IF($N27="V",Parameters!$I$7,IF($N27="F",Parameters!$J$7,Parameters!$K$7))*(1-Parameters!$L$7*$P27)*IF($D27="V1",Parameters!$M$7,IF($D27="V2",Parameters!$N$7,Parameters!$O$7))*POWER($Q27/Inputs_General!$C$26,-Inputs_General!$C$25)</f>
        <v>0.464685683730118</v>
      </c>
      <c r="AJ27" s="40" t="n">
        <f aca="false">AI27*(1+INDEX(Response_Table!$H$4:$H$21,MATCH($F27&amp;"|mid",Response_Table!$A$4:$A$21,0))*$R27*INDEX(Parameters!$X$7:$AA$7,1,MATCH($E27,Parameters!$X$3:$AA$3,0)))</f>
        <v>0.464685683730118</v>
      </c>
      <c r="AK27" s="40" t="n">
        <f aca="false">MAX(0,MIN(AI27*(1+INDEX(Response_Table!$H$4:$H$21,MATCH($F27&amp;"|low",Response_Table!$A$4:$A$21,0))*$R27*INDEX(Parameters!$X$7:$AA$7,1,MATCH($E27,Parameters!$X$3:$AA$3,0))),AI27*(1+INDEX(Response_Table!$H$4:$H$21,MATCH($F27&amp;"|high",Response_Table!$A$4:$A$21,0))*$R27*INDEX(Parameters!$X$7:$AA$7,1,MATCH($E27,Parameters!$X$3:$AA$3,0))))*(1-Inputs_General!$C$22*Parameters!$F$7))</f>
        <v>0.32709225277763</v>
      </c>
      <c r="AL27" s="40" t="n">
        <f aca="false">MAX(AI27*(1+INDEX(Response_Table!$H$4:$H$21,MATCH($F27&amp;"|low",Response_Table!$A$4:$A$21,0))*$R27*INDEX(Parameters!$X$7:$AA$7,1,MATCH($E27,Parameters!$X$3:$AA$3,0))),AI27*(1+INDEX(Response_Table!$H$4:$H$21,MATCH($F27&amp;"|high",Response_Table!$A$4:$A$21,0))*$R27*INDEX(Parameters!$X$7:$AA$7,1,MATCH($E27,Parameters!$X$3:$AA$3,0))))*(1+Inputs_General!$C$22*Parameters!$F$7)</f>
        <v>0.602279114682606</v>
      </c>
      <c r="AM27" s="39" t="n">
        <f aca="false">IF(AI27=0,0,AJ27/AI27-1)</f>
        <v>0</v>
      </c>
      <c r="AN27" s="37" t="n">
        <f aca="false">AI27*$Q27/Inputs_General!$C$13*1000</f>
        <v>4.38850387664553</v>
      </c>
      <c r="AO27" s="37" t="n">
        <f aca="false">AJ27*$Q27/Inputs_General!$C$13*1000*(1+Inputs_General!$C$21*$I27)</f>
        <v>4.38850387664553</v>
      </c>
      <c r="AP27" s="37" t="n">
        <f aca="false">AK27*$Q27/Inputs_General!$C$13*1000*(1+Inputs_General!$C$21*$H27)</f>
        <v>3.08906787877079</v>
      </c>
      <c r="AQ27" s="37" t="n">
        <f aca="false">AL27*$Q27/Inputs_General!$C$13*1000*(1+Inputs_General!$C$21*$J27)</f>
        <v>5.68793987452027</v>
      </c>
      <c r="AR27" s="39" t="n">
        <f aca="false">IF(AN27=0,0,AO27/AN27-1)</f>
        <v>0</v>
      </c>
      <c r="AS27" s="36" t="n">
        <f aca="false">Parameters!$E$9*IF($N27="V",Parameters!$I$9,IF($N27="F",Parameters!$J$9,Parameters!$K$9))*(1-Parameters!$L$9*$P27)*IF($D27="V1",Parameters!$M$9,IF($D27="V2",Parameters!$N$9,Parameters!$O$9))</f>
        <v>285</v>
      </c>
      <c r="AT27" s="36" t="n">
        <f aca="false">AS27*(1+INDEX(Response_Table!$I$4:$I$21,MATCH($F27&amp;"|mid",Response_Table!$A$4:$A$21,0))*$R27*INDEX(Parameters!$X$9:$AA$9,1,MATCH($E27,Parameters!$X$3:$AA$3,0)))</f>
        <v>285</v>
      </c>
      <c r="AU27" s="36" t="n">
        <f aca="false">MAX(0,MIN(AS27*(1+INDEX(Response_Table!$I$4:$I$21,MATCH($F27&amp;"|low",Response_Table!$A$4:$A$21,0))*$R27*INDEX(Parameters!$X$9:$AA$9,1,MATCH($E27,Parameters!$X$3:$AA$3,0))),AS27*(1+INDEX(Response_Table!$I$4:$I$21,MATCH($F27&amp;"|high",Response_Table!$A$4:$A$21,0))*$R27*INDEX(Parameters!$X$9:$AA$9,1,MATCH($E27,Parameters!$X$3:$AA$3,0))))*(1-Inputs_General!$C$22*Parameters!$F$9))</f>
        <v>256.8705</v>
      </c>
      <c r="AV27" s="36" t="n">
        <f aca="false">MAX(AS27*(1+INDEX(Response_Table!$I$4:$I$21,MATCH($F27&amp;"|low",Response_Table!$A$4:$A$21,0))*$R27*INDEX(Parameters!$X$9:$AA$9,1,MATCH($E27,Parameters!$X$3:$AA$3,0))),AS27*(1+INDEX(Response_Table!$I$4:$I$21,MATCH($F27&amp;"|high",Response_Table!$A$4:$A$21,0))*$R27*INDEX(Parameters!$X$9:$AA$9,1,MATCH($E27,Parameters!$X$3:$AA$3,0))))*(1+Inputs_General!$C$22*Parameters!$F$9)</f>
        <v>313.1295</v>
      </c>
      <c r="AW27" s="39" t="n">
        <f aca="false">IF(AS27=0,0,AT27/AS27-1)</f>
        <v>0</v>
      </c>
      <c r="AX27" s="37" t="n">
        <f aca="false">INDEX(Context!$AB$4:$AB$51,$K27)</f>
        <v>2.6849133441391</v>
      </c>
      <c r="AY27" s="37" t="n">
        <f aca="false">AX27*(1+INDEX(Response_Table!$J$4:$J$21,MATCH($F27&amp;"|mid",Response_Table!$A$4:$A$21,0))*$R27*INDEX(Parameters!$X$10:$AA$10,1,MATCH($E27,Parameters!$X$3:$AA$3,0)))</f>
        <v>2.6849133441391</v>
      </c>
      <c r="AZ27" s="37" t="n">
        <f aca="false">MAX(0,MIN(AX27*(1+INDEX(Response_Table!$J$4:$J$21,MATCH($F27&amp;"|low",Response_Table!$A$4:$A$21,0))*$R27*INDEX(Parameters!$X$10:$AA$10,1,MATCH($E27,Parameters!$X$3:$AA$3,0))),AX27*(1+INDEX(Response_Table!$J$4:$J$21,MATCH($F27&amp;"|high",Response_Table!$A$4:$A$21,0))*$R27*INDEX(Parameters!$X$10:$AA$10,1,MATCH($E27,Parameters!$X$3:$AA$3,0))))*(1-Inputs_General!$C$22*Parameters!$F$10))</f>
        <v>2.15491145000604</v>
      </c>
      <c r="BA27" s="37" t="n">
        <f aca="false">MAX(AX27*(1+INDEX(Response_Table!$J$4:$J$21,MATCH($F27&amp;"|low",Response_Table!$A$4:$A$21,0))*$R27*INDEX(Parameters!$X$10:$AA$10,1,MATCH($E27,Parameters!$X$3:$AA$3,0))),AX27*(1+INDEX(Response_Table!$J$4:$J$21,MATCH($F27&amp;"|high",Response_Table!$A$4:$A$21,0))*$R27*INDEX(Parameters!$X$10:$AA$10,1,MATCH($E27,Parameters!$X$3:$AA$3,0))))*(1+Inputs_General!$C$22*Parameters!$F$10)</f>
        <v>3.21491523827216</v>
      </c>
      <c r="BB27" s="39" t="n">
        <f aca="false">IF(AX27=0,0,AY27/AX27-1)</f>
        <v>0</v>
      </c>
      <c r="BC27" s="40" t="n">
        <f aca="false">Parameters!$E$11*IF($N27="V",Parameters!$I$11,IF($N27="F",Parameters!$J$11,Parameters!$K$11))*(1-Parameters!$L$11*$P27)*IF($D27="V1",Parameters!$M$11,IF($D27="V2",Parameters!$N$11,Parameters!$O$11))</f>
        <v>1.1875</v>
      </c>
      <c r="BD27" s="40" t="n">
        <f aca="false">BC27*(1+INDEX(Response_Table!$K$4:$K$21,MATCH($F27&amp;"|mid",Response_Table!$A$4:$A$21,0))*$R27*INDEX(Parameters!$X$11:$AA$11,1,MATCH($E27,Parameters!$X$3:$AA$3,0)))</f>
        <v>1.1875</v>
      </c>
      <c r="BE27" s="40" t="n">
        <f aca="false">MAX(0,MIN(BC27*(1+INDEX(Response_Table!$K$4:$K$21,MATCH($F27&amp;"|low",Response_Table!$A$4:$A$21,0))*$R27*INDEX(Parameters!$X$11:$AA$11,1,MATCH($E27,Parameters!$X$3:$AA$3,0))),BC27*(1+INDEX(Response_Table!$K$4:$K$21,MATCH($F27&amp;"|high",Response_Table!$A$4:$A$21,0))*$R27*INDEX(Parameters!$X$11:$AA$11,1,MATCH($E27,Parameters!$X$3:$AA$3,0))))*(1-Inputs_General!$C$22*Parameters!$F$11))</f>
        <v>0.99215625</v>
      </c>
      <c r="BF27" s="40" t="n">
        <f aca="false">MAX(BC27*(1+INDEX(Response_Table!$K$4:$K$21,MATCH($F27&amp;"|low",Response_Table!$A$4:$A$21,0))*$R27*INDEX(Parameters!$X$11:$AA$11,1,MATCH($E27,Parameters!$X$3:$AA$3,0))),BC27*(1+INDEX(Response_Table!$K$4:$K$21,MATCH($F27&amp;"|high",Response_Table!$A$4:$A$21,0))*$R27*INDEX(Parameters!$X$11:$AA$11,1,MATCH($E27,Parameters!$X$3:$AA$3,0))))*(1+Inputs_General!$C$22*Parameters!$F$11)</f>
        <v>1.38284375</v>
      </c>
      <c r="BG27" s="39" t="n">
        <f aca="false">IF(BC27=0,0,BD27/BC27-1)</f>
        <v>0</v>
      </c>
      <c r="BH27" s="40" t="n">
        <f aca="false">Parameters!$E$12*IF($N27="V",Parameters!$I$12,IF($N27="F",Parameters!$J$12,Parameters!$K$12))*(1-Parameters!$L$12*$P27)*IF($D27="V1",Parameters!$M$12,IF($D27="V2",Parameters!$N$12,Parameters!$O$12))</f>
        <v>0.4275</v>
      </c>
      <c r="BI27" s="40" t="n">
        <f aca="false">BH27*(1+INDEX(Response_Table!$L$4:$L$21,MATCH($F27&amp;"|mid",Response_Table!$A$4:$A$21,0))*$R27*INDEX(Parameters!$X$12:$AA$12,1,MATCH($E27,Parameters!$X$3:$AA$3,0)))</f>
        <v>0.4275</v>
      </c>
      <c r="BJ27" s="40" t="n">
        <f aca="false">MAX(0,MIN(BH27*(1+INDEX(Response_Table!$L$4:$L$21,MATCH($F27&amp;"|low",Response_Table!$A$4:$A$21,0))*$R27*INDEX(Parameters!$X$12:$AA$12,1,MATCH($E27,Parameters!$X$3:$AA$3,0))),BH27*(1+INDEX(Response_Table!$L$4:$L$21,MATCH($F27&amp;"|high",Response_Table!$A$4:$A$21,0))*$R27*INDEX(Parameters!$X$12:$AA$12,1,MATCH($E27,Parameters!$X$3:$AA$3,0))))*(1-Inputs_General!$C$22*Parameters!$F$12))</f>
        <v>0.3431115</v>
      </c>
      <c r="BK27" s="40" t="n">
        <f aca="false">MAX(BH27*(1+INDEX(Response_Table!$L$4:$L$21,MATCH($F27&amp;"|low",Response_Table!$A$4:$A$21,0))*$R27*INDEX(Parameters!$X$12:$AA$12,1,MATCH($E27,Parameters!$X$3:$AA$3,0))),BH27*(1+INDEX(Response_Table!$L$4:$L$21,MATCH($F27&amp;"|high",Response_Table!$A$4:$A$21,0))*$R27*INDEX(Parameters!$X$12:$AA$12,1,MATCH($E27,Parameters!$X$3:$AA$3,0))))*(1+Inputs_General!$C$22*Parameters!$F$12)</f>
        <v>0.5118885</v>
      </c>
      <c r="BL27" s="39" t="n">
        <f aca="false">IF(BH27=0,0,BI27/BH27-1)</f>
        <v>0</v>
      </c>
      <c r="BM27" s="40" t="n">
        <f aca="false">Parameters!$E$13*IF($N27="V",Parameters!$I$13,IF($N27="F",Parameters!$J$13,Parameters!$K$13))*(1-Parameters!$L$13*$P27)*IF($D27="V1",Parameters!$M$13,IF($D27="V2",Parameters!$N$13,Parameters!$O$13))</f>
        <v>0.285</v>
      </c>
      <c r="BN27" s="40" t="n">
        <f aca="false">BM27*(1+INDEX(Response_Table!$M$4:$M$21,MATCH($F27&amp;"|mid",Response_Table!$A$4:$A$21,0))*$R27*INDEX(Parameters!$X$13:$AA$13,1,MATCH($E27,Parameters!$X$3:$AA$3,0)))</f>
        <v>0.285</v>
      </c>
      <c r="BO27" s="40" t="n">
        <f aca="false">MAX(0,MIN(BM27*(1+INDEX(Response_Table!$M$4:$M$21,MATCH($F27&amp;"|low",Response_Table!$A$4:$A$21,0))*$R27*INDEX(Parameters!$X$13:$AA$13,1,MATCH($E27,Parameters!$X$3:$AA$3,0))),BM27*(1+INDEX(Response_Table!$M$4:$M$21,MATCH($F27&amp;"|high",Response_Table!$A$4:$A$21,0))*$R27*INDEX(Parameters!$X$13:$AA$13,1,MATCH($E27,Parameters!$X$3:$AA$3,0))))*(1-Inputs_General!$C$22*Parameters!$F$13))</f>
        <v>0.228741</v>
      </c>
      <c r="BP27" s="40" t="n">
        <f aca="false">MAX(BM27*(1+INDEX(Response_Table!$M$4:$M$21,MATCH($F27&amp;"|low",Response_Table!$A$4:$A$21,0))*$R27*INDEX(Parameters!$X$13:$AA$13,1,MATCH($E27,Parameters!$X$3:$AA$3,0))),BM27*(1+INDEX(Response_Table!$M$4:$M$21,MATCH($F27&amp;"|high",Response_Table!$A$4:$A$21,0))*$R27*INDEX(Parameters!$X$13:$AA$13,1,MATCH($E27,Parameters!$X$3:$AA$3,0))))*(1+Inputs_General!$C$22*Parameters!$F$13)</f>
        <v>0.341259</v>
      </c>
      <c r="BQ27" s="39" t="n">
        <f aca="false">IF(BM27=0,0,BN27/BM27-1)</f>
        <v>0</v>
      </c>
      <c r="BR27" s="38" t="n">
        <f aca="false">Parameters!$E$14*IF($N27="V",Parameters!$I$14,IF($N27="F",Parameters!$J$14,Parameters!$K$14))*(1-Parameters!$L$14*$P27)*IF($D27="V1",Parameters!$M$14,IF($D27="V2",Parameters!$N$14,Parameters!$O$14))*INDEX(Context!$AC$4:$AC$51,$K27)</f>
        <v>16.5</v>
      </c>
      <c r="BS27" s="38" t="n">
        <f aca="false">BR27*(1+INDEX(Response_Table!$N$4:$N$21,MATCH($F27&amp;"|mid",Response_Table!$A$4:$A$21,0))*$R27*INDEX(Parameters!$X$14:$AA$14,1,MATCH($E27,Parameters!$X$3:$AA$3,0)))</f>
        <v>16.5</v>
      </c>
      <c r="BT27" s="38" t="n">
        <f aca="false">MAX(0,MIN(BR27*(1+INDEX(Response_Table!$N$4:$N$21,MATCH($F27&amp;"|low",Response_Table!$A$4:$A$21,0))*$R27*INDEX(Parameters!$X$14:$AA$14,1,MATCH($E27,Parameters!$X$3:$AA$3,0))),BR27*(1+INDEX(Response_Table!$N$4:$N$21,MATCH($F27&amp;"|high",Response_Table!$A$4:$A$21,0))*$R27*INDEX(Parameters!$X$14:$AA$14,1,MATCH($E27,Parameters!$X$3:$AA$3,0))))*(1-Inputs_General!$C$22*Parameters!$F$14))</f>
        <v>8.35725</v>
      </c>
      <c r="BU27" s="38" t="n">
        <f aca="false">MAX(BR27*(1+INDEX(Response_Table!$N$4:$N$21,MATCH($F27&amp;"|low",Response_Table!$A$4:$A$21,0))*$R27*INDEX(Parameters!$X$14:$AA$14,1,MATCH($E27,Parameters!$X$3:$AA$3,0))),BR27*(1+INDEX(Response_Table!$N$4:$N$21,MATCH($F27&amp;"|high",Response_Table!$A$4:$A$21,0))*$R27*INDEX(Parameters!$X$14:$AA$14,1,MATCH($E27,Parameters!$X$3:$AA$3,0))))*(1+Inputs_General!$C$22*Parameters!$F$14)</f>
        <v>24.64275</v>
      </c>
      <c r="BV27" s="39" t="n">
        <f aca="false">IF(BR27=0,0,BS27/BR27-1)</f>
        <v>0</v>
      </c>
      <c r="BW27" s="37" t="n">
        <f aca="false">Parameters!$E$15*IF($N27="V",Parameters!$I$15,IF($N27="F",Parameters!$J$15,Parameters!$K$15))*(1-Parameters!$L$15*$P27)*IF($D27="V1",Parameters!$M$15,IF($D27="V2",Parameters!$N$15,Parameters!$O$15))</f>
        <v>11.664</v>
      </c>
      <c r="BX27" s="37" t="n">
        <f aca="false">BW27*(1+INDEX(Response_Table!$O$4:$O$21,MATCH($F27&amp;"|mid",Response_Table!$A$4:$A$21,0))*$R27*INDEX(Parameters!$X$15:$AA$15,1,MATCH($E27,Parameters!$X$3:$AA$3,0)))</f>
        <v>11.664</v>
      </c>
      <c r="BY27" s="37" t="n">
        <f aca="false">MAX(0,MIN(BW27*(1+INDEX(Response_Table!$O$4:$O$21,MATCH($F27&amp;"|low",Response_Table!$A$4:$A$21,0))*$R27*INDEX(Parameters!$X$15:$AA$15,1,MATCH($E27,Parameters!$X$3:$AA$3,0))),BW27*(1+INDEX(Response_Table!$O$4:$O$21,MATCH($F27&amp;"|high",Response_Table!$A$4:$A$21,0))*$R27*INDEX(Parameters!$X$15:$AA$15,1,MATCH($E27,Parameters!$X$3:$AA$3,0))))*(1-Inputs_General!$C$22*Parameters!$F$15))</f>
        <v>9.3615264</v>
      </c>
      <c r="BZ27" s="37" t="n">
        <f aca="false">MAX(BW27*(1+INDEX(Response_Table!$O$4:$O$21,MATCH($F27&amp;"|low",Response_Table!$A$4:$A$21,0))*$R27*INDEX(Parameters!$X$15:$AA$15,1,MATCH($E27,Parameters!$X$3:$AA$3,0))),BW27*(1+INDEX(Response_Table!$O$4:$O$21,MATCH($F27&amp;"|high",Response_Table!$A$4:$A$21,0))*$R27*INDEX(Parameters!$X$15:$AA$15,1,MATCH($E27,Parameters!$X$3:$AA$3,0))))*(1+Inputs_General!$C$22*Parameters!$F$15)</f>
        <v>13.9664736</v>
      </c>
      <c r="CA27" s="39" t="n">
        <f aca="false">IF(BW27=0,0,BX27/BW27-1)</f>
        <v>0</v>
      </c>
      <c r="CB27" s="40" t="n">
        <f aca="false">BD27+BI27</f>
        <v>1.615</v>
      </c>
      <c r="CC27" s="37" t="n">
        <f aca="false">BD27/BI27</f>
        <v>2.77777777777778</v>
      </c>
      <c r="CD27" s="40" t="n">
        <f aca="false">BN27/CB27</f>
        <v>0.176470588235294</v>
      </c>
      <c r="CE27" s="37" t="n">
        <f aca="false">AE27/AO27</f>
        <v>4.32949372589439</v>
      </c>
      <c r="CF27" s="38" t="n">
        <f aca="false">AE27/AJ27</f>
        <v>40.887853155887</v>
      </c>
      <c r="CG27" s="38" t="n">
        <f aca="false">INDEX(Context!$V$4:$V$51,$K27)</f>
        <v>22.6257142857143</v>
      </c>
      <c r="CH27" s="38" t="n">
        <f aca="false">INDEX(Context!$Y$4:$Y$51,$K27)</f>
        <v>21.3177449518561</v>
      </c>
      <c r="CI27" s="38" t="n">
        <f aca="false">INDEX(Context!$Z$4:$Z$51,$K27)</f>
        <v>26.6257142857143</v>
      </c>
      <c r="CJ27" s="37" t="n">
        <f aca="false">INDEX(Context!$AA$4:$AA$51,$K27)</f>
        <v>0.12</v>
      </c>
      <c r="CK27" s="37" t="n">
        <f aca="false">MAX(0,MIN(1,1-(1-CJ27)*AO27/AN27))</f>
        <v>0.12</v>
      </c>
      <c r="CL27" s="38" t="n">
        <f aca="false">CH27+CK27*(CI27-CH27)</f>
        <v>21.954701271919</v>
      </c>
      <c r="CM27" s="38" t="n">
        <f aca="false">CH27+MAX(0,MIN(1,1-(1-CJ27)*AQ27/AN27))*(CI27-CH27)</f>
        <v>21.3177449518561</v>
      </c>
      <c r="CN27" s="38" t="n">
        <f aca="false">CH27+MAX(0,MIN(1,1-(1-CJ27)*AP27/AN27))*(CI27-CH27)</f>
        <v>23.3377882253038</v>
      </c>
      <c r="CO27" s="38" t="n">
        <f aca="false">CL27-CG27</f>
        <v>-0.67101301379525</v>
      </c>
      <c r="CP27" s="38" t="n">
        <f aca="false">CL27-(CH27+CJ27*(CI27-CH27))</f>
        <v>0</v>
      </c>
      <c r="CQ27" s="40" t="n">
        <f aca="false">CL27/CG27</f>
        <v>0.970342902534621</v>
      </c>
      <c r="CR27" s="37" t="n">
        <f aca="false">IF(CL27-CH27&lt;=0,"n/a",(CI27-CL27)/(CL27-CH27))</f>
        <v>7.33333333333333</v>
      </c>
      <c r="CS27" s="37" t="n">
        <f aca="false">IF(CI27-CL27&lt;=0,"n/a",(CL27-CH27)/(CI27-CL27))</f>
        <v>0.136363636363636</v>
      </c>
      <c r="CT27" s="37" t="n">
        <f aca="false">Inputs_General!$C$23+Inputs_General!$C$24*$I27</f>
        <v>0.6</v>
      </c>
      <c r="CU27" s="38" t="n">
        <f aca="false">3.29*CT27</f>
        <v>1.974</v>
      </c>
    </row>
    <row r="28" customFormat="false" ht="15" hidden="false" customHeight="false" outlineLevel="0" collapsed="false">
      <c r="A28" s="9" t="str">
        <f aca="false">B28&amp;"|"&amp;E28&amp;"|"&amp;F28</f>
        <v>D1V2|11/02/2026|Very low</v>
      </c>
      <c r="B28" s="7" t="s">
        <v>343</v>
      </c>
      <c r="C28" s="9" t="s">
        <v>127</v>
      </c>
      <c r="D28" s="9" t="s">
        <v>146</v>
      </c>
      <c r="E28" s="9" t="s">
        <v>158</v>
      </c>
      <c r="F28" s="7" t="s">
        <v>277</v>
      </c>
      <c r="G28" s="9" t="s">
        <v>278</v>
      </c>
      <c r="H28" s="41" t="n">
        <f aca="false">INDEX(Severity_Classes!$C$4:$C$9,MATCH(F28,Severity_Classes!$A$4:$A$9,0))</f>
        <v>0.01</v>
      </c>
      <c r="I28" s="41" t="n">
        <f aca="false">INDEX(Severity_Classes!$D$4:$D$9,MATCH(F28,Severity_Classes!$A$4:$A$9,0))</f>
        <v>0.03</v>
      </c>
      <c r="J28" s="41" t="n">
        <f aca="false">INDEX(Severity_Classes!$E$4:$E$9,MATCH(F28,Severity_Classes!$A$4:$A$9,0))</f>
        <v>0.05</v>
      </c>
      <c r="K28" s="42" t="n">
        <f aca="false">MATCH(B28&amp;"|"&amp;E28,Context!$A$4:$A$51,0)</f>
        <v>5</v>
      </c>
      <c r="L28" s="42" t="n">
        <f aca="false">INDEX(Context!$H$4:$H$51,K28)</f>
        <v>64</v>
      </c>
      <c r="M28" s="42" t="n">
        <f aca="false">INDEX(Context!$I$4:$I$51,K28)</f>
        <v>6</v>
      </c>
      <c r="N28" s="9" t="str">
        <f aca="false">INDEX(Context!$L$4:$L$51,K28)</f>
        <v>V</v>
      </c>
      <c r="O28" s="9" t="str">
        <f aca="false">INDEX(Context!$M$4:$M$51,K28)</f>
        <v>3rd fully expanded leaf from top</v>
      </c>
      <c r="P28" s="43" t="n">
        <f aca="false">INDEX(Context!$R$4:$R$51,K28)</f>
        <v>0</v>
      </c>
      <c r="Q28" s="43" t="n">
        <f aca="false">INDEX(Context!$U$4:$U$51,K28)</f>
        <v>0.937791824040773</v>
      </c>
      <c r="R28" s="43" t="n">
        <f aca="false">INDEX(Context!$AD$4:$AD$51,K28)</f>
        <v>1.1</v>
      </c>
      <c r="S28" s="9" t="str">
        <f aca="false">INDEX(Context!$AI$4:$AN$51,K28,MATCH(F28,Severity_Classes!$A$4:$A$9,0))</f>
        <v>Likely</v>
      </c>
      <c r="T28" s="44" t="n">
        <f aca="false">Parameters!$E$4*IF($N28="V",Parameters!$I$4,IF($N28="F",Parameters!$J$4,Parameters!$K$4))*(1-Parameters!$L$4*$P28)*IF($D28="V1",Parameters!$M$4,IF($D28="V2",Parameters!$N$4,Parameters!$O$4))</f>
        <v>86</v>
      </c>
      <c r="U28" s="44" t="n">
        <f aca="false">MIN(100,T28*(1+INDEX(Response_Table!$E$4:$E$21,MATCH($F28&amp;"|mid",Response_Table!$A$4:$A$21,0))*$R28*INDEX(Parameters!$X$4:$AA$4,1,MATCH($E28,Parameters!$X$3:$AA$3,0))))</f>
        <v>85.7960736747255</v>
      </c>
      <c r="V28" s="44" t="n">
        <f aca="false">MAX(0,MIN(T28*(1+INDEX(Response_Table!$E$4:$E$21,MATCH($F28&amp;"|low",Response_Table!$A$4:$A$21,0))*$R28*INDEX(Parameters!$X$4:$AA$4,1,MATCH($E28,Parameters!$X$3:$AA$3,0))),T28*(1+INDEX(Response_Table!$E$4:$E$21,MATCH($F28&amp;"|high",Response_Table!$A$4:$A$21,0))*$R28*INDEX(Parameters!$X$4:$AA$4,1,MATCH($E28,Parameters!$X$3:$AA$3,0))))*(1-Inputs_General!$C$22*Parameters!$F$4))</f>
        <v>79.9985328411285</v>
      </c>
      <c r="W28" s="44" t="n">
        <f aca="false">MIN(100,MAX(T28*(1+INDEX(Response_Table!$E$4:$E$21,MATCH($F28&amp;"|low",Response_Table!$A$4:$A$21,0))*$R28*INDEX(Parameters!$X$4:$AA$4,1,MATCH($E28,Parameters!$X$3:$AA$3,0))),T28*(1+INDEX(Response_Table!$E$4:$E$21,MATCH($F28&amp;"|high",Response_Table!$A$4:$A$21,0))*$R28*INDEX(Parameters!$X$4:$AA$4,1,MATCH($E28,Parameters!$X$3:$AA$3,0))))*(1+Inputs_General!$C$22*Parameters!$F$4))</f>
        <v>91.591628476639</v>
      </c>
      <c r="X28" s="45" t="n">
        <f aca="false">IF(T28=0,0,U28/T28-1)</f>
        <v>-0.00237123634040082</v>
      </c>
      <c r="Y28" s="44" t="n">
        <f aca="false">Parameters!$E$5*IF($N28="V",Parameters!$I$5,IF($N28="F",Parameters!$J$5,Parameters!$K$5))*(1-Parameters!$L$5*$P28)*IF($D28="V1",Parameters!$M$5,IF($D28="V2",Parameters!$N$5,Parameters!$O$5))</f>
        <v>72</v>
      </c>
      <c r="Z28" s="44" t="n">
        <f aca="false">MIN(100,Y28*(1+INDEX(Response_Table!$F$4:$F$21,MATCH($F28&amp;"|mid",Response_Table!$A$4:$A$21,0))*$R28*INDEX(Parameters!$X$5:$AA$5,1,MATCH($E28,Parameters!$X$3:$AA$3,0))))</f>
        <v>71.4549954701956</v>
      </c>
      <c r="AA28" s="44" t="n">
        <f aca="false">MAX(0,MIN(Y28*(1+INDEX(Response_Table!$F$4:$F$21,MATCH($F28&amp;"|low",Response_Table!$A$4:$A$21,0))*$R28*INDEX(Parameters!$X$5:$AA$5,1,MATCH($E28,Parameters!$X$3:$AA$3,0))),Y28*(1+INDEX(Response_Table!$F$4:$F$21,MATCH($F28&amp;"|high",Response_Table!$A$4:$A$21,0))*$R28*INDEX(Parameters!$X$5:$AA$5,1,MATCH($E28,Parameters!$X$3:$AA$3,0))))*(1-Inputs_General!$C$22*Parameters!$F$5))</f>
        <v>62.8297693413593</v>
      </c>
      <c r="AB28" s="44" t="n">
        <f aca="false">MIN(100,MAX(Y28*(1+INDEX(Response_Table!$F$4:$F$21,MATCH($F28&amp;"|low",Response_Table!$A$4:$A$21,0))*$R28*INDEX(Parameters!$X$5:$AA$5,1,MATCH($E28,Parameters!$X$3:$AA$3,0))),Y28*(1+INDEX(Response_Table!$F$4:$F$21,MATCH($F28&amp;"|high",Response_Table!$A$4:$A$21,0))*$R28*INDEX(Parameters!$X$5:$AA$5,1,MATCH($E28,Parameters!$X$3:$AA$3,0))))*(1+Inputs_General!$C$22*Parameters!$F$5))</f>
        <v>80.1055536880465</v>
      </c>
      <c r="AC28" s="45" t="n">
        <f aca="false">IF(Y28=0,0,Z28/Y28-1)</f>
        <v>-0.00756950735839468</v>
      </c>
      <c r="AD28" s="44" t="n">
        <f aca="false">Parameters!$E$6*IF($N28="V",Parameters!$I$6,IF($N28="F",Parameters!$J$6,Parameters!$K$6))*(1-Parameters!$L$6*$P28)*IF($D28="V1",Parameters!$M$6,IF($D28="V2",Parameters!$N$6,Parameters!$O$6))</f>
        <v>19</v>
      </c>
      <c r="AE28" s="44" t="n">
        <f aca="false">AD28*(1+INDEX(Response_Table!$G$4:$G$21,MATCH($F28&amp;"|mid",Response_Table!$A$4:$A$21,0))*$R28*INDEX(Parameters!$X$6:$AA$6,1,MATCH($E28,Parameters!$X$3:$AA$3,0)))</f>
        <v>17.4493160782953</v>
      </c>
      <c r="AF28" s="44" t="n">
        <f aca="false">MAX(0,MIN(AD28*(1+INDEX(Response_Table!$G$4:$G$21,MATCH($F28&amp;"|low",Response_Table!$A$4:$A$21,0))*$R28*INDEX(Parameters!$X$6:$AA$6,1,MATCH($E28,Parameters!$X$3:$AA$3,0))),AD28*(1+INDEX(Response_Table!$G$4:$G$21,MATCH($F28&amp;"|high",Response_Table!$A$4:$A$21,0))*$R28*INDEX(Parameters!$X$6:$AA$6,1,MATCH($E28,Parameters!$X$3:$AA$3,0))))*(1-Inputs_General!$C$22*Parameters!$F$6))</f>
        <v>13.2618299040484</v>
      </c>
      <c r="AG28" s="44" t="n">
        <f aca="false">MAX(AD28*(1+INDEX(Response_Table!$G$4:$G$21,MATCH($F28&amp;"|low",Response_Table!$A$4:$A$21,0))*$R28*INDEX(Parameters!$X$6:$AA$6,1,MATCH($E28,Parameters!$X$3:$AA$3,0))),AD28*(1+INDEX(Response_Table!$G$4:$G$21,MATCH($F28&amp;"|high",Response_Table!$A$4:$A$21,0))*$R28*INDEX(Parameters!$X$6:$AA$6,1,MATCH($E28,Parameters!$X$3:$AA$3,0))))*(1+Inputs_General!$C$22*Parameters!$F$6)</f>
        <v>22.104246625225</v>
      </c>
      <c r="AH28" s="45" t="n">
        <f aca="false">IF(AD28=0,0,AE28/AD28-1)</f>
        <v>-0.0816149432476138</v>
      </c>
      <c r="AI28" s="46" t="n">
        <f aca="false">Parameters!$E$7*IF($N28="V",Parameters!$I$7,IF($N28="F",Parameters!$J$7,Parameters!$K$7))*(1-Parameters!$L$7*$P28)*IF($D28="V1",Parameters!$M$7,IF($D28="V2",Parameters!$N$7,Parameters!$O$7))*POWER($Q28/Inputs_General!$C$26,-Inputs_General!$C$25)</f>
        <v>0.464685683730118</v>
      </c>
      <c r="AJ28" s="46" t="n">
        <f aca="false">AI28*(1+INDEX(Response_Table!$H$4:$H$21,MATCH($F28&amp;"|mid",Response_Table!$A$4:$A$21,0))*$R28*INDEX(Parameters!$X$7:$AA$7,1,MATCH($E28,Parameters!$X$3:$AA$3,0)))</f>
        <v>0.441808574606632</v>
      </c>
      <c r="AK28" s="46" t="n">
        <f aca="false">MAX(0,MIN(AI28*(1+INDEX(Response_Table!$H$4:$H$21,MATCH($F28&amp;"|low",Response_Table!$A$4:$A$21,0))*$R28*INDEX(Parameters!$X$7:$AA$7,1,MATCH($E28,Parameters!$X$3:$AA$3,0))),AI28*(1+INDEX(Response_Table!$H$4:$H$21,MATCH($F28&amp;"|high",Response_Table!$A$4:$A$21,0))*$R28*INDEX(Parameters!$X$7:$AA$7,1,MATCH($E28,Parameters!$X$3:$AA$3,0))))*(1-Inputs_General!$C$22*Parameters!$F$7))</f>
        <v>0.301031165276563</v>
      </c>
      <c r="AL28" s="46" t="n">
        <f aca="false">MAX(AI28*(1+INDEX(Response_Table!$H$4:$H$21,MATCH($F28&amp;"|low",Response_Table!$A$4:$A$21,0))*$R28*INDEX(Parameters!$X$7:$AA$7,1,MATCH($E28,Parameters!$X$3:$AA$3,0))),AI28*(1+INDEX(Response_Table!$H$4:$H$21,MATCH($F28&amp;"|high",Response_Table!$A$4:$A$21,0))*$R28*INDEX(Parameters!$X$7:$AA$7,1,MATCH($E28,Parameters!$X$3:$AA$3,0))))*(1+Inputs_General!$C$22*Parameters!$F$7)</f>
        <v>0.592097493009914</v>
      </c>
      <c r="AM28" s="45" t="n">
        <f aca="false">IF(AI28=0,0,AJ28/AI28-1)</f>
        <v>-0.0492313620248575</v>
      </c>
      <c r="AN28" s="43" t="n">
        <f aca="false">AI28*$Q28/Inputs_General!$C$13*1000</f>
        <v>4.38850387664553</v>
      </c>
      <c r="AO28" s="43" t="n">
        <f aca="false">AJ28*$Q28/Inputs_General!$C$13*1000*(1+Inputs_General!$C$21*$I28)</f>
        <v>4.2037452424485</v>
      </c>
      <c r="AP28" s="43" t="n">
        <f aca="false">AK28*$Q28/Inputs_General!$C$13*1000*(1+Inputs_General!$C$21*$H28)</f>
        <v>2.85005364543577</v>
      </c>
      <c r="AQ28" s="43" t="n">
        <f aca="false">AL28*$Q28/Inputs_General!$C$13*1000*(1+Inputs_General!$C$21*$J28)</f>
        <v>5.66168167501997</v>
      </c>
      <c r="AR28" s="45" t="n">
        <f aca="false">IF(AN28=0,0,AO28/AN28-1)</f>
        <v>-0.0421005972400436</v>
      </c>
      <c r="AS28" s="42" t="n">
        <f aca="false">Parameters!$E$9*IF($N28="V",Parameters!$I$9,IF($N28="F",Parameters!$J$9,Parameters!$K$9))*(1-Parameters!$L$9*$P28)*IF($D28="V1",Parameters!$M$9,IF($D28="V2",Parameters!$N$9,Parameters!$O$9))</f>
        <v>285</v>
      </c>
      <c r="AT28" s="42" t="n">
        <f aca="false">AS28*(1+INDEX(Response_Table!$I$4:$I$21,MATCH($F28&amp;"|mid",Response_Table!$A$4:$A$21,0))*$R28*INDEX(Parameters!$X$9:$AA$9,1,MATCH($E28,Parameters!$X$3:$AA$3,0)))</f>
        <v>293.508106341401</v>
      </c>
      <c r="AU28" s="42" t="n">
        <f aca="false">MAX(0,MIN(AS28*(1+INDEX(Response_Table!$I$4:$I$21,MATCH($F28&amp;"|low",Response_Table!$A$4:$A$21,0))*$R28*INDEX(Parameters!$X$9:$AA$9,1,MATCH($E28,Parameters!$X$3:$AA$3,0))),AS28*(1+INDEX(Response_Table!$I$4:$I$21,MATCH($F28&amp;"|high",Response_Table!$A$4:$A$21,0))*$R28*INDEX(Parameters!$X$9:$AA$9,1,MATCH($E28,Parameters!$X$3:$AA$3,0))))*(1-Inputs_General!$C$22*Parameters!$F$9))</f>
        <v>259.529517601739</v>
      </c>
      <c r="AV28" s="42" t="n">
        <f aca="false">MAX(AS28*(1+INDEX(Response_Table!$I$4:$I$21,MATCH($F28&amp;"|low",Response_Table!$A$4:$A$21,0))*$R28*INDEX(Parameters!$X$9:$AA$9,1,MATCH($E28,Parameters!$X$3:$AA$3,0))),AS28*(1+INDEX(Response_Table!$I$4:$I$21,MATCH($F28&amp;"|high",Response_Table!$A$4:$A$21,0))*$R28*INDEX(Parameters!$X$9:$AA$9,1,MATCH($E28,Parameters!$X$3:$AA$3,0))))*(1+Inputs_General!$C$22*Parameters!$F$9)</f>
        <v>328.114337644674</v>
      </c>
      <c r="AW28" s="45" t="n">
        <f aca="false">IF(AS28=0,0,AT28/AS28-1)</f>
        <v>0.0298530047066705</v>
      </c>
      <c r="AX28" s="43" t="n">
        <f aca="false">INDEX(Context!$AB$4:$AB$51,$K28)</f>
        <v>2.6849133441391</v>
      </c>
      <c r="AY28" s="43" t="n">
        <f aca="false">AX28*(1+INDEX(Response_Table!$J$4:$J$21,MATCH($F28&amp;"|mid",Response_Table!$A$4:$A$21,0))*$R28*INDEX(Parameters!$X$10:$AA$10,1,MATCH($E28,Parameters!$X$3:$AA$3,0)))</f>
        <v>2.63689773089413</v>
      </c>
      <c r="AZ28" s="43" t="n">
        <f aca="false">MAX(0,MIN(AX28*(1+INDEX(Response_Table!$J$4:$J$21,MATCH($F28&amp;"|low",Response_Table!$A$4:$A$21,0))*$R28*INDEX(Parameters!$X$10:$AA$10,1,MATCH($E28,Parameters!$X$3:$AA$3,0))),AX28*(1+INDEX(Response_Table!$J$4:$J$21,MATCH($F28&amp;"|high",Response_Table!$A$4:$A$21,0))*$R28*INDEX(Parameters!$X$10:$AA$10,1,MATCH($E28,Parameters!$X$3:$AA$3,0))))*(1-Inputs_General!$C$22*Parameters!$F$10))</f>
        <v>2.09224227942321</v>
      </c>
      <c r="BA28" s="43" t="n">
        <f aca="false">MAX(AX28*(1+INDEX(Response_Table!$J$4:$J$21,MATCH($F28&amp;"|low",Response_Table!$A$4:$A$21,0))*$R28*INDEX(Parameters!$X$10:$AA$10,1,MATCH($E28,Parameters!$X$3:$AA$3,0))),AX28*(1+INDEX(Response_Table!$J$4:$J$21,MATCH($F28&amp;"|high",Response_Table!$A$4:$A$21,0))*$R28*INDEX(Parameters!$X$10:$AA$10,1,MATCH($E28,Parameters!$X$3:$AA$3,0))))*(1+Inputs_General!$C$22*Parameters!$F$10)</f>
        <v>3.1952695446087</v>
      </c>
      <c r="BB28" s="45" t="n">
        <f aca="false">IF(AX28=0,0,AY28/AX28-1)</f>
        <v>-0.0178834871336832</v>
      </c>
      <c r="BC28" s="46" t="n">
        <f aca="false">Parameters!$E$11*IF($N28="V",Parameters!$I$11,IF($N28="F",Parameters!$J$11,Parameters!$K$11))*(1-Parameters!$L$11*$P28)*IF($D28="V1",Parameters!$M$11,IF($D28="V2",Parameters!$N$11,Parameters!$O$11))</f>
        <v>1.1875</v>
      </c>
      <c r="BD28" s="46" t="n">
        <f aca="false">BC28*(1+INDEX(Response_Table!$K$4:$K$21,MATCH($F28&amp;"|mid",Response_Table!$A$4:$A$21,0))*$R28*INDEX(Parameters!$X$11:$AA$11,1,MATCH($E28,Parameters!$X$3:$AA$3,0)))</f>
        <v>1.14864011432167</v>
      </c>
      <c r="BE28" s="46" t="n">
        <f aca="false">MAX(0,MIN(BC28*(1+INDEX(Response_Table!$K$4:$K$21,MATCH($F28&amp;"|low",Response_Table!$A$4:$A$21,0))*$R28*INDEX(Parameters!$X$11:$AA$11,1,MATCH($E28,Parameters!$X$3:$AA$3,0))),BC28*(1+INDEX(Response_Table!$K$4:$K$21,MATCH($F28&amp;"|high",Response_Table!$A$4:$A$21,0))*$R28*INDEX(Parameters!$X$11:$AA$11,1,MATCH($E28,Parameters!$X$3:$AA$3,0))))*(1-Inputs_General!$C$22*Parameters!$F$11))</f>
        <v>0.939712264163439</v>
      </c>
      <c r="BF28" s="46" t="n">
        <f aca="false">MAX(BC28*(1+INDEX(Response_Table!$K$4:$K$21,MATCH($F28&amp;"|low",Response_Table!$A$4:$A$21,0))*$R28*INDEX(Parameters!$X$11:$AA$11,1,MATCH($E28,Parameters!$X$3:$AA$3,0))),BC28*(1+INDEX(Response_Table!$K$4:$K$21,MATCH($F28&amp;"|high",Response_Table!$A$4:$A$21,0))*$R28*INDEX(Parameters!$X$11:$AA$11,1,MATCH($E28,Parameters!$X$3:$AA$3,0))))*(1+Inputs_General!$C$22*Parameters!$F$11)</f>
        <v>1.36727445478069</v>
      </c>
      <c r="BG28" s="45" t="n">
        <f aca="false">IF(BC28=0,0,BD28/BC28-1)</f>
        <v>-0.0327241142554374</v>
      </c>
      <c r="BH28" s="46" t="n">
        <f aca="false">Parameters!$E$12*IF($N28="V",Parameters!$I$12,IF($N28="F",Parameters!$J$12,Parameters!$K$12))*(1-Parameters!$L$12*$P28)*IF($D28="V1",Parameters!$M$12,IF($D28="V2",Parameters!$N$12,Parameters!$O$12))</f>
        <v>0.4275</v>
      </c>
      <c r="BI28" s="46" t="n">
        <f aca="false">BH28*(1+INDEX(Response_Table!$L$4:$L$21,MATCH($F28&amp;"|mid",Response_Table!$A$4:$A$21,0))*$R28*INDEX(Parameters!$X$12:$AA$12,1,MATCH($E28,Parameters!$X$3:$AA$3,0)))</f>
        <v>0.416369688465294</v>
      </c>
      <c r="BJ28" s="46" t="n">
        <f aca="false">MAX(0,MIN(BH28*(1+INDEX(Response_Table!$L$4:$L$21,MATCH($F28&amp;"|low",Response_Table!$A$4:$A$21,0))*$R28*INDEX(Parameters!$X$12:$AA$12,1,MATCH($E28,Parameters!$X$3:$AA$3,0))),BH28*(1+INDEX(Response_Table!$L$4:$L$21,MATCH($F28&amp;"|high",Response_Table!$A$4:$A$21,0))*$R28*INDEX(Parameters!$X$12:$AA$12,1,MATCH($E28,Parameters!$X$3:$AA$3,0))))*(1-Inputs_General!$C$22*Parameters!$F$12))</f>
        <v>0.328654209718083</v>
      </c>
      <c r="BK28" s="46" t="n">
        <f aca="false">MAX(BH28*(1+INDEX(Response_Table!$L$4:$L$21,MATCH($F28&amp;"|low",Response_Table!$A$4:$A$21,0))*$R28*INDEX(Parameters!$X$12:$AA$12,1,MATCH($E28,Parameters!$X$3:$AA$3,0))),BH28*(1+INDEX(Response_Table!$L$4:$L$21,MATCH($F28&amp;"|high",Response_Table!$A$4:$A$21,0))*$R28*INDEX(Parameters!$X$12:$AA$12,1,MATCH($E28,Parameters!$X$3:$AA$3,0))))*(1+Inputs_General!$C$22*Parameters!$F$12)</f>
        <v>0.507312101071203</v>
      </c>
      <c r="BL28" s="45" t="n">
        <f aca="false">IF(BH28=0,0,BI28/BH28-1)</f>
        <v>-0.0260358164554536</v>
      </c>
      <c r="BM28" s="46" t="n">
        <f aca="false">Parameters!$E$13*IF($N28="V",Parameters!$I$13,IF($N28="F",Parameters!$J$13,Parameters!$K$13))*(1-Parameters!$L$13*$P28)*IF($D28="V1",Parameters!$M$13,IF($D28="V2",Parameters!$N$13,Parameters!$O$13))</f>
        <v>0.285</v>
      </c>
      <c r="BN28" s="46" t="n">
        <f aca="false">BM28*(1+INDEX(Response_Table!$M$4:$M$21,MATCH($F28&amp;"|mid",Response_Table!$A$4:$A$21,0))*$R28*INDEX(Parameters!$X$13:$AA$13,1,MATCH($E28,Parameters!$X$3:$AA$3,0)))</f>
        <v>0.289073157423386</v>
      </c>
      <c r="BO28" s="46" t="n">
        <f aca="false">MAX(0,MIN(BM28*(1+INDEX(Response_Table!$M$4:$M$21,MATCH($F28&amp;"|low",Response_Table!$A$4:$A$21,0))*$R28*INDEX(Parameters!$X$13:$AA$13,1,MATCH($E28,Parameters!$X$3:$AA$3,0))),BM28*(1+INDEX(Response_Table!$M$4:$M$21,MATCH($F28&amp;"|high",Response_Table!$A$4:$A$21,0))*$R28*INDEX(Parameters!$X$13:$AA$13,1,MATCH($E28,Parameters!$X$3:$AA$3,0))))*(1-Inputs_General!$C$22*Parameters!$F$13))</f>
        <v>0.230348096407543</v>
      </c>
      <c r="BP28" s="46" t="n">
        <f aca="false">MAX(BM28*(1+INDEX(Response_Table!$M$4:$M$21,MATCH($F28&amp;"|low",Response_Table!$A$4:$A$21,0))*$R28*INDEX(Parameters!$X$13:$AA$13,1,MATCH($E28,Parameters!$X$3:$AA$3,0))),BM28*(1+INDEX(Response_Table!$M$4:$M$21,MATCH($F28&amp;"|high",Response_Table!$A$4:$A$21,0))*$R28*INDEX(Parameters!$X$13:$AA$13,1,MATCH($E28,Parameters!$X$3:$AA$3,0))))*(1+Inputs_General!$C$22*Parameters!$F$13)</f>
        <v>0.346274002265146</v>
      </c>
      <c r="BQ28" s="45" t="n">
        <f aca="false">IF(BM28=0,0,BN28/BM28-1)</f>
        <v>0.014291780432933</v>
      </c>
      <c r="BR28" s="44" t="n">
        <f aca="false">Parameters!$E$14*IF($N28="V",Parameters!$I$14,IF($N28="F",Parameters!$J$14,Parameters!$K$14))*(1-Parameters!$L$14*$P28)*IF($D28="V1",Parameters!$M$14,IF($D28="V2",Parameters!$N$14,Parameters!$O$14))*INDEX(Context!$AC$4:$AC$51,$K28)</f>
        <v>16.5</v>
      </c>
      <c r="BS28" s="44" t="n">
        <f aca="false">BR28*(1+INDEX(Response_Table!$N$4:$N$21,MATCH($F28&amp;"|mid",Response_Table!$A$4:$A$21,0))*$R28*INDEX(Parameters!$X$14:$AA$14,1,MATCH($E28,Parameters!$X$3:$AA$3,0)))</f>
        <v>16.9686446961982</v>
      </c>
      <c r="BT28" s="44" t="n">
        <f aca="false">MAX(0,MIN(BR28*(1+INDEX(Response_Table!$N$4:$N$21,MATCH($F28&amp;"|low",Response_Table!$A$4:$A$21,0))*$R28*INDEX(Parameters!$X$14:$AA$14,1,MATCH($E28,Parameters!$X$3:$AA$3,0))),BR28*(1+INDEX(Response_Table!$N$4:$N$21,MATCH($F28&amp;"|high",Response_Table!$A$4:$A$21,0))*$R28*INDEX(Parameters!$X$14:$AA$14,1,MATCH($E28,Parameters!$X$3:$AA$3,0))))*(1-Inputs_General!$C$22*Parameters!$F$14))</f>
        <v>8.43875804136807</v>
      </c>
      <c r="BU28" s="44" t="n">
        <f aca="false">MAX(BR28*(1+INDEX(Response_Table!$N$4:$N$21,MATCH($F28&amp;"|low",Response_Table!$A$4:$A$21,0))*$R28*INDEX(Parameters!$X$14:$AA$14,1,MATCH($E28,Parameters!$X$3:$AA$3,0))),BR28*(1+INDEX(Response_Table!$N$4:$N$21,MATCH($F28&amp;"|high",Response_Table!$A$4:$A$21,0))*$R28*INDEX(Parameters!$X$14:$AA$14,1,MATCH($E28,Parameters!$X$3:$AA$3,0))))*(1+Inputs_General!$C$22*Parameters!$F$14)</f>
        <v>25.775487709604</v>
      </c>
      <c r="BV28" s="45" t="n">
        <f aca="false">IF(BR28=0,0,BS28/BR28-1)</f>
        <v>0.0284027088604948</v>
      </c>
      <c r="BW28" s="43" t="n">
        <f aca="false">Parameters!$E$15*IF($N28="V",Parameters!$I$15,IF($N28="F",Parameters!$J$15,Parameters!$K$15))*(1-Parameters!$L$15*$P28)*IF($D28="V1",Parameters!$M$15,IF($D28="V2",Parameters!$N$15,Parameters!$O$15))</f>
        <v>11.664</v>
      </c>
      <c r="BX28" s="43" t="n">
        <f aca="false">BW28*(1+INDEX(Response_Table!$O$4:$O$21,MATCH($F28&amp;"|mid",Response_Table!$A$4:$A$21,0))*$R28*INDEX(Parameters!$X$15:$AA$15,1,MATCH($E28,Parameters!$X$3:$AA$3,0)))</f>
        <v>11.5811777009628</v>
      </c>
      <c r="BY28" s="43" t="n">
        <f aca="false">MAX(0,MIN(BW28*(1+INDEX(Response_Table!$O$4:$O$21,MATCH($F28&amp;"|low",Response_Table!$A$4:$A$21,0))*$R28*INDEX(Parameters!$X$15:$AA$15,1,MATCH($E28,Parameters!$X$3:$AA$3,0))),BW28*(1+INDEX(Response_Table!$O$4:$O$21,MATCH($F28&amp;"|high",Response_Table!$A$4:$A$21,0))*$R28*INDEX(Parameters!$X$15:$AA$15,1,MATCH($E28,Parameters!$X$3:$AA$3,0))))*(1-Inputs_General!$C$22*Parameters!$F$15))</f>
        <v>9.25394755862948</v>
      </c>
      <c r="BZ28" s="43" t="n">
        <f aca="false">MAX(BW28*(1+INDEX(Response_Table!$O$4:$O$21,MATCH($F28&amp;"|low",Response_Table!$A$4:$A$21,0))*$R28*INDEX(Parameters!$X$15:$AA$15,1,MATCH($E28,Parameters!$X$3:$AA$3,0))),BW28*(1+INDEX(Response_Table!$O$4:$O$21,MATCH($F28&amp;"|high",Response_Table!$A$4:$A$21,0))*$R28*INDEX(Parameters!$X$15:$AA$15,1,MATCH($E28,Parameters!$X$3:$AA$3,0))))*(1+Inputs_General!$C$22*Parameters!$F$15)</f>
        <v>13.9324199367748</v>
      </c>
      <c r="CA28" s="45" t="n">
        <f aca="false">IF(BW28=0,0,BX28/BW28-1)</f>
        <v>-0.00710067721512364</v>
      </c>
      <c r="CB28" s="46" t="n">
        <f aca="false">BD28+BI28</f>
        <v>1.56500980278696</v>
      </c>
      <c r="CC28" s="43" t="n">
        <f aca="false">BD28/BI28</f>
        <v>2.75870253321145</v>
      </c>
      <c r="CD28" s="46" t="n">
        <f aca="false">BN28/CB28</f>
        <v>0.18471012571845</v>
      </c>
      <c r="CE28" s="43" t="n">
        <f aca="false">AE28/AO28</f>
        <v>4.15089760961153</v>
      </c>
      <c r="CF28" s="44" t="n">
        <f aca="false">AE28/AJ28</f>
        <v>39.4951956145973</v>
      </c>
      <c r="CG28" s="44" t="n">
        <f aca="false">INDEX(Context!$V$4:$V$51,$K28)</f>
        <v>22.6257142857143</v>
      </c>
      <c r="CH28" s="44" t="n">
        <f aca="false">INDEX(Context!$Y$4:$Y$51,$K28)</f>
        <v>21.3177449518561</v>
      </c>
      <c r="CI28" s="44" t="n">
        <f aca="false">INDEX(Context!$Z$4:$Z$51,$K28)</f>
        <v>26.6257142857143</v>
      </c>
      <c r="CJ28" s="43" t="n">
        <f aca="false">INDEX(Context!$AA$4:$AA$51,$K28)</f>
        <v>0.12</v>
      </c>
      <c r="CK28" s="43" t="n">
        <f aca="false">MAX(0,MIN(1,1-(1-CJ28)*AO28/AN28))</f>
        <v>0.157048525571238</v>
      </c>
      <c r="CL28" s="44" t="n">
        <f aca="false">CH28+CK28*(CI28-CH28)</f>
        <v>22.1513537095158</v>
      </c>
      <c r="CM28" s="44" t="n">
        <f aca="false">CH28+MAX(0,MIN(1,1-(1-CJ28)*AQ28/AN28))*(CI28-CH28)</f>
        <v>21.3177449518561</v>
      </c>
      <c r="CN28" s="44" t="n">
        <f aca="false">CH28+MAX(0,MIN(1,1-(1-CJ28)*AP28/AN28))*(CI28-CH28)</f>
        <v>23.5921889563437</v>
      </c>
      <c r="CO28" s="44" t="n">
        <f aca="false">CL28-CG28</f>
        <v>-0.474360576198453</v>
      </c>
      <c r="CP28" s="44" t="n">
        <f aca="false">CL28-(CH28+CJ28*(CI28-CH28))</f>
        <v>0.196652437596796</v>
      </c>
      <c r="CQ28" s="46" t="n">
        <f aca="false">CL28/CG28</f>
        <v>0.979034448583223</v>
      </c>
      <c r="CR28" s="43" t="n">
        <f aca="false">IF(CL28-CH28&lt;=0,"n/a",(CI28-CL28)/(CL28-CH28))</f>
        <v>5.36745869700249</v>
      </c>
      <c r="CS28" s="43" t="n">
        <f aca="false">IF(CI28-CL28&lt;=0,"n/a",(CL28-CH28)/(CI28-CL28))</f>
        <v>0.186307907792278</v>
      </c>
      <c r="CT28" s="43" t="n">
        <f aca="false">Inputs_General!$C$23+Inputs_General!$C$24*$I28</f>
        <v>0.66</v>
      </c>
      <c r="CU28" s="44" t="n">
        <f aca="false">3.29*CT28</f>
        <v>2.1714</v>
      </c>
    </row>
    <row r="29" customFormat="false" ht="15" hidden="false" customHeight="false" outlineLevel="0" collapsed="false">
      <c r="A29" s="9" t="str">
        <f aca="false">B29&amp;"|"&amp;E29&amp;"|"&amp;F29</f>
        <v>D1V2|11/02/2026|Low</v>
      </c>
      <c r="B29" s="7" t="s">
        <v>343</v>
      </c>
      <c r="C29" s="9" t="s">
        <v>127</v>
      </c>
      <c r="D29" s="9" t="s">
        <v>146</v>
      </c>
      <c r="E29" s="9" t="s">
        <v>158</v>
      </c>
      <c r="F29" s="7" t="s">
        <v>279</v>
      </c>
      <c r="G29" s="9" t="s">
        <v>280</v>
      </c>
      <c r="H29" s="41" t="n">
        <f aca="false">INDEX(Severity_Classes!$C$4:$C$9,MATCH(F29,Severity_Classes!$A$4:$A$9,0))</f>
        <v>0.06</v>
      </c>
      <c r="I29" s="41" t="n">
        <f aca="false">INDEX(Severity_Classes!$D$4:$D$9,MATCH(F29,Severity_Classes!$A$4:$A$9,0))</f>
        <v>0.08</v>
      </c>
      <c r="J29" s="41" t="n">
        <f aca="false">INDEX(Severity_Classes!$E$4:$E$9,MATCH(F29,Severity_Classes!$A$4:$A$9,0))</f>
        <v>0.1</v>
      </c>
      <c r="K29" s="42" t="n">
        <f aca="false">MATCH(B29&amp;"|"&amp;E29,Context!$A$4:$A$51,0)</f>
        <v>5</v>
      </c>
      <c r="L29" s="42" t="n">
        <f aca="false">INDEX(Context!$H$4:$H$51,K29)</f>
        <v>64</v>
      </c>
      <c r="M29" s="42" t="n">
        <f aca="false">INDEX(Context!$I$4:$I$51,K29)</f>
        <v>6</v>
      </c>
      <c r="N29" s="9" t="str">
        <f aca="false">INDEX(Context!$L$4:$L$51,K29)</f>
        <v>V</v>
      </c>
      <c r="O29" s="9" t="str">
        <f aca="false">INDEX(Context!$M$4:$M$51,K29)</f>
        <v>3rd fully expanded leaf from top</v>
      </c>
      <c r="P29" s="43" t="n">
        <f aca="false">INDEX(Context!$R$4:$R$51,K29)</f>
        <v>0</v>
      </c>
      <c r="Q29" s="43" t="n">
        <f aca="false">INDEX(Context!$U$4:$U$51,K29)</f>
        <v>0.937791824040773</v>
      </c>
      <c r="R29" s="43" t="n">
        <f aca="false">INDEX(Context!$AD$4:$AD$51,K29)</f>
        <v>1.1</v>
      </c>
      <c r="S29" s="9" t="str">
        <f aca="false">INDEX(Context!$AI$4:$AN$51,K29,MATCH(F29,Severity_Classes!$A$4:$A$9,0))</f>
        <v>Likely</v>
      </c>
      <c r="T29" s="44" t="n">
        <f aca="false">Parameters!$E$4*IF($N29="V",Parameters!$I$4,IF($N29="F",Parameters!$J$4,Parameters!$K$4))*(1-Parameters!$L$4*$P29)*IF($D29="V1",Parameters!$M$4,IF($D29="V2",Parameters!$N$4,Parameters!$O$4))</f>
        <v>86</v>
      </c>
      <c r="U29" s="44" t="n">
        <f aca="false">MIN(100,T29*(1+INDEX(Response_Table!$E$4:$E$21,MATCH($F29&amp;"|mid",Response_Table!$A$4:$A$21,0))*$R29*INDEX(Parameters!$X$4:$AA$4,1,MATCH($E29,Parameters!$X$3:$AA$3,0))))</f>
        <v>85.3416490280971</v>
      </c>
      <c r="V29" s="44" t="n">
        <f aca="false">MAX(0,MIN(T29*(1+INDEX(Response_Table!$E$4:$E$21,MATCH($F29&amp;"|low",Response_Table!$A$4:$A$21,0))*$R29*INDEX(Parameters!$X$4:$AA$4,1,MATCH($E29,Parameters!$X$3:$AA$3,0))),T29*(1+INDEX(Response_Table!$E$4:$E$21,MATCH($F29&amp;"|high",Response_Table!$A$4:$A$21,0))*$R29*INDEX(Parameters!$X$4:$AA$4,1,MATCH($E29,Parameters!$X$3:$AA$3,0))))*(1-Inputs_General!$C$22*Parameters!$F$4))</f>
        <v>79.5112838437186</v>
      </c>
      <c r="W29" s="44" t="n">
        <f aca="false">MIN(100,MAX(T29*(1+INDEX(Response_Table!$E$4:$E$21,MATCH($F29&amp;"|low",Response_Table!$A$4:$A$21,0))*$R29*INDEX(Parameters!$X$4:$AA$4,1,MATCH($E29,Parameters!$X$3:$AA$3,0))),T29*(1+INDEX(Response_Table!$E$4:$E$21,MATCH($F29&amp;"|high",Response_Table!$A$4:$A$21,0))*$R29*INDEX(Parameters!$X$4:$AA$4,1,MATCH($E29,Parameters!$X$3:$AA$3,0))))*(1+Inputs_General!$C$22*Parameters!$F$4))</f>
        <v>91.1713736597</v>
      </c>
      <c r="X29" s="45" t="n">
        <f aca="false">IF(T29=0,0,U29/T29-1)</f>
        <v>-0.00765524385933614</v>
      </c>
      <c r="Y29" s="44" t="n">
        <f aca="false">Parameters!$E$5*IF($N29="V",Parameters!$I$5,IF($N29="F",Parameters!$J$5,Parameters!$K$5))*(1-Parameters!$L$5*$P29)*IF($D29="V1",Parameters!$M$5,IF($D29="V2",Parameters!$N$5,Parameters!$O$5))</f>
        <v>72</v>
      </c>
      <c r="Z29" s="44" t="n">
        <f aca="false">MIN(100,Y29*(1+INDEX(Response_Table!$F$4:$F$21,MATCH($F29&amp;"|mid",Response_Table!$A$4:$A$21,0))*$R29*INDEX(Parameters!$X$5:$AA$5,1,MATCH($E29,Parameters!$X$3:$AA$3,0))))</f>
        <v>70.1804149436292</v>
      </c>
      <c r="AA29" s="44" t="n">
        <f aca="false">MAX(0,MIN(Y29*(1+INDEX(Response_Table!$F$4:$F$21,MATCH($F29&amp;"|low",Response_Table!$A$4:$A$21,0))*$R29*INDEX(Parameters!$X$5:$AA$5,1,MATCH($E29,Parameters!$X$3:$AA$3,0))),Y29*(1+INDEX(Response_Table!$F$4:$F$21,MATCH($F29&amp;"|high",Response_Table!$A$4:$A$21,0))*$R29*INDEX(Parameters!$X$5:$AA$5,1,MATCH($E29,Parameters!$X$3:$AA$3,0))))*(1-Inputs_General!$C$22*Parameters!$F$5))</f>
        <v>61.5098446855281</v>
      </c>
      <c r="AB29" s="44" t="n">
        <f aca="false">MIN(100,MAX(Y29*(1+INDEX(Response_Table!$F$4:$F$21,MATCH($F29&amp;"|low",Response_Table!$A$4:$A$21,0))*$R29*INDEX(Parameters!$X$5:$AA$5,1,MATCH($E29,Parameters!$X$3:$AA$3,0))),Y29*(1+INDEX(Response_Table!$F$4:$F$21,MATCH($F29&amp;"|high",Response_Table!$A$4:$A$21,0))*$R29*INDEX(Parameters!$X$5:$AA$5,1,MATCH($E29,Parameters!$X$3:$AA$3,0))))*(1+Inputs_General!$C$22*Parameters!$F$5))</f>
        <v>78.8995683816149</v>
      </c>
      <c r="AC29" s="45" t="n">
        <f aca="false">IF(Y29=0,0,Z29/Y29-1)</f>
        <v>-0.0252720146718168</v>
      </c>
      <c r="AD29" s="44" t="n">
        <f aca="false">Parameters!$E$6*IF($N29="V",Parameters!$I$6,IF($N29="F",Parameters!$J$6,Parameters!$K$6))*(1-Parameters!$L$6*$P29)*IF($D29="V1",Parameters!$M$6,IF($D29="V2",Parameters!$N$6,Parameters!$O$6))</f>
        <v>19</v>
      </c>
      <c r="AE29" s="44" t="n">
        <f aca="false">AD29*(1+INDEX(Response_Table!$G$4:$G$21,MATCH($F29&amp;"|mid",Response_Table!$A$4:$A$21,0))*$R29*INDEX(Parameters!$X$6:$AA$6,1,MATCH($E29,Parameters!$X$3:$AA$3,0)))</f>
        <v>15.2791327295833</v>
      </c>
      <c r="AF29" s="44" t="n">
        <f aca="false">MAX(0,MIN(AD29*(1+INDEX(Response_Table!$G$4:$G$21,MATCH($F29&amp;"|low",Response_Table!$A$4:$A$21,0))*$R29*INDEX(Parameters!$X$6:$AA$6,1,MATCH($E29,Parameters!$X$3:$AA$3,0))),AD29*(1+INDEX(Response_Table!$G$4:$G$21,MATCH($F29&amp;"|high",Response_Table!$A$4:$A$21,0))*$R29*INDEX(Parameters!$X$6:$AA$6,1,MATCH($E29,Parameters!$X$3:$AA$3,0))))*(1-Inputs_General!$C$22*Parameters!$F$6))</f>
        <v>11.6667675397791</v>
      </c>
      <c r="AG29" s="44" t="n">
        <f aca="false">MAX(AD29*(1+INDEX(Response_Table!$G$4:$G$21,MATCH($F29&amp;"|low",Response_Table!$A$4:$A$21,0))*$R29*INDEX(Parameters!$X$6:$AA$6,1,MATCH($E29,Parameters!$X$3:$AA$3,0))),AD29*(1+INDEX(Response_Table!$G$4:$G$21,MATCH($F29&amp;"|high",Response_Table!$A$4:$A$21,0))*$R29*INDEX(Parameters!$X$6:$AA$6,1,MATCH($E29,Parameters!$X$3:$AA$3,0))))*(1+Inputs_General!$C$22*Parameters!$F$6)</f>
        <v>19.2666308154671</v>
      </c>
      <c r="AH29" s="45" t="n">
        <f aca="false">IF(AD29=0,0,AE29/AD29-1)</f>
        <v>-0.195835119495615</v>
      </c>
      <c r="AI29" s="46" t="n">
        <f aca="false">Parameters!$E$7*IF($N29="V",Parameters!$I$7,IF($N29="F",Parameters!$J$7,Parameters!$K$7))*(1-Parameters!$L$7*$P29)*IF($D29="V1",Parameters!$M$7,IF($D29="V2",Parameters!$N$7,Parameters!$O$7))*POWER($Q29/Inputs_General!$C$26,-Inputs_General!$C$25)</f>
        <v>0.464685683730118</v>
      </c>
      <c r="AJ29" s="46" t="n">
        <f aca="false">AI29*(1+INDEX(Response_Table!$H$4:$H$21,MATCH($F29&amp;"|mid",Response_Table!$A$4:$A$21,0))*$R29*INDEX(Parameters!$X$7:$AA$7,1,MATCH($E29,Parameters!$X$3:$AA$3,0)))</f>
        <v>0.407971324160109</v>
      </c>
      <c r="AK29" s="46" t="n">
        <f aca="false">MAX(0,MIN(AI29*(1+INDEX(Response_Table!$H$4:$H$21,MATCH($F29&amp;"|low",Response_Table!$A$4:$A$21,0))*$R29*INDEX(Parameters!$X$7:$AA$7,1,MATCH($E29,Parameters!$X$3:$AA$3,0))),AI29*(1+INDEX(Response_Table!$H$4:$H$21,MATCH($F29&amp;"|high",Response_Table!$A$4:$A$21,0))*$R29*INDEX(Parameters!$X$7:$AA$7,1,MATCH($E29,Parameters!$X$3:$AA$3,0))))*(1-Inputs_General!$C$22*Parameters!$F$7))</f>
        <v>0.278600179390083</v>
      </c>
      <c r="AL29" s="46" t="n">
        <f aca="false">MAX(AI29*(1+INDEX(Response_Table!$H$4:$H$21,MATCH($F29&amp;"|low",Response_Table!$A$4:$A$21,0))*$R29*INDEX(Parameters!$X$7:$AA$7,1,MATCH($E29,Parameters!$X$3:$AA$3,0))),AI29*(1+INDEX(Response_Table!$H$4:$H$21,MATCH($F29&amp;"|high",Response_Table!$A$4:$A$21,0))*$R29*INDEX(Parameters!$X$7:$AA$7,1,MATCH($E29,Parameters!$X$3:$AA$3,0))))*(1+Inputs_General!$C$22*Parameters!$F$7)</f>
        <v>0.545529100657289</v>
      </c>
      <c r="AM29" s="45" t="n">
        <f aca="false">IF(AI29=0,0,AJ29/AI29-1)</f>
        <v>-0.122048863469931</v>
      </c>
      <c r="AN29" s="43" t="n">
        <f aca="false">AI29*$Q29/Inputs_General!$C$13*1000</f>
        <v>4.38850387664553</v>
      </c>
      <c r="AO29" s="43" t="n">
        <f aca="false">AJ29*$Q29/Inputs_General!$C$13*1000*(1+Inputs_General!$C$21*$I29)</f>
        <v>3.9299498054909</v>
      </c>
      <c r="AP29" s="43" t="n">
        <f aca="false">AK29*$Q29/Inputs_General!$C$13*1000*(1+Inputs_General!$C$21*$H29)</f>
        <v>2.67057406812122</v>
      </c>
      <c r="AQ29" s="43" t="n">
        <f aca="false">AL29*$Q29/Inputs_General!$C$13*1000*(1+Inputs_General!$C$21*$J29)</f>
        <v>5.28079102348478</v>
      </c>
      <c r="AR29" s="45" t="n">
        <f aca="false">IF(AN29=0,0,AO29/AN29-1)</f>
        <v>-0.10448984073933</v>
      </c>
      <c r="AS29" s="42" t="n">
        <f aca="false">Parameters!$E$9*IF($N29="V",Parameters!$I$9,IF($N29="F",Parameters!$J$9,Parameters!$K$9))*(1-Parameters!$L$9*$P29)*IF($D29="V1",Parameters!$M$9,IF($D29="V2",Parameters!$N$9,Parameters!$O$9))</f>
        <v>285</v>
      </c>
      <c r="AT29" s="42" t="n">
        <f aca="false">AS29*(1+INDEX(Response_Table!$I$4:$I$21,MATCH($F29&amp;"|mid",Response_Table!$A$4:$A$21,0))*$R29*INDEX(Parameters!$X$9:$AA$9,1,MATCH($E29,Parameters!$X$3:$AA$3,0)))</f>
        <v>305.604546450576</v>
      </c>
      <c r="AU29" s="42" t="n">
        <f aca="false">MAX(0,MIN(AS29*(1+INDEX(Response_Table!$I$4:$I$21,MATCH($F29&amp;"|low",Response_Table!$A$4:$A$21,0))*$R29*INDEX(Parameters!$X$9:$AA$9,1,MATCH($E29,Parameters!$X$3:$AA$3,0))),AS29*(1+INDEX(Response_Table!$I$4:$I$21,MATCH($F29&amp;"|high",Response_Table!$A$4:$A$21,0))*$R29*INDEX(Parameters!$X$9:$AA$9,1,MATCH($E29,Parameters!$X$3:$AA$3,0))))*(1-Inputs_General!$C$22*Parameters!$F$9))</f>
        <v>271.340078115671</v>
      </c>
      <c r="AV29" s="42" t="n">
        <f aca="false">MAX(AS29*(1+INDEX(Response_Table!$I$4:$I$21,MATCH($F29&amp;"|low",Response_Table!$A$4:$A$21,0))*$R29*INDEX(Parameters!$X$9:$AA$9,1,MATCH($E29,Parameters!$X$3:$AA$3,0))),AS29*(1+INDEX(Response_Table!$I$4:$I$21,MATCH($F29&amp;"|high",Response_Table!$A$4:$A$21,0))*$R29*INDEX(Parameters!$X$9:$AA$9,1,MATCH($E29,Parameters!$X$3:$AA$3,0))))*(1+Inputs_General!$C$22*Parameters!$F$9)</f>
        <v>340.382885054249</v>
      </c>
      <c r="AW29" s="45" t="n">
        <f aca="false">IF(AS29=0,0,AT29/AS29-1)</f>
        <v>0.0722966542125456</v>
      </c>
      <c r="AX29" s="43" t="n">
        <f aca="false">INDEX(Context!$AB$4:$AB$51,$K29)</f>
        <v>2.6849133441391</v>
      </c>
      <c r="AY29" s="43" t="n">
        <f aca="false">AX29*(1+INDEX(Response_Table!$J$4:$J$21,MATCH($F29&amp;"|mid",Response_Table!$A$4:$A$21,0))*$R29*INDEX(Parameters!$X$10:$AA$10,1,MATCH($E29,Parameters!$X$3:$AA$3,0)))</f>
        <v>2.56445701970321</v>
      </c>
      <c r="AZ29" s="43" t="n">
        <f aca="false">MAX(0,MIN(AX29*(1+INDEX(Response_Table!$J$4:$J$21,MATCH($F29&amp;"|low",Response_Table!$A$4:$A$21,0))*$R29*INDEX(Parameters!$X$10:$AA$10,1,MATCH($E29,Parameters!$X$3:$AA$3,0))),AX29*(1+INDEX(Response_Table!$J$4:$J$21,MATCH($F29&amp;"|high",Response_Table!$A$4:$A$21,0))*$R29*INDEX(Parameters!$X$10:$AA$10,1,MATCH($E29,Parameters!$X$3:$AA$3,0))))*(1-Inputs_General!$C$22*Parameters!$F$10))</f>
        <v>2.03693693049632</v>
      </c>
      <c r="BA29" s="43" t="n">
        <f aca="false">MAX(AX29*(1+INDEX(Response_Table!$J$4:$J$21,MATCH($F29&amp;"|low",Response_Table!$A$4:$A$21,0))*$R29*INDEX(Parameters!$X$10:$AA$10,1,MATCH($E29,Parameters!$X$3:$AA$3,0))),AX29*(1+INDEX(Response_Table!$J$4:$J$21,MATCH($F29&amp;"|high",Response_Table!$A$4:$A$21,0))*$R29*INDEX(Parameters!$X$10:$AA$10,1,MATCH($E29,Parameters!$X$3:$AA$3,0))))*(1+Inputs_General!$C$22*Parameters!$F$10)</f>
        <v>3.10408175610485</v>
      </c>
      <c r="BB29" s="45" t="n">
        <f aca="false">IF(AX29=0,0,AY29/AX29-1)</f>
        <v>-0.0448641386131995</v>
      </c>
      <c r="BC29" s="46" t="n">
        <f aca="false">Parameters!$E$11*IF($N29="V",Parameters!$I$11,IF($N29="F",Parameters!$J$11,Parameters!$K$11))*(1-Parameters!$L$11*$P29)*IF($D29="V1",Parameters!$M$11,IF($D29="V2",Parameters!$N$11,Parameters!$O$11))</f>
        <v>1.1875</v>
      </c>
      <c r="BD29" s="46" t="n">
        <f aca="false">BC29*(1+INDEX(Response_Table!$K$4:$K$21,MATCH($F29&amp;"|mid",Response_Table!$A$4:$A$21,0))*$R29*INDEX(Parameters!$X$11:$AA$11,1,MATCH($E29,Parameters!$X$3:$AA$3,0)))</f>
        <v>1.09161620768883</v>
      </c>
      <c r="BE29" s="46" t="n">
        <f aca="false">MAX(0,MIN(BC29*(1+INDEX(Response_Table!$K$4:$K$21,MATCH($F29&amp;"|low",Response_Table!$A$4:$A$21,0))*$R29*INDEX(Parameters!$X$11:$AA$11,1,MATCH($E29,Parameters!$X$3:$AA$3,0))),BC29*(1+INDEX(Response_Table!$K$4:$K$21,MATCH($F29&amp;"|high",Response_Table!$A$4:$A$21,0))*$R29*INDEX(Parameters!$X$11:$AA$11,1,MATCH($E29,Parameters!$X$3:$AA$3,0))))*(1-Inputs_General!$C$22*Parameters!$F$11))</f>
        <v>0.895022447364182</v>
      </c>
      <c r="BF29" s="46" t="n">
        <f aca="false">MAX(BC29*(1+INDEX(Response_Table!$K$4:$K$21,MATCH($F29&amp;"|low",Response_Table!$A$4:$A$21,0))*$R29*INDEX(Parameters!$X$11:$AA$11,1,MATCH($E29,Parameters!$X$3:$AA$3,0))),BC29*(1+INDEX(Response_Table!$K$4:$K$21,MATCH($F29&amp;"|high",Response_Table!$A$4:$A$21,0))*$R29*INDEX(Parameters!$X$11:$AA$11,1,MATCH($E29,Parameters!$X$3:$AA$3,0))))*(1+Inputs_General!$C$22*Parameters!$F$11)</f>
        <v>1.29648129343597</v>
      </c>
      <c r="BG29" s="45" t="n">
        <f aca="false">IF(BC29=0,0,BD29/BC29-1)</f>
        <v>-0.0807442461567711</v>
      </c>
      <c r="BH29" s="46" t="n">
        <f aca="false">Parameters!$E$12*IF($N29="V",Parameters!$I$12,IF($N29="F",Parameters!$J$12,Parameters!$K$12))*(1-Parameters!$L$12*$P29)*IF($D29="V1",Parameters!$M$12,IF($D29="V2",Parameters!$N$12,Parameters!$O$12))</f>
        <v>0.4275</v>
      </c>
      <c r="BI29" s="46" t="n">
        <f aca="false">BH29*(1+INDEX(Response_Table!$L$4:$L$21,MATCH($F29&amp;"|mid",Response_Table!$A$4:$A$21,0))*$R29*INDEX(Parameters!$X$12:$AA$12,1,MATCH($E29,Parameters!$X$3:$AA$3,0)))</f>
        <v>0.3999069817083</v>
      </c>
      <c r="BJ29" s="46" t="n">
        <f aca="false">MAX(0,MIN(BH29*(1+INDEX(Response_Table!$L$4:$L$21,MATCH($F29&amp;"|low",Response_Table!$A$4:$A$21,0))*$R29*INDEX(Parameters!$X$12:$AA$12,1,MATCH($E29,Parameters!$X$3:$AA$3,0))),BH29*(1+INDEX(Response_Table!$L$4:$L$21,MATCH($F29&amp;"|high",Response_Table!$A$4:$A$21,0))*$R29*INDEX(Parameters!$X$12:$AA$12,1,MATCH($E29,Parameters!$X$3:$AA$3,0))))*(1-Inputs_General!$C$22*Parameters!$F$12))</f>
        <v>0.316210704654944</v>
      </c>
      <c r="BK29" s="46" t="n">
        <f aca="false">MAX(BH29*(1+INDEX(Response_Table!$L$4:$L$21,MATCH($F29&amp;"|low",Response_Table!$A$4:$A$21,0))*$R29*INDEX(Parameters!$X$12:$AA$12,1,MATCH($E29,Parameters!$X$3:$AA$3,0))),BH29*(1+INDEX(Response_Table!$L$4:$L$21,MATCH($F29&amp;"|high",Response_Table!$A$4:$A$21,0))*$R29*INDEX(Parameters!$X$12:$AA$12,1,MATCH($E29,Parameters!$X$3:$AA$3,0))))*(1+Inputs_General!$C$22*Parameters!$F$12)</f>
        <v>0.486380706473235</v>
      </c>
      <c r="BL29" s="45" t="n">
        <f aca="false">IF(BH29=0,0,BI29/BH29-1)</f>
        <v>-0.0645450720273676</v>
      </c>
      <c r="BM29" s="46" t="n">
        <f aca="false">Parameters!$E$13*IF($N29="V",Parameters!$I$13,IF($N29="F",Parameters!$J$13,Parameters!$K$13))*(1-Parameters!$L$13*$P29)*IF($D29="V1",Parameters!$M$13,IF($D29="V2",Parameters!$N$13,Parameters!$O$13))</f>
        <v>0.285</v>
      </c>
      <c r="BN29" s="46" t="n">
        <f aca="false">BM29*(1+INDEX(Response_Table!$M$4:$M$21,MATCH($F29&amp;"|mid",Response_Table!$A$4:$A$21,0))*$R29*INDEX(Parameters!$X$13:$AA$13,1,MATCH($E29,Parameters!$X$3:$AA$3,0)))</f>
        <v>0.286937957476201</v>
      </c>
      <c r="BO29" s="46" t="n">
        <f aca="false">MAX(0,MIN(BM29*(1+INDEX(Response_Table!$M$4:$M$21,MATCH($F29&amp;"|low",Response_Table!$A$4:$A$21,0))*$R29*INDEX(Parameters!$X$13:$AA$13,1,MATCH($E29,Parameters!$X$3:$AA$3,0))),BM29*(1+INDEX(Response_Table!$M$4:$M$21,MATCH($F29&amp;"|high",Response_Table!$A$4:$A$21,0))*$R29*INDEX(Parameters!$X$13:$AA$13,1,MATCH($E29,Parameters!$X$3:$AA$3,0))))*(1-Inputs_General!$C$22*Parameters!$F$13))</f>
        <v>0.22827894513573</v>
      </c>
      <c r="BP29" s="46" t="n">
        <f aca="false">MAX(BM29*(1+INDEX(Response_Table!$M$4:$M$21,MATCH($F29&amp;"|low",Response_Table!$A$4:$A$21,0))*$R29*INDEX(Parameters!$X$13:$AA$13,1,MATCH($E29,Parameters!$X$3:$AA$3,0))),BM29*(1+INDEX(Response_Table!$M$4:$M$21,MATCH($F29&amp;"|high",Response_Table!$A$4:$A$21,0))*$R29*INDEX(Parameters!$X$13:$AA$13,1,MATCH($E29,Parameters!$X$3:$AA$3,0))))*(1+Inputs_General!$C$22*Parameters!$F$13)</f>
        <v>0.345691838904968</v>
      </c>
      <c r="BQ29" s="45" t="n">
        <f aca="false">IF(BM29=0,0,BN29/BM29-1)</f>
        <v>0.00679985079368928</v>
      </c>
      <c r="BR29" s="44" t="n">
        <f aca="false">Parameters!$E$14*IF($N29="V",Parameters!$I$14,IF($N29="F",Parameters!$J$14,Parameters!$K$14))*(1-Parameters!$L$14*$P29)*IF($D29="V1",Parameters!$M$14,IF($D29="V2",Parameters!$N$14,Parameters!$O$14))*INDEX(Context!$AC$4:$AC$51,$K29)</f>
        <v>16.5</v>
      </c>
      <c r="BS29" s="44" t="n">
        <f aca="false">BR29*(1+INDEX(Response_Table!$N$4:$N$21,MATCH($F29&amp;"|mid",Response_Table!$A$4:$A$21,0))*$R29*INDEX(Parameters!$X$14:$AA$14,1,MATCH($E29,Parameters!$X$3:$AA$3,0)))</f>
        <v>17.6618112964926</v>
      </c>
      <c r="BT29" s="44" t="n">
        <f aca="false">MAX(0,MIN(BR29*(1+INDEX(Response_Table!$N$4:$N$21,MATCH($F29&amp;"|low",Response_Table!$A$4:$A$21,0))*$R29*INDEX(Parameters!$X$14:$AA$14,1,MATCH($E29,Parameters!$X$3:$AA$3,0))),BR29*(1+INDEX(Response_Table!$N$4:$N$21,MATCH($F29&amp;"|high",Response_Table!$A$4:$A$21,0))*$R29*INDEX(Parameters!$X$14:$AA$14,1,MATCH($E29,Parameters!$X$3:$AA$3,0))))*(1-Inputs_General!$C$22*Parameters!$F$14))</f>
        <v>8.81155704847544</v>
      </c>
      <c r="BU29" s="44" t="n">
        <f aca="false">MAX(BR29*(1+INDEX(Response_Table!$N$4:$N$21,MATCH($F29&amp;"|low",Response_Table!$A$4:$A$21,0))*$R29*INDEX(Parameters!$X$14:$AA$14,1,MATCH($E29,Parameters!$X$3:$AA$3,0))),BR29*(1+INDEX(Response_Table!$N$4:$N$21,MATCH($F29&amp;"|high",Response_Table!$A$4:$A$21,0))*$R29*INDEX(Parameters!$X$14:$AA$14,1,MATCH($E29,Parameters!$X$3:$AA$3,0))))*(1+Inputs_General!$C$22*Parameters!$F$14)</f>
        <v>26.7504440914576</v>
      </c>
      <c r="BV29" s="45" t="n">
        <f aca="false">IF(BR29=0,0,BS29/BR29-1)</f>
        <v>0.0704128058480373</v>
      </c>
      <c r="BW29" s="43" t="n">
        <f aca="false">Parameters!$E$15*IF($N29="V",Parameters!$I$15,IF($N29="F",Parameters!$J$15,Parameters!$K$15))*(1-Parameters!$L$15*$P29)*IF($D29="V1",Parameters!$M$15,IF($D29="V2",Parameters!$N$15,Parameters!$O$15))</f>
        <v>11.664</v>
      </c>
      <c r="BX29" s="43" t="n">
        <f aca="false">BW29*(1+INDEX(Response_Table!$O$4:$O$21,MATCH($F29&amp;"|mid",Response_Table!$A$4:$A$21,0))*$R29*INDEX(Parameters!$X$15:$AA$15,1,MATCH($E29,Parameters!$X$3:$AA$3,0)))</f>
        <v>11.4586762581471</v>
      </c>
      <c r="BY29" s="43" t="n">
        <f aca="false">MAX(0,MIN(BW29*(1+INDEX(Response_Table!$O$4:$O$21,MATCH($F29&amp;"|low",Response_Table!$A$4:$A$21,0))*$R29*INDEX(Parameters!$X$15:$AA$15,1,MATCH($E29,Parameters!$X$3:$AA$3,0))),BW29*(1+INDEX(Response_Table!$O$4:$O$21,MATCH($F29&amp;"|high",Response_Table!$A$4:$A$21,0))*$R29*INDEX(Parameters!$X$15:$AA$15,1,MATCH($E29,Parameters!$X$3:$AA$3,0))))*(1-Inputs_General!$C$22*Parameters!$F$15))</f>
        <v>9.16135359176732</v>
      </c>
      <c r="BZ29" s="43" t="n">
        <f aca="false">MAX(BW29*(1+INDEX(Response_Table!$O$4:$O$21,MATCH($F29&amp;"|low",Response_Table!$A$4:$A$21,0))*$R29*INDEX(Parameters!$X$15:$AA$15,1,MATCH($E29,Parameters!$X$3:$AA$3,0))),BW29*(1+INDEX(Response_Table!$O$4:$O$21,MATCH($F29&amp;"|high",Response_Table!$A$4:$A$21,0))*$R29*INDEX(Parameters!$X$15:$AA$15,1,MATCH($E29,Parameters!$X$3:$AA$3,0))))*(1+Inputs_General!$C$22*Parameters!$F$15)</f>
        <v>13.7766663249147</v>
      </c>
      <c r="CA29" s="45" t="n">
        <f aca="false">IF(BW29=0,0,BX29/BW29-1)</f>
        <v>-0.0176032014620094</v>
      </c>
      <c r="CB29" s="46" t="n">
        <f aca="false">BD29+BI29</f>
        <v>1.49152318939713</v>
      </c>
      <c r="CC29" s="43" t="n">
        <f aca="false">BD29/BI29</f>
        <v>2.72967529355384</v>
      </c>
      <c r="CD29" s="46" t="n">
        <f aca="false">BN29/CB29</f>
        <v>0.192379146040753</v>
      </c>
      <c r="CE29" s="43" t="n">
        <f aca="false">AE29/AO29</f>
        <v>3.88786968938774</v>
      </c>
      <c r="CF29" s="44" t="n">
        <f aca="false">AE29/AJ29</f>
        <v>37.4514869667335</v>
      </c>
      <c r="CG29" s="44" t="n">
        <f aca="false">INDEX(Context!$V$4:$V$51,$K29)</f>
        <v>22.6257142857143</v>
      </c>
      <c r="CH29" s="44" t="n">
        <f aca="false">INDEX(Context!$Y$4:$Y$51,$K29)</f>
        <v>21.3177449518561</v>
      </c>
      <c r="CI29" s="44" t="n">
        <f aca="false">INDEX(Context!$Z$4:$Z$51,$K29)</f>
        <v>26.6257142857143</v>
      </c>
      <c r="CJ29" s="43" t="n">
        <f aca="false">INDEX(Context!$AA$4:$AA$51,$K29)</f>
        <v>0.12</v>
      </c>
      <c r="CK29" s="43" t="n">
        <f aca="false">MAX(0,MIN(1,1-(1-CJ29)*AO29/AN29))</f>
        <v>0.21195105985061</v>
      </c>
      <c r="CL29" s="44" t="n">
        <f aca="false">CH29+CK29*(CI29-CH29)</f>
        <v>22.4427746778218</v>
      </c>
      <c r="CM29" s="44" t="n">
        <f aca="false">CH29+MAX(0,MIN(1,1-(1-CJ29)*AQ29/AN29))*(CI29-CH29)</f>
        <v>21.3177449518561</v>
      </c>
      <c r="CN29" s="44" t="n">
        <f aca="false">CH29+MAX(0,MIN(1,1-(1-CJ29)*AP29/AN29))*(CI29-CH29)</f>
        <v>23.7832224987335</v>
      </c>
      <c r="CO29" s="44" t="n">
        <f aca="false">CL29-CG29</f>
        <v>-0.182939607892447</v>
      </c>
      <c r="CP29" s="44" t="n">
        <f aca="false">CL29-(CH29+CJ29*(CI29-CH29))</f>
        <v>0.488073405902803</v>
      </c>
      <c r="CQ29" s="46" t="n">
        <f aca="false">CL29/CG29</f>
        <v>0.991914526737927</v>
      </c>
      <c r="CR29" s="43" t="n">
        <f aca="false">IF(CL29-CH29&lt;=0,"n/a",(CI29-CL29)/(CL29-CH29))</f>
        <v>3.71807029747731</v>
      </c>
      <c r="CS29" s="43" t="n">
        <f aca="false">IF(CI29-CL29&lt;=0,"n/a",(CL29-CH29)/(CI29-CL29))</f>
        <v>0.268956722168081</v>
      </c>
      <c r="CT29" s="43" t="n">
        <f aca="false">Inputs_General!$C$23+Inputs_General!$C$24*$I29</f>
        <v>0.76</v>
      </c>
      <c r="CU29" s="44" t="n">
        <f aca="false">3.29*CT29</f>
        <v>2.5004</v>
      </c>
    </row>
    <row r="30" customFormat="false" ht="15" hidden="false" customHeight="false" outlineLevel="0" collapsed="false">
      <c r="A30" s="9" t="str">
        <f aca="false">B30&amp;"|"&amp;E30&amp;"|"&amp;F30</f>
        <v>D1V2|11/02/2026|Moderate</v>
      </c>
      <c r="B30" s="7" t="s">
        <v>343</v>
      </c>
      <c r="C30" s="9" t="s">
        <v>127</v>
      </c>
      <c r="D30" s="9" t="s">
        <v>146</v>
      </c>
      <c r="E30" s="9" t="s">
        <v>158</v>
      </c>
      <c r="F30" s="7" t="s">
        <v>281</v>
      </c>
      <c r="G30" s="9" t="s">
        <v>282</v>
      </c>
      <c r="H30" s="41" t="n">
        <f aca="false">INDEX(Severity_Classes!$C$4:$C$9,MATCH(F30,Severity_Classes!$A$4:$A$9,0))</f>
        <v>0.11</v>
      </c>
      <c r="I30" s="41" t="n">
        <f aca="false">INDEX(Severity_Classes!$D$4:$D$9,MATCH(F30,Severity_Classes!$A$4:$A$9,0))</f>
        <v>0.18</v>
      </c>
      <c r="J30" s="41" t="n">
        <f aca="false">INDEX(Severity_Classes!$E$4:$E$9,MATCH(F30,Severity_Classes!$A$4:$A$9,0))</f>
        <v>0.25</v>
      </c>
      <c r="K30" s="42" t="n">
        <f aca="false">MATCH(B30&amp;"|"&amp;E30,Context!$A$4:$A$51,0)</f>
        <v>5</v>
      </c>
      <c r="L30" s="42" t="n">
        <f aca="false">INDEX(Context!$H$4:$H$51,K30)</f>
        <v>64</v>
      </c>
      <c r="M30" s="42" t="n">
        <f aca="false">INDEX(Context!$I$4:$I$51,K30)</f>
        <v>6</v>
      </c>
      <c r="N30" s="9" t="str">
        <f aca="false">INDEX(Context!$L$4:$L$51,K30)</f>
        <v>V</v>
      </c>
      <c r="O30" s="9" t="str">
        <f aca="false">INDEX(Context!$M$4:$M$51,K30)</f>
        <v>3rd fully expanded leaf from top</v>
      </c>
      <c r="P30" s="43" t="n">
        <f aca="false">INDEX(Context!$R$4:$R$51,K30)</f>
        <v>0</v>
      </c>
      <c r="Q30" s="43" t="n">
        <f aca="false">INDEX(Context!$U$4:$U$51,K30)</f>
        <v>0.937791824040773</v>
      </c>
      <c r="R30" s="43" t="n">
        <f aca="false">INDEX(Context!$AD$4:$AD$51,K30)</f>
        <v>1.1</v>
      </c>
      <c r="S30" s="9" t="str">
        <f aca="false">INDEX(Context!$AI$4:$AN$51,K30,MATCH(F30,Severity_Classes!$A$4:$A$9,0))</f>
        <v>Unlikely (only via pre-inoculation natural infection)</v>
      </c>
      <c r="T30" s="44" t="n">
        <f aca="false">Parameters!$E$4*IF($N30="V",Parameters!$I$4,IF($N30="F",Parameters!$J$4,Parameters!$K$4))*(1-Parameters!$L$4*$P30)*IF($D30="V1",Parameters!$M$4,IF($D30="V2",Parameters!$N$4,Parameters!$O$4))</f>
        <v>86</v>
      </c>
      <c r="U30" s="44" t="n">
        <f aca="false">MIN(100,T30*(1+INDEX(Response_Table!$E$4:$E$21,MATCH($F30&amp;"|mid",Response_Table!$A$4:$A$21,0))*$R30*INDEX(Parameters!$X$4:$AA$4,1,MATCH($E30,Parameters!$X$3:$AA$3,0))))</f>
        <v>83.848326470308</v>
      </c>
      <c r="V30" s="44" t="n">
        <f aca="false">MAX(0,MIN(T30*(1+INDEX(Response_Table!$E$4:$E$21,MATCH($F30&amp;"|low",Response_Table!$A$4:$A$21,0))*$R30*INDEX(Parameters!$X$4:$AA$4,1,MATCH($E30,Parameters!$X$3:$AA$3,0))),T30*(1+INDEX(Response_Table!$E$4:$E$21,MATCH($F30&amp;"|high",Response_Table!$A$4:$A$21,0))*$R30*INDEX(Parameters!$X$4:$AA$4,1,MATCH($E30,Parameters!$X$3:$AA$3,0))))*(1-Inputs_General!$C$22*Parameters!$F$4))</f>
        <v>76.8253618221922</v>
      </c>
      <c r="W30" s="44" t="n">
        <f aca="false">MIN(100,MAX(T30*(1+INDEX(Response_Table!$E$4:$E$21,MATCH($F30&amp;"|low",Response_Table!$A$4:$A$21,0))*$R30*INDEX(Parameters!$X$4:$AA$4,1,MATCH($E30,Parameters!$X$3:$AA$3,0))),T30*(1+INDEX(Response_Table!$E$4:$E$21,MATCH($F30&amp;"|high",Response_Table!$A$4:$A$21,0))*$R30*INDEX(Parameters!$X$4:$AA$4,1,MATCH($E30,Parameters!$X$3:$AA$3,0))))*(1+Inputs_General!$C$22*Parameters!$F$4))</f>
        <v>90.576855276321</v>
      </c>
      <c r="X30" s="45" t="n">
        <f aca="false">IF(T30=0,0,U30/T30-1)</f>
        <v>-0.0250194596475816</v>
      </c>
      <c r="Y30" s="44" t="n">
        <f aca="false">Parameters!$E$5*IF($N30="V",Parameters!$I$5,IF($N30="F",Parameters!$J$5,Parameters!$K$5))*(1-Parameters!$L$5*$P30)*IF($D30="V1",Parameters!$M$5,IF($D30="V2",Parameters!$N$5,Parameters!$O$5))</f>
        <v>72</v>
      </c>
      <c r="Z30" s="44" t="n">
        <f aca="false">MIN(100,Y30*(1+INDEX(Response_Table!$F$4:$F$21,MATCH($F30&amp;"|mid",Response_Table!$A$4:$A$21,0))*$R30*INDEX(Parameters!$X$5:$AA$5,1,MATCH($E30,Parameters!$X$3:$AA$3,0))))</f>
        <v>65.7772563011754</v>
      </c>
      <c r="AA30" s="44" t="n">
        <f aca="false">MAX(0,MIN(Y30*(1+INDEX(Response_Table!$F$4:$F$21,MATCH($F30&amp;"|low",Response_Table!$A$4:$A$21,0))*$R30*INDEX(Parameters!$X$5:$AA$5,1,MATCH($E30,Parameters!$X$3:$AA$3,0))),Y30*(1+INDEX(Response_Table!$F$4:$F$21,MATCH($F30&amp;"|high",Response_Table!$A$4:$A$21,0))*$R30*INDEX(Parameters!$X$5:$AA$5,1,MATCH($E30,Parameters!$X$3:$AA$3,0))))*(1-Inputs_General!$C$22*Parameters!$F$5))</f>
        <v>54.1279189317098</v>
      </c>
      <c r="AB30" s="44" t="n">
        <f aca="false">MIN(100,MAX(Y30*(1+INDEX(Response_Table!$F$4:$F$21,MATCH($F30&amp;"|low",Response_Table!$A$4:$A$21,0))*$R30*INDEX(Parameters!$X$5:$AA$5,1,MATCH($E30,Parameters!$X$3:$AA$3,0))),Y30*(1+INDEX(Response_Table!$F$4:$F$21,MATCH($F30&amp;"|high",Response_Table!$A$4:$A$21,0))*$R30*INDEX(Parameters!$X$5:$AA$5,1,MATCH($E30,Parameters!$X$3:$AA$3,0))))*(1+Inputs_General!$C$22*Parameters!$F$5))</f>
        <v>77.1053769816321</v>
      </c>
      <c r="AC30" s="45" t="n">
        <f aca="false">IF(Y30=0,0,Z30/Y30-1)</f>
        <v>-0.0864269958170085</v>
      </c>
      <c r="AD30" s="44" t="n">
        <f aca="false">Parameters!$E$6*IF($N30="V",Parameters!$I$6,IF($N30="F",Parameters!$J$6,Parameters!$K$6))*(1-Parameters!$L$6*$P30)*IF($D30="V1",Parameters!$M$6,IF($D30="V2",Parameters!$N$6,Parameters!$O$6))</f>
        <v>19</v>
      </c>
      <c r="AE30" s="44" t="n">
        <f aca="false">AD30*(1+INDEX(Response_Table!$G$4:$G$21,MATCH($F30&amp;"|mid",Response_Table!$A$4:$A$21,0))*$R30*INDEX(Parameters!$X$6:$AA$6,1,MATCH($E30,Parameters!$X$3:$AA$3,0)))</f>
        <v>12.139842680218</v>
      </c>
      <c r="AF30" s="44" t="n">
        <f aca="false">MAX(0,MIN(AD30*(1+INDEX(Response_Table!$G$4:$G$21,MATCH($F30&amp;"|low",Response_Table!$A$4:$A$21,0))*$R30*INDEX(Parameters!$X$6:$AA$6,1,MATCH($E30,Parameters!$X$3:$AA$3,0))),AD30*(1+INDEX(Response_Table!$G$4:$G$21,MATCH($F30&amp;"|high",Response_Table!$A$4:$A$21,0))*$R30*INDEX(Parameters!$X$6:$AA$6,1,MATCH($E30,Parameters!$X$3:$AA$3,0))))*(1-Inputs_General!$C$22*Parameters!$F$6))</f>
        <v>8.53501164047203</v>
      </c>
      <c r="AG30" s="44" t="n">
        <f aca="false">MAX(AD30*(1+INDEX(Response_Table!$G$4:$G$21,MATCH($F30&amp;"|low",Response_Table!$A$4:$A$21,0))*$R30*INDEX(Parameters!$X$6:$AA$6,1,MATCH($E30,Parameters!$X$3:$AA$3,0))),AD30*(1+INDEX(Response_Table!$G$4:$G$21,MATCH($F30&amp;"|high",Response_Table!$A$4:$A$21,0))*$R30*INDEX(Parameters!$X$6:$AA$6,1,MATCH($E30,Parameters!$X$3:$AA$3,0))))*(1+Inputs_General!$C$22*Parameters!$F$6)</f>
        <v>16.989390786741</v>
      </c>
      <c r="AH30" s="45" t="n">
        <f aca="false">IF(AD30=0,0,AE30/AD30-1)</f>
        <v>-0.361060911567472</v>
      </c>
      <c r="AI30" s="46" t="n">
        <f aca="false">Parameters!$E$7*IF($N30="V",Parameters!$I$7,IF($N30="F",Parameters!$J$7,Parameters!$K$7))*(1-Parameters!$L$7*$P30)*IF($D30="V1",Parameters!$M$7,IF($D30="V2",Parameters!$N$7,Parameters!$O$7))*POWER($Q30/Inputs_General!$C$26,-Inputs_General!$C$25)</f>
        <v>0.464685683730118</v>
      </c>
      <c r="AJ30" s="46" t="n">
        <f aca="false">AI30*(1+INDEX(Response_Table!$H$4:$H$21,MATCH($F30&amp;"|mid",Response_Table!$A$4:$A$21,0))*$R30*INDEX(Parameters!$X$7:$AA$7,1,MATCH($E30,Parameters!$X$3:$AA$3,0)))</f>
        <v>0.353780081131939</v>
      </c>
      <c r="AK30" s="46" t="n">
        <f aca="false">MAX(0,MIN(AI30*(1+INDEX(Response_Table!$H$4:$H$21,MATCH($F30&amp;"|low",Response_Table!$A$4:$A$21,0))*$R30*INDEX(Parameters!$X$7:$AA$7,1,MATCH($E30,Parameters!$X$3:$AA$3,0))),AI30*(1+INDEX(Response_Table!$H$4:$H$21,MATCH($F30&amp;"|high",Response_Table!$A$4:$A$21,0))*$R30*INDEX(Parameters!$X$7:$AA$7,1,MATCH($E30,Parameters!$X$3:$AA$3,0))))*(1-Inputs_General!$C$22*Parameters!$F$7))</f>
        <v>0.228373739796102</v>
      </c>
      <c r="AL30" s="46" t="n">
        <f aca="false">MAX(AI30*(1+INDEX(Response_Table!$H$4:$H$21,MATCH($F30&amp;"|low",Response_Table!$A$4:$A$21,0))*$R30*INDEX(Parameters!$X$7:$AA$7,1,MATCH($E30,Parameters!$X$3:$AA$3,0))),AI30*(1+INDEX(Response_Table!$H$4:$H$21,MATCH($F30&amp;"|high",Response_Table!$A$4:$A$21,0))*$R30*INDEX(Parameters!$X$7:$AA$7,1,MATCH($E30,Parameters!$X$3:$AA$3,0))))*(1+Inputs_General!$C$22*Parameters!$F$7)</f>
        <v>0.505447313910092</v>
      </c>
      <c r="AM30" s="45" t="n">
        <f aca="false">IF(AI30=0,0,AJ30/AI30-1)</f>
        <v>-0.238667999642078</v>
      </c>
      <c r="AN30" s="43" t="n">
        <f aca="false">AI30*$Q30/Inputs_General!$C$13*1000</f>
        <v>4.38850387664553</v>
      </c>
      <c r="AO30" s="43" t="n">
        <f aca="false">AJ30*$Q30/Inputs_General!$C$13*1000*(1+Inputs_General!$C$21*$I30)</f>
        <v>3.49145831455936</v>
      </c>
      <c r="AP30" s="43" t="n">
        <f aca="false">AK30*$Q30/Inputs_General!$C$13*1000*(1+Inputs_General!$C$21*$H30)</f>
        <v>2.2160787434197</v>
      </c>
      <c r="AQ30" s="43" t="n">
        <f aca="false">AL30*$Q30/Inputs_General!$C$13*1000*(1+Inputs_General!$C$21*$J30)</f>
        <v>5.07179890103243</v>
      </c>
      <c r="AR30" s="45" t="n">
        <f aca="false">IF(AN30=0,0,AO30/AN30-1)</f>
        <v>-0.204408059625971</v>
      </c>
      <c r="AS30" s="42" t="n">
        <f aca="false">Parameters!$E$9*IF($N30="V",Parameters!$I$9,IF($N30="F",Parameters!$J$9,Parameters!$K$9))*(1-Parameters!$L$9*$P30)*IF($D30="V1",Parameters!$M$9,IF($D30="V2",Parameters!$N$9,Parameters!$O$9))</f>
        <v>285</v>
      </c>
      <c r="AT30" s="42" t="n">
        <f aca="false">AS30*(1+INDEX(Response_Table!$I$4:$I$21,MATCH($F30&amp;"|mid",Response_Table!$A$4:$A$21,0))*$R30*INDEX(Parameters!$X$9:$AA$9,1,MATCH($E30,Parameters!$X$3:$AA$3,0)))</f>
        <v>323.616760261572</v>
      </c>
      <c r="AU30" s="42" t="n">
        <f aca="false">MAX(0,MIN(AS30*(1+INDEX(Response_Table!$I$4:$I$21,MATCH($F30&amp;"|low",Response_Table!$A$4:$A$21,0))*$R30*INDEX(Parameters!$X$9:$AA$9,1,MATCH($E30,Parameters!$X$3:$AA$3,0))),AS30*(1+INDEX(Response_Table!$I$4:$I$21,MATCH($F30&amp;"|high",Response_Table!$A$4:$A$21,0))*$R30*INDEX(Parameters!$X$9:$AA$9,1,MATCH($E30,Parameters!$X$3:$AA$3,0))))*(1-Inputs_General!$C$22*Parameters!$F$9))</f>
        <v>281.009747219515</v>
      </c>
      <c r="AV30" s="42" t="n">
        <f aca="false">MAX(AS30*(1+INDEX(Response_Table!$I$4:$I$21,MATCH($F30&amp;"|low",Response_Table!$A$4:$A$21,0))*$R30*INDEX(Parameters!$X$9:$AA$9,1,MATCH($E30,Parameters!$X$3:$AA$3,0))),AS30*(1+INDEX(Response_Table!$I$4:$I$21,MATCH($F30&amp;"|high",Response_Table!$A$4:$A$21,0))*$R30*INDEX(Parameters!$X$9:$AA$9,1,MATCH($E30,Parameters!$X$3:$AA$3,0))))*(1+Inputs_General!$C$22*Parameters!$F$9)</f>
        <v>365.384496954787</v>
      </c>
      <c r="AW30" s="45" t="n">
        <f aca="false">IF(AS30=0,0,AT30/AS30-1)</f>
        <v>0.135497404426568</v>
      </c>
      <c r="AX30" s="43" t="n">
        <f aca="false">INDEX(Context!$AB$4:$AB$51,$K30)</f>
        <v>2.6849133441391</v>
      </c>
      <c r="AY30" s="43" t="n">
        <f aca="false">AX30*(1+INDEX(Response_Table!$J$4:$J$21,MATCH($F30&amp;"|mid",Response_Table!$A$4:$A$21,0))*$R30*INDEX(Parameters!$X$10:$AA$10,1,MATCH($E30,Parameters!$X$3:$AA$3,0)))</f>
        <v>2.44411143385446</v>
      </c>
      <c r="AZ30" s="43" t="n">
        <f aca="false">MAX(0,MIN(AX30*(1+INDEX(Response_Table!$J$4:$J$21,MATCH($F30&amp;"|low",Response_Table!$A$4:$A$21,0))*$R30*INDEX(Parameters!$X$10:$AA$10,1,MATCH($E30,Parameters!$X$3:$AA$3,0))),AX30*(1+INDEX(Response_Table!$J$4:$J$21,MATCH($F30&amp;"|high",Response_Table!$A$4:$A$21,0))*$R30*INDEX(Parameters!$X$10:$AA$10,1,MATCH($E30,Parameters!$X$3:$AA$3,0))))*(1-Inputs_General!$C$22*Parameters!$F$10))</f>
        <v>1.90704750894243</v>
      </c>
      <c r="BA30" s="43" t="n">
        <f aca="false">MAX(AX30*(1+INDEX(Response_Table!$J$4:$J$21,MATCH($F30&amp;"|low",Response_Table!$A$4:$A$21,0))*$R30*INDEX(Parameters!$X$10:$AA$10,1,MATCH($E30,Parameters!$X$3:$AA$3,0))),AX30*(1+INDEX(Response_Table!$J$4:$J$21,MATCH($F30&amp;"|high",Response_Table!$A$4:$A$21,0))*$R30*INDEX(Parameters!$X$10:$AA$10,1,MATCH($E30,Parameters!$X$3:$AA$3,0))))*(1+Inputs_General!$C$22*Parameters!$F$10)</f>
        <v>3.02360881519666</v>
      </c>
      <c r="BB30" s="45" t="n">
        <f aca="false">IF(AX30=0,0,AY30/AX30-1)</f>
        <v>-0.0896870324736111</v>
      </c>
      <c r="BC30" s="46" t="n">
        <f aca="false">Parameters!$E$11*IF($N30="V",Parameters!$I$11,IF($N30="F",Parameters!$J$11,Parameters!$K$11))*(1-Parameters!$L$11*$P30)*IF($D30="V1",Parameters!$M$11,IF($D30="V2",Parameters!$N$11,Parameters!$O$11))</f>
        <v>1.1875</v>
      </c>
      <c r="BD30" s="46" t="n">
        <f aca="false">BC30*(1+INDEX(Response_Table!$K$4:$K$21,MATCH($F30&amp;"|mid",Response_Table!$A$4:$A$21,0))*$R30*INDEX(Parameters!$X$11:$AA$11,1,MATCH($E30,Parameters!$X$3:$AA$3,0)))</f>
        <v>1.00161578493746</v>
      </c>
      <c r="BE30" s="46" t="n">
        <f aca="false">MAX(0,MIN(BC30*(1+INDEX(Response_Table!$K$4:$K$21,MATCH($F30&amp;"|low",Response_Table!$A$4:$A$21,0))*$R30*INDEX(Parameters!$X$11:$AA$11,1,MATCH($E30,Parameters!$X$3:$AA$3,0))),BC30*(1+INDEX(Response_Table!$K$4:$K$21,MATCH($F30&amp;"|high",Response_Table!$A$4:$A$21,0))*$R30*INDEX(Parameters!$X$11:$AA$11,1,MATCH($E30,Parameters!$X$3:$AA$3,0))))*(1-Inputs_General!$C$22*Parameters!$F$11))</f>
        <v>0.796835513694636</v>
      </c>
      <c r="BF30" s="46" t="n">
        <f aca="false">MAX(BC30*(1+INDEX(Response_Table!$K$4:$K$21,MATCH($F30&amp;"|low",Response_Table!$A$4:$A$21,0))*$R30*INDEX(Parameters!$X$11:$AA$11,1,MATCH($E30,Parameters!$X$3:$AA$3,0))),BC30*(1+INDEX(Response_Table!$K$4:$K$21,MATCH($F30&amp;"|high",Response_Table!$A$4:$A$21,0))*$R30*INDEX(Parameters!$X$11:$AA$11,1,MATCH($E30,Parameters!$X$3:$AA$3,0))))*(1+Inputs_General!$C$22*Parameters!$F$11)</f>
        <v>1.23615534069478</v>
      </c>
      <c r="BG30" s="45" t="n">
        <f aca="false">IF(BC30=0,0,BD30/BC30-1)</f>
        <v>-0.156534075842136</v>
      </c>
      <c r="BH30" s="46" t="n">
        <f aca="false">Parameters!$E$12*IF($N30="V",Parameters!$I$12,IF($N30="F",Parameters!$J$12,Parameters!$K$12))*(1-Parameters!$L$12*$P30)*IF($D30="V1",Parameters!$M$12,IF($D30="V2",Parameters!$N$12,Parameters!$O$12))</f>
        <v>0.4275</v>
      </c>
      <c r="BI30" s="46" t="n">
        <f aca="false">BH30*(1+INDEX(Response_Table!$L$4:$L$21,MATCH($F30&amp;"|mid",Response_Table!$A$4:$A$21,0))*$R30*INDEX(Parameters!$X$12:$AA$12,1,MATCH($E30,Parameters!$X$3:$AA$3,0)))</f>
        <v>0.373541525561689</v>
      </c>
      <c r="BJ30" s="46" t="n">
        <f aca="false">MAX(0,MIN(BH30*(1+INDEX(Response_Table!$L$4:$L$21,MATCH($F30&amp;"|low",Response_Table!$A$4:$A$21,0))*$R30*INDEX(Parameters!$X$12:$AA$12,1,MATCH($E30,Parameters!$X$3:$AA$3,0))),BH30*(1+INDEX(Response_Table!$L$4:$L$21,MATCH($F30&amp;"|high",Response_Table!$A$4:$A$21,0))*$R30*INDEX(Parameters!$X$12:$AA$12,1,MATCH($E30,Parameters!$X$3:$AA$3,0))))*(1-Inputs_General!$C$22*Parameters!$F$12))</f>
        <v>0.288347776179392</v>
      </c>
      <c r="BK30" s="46" t="n">
        <f aca="false">MAX(BH30*(1+INDEX(Response_Table!$L$4:$L$21,MATCH($F30&amp;"|low",Response_Table!$A$4:$A$21,0))*$R30*INDEX(Parameters!$X$12:$AA$12,1,MATCH($E30,Parameters!$X$3:$AA$3,0))),BH30*(1+INDEX(Response_Table!$L$4:$L$21,MATCH($F30&amp;"|high",Response_Table!$A$4:$A$21,0))*$R30*INDEX(Parameters!$X$12:$AA$12,1,MATCH($E30,Parameters!$X$3:$AA$3,0))))*(1+Inputs_General!$C$22*Parameters!$F$12)</f>
        <v>0.468364888185063</v>
      </c>
      <c r="BL30" s="45" t="n">
        <f aca="false">IF(BH30=0,0,BI30/BH30-1)</f>
        <v>-0.126218653656868</v>
      </c>
      <c r="BM30" s="46" t="n">
        <f aca="false">Parameters!$E$13*IF($N30="V",Parameters!$I$13,IF($N30="F",Parameters!$J$13,Parameters!$K$13))*(1-Parameters!$L$13*$P30)*IF($D30="V1",Parameters!$M$13,IF($D30="V2",Parameters!$N$13,Parameters!$O$13))</f>
        <v>0.285</v>
      </c>
      <c r="BN30" s="46" t="n">
        <f aca="false">BM30*(1+INDEX(Response_Table!$M$4:$M$21,MATCH($F30&amp;"|mid",Response_Table!$A$4:$A$21,0))*$R30*INDEX(Parameters!$X$13:$AA$13,1,MATCH($E30,Parameters!$X$3:$AA$3,0)))</f>
        <v>0.271516132146417</v>
      </c>
      <c r="BO30" s="46" t="n">
        <f aca="false">MAX(0,MIN(BM30*(1+INDEX(Response_Table!$M$4:$M$21,MATCH($F30&amp;"|low",Response_Table!$A$4:$A$21,0))*$R30*INDEX(Parameters!$X$13:$AA$13,1,MATCH($E30,Parameters!$X$3:$AA$3,0))),BM30*(1+INDEX(Response_Table!$M$4:$M$21,MATCH($F30&amp;"|high",Response_Table!$A$4:$A$21,0))*$R30*INDEX(Parameters!$X$13:$AA$13,1,MATCH($E30,Parameters!$X$3:$AA$3,0))))*(1-Inputs_General!$C$22*Parameters!$F$13))</f>
        <v>0.209206756175763</v>
      </c>
      <c r="BP30" s="46" t="n">
        <f aca="false">MAX(BM30*(1+INDEX(Response_Table!$M$4:$M$21,MATCH($F30&amp;"|low",Response_Table!$A$4:$A$21,0))*$R30*INDEX(Parameters!$X$13:$AA$13,1,MATCH($E30,Parameters!$X$3:$AA$3,0))),BM30*(1+INDEX(Response_Table!$M$4:$M$21,MATCH($F30&amp;"|high",Response_Table!$A$4:$A$21,0))*$R30*INDEX(Parameters!$X$13:$AA$13,1,MATCH($E30,Parameters!$X$3:$AA$3,0))))*(1+Inputs_General!$C$22*Parameters!$F$13)</f>
        <v>0.338838069459107</v>
      </c>
      <c r="BQ30" s="45" t="n">
        <f aca="false">IF(BM30=0,0,BN30/BM30-1)</f>
        <v>-0.0473118170301174</v>
      </c>
      <c r="BR30" s="44" t="n">
        <f aca="false">Parameters!$E$14*IF($N30="V",Parameters!$I$14,IF($N30="F",Parameters!$J$14,Parameters!$K$14))*(1-Parameters!$L$14*$P30)*IF($D30="V1",Parameters!$M$14,IF($D30="V2",Parameters!$N$14,Parameters!$O$14))*INDEX(Context!$AC$4:$AC$51,$K30)</f>
        <v>16.5</v>
      </c>
      <c r="BS30" s="44" t="n">
        <f aca="false">BR30*(1+INDEX(Response_Table!$N$4:$N$21,MATCH($F30&amp;"|mid",Response_Table!$A$4:$A$21,0))*$R30*INDEX(Parameters!$X$14:$AA$14,1,MATCH($E30,Parameters!$X$3:$AA$3,0)))</f>
        <v>18.7719357658236</v>
      </c>
      <c r="BT30" s="44" t="n">
        <f aca="false">MAX(0,MIN(BR30*(1+INDEX(Response_Table!$N$4:$N$21,MATCH($F30&amp;"|low",Response_Table!$A$4:$A$21,0))*$R30*INDEX(Parameters!$X$14:$AA$14,1,MATCH($E30,Parameters!$X$3:$AA$3,0))),BR30*(1+INDEX(Response_Table!$N$4:$N$21,MATCH($F30&amp;"|high",Response_Table!$A$4:$A$21,0))*$R30*INDEX(Parameters!$X$14:$AA$14,1,MATCH($E30,Parameters!$X$3:$AA$3,0))))*(1-Inputs_General!$C$22*Parameters!$F$14))</f>
        <v>9.13242812749609</v>
      </c>
      <c r="BU30" s="44" t="n">
        <f aca="false">MAX(BR30*(1+INDEX(Response_Table!$N$4:$N$21,MATCH($F30&amp;"|low",Response_Table!$A$4:$A$21,0))*$R30*INDEX(Parameters!$X$14:$AA$14,1,MATCH($E30,Parameters!$X$3:$AA$3,0))),BR30*(1+INDEX(Response_Table!$N$4:$N$21,MATCH($F30&amp;"|high",Response_Table!$A$4:$A$21,0))*$R30*INDEX(Parameters!$X$14:$AA$14,1,MATCH($E30,Parameters!$X$3:$AA$3,0))))*(1+Inputs_General!$C$22*Parameters!$F$14)</f>
        <v>28.9335219137057</v>
      </c>
      <c r="BV30" s="45" t="n">
        <f aca="false">IF(BR30=0,0,BS30/BR30-1)</f>
        <v>0.137693076716583</v>
      </c>
      <c r="BW30" s="43" t="n">
        <f aca="false">Parameters!$E$15*IF($N30="V",Parameters!$I$15,IF($N30="F",Parameters!$J$15,Parameters!$K$15))*(1-Parameters!$L$15*$P30)*IF($D30="V1",Parameters!$M$15,IF($D30="V2",Parameters!$N$15,Parameters!$O$15))</f>
        <v>11.664</v>
      </c>
      <c r="BX30" s="43" t="n">
        <f aca="false">BW30*(1+INDEX(Response_Table!$O$4:$O$21,MATCH($F30&amp;"|mid",Response_Table!$A$4:$A$21,0))*$R30*INDEX(Parameters!$X$15:$AA$15,1,MATCH($E30,Parameters!$X$3:$AA$3,0)))</f>
        <v>11.2624869882944</v>
      </c>
      <c r="BY30" s="43" t="n">
        <f aca="false">MAX(0,MIN(BW30*(1+INDEX(Response_Table!$O$4:$O$21,MATCH($F30&amp;"|low",Response_Table!$A$4:$A$21,0))*$R30*INDEX(Parameters!$X$15:$AA$15,1,MATCH($E30,Parameters!$X$3:$AA$3,0))),BW30*(1+INDEX(Response_Table!$O$4:$O$21,MATCH($F30&amp;"|high",Response_Table!$A$4:$A$21,0))*$R30*INDEX(Parameters!$X$15:$AA$15,1,MATCH($E30,Parameters!$X$3:$AA$3,0))))*(1-Inputs_General!$C$22*Parameters!$F$15))</f>
        <v>8.95402140820187</v>
      </c>
      <c r="BZ30" s="43" t="n">
        <f aca="false">MAX(BW30*(1+INDEX(Response_Table!$O$4:$O$21,MATCH($F30&amp;"|low",Response_Table!$A$4:$A$21,0))*$R30*INDEX(Parameters!$X$15:$AA$15,1,MATCH($E30,Parameters!$X$3:$AA$3,0))),BW30*(1+INDEX(Response_Table!$O$4:$O$21,MATCH($F30&amp;"|high",Response_Table!$A$4:$A$21,0))*$R30*INDEX(Parameters!$X$15:$AA$15,1,MATCH($E30,Parameters!$X$3:$AA$3,0))))*(1+Inputs_General!$C$22*Parameters!$F$15)</f>
        <v>13.6426079488297</v>
      </c>
      <c r="CA30" s="45" t="n">
        <f aca="false">IF(BW30=0,0,BX30/BW30-1)</f>
        <v>-0.0344232691791458</v>
      </c>
      <c r="CB30" s="46" t="n">
        <f aca="false">BD30+BI30</f>
        <v>1.37515731049915</v>
      </c>
      <c r="CC30" s="43" t="n">
        <f aca="false">BD30/BI30</f>
        <v>2.68140411814014</v>
      </c>
      <c r="CD30" s="46" t="n">
        <f aca="false">BN30/CB30</f>
        <v>0.197443688859031</v>
      </c>
      <c r="CE30" s="43" t="n">
        <f aca="false">AE30/AO30</f>
        <v>3.47701206386883</v>
      </c>
      <c r="CF30" s="44" t="n">
        <f aca="false">AE30/AJ30</f>
        <v>34.3146585341264</v>
      </c>
      <c r="CG30" s="44" t="n">
        <f aca="false">INDEX(Context!$V$4:$V$51,$K30)</f>
        <v>22.6257142857143</v>
      </c>
      <c r="CH30" s="44" t="n">
        <f aca="false">INDEX(Context!$Y$4:$Y$51,$K30)</f>
        <v>21.3177449518561</v>
      </c>
      <c r="CI30" s="44" t="n">
        <f aca="false">INDEX(Context!$Z$4:$Z$51,$K30)</f>
        <v>26.6257142857143</v>
      </c>
      <c r="CJ30" s="43" t="n">
        <f aca="false">INDEX(Context!$AA$4:$AA$51,$K30)</f>
        <v>0.12</v>
      </c>
      <c r="CK30" s="43" t="n">
        <f aca="false">MAX(0,MIN(1,1-(1-CJ30)*AO30/AN30))</f>
        <v>0.299879092470855</v>
      </c>
      <c r="CL30" s="44" t="n">
        <f aca="false">CH30+CK30*(CI30-CH30)</f>
        <v>22.9094939785566</v>
      </c>
      <c r="CM30" s="44" t="n">
        <f aca="false">CH30+MAX(0,MIN(1,1-(1-CJ30)*AQ30/AN30))*(CI30-CH30)</f>
        <v>21.3177449518561</v>
      </c>
      <c r="CN30" s="44" t="n">
        <f aca="false">CH30+MAX(0,MIN(1,1-(1-CJ30)*AP30/AN30))*(CI30-CH30)</f>
        <v>24.2669758771201</v>
      </c>
      <c r="CO30" s="44" t="n">
        <f aca="false">CL30-CG30</f>
        <v>0.283779692842298</v>
      </c>
      <c r="CP30" s="44" t="n">
        <f aca="false">CL30-(CH30+CJ30*(CI30-CH30))</f>
        <v>0.954792706637548</v>
      </c>
      <c r="CQ30" s="46" t="n">
        <f aca="false">CL30/CG30</f>
        <v>1.01254235288481</v>
      </c>
      <c r="CR30" s="43" t="n">
        <f aca="false">IF(CL30-CH30&lt;=0,"n/a",(CI30-CL30)/(CL30-CH30))</f>
        <v>2.3346772919729</v>
      </c>
      <c r="CS30" s="43" t="n">
        <f aca="false">IF(CI30-CL30&lt;=0,"n/a",(CL30-CH30)/(CI30-CL30))</f>
        <v>0.428324721124503</v>
      </c>
      <c r="CT30" s="43" t="n">
        <f aca="false">Inputs_General!$C$23+Inputs_General!$C$24*$I30</f>
        <v>0.96</v>
      </c>
      <c r="CU30" s="44" t="n">
        <f aca="false">3.29*CT30</f>
        <v>3.1584</v>
      </c>
    </row>
    <row r="31" customFormat="false" ht="15" hidden="false" customHeight="false" outlineLevel="0" collapsed="false">
      <c r="A31" s="9" t="str">
        <f aca="false">B31&amp;"|"&amp;E31&amp;"|"&amp;F31</f>
        <v>D1V2|11/02/2026|High</v>
      </c>
      <c r="B31" s="7" t="s">
        <v>343</v>
      </c>
      <c r="C31" s="9" t="s">
        <v>127</v>
      </c>
      <c r="D31" s="9" t="s">
        <v>146</v>
      </c>
      <c r="E31" s="9" t="s">
        <v>158</v>
      </c>
      <c r="F31" s="7" t="s">
        <v>283</v>
      </c>
      <c r="G31" s="9" t="s">
        <v>284</v>
      </c>
      <c r="H31" s="41" t="n">
        <f aca="false">INDEX(Severity_Classes!$C$4:$C$9,MATCH(F31,Severity_Classes!$A$4:$A$9,0))</f>
        <v>0.26</v>
      </c>
      <c r="I31" s="41" t="n">
        <f aca="false">INDEX(Severity_Classes!$D$4:$D$9,MATCH(F31,Severity_Classes!$A$4:$A$9,0))</f>
        <v>0.38</v>
      </c>
      <c r="J31" s="41" t="n">
        <f aca="false">INDEX(Severity_Classes!$E$4:$E$9,MATCH(F31,Severity_Classes!$A$4:$A$9,0))</f>
        <v>0.5</v>
      </c>
      <c r="K31" s="42" t="n">
        <f aca="false">MATCH(B31&amp;"|"&amp;E31,Context!$A$4:$A$51,0)</f>
        <v>5</v>
      </c>
      <c r="L31" s="42" t="n">
        <f aca="false">INDEX(Context!$H$4:$H$51,K31)</f>
        <v>64</v>
      </c>
      <c r="M31" s="42" t="n">
        <f aca="false">INDEX(Context!$I$4:$I$51,K31)</f>
        <v>6</v>
      </c>
      <c r="N31" s="9" t="str">
        <f aca="false">INDEX(Context!$L$4:$L$51,K31)</f>
        <v>V</v>
      </c>
      <c r="O31" s="9" t="str">
        <f aca="false">INDEX(Context!$M$4:$M$51,K31)</f>
        <v>3rd fully expanded leaf from top</v>
      </c>
      <c r="P31" s="43" t="n">
        <f aca="false">INDEX(Context!$R$4:$R$51,K31)</f>
        <v>0</v>
      </c>
      <c r="Q31" s="43" t="n">
        <f aca="false">INDEX(Context!$U$4:$U$51,K31)</f>
        <v>0.937791824040773</v>
      </c>
      <c r="R31" s="43" t="n">
        <f aca="false">INDEX(Context!$AD$4:$AD$51,K31)</f>
        <v>1.1</v>
      </c>
      <c r="S31" s="9" t="str">
        <f aca="false">INDEX(Context!$AI$4:$AN$51,K31,MATCH(F31,Severity_Classes!$A$4:$A$9,0))</f>
        <v>Unlikely (only via pre-inoculation natural infection)</v>
      </c>
      <c r="T31" s="44" t="n">
        <f aca="false">Parameters!$E$4*IF($N31="V",Parameters!$I$4,IF($N31="F",Parameters!$J$4,Parameters!$K$4))*(1-Parameters!$L$4*$P31)*IF($D31="V1",Parameters!$M$4,IF($D31="V2",Parameters!$N$4,Parameters!$O$4))</f>
        <v>86</v>
      </c>
      <c r="U31" s="44" t="n">
        <f aca="false">MIN(100,T31*(1+INDEX(Response_Table!$E$4:$E$21,MATCH($F31&amp;"|mid",Response_Table!$A$4:$A$21,0))*$R31*INDEX(Parameters!$X$4:$AA$4,1,MATCH($E31,Parameters!$X$3:$AA$3,0))))</f>
        <v>78.3589088840323</v>
      </c>
      <c r="V31" s="44" t="n">
        <f aca="false">MAX(0,MIN(T31*(1+INDEX(Response_Table!$E$4:$E$21,MATCH($F31&amp;"|low",Response_Table!$A$4:$A$21,0))*$R31*INDEX(Parameters!$X$4:$AA$4,1,MATCH($E31,Parameters!$X$3:$AA$3,0))),T31*(1+INDEX(Response_Table!$E$4:$E$21,MATCH($F31&amp;"|high",Response_Table!$A$4:$A$21,0))*$R31*INDEX(Parameters!$X$4:$AA$4,1,MATCH($E31,Parameters!$X$3:$AA$3,0))))*(1-Inputs_General!$C$22*Parameters!$F$4))</f>
        <v>70.1968349510748</v>
      </c>
      <c r="W31" s="44" t="n">
        <f aca="false">MIN(100,MAX(T31*(1+INDEX(Response_Table!$E$4:$E$21,MATCH($F31&amp;"|low",Response_Table!$A$4:$A$21,0))*$R31*INDEX(Parameters!$X$4:$AA$4,1,MATCH($E31,Parameters!$X$3:$AA$3,0))),T31*(1+INDEX(Response_Table!$E$4:$E$21,MATCH($F31&amp;"|high",Response_Table!$A$4:$A$21,0))*$R31*INDEX(Parameters!$X$4:$AA$4,1,MATCH($E31,Parameters!$X$3:$AA$3,0))))*(1+Inputs_General!$C$22*Parameters!$F$4))</f>
        <v>87.3626344207189</v>
      </c>
      <c r="X31" s="45" t="n">
        <f aca="false">IF(T31=0,0,U31/T31-1)</f>
        <v>-0.0888498966972993</v>
      </c>
      <c r="Y31" s="44" t="n">
        <f aca="false">Parameters!$E$5*IF($N31="V",Parameters!$I$5,IF($N31="F",Parameters!$J$5,Parameters!$K$5))*(1-Parameters!$L$5*$P31)*IF($D31="V1",Parameters!$M$5,IF($D31="V2",Parameters!$N$5,Parameters!$O$5))</f>
        <v>72</v>
      </c>
      <c r="Z31" s="44" t="n">
        <f aca="false">MIN(100,Y31*(1+INDEX(Response_Table!$F$4:$F$21,MATCH($F31&amp;"|mid",Response_Table!$A$4:$A$21,0))*$R31*INDEX(Parameters!$X$5:$AA$5,1,MATCH($E31,Parameters!$X$3:$AA$3,0))))</f>
        <v>52.1883986347957</v>
      </c>
      <c r="AA31" s="44" t="n">
        <f aca="false">MAX(0,MIN(Y31*(1+INDEX(Response_Table!$F$4:$F$21,MATCH($F31&amp;"|low",Response_Table!$A$4:$A$21,0))*$R31*INDEX(Parameters!$X$5:$AA$5,1,MATCH($E31,Parameters!$X$3:$AA$3,0))),Y31*(1+INDEX(Response_Table!$F$4:$F$21,MATCH($F31&amp;"|high",Response_Table!$A$4:$A$21,0))*$R31*INDEX(Parameters!$X$5:$AA$5,1,MATCH($E31,Parameters!$X$3:$AA$3,0))))*(1-Inputs_General!$C$22*Parameters!$F$5))</f>
        <v>41.7766252052624</v>
      </c>
      <c r="AB31" s="44" t="n">
        <f aca="false">MIN(100,MAX(Y31*(1+INDEX(Response_Table!$F$4:$F$21,MATCH($F31&amp;"|low",Response_Table!$A$4:$A$21,0))*$R31*INDEX(Parameters!$X$5:$AA$5,1,MATCH($E31,Parameters!$X$3:$AA$3,0))),Y31*(1+INDEX(Response_Table!$F$4:$F$21,MATCH($F31&amp;"|high",Response_Table!$A$4:$A$21,0))*$R31*INDEX(Parameters!$X$5:$AA$5,1,MATCH($E31,Parameters!$X$3:$AA$3,0))))*(1+Inputs_General!$C$22*Parameters!$F$5))</f>
        <v>67.4088423430151</v>
      </c>
      <c r="AC31" s="45" t="n">
        <f aca="false">IF(Y31=0,0,Z31/Y31-1)</f>
        <v>-0.275161130072283</v>
      </c>
      <c r="AD31" s="44" t="n">
        <f aca="false">Parameters!$E$6*IF($N31="V",Parameters!$I$6,IF($N31="F",Parameters!$J$6,Parameters!$K$6))*(1-Parameters!$L$6*$P31)*IF($D31="V1",Parameters!$M$6,IF($D31="V2",Parameters!$N$6,Parameters!$O$6))</f>
        <v>19</v>
      </c>
      <c r="AE31" s="44" t="n">
        <f aca="false">AD31*(1+INDEX(Response_Table!$G$4:$G$21,MATCH($F31&amp;"|mid",Response_Table!$A$4:$A$21,0))*$R31*INDEX(Parameters!$X$6:$AA$6,1,MATCH($E31,Parameters!$X$3:$AA$3,0)))</f>
        <v>8.81590168479415</v>
      </c>
      <c r="AF31" s="44" t="n">
        <f aca="false">MAX(0,MIN(AD31*(1+INDEX(Response_Table!$G$4:$G$21,MATCH($F31&amp;"|low",Response_Table!$A$4:$A$21,0))*$R31*INDEX(Parameters!$X$6:$AA$6,1,MATCH($E31,Parameters!$X$3:$AA$3,0))),AD31*(1+INDEX(Response_Table!$G$4:$G$21,MATCH($F31&amp;"|high",Response_Table!$A$4:$A$21,0))*$R31*INDEX(Parameters!$X$6:$AA$6,1,MATCH($E31,Parameters!$X$3:$AA$3,0))))*(1-Inputs_General!$C$22*Parameters!$F$6))</f>
        <v>6.29998591086618</v>
      </c>
      <c r="AG31" s="44" t="n">
        <f aca="false">MAX(AD31*(1+INDEX(Response_Table!$G$4:$G$21,MATCH($F31&amp;"|low",Response_Table!$A$4:$A$21,0))*$R31*INDEX(Parameters!$X$6:$AA$6,1,MATCH($E31,Parameters!$X$3:$AA$3,0))),AD31*(1+INDEX(Response_Table!$G$4:$G$21,MATCH($F31&amp;"|high",Response_Table!$A$4:$A$21,0))*$R31*INDEX(Parameters!$X$6:$AA$6,1,MATCH($E31,Parameters!$X$3:$AA$3,0))))*(1+Inputs_General!$C$22*Parameters!$F$6)</f>
        <v>12.5182427903625</v>
      </c>
      <c r="AH31" s="45" t="n">
        <f aca="false">IF(AD31=0,0,AE31/AD31-1)</f>
        <v>-0.536005174484518</v>
      </c>
      <c r="AI31" s="46" t="n">
        <f aca="false">Parameters!$E$7*IF($N31="V",Parameters!$I$7,IF($N31="F",Parameters!$J$7,Parameters!$K$7))*(1-Parameters!$L$7*$P31)*IF($D31="V1",Parameters!$M$7,IF($D31="V2",Parameters!$N$7,Parameters!$O$7))*POWER($Q31/Inputs_General!$C$26,-Inputs_General!$C$25)</f>
        <v>0.464685683730118</v>
      </c>
      <c r="AJ31" s="46" t="n">
        <f aca="false">AI31*(1+INDEX(Response_Table!$H$4:$H$21,MATCH($F31&amp;"|mid",Response_Table!$A$4:$A$21,0))*$R31*INDEX(Parameters!$X$7:$AA$7,1,MATCH($E31,Parameters!$X$3:$AA$3,0)))</f>
        <v>0.283893436147021</v>
      </c>
      <c r="AK31" s="46" t="n">
        <f aca="false">MAX(0,MIN(AI31*(1+INDEX(Response_Table!$H$4:$H$21,MATCH($F31&amp;"|low",Response_Table!$A$4:$A$21,0))*$R31*INDEX(Parameters!$X$7:$AA$7,1,MATCH($E31,Parameters!$X$3:$AA$3,0))),AI31*(1+INDEX(Response_Table!$H$4:$H$21,MATCH($F31&amp;"|high",Response_Table!$A$4:$A$21,0))*$R31*INDEX(Parameters!$X$7:$AA$7,1,MATCH($E31,Parameters!$X$3:$AA$3,0))))*(1-Inputs_General!$C$22*Parameters!$F$7))</f>
        <v>0.181742416127299</v>
      </c>
      <c r="AL31" s="46" t="n">
        <f aca="false">MAX(AI31*(1+INDEX(Response_Table!$H$4:$H$21,MATCH($F31&amp;"|low",Response_Table!$A$4:$A$21,0))*$R31*INDEX(Parameters!$X$7:$AA$7,1,MATCH($E31,Parameters!$X$3:$AA$3,0))),AI31*(1+INDEX(Response_Table!$H$4:$H$21,MATCH($F31&amp;"|high",Response_Table!$A$4:$A$21,0))*$R31*INDEX(Parameters!$X$7:$AA$7,1,MATCH($E31,Parameters!$X$3:$AA$3,0))))*(1+Inputs_General!$C$22*Parameters!$F$7)</f>
        <v>0.415698006810297</v>
      </c>
      <c r="AM31" s="45" t="n">
        <f aca="false">IF(AI31=0,0,AJ31/AI31-1)</f>
        <v>-0.389063519521074</v>
      </c>
      <c r="AN31" s="43" t="n">
        <f aca="false">AI31*$Q31/Inputs_General!$C$13*1000</f>
        <v>4.38850387664553</v>
      </c>
      <c r="AO31" s="43" t="n">
        <f aca="false">AJ31*$Q31/Inputs_General!$C$13*1000*(1+Inputs_General!$C$21*$I31)</f>
        <v>2.9358013386977</v>
      </c>
      <c r="AP31" s="43" t="n">
        <f aca="false">AK31*$Q31/Inputs_General!$C$13*1000*(1+Inputs_General!$C$21*$H31)</f>
        <v>1.82794489225338</v>
      </c>
      <c r="AQ31" s="43" t="n">
        <f aca="false">AL31*$Q31/Inputs_General!$C$13*1000*(1+Inputs_General!$C$21*$J31)</f>
        <v>4.41659583145856</v>
      </c>
      <c r="AR31" s="45" t="n">
        <f aca="false">IF(AN31=0,0,AO31/AN31-1)</f>
        <v>-0.331024553875576</v>
      </c>
      <c r="AS31" s="42" t="n">
        <f aca="false">Parameters!$E$9*IF($N31="V",Parameters!$I$9,IF($N31="F",Parameters!$J$9,Parameters!$K$9))*(1-Parameters!$L$9*$P31)*IF($D31="V1",Parameters!$M$9,IF($D31="V2",Parameters!$N$9,Parameters!$O$9))</f>
        <v>285</v>
      </c>
      <c r="AT31" s="42" t="n">
        <f aca="false">AS31*(1+INDEX(Response_Table!$I$4:$I$21,MATCH($F31&amp;"|mid",Response_Table!$A$4:$A$21,0))*$R31*INDEX(Parameters!$X$9:$AA$9,1,MATCH($E31,Parameters!$X$3:$AA$3,0)))</f>
        <v>343.784117625715</v>
      </c>
      <c r="AU31" s="42" t="n">
        <f aca="false">MAX(0,MIN(AS31*(1+INDEX(Response_Table!$I$4:$I$21,MATCH($F31&amp;"|low",Response_Table!$A$4:$A$21,0))*$R31*INDEX(Parameters!$X$9:$AA$9,1,MATCH($E31,Parameters!$X$3:$AA$3,0))),AS31*(1+INDEX(Response_Table!$I$4:$I$21,MATCH($F31&amp;"|high",Response_Table!$A$4:$A$21,0))*$R31*INDEX(Parameters!$X$9:$AA$9,1,MATCH($E31,Parameters!$X$3:$AA$3,0))))*(1-Inputs_General!$C$22*Parameters!$F$9))</f>
        <v>300.715202647127</v>
      </c>
      <c r="AV31" s="42" t="n">
        <f aca="false">MAX(AS31*(1+INDEX(Response_Table!$I$4:$I$21,MATCH($F31&amp;"|low",Response_Table!$A$4:$A$21,0))*$R31*INDEX(Parameters!$X$9:$AA$9,1,MATCH($E31,Parameters!$X$3:$AA$3,0))),AS31*(1+INDEX(Response_Table!$I$4:$I$21,MATCH($F31&amp;"|high",Response_Table!$A$4:$A$21,0))*$R31*INDEX(Parameters!$X$9:$AA$9,1,MATCH($E31,Parameters!$X$3:$AA$3,0))))*(1+Inputs_General!$C$22*Parameters!$F$9)</f>
        <v>384.608036032929</v>
      </c>
      <c r="AW31" s="45" t="n">
        <f aca="false">IF(AS31=0,0,AT31/AS31-1)</f>
        <v>0.206260061844615</v>
      </c>
      <c r="AX31" s="43" t="n">
        <f aca="false">INDEX(Context!$AB$4:$AB$51,$K31)</f>
        <v>2.6849133441391</v>
      </c>
      <c r="AY31" s="43" t="n">
        <f aca="false">AX31*(1+INDEX(Response_Table!$J$4:$J$21,MATCH($F31&amp;"|mid",Response_Table!$A$4:$A$21,0))*$R31*INDEX(Parameters!$X$10:$AA$10,1,MATCH($E31,Parameters!$X$3:$AA$3,0)))</f>
        <v>2.27739290977793</v>
      </c>
      <c r="AZ31" s="43" t="n">
        <f aca="false">MAX(0,MIN(AX31*(1+INDEX(Response_Table!$J$4:$J$21,MATCH($F31&amp;"|low",Response_Table!$A$4:$A$21,0))*$R31*INDEX(Parameters!$X$10:$AA$10,1,MATCH($E31,Parameters!$X$3:$AA$3,0))),AX31*(1+INDEX(Response_Table!$J$4:$J$21,MATCH($F31&amp;"|high",Response_Table!$A$4:$A$21,0))*$R31*INDEX(Parameters!$X$10:$AA$10,1,MATCH($E31,Parameters!$X$3:$AA$3,0))))*(1-Inputs_General!$C$22*Parameters!$F$10))</f>
        <v>1.77437550177038</v>
      </c>
      <c r="BA31" s="43" t="n">
        <f aca="false">MAX(AX31*(1+INDEX(Response_Table!$J$4:$J$21,MATCH($F31&amp;"|low",Response_Table!$A$4:$A$21,0))*$R31*INDEX(Parameters!$X$10:$AA$10,1,MATCH($E31,Parameters!$X$3:$AA$3,0))),AX31*(1+INDEX(Response_Table!$J$4:$J$21,MATCH($F31&amp;"|high",Response_Table!$A$4:$A$21,0))*$R31*INDEX(Parameters!$X$10:$AA$10,1,MATCH($E31,Parameters!$X$3:$AA$3,0))))*(1+Inputs_General!$C$22*Parameters!$F$10)</f>
        <v>2.83461111518899</v>
      </c>
      <c r="BB31" s="45" t="n">
        <f aca="false">IF(AX31=0,0,AY31/AX31-1)</f>
        <v>-0.151781596695011</v>
      </c>
      <c r="BC31" s="46" t="n">
        <f aca="false">Parameters!$E$11*IF($N31="V",Parameters!$I$11,IF($N31="F",Parameters!$J$11,Parameters!$K$11))*(1-Parameters!$L$11*$P31)*IF($D31="V1",Parameters!$M$11,IF($D31="V2",Parameters!$N$11,Parameters!$O$11))</f>
        <v>1.1875</v>
      </c>
      <c r="BD31" s="46" t="n">
        <f aca="false">BC31*(1+INDEX(Response_Table!$K$4:$K$21,MATCH($F31&amp;"|mid",Response_Table!$A$4:$A$21,0))*$R31*INDEX(Parameters!$X$11:$AA$11,1,MATCH($E31,Parameters!$X$3:$AA$3,0)))</f>
        <v>0.888805523542861</v>
      </c>
      <c r="BE31" s="46" t="n">
        <f aca="false">MAX(0,MIN(BC31*(1+INDEX(Response_Table!$K$4:$K$21,MATCH($F31&amp;"|low",Response_Table!$A$4:$A$21,0))*$R31*INDEX(Parameters!$X$11:$AA$11,1,MATCH($E31,Parameters!$X$3:$AA$3,0))),BC31*(1+INDEX(Response_Table!$K$4:$K$21,MATCH($F31&amp;"|high",Response_Table!$A$4:$A$21,0))*$R31*INDEX(Parameters!$X$11:$AA$11,1,MATCH($E31,Parameters!$X$3:$AA$3,0))))*(1-Inputs_General!$C$22*Parameters!$F$11))</f>
        <v>0.709072249579934</v>
      </c>
      <c r="BF31" s="46" t="n">
        <f aca="false">MAX(BC31*(1+INDEX(Response_Table!$K$4:$K$21,MATCH($F31&amp;"|low",Response_Table!$A$4:$A$21,0))*$R31*INDEX(Parameters!$X$11:$AA$11,1,MATCH($E31,Parameters!$X$3:$AA$3,0))),BC31*(1+INDEX(Response_Table!$K$4:$K$21,MATCH($F31&amp;"|high",Response_Table!$A$4:$A$21,0))*$R31*INDEX(Parameters!$X$11:$AA$11,1,MATCH($E31,Parameters!$X$3:$AA$3,0))))*(1+Inputs_General!$C$22*Parameters!$F$11)</f>
        <v>1.10361462460822</v>
      </c>
      <c r="BG31" s="45" t="n">
        <f aca="false">IF(BC31=0,0,BD31/BC31-1)</f>
        <v>-0.251532190700749</v>
      </c>
      <c r="BH31" s="46" t="n">
        <f aca="false">Parameters!$E$12*IF($N31="V",Parameters!$I$12,IF($N31="F",Parameters!$J$12,Parameters!$K$12))*(1-Parameters!$L$12*$P31)*IF($D31="V1",Parameters!$M$12,IF($D31="V2",Parameters!$N$12,Parameters!$O$12))</f>
        <v>0.4275</v>
      </c>
      <c r="BI31" s="46" t="n">
        <f aca="false">BH31*(1+INDEX(Response_Table!$L$4:$L$21,MATCH($F31&amp;"|mid",Response_Table!$A$4:$A$21,0))*$R31*INDEX(Parameters!$X$12:$AA$12,1,MATCH($E31,Parameters!$X$3:$AA$3,0)))</f>
        <v>0.339539846127507</v>
      </c>
      <c r="BJ31" s="46" t="n">
        <f aca="false">MAX(0,MIN(BH31*(1+INDEX(Response_Table!$L$4:$L$21,MATCH($F31&amp;"|low",Response_Table!$A$4:$A$21,0))*$R31*INDEX(Parameters!$X$12:$AA$12,1,MATCH($E31,Parameters!$X$3:$AA$3,0))),BH31*(1+INDEX(Response_Table!$L$4:$L$21,MATCH($F31&amp;"|high",Response_Table!$A$4:$A$21,0))*$R31*INDEX(Parameters!$X$12:$AA$12,1,MATCH($E31,Parameters!$X$3:$AA$3,0))))*(1-Inputs_General!$C$22*Parameters!$F$12))</f>
        <v>0.26247922474299</v>
      </c>
      <c r="BK31" s="46" t="n">
        <f aca="false">MAX(BH31*(1+INDEX(Response_Table!$L$4:$L$21,MATCH($F31&amp;"|low",Response_Table!$A$4:$A$21,0))*$R31*INDEX(Parameters!$X$12:$AA$12,1,MATCH($E31,Parameters!$X$3:$AA$3,0))),BH31*(1+INDEX(Response_Table!$L$4:$L$21,MATCH($F31&amp;"|high",Response_Table!$A$4:$A$21,0))*$R31*INDEX(Parameters!$X$12:$AA$12,1,MATCH($E31,Parameters!$X$3:$AA$3,0))))*(1+Inputs_General!$C$22*Parameters!$F$12)</f>
        <v>0.428024690319199</v>
      </c>
      <c r="BL31" s="45" t="n">
        <f aca="false">IF(BH31=0,0,BI31/BH31-1)</f>
        <v>-0.205754745900568</v>
      </c>
      <c r="BM31" s="46" t="n">
        <f aca="false">Parameters!$E$13*IF($N31="V",Parameters!$I$13,IF($N31="F",Parameters!$J$13,Parameters!$K$13))*(1-Parameters!$L$13*$P31)*IF($D31="V1",Parameters!$M$13,IF($D31="V2",Parameters!$N$13,Parameters!$O$13))</f>
        <v>0.285</v>
      </c>
      <c r="BN31" s="46" t="n">
        <f aca="false">BM31*(1+INDEX(Response_Table!$M$4:$M$21,MATCH($F31&amp;"|mid",Response_Table!$A$4:$A$21,0))*$R31*INDEX(Parameters!$X$13:$AA$13,1,MATCH($E31,Parameters!$X$3:$AA$3,0)))</f>
        <v>0.245974804048153</v>
      </c>
      <c r="BO31" s="46" t="n">
        <f aca="false">MAX(0,MIN(BM31*(1+INDEX(Response_Table!$M$4:$M$21,MATCH($F31&amp;"|low",Response_Table!$A$4:$A$21,0))*$R31*INDEX(Parameters!$X$13:$AA$13,1,MATCH($E31,Parameters!$X$3:$AA$3,0))),BM31*(1+INDEX(Response_Table!$M$4:$M$21,MATCH($F31&amp;"|high",Response_Table!$A$4:$A$21,0))*$R31*INDEX(Parameters!$X$13:$AA$13,1,MATCH($E31,Parameters!$X$3:$AA$3,0))))*(1-Inputs_General!$C$22*Parameters!$F$13))</f>
        <v>0.190798686339391</v>
      </c>
      <c r="BP31" s="46" t="n">
        <f aca="false">MAX(BM31*(1+INDEX(Response_Table!$M$4:$M$21,MATCH($F31&amp;"|low",Response_Table!$A$4:$A$21,0))*$R31*INDEX(Parameters!$X$13:$AA$13,1,MATCH($E31,Parameters!$X$3:$AA$3,0))),BM31*(1+INDEX(Response_Table!$M$4:$M$21,MATCH($F31&amp;"|high",Response_Table!$A$4:$A$21,0))*$R31*INDEX(Parameters!$X$13:$AA$13,1,MATCH($E31,Parameters!$X$3:$AA$3,0))))*(1+Inputs_General!$C$22*Parameters!$F$13)</f>
        <v>0.310450316490952</v>
      </c>
      <c r="BQ31" s="45" t="n">
        <f aca="false">IF(BM31=0,0,BN31/BM31-1)</f>
        <v>-0.136930512111743</v>
      </c>
      <c r="BR31" s="44" t="n">
        <f aca="false">Parameters!$E$14*IF($N31="V",Parameters!$I$14,IF($N31="F",Parameters!$J$14,Parameters!$K$14))*(1-Parameters!$L$14*$P31)*IF($D31="V1",Parameters!$M$14,IF($D31="V2",Parameters!$N$14,Parameters!$O$14))*INDEX(Context!$AC$4:$AC$51,$K31)</f>
        <v>16.5</v>
      </c>
      <c r="BS31" s="44" t="n">
        <f aca="false">BR31*(1+INDEX(Response_Table!$N$4:$N$21,MATCH($F31&amp;"|mid",Response_Table!$A$4:$A$21,0))*$R31*INDEX(Parameters!$X$14:$AA$14,1,MATCH($E31,Parameters!$X$3:$AA$3,0)))</f>
        <v>20.2035854262102</v>
      </c>
      <c r="BT31" s="44" t="n">
        <f aca="false">MAX(0,MIN(BR31*(1+INDEX(Response_Table!$N$4:$N$21,MATCH($F31&amp;"|low",Response_Table!$A$4:$A$21,0))*$R31*INDEX(Parameters!$X$14:$AA$14,1,MATCH($E31,Parameters!$X$3:$AA$3,0))),BR31*(1+INDEX(Response_Table!$N$4:$N$21,MATCH($F31&amp;"|high",Response_Table!$A$4:$A$21,0))*$R31*INDEX(Parameters!$X$14:$AA$14,1,MATCH($E31,Parameters!$X$3:$AA$3,0))))*(1-Inputs_General!$C$22*Parameters!$F$14))</f>
        <v>9.85090799946641</v>
      </c>
      <c r="BU31" s="44" t="n">
        <f aca="false">MAX(BR31*(1+INDEX(Response_Table!$N$4:$N$21,MATCH($F31&amp;"|low",Response_Table!$A$4:$A$21,0))*$R31*INDEX(Parameters!$X$14:$AA$14,1,MATCH($E31,Parameters!$X$3:$AA$3,0))),BR31*(1+INDEX(Response_Table!$N$4:$N$21,MATCH($F31&amp;"|high",Response_Table!$A$4:$A$21,0))*$R31*INDEX(Parameters!$X$14:$AA$14,1,MATCH($E31,Parameters!$X$3:$AA$3,0))))*(1+Inputs_General!$C$22*Parameters!$F$14)</f>
        <v>30.9603390511808</v>
      </c>
      <c r="BV31" s="45" t="n">
        <f aca="false">IF(BR31=0,0,BS31/BR31-1)</f>
        <v>0.22445972280062</v>
      </c>
      <c r="BW31" s="43" t="n">
        <f aca="false">Parameters!$E$15*IF($N31="V",Parameters!$I$15,IF($N31="F",Parameters!$J$15,Parameters!$K$15))*(1-Parameters!$L$15*$P31)*IF($D31="V1",Parameters!$M$15,IF($D31="V2",Parameters!$N$15,Parameters!$O$15))</f>
        <v>11.664</v>
      </c>
      <c r="BX31" s="43" t="n">
        <f aca="false">BW31*(1+INDEX(Response_Table!$O$4:$O$21,MATCH($F31&amp;"|mid",Response_Table!$A$4:$A$21,0))*$R31*INDEX(Parameters!$X$15:$AA$15,1,MATCH($E31,Parameters!$X$3:$AA$3,0)))</f>
        <v>11.0094754483134</v>
      </c>
      <c r="BY31" s="43" t="n">
        <f aca="false">MAX(0,MIN(BW31*(1+INDEX(Response_Table!$O$4:$O$21,MATCH($F31&amp;"|low",Response_Table!$A$4:$A$21,0))*$R31*INDEX(Parameters!$X$15:$AA$15,1,MATCH($E31,Parameters!$X$3:$AA$3,0))),BW31*(1+INDEX(Response_Table!$O$4:$O$21,MATCH($F31&amp;"|high",Response_Table!$A$4:$A$21,0))*$R31*INDEX(Parameters!$X$15:$AA$15,1,MATCH($E31,Parameters!$X$3:$AA$3,0))))*(1-Inputs_General!$C$22*Parameters!$F$15))</f>
        <v>8.76152968000143</v>
      </c>
      <c r="BZ31" s="43" t="n">
        <f aca="false">MAX(BW31*(1+INDEX(Response_Table!$O$4:$O$21,MATCH($F31&amp;"|low",Response_Table!$A$4:$A$21,0))*$R31*INDEX(Parameters!$X$15:$AA$15,1,MATCH($E31,Parameters!$X$3:$AA$3,0))),BW31*(1+INDEX(Response_Table!$O$4:$O$21,MATCH($F31&amp;"|high",Response_Table!$A$4:$A$21,0))*$R31*INDEX(Parameters!$X$15:$AA$15,1,MATCH($E31,Parameters!$X$3:$AA$3,0))))*(1+Inputs_General!$C$22*Parameters!$F$15)</f>
        <v>13.3424305530355</v>
      </c>
      <c r="CA31" s="45" t="n">
        <f aca="false">IF(BW31=0,0,BX31/BW31-1)</f>
        <v>-0.0561149307001549</v>
      </c>
      <c r="CB31" s="46" t="n">
        <f aca="false">BD31+BI31</f>
        <v>1.22834536967037</v>
      </c>
      <c r="CC31" s="43" t="n">
        <f aca="false">BD31/BI31</f>
        <v>2.61767663995786</v>
      </c>
      <c r="CD31" s="46" t="n">
        <f aca="false">BN31/CB31</f>
        <v>0.200248895890056</v>
      </c>
      <c r="CE31" s="43" t="n">
        <f aca="false">AE31/AO31</f>
        <v>3.00289449718175</v>
      </c>
      <c r="CF31" s="44" t="n">
        <f aca="false">AE31/AJ31</f>
        <v>31.0535594075117</v>
      </c>
      <c r="CG31" s="44" t="n">
        <f aca="false">INDEX(Context!$V$4:$V$51,$K31)</f>
        <v>22.6257142857143</v>
      </c>
      <c r="CH31" s="44" t="n">
        <f aca="false">INDEX(Context!$Y$4:$Y$51,$K31)</f>
        <v>21.3177449518561</v>
      </c>
      <c r="CI31" s="44" t="n">
        <f aca="false">INDEX(Context!$Z$4:$Z$51,$K31)</f>
        <v>26.6257142857143</v>
      </c>
      <c r="CJ31" s="43" t="n">
        <f aca="false">INDEX(Context!$AA$4:$AA$51,$K31)</f>
        <v>0.12</v>
      </c>
      <c r="CK31" s="43" t="n">
        <f aca="false">MAX(0,MIN(1,1-(1-CJ31)*AO31/AN31))</f>
        <v>0.411301607410507</v>
      </c>
      <c r="CL31" s="44" t="n">
        <f aca="false">CH31+CK31*(CI31-CH31)</f>
        <v>23.5009212709576</v>
      </c>
      <c r="CM31" s="44" t="n">
        <f aca="false">CH31+MAX(0,MIN(1,1-(1-CJ31)*AQ31/AN31))*(CI31-CH31)</f>
        <v>21.9248009026353</v>
      </c>
      <c r="CN31" s="44" t="n">
        <f aca="false">CH31+MAX(0,MIN(1,1-(1-CJ31)*AP31/AN31))*(CI31-CH31)</f>
        <v>24.6800957742086</v>
      </c>
      <c r="CO31" s="44" t="n">
        <f aca="false">CL31-CG31</f>
        <v>0.875206985243334</v>
      </c>
      <c r="CP31" s="44" t="n">
        <f aca="false">CL31-(CH31+CJ31*(CI31-CH31))</f>
        <v>1.54621999903858</v>
      </c>
      <c r="CQ31" s="46" t="n">
        <f aca="false">CL31/CG31</f>
        <v>1.03868196045399</v>
      </c>
      <c r="CR31" s="43" t="n">
        <f aca="false">IF(CL31-CH31&lt;=0,"n/a",(CI31-CL31)/(CL31-CH31))</f>
        <v>1.43130583976039</v>
      </c>
      <c r="CS31" s="43" t="n">
        <f aca="false">IF(CI31-CL31&lt;=0,"n/a",(CL31-CH31)/(CI31-CL31))</f>
        <v>0.698662698230456</v>
      </c>
      <c r="CT31" s="43" t="n">
        <f aca="false">Inputs_General!$C$23+Inputs_General!$C$24*$I31</f>
        <v>1.36</v>
      </c>
      <c r="CU31" s="44" t="n">
        <f aca="false">3.29*CT31</f>
        <v>4.4744</v>
      </c>
    </row>
    <row r="32" customFormat="false" ht="15" hidden="false" customHeight="false" outlineLevel="0" collapsed="false">
      <c r="A32" s="9" t="str">
        <f aca="false">B32&amp;"|"&amp;E32&amp;"|"&amp;F32</f>
        <v>D1V2|11/02/2026|Very high</v>
      </c>
      <c r="B32" s="7" t="s">
        <v>343</v>
      </c>
      <c r="C32" s="9" t="s">
        <v>127</v>
      </c>
      <c r="D32" s="9" t="s">
        <v>146</v>
      </c>
      <c r="E32" s="9" t="s">
        <v>158</v>
      </c>
      <c r="F32" s="7" t="s">
        <v>285</v>
      </c>
      <c r="G32" s="9" t="s">
        <v>286</v>
      </c>
      <c r="H32" s="41" t="n">
        <f aca="false">INDEX(Severity_Classes!$C$4:$C$9,MATCH(F32,Severity_Classes!$A$4:$A$9,0))</f>
        <v>0.51</v>
      </c>
      <c r="I32" s="41" t="n">
        <f aca="false">INDEX(Severity_Classes!$D$4:$D$9,MATCH(F32,Severity_Classes!$A$4:$A$9,0))</f>
        <v>0.65</v>
      </c>
      <c r="J32" s="41" t="n">
        <f aca="false">INDEX(Severity_Classes!$E$4:$E$9,MATCH(F32,Severity_Classes!$A$4:$A$9,0))</f>
        <v>0.85</v>
      </c>
      <c r="K32" s="42" t="n">
        <f aca="false">MATCH(B32&amp;"|"&amp;E32,Context!$A$4:$A$51,0)</f>
        <v>5</v>
      </c>
      <c r="L32" s="42" t="n">
        <f aca="false">INDEX(Context!$H$4:$H$51,K32)</f>
        <v>64</v>
      </c>
      <c r="M32" s="42" t="n">
        <f aca="false">INDEX(Context!$I$4:$I$51,K32)</f>
        <v>6</v>
      </c>
      <c r="N32" s="9" t="str">
        <f aca="false">INDEX(Context!$L$4:$L$51,K32)</f>
        <v>V</v>
      </c>
      <c r="O32" s="9" t="str">
        <f aca="false">INDEX(Context!$M$4:$M$51,K32)</f>
        <v>3rd fully expanded leaf from top</v>
      </c>
      <c r="P32" s="43" t="n">
        <f aca="false">INDEX(Context!$R$4:$R$51,K32)</f>
        <v>0</v>
      </c>
      <c r="Q32" s="43" t="n">
        <f aca="false">INDEX(Context!$U$4:$U$51,K32)</f>
        <v>0.937791824040773</v>
      </c>
      <c r="R32" s="43" t="n">
        <f aca="false">INDEX(Context!$AD$4:$AD$51,K32)</f>
        <v>1.1</v>
      </c>
      <c r="S32" s="9" t="str">
        <f aca="false">INDEX(Context!$AI$4:$AN$51,K32,MATCH(F32,Severity_Classes!$A$4:$A$9,0))</f>
        <v>Unlikely (only via pre-inoculation natural infection)</v>
      </c>
      <c r="T32" s="44" t="n">
        <f aca="false">Parameters!$E$4*IF($N32="V",Parameters!$I$4,IF($N32="F",Parameters!$J$4,Parameters!$K$4))*(1-Parameters!$L$4*$P32)*IF($D32="V1",Parameters!$M$4,IF($D32="V2",Parameters!$N$4,Parameters!$O$4))</f>
        <v>86</v>
      </c>
      <c r="U32" s="44" t="n">
        <f aca="false">MIN(100,T32*(1+INDEX(Response_Table!$E$4:$E$21,MATCH($F32&amp;"|mid",Response_Table!$A$4:$A$21,0))*$R32*INDEX(Parameters!$X$4:$AA$4,1,MATCH($E32,Parameters!$X$3:$AA$3,0))))</f>
        <v>72.9446771246238</v>
      </c>
      <c r="V32" s="44" t="n">
        <f aca="false">MAX(0,MIN(T32*(1+INDEX(Response_Table!$E$4:$E$21,MATCH($F32&amp;"|low",Response_Table!$A$4:$A$21,0))*$R32*INDEX(Parameters!$X$4:$AA$4,1,MATCH($E32,Parameters!$X$3:$AA$3,0))),T32*(1+INDEX(Response_Table!$E$4:$E$21,MATCH($F32&amp;"|high",Response_Table!$A$4:$A$21,0))*$R32*INDEX(Parameters!$X$4:$AA$4,1,MATCH($E32,Parameters!$X$3:$AA$3,0))))*(1-Inputs_General!$C$22*Parameters!$F$4))</f>
        <v>67.2982398069725</v>
      </c>
      <c r="W32" s="44" t="n">
        <f aca="false">MIN(100,MAX(T32*(1+INDEX(Response_Table!$E$4:$E$21,MATCH($F32&amp;"|low",Response_Table!$A$4:$A$21,0))*$R32*INDEX(Parameters!$X$4:$AA$4,1,MATCH($E32,Parameters!$X$3:$AA$3,0))),T32*(1+INDEX(Response_Table!$E$4:$E$21,MATCH($F32&amp;"|high",Response_Table!$A$4:$A$21,0))*$R32*INDEX(Parameters!$X$4:$AA$4,1,MATCH($E32,Parameters!$X$3:$AA$3,0))))*(1+Inputs_General!$C$22*Parameters!$F$4))</f>
        <v>79.8607565196763</v>
      </c>
      <c r="X32" s="45" t="n">
        <f aca="false">IF(T32=0,0,U32/T32-1)</f>
        <v>-0.151806079946235</v>
      </c>
      <c r="Y32" s="44" t="n">
        <f aca="false">Parameters!$E$5*IF($N32="V",Parameters!$I$5,IF($N32="F",Parameters!$J$5,Parameters!$K$5))*(1-Parameters!$L$5*$P32)*IF($D32="V1",Parameters!$M$5,IF($D32="V2",Parameters!$N$5,Parameters!$O$5))</f>
        <v>72</v>
      </c>
      <c r="Z32" s="44" t="n">
        <f aca="false">MIN(100,Y32*(1+INDEX(Response_Table!$F$4:$F$21,MATCH($F32&amp;"|mid",Response_Table!$A$4:$A$21,0))*$R32*INDEX(Parameters!$X$5:$AA$5,1,MATCH($E32,Parameters!$X$3:$AA$3,0))))</f>
        <v>44.9894708664408</v>
      </c>
      <c r="AA32" s="44" t="n">
        <f aca="false">MAX(0,MIN(Y32*(1+INDEX(Response_Table!$F$4:$F$21,MATCH($F32&amp;"|low",Response_Table!$A$4:$A$21,0))*$R32*INDEX(Parameters!$X$5:$AA$5,1,MATCH($E32,Parameters!$X$3:$AA$3,0))),Y32*(1+INDEX(Response_Table!$F$4:$F$21,MATCH($F32&amp;"|high",Response_Table!$A$4:$A$21,0))*$R32*INDEX(Parameters!$X$5:$AA$5,1,MATCH($E32,Parameters!$X$3:$AA$3,0))))*(1-Inputs_General!$C$22*Parameters!$F$5))</f>
        <v>39.2679283314404</v>
      </c>
      <c r="AB32" s="44" t="n">
        <f aca="false">MIN(100,MAX(Y32*(1+INDEX(Response_Table!$F$4:$F$21,MATCH($F32&amp;"|low",Response_Table!$A$4:$A$21,0))*$R32*INDEX(Parameters!$X$5:$AA$5,1,MATCH($E32,Parameters!$X$3:$AA$3,0))),Y32*(1+INDEX(Response_Table!$F$4:$F$21,MATCH($F32&amp;"|high",Response_Table!$A$4:$A$21,0))*$R32*INDEX(Parameters!$X$5:$AA$5,1,MATCH($E32,Parameters!$X$3:$AA$3,0))))*(1+Inputs_General!$C$22*Parameters!$F$5))</f>
        <v>52.3669202679589</v>
      </c>
      <c r="AC32" s="45" t="n">
        <f aca="false">IF(Y32=0,0,Z32/Y32-1)</f>
        <v>-0.375146237966101</v>
      </c>
      <c r="AD32" s="44" t="n">
        <f aca="false">Parameters!$E$6*IF($N32="V",Parameters!$I$6,IF($N32="F",Parameters!$J$6,Parameters!$K$6))*(1-Parameters!$L$6*$P32)*IF($D32="V1",Parameters!$M$6,IF($D32="V2",Parameters!$N$6,Parameters!$O$6))</f>
        <v>19</v>
      </c>
      <c r="AE32" s="44" t="n">
        <f aca="false">AD32*(1+INDEX(Response_Table!$G$4:$G$21,MATCH($F32&amp;"|mid",Response_Table!$A$4:$A$21,0))*$R32*INDEX(Parameters!$X$6:$AA$6,1,MATCH($E32,Parameters!$X$3:$AA$3,0)))</f>
        <v>7.17815025372896</v>
      </c>
      <c r="AF32" s="44" t="n">
        <f aca="false">MAX(0,MIN(AD32*(1+INDEX(Response_Table!$G$4:$G$21,MATCH($F32&amp;"|low",Response_Table!$A$4:$A$21,0))*$R32*INDEX(Parameters!$X$6:$AA$6,1,MATCH($E32,Parameters!$X$3:$AA$3,0))),AD32*(1+INDEX(Response_Table!$G$4:$G$21,MATCH($F32&amp;"|high",Response_Table!$A$4:$A$21,0))*$R32*INDEX(Parameters!$X$6:$AA$6,1,MATCH($E32,Parameters!$X$3:$AA$3,0))))*(1-Inputs_General!$C$22*Parameters!$F$6))</f>
        <v>5.42387164139174</v>
      </c>
      <c r="AG32" s="44" t="n">
        <f aca="false">MAX(AD32*(1+INDEX(Response_Table!$G$4:$G$21,MATCH($F32&amp;"|low",Response_Table!$A$4:$A$21,0))*$R32*INDEX(Parameters!$X$6:$AA$6,1,MATCH($E32,Parameters!$X$3:$AA$3,0))),AD32*(1+INDEX(Response_Table!$G$4:$G$21,MATCH($F32&amp;"|high",Response_Table!$A$4:$A$21,0))*$R32*INDEX(Parameters!$X$6:$AA$6,1,MATCH($E32,Parameters!$X$3:$AA$3,0))))*(1+Inputs_General!$C$22*Parameters!$F$6)</f>
        <v>9.32733930551793</v>
      </c>
      <c r="AH32" s="45" t="n">
        <f aca="false">IF(AD32=0,0,AE32/AD32-1)</f>
        <v>-0.622202618224792</v>
      </c>
      <c r="AI32" s="46" t="n">
        <f aca="false">Parameters!$E$7*IF($N32="V",Parameters!$I$7,IF($N32="F",Parameters!$J$7,Parameters!$K$7))*(1-Parameters!$L$7*$P32)*IF($D32="V1",Parameters!$M$7,IF($D32="V2",Parameters!$N$7,Parameters!$O$7))*POWER($Q32/Inputs_General!$C$26,-Inputs_General!$C$25)</f>
        <v>0.464685683730118</v>
      </c>
      <c r="AJ32" s="46" t="n">
        <f aca="false">AI32*(1+INDEX(Response_Table!$H$4:$H$21,MATCH($F32&amp;"|mid",Response_Table!$A$4:$A$21,0))*$R32*INDEX(Parameters!$X$7:$AA$7,1,MATCH($E32,Parameters!$X$3:$AA$3,0)))</f>
        <v>0.236701950897336</v>
      </c>
      <c r="AK32" s="46" t="n">
        <f aca="false">MAX(0,MIN(AI32*(1+INDEX(Response_Table!$H$4:$H$21,MATCH($F32&amp;"|low",Response_Table!$A$4:$A$21,0))*$R32*INDEX(Parameters!$X$7:$AA$7,1,MATCH($E32,Parameters!$X$3:$AA$3,0))),AI32*(1+INDEX(Response_Table!$H$4:$H$21,MATCH($F32&amp;"|high",Response_Table!$A$4:$A$21,0))*$R32*INDEX(Parameters!$X$7:$AA$7,1,MATCH($E32,Parameters!$X$3:$AA$3,0))))*(1-Inputs_General!$C$22*Parameters!$F$7))</f>
        <v>0.154604311583672</v>
      </c>
      <c r="AL32" s="46" t="n">
        <f aca="false">MAX(AI32*(1+INDEX(Response_Table!$H$4:$H$21,MATCH($F32&amp;"|low",Response_Table!$A$4:$A$21,0))*$R32*INDEX(Parameters!$X$7:$AA$7,1,MATCH($E32,Parameters!$X$3:$AA$3,0))),AI32*(1+INDEX(Response_Table!$H$4:$H$21,MATCH($F32&amp;"|high",Response_Table!$A$4:$A$21,0))*$R32*INDEX(Parameters!$X$7:$AA$7,1,MATCH($E32,Parameters!$X$3:$AA$3,0))))*(1+Inputs_General!$C$22*Parameters!$F$7)</f>
        <v>0.332372789608898</v>
      </c>
      <c r="AM32" s="45" t="n">
        <f aca="false">IF(AI32=0,0,AJ32/AI32-1)</f>
        <v>-0.490619231052514</v>
      </c>
      <c r="AN32" s="43" t="n">
        <f aca="false">AI32*$Q32/Inputs_General!$C$13*1000</f>
        <v>4.38850387664553</v>
      </c>
      <c r="AO32" s="43" t="n">
        <f aca="false">AJ32*$Q32/Inputs_General!$C$13*1000*(1+Inputs_General!$C$21*$I32)</f>
        <v>2.59867514458711</v>
      </c>
      <c r="AP32" s="43" t="n">
        <f aca="false">AK32*$Q32/Inputs_General!$C$13*1000*(1+Inputs_General!$C$21*$H32)</f>
        <v>1.64624832259424</v>
      </c>
      <c r="AQ32" s="43" t="n">
        <f aca="false">AL32*$Q32/Inputs_General!$C$13*1000*(1+Inputs_General!$C$21*$J32)</f>
        <v>3.80596160737642</v>
      </c>
      <c r="AR32" s="45" t="n">
        <f aca="false">IF(AN32=0,0,AO32/AN32-1)</f>
        <v>-0.407844856098548</v>
      </c>
      <c r="AS32" s="42" t="n">
        <f aca="false">Parameters!$E$9*IF($N32="V",Parameters!$I$9,IF($N32="F",Parameters!$J$9,Parameters!$K$9))*(1-Parameters!$L$9*$P32)*IF($D32="V1",Parameters!$M$9,IF($D32="V2",Parameters!$N$9,Parameters!$O$9))</f>
        <v>285</v>
      </c>
      <c r="AT32" s="42" t="n">
        <f aca="false">AS32*(1+INDEX(Response_Table!$I$4:$I$21,MATCH($F32&amp;"|mid",Response_Table!$A$4:$A$21,0))*$R32*INDEX(Parameters!$X$9:$AA$9,1,MATCH($E32,Parameters!$X$3:$AA$3,0)))</f>
        <v>354.651655975154</v>
      </c>
      <c r="AU32" s="42" t="n">
        <f aca="false">MAX(0,MIN(AS32*(1+INDEX(Response_Table!$I$4:$I$21,MATCH($F32&amp;"|low",Response_Table!$A$4:$A$21,0))*$R32*INDEX(Parameters!$X$9:$AA$9,1,MATCH($E32,Parameters!$X$3:$AA$3,0))),AS32*(1+INDEX(Response_Table!$I$4:$I$21,MATCH($F32&amp;"|high",Response_Table!$A$4:$A$21,0))*$R32*INDEX(Parameters!$X$9:$AA$9,1,MATCH($E32,Parameters!$X$3:$AA$3,0))))*(1-Inputs_General!$C$22*Parameters!$F$9))</f>
        <v>315.866569445888</v>
      </c>
      <c r="AV32" s="42" t="n">
        <f aca="false">MAX(AS32*(1+INDEX(Response_Table!$I$4:$I$21,MATCH($F32&amp;"|low",Response_Table!$A$4:$A$21,0))*$R32*INDEX(Parameters!$X$9:$AA$9,1,MATCH($E32,Parameters!$X$3:$AA$3,0))),AS32*(1+INDEX(Response_Table!$I$4:$I$21,MATCH($F32&amp;"|high",Response_Table!$A$4:$A$21,0))*$R32*INDEX(Parameters!$X$9:$AA$9,1,MATCH($E32,Parameters!$X$3:$AA$3,0))))*(1+Inputs_General!$C$22*Parameters!$F$9)</f>
        <v>393.036846991285</v>
      </c>
      <c r="AW32" s="45" t="n">
        <f aca="false">IF(AS32=0,0,AT32/AS32-1)</f>
        <v>0.244391775351416</v>
      </c>
      <c r="AX32" s="43" t="n">
        <f aca="false">INDEX(Context!$AB$4:$AB$51,$K32)</f>
        <v>2.6849133441391</v>
      </c>
      <c r="AY32" s="43" t="n">
        <f aca="false">AX32*(1+INDEX(Response_Table!$J$4:$J$21,MATCH($F32&amp;"|mid",Response_Table!$A$4:$A$21,0))*$R32*INDEX(Parameters!$X$10:$AA$10,1,MATCH($E32,Parameters!$X$3:$AA$3,0)))</f>
        <v>2.15124826059687</v>
      </c>
      <c r="AZ32" s="43" t="n">
        <f aca="false">MAX(0,MIN(AX32*(1+INDEX(Response_Table!$J$4:$J$21,MATCH($F32&amp;"|low",Response_Table!$A$4:$A$21,0))*$R32*INDEX(Parameters!$X$10:$AA$10,1,MATCH($E32,Parameters!$X$3:$AA$3,0))),AX32*(1+INDEX(Response_Table!$J$4:$J$21,MATCH($F32&amp;"|high",Response_Table!$A$4:$A$21,0))*$R32*INDEX(Parameters!$X$10:$AA$10,1,MATCH($E32,Parameters!$X$3:$AA$3,0))))*(1-Inputs_General!$C$22*Parameters!$F$10))</f>
        <v>1.68526931515902</v>
      </c>
      <c r="BA32" s="43" t="n">
        <f aca="false">MAX(AX32*(1+INDEX(Response_Table!$J$4:$J$21,MATCH($F32&amp;"|low",Response_Table!$A$4:$A$21,0))*$R32*INDEX(Parameters!$X$10:$AA$10,1,MATCH($E32,Parameters!$X$3:$AA$3,0))),AX32*(1+INDEX(Response_Table!$J$4:$J$21,MATCH($F32&amp;"|high",Response_Table!$A$4:$A$21,0))*$R32*INDEX(Parameters!$X$10:$AA$10,1,MATCH($E32,Parameters!$X$3:$AA$3,0))))*(1+Inputs_General!$C$22*Parameters!$F$10)</f>
        <v>2.64156456905038</v>
      </c>
      <c r="BB32" s="45" t="n">
        <f aca="false">IF(AX32=0,0,AY32/AX32-1)</f>
        <v>-0.198764360386962</v>
      </c>
      <c r="BC32" s="46" t="n">
        <f aca="false">Parameters!$E$11*IF($N32="V",Parameters!$I$11,IF($N32="F",Parameters!$J$11,Parameters!$K$11))*(1-Parameters!$L$11*$P32)*IF($D32="V1",Parameters!$M$11,IF($D32="V2",Parameters!$N$11,Parameters!$O$11))</f>
        <v>1.1875</v>
      </c>
      <c r="BD32" s="46" t="n">
        <f aca="false">BC32*(1+INDEX(Response_Table!$K$4:$K$21,MATCH($F32&amp;"|mid",Response_Table!$A$4:$A$21,0))*$R32*INDEX(Parameters!$X$11:$AA$11,1,MATCH($E32,Parameters!$X$3:$AA$3,0)))</f>
        <v>0.816005529147429</v>
      </c>
      <c r="BE32" s="46" t="n">
        <f aca="false">MAX(0,MIN(BC32*(1+INDEX(Response_Table!$K$4:$K$21,MATCH($F32&amp;"|low",Response_Table!$A$4:$A$21,0))*$R32*INDEX(Parameters!$X$11:$AA$11,1,MATCH($E32,Parameters!$X$3:$AA$3,0))),BC32*(1+INDEX(Response_Table!$K$4:$K$21,MATCH($F32&amp;"|high",Response_Table!$A$4:$A$21,0))*$R32*INDEX(Parameters!$X$11:$AA$11,1,MATCH($E32,Parameters!$X$3:$AA$3,0))))*(1-Inputs_General!$C$22*Parameters!$F$11))</f>
        <v>0.66082589325739</v>
      </c>
      <c r="BF32" s="46" t="n">
        <f aca="false">MAX(BC32*(1+INDEX(Response_Table!$K$4:$K$21,MATCH($F32&amp;"|low",Response_Table!$A$4:$A$21,0))*$R32*INDEX(Parameters!$X$11:$AA$11,1,MATCH($E32,Parameters!$X$3:$AA$3,0))),BC32*(1+INDEX(Response_Table!$K$4:$K$21,MATCH($F32&amp;"|high",Response_Table!$A$4:$A$21,0))*$R32*INDEX(Parameters!$X$11:$AA$11,1,MATCH($E32,Parameters!$X$3:$AA$3,0))))*(1+Inputs_General!$C$22*Parameters!$F$11)</f>
        <v>0.985144626237494</v>
      </c>
      <c r="BG32" s="45" t="n">
        <f aca="false">IF(BC32=0,0,BD32/BC32-1)</f>
        <v>-0.312837449139007</v>
      </c>
      <c r="BH32" s="46" t="n">
        <f aca="false">Parameters!$E$12*IF($N32="V",Parameters!$I$12,IF($N32="F",Parameters!$J$12,Parameters!$K$12))*(1-Parameters!$L$12*$P32)*IF($D32="V1",Parameters!$M$12,IF($D32="V2",Parameters!$N$12,Parameters!$O$12))</f>
        <v>0.4275</v>
      </c>
      <c r="BI32" s="46" t="n">
        <f aca="false">BH32*(1+INDEX(Response_Table!$L$4:$L$21,MATCH($F32&amp;"|mid",Response_Table!$A$4:$A$21,0))*$R32*INDEX(Parameters!$X$12:$AA$12,1,MATCH($E32,Parameters!$X$3:$AA$3,0)))</f>
        <v>0.316579955094978</v>
      </c>
      <c r="BJ32" s="46" t="n">
        <f aca="false">MAX(0,MIN(BH32*(1+INDEX(Response_Table!$L$4:$L$21,MATCH($F32&amp;"|low",Response_Table!$A$4:$A$21,0))*$R32*INDEX(Parameters!$X$12:$AA$12,1,MATCH($E32,Parameters!$X$3:$AA$3,0))),BH32*(1+INDEX(Response_Table!$L$4:$L$21,MATCH($F32&amp;"|high",Response_Table!$A$4:$A$21,0))*$R32*INDEX(Parameters!$X$12:$AA$12,1,MATCH($E32,Parameters!$X$3:$AA$3,0))))*(1-Inputs_General!$C$22*Parameters!$F$12))</f>
        <v>0.247424463307107</v>
      </c>
      <c r="BK32" s="46" t="n">
        <f aca="false">MAX(BH32*(1+INDEX(Response_Table!$L$4:$L$21,MATCH($F32&amp;"|low",Response_Table!$A$4:$A$21,0))*$R32*INDEX(Parameters!$X$12:$AA$12,1,MATCH($E32,Parameters!$X$3:$AA$3,0))),BH32*(1+INDEX(Response_Table!$L$4:$L$21,MATCH($F32&amp;"|high",Response_Table!$A$4:$A$21,0))*$R32*INDEX(Parameters!$X$12:$AA$12,1,MATCH($E32,Parameters!$X$3:$AA$3,0))))*(1+Inputs_General!$C$22*Parameters!$F$12)</f>
        <v>0.390571969426514</v>
      </c>
      <c r="BL32" s="45" t="n">
        <f aca="false">IF(BH32=0,0,BI32/BH32-1)</f>
        <v>-0.25946209334508</v>
      </c>
      <c r="BM32" s="46" t="n">
        <f aca="false">Parameters!$E$13*IF($N32="V",Parameters!$I$13,IF($N32="F",Parameters!$J$13,Parameters!$K$13))*(1-Parameters!$L$13*$P32)*IF($D32="V1",Parameters!$M$13,IF($D32="V2",Parameters!$N$13,Parameters!$O$13))</f>
        <v>0.285</v>
      </c>
      <c r="BN32" s="46" t="n">
        <f aca="false">BM32*(1+INDEX(Response_Table!$M$4:$M$21,MATCH($F32&amp;"|mid",Response_Table!$A$4:$A$21,0))*$R32*INDEX(Parameters!$X$13:$AA$13,1,MATCH($E32,Parameters!$X$3:$AA$3,0)))</f>
        <v>0.231636975213411</v>
      </c>
      <c r="BO32" s="46" t="n">
        <f aca="false">MAX(0,MIN(BM32*(1+INDEX(Response_Table!$M$4:$M$21,MATCH($F32&amp;"|low",Response_Table!$A$4:$A$21,0))*$R32*INDEX(Parameters!$X$13:$AA$13,1,MATCH($E32,Parameters!$X$3:$AA$3,0))),BM32*(1+INDEX(Response_Table!$M$4:$M$21,MATCH($F32&amp;"|high",Response_Table!$A$4:$A$21,0))*$R32*INDEX(Parameters!$X$13:$AA$13,1,MATCH($E32,Parameters!$X$3:$AA$3,0))))*(1-Inputs_General!$C$22*Parameters!$F$13))</f>
        <v>0.182406430100928</v>
      </c>
      <c r="BP32" s="46" t="n">
        <f aca="false">MAX(BM32*(1+INDEX(Response_Table!$M$4:$M$21,MATCH($F32&amp;"|low",Response_Table!$A$4:$A$21,0))*$R32*INDEX(Parameters!$X$13:$AA$13,1,MATCH($E32,Parameters!$X$3:$AA$3,0))),BM32*(1+INDEX(Response_Table!$M$4:$M$21,MATCH($F32&amp;"|high",Response_Table!$A$4:$A$21,0))*$R32*INDEX(Parameters!$X$13:$AA$13,1,MATCH($E32,Parameters!$X$3:$AA$3,0))))*(1+Inputs_General!$C$22*Parameters!$F$13)</f>
        <v>0.284025252649468</v>
      </c>
      <c r="BQ32" s="45" t="n">
        <f aca="false">IF(BM32=0,0,BN32/BM32-1)</f>
        <v>-0.187238683461716</v>
      </c>
      <c r="BR32" s="44" t="n">
        <f aca="false">Parameters!$E$14*IF($N32="V",Parameters!$I$14,IF($N32="F",Parameters!$J$14,Parameters!$K$14))*(1-Parameters!$L$14*$P32)*IF($D32="V1",Parameters!$M$14,IF($D32="V2",Parameters!$N$14,Parameters!$O$14))*INDEX(Context!$AC$4:$AC$51,$K32)</f>
        <v>16.5</v>
      </c>
      <c r="BS32" s="44" t="n">
        <f aca="false">BR32*(1+INDEX(Response_Table!$N$4:$N$21,MATCH($F32&amp;"|mid",Response_Table!$A$4:$A$21,0))*$R32*INDEX(Parameters!$X$14:$AA$14,1,MATCH($E32,Parameters!$X$3:$AA$3,0)))</f>
        <v>21.1703176802114</v>
      </c>
      <c r="BT32" s="44" t="n">
        <f aca="false">MAX(0,MIN(BR32*(1+INDEX(Response_Table!$N$4:$N$21,MATCH($F32&amp;"|low",Response_Table!$A$4:$A$21,0))*$R32*INDEX(Parameters!$X$14:$AA$14,1,MATCH($E32,Parameters!$X$3:$AA$3,0))),BR32*(1+INDEX(Response_Table!$N$4:$N$21,MATCH($F32&amp;"|high",Response_Table!$A$4:$A$21,0))*$R32*INDEX(Parameters!$X$14:$AA$14,1,MATCH($E32,Parameters!$X$3:$AA$3,0))))*(1-Inputs_General!$C$22*Parameters!$F$14))</f>
        <v>10.5179604071267</v>
      </c>
      <c r="BU32" s="44" t="n">
        <f aca="false">MAX(BR32*(1+INDEX(Response_Table!$N$4:$N$21,MATCH($F32&amp;"|low",Response_Table!$A$4:$A$21,0))*$R32*INDEX(Parameters!$X$14:$AA$14,1,MATCH($E32,Parameters!$X$3:$AA$3,0))),BR32*(1+INDEX(Response_Table!$N$4:$N$21,MATCH($F32&amp;"|high",Response_Table!$A$4:$A$21,0))*$R32*INDEX(Parameters!$X$14:$AA$14,1,MATCH($E32,Parameters!$X$3:$AA$3,0))))*(1+Inputs_General!$C$22*Parameters!$F$14)</f>
        <v>32.1398889982995</v>
      </c>
      <c r="BV32" s="45" t="n">
        <f aca="false">IF(BR32=0,0,BS32/BR32-1)</f>
        <v>0.283049556376451</v>
      </c>
      <c r="BW32" s="43" t="n">
        <f aca="false">Parameters!$E$15*IF($N32="V",Parameters!$I$15,IF($N32="F",Parameters!$J$15,Parameters!$K$15))*(1-Parameters!$L$15*$P32)*IF($D32="V1",Parameters!$M$15,IF($D32="V2",Parameters!$N$15,Parameters!$O$15))</f>
        <v>11.664</v>
      </c>
      <c r="BX32" s="43" t="n">
        <f aca="false">BW32*(1+INDEX(Response_Table!$O$4:$O$21,MATCH($F32&amp;"|mid",Response_Table!$A$4:$A$21,0))*$R32*INDEX(Parameters!$X$15:$AA$15,1,MATCH($E32,Parameters!$X$3:$AA$3,0)))</f>
        <v>10.8386274936063</v>
      </c>
      <c r="BY32" s="43" t="n">
        <f aca="false">MAX(0,MIN(BW32*(1+INDEX(Response_Table!$O$4:$O$21,MATCH($F32&amp;"|low",Response_Table!$A$4:$A$21,0))*$R32*INDEX(Parameters!$X$15:$AA$15,1,MATCH($E32,Parameters!$X$3:$AA$3,0))),BW32*(1+INDEX(Response_Table!$O$4:$O$21,MATCH($F32&amp;"|high",Response_Table!$A$4:$A$21,0))*$R32*INDEX(Parameters!$X$15:$AA$15,1,MATCH($E32,Parameters!$X$3:$AA$3,0))))*(1-Inputs_General!$C$22*Parameters!$F$15))</f>
        <v>8.64950496715413</v>
      </c>
      <c r="BZ32" s="43" t="n">
        <f aca="false">MAX(BW32*(1+INDEX(Response_Table!$O$4:$O$21,MATCH($F32&amp;"|low",Response_Table!$A$4:$A$21,0))*$R32*INDEX(Parameters!$X$15:$AA$15,1,MATCH($E32,Parameters!$X$3:$AA$3,0))),BW32*(1+INDEX(Response_Table!$O$4:$O$21,MATCH($F32&amp;"|high",Response_Table!$A$4:$A$21,0))*$R32*INDEX(Parameters!$X$15:$AA$15,1,MATCH($E32,Parameters!$X$3:$AA$3,0))))*(1+Inputs_General!$C$22*Parameters!$F$15)</f>
        <v>13.0637393016848</v>
      </c>
      <c r="CA32" s="45" t="n">
        <f aca="false">IF(BW32=0,0,BX32/BW32-1)</f>
        <v>-0.0707623890941125</v>
      </c>
      <c r="CB32" s="46" t="n">
        <f aca="false">BD32+BI32</f>
        <v>1.13258548424241</v>
      </c>
      <c r="CC32" s="43" t="n">
        <f aca="false">BD32/BI32</f>
        <v>2.57756537018466</v>
      </c>
      <c r="CD32" s="46" t="n">
        <f aca="false">BN32/CB32</f>
        <v>0.204520522676797</v>
      </c>
      <c r="CE32" s="43" t="n">
        <f aca="false">AE32/AO32</f>
        <v>2.76223454427562</v>
      </c>
      <c r="CF32" s="44" t="n">
        <f aca="false">AE32/AJ32</f>
        <v>30.3256911340048</v>
      </c>
      <c r="CG32" s="44" t="n">
        <f aca="false">INDEX(Context!$V$4:$V$51,$K32)</f>
        <v>22.6257142857143</v>
      </c>
      <c r="CH32" s="44" t="n">
        <f aca="false">INDEX(Context!$Y$4:$Y$51,$K32)</f>
        <v>21.3177449518561</v>
      </c>
      <c r="CI32" s="44" t="n">
        <f aca="false">INDEX(Context!$Z$4:$Z$51,$K32)</f>
        <v>26.6257142857143</v>
      </c>
      <c r="CJ32" s="43" t="n">
        <f aca="false">INDEX(Context!$AA$4:$AA$51,$K32)</f>
        <v>0.12</v>
      </c>
      <c r="CK32" s="43" t="n">
        <f aca="false">MAX(0,MIN(1,1-(1-CJ32)*AO32/AN32))</f>
        <v>0.478903473366722</v>
      </c>
      <c r="CL32" s="44" t="n">
        <f aca="false">CH32+CK32*(CI32-CH32)</f>
        <v>23.8597499023648</v>
      </c>
      <c r="CM32" s="44" t="n">
        <f aca="false">CH32+MAX(0,MIN(1,1-(1-CJ32)*AQ32/AN32))*(CI32-CH32)</f>
        <v>22.5747445935901</v>
      </c>
      <c r="CN32" s="44" t="n">
        <f aca="false">CH32+MAX(0,MIN(1,1-(1-CJ32)*AP32/AN32))*(CI32-CH32)</f>
        <v>24.873489027421</v>
      </c>
      <c r="CO32" s="44" t="n">
        <f aca="false">CL32-CG32</f>
        <v>1.23403561665052</v>
      </c>
      <c r="CP32" s="44" t="n">
        <f aca="false">CL32-(CH32+CJ32*(CI32-CH32))</f>
        <v>1.90504863044577</v>
      </c>
      <c r="CQ32" s="46" t="n">
        <f aca="false">CL32/CG32</f>
        <v>1.05454128877733</v>
      </c>
      <c r="CR32" s="43" t="n">
        <f aca="false">IF(CL32-CH32&lt;=0,"n/a",(CI32-CL32)/(CL32-CH32))</f>
        <v>1.08810346053649</v>
      </c>
      <c r="CS32" s="43" t="n">
        <f aca="false">IF(CI32-CL32&lt;=0,"n/a",(CL32-CH32)/(CI32-CL32))</f>
        <v>0.919030254261801</v>
      </c>
      <c r="CT32" s="43" t="n">
        <f aca="false">Inputs_General!$C$23+Inputs_General!$C$24*$I32</f>
        <v>1.9</v>
      </c>
      <c r="CU32" s="44" t="n">
        <f aca="false">3.29*CT32</f>
        <v>6.251</v>
      </c>
    </row>
    <row r="33" customFormat="false" ht="15" hidden="false" customHeight="false" outlineLevel="0" collapsed="false">
      <c r="A33" s="33" t="str">
        <f aca="false">B33&amp;"|"&amp;E33&amp;"|"&amp;F33</f>
        <v>D1V2|24/02/2026|Healthy</v>
      </c>
      <c r="B33" s="34" t="s">
        <v>343</v>
      </c>
      <c r="C33" s="33" t="s">
        <v>127</v>
      </c>
      <c r="D33" s="33" t="s">
        <v>146</v>
      </c>
      <c r="E33" s="33" t="s">
        <v>160</v>
      </c>
      <c r="F33" s="34" t="s">
        <v>275</v>
      </c>
      <c r="G33" s="33" t="s">
        <v>276</v>
      </c>
      <c r="H33" s="35" t="n">
        <f aca="false">INDEX(Severity_Classes!$C$4:$C$9,MATCH(F33,Severity_Classes!$A$4:$A$9,0))</f>
        <v>0</v>
      </c>
      <c r="I33" s="35" t="n">
        <f aca="false">INDEX(Severity_Classes!$D$4:$D$9,MATCH(F33,Severity_Classes!$A$4:$A$9,0))</f>
        <v>0</v>
      </c>
      <c r="J33" s="35" t="n">
        <f aca="false">INDEX(Severity_Classes!$E$4:$E$9,MATCH(F33,Severity_Classes!$A$4:$A$9,0))</f>
        <v>0</v>
      </c>
      <c r="K33" s="36" t="n">
        <f aca="false">MATCH(B33&amp;"|"&amp;E33,Context!$A$4:$A$51,0)</f>
        <v>6</v>
      </c>
      <c r="L33" s="36" t="n">
        <f aca="false">INDEX(Context!$H$4:$H$51,K33)</f>
        <v>77</v>
      </c>
      <c r="M33" s="36" t="n">
        <f aca="false">INDEX(Context!$I$4:$I$51,K33)</f>
        <v>19</v>
      </c>
      <c r="N33" s="33" t="str">
        <f aca="false">INDEX(Context!$L$4:$L$51,K33)</f>
        <v>F</v>
      </c>
      <c r="O33" s="33" t="str">
        <f aca="false">INDEX(Context!$M$4:$M$51,K33)</f>
        <v>5th fully expanded leaf from top</v>
      </c>
      <c r="P33" s="37" t="n">
        <f aca="false">INDEX(Context!$R$4:$R$51,K33)</f>
        <v>0.0232142857142859</v>
      </c>
      <c r="Q33" s="37" t="n">
        <f aca="false">INDEX(Context!$U$4:$U$51,K33)</f>
        <v>1.19492600027053</v>
      </c>
      <c r="R33" s="37" t="n">
        <f aca="false">INDEX(Context!$AD$4:$AD$51,K33)</f>
        <v>1.1</v>
      </c>
      <c r="S33" s="33" t="str">
        <f aca="false">INDEX(Context!$AI$4:$AN$51,K33,MATCH(F33,Severity_Classes!$A$4:$A$9,0))</f>
        <v>Reference: healthy (uninoculated) control plot</v>
      </c>
      <c r="T33" s="38" t="n">
        <f aca="false">Parameters!$E$4*IF($N33="V",Parameters!$I$4,IF($N33="F",Parameters!$J$4,Parameters!$K$4))*(1-Parameters!$L$4*$P33)*IF($D33="V1",Parameters!$M$4,IF($D33="V2",Parameters!$N$4,Parameters!$O$4))</f>
        <v>85.0411767857143</v>
      </c>
      <c r="U33" s="38" t="n">
        <f aca="false">MIN(100,T33*(1+INDEX(Response_Table!$E$4:$E$21,MATCH($F33&amp;"|mid",Response_Table!$A$4:$A$21,0))*$R33*INDEX(Parameters!$X$4:$AA$4,1,MATCH($E33,Parameters!$X$3:$AA$3,0))))</f>
        <v>85.0411767857143</v>
      </c>
      <c r="V33" s="38" t="n">
        <f aca="false">MAX(0,MIN(T33*(1+INDEX(Response_Table!$E$4:$E$21,MATCH($F33&amp;"|low",Response_Table!$A$4:$A$21,0))*$R33*INDEX(Parameters!$X$4:$AA$4,1,MATCH($E33,Parameters!$X$3:$AA$3,0))),T33*(1+INDEX(Response_Table!$E$4:$E$21,MATCH($F33&amp;"|high",Response_Table!$A$4:$A$21,0))*$R33*INDEX(Parameters!$X$4:$AA$4,1,MATCH($E33,Parameters!$X$3:$AA$3,0))))*(1-Inputs_General!$C$22*Parameters!$F$4))</f>
        <v>79.4454673532143</v>
      </c>
      <c r="W33" s="38" t="n">
        <f aca="false">MIN(100,MAX(T33*(1+INDEX(Response_Table!$E$4:$E$21,MATCH($F33&amp;"|low",Response_Table!$A$4:$A$21,0))*$R33*INDEX(Parameters!$X$4:$AA$4,1,MATCH($E33,Parameters!$X$3:$AA$3,0))),T33*(1+INDEX(Response_Table!$E$4:$E$21,MATCH($F33&amp;"|high",Response_Table!$A$4:$A$21,0))*$R33*INDEX(Parameters!$X$4:$AA$4,1,MATCH($E33,Parameters!$X$3:$AA$3,0))))*(1+Inputs_General!$C$22*Parameters!$F$4))</f>
        <v>90.6368862182143</v>
      </c>
      <c r="X33" s="39" t="n">
        <f aca="false">IF(T33=0,0,U33/T33-1)</f>
        <v>0</v>
      </c>
      <c r="Y33" s="38" t="n">
        <f aca="false">Parameters!$E$5*IF($N33="V",Parameters!$I$5,IF($N33="F",Parameters!$J$5,Parameters!$K$5))*(1-Parameters!$L$5*$P33)*IF($D33="V1",Parameters!$M$5,IF($D33="V2",Parameters!$N$5,Parameters!$O$5))</f>
        <v>70.36344</v>
      </c>
      <c r="Z33" s="38" t="n">
        <f aca="false">MIN(100,Y33*(1+INDEX(Response_Table!$F$4:$F$21,MATCH($F33&amp;"|mid",Response_Table!$A$4:$A$21,0))*$R33*INDEX(Parameters!$X$5:$AA$5,1,MATCH($E33,Parameters!$X$3:$AA$3,0))))</f>
        <v>70.36344</v>
      </c>
      <c r="AA33" s="38" t="n">
        <f aca="false">MAX(0,MIN(Y33*(1+INDEX(Response_Table!$F$4:$F$21,MATCH($F33&amp;"|low",Response_Table!$A$4:$A$21,0))*$R33*INDEX(Parameters!$X$5:$AA$5,1,MATCH($E33,Parameters!$X$3:$AA$3,0))),Y33*(1+INDEX(Response_Table!$F$4:$F$21,MATCH($F33&amp;"|high",Response_Table!$A$4:$A$21,0))*$R33*INDEX(Parameters!$X$5:$AA$5,1,MATCH($E33,Parameters!$X$3:$AA$3,0))))*(1-Inputs_General!$C$22*Parameters!$F$5))</f>
        <v>62.261089884</v>
      </c>
      <c r="AB33" s="38" t="n">
        <f aca="false">MIN(100,MAX(Y33*(1+INDEX(Response_Table!$F$4:$F$21,MATCH($F33&amp;"|low",Response_Table!$A$4:$A$21,0))*$R33*INDEX(Parameters!$X$5:$AA$5,1,MATCH($E33,Parameters!$X$3:$AA$3,0))),Y33*(1+INDEX(Response_Table!$F$4:$F$21,MATCH($F33&amp;"|high",Response_Table!$A$4:$A$21,0))*$R33*INDEX(Parameters!$X$5:$AA$5,1,MATCH($E33,Parameters!$X$3:$AA$3,0))))*(1+Inputs_General!$C$22*Parameters!$F$5))</f>
        <v>78.465790116</v>
      </c>
      <c r="AC33" s="39" t="n">
        <f aca="false">IF(Y33=0,0,Z33/Y33-1)</f>
        <v>0</v>
      </c>
      <c r="AD33" s="38" t="n">
        <f aca="false">Parameters!$E$6*IF($N33="V",Parameters!$I$6,IF($N33="F",Parameters!$J$6,Parameters!$K$6))*(1-Parameters!$L$6*$P33)*IF($D33="V1",Parameters!$M$6,IF($D33="V2",Parameters!$N$6,Parameters!$O$6))</f>
        <v>18.9470714285714</v>
      </c>
      <c r="AE33" s="38" t="n">
        <f aca="false">AD33*(1+INDEX(Response_Table!$G$4:$G$21,MATCH($F33&amp;"|mid",Response_Table!$A$4:$A$21,0))*$R33*INDEX(Parameters!$X$6:$AA$6,1,MATCH($E33,Parameters!$X$3:$AA$3,0)))</f>
        <v>18.9470714285714</v>
      </c>
      <c r="AF33" s="38" t="n">
        <f aca="false">MAX(0,MIN(AD33*(1+INDEX(Response_Table!$G$4:$G$21,MATCH($F33&amp;"|low",Response_Table!$A$4:$A$21,0))*$R33*INDEX(Parameters!$X$6:$AA$6,1,MATCH($E33,Parameters!$X$3:$AA$3,0))),AD33*(1+INDEX(Response_Table!$G$4:$G$21,MATCH($F33&amp;"|high",Response_Table!$A$4:$A$21,0))*$R33*INDEX(Parameters!$X$6:$AA$6,1,MATCH($E33,Parameters!$X$3:$AA$3,0))))*(1-Inputs_General!$C$22*Parameters!$F$6))</f>
        <v>15.2069195285714</v>
      </c>
      <c r="AG33" s="38" t="n">
        <f aca="false">MAX(AD33*(1+INDEX(Response_Table!$G$4:$G$21,MATCH($F33&amp;"|low",Response_Table!$A$4:$A$21,0))*$R33*INDEX(Parameters!$X$6:$AA$6,1,MATCH($E33,Parameters!$X$3:$AA$3,0))),AD33*(1+INDEX(Response_Table!$G$4:$G$21,MATCH($F33&amp;"|high",Response_Table!$A$4:$A$21,0))*$R33*INDEX(Parameters!$X$6:$AA$6,1,MATCH($E33,Parameters!$X$3:$AA$3,0))))*(1+Inputs_General!$C$22*Parameters!$F$6)</f>
        <v>22.6872233285714</v>
      </c>
      <c r="AH33" s="39" t="n">
        <f aca="false">IF(AD33=0,0,AE33/AD33-1)</f>
        <v>0</v>
      </c>
      <c r="AI33" s="40" t="n">
        <f aca="false">Parameters!$E$7*IF($N33="V",Parameters!$I$7,IF($N33="F",Parameters!$J$7,Parameters!$K$7))*(1-Parameters!$L$7*$P33)*IF($D33="V1",Parameters!$M$7,IF($D33="V2",Parameters!$N$7,Parameters!$O$7))*POWER($Q33/Inputs_General!$C$26,-Inputs_General!$C$25)</f>
        <v>0.411663164578586</v>
      </c>
      <c r="AJ33" s="40" t="n">
        <f aca="false">AI33*(1+INDEX(Response_Table!$H$4:$H$21,MATCH($F33&amp;"|mid",Response_Table!$A$4:$A$21,0))*$R33*INDEX(Parameters!$X$7:$AA$7,1,MATCH($E33,Parameters!$X$3:$AA$3,0)))</f>
        <v>0.411663164578586</v>
      </c>
      <c r="AK33" s="40" t="n">
        <f aca="false">MAX(0,MIN(AI33*(1+INDEX(Response_Table!$H$4:$H$21,MATCH($F33&amp;"|low",Response_Table!$A$4:$A$21,0))*$R33*INDEX(Parameters!$X$7:$AA$7,1,MATCH($E33,Parameters!$X$3:$AA$3,0))),AI33*(1+INDEX(Response_Table!$H$4:$H$21,MATCH($F33&amp;"|high",Response_Table!$A$4:$A$21,0))*$R33*INDEX(Parameters!$X$7:$AA$7,1,MATCH($E33,Parameters!$X$3:$AA$3,0))))*(1-Inputs_General!$C$22*Parameters!$F$7))</f>
        <v>0.289769701546867</v>
      </c>
      <c r="AL33" s="40" t="n">
        <f aca="false">MAX(AI33*(1+INDEX(Response_Table!$H$4:$H$21,MATCH($F33&amp;"|low",Response_Table!$A$4:$A$21,0))*$R33*INDEX(Parameters!$X$7:$AA$7,1,MATCH($E33,Parameters!$X$3:$AA$3,0))),AI33*(1+INDEX(Response_Table!$H$4:$H$21,MATCH($F33&amp;"|high",Response_Table!$A$4:$A$21,0))*$R33*INDEX(Parameters!$X$7:$AA$7,1,MATCH($E33,Parameters!$X$3:$AA$3,0))))*(1+Inputs_General!$C$22*Parameters!$F$7)</f>
        <v>0.533556627610306</v>
      </c>
      <c r="AM33" s="39" t="n">
        <f aca="false">IF(AI33=0,0,AJ33/AI33-1)</f>
        <v>0</v>
      </c>
      <c r="AN33" s="37" t="n">
        <f aca="false">AI33*$Q33/Inputs_General!$C$13*1000</f>
        <v>4.95374641196979</v>
      </c>
      <c r="AO33" s="37" t="n">
        <f aca="false">AJ33*$Q33/Inputs_General!$C$13*1000*(1+Inputs_General!$C$21*$I33)</f>
        <v>4.95374641196979</v>
      </c>
      <c r="AP33" s="37" t="n">
        <f aca="false">AK33*$Q33/Inputs_General!$C$13*1000*(1+Inputs_General!$C$21*$H33)</f>
        <v>3.48694209938553</v>
      </c>
      <c r="AQ33" s="37" t="n">
        <f aca="false">AL33*$Q33/Inputs_General!$C$13*1000*(1+Inputs_General!$C$21*$J33)</f>
        <v>6.42055072455404</v>
      </c>
      <c r="AR33" s="39" t="n">
        <f aca="false">IF(AN33=0,0,AO33/AN33-1)</f>
        <v>0</v>
      </c>
      <c r="AS33" s="36" t="n">
        <f aca="false">Parameters!$E$9*IF($N33="V",Parameters!$I$9,IF($N33="F",Parameters!$J$9,Parameters!$K$9))*(1-Parameters!$L$9*$P33)*IF($D33="V1",Parameters!$M$9,IF($D33="V2",Parameters!$N$9,Parameters!$O$9))</f>
        <v>285</v>
      </c>
      <c r="AT33" s="36" t="n">
        <f aca="false">AS33*(1+INDEX(Response_Table!$I$4:$I$21,MATCH($F33&amp;"|mid",Response_Table!$A$4:$A$21,0))*$R33*INDEX(Parameters!$X$9:$AA$9,1,MATCH($E33,Parameters!$X$3:$AA$3,0)))</f>
        <v>285</v>
      </c>
      <c r="AU33" s="36" t="n">
        <f aca="false">MAX(0,MIN(AS33*(1+INDEX(Response_Table!$I$4:$I$21,MATCH($F33&amp;"|low",Response_Table!$A$4:$A$21,0))*$R33*INDEX(Parameters!$X$9:$AA$9,1,MATCH($E33,Parameters!$X$3:$AA$3,0))),AS33*(1+INDEX(Response_Table!$I$4:$I$21,MATCH($F33&amp;"|high",Response_Table!$A$4:$A$21,0))*$R33*INDEX(Parameters!$X$9:$AA$9,1,MATCH($E33,Parameters!$X$3:$AA$3,0))))*(1-Inputs_General!$C$22*Parameters!$F$9))</f>
        <v>256.8705</v>
      </c>
      <c r="AV33" s="36" t="n">
        <f aca="false">MAX(AS33*(1+INDEX(Response_Table!$I$4:$I$21,MATCH($F33&amp;"|low",Response_Table!$A$4:$A$21,0))*$R33*INDEX(Parameters!$X$9:$AA$9,1,MATCH($E33,Parameters!$X$3:$AA$3,0))),AS33*(1+INDEX(Response_Table!$I$4:$I$21,MATCH($F33&amp;"|high",Response_Table!$A$4:$A$21,0))*$R33*INDEX(Parameters!$X$9:$AA$9,1,MATCH($E33,Parameters!$X$3:$AA$3,0))))*(1+Inputs_General!$C$22*Parameters!$F$9)</f>
        <v>313.1295</v>
      </c>
      <c r="AW33" s="39" t="n">
        <f aca="false">IF(AS33=0,0,AT33/AS33-1)</f>
        <v>0</v>
      </c>
      <c r="AX33" s="37" t="n">
        <f aca="false">INDEX(Context!$AB$4:$AB$51,$K33)</f>
        <v>3.24945780185873</v>
      </c>
      <c r="AY33" s="37" t="n">
        <f aca="false">AX33*(1+INDEX(Response_Table!$J$4:$J$21,MATCH($F33&amp;"|mid",Response_Table!$A$4:$A$21,0))*$R33*INDEX(Parameters!$X$10:$AA$10,1,MATCH($E33,Parameters!$X$3:$AA$3,0)))</f>
        <v>3.24945780185873</v>
      </c>
      <c r="AZ33" s="37" t="n">
        <f aca="false">MAX(0,MIN(AX33*(1+INDEX(Response_Table!$J$4:$J$21,MATCH($F33&amp;"|low",Response_Table!$A$4:$A$21,0))*$R33*INDEX(Parameters!$X$10:$AA$10,1,MATCH($E33,Parameters!$X$3:$AA$3,0))),AX33*(1+INDEX(Response_Table!$J$4:$J$21,MATCH($F33&amp;"|high",Response_Table!$A$4:$A$21,0))*$R33*INDEX(Parameters!$X$10:$AA$10,1,MATCH($E33,Parameters!$X$3:$AA$3,0))))*(1-Inputs_General!$C$22*Parameters!$F$10))</f>
        <v>2.60801483177182</v>
      </c>
      <c r="BA33" s="37" t="n">
        <f aca="false">MAX(AX33*(1+INDEX(Response_Table!$J$4:$J$21,MATCH($F33&amp;"|low",Response_Table!$A$4:$A$21,0))*$R33*INDEX(Parameters!$X$10:$AA$10,1,MATCH($E33,Parameters!$X$3:$AA$3,0))),AX33*(1+INDEX(Response_Table!$J$4:$J$21,MATCH($F33&amp;"|high",Response_Table!$A$4:$A$21,0))*$R33*INDEX(Parameters!$X$10:$AA$10,1,MATCH($E33,Parameters!$X$3:$AA$3,0))))*(1+Inputs_General!$C$22*Parameters!$F$10)</f>
        <v>3.89090077194564</v>
      </c>
      <c r="BB33" s="39" t="n">
        <f aca="false">IF(AX33=0,0,AY33/AX33-1)</f>
        <v>0</v>
      </c>
      <c r="BC33" s="40" t="n">
        <f aca="false">Parameters!$E$11*IF($N33="V",Parameters!$I$11,IF($N33="F",Parameters!$J$11,Parameters!$K$11))*(1-Parameters!$L$11*$P33)*IF($D33="V1",Parameters!$M$11,IF($D33="V2",Parameters!$N$11,Parameters!$O$11))</f>
        <v>1.24825892857143</v>
      </c>
      <c r="BD33" s="40" t="n">
        <f aca="false">BC33*(1+INDEX(Response_Table!$K$4:$K$21,MATCH($F33&amp;"|mid",Response_Table!$A$4:$A$21,0))*$R33*INDEX(Parameters!$X$11:$AA$11,1,MATCH($E33,Parameters!$X$3:$AA$3,0)))</f>
        <v>1.24825892857143</v>
      </c>
      <c r="BE33" s="40" t="n">
        <f aca="false">MAX(0,MIN(BC33*(1+INDEX(Response_Table!$K$4:$K$21,MATCH($F33&amp;"|low",Response_Table!$A$4:$A$21,0))*$R33*INDEX(Parameters!$X$11:$AA$11,1,MATCH($E33,Parameters!$X$3:$AA$3,0))),BC33*(1+INDEX(Response_Table!$K$4:$K$21,MATCH($F33&amp;"|high",Response_Table!$A$4:$A$21,0))*$R33*INDEX(Parameters!$X$11:$AA$11,1,MATCH($E33,Parameters!$X$3:$AA$3,0))))*(1-Inputs_General!$C$22*Parameters!$F$11))</f>
        <v>1.04292033482143</v>
      </c>
      <c r="BF33" s="40" t="n">
        <f aca="false">MAX(BC33*(1+INDEX(Response_Table!$K$4:$K$21,MATCH($F33&amp;"|low",Response_Table!$A$4:$A$21,0))*$R33*INDEX(Parameters!$X$11:$AA$11,1,MATCH($E33,Parameters!$X$3:$AA$3,0))),BC33*(1+INDEX(Response_Table!$K$4:$K$21,MATCH($F33&amp;"|high",Response_Table!$A$4:$A$21,0))*$R33*INDEX(Parameters!$X$11:$AA$11,1,MATCH($E33,Parameters!$X$3:$AA$3,0))))*(1+Inputs_General!$C$22*Parameters!$F$11)</f>
        <v>1.45359752232143</v>
      </c>
      <c r="BG33" s="39" t="n">
        <f aca="false">IF(BC33=0,0,BD33/BC33-1)</f>
        <v>0</v>
      </c>
      <c r="BH33" s="40" t="n">
        <f aca="false">Parameters!$E$12*IF($N33="V",Parameters!$I$12,IF($N33="F",Parameters!$J$12,Parameters!$K$12))*(1-Parameters!$L$12*$P33)*IF($D33="V1",Parameters!$M$12,IF($D33="V2",Parameters!$N$12,Parameters!$O$12))</f>
        <v>0.449373214285714</v>
      </c>
      <c r="BI33" s="40" t="n">
        <f aca="false">BH33*(1+INDEX(Response_Table!$L$4:$L$21,MATCH($F33&amp;"|mid",Response_Table!$A$4:$A$21,0))*$R33*INDEX(Parameters!$X$12:$AA$12,1,MATCH($E33,Parameters!$X$3:$AA$3,0)))</f>
        <v>0.449373214285714</v>
      </c>
      <c r="BJ33" s="40" t="n">
        <f aca="false">MAX(0,MIN(BH33*(1+INDEX(Response_Table!$L$4:$L$21,MATCH($F33&amp;"|low",Response_Table!$A$4:$A$21,0))*$R33*INDEX(Parameters!$X$12:$AA$12,1,MATCH($E33,Parameters!$X$3:$AA$3,0))),BH33*(1+INDEX(Response_Table!$L$4:$L$21,MATCH($F33&amp;"|high",Response_Table!$A$4:$A$21,0))*$R33*INDEX(Parameters!$X$12:$AA$12,1,MATCH($E33,Parameters!$X$3:$AA$3,0))))*(1-Inputs_General!$C$22*Parameters!$F$12))</f>
        <v>0.360666941785714</v>
      </c>
      <c r="BK33" s="40" t="n">
        <f aca="false">MAX(BH33*(1+INDEX(Response_Table!$L$4:$L$21,MATCH($F33&amp;"|low",Response_Table!$A$4:$A$21,0))*$R33*INDEX(Parameters!$X$12:$AA$12,1,MATCH($E33,Parameters!$X$3:$AA$3,0))),BH33*(1+INDEX(Response_Table!$L$4:$L$21,MATCH($F33&amp;"|high",Response_Table!$A$4:$A$21,0))*$R33*INDEX(Parameters!$X$12:$AA$12,1,MATCH($E33,Parameters!$X$3:$AA$3,0))))*(1+Inputs_General!$C$22*Parameters!$F$12)</f>
        <v>0.538079486785714</v>
      </c>
      <c r="BL33" s="39" t="n">
        <f aca="false">IF(BH33=0,0,BI33/BH33-1)</f>
        <v>0</v>
      </c>
      <c r="BM33" s="40" t="n">
        <f aca="false">Parameters!$E$13*IF($N33="V",Parameters!$I$13,IF($N33="F",Parameters!$J$13,Parameters!$K$13))*(1-Parameters!$L$13*$P33)*IF($D33="V1",Parameters!$M$13,IF($D33="V2",Parameters!$N$13,Parameters!$O$13))</f>
        <v>0.299791071428571</v>
      </c>
      <c r="BN33" s="40" t="n">
        <f aca="false">BM33*(1+INDEX(Response_Table!$M$4:$M$21,MATCH($F33&amp;"|mid",Response_Table!$A$4:$A$21,0))*$R33*INDEX(Parameters!$X$13:$AA$13,1,MATCH($E33,Parameters!$X$3:$AA$3,0)))</f>
        <v>0.299791071428571</v>
      </c>
      <c r="BO33" s="40" t="n">
        <f aca="false">MAX(0,MIN(BM33*(1+INDEX(Response_Table!$M$4:$M$21,MATCH($F33&amp;"|low",Response_Table!$A$4:$A$21,0))*$R33*INDEX(Parameters!$X$13:$AA$13,1,MATCH($E33,Parameters!$X$3:$AA$3,0))),BM33*(1+INDEX(Response_Table!$M$4:$M$21,MATCH($F33&amp;"|high",Response_Table!$A$4:$A$21,0))*$R33*INDEX(Parameters!$X$13:$AA$13,1,MATCH($E33,Parameters!$X$3:$AA$3,0))))*(1-Inputs_General!$C$22*Parameters!$F$13))</f>
        <v>0.240612313928571</v>
      </c>
      <c r="BP33" s="40" t="n">
        <f aca="false">MAX(BM33*(1+INDEX(Response_Table!$M$4:$M$21,MATCH($F33&amp;"|low",Response_Table!$A$4:$A$21,0))*$R33*INDEX(Parameters!$X$13:$AA$13,1,MATCH($E33,Parameters!$X$3:$AA$3,0))),BM33*(1+INDEX(Response_Table!$M$4:$M$21,MATCH($F33&amp;"|high",Response_Table!$A$4:$A$21,0))*$R33*INDEX(Parameters!$X$13:$AA$13,1,MATCH($E33,Parameters!$X$3:$AA$3,0))))*(1+Inputs_General!$C$22*Parameters!$F$13)</f>
        <v>0.358969828928571</v>
      </c>
      <c r="BQ33" s="39" t="n">
        <f aca="false">IF(BM33=0,0,BN33/BM33-1)</f>
        <v>0</v>
      </c>
      <c r="BR33" s="38" t="n">
        <f aca="false">Parameters!$E$14*IF($N33="V",Parameters!$I$14,IF($N33="F",Parameters!$J$14,Parameters!$K$14))*(1-Parameters!$L$14*$P33)*IF($D33="V1",Parameters!$M$14,IF($D33="V2",Parameters!$N$14,Parameters!$O$14))*INDEX(Context!$AC$4:$AC$51,$K33)</f>
        <v>15</v>
      </c>
      <c r="BS33" s="38" t="n">
        <f aca="false">BR33*(1+INDEX(Response_Table!$N$4:$N$21,MATCH($F33&amp;"|mid",Response_Table!$A$4:$A$21,0))*$R33*INDEX(Parameters!$X$14:$AA$14,1,MATCH($E33,Parameters!$X$3:$AA$3,0)))</f>
        <v>15</v>
      </c>
      <c r="BT33" s="38" t="n">
        <f aca="false">MAX(0,MIN(BR33*(1+INDEX(Response_Table!$N$4:$N$21,MATCH($F33&amp;"|low",Response_Table!$A$4:$A$21,0))*$R33*INDEX(Parameters!$X$14:$AA$14,1,MATCH($E33,Parameters!$X$3:$AA$3,0))),BR33*(1+INDEX(Response_Table!$N$4:$N$21,MATCH($F33&amp;"|high",Response_Table!$A$4:$A$21,0))*$R33*INDEX(Parameters!$X$14:$AA$14,1,MATCH($E33,Parameters!$X$3:$AA$3,0))))*(1-Inputs_General!$C$22*Parameters!$F$14))</f>
        <v>7.5975</v>
      </c>
      <c r="BU33" s="38" t="n">
        <f aca="false">MAX(BR33*(1+INDEX(Response_Table!$N$4:$N$21,MATCH($F33&amp;"|low",Response_Table!$A$4:$A$21,0))*$R33*INDEX(Parameters!$X$14:$AA$14,1,MATCH($E33,Parameters!$X$3:$AA$3,0))),BR33*(1+INDEX(Response_Table!$N$4:$N$21,MATCH($F33&amp;"|high",Response_Table!$A$4:$A$21,0))*$R33*INDEX(Parameters!$X$14:$AA$14,1,MATCH($E33,Parameters!$X$3:$AA$3,0))))*(1+Inputs_General!$C$22*Parameters!$F$14)</f>
        <v>22.4025</v>
      </c>
      <c r="BV33" s="39" t="n">
        <f aca="false">IF(BR33=0,0,BS33/BR33-1)</f>
        <v>0</v>
      </c>
      <c r="BW33" s="37" t="n">
        <f aca="false">Parameters!$E$15*IF($N33="V",Parameters!$I$15,IF($N33="F",Parameters!$J$15,Parameters!$K$15))*(1-Parameters!$L$15*$P33)*IF($D33="V1",Parameters!$M$15,IF($D33="V2",Parameters!$N$15,Parameters!$O$15))</f>
        <v>10.7849571428571</v>
      </c>
      <c r="BX33" s="37" t="n">
        <f aca="false">BW33*(1+INDEX(Response_Table!$O$4:$O$21,MATCH($F33&amp;"|mid",Response_Table!$A$4:$A$21,0))*$R33*INDEX(Parameters!$X$15:$AA$15,1,MATCH($E33,Parameters!$X$3:$AA$3,0)))</f>
        <v>10.7849571428571</v>
      </c>
      <c r="BY33" s="37" t="n">
        <f aca="false">MAX(0,MIN(BW33*(1+INDEX(Response_Table!$O$4:$O$21,MATCH($F33&amp;"|low",Response_Table!$A$4:$A$21,0))*$R33*INDEX(Parameters!$X$15:$AA$15,1,MATCH($E33,Parameters!$X$3:$AA$3,0))),BW33*(1+INDEX(Response_Table!$O$4:$O$21,MATCH($F33&amp;"|high",Response_Table!$A$4:$A$21,0))*$R33*INDEX(Parameters!$X$15:$AA$15,1,MATCH($E33,Parameters!$X$3:$AA$3,0))))*(1-Inputs_General!$C$22*Parameters!$F$15))</f>
        <v>8.65600660285714</v>
      </c>
      <c r="BZ33" s="37" t="n">
        <f aca="false">MAX(BW33*(1+INDEX(Response_Table!$O$4:$O$21,MATCH($F33&amp;"|low",Response_Table!$A$4:$A$21,0))*$R33*INDEX(Parameters!$X$15:$AA$15,1,MATCH($E33,Parameters!$X$3:$AA$3,0))),BW33*(1+INDEX(Response_Table!$O$4:$O$21,MATCH($F33&amp;"|high",Response_Table!$A$4:$A$21,0))*$R33*INDEX(Parameters!$X$15:$AA$15,1,MATCH($E33,Parameters!$X$3:$AA$3,0))))*(1+Inputs_General!$C$22*Parameters!$F$15)</f>
        <v>12.9139076828571</v>
      </c>
      <c r="CA33" s="39" t="n">
        <f aca="false">IF(BW33=0,0,BX33/BW33-1)</f>
        <v>0</v>
      </c>
      <c r="CB33" s="40" t="n">
        <f aca="false">BD33+BI33</f>
        <v>1.69763214285714</v>
      </c>
      <c r="CC33" s="37" t="n">
        <f aca="false">BD33/BI33</f>
        <v>2.77777777777778</v>
      </c>
      <c r="CD33" s="40" t="n">
        <f aca="false">BN33/CB33</f>
        <v>0.176593658814694</v>
      </c>
      <c r="CE33" s="37" t="n">
        <f aca="false">AE33/AO33</f>
        <v>3.82479639708432</v>
      </c>
      <c r="CF33" s="38" t="n">
        <f aca="false">AE33/AJ33</f>
        <v>46.0256662700615</v>
      </c>
      <c r="CG33" s="38" t="n">
        <f aca="false">INDEX(Context!$V$4:$V$51,$K33)</f>
        <v>25.5785714285714</v>
      </c>
      <c r="CH33" s="38" t="n">
        <f aca="false">INDEX(Context!$Y$4:$Y$51,$K33)</f>
        <v>23.620522619794</v>
      </c>
      <c r="CI33" s="38" t="n">
        <f aca="false">INDEX(Context!$Z$4:$Z$51,$K33)</f>
        <v>29.5785714285714</v>
      </c>
      <c r="CJ33" s="37" t="n">
        <f aca="false">INDEX(Context!$AA$4:$AA$51,$K33)</f>
        <v>0.201160714285714</v>
      </c>
      <c r="CK33" s="37" t="n">
        <f aca="false">MAX(0,MIN(1,1-(1-CJ33)*AO33/AN33))</f>
        <v>0.201160714285714</v>
      </c>
      <c r="CL33" s="38" t="n">
        <f aca="false">CH33+CK33*(CI33-CH33)</f>
        <v>24.8190479739168</v>
      </c>
      <c r="CM33" s="38" t="n">
        <f aca="false">CH33+MAX(0,MIN(1,1-(1-CJ33)*AQ33/AN33))*(CI33-CH33)</f>
        <v>23.620522619794</v>
      </c>
      <c r="CN33" s="38" t="n">
        <f aca="false">CH33+MAX(0,MIN(1,1-(1-CJ33)*AP33/AN33))*(CI33-CH33)</f>
        <v>26.2283428688401</v>
      </c>
      <c r="CO33" s="38" t="n">
        <f aca="false">CL33-CG33</f>
        <v>-0.759523454654609</v>
      </c>
      <c r="CP33" s="38" t="n">
        <f aca="false">CL33-(CH33+CJ33*(CI33-CH33))</f>
        <v>0</v>
      </c>
      <c r="CQ33" s="40" t="n">
        <f aca="false">CL33/CG33</f>
        <v>0.970306259801272</v>
      </c>
      <c r="CR33" s="37" t="n">
        <f aca="false">IF(CL33-CH33&lt;=0,"n/a",(CI33-CL33)/(CL33-CH33))</f>
        <v>3.97114957834</v>
      </c>
      <c r="CS33" s="37" t="n">
        <f aca="false">IF(CI33-CL33&lt;=0,"n/a",(CL33-CH33)/(CI33-CL33))</f>
        <v>0.251816251257405</v>
      </c>
      <c r="CT33" s="37" t="n">
        <f aca="false">Inputs_General!$C$23+Inputs_General!$C$24*$I33</f>
        <v>0.6</v>
      </c>
      <c r="CU33" s="38" t="n">
        <f aca="false">3.29*CT33</f>
        <v>1.974</v>
      </c>
    </row>
    <row r="34" customFormat="false" ht="15" hidden="false" customHeight="false" outlineLevel="0" collapsed="false">
      <c r="A34" s="9" t="str">
        <f aca="false">B34&amp;"|"&amp;E34&amp;"|"&amp;F34</f>
        <v>D1V2|24/02/2026|Very low</v>
      </c>
      <c r="B34" s="7" t="s">
        <v>343</v>
      </c>
      <c r="C34" s="9" t="s">
        <v>127</v>
      </c>
      <c r="D34" s="9" t="s">
        <v>146</v>
      </c>
      <c r="E34" s="9" t="s">
        <v>160</v>
      </c>
      <c r="F34" s="7" t="s">
        <v>277</v>
      </c>
      <c r="G34" s="9" t="s">
        <v>278</v>
      </c>
      <c r="H34" s="41" t="n">
        <f aca="false">INDEX(Severity_Classes!$C$4:$C$9,MATCH(F34,Severity_Classes!$A$4:$A$9,0))</f>
        <v>0.01</v>
      </c>
      <c r="I34" s="41" t="n">
        <f aca="false">INDEX(Severity_Classes!$D$4:$D$9,MATCH(F34,Severity_Classes!$A$4:$A$9,0))</f>
        <v>0.03</v>
      </c>
      <c r="J34" s="41" t="n">
        <f aca="false">INDEX(Severity_Classes!$E$4:$E$9,MATCH(F34,Severity_Classes!$A$4:$A$9,0))</f>
        <v>0.05</v>
      </c>
      <c r="K34" s="42" t="n">
        <f aca="false">MATCH(B34&amp;"|"&amp;E34,Context!$A$4:$A$51,0)</f>
        <v>6</v>
      </c>
      <c r="L34" s="42" t="n">
        <f aca="false">INDEX(Context!$H$4:$H$51,K34)</f>
        <v>77</v>
      </c>
      <c r="M34" s="42" t="n">
        <f aca="false">INDEX(Context!$I$4:$I$51,K34)</f>
        <v>19</v>
      </c>
      <c r="N34" s="9" t="str">
        <f aca="false">INDEX(Context!$L$4:$L$51,K34)</f>
        <v>F</v>
      </c>
      <c r="O34" s="9" t="str">
        <f aca="false">INDEX(Context!$M$4:$M$51,K34)</f>
        <v>5th fully expanded leaf from top</v>
      </c>
      <c r="P34" s="43" t="n">
        <f aca="false">INDEX(Context!$R$4:$R$51,K34)</f>
        <v>0.0232142857142859</v>
      </c>
      <c r="Q34" s="43" t="n">
        <f aca="false">INDEX(Context!$U$4:$U$51,K34)</f>
        <v>1.19492600027053</v>
      </c>
      <c r="R34" s="43" t="n">
        <f aca="false">INDEX(Context!$AD$4:$AD$51,K34)</f>
        <v>1.1</v>
      </c>
      <c r="S34" s="9" t="str">
        <f aca="false">INDEX(Context!$AI$4:$AN$51,K34,MATCH(F34,Severity_Classes!$A$4:$A$9,0))</f>
        <v>Possible</v>
      </c>
      <c r="T34" s="44" t="n">
        <f aca="false">Parameters!$E$4*IF($N34="V",Parameters!$I$4,IF($N34="F",Parameters!$J$4,Parameters!$K$4))*(1-Parameters!$L$4*$P34)*IF($D34="V1",Parameters!$M$4,IF($D34="V2",Parameters!$N$4,Parameters!$O$4))</f>
        <v>85.0411767857143</v>
      </c>
      <c r="U34" s="44" t="n">
        <f aca="false">MIN(100,T34*(1+INDEX(Response_Table!$E$4:$E$21,MATCH($F34&amp;"|mid",Response_Table!$A$4:$A$21,0))*$R34*INDEX(Parameters!$X$4:$AA$4,1,MATCH($E34,Parameters!$X$3:$AA$3,0))))</f>
        <v>84.6378713280648</v>
      </c>
      <c r="V34" s="44" t="n">
        <f aca="false">MAX(0,MIN(T34*(1+INDEX(Response_Table!$E$4:$E$21,MATCH($F34&amp;"|low",Response_Table!$A$4:$A$21,0))*$R34*INDEX(Parameters!$X$4:$AA$4,1,MATCH($E34,Parameters!$X$3:$AA$3,0))),T34*(1+INDEX(Response_Table!$E$4:$E$21,MATCH($F34&amp;"|high",Response_Table!$A$4:$A$21,0))*$R34*INDEX(Parameters!$X$4:$AA$4,1,MATCH($E34,Parameters!$X$3:$AA$3,0))))*(1-Inputs_General!$C$22*Parameters!$F$4))</f>
        <v>78.7677739012085</v>
      </c>
      <c r="W34" s="44" t="n">
        <f aca="false">MIN(100,MAX(T34*(1+INDEX(Response_Table!$E$4:$E$21,MATCH($F34&amp;"|low",Response_Table!$A$4:$A$21,0))*$R34*INDEX(Parameters!$X$4:$AA$4,1,MATCH($E34,Parameters!$X$3:$AA$3,0))),T34*(1+INDEX(Response_Table!$E$4:$E$21,MATCH($F34&amp;"|high",Response_Table!$A$4:$A$21,0))*$R34*INDEX(Parameters!$X$4:$AA$4,1,MATCH($E34,Parameters!$X$3:$AA$3,0))))*(1+Inputs_General!$C$22*Parameters!$F$4))</f>
        <v>90.5040409765141</v>
      </c>
      <c r="X34" s="45" t="n">
        <f aca="false">IF(T34=0,0,U34/T34-1)</f>
        <v>-0.00474247268080141</v>
      </c>
      <c r="Y34" s="44" t="n">
        <f aca="false">Parameters!$E$5*IF($N34="V",Parameters!$I$5,IF($N34="F",Parameters!$J$5,Parameters!$K$5))*(1-Parameters!$L$5*$P34)*IF($D34="V1",Parameters!$M$5,IF($D34="V2",Parameters!$N$5,Parameters!$O$5))</f>
        <v>70.36344</v>
      </c>
      <c r="Z34" s="44" t="n">
        <f aca="false">MIN(100,Y34*(1+INDEX(Response_Table!$F$4:$F$21,MATCH($F34&amp;"|mid",Response_Table!$A$4:$A$21,0))*$R34*INDEX(Parameters!$X$5:$AA$5,1,MATCH($E34,Parameters!$X$3:$AA$3,0))))</f>
        <v>69.2982068463161</v>
      </c>
      <c r="AA34" s="44" t="n">
        <f aca="false">MAX(0,MIN(Y34*(1+INDEX(Response_Table!$F$4:$F$21,MATCH($F34&amp;"|low",Response_Table!$A$4:$A$21,0))*$R34*INDEX(Parameters!$X$5:$AA$5,1,MATCH($E34,Parameters!$X$3:$AA$3,0))),Y34*(1+INDEX(Response_Table!$F$4:$F$21,MATCH($F34&amp;"|high",Response_Table!$A$4:$A$21,0))*$R34*INDEX(Parameters!$X$5:$AA$5,1,MATCH($E34,Parameters!$X$3:$AA$3,0))))*(1-Inputs_General!$C$22*Parameters!$F$5))</f>
        <v>60.5422074844604</v>
      </c>
      <c r="AB34" s="44" t="n">
        <f aca="false">MIN(100,MAX(Y34*(1+INDEX(Response_Table!$F$4:$F$21,MATCH($F34&amp;"|low",Response_Table!$A$4:$A$21,0))*$R34*INDEX(Parameters!$X$5:$AA$5,1,MATCH($E34,Parameters!$X$3:$AA$3,0))),Y34*(1+INDEX(Response_Table!$F$4:$F$21,MATCH($F34&amp;"|high",Response_Table!$A$4:$A$21,0))*$R34*INDEX(Parameters!$X$5:$AA$5,1,MATCH($E34,Parameters!$X$3:$AA$3,0))))*(1+Inputs_General!$C$22*Parameters!$F$5))</f>
        <v>78.1037187894344</v>
      </c>
      <c r="AC34" s="45" t="n">
        <f aca="false">IF(Y34=0,0,Z34/Y34-1)</f>
        <v>-0.0151390147167892</v>
      </c>
      <c r="AD34" s="44" t="n">
        <f aca="false">Parameters!$E$6*IF($N34="V",Parameters!$I$6,IF($N34="F",Parameters!$J$6,Parameters!$K$6))*(1-Parameters!$L$6*$P34)*IF($D34="V1",Parameters!$M$6,IF($D34="V2",Parameters!$N$6,Parameters!$O$6))</f>
        <v>18.9470714285714</v>
      </c>
      <c r="AE34" s="44" t="n">
        <f aca="false">AD34*(1+INDEX(Response_Table!$G$4:$G$21,MATCH($F34&amp;"|mid",Response_Table!$A$4:$A$21,0))*$R34*INDEX(Parameters!$X$6:$AA$6,1,MATCH($E34,Parameters!$X$3:$AA$3,0)))</f>
        <v>17.0141162293823</v>
      </c>
      <c r="AF34" s="44" t="n">
        <f aca="false">MAX(0,MIN(AD34*(1+INDEX(Response_Table!$G$4:$G$21,MATCH($F34&amp;"|low",Response_Table!$A$4:$A$21,0))*$R34*INDEX(Parameters!$X$6:$AA$6,1,MATCH($E34,Parameters!$X$3:$AA$3,0))),AD34*(1+INDEX(Response_Table!$G$4:$G$21,MATCH($F34&amp;"|high",Response_Table!$A$4:$A$21,0))*$R34*INDEX(Parameters!$X$6:$AA$6,1,MATCH($E34,Parameters!$X$3:$AA$3,0))))*(1-Inputs_General!$C$22*Parameters!$F$6))</f>
        <v>12.7293779116446</v>
      </c>
      <c r="AG34" s="44" t="n">
        <f aca="false">MAX(AD34*(1+INDEX(Response_Table!$G$4:$G$21,MATCH($F34&amp;"|low",Response_Table!$A$4:$A$21,0))*$R34*INDEX(Parameters!$X$6:$AA$6,1,MATCH($E34,Parameters!$X$3:$AA$3,0))),AD34*(1+INDEX(Response_Table!$G$4:$G$21,MATCH($F34&amp;"|high",Response_Table!$A$4:$A$21,0))*$R34*INDEX(Parameters!$X$6:$AA$6,1,MATCH($E34,Parameters!$X$3:$AA$3,0))))*(1+Inputs_General!$C$22*Parameters!$F$6)</f>
        <v>21.8815323048898</v>
      </c>
      <c r="AH34" s="45" t="n">
        <f aca="false">IF(AD34=0,0,AE34/AD34-1)</f>
        <v>-0.102018679059517</v>
      </c>
      <c r="AI34" s="46" t="n">
        <f aca="false">Parameters!$E$7*IF($N34="V",Parameters!$I$7,IF($N34="F",Parameters!$J$7,Parameters!$K$7))*(1-Parameters!$L$7*$P34)*IF($D34="V1",Parameters!$M$7,IF($D34="V2",Parameters!$N$7,Parameters!$O$7))*POWER($Q34/Inputs_General!$C$26,-Inputs_General!$C$25)</f>
        <v>0.411663164578586</v>
      </c>
      <c r="AJ34" s="46" t="n">
        <f aca="false">AI34*(1+INDEX(Response_Table!$H$4:$H$21,MATCH($F34&amp;"|mid",Response_Table!$A$4:$A$21,0))*$R34*INDEX(Parameters!$X$7:$AA$7,1,MATCH($E34,Parameters!$X$3:$AA$3,0)))</f>
        <v>0.386329741719003</v>
      </c>
      <c r="AK34" s="46" t="n">
        <f aca="false">MAX(0,MIN(AI34*(1+INDEX(Response_Table!$H$4:$H$21,MATCH($F34&amp;"|low",Response_Table!$A$4:$A$21,0))*$R34*INDEX(Parameters!$X$7:$AA$7,1,MATCH($E34,Parameters!$X$3:$AA$3,0))),AI34*(1+INDEX(Response_Table!$H$4:$H$21,MATCH($F34&amp;"|high",Response_Table!$A$4:$A$21,0))*$R34*INDEX(Parameters!$X$7:$AA$7,1,MATCH($E34,Parameters!$X$3:$AA$3,0))))*(1-Inputs_General!$C$22*Parameters!$F$7))</f>
        <v>0.26091043675596</v>
      </c>
      <c r="AL34" s="46" t="n">
        <f aca="false">MAX(AI34*(1+INDEX(Response_Table!$H$4:$H$21,MATCH($F34&amp;"|low",Response_Table!$A$4:$A$21,0))*$R34*INDEX(Parameters!$X$7:$AA$7,1,MATCH($E34,Parameters!$X$3:$AA$3,0))),AI34*(1+INDEX(Response_Table!$H$4:$H$21,MATCH($F34&amp;"|high",Response_Table!$A$4:$A$21,0))*$R34*INDEX(Parameters!$X$7:$AA$7,1,MATCH($E34,Parameters!$X$3:$AA$3,0))))*(1+Inputs_General!$C$22*Parameters!$F$7)</f>
        <v>0.52228180587307</v>
      </c>
      <c r="AM34" s="45" t="n">
        <f aca="false">IF(AI34=0,0,AJ34/AI34-1)</f>
        <v>-0.0615392025310718</v>
      </c>
      <c r="AN34" s="43" t="n">
        <f aca="false">AI34*$Q34/Inputs_General!$C$13*1000</f>
        <v>4.95374641196979</v>
      </c>
      <c r="AO34" s="43" t="n">
        <f aca="false">AJ34*$Q34/Inputs_General!$C$13*1000*(1+Inputs_General!$C$21*$I34)</f>
        <v>4.68376353429778</v>
      </c>
      <c r="AP34" s="43" t="n">
        <f aca="false">AK34*$Q34/Inputs_General!$C$13*1000*(1+Inputs_General!$C$21*$H34)</f>
        <v>3.14751345703113</v>
      </c>
      <c r="AQ34" s="43" t="n">
        <f aca="false">AL34*$Q34/Inputs_General!$C$13*1000*(1+Inputs_General!$C$21*$J34)</f>
        <v>6.36343615984191</v>
      </c>
      <c r="AR34" s="45" t="n">
        <f aca="false">IF(AN34=0,0,AO34/AN34-1)</f>
        <v>-0.0545007465500547</v>
      </c>
      <c r="AS34" s="42" t="n">
        <f aca="false">Parameters!$E$9*IF($N34="V",Parameters!$I$9,IF($N34="F",Parameters!$J$9,Parameters!$K$9))*(1-Parameters!$L$9*$P34)*IF($D34="V1",Parameters!$M$9,IF($D34="V2",Parameters!$N$9,Parameters!$O$9))</f>
        <v>285</v>
      </c>
      <c r="AT34" s="42" t="n">
        <f aca="false">AS34*(1+INDEX(Response_Table!$I$4:$I$21,MATCH($F34&amp;"|mid",Response_Table!$A$4:$A$21,0))*$R34*INDEX(Parameters!$X$9:$AA$9,1,MATCH($E34,Parameters!$X$3:$AA$3,0)))</f>
        <v>295.635132926751</v>
      </c>
      <c r="AU34" s="42" t="n">
        <f aca="false">MAX(0,MIN(AS34*(1+INDEX(Response_Table!$I$4:$I$21,MATCH($F34&amp;"|low",Response_Table!$A$4:$A$21,0))*$R34*INDEX(Parameters!$X$9:$AA$9,1,MATCH($E34,Parameters!$X$3:$AA$3,0))),AS34*(1+INDEX(Response_Table!$I$4:$I$21,MATCH($F34&amp;"|high",Response_Table!$A$4:$A$21,0))*$R34*INDEX(Parameters!$X$9:$AA$9,1,MATCH($E34,Parameters!$X$3:$AA$3,0))))*(1-Inputs_General!$C$22*Parameters!$F$9))</f>
        <v>260.194272002174</v>
      </c>
      <c r="AV34" s="42" t="n">
        <f aca="false">MAX(AS34*(1+INDEX(Response_Table!$I$4:$I$21,MATCH($F34&amp;"|low",Response_Table!$A$4:$A$21,0))*$R34*INDEX(Parameters!$X$9:$AA$9,1,MATCH($E34,Parameters!$X$3:$AA$3,0))),AS34*(1+INDEX(Response_Table!$I$4:$I$21,MATCH($F34&amp;"|high",Response_Table!$A$4:$A$21,0))*$R34*INDEX(Parameters!$X$9:$AA$9,1,MATCH($E34,Parameters!$X$3:$AA$3,0))))*(1+Inputs_General!$C$22*Parameters!$F$9)</f>
        <v>331.860547055842</v>
      </c>
      <c r="AW34" s="45" t="n">
        <f aca="false">IF(AS34=0,0,AT34/AS34-1)</f>
        <v>0.037316255883338</v>
      </c>
      <c r="AX34" s="43" t="n">
        <f aca="false">INDEX(Context!$AB$4:$AB$51,$K34)</f>
        <v>3.24945780185873</v>
      </c>
      <c r="AY34" s="43" t="n">
        <f aca="false">AX34*(1+INDEX(Response_Table!$J$4:$J$21,MATCH($F34&amp;"|mid",Response_Table!$A$4:$A$21,0))*$R34*INDEX(Parameters!$X$10:$AA$10,1,MATCH($E34,Parameters!$X$3:$AA$3,0)))</f>
        <v>3.13323452827676</v>
      </c>
      <c r="AZ34" s="43" t="n">
        <f aca="false">MAX(0,MIN(AX34*(1+INDEX(Response_Table!$J$4:$J$21,MATCH($F34&amp;"|low",Response_Table!$A$4:$A$21,0))*$R34*INDEX(Parameters!$X$10:$AA$10,1,MATCH($E34,Parameters!$X$3:$AA$3,0))),AX34*(1+INDEX(Response_Table!$J$4:$J$21,MATCH($F34&amp;"|high",Response_Table!$A$4:$A$21,0))*$R34*INDEX(Parameters!$X$10:$AA$10,1,MATCH($E34,Parameters!$X$3:$AA$3,0))))*(1-Inputs_General!$C$22*Parameters!$F$10))</f>
        <v>2.45632217045676</v>
      </c>
      <c r="BA34" s="43" t="n">
        <f aca="false">MAX(AX34*(1+INDEX(Response_Table!$J$4:$J$21,MATCH($F34&amp;"|low",Response_Table!$A$4:$A$21,0))*$R34*INDEX(Parameters!$X$10:$AA$10,1,MATCH($E34,Parameters!$X$3:$AA$3,0))),AX34*(1+INDEX(Response_Table!$J$4:$J$21,MATCH($F34&amp;"|high",Response_Table!$A$4:$A$21,0))*$R34*INDEX(Parameters!$X$10:$AA$10,1,MATCH($E34,Parameters!$X$3:$AA$3,0))))*(1+Inputs_General!$C$22*Parameters!$F$10)</f>
        <v>3.8433477641832</v>
      </c>
      <c r="BB34" s="45" t="n">
        <f aca="false">IF(AX34=0,0,AY34/AX34-1)</f>
        <v>-0.0357669742673663</v>
      </c>
      <c r="BC34" s="46" t="n">
        <f aca="false">Parameters!$E$11*IF($N34="V",Parameters!$I$11,IF($N34="F",Parameters!$J$11,Parameters!$K$11))*(1-Parameters!$L$11*$P34)*IF($D34="V1",Parameters!$M$11,IF($D34="V2",Parameters!$N$11,Parameters!$O$11))</f>
        <v>1.24825892857143</v>
      </c>
      <c r="BD34" s="46" t="n">
        <f aca="false">BC34*(1+INDEX(Response_Table!$K$4:$K$21,MATCH($F34&amp;"|mid",Response_Table!$A$4:$A$21,0))*$R34*INDEX(Parameters!$X$11:$AA$11,1,MATCH($E34,Parameters!$X$3:$AA$3,0)))</f>
        <v>1.16656259297355</v>
      </c>
      <c r="BE34" s="46" t="n">
        <f aca="false">MAX(0,MIN(BC34*(1+INDEX(Response_Table!$K$4:$K$21,MATCH($F34&amp;"|low",Response_Table!$A$4:$A$21,0))*$R34*INDEX(Parameters!$X$11:$AA$11,1,MATCH($E34,Parameters!$X$3:$AA$3,0))),BC34*(1+INDEX(Response_Table!$K$4:$K$21,MATCH($F34&amp;"|high",Response_Table!$A$4:$A$21,0))*$R34*INDEX(Parameters!$X$11:$AA$11,1,MATCH($E34,Parameters!$X$3:$AA$3,0))))*(1-Inputs_General!$C$22*Parameters!$F$11))</f>
        <v>0.932665726702926</v>
      </c>
      <c r="BF34" s="46" t="n">
        <f aca="false">MAX(BC34*(1+INDEX(Response_Table!$K$4:$K$21,MATCH($F34&amp;"|low",Response_Table!$A$4:$A$21,0))*$R34*INDEX(Parameters!$X$11:$AA$11,1,MATCH($E34,Parameters!$X$3:$AA$3,0))),BC34*(1+INDEX(Response_Table!$K$4:$K$21,MATCH($F34&amp;"|high",Response_Table!$A$4:$A$21,0))*$R34*INDEX(Parameters!$X$11:$AA$11,1,MATCH($E34,Parameters!$X$3:$AA$3,0))))*(1+Inputs_General!$C$22*Parameters!$F$11)</f>
        <v>1.42086571302616</v>
      </c>
      <c r="BG34" s="45" t="n">
        <f aca="false">IF(BC34=0,0,BD34/BC34-1)</f>
        <v>-0.0654482285108752</v>
      </c>
      <c r="BH34" s="46" t="n">
        <f aca="false">Parameters!$E$12*IF($N34="V",Parameters!$I$12,IF($N34="F",Parameters!$J$12,Parameters!$K$12))*(1-Parameters!$L$12*$P34)*IF($D34="V1",Parameters!$M$12,IF($D34="V2",Parameters!$N$12,Parameters!$O$12))</f>
        <v>0.449373214285714</v>
      </c>
      <c r="BI34" s="46" t="n">
        <f aca="false">BH34*(1+INDEX(Response_Table!$L$4:$L$21,MATCH($F34&amp;"|mid",Response_Table!$A$4:$A$21,0))*$R34*INDEX(Parameters!$X$12:$AA$12,1,MATCH($E34,Parameters!$X$3:$AA$3,0)))</f>
        <v>0.425973617231434</v>
      </c>
      <c r="BJ34" s="46" t="n">
        <f aca="false">MAX(0,MIN(BH34*(1+INDEX(Response_Table!$L$4:$L$21,MATCH($F34&amp;"|low",Response_Table!$A$4:$A$21,0))*$R34*INDEX(Parameters!$X$12:$AA$12,1,MATCH($E34,Parameters!$X$3:$AA$3,0))),BH34*(1+INDEX(Response_Table!$L$4:$L$21,MATCH($F34&amp;"|high",Response_Table!$A$4:$A$21,0))*$R34*INDEX(Parameters!$X$12:$AA$12,1,MATCH($E34,Parameters!$X$3:$AA$3,0))))*(1-Inputs_General!$C$22*Parameters!$F$12))</f>
        <v>0.330272934750174</v>
      </c>
      <c r="BK34" s="46" t="n">
        <f aca="false">MAX(BH34*(1+INDEX(Response_Table!$L$4:$L$21,MATCH($F34&amp;"|low",Response_Table!$A$4:$A$21,0))*$R34*INDEX(Parameters!$X$12:$AA$12,1,MATCH($E34,Parameters!$X$3:$AA$3,0))),BH34*(1+INDEX(Response_Table!$L$4:$L$21,MATCH($F34&amp;"|high",Response_Table!$A$4:$A$21,0))*$R34*INDEX(Parameters!$X$12:$AA$12,1,MATCH($E34,Parameters!$X$3:$AA$3,0))))*(1+Inputs_General!$C$22*Parameters!$F$12)</f>
        <v>0.528458382240745</v>
      </c>
      <c r="BL34" s="45" t="n">
        <f aca="false">IF(BH34=0,0,BI34/BH34-1)</f>
        <v>-0.052071632910907</v>
      </c>
      <c r="BM34" s="46" t="n">
        <f aca="false">Parameters!$E$13*IF($N34="V",Parameters!$I$13,IF($N34="F",Parameters!$J$13,Parameters!$K$13))*(1-Parameters!$L$13*$P34)*IF($D34="V1",Parameters!$M$13,IF($D34="V2",Parameters!$N$13,Parameters!$O$13))</f>
        <v>0.299791071428571</v>
      </c>
      <c r="BN34" s="46" t="n">
        <f aca="false">BM34*(1+INDEX(Response_Table!$M$4:$M$21,MATCH($F34&amp;"|mid",Response_Table!$A$4:$A$21,0))*$R34*INDEX(Parameters!$X$13:$AA$13,1,MATCH($E34,Parameters!$X$3:$AA$3,0)))</f>
        <v>0.308360167765793</v>
      </c>
      <c r="BO34" s="46" t="n">
        <f aca="false">MAX(0,MIN(BM34*(1+INDEX(Response_Table!$M$4:$M$21,MATCH($F34&amp;"|low",Response_Table!$A$4:$A$21,0))*$R34*INDEX(Parameters!$X$13:$AA$13,1,MATCH($E34,Parameters!$X$3:$AA$3,0))),BM34*(1+INDEX(Response_Table!$M$4:$M$21,MATCH($F34&amp;"|high",Response_Table!$A$4:$A$21,0))*$R34*INDEX(Parameters!$X$13:$AA$13,1,MATCH($E34,Parameters!$X$3:$AA$3,0))))*(1-Inputs_General!$C$22*Parameters!$F$13))</f>
        <v>0.243993318517387</v>
      </c>
      <c r="BP34" s="46" t="n">
        <f aca="false">MAX(BM34*(1+INDEX(Response_Table!$M$4:$M$21,MATCH($F34&amp;"|low",Response_Table!$A$4:$A$21,0))*$R34*INDEX(Parameters!$X$13:$AA$13,1,MATCH($E34,Parameters!$X$3:$AA$3,0))),BM34*(1+INDEX(Response_Table!$M$4:$M$21,MATCH($F34&amp;"|high",Response_Table!$A$4:$A$21,0))*$R34*INDEX(Parameters!$X$13:$AA$13,1,MATCH($E34,Parameters!$X$3:$AA$3,0))))*(1+Inputs_General!$C$22*Parameters!$F$13)</f>
        <v>0.369520375611271</v>
      </c>
      <c r="BQ34" s="45" t="n">
        <f aca="false">IF(BM34=0,0,BN34/BM34-1)</f>
        <v>0.0285835608658662</v>
      </c>
      <c r="BR34" s="44" t="n">
        <f aca="false">Parameters!$E$14*IF($N34="V",Parameters!$I$14,IF($N34="F",Parameters!$J$14,Parameters!$K$14))*(1-Parameters!$L$14*$P34)*IF($D34="V1",Parameters!$M$14,IF($D34="V2",Parameters!$N$14,Parameters!$O$14))*INDEX(Context!$AC$4:$AC$51,$K34)</f>
        <v>15</v>
      </c>
      <c r="BS34" s="44" t="n">
        <f aca="false">BR34*(1+INDEX(Response_Table!$N$4:$N$21,MATCH($F34&amp;"|mid",Response_Table!$A$4:$A$21,0))*$R34*INDEX(Parameters!$X$14:$AA$14,1,MATCH($E34,Parameters!$X$3:$AA$3,0)))</f>
        <v>15.8520812658148</v>
      </c>
      <c r="BT34" s="44" t="n">
        <f aca="false">MAX(0,MIN(BR34*(1+INDEX(Response_Table!$N$4:$N$21,MATCH($F34&amp;"|low",Response_Table!$A$4:$A$21,0))*$R34*INDEX(Parameters!$X$14:$AA$14,1,MATCH($E34,Parameters!$X$3:$AA$3,0))),BR34*(1+INDEX(Response_Table!$N$4:$N$21,MATCH($F34&amp;"|high",Response_Table!$A$4:$A$21,0))*$R34*INDEX(Parameters!$X$14:$AA$14,1,MATCH($E34,Parameters!$X$3:$AA$3,0))))*(1-Inputs_General!$C$22*Parameters!$F$14))</f>
        <v>7.74569643885104</v>
      </c>
      <c r="BU34" s="44" t="n">
        <f aca="false">MAX(BR34*(1+INDEX(Response_Table!$N$4:$N$21,MATCH($F34&amp;"|low",Response_Table!$A$4:$A$21,0))*$R34*INDEX(Parameters!$X$14:$AA$14,1,MATCH($E34,Parameters!$X$3:$AA$3,0))),BR34*(1+INDEX(Response_Table!$N$4:$N$21,MATCH($F34&amp;"|high",Response_Table!$A$4:$A$21,0))*$R34*INDEX(Parameters!$X$14:$AA$14,1,MATCH($E34,Parameters!$X$3:$AA$3,0))))*(1+Inputs_General!$C$22*Parameters!$F$14)</f>
        <v>24.4620231083708</v>
      </c>
      <c r="BV34" s="45" t="n">
        <f aca="false">IF(BR34=0,0,BS34/BR34-1)</f>
        <v>0.0568054177209894</v>
      </c>
      <c r="BW34" s="43" t="n">
        <f aca="false">Parameters!$E$15*IF($N34="V",Parameters!$I$15,IF($N34="F",Parameters!$J$15,Parameters!$K$15))*(1-Parameters!$L$15*$P34)*IF($D34="V1",Parameters!$M$15,IF($D34="V2",Parameters!$N$15,Parameters!$O$15))</f>
        <v>10.7849571428571</v>
      </c>
      <c r="BX34" s="43" t="n">
        <f aca="false">BW34*(1+INDEX(Response_Table!$O$4:$O$21,MATCH($F34&amp;"|mid",Response_Table!$A$4:$A$21,0))*$R34*INDEX(Parameters!$X$15:$AA$15,1,MATCH($E34,Parameters!$X$3:$AA$3,0)))</f>
        <v>10.6317961439564</v>
      </c>
      <c r="BY34" s="43" t="n">
        <f aca="false">MAX(0,MIN(BW34*(1+INDEX(Response_Table!$O$4:$O$21,MATCH($F34&amp;"|low",Response_Table!$A$4:$A$21,0))*$R34*INDEX(Parameters!$X$15:$AA$15,1,MATCH($E34,Parameters!$X$3:$AA$3,0))),BW34*(1+INDEX(Response_Table!$O$4:$O$21,MATCH($F34&amp;"|high",Response_Table!$A$4:$A$21,0))*$R34*INDEX(Parameters!$X$15:$AA$15,1,MATCH($E34,Parameters!$X$3:$AA$3,0))))*(1-Inputs_General!$C$22*Parameters!$F$15))</f>
        <v>8.45706401135179</v>
      </c>
      <c r="BZ34" s="43" t="n">
        <f aca="false">MAX(BW34*(1+INDEX(Response_Table!$O$4:$O$21,MATCH($F34&amp;"|low",Response_Table!$A$4:$A$21,0))*$R34*INDEX(Parameters!$X$15:$AA$15,1,MATCH($E34,Parameters!$X$3:$AA$3,0))),BW34*(1+INDEX(Response_Table!$O$4:$O$21,MATCH($F34&amp;"|high",Response_Table!$A$4:$A$21,0))*$R34*INDEX(Parameters!$X$15:$AA$15,1,MATCH($E34,Parameters!$X$3:$AA$3,0))))*(1+Inputs_General!$C$22*Parameters!$F$15)</f>
        <v>12.850933180381</v>
      </c>
      <c r="CA34" s="45" t="n">
        <f aca="false">IF(BW34=0,0,BX34/BW34-1)</f>
        <v>-0.0142013544302475</v>
      </c>
      <c r="CB34" s="46" t="n">
        <f aca="false">BD34+BI34</f>
        <v>1.59253621020498</v>
      </c>
      <c r="CC34" s="43" t="n">
        <f aca="false">BD34/BI34</f>
        <v>2.73857944666969</v>
      </c>
      <c r="CD34" s="46" t="n">
        <f aca="false">BN34/CB34</f>
        <v>0.193628355694407</v>
      </c>
      <c r="CE34" s="43" t="n">
        <f aca="false">AE34/AO34</f>
        <v>3.6325736995032</v>
      </c>
      <c r="CF34" s="44" t="n">
        <f aca="false">AE34/AJ34</f>
        <v>44.0403996691445</v>
      </c>
      <c r="CG34" s="44" t="n">
        <f aca="false">INDEX(Context!$V$4:$V$51,$K34)</f>
        <v>25.5785714285714</v>
      </c>
      <c r="CH34" s="44" t="n">
        <f aca="false">INDEX(Context!$Y$4:$Y$51,$K34)</f>
        <v>23.620522619794</v>
      </c>
      <c r="CI34" s="44" t="n">
        <f aca="false">INDEX(Context!$Z$4:$Z$51,$K34)</f>
        <v>29.5785714285714</v>
      </c>
      <c r="CJ34" s="43" t="n">
        <f aca="false">INDEX(Context!$AA$4:$AA$51,$K34)</f>
        <v>0.201160714285714</v>
      </c>
      <c r="CK34" s="43" t="n">
        <f aca="false">MAX(0,MIN(1,1-(1-CJ34)*AO34/AN34))</f>
        <v>0.244698051730655</v>
      </c>
      <c r="CL34" s="44" t="n">
        <f aca="false">CH34+CK34*(CI34-CH34)</f>
        <v>25.078445555418</v>
      </c>
      <c r="CM34" s="44" t="n">
        <f aca="false">CH34+MAX(0,MIN(1,1-(1-CJ34)*AQ34/AN34))*(CI34-CH34)</f>
        <v>23.620522619794</v>
      </c>
      <c r="CN34" s="44" t="n">
        <f aca="false">CH34+MAX(0,MIN(1,1-(1-CJ34)*AP34/AN34))*(CI34-CH34)</f>
        <v>26.5544634349966</v>
      </c>
      <c r="CO34" s="44" t="n">
        <f aca="false">CL34-CG34</f>
        <v>-0.500125873153436</v>
      </c>
      <c r="CP34" s="44" t="n">
        <f aca="false">CL34-(CH34+CJ34*(CI34-CH34))</f>
        <v>0.259397581501172</v>
      </c>
      <c r="CQ34" s="46" t="n">
        <f aca="false">CL34/CG34</f>
        <v>0.980447466561999</v>
      </c>
      <c r="CR34" s="43" t="n">
        <f aca="false">IF(CL34-CH34&lt;=0,"n/a",(CI34-CL34)/(CL34-CH34))</f>
        <v>3.08666923552265</v>
      </c>
      <c r="CS34" s="43" t="n">
        <f aca="false">IF(CI34-CL34&lt;=0,"n/a",(CL34-CH34)/(CI34-CL34))</f>
        <v>0.323973812448574</v>
      </c>
      <c r="CT34" s="43" t="n">
        <f aca="false">Inputs_General!$C$23+Inputs_General!$C$24*$I34</f>
        <v>0.66</v>
      </c>
      <c r="CU34" s="44" t="n">
        <f aca="false">3.29*CT34</f>
        <v>2.1714</v>
      </c>
    </row>
    <row r="35" customFormat="false" ht="15" hidden="false" customHeight="false" outlineLevel="0" collapsed="false">
      <c r="A35" s="9" t="str">
        <f aca="false">B35&amp;"|"&amp;E35&amp;"|"&amp;F35</f>
        <v>D1V2|24/02/2026|Low</v>
      </c>
      <c r="B35" s="7" t="s">
        <v>343</v>
      </c>
      <c r="C35" s="9" t="s">
        <v>127</v>
      </c>
      <c r="D35" s="9" t="s">
        <v>146</v>
      </c>
      <c r="E35" s="9" t="s">
        <v>160</v>
      </c>
      <c r="F35" s="7" t="s">
        <v>279</v>
      </c>
      <c r="G35" s="9" t="s">
        <v>280</v>
      </c>
      <c r="H35" s="41" t="n">
        <f aca="false">INDEX(Severity_Classes!$C$4:$C$9,MATCH(F35,Severity_Classes!$A$4:$A$9,0))</f>
        <v>0.06</v>
      </c>
      <c r="I35" s="41" t="n">
        <f aca="false">INDEX(Severity_Classes!$D$4:$D$9,MATCH(F35,Severity_Classes!$A$4:$A$9,0))</f>
        <v>0.08</v>
      </c>
      <c r="J35" s="41" t="n">
        <f aca="false">INDEX(Severity_Classes!$E$4:$E$9,MATCH(F35,Severity_Classes!$A$4:$A$9,0))</f>
        <v>0.1</v>
      </c>
      <c r="K35" s="42" t="n">
        <f aca="false">MATCH(B35&amp;"|"&amp;E35,Context!$A$4:$A$51,0)</f>
        <v>6</v>
      </c>
      <c r="L35" s="42" t="n">
        <f aca="false">INDEX(Context!$H$4:$H$51,K35)</f>
        <v>77</v>
      </c>
      <c r="M35" s="42" t="n">
        <f aca="false">INDEX(Context!$I$4:$I$51,K35)</f>
        <v>19</v>
      </c>
      <c r="N35" s="9" t="str">
        <f aca="false">INDEX(Context!$L$4:$L$51,K35)</f>
        <v>F</v>
      </c>
      <c r="O35" s="9" t="str">
        <f aca="false">INDEX(Context!$M$4:$M$51,K35)</f>
        <v>5th fully expanded leaf from top</v>
      </c>
      <c r="P35" s="43" t="n">
        <f aca="false">INDEX(Context!$R$4:$R$51,K35)</f>
        <v>0.0232142857142859</v>
      </c>
      <c r="Q35" s="43" t="n">
        <f aca="false">INDEX(Context!$U$4:$U$51,K35)</f>
        <v>1.19492600027053</v>
      </c>
      <c r="R35" s="43" t="n">
        <f aca="false">INDEX(Context!$AD$4:$AD$51,K35)</f>
        <v>1.1</v>
      </c>
      <c r="S35" s="9" t="str">
        <f aca="false">INDEX(Context!$AI$4:$AN$51,K35,MATCH(F35,Severity_Classes!$A$4:$A$9,0))</f>
        <v>Likely</v>
      </c>
      <c r="T35" s="44" t="n">
        <f aca="false">Parameters!$E$4*IF($N35="V",Parameters!$I$4,IF($N35="F",Parameters!$J$4,Parameters!$K$4))*(1-Parameters!$L$4*$P35)*IF($D35="V1",Parameters!$M$4,IF($D35="V2",Parameters!$N$4,Parameters!$O$4))</f>
        <v>85.0411767857143</v>
      </c>
      <c r="U35" s="44" t="n">
        <f aca="false">MIN(100,T35*(1+INDEX(Response_Table!$E$4:$E$21,MATCH($F35&amp;"|mid",Response_Table!$A$4:$A$21,0))*$R35*INDEX(Parameters!$X$4:$AA$4,1,MATCH($E35,Parameters!$X$3:$AA$3,0))))</f>
        <v>83.7391548929552</v>
      </c>
      <c r="V35" s="44" t="n">
        <f aca="false">MAX(0,MIN(T35*(1+INDEX(Response_Table!$E$4:$E$21,MATCH($F35&amp;"|low",Response_Table!$A$4:$A$21,0))*$R35*INDEX(Parameters!$X$4:$AA$4,1,MATCH($E35,Parameters!$X$3:$AA$3,0))),T35*(1+INDEX(Response_Table!$E$4:$E$21,MATCH($F35&amp;"|high",Response_Table!$A$4:$A$21,0))*$R35*INDEX(Parameters!$X$4:$AA$4,1,MATCH($E35,Parameters!$X$3:$AA$3,0))))*(1-Inputs_General!$C$22*Parameters!$F$4))</f>
        <v>77.8041406889434</v>
      </c>
      <c r="W35" s="44" t="n">
        <f aca="false">MIN(100,MAX(T35*(1+INDEX(Response_Table!$E$4:$E$21,MATCH($F35&amp;"|low",Response_Table!$A$4:$A$21,0))*$R35*INDEX(Parameters!$X$4:$AA$4,1,MATCH($E35,Parameters!$X$3:$AA$3,0))),T35*(1+INDEX(Response_Table!$E$4:$E$21,MATCH($F35&amp;"|high",Response_Table!$A$4:$A$21,0))*$R35*INDEX(Parameters!$X$4:$AA$4,1,MATCH($E35,Parameters!$X$3:$AA$3,0))))*(1+Inputs_General!$C$22*Parameters!$F$4))</f>
        <v>89.6729022745987</v>
      </c>
      <c r="X35" s="45" t="n">
        <f aca="false">IF(T35=0,0,U35/T35-1)</f>
        <v>-0.0153104877186721</v>
      </c>
      <c r="Y35" s="44" t="n">
        <f aca="false">Parameters!$E$5*IF($N35="V",Parameters!$I$5,IF($N35="F",Parameters!$J$5,Parameters!$K$5))*(1-Parameters!$L$5*$P35)*IF($D35="V1",Parameters!$M$5,IF($D35="V2",Parameters!$N$5,Parameters!$O$5))</f>
        <v>70.36344</v>
      </c>
      <c r="Z35" s="44" t="n">
        <f aca="false">MIN(100,Y35*(1+INDEX(Response_Table!$F$4:$F$21,MATCH($F35&amp;"|mid",Response_Table!$A$4:$A$21,0))*$R35*INDEX(Parameters!$X$5:$AA$5,1,MATCH($E35,Parameters!$X$3:$AA$3,0))))</f>
        <v>66.806988223921</v>
      </c>
      <c r="AA35" s="44" t="n">
        <f aca="false">MAX(0,MIN(Y35*(1+INDEX(Response_Table!$F$4:$F$21,MATCH($F35&amp;"|low",Response_Table!$A$4:$A$21,0))*$R35*INDEX(Parameters!$X$5:$AA$5,1,MATCH($E35,Parameters!$X$3:$AA$3,0))),Y35*(1+INDEX(Response_Table!$F$4:$F$21,MATCH($F35&amp;"|high",Response_Table!$A$4:$A$21,0))*$R35*INDEX(Parameters!$X$5:$AA$5,1,MATCH($E35,Parameters!$X$3:$AA$3,0))))*(1-Inputs_General!$C$22*Parameters!$F$5))</f>
        <v>57.962361947652</v>
      </c>
      <c r="AB35" s="44" t="n">
        <f aca="false">MIN(100,MAX(Y35*(1+INDEX(Response_Table!$F$4:$F$21,MATCH($F35&amp;"|low",Response_Table!$A$4:$A$21,0))*$R35*INDEX(Parameters!$X$5:$AA$5,1,MATCH($E35,Parameters!$X$3:$AA$3,0))),Y35*(1+INDEX(Response_Table!$F$4:$F$21,MATCH($F35&amp;"|high",Response_Table!$A$4:$A$21,0))*$R35*INDEX(Parameters!$X$5:$AA$5,1,MATCH($E35,Parameters!$X$3:$AA$3,0))))*(1+Inputs_General!$C$22*Parameters!$F$5))</f>
        <v>75.7465722686016</v>
      </c>
      <c r="AC35" s="45" t="n">
        <f aca="false">IF(Y35=0,0,Z35/Y35-1)</f>
        <v>-0.0505440293436336</v>
      </c>
      <c r="AD35" s="44" t="n">
        <f aca="false">Parameters!$E$6*IF($N35="V",Parameters!$I$6,IF($N35="F",Parameters!$J$6,Parameters!$K$6))*(1-Parameters!$L$6*$P35)*IF($D35="V1",Parameters!$M$6,IF($D35="V2",Parameters!$N$6,Parameters!$O$6))</f>
        <v>18.9470714285714</v>
      </c>
      <c r="AE35" s="44" t="n">
        <f aca="false">AD35*(1+INDEX(Response_Table!$G$4:$G$21,MATCH($F35&amp;"|mid",Response_Table!$A$4:$A$21,0))*$R35*INDEX(Parameters!$X$6:$AA$6,1,MATCH($E35,Parameters!$X$3:$AA$3,0)))</f>
        <v>14.3089439319386</v>
      </c>
      <c r="AF35" s="44" t="n">
        <f aca="false">MAX(0,MIN(AD35*(1+INDEX(Response_Table!$G$4:$G$21,MATCH($F35&amp;"|low",Response_Table!$A$4:$A$21,0))*$R35*INDEX(Parameters!$X$6:$AA$6,1,MATCH($E35,Parameters!$X$3:$AA$3,0))),AD35*(1+INDEX(Response_Table!$G$4:$G$21,MATCH($F35&amp;"|high",Response_Table!$A$4:$A$21,0))*$R35*INDEX(Parameters!$X$6:$AA$6,1,MATCH($E35,Parameters!$X$3:$AA$3,0))))*(1-Inputs_General!$C$22*Parameters!$F$6))</f>
        <v>10.7411041913264</v>
      </c>
      <c r="AG35" s="44" t="n">
        <f aca="false">MAX(AD35*(1+INDEX(Response_Table!$G$4:$G$21,MATCH($F35&amp;"|low",Response_Table!$A$4:$A$21,0))*$R35*INDEX(Parameters!$X$6:$AA$6,1,MATCH($E35,Parameters!$X$3:$AA$3,0))),AD35*(1+INDEX(Response_Table!$G$4:$G$21,MATCH($F35&amp;"|high",Response_Table!$A$4:$A$21,0))*$R35*INDEX(Parameters!$X$6:$AA$6,1,MATCH($E35,Parameters!$X$3:$AA$3,0))))*(1+Inputs_General!$C$22*Parameters!$F$6)</f>
        <v>18.3443935263158</v>
      </c>
      <c r="AH35" s="45" t="n">
        <f aca="false">IF(AD35=0,0,AE35/AD35-1)</f>
        <v>-0.244793899369519</v>
      </c>
      <c r="AI35" s="46" t="n">
        <f aca="false">Parameters!$E$7*IF($N35="V",Parameters!$I$7,IF($N35="F",Parameters!$J$7,Parameters!$K$7))*(1-Parameters!$L$7*$P35)*IF($D35="V1",Parameters!$M$7,IF($D35="V2",Parameters!$N$7,Parameters!$O$7))*POWER($Q35/Inputs_General!$C$26,-Inputs_General!$C$25)</f>
        <v>0.411663164578586</v>
      </c>
      <c r="AJ35" s="46" t="n">
        <f aca="false">AI35*(1+INDEX(Response_Table!$H$4:$H$21,MATCH($F35&amp;"|mid",Response_Table!$A$4:$A$21,0))*$R35*INDEX(Parameters!$X$7:$AA$7,1,MATCH($E35,Parameters!$X$3:$AA$3,0)))</f>
        <v>0.348859387867022</v>
      </c>
      <c r="AK35" s="46" t="n">
        <f aca="false">MAX(0,MIN(AI35*(1+INDEX(Response_Table!$H$4:$H$21,MATCH($F35&amp;"|low",Response_Table!$A$4:$A$21,0))*$R35*INDEX(Parameters!$X$7:$AA$7,1,MATCH($E35,Parameters!$X$3:$AA$3,0))),AI35*(1+INDEX(Response_Table!$H$4:$H$21,MATCH($F35&amp;"|high",Response_Table!$A$4:$A$21,0))*$R35*INDEX(Parameters!$X$7:$AA$7,1,MATCH($E35,Parameters!$X$3:$AA$3,0))))*(1-Inputs_General!$C$22*Parameters!$F$7))</f>
        <v>0.236071037356664</v>
      </c>
      <c r="AL35" s="46" t="n">
        <f aca="false">MAX(AI35*(1+INDEX(Response_Table!$H$4:$H$21,MATCH($F35&amp;"|low",Response_Table!$A$4:$A$21,0))*$R35*INDEX(Parameters!$X$7:$AA$7,1,MATCH($E35,Parameters!$X$3:$AA$3,0))),AI35*(1+INDEX(Response_Table!$H$4:$H$21,MATCH($F35&amp;"|high",Response_Table!$A$4:$A$21,0))*$R35*INDEX(Parameters!$X$7:$AA$7,1,MATCH($E35,Parameters!$X$3:$AA$3,0))))*(1+Inputs_General!$C$22*Parameters!$F$7)</f>
        <v>0.470713368226858</v>
      </c>
      <c r="AM35" s="45" t="n">
        <f aca="false">IF(AI35=0,0,AJ35/AI35-1)</f>
        <v>-0.152561079337414</v>
      </c>
      <c r="AN35" s="43" t="n">
        <f aca="false">AI35*$Q35/Inputs_General!$C$13*1000</f>
        <v>4.95374641196979</v>
      </c>
      <c r="AO35" s="43" t="n">
        <f aca="false">AJ35*$Q35/Inputs_General!$C$13*1000*(1+Inputs_General!$C$21*$I35)</f>
        <v>4.28195746284775</v>
      </c>
      <c r="AP35" s="43" t="n">
        <f aca="false">AK35*$Q35/Inputs_General!$C$13*1000*(1+Inputs_General!$C$21*$H35)</f>
        <v>2.88337091394802</v>
      </c>
      <c r="AQ35" s="43" t="n">
        <f aca="false">AL35*$Q35/Inputs_General!$C$13*1000*(1+Inputs_General!$C$21*$J35)</f>
        <v>5.80593487843322</v>
      </c>
      <c r="AR35" s="45" t="n">
        <f aca="false">IF(AN35=0,0,AO35/AN35-1)</f>
        <v>-0.135612300924163</v>
      </c>
      <c r="AS35" s="42" t="n">
        <f aca="false">Parameters!$E$9*IF($N35="V",Parameters!$I$9,IF($N35="F",Parameters!$J$9,Parameters!$K$9))*(1-Parameters!$L$9*$P35)*IF($D35="V1",Parameters!$M$9,IF($D35="V2",Parameters!$N$9,Parameters!$O$9))</f>
        <v>285</v>
      </c>
      <c r="AT35" s="42" t="n">
        <f aca="false">AS35*(1+INDEX(Response_Table!$I$4:$I$21,MATCH($F35&amp;"|mid",Response_Table!$A$4:$A$21,0))*$R35*INDEX(Parameters!$X$9:$AA$9,1,MATCH($E35,Parameters!$X$3:$AA$3,0)))</f>
        <v>310.755683063219</v>
      </c>
      <c r="AU35" s="42" t="n">
        <f aca="false">MAX(0,MIN(AS35*(1+INDEX(Response_Table!$I$4:$I$21,MATCH($F35&amp;"|low",Response_Table!$A$4:$A$21,0))*$R35*INDEX(Parameters!$X$9:$AA$9,1,MATCH($E35,Parameters!$X$3:$AA$3,0))),AS35*(1+INDEX(Response_Table!$I$4:$I$21,MATCH($F35&amp;"|high",Response_Table!$A$4:$A$21,0))*$R35*INDEX(Parameters!$X$9:$AA$9,1,MATCH($E35,Parameters!$X$3:$AA$3,0))))*(1-Inputs_General!$C$22*Parameters!$F$9))</f>
        <v>274.957472644588</v>
      </c>
      <c r="AV35" s="42" t="n">
        <f aca="false">MAX(AS35*(1+INDEX(Response_Table!$I$4:$I$21,MATCH($F35&amp;"|low",Response_Table!$A$4:$A$21,0))*$R35*INDEX(Parameters!$X$9:$AA$9,1,MATCH($E35,Parameters!$X$3:$AA$3,0))),AS35*(1+INDEX(Response_Table!$I$4:$I$21,MATCH($F35&amp;"|high",Response_Table!$A$4:$A$21,0))*$R35*INDEX(Parameters!$X$9:$AA$9,1,MATCH($E35,Parameters!$X$3:$AA$3,0))))*(1+Inputs_General!$C$22*Parameters!$F$9)</f>
        <v>347.196231317812</v>
      </c>
      <c r="AW35" s="45" t="n">
        <f aca="false">IF(AS35=0,0,AT35/AS35-1)</f>
        <v>0.0903708177656819</v>
      </c>
      <c r="AX35" s="43" t="n">
        <f aca="false">INDEX(Context!$AB$4:$AB$51,$K35)</f>
        <v>3.24945780185873</v>
      </c>
      <c r="AY35" s="43" t="n">
        <f aca="false">AX35*(1+INDEX(Response_Table!$J$4:$J$21,MATCH($F35&amp;"|mid",Response_Table!$A$4:$A$21,0))*$R35*INDEX(Parameters!$X$10:$AA$10,1,MATCH($E35,Parameters!$X$3:$AA$3,0)))</f>
        <v>2.95788955137806</v>
      </c>
      <c r="AZ35" s="43" t="n">
        <f aca="false">MAX(0,MIN(AX35*(1+INDEX(Response_Table!$J$4:$J$21,MATCH($F35&amp;"|low",Response_Table!$A$4:$A$21,0))*$R35*INDEX(Parameters!$X$10:$AA$10,1,MATCH($E35,Parameters!$X$3:$AA$3,0))),AX35*(1+INDEX(Response_Table!$J$4:$J$21,MATCH($F35&amp;"|high",Response_Table!$A$4:$A$21,0))*$R35*INDEX(Parameters!$X$10:$AA$10,1,MATCH($E35,Parameters!$X$3:$AA$3,0))))*(1-Inputs_General!$C$22*Parameters!$F$10))</f>
        <v>2.3224538667014</v>
      </c>
      <c r="BA35" s="43" t="n">
        <f aca="false">MAX(AX35*(1+INDEX(Response_Table!$J$4:$J$21,MATCH($F35&amp;"|low",Response_Table!$A$4:$A$21,0))*$R35*INDEX(Parameters!$X$10:$AA$10,1,MATCH($E35,Parameters!$X$3:$AA$3,0))),AX35*(1+INDEX(Response_Table!$J$4:$J$21,MATCH($F35&amp;"|high",Response_Table!$A$4:$A$21,0))*$R35*INDEX(Parameters!$X$10:$AA$10,1,MATCH($E35,Parameters!$X$3:$AA$3,0))))*(1+Inputs_General!$C$22*Parameters!$F$10)</f>
        <v>3.62262490812911</v>
      </c>
      <c r="BB35" s="45" t="n">
        <f aca="false">IF(AX35=0,0,AY35/AX35-1)</f>
        <v>-0.0897282772263991</v>
      </c>
      <c r="BC35" s="46" t="n">
        <f aca="false">Parameters!$E$11*IF($N35="V",Parameters!$I$11,IF($N35="F",Parameters!$J$11,Parameters!$K$11))*(1-Parameters!$L$11*$P35)*IF($D35="V1",Parameters!$M$11,IF($D35="V2",Parameters!$N$11,Parameters!$O$11))</f>
        <v>1.24825892857143</v>
      </c>
      <c r="BD35" s="46" t="n">
        <f aca="false">BC35*(1+INDEX(Response_Table!$K$4:$K$21,MATCH($F35&amp;"|mid",Response_Table!$A$4:$A$21,0))*$R35*INDEX(Parameters!$X$11:$AA$11,1,MATCH($E35,Parameters!$X$3:$AA$3,0)))</f>
        <v>1.04667947617951</v>
      </c>
      <c r="BE35" s="46" t="n">
        <f aca="false">MAX(0,MIN(BC35*(1+INDEX(Response_Table!$K$4:$K$21,MATCH($F35&amp;"|low",Response_Table!$A$4:$A$21,0))*$R35*INDEX(Parameters!$X$11:$AA$11,1,MATCH($E35,Parameters!$X$3:$AA$3,0))),BC35*(1+INDEX(Response_Table!$K$4:$K$21,MATCH($F35&amp;"|high",Response_Table!$A$4:$A$21,0))*$R35*INDEX(Parameters!$X$11:$AA$11,1,MATCH($E35,Parameters!$X$3:$AA$3,0))))*(1-Inputs_General!$C$22*Parameters!$F$11))</f>
        <v>0.838712947189841</v>
      </c>
      <c r="BF35" s="46" t="n">
        <f aca="false">MAX(BC35*(1+INDEX(Response_Table!$K$4:$K$21,MATCH($F35&amp;"|low",Response_Table!$A$4:$A$21,0))*$R35*INDEX(Parameters!$X$11:$AA$11,1,MATCH($E35,Parameters!$X$3:$AA$3,0))),BC35*(1+INDEX(Response_Table!$K$4:$K$21,MATCH($F35&amp;"|high",Response_Table!$A$4:$A$21,0))*$R35*INDEX(Parameters!$X$11:$AA$11,1,MATCH($E35,Parameters!$X$3:$AA$3,0))))*(1+Inputs_General!$C$22*Parameters!$F$11)</f>
        <v>1.27203506758558</v>
      </c>
      <c r="BG35" s="45" t="n">
        <f aca="false">IF(BC35=0,0,BD35/BC35-1)</f>
        <v>-0.161488492313542</v>
      </c>
      <c r="BH35" s="46" t="n">
        <f aca="false">Parameters!$E$12*IF($N35="V",Parameters!$I$12,IF($N35="F",Parameters!$J$12,Parameters!$K$12))*(1-Parameters!$L$12*$P35)*IF($D35="V1",Parameters!$M$12,IF($D35="V2",Parameters!$N$12,Parameters!$O$12))</f>
        <v>0.449373214285714</v>
      </c>
      <c r="BI35" s="46" t="n">
        <f aca="false">BH35*(1+INDEX(Response_Table!$L$4:$L$21,MATCH($F35&amp;"|mid",Response_Table!$A$4:$A$21,0))*$R35*INDEX(Parameters!$X$12:$AA$12,1,MATCH($E35,Parameters!$X$3:$AA$3,0)))</f>
        <v>0.391363561319232</v>
      </c>
      <c r="BJ35" s="46" t="n">
        <f aca="false">MAX(0,MIN(BH35*(1+INDEX(Response_Table!$L$4:$L$21,MATCH($F35&amp;"|low",Response_Table!$A$4:$A$21,0))*$R35*INDEX(Parameters!$X$12:$AA$12,1,MATCH($E35,Parameters!$X$3:$AA$3,0))),BH35*(1+INDEX(Response_Table!$L$4:$L$21,MATCH($F35&amp;"|high",Response_Table!$A$4:$A$21,0))*$R35*INDEX(Parameters!$X$12:$AA$12,1,MATCH($E35,Parameters!$X$3:$AA$3,0))))*(1-Inputs_General!$C$22*Parameters!$F$12))</f>
        <v>0.304112570459165</v>
      </c>
      <c r="BK35" s="46" t="n">
        <f aca="false">MAX(BH35*(1+INDEX(Response_Table!$L$4:$L$21,MATCH($F35&amp;"|low",Response_Table!$A$4:$A$21,0))*$R35*INDEX(Parameters!$X$12:$AA$12,1,MATCH($E35,Parameters!$X$3:$AA$3,0))),BH35*(1+INDEX(Response_Table!$L$4:$L$21,MATCH($F35&amp;"|high",Response_Table!$A$4:$A$21,0))*$R35*INDEX(Parameters!$X$12:$AA$12,1,MATCH($E35,Parameters!$X$3:$AA$3,0))))*(1+Inputs_General!$C$22*Parameters!$F$12)</f>
        <v>0.484453666123918</v>
      </c>
      <c r="BL35" s="45" t="n">
        <f aca="false">IF(BH35=0,0,BI35/BH35-1)</f>
        <v>-0.129090144054735</v>
      </c>
      <c r="BM35" s="46" t="n">
        <f aca="false">Parameters!$E$13*IF($N35="V",Parameters!$I$13,IF($N35="F",Parameters!$J$13,Parameters!$K$13))*(1-Parameters!$L$13*$P35)*IF($D35="V1",Parameters!$M$13,IF($D35="V2",Parameters!$N$13,Parameters!$O$13))</f>
        <v>0.299791071428571</v>
      </c>
      <c r="BN35" s="46" t="n">
        <f aca="false">BM35*(1+INDEX(Response_Table!$M$4:$M$21,MATCH($F35&amp;"|mid",Response_Table!$A$4:$A$21,0))*$R35*INDEX(Parameters!$X$13:$AA$13,1,MATCH($E35,Parameters!$X$3:$AA$3,0)))</f>
        <v>0.303868140538561</v>
      </c>
      <c r="BO35" s="46" t="n">
        <f aca="false">MAX(0,MIN(BM35*(1+INDEX(Response_Table!$M$4:$M$21,MATCH($F35&amp;"|low",Response_Table!$A$4:$A$21,0))*$R35*INDEX(Parameters!$X$13:$AA$13,1,MATCH($E35,Parameters!$X$3:$AA$3,0))),BM35*(1+INDEX(Response_Table!$M$4:$M$21,MATCH($F35&amp;"|high",Response_Table!$A$4:$A$21,0))*$R35*INDEX(Parameters!$X$13:$AA$13,1,MATCH($E35,Parameters!$X$3:$AA$3,0))))*(1-Inputs_General!$C$22*Parameters!$F$13))</f>
        <v>0.23964024429476</v>
      </c>
      <c r="BP35" s="46" t="n">
        <f aca="false">MAX(BM35*(1+INDEX(Response_Table!$M$4:$M$21,MATCH($F35&amp;"|low",Response_Table!$A$4:$A$21,0))*$R35*INDEX(Parameters!$X$13:$AA$13,1,MATCH($E35,Parameters!$X$3:$AA$3,0))),BM35*(1+INDEX(Response_Table!$M$4:$M$21,MATCH($F35&amp;"|high",Response_Table!$A$4:$A$21,0))*$R35*INDEX(Parameters!$X$13:$AA$13,1,MATCH($E35,Parameters!$X$3:$AA$3,0))))*(1+Inputs_General!$C$22*Parameters!$F$13)</f>
        <v>0.368295622084996</v>
      </c>
      <c r="BQ35" s="45" t="n">
        <f aca="false">IF(BM35=0,0,BN35/BM35-1)</f>
        <v>0.0135997015873786</v>
      </c>
      <c r="BR35" s="44" t="n">
        <f aca="false">Parameters!$E$14*IF($N35="V",Parameters!$I$14,IF($N35="F",Parameters!$J$14,Parameters!$K$14))*(1-Parameters!$L$14*$P35)*IF($D35="V1",Parameters!$M$14,IF($D35="V2",Parameters!$N$14,Parameters!$O$14))*INDEX(Context!$AC$4:$AC$51,$K35)</f>
        <v>15</v>
      </c>
      <c r="BS35" s="44" t="n">
        <f aca="false">BR35*(1+INDEX(Response_Table!$N$4:$N$21,MATCH($F35&amp;"|mid",Response_Table!$A$4:$A$21,0))*$R35*INDEX(Parameters!$X$14:$AA$14,1,MATCH($E35,Parameters!$X$3:$AA$3,0)))</f>
        <v>17.1123841754411</v>
      </c>
      <c r="BT35" s="44" t="n">
        <f aca="false">MAX(0,MIN(BR35*(1+INDEX(Response_Table!$N$4:$N$21,MATCH($F35&amp;"|low",Response_Table!$A$4:$A$21,0))*$R35*INDEX(Parameters!$X$14:$AA$14,1,MATCH($E35,Parameters!$X$3:$AA$3,0))),BR35*(1+INDEX(Response_Table!$N$4:$N$21,MATCH($F35&amp;"|high",Response_Table!$A$4:$A$21,0))*$R35*INDEX(Parameters!$X$14:$AA$14,1,MATCH($E35,Parameters!$X$3:$AA$3,0))))*(1-Inputs_General!$C$22*Parameters!$F$14))</f>
        <v>8.42351281540989</v>
      </c>
      <c r="BU35" s="44" t="n">
        <f aca="false">MAX(BR35*(1+INDEX(Response_Table!$N$4:$N$21,MATCH($F35&amp;"|low",Response_Table!$A$4:$A$21,0))*$R35*INDEX(Parameters!$X$14:$AA$14,1,MATCH($E35,Parameters!$X$3:$AA$3,0))),BR35*(1+INDEX(Response_Table!$N$4:$N$21,MATCH($F35&amp;"|high",Response_Table!$A$4:$A$21,0))*$R35*INDEX(Parameters!$X$14:$AA$14,1,MATCH($E35,Parameters!$X$3:$AA$3,0))))*(1+Inputs_General!$C$22*Parameters!$F$14)</f>
        <v>26.2346710753774</v>
      </c>
      <c r="BV35" s="45" t="n">
        <f aca="false">IF(BR35=0,0,BS35/BR35-1)</f>
        <v>0.140825611696075</v>
      </c>
      <c r="BW35" s="43" t="n">
        <f aca="false">Parameters!$E$15*IF($N35="V",Parameters!$I$15,IF($N35="F",Parameters!$J$15,Parameters!$K$15))*(1-Parameters!$L$15*$P35)*IF($D35="V1",Parameters!$M$15,IF($D35="V2",Parameters!$N$15,Parameters!$O$15))</f>
        <v>10.7849571428571</v>
      </c>
      <c r="BX35" s="43" t="n">
        <f aca="false">BW35*(1+INDEX(Response_Table!$O$4:$O$21,MATCH($F35&amp;"|mid",Response_Table!$A$4:$A$21,0))*$R35*INDEX(Parameters!$X$15:$AA$15,1,MATCH($E35,Parameters!$X$3:$AA$3,0)))</f>
        <v>10.4052575961674</v>
      </c>
      <c r="BY35" s="43" t="n">
        <f aca="false">MAX(0,MIN(BW35*(1+INDEX(Response_Table!$O$4:$O$21,MATCH($F35&amp;"|low",Response_Table!$A$4:$A$21,0))*$R35*INDEX(Parameters!$X$15:$AA$15,1,MATCH($E35,Parameters!$X$3:$AA$3,0))),BW35*(1+INDEX(Response_Table!$O$4:$O$21,MATCH($F35&amp;"|high",Response_Table!$A$4:$A$21,0))*$R35*INDEX(Parameters!$X$15:$AA$15,1,MATCH($E35,Parameters!$X$3:$AA$3,0))))*(1-Inputs_General!$C$22*Parameters!$F$15))</f>
        <v>8.28583253599246</v>
      </c>
      <c r="BZ35" s="43" t="n">
        <f aca="false">MAX(BW35*(1+INDEX(Response_Table!$O$4:$O$21,MATCH($F35&amp;"|low",Response_Table!$A$4:$A$21,0))*$R35*INDEX(Parameters!$X$15:$AA$15,1,MATCH($E35,Parameters!$X$3:$AA$3,0))),BW35*(1+INDEX(Response_Table!$O$4:$O$21,MATCH($F35&amp;"|high",Response_Table!$A$4:$A$21,0))*$R35*INDEX(Parameters!$X$15:$AA$15,1,MATCH($E35,Parameters!$X$3:$AA$3,0))))*(1+Inputs_General!$C$22*Parameters!$F$15)</f>
        <v>12.5629023112527</v>
      </c>
      <c r="CA35" s="45" t="n">
        <f aca="false">IF(BW35=0,0,BX35/BW35-1)</f>
        <v>-0.0352064029240187</v>
      </c>
      <c r="CB35" s="46" t="n">
        <f aca="false">BD35+BI35</f>
        <v>1.43804303749874</v>
      </c>
      <c r="CC35" s="43" t="n">
        <f aca="false">BD35/BI35</f>
        <v>2.67444284452876</v>
      </c>
      <c r="CD35" s="46" t="n">
        <f aca="false">BN35/CB35</f>
        <v>0.21130670822418</v>
      </c>
      <c r="CE35" s="43" t="n">
        <f aca="false">AE35/AO35</f>
        <v>3.34168287660251</v>
      </c>
      <c r="CF35" s="44" t="n">
        <f aca="false">AE35/AJ35</f>
        <v>41.0163648438004</v>
      </c>
      <c r="CG35" s="44" t="n">
        <f aca="false">INDEX(Context!$V$4:$V$51,$K35)</f>
        <v>25.5785714285714</v>
      </c>
      <c r="CH35" s="44" t="n">
        <f aca="false">INDEX(Context!$Y$4:$Y$51,$K35)</f>
        <v>23.620522619794</v>
      </c>
      <c r="CI35" s="44" t="n">
        <f aca="false">INDEX(Context!$Z$4:$Z$51,$K35)</f>
        <v>29.5785714285714</v>
      </c>
      <c r="CJ35" s="43" t="n">
        <f aca="false">INDEX(Context!$AA$4:$AA$51,$K35)</f>
        <v>0.201160714285714</v>
      </c>
      <c r="CK35" s="43" t="n">
        <f aca="false">MAX(0,MIN(1,1-(1-CJ35)*AO35/AN35))</f>
        <v>0.309493147890043</v>
      </c>
      <c r="CL35" s="44" t="n">
        <f aca="false">CH35+CK35*(CI35-CH35)</f>
        <v>25.4644979009051</v>
      </c>
      <c r="CM35" s="44" t="n">
        <f aca="false">CH35+MAX(0,MIN(1,1-(1-CJ35)*AQ35/AN35))*(CI35-CH35)</f>
        <v>24.0002715052388</v>
      </c>
      <c r="CN35" s="44" t="n">
        <f aca="false">CH35+MAX(0,MIN(1,1-(1-CJ35)*AP35/AN35))*(CI35-CH35)</f>
        <v>26.8082496655833</v>
      </c>
      <c r="CO35" s="44" t="n">
        <f aca="false">CL35-CG35</f>
        <v>-0.114073527666378</v>
      </c>
      <c r="CP35" s="44" t="n">
        <f aca="false">CL35-(CH35+CJ35*(CI35-CH35))</f>
        <v>0.645449926988231</v>
      </c>
      <c r="CQ35" s="46" t="n">
        <f aca="false">CL35/CG35</f>
        <v>0.995540269792434</v>
      </c>
      <c r="CR35" s="43" t="n">
        <f aca="false">IF(CL35-CH35&lt;=0,"n/a",(CI35-CL35)/(CL35-CH35))</f>
        <v>2.23108930461776</v>
      </c>
      <c r="CS35" s="43" t="n">
        <f aca="false">IF(CI35-CL35&lt;=0,"n/a",(CL35-CH35)/(CI35-CL35))</f>
        <v>0.448211552056777</v>
      </c>
      <c r="CT35" s="43" t="n">
        <f aca="false">Inputs_General!$C$23+Inputs_General!$C$24*$I35</f>
        <v>0.76</v>
      </c>
      <c r="CU35" s="44" t="n">
        <f aca="false">3.29*CT35</f>
        <v>2.5004</v>
      </c>
    </row>
    <row r="36" customFormat="false" ht="15" hidden="false" customHeight="false" outlineLevel="0" collapsed="false">
      <c r="A36" s="9" t="str">
        <f aca="false">B36&amp;"|"&amp;E36&amp;"|"&amp;F36</f>
        <v>D1V2|24/02/2026|Moderate</v>
      </c>
      <c r="B36" s="7" t="s">
        <v>343</v>
      </c>
      <c r="C36" s="9" t="s">
        <v>127</v>
      </c>
      <c r="D36" s="9" t="s">
        <v>146</v>
      </c>
      <c r="E36" s="9" t="s">
        <v>160</v>
      </c>
      <c r="F36" s="7" t="s">
        <v>281</v>
      </c>
      <c r="G36" s="9" t="s">
        <v>282</v>
      </c>
      <c r="H36" s="41" t="n">
        <f aca="false">INDEX(Severity_Classes!$C$4:$C$9,MATCH(F36,Severity_Classes!$A$4:$A$9,0))</f>
        <v>0.11</v>
      </c>
      <c r="I36" s="41" t="n">
        <f aca="false">INDEX(Severity_Classes!$D$4:$D$9,MATCH(F36,Severity_Classes!$A$4:$A$9,0))</f>
        <v>0.18</v>
      </c>
      <c r="J36" s="41" t="n">
        <f aca="false">INDEX(Severity_Classes!$E$4:$E$9,MATCH(F36,Severity_Classes!$A$4:$A$9,0))</f>
        <v>0.25</v>
      </c>
      <c r="K36" s="42" t="n">
        <f aca="false">MATCH(B36&amp;"|"&amp;E36,Context!$A$4:$A$51,0)</f>
        <v>6</v>
      </c>
      <c r="L36" s="42" t="n">
        <f aca="false">INDEX(Context!$H$4:$H$51,K36)</f>
        <v>77</v>
      </c>
      <c r="M36" s="42" t="n">
        <f aca="false">INDEX(Context!$I$4:$I$51,K36)</f>
        <v>19</v>
      </c>
      <c r="N36" s="9" t="str">
        <f aca="false">INDEX(Context!$L$4:$L$51,K36)</f>
        <v>F</v>
      </c>
      <c r="O36" s="9" t="str">
        <f aca="false">INDEX(Context!$M$4:$M$51,K36)</f>
        <v>5th fully expanded leaf from top</v>
      </c>
      <c r="P36" s="43" t="n">
        <f aca="false">INDEX(Context!$R$4:$R$51,K36)</f>
        <v>0.0232142857142859</v>
      </c>
      <c r="Q36" s="43" t="n">
        <f aca="false">INDEX(Context!$U$4:$U$51,K36)</f>
        <v>1.19492600027053</v>
      </c>
      <c r="R36" s="43" t="n">
        <f aca="false">INDEX(Context!$AD$4:$AD$51,K36)</f>
        <v>1.1</v>
      </c>
      <c r="S36" s="9" t="str">
        <f aca="false">INDEX(Context!$AI$4:$AN$51,K36,MATCH(F36,Severity_Classes!$A$4:$A$9,0))</f>
        <v>Likely</v>
      </c>
      <c r="T36" s="44" t="n">
        <f aca="false">Parameters!$E$4*IF($N36="V",Parameters!$I$4,IF($N36="F",Parameters!$J$4,Parameters!$K$4))*(1-Parameters!$L$4*$P36)*IF($D36="V1",Parameters!$M$4,IF($D36="V2",Parameters!$N$4,Parameters!$O$4))</f>
        <v>85.0411767857143</v>
      </c>
      <c r="U36" s="44" t="n">
        <f aca="false">MIN(100,T36*(1+INDEX(Response_Table!$E$4:$E$21,MATCH($F36&amp;"|mid",Response_Table!$A$4:$A$21,0))*$R36*INDEX(Parameters!$X$4:$AA$4,1,MATCH($E36,Parameters!$X$3:$AA$3,0))))</f>
        <v>80.7858082037682</v>
      </c>
      <c r="V36" s="44" t="n">
        <f aca="false">MAX(0,MIN(T36*(1+INDEX(Response_Table!$E$4:$E$21,MATCH($F36&amp;"|low",Response_Table!$A$4:$A$21,0))*$R36*INDEX(Parameters!$X$4:$AA$4,1,MATCH($E36,Parameters!$X$3:$AA$3,0))),T36*(1+INDEX(Response_Table!$E$4:$E$21,MATCH($F36&amp;"|high",Response_Table!$A$4:$A$21,0))*$R36*INDEX(Parameters!$X$4:$AA$4,1,MATCH($E36,Parameters!$X$3:$AA$3,0))))*(1-Inputs_General!$C$22*Parameters!$F$4))</f>
        <v>72.4921879106813</v>
      </c>
      <c r="W36" s="44" t="n">
        <f aca="false">MIN(100,MAX(T36*(1+INDEX(Response_Table!$E$4:$E$21,MATCH($F36&amp;"|low",Response_Table!$A$4:$A$21,0))*$R36*INDEX(Parameters!$X$4:$AA$4,1,MATCH($E36,Parameters!$X$3:$AA$3,0))),T36*(1+INDEX(Response_Table!$E$4:$E$21,MATCH($F36&amp;"|high",Response_Table!$A$4:$A$21,0))*$R36*INDEX(Parameters!$X$4:$AA$4,1,MATCH($E36,Parameters!$X$3:$AA$3,0))))*(1+Inputs_General!$C$22*Parameters!$F$4))</f>
        <v>88.4971222061501</v>
      </c>
      <c r="X36" s="45" t="n">
        <f aca="false">IF(T36=0,0,U36/T36-1)</f>
        <v>-0.0500389192951635</v>
      </c>
      <c r="Y36" s="44" t="n">
        <f aca="false">Parameters!$E$5*IF($N36="V",Parameters!$I$5,IF($N36="F",Parameters!$J$5,Parameters!$K$5))*(1-Parameters!$L$5*$P36)*IF($D36="V1",Parameters!$M$5,IF($D36="V2",Parameters!$N$5,Parameters!$O$5))</f>
        <v>70.36344</v>
      </c>
      <c r="Z36" s="44" t="n">
        <f aca="false">MIN(100,Y36*(1+INDEX(Response_Table!$F$4:$F$21,MATCH($F36&amp;"|mid",Response_Table!$A$4:$A$21,0))*$R36*INDEX(Parameters!$X$5:$AA$5,1,MATCH($E36,Parameters!$X$3:$AA$3,0))))</f>
        <v>58.2008385308993</v>
      </c>
      <c r="AA36" s="44" t="n">
        <f aca="false">MAX(0,MIN(Y36*(1+INDEX(Response_Table!$F$4:$F$21,MATCH($F36&amp;"|low",Response_Table!$A$4:$A$21,0))*$R36*INDEX(Parameters!$X$5:$AA$5,1,MATCH($E36,Parameters!$X$3:$AA$3,0))),Y36*(1+INDEX(Response_Table!$F$4:$F$21,MATCH($F36&amp;"|high",Response_Table!$A$4:$A$21,0))*$R36*INDEX(Parameters!$X$5:$AA$5,1,MATCH($E36,Parameters!$X$3:$AA$3,0))))*(1-Inputs_General!$C$22*Parameters!$F$5))</f>
        <v>43.534092784784</v>
      </c>
      <c r="AB36" s="44" t="n">
        <f aca="false">MIN(100,MAX(Y36*(1+INDEX(Response_Table!$F$4:$F$21,MATCH($F36&amp;"|low",Response_Table!$A$4:$A$21,0))*$R36*INDEX(Parameters!$X$5:$AA$5,1,MATCH($E36,Parameters!$X$3:$AA$3,0))),Y36*(1+INDEX(Response_Table!$F$4:$F$21,MATCH($F36&amp;"|high",Response_Table!$A$4:$A$21,0))*$R36*INDEX(Parameters!$X$5:$AA$5,1,MATCH($E36,Parameters!$X$3:$AA$3,0))))*(1+Inputs_General!$C$22*Parameters!$F$5))</f>
        <v>72.2397534096793</v>
      </c>
      <c r="AC36" s="45" t="n">
        <f aca="false">IF(Y36=0,0,Z36/Y36-1)</f>
        <v>-0.172853991634017</v>
      </c>
      <c r="AD36" s="44" t="n">
        <f aca="false">Parameters!$E$6*IF($N36="V",Parameters!$I$6,IF($N36="F",Parameters!$J$6,Parameters!$K$6))*(1-Parameters!$L$6*$P36)*IF($D36="V1",Parameters!$M$6,IF($D36="V2",Parameters!$N$6,Parameters!$O$6))</f>
        <v>18.9470714285714</v>
      </c>
      <c r="AE36" s="44" t="n">
        <f aca="false">AD36*(1+INDEX(Response_Table!$G$4:$G$21,MATCH($F36&amp;"|mid",Response_Table!$A$4:$A$21,0))*$R36*INDEX(Parameters!$X$6:$AA$6,1,MATCH($E36,Parameters!$X$3:$AA$3,0)))</f>
        <v>10.3957628266539</v>
      </c>
      <c r="AF36" s="44" t="n">
        <f aca="false">MAX(0,MIN(AD36*(1+INDEX(Response_Table!$G$4:$G$21,MATCH($F36&amp;"|low",Response_Table!$A$4:$A$21,0))*$R36*INDEX(Parameters!$X$6:$AA$6,1,MATCH($E36,Parameters!$X$3:$AA$3,0))),AD36*(1+INDEX(Response_Table!$G$4:$G$21,MATCH($F36&amp;"|high",Response_Table!$A$4:$A$21,0))*$R36*INDEX(Parameters!$X$6:$AA$6,1,MATCH($E36,Parameters!$X$3:$AA$3,0))))*(1-Inputs_General!$C$22*Parameters!$F$6))</f>
        <v>6.83731453862767</v>
      </c>
      <c r="AG36" s="44" t="n">
        <f aca="false">MAX(AD36*(1+INDEX(Response_Table!$G$4:$G$21,MATCH($F36&amp;"|low",Response_Table!$A$4:$A$21,0))*$R36*INDEX(Parameters!$X$6:$AA$6,1,MATCH($E36,Parameters!$X$3:$AA$3,0))),AD36*(1+INDEX(Response_Table!$G$4:$G$21,MATCH($F36&amp;"|high",Response_Table!$A$4:$A$21,0))*$R36*INDEX(Parameters!$X$6:$AA$6,1,MATCH($E36,Parameters!$X$3:$AA$3,0))))*(1+Inputs_General!$C$22*Parameters!$F$6)</f>
        <v>15.5057731655081</v>
      </c>
      <c r="AH36" s="45" t="n">
        <f aca="false">IF(AD36=0,0,AE36/AD36-1)</f>
        <v>-0.45132613945934</v>
      </c>
      <c r="AI36" s="46" t="n">
        <f aca="false">Parameters!$E$7*IF($N36="V",Parameters!$I$7,IF($N36="F",Parameters!$J$7,Parameters!$K$7))*(1-Parameters!$L$7*$P36)*IF($D36="V1",Parameters!$M$7,IF($D36="V2",Parameters!$N$7,Parameters!$O$7))*POWER($Q36/Inputs_General!$C$26,-Inputs_General!$C$25)</f>
        <v>0.411663164578586</v>
      </c>
      <c r="AJ36" s="46" t="n">
        <f aca="false">AI36*(1+INDEX(Response_Table!$H$4:$H$21,MATCH($F36&amp;"|mid",Response_Table!$A$4:$A$21,0))*$R36*INDEX(Parameters!$X$7:$AA$7,1,MATCH($E36,Parameters!$X$3:$AA$3,0)))</f>
        <v>0.288849634558213</v>
      </c>
      <c r="AK36" s="46" t="n">
        <f aca="false">MAX(0,MIN(AI36*(1+INDEX(Response_Table!$H$4:$H$21,MATCH($F36&amp;"|low",Response_Table!$A$4:$A$21,0))*$R36*INDEX(Parameters!$X$7:$AA$7,1,MATCH($E36,Parameters!$X$3:$AA$3,0))),AI36*(1+INDEX(Response_Table!$H$4:$H$21,MATCH($F36&amp;"|high",Response_Table!$A$4:$A$21,0))*$R36*INDEX(Parameters!$X$7:$AA$7,1,MATCH($E36,Parameters!$X$3:$AA$3,0))))*(1-Inputs_General!$C$22*Parameters!$F$7))</f>
        <v>0.180451788171925</v>
      </c>
      <c r="AL36" s="46" t="n">
        <f aca="false">MAX(AI36*(1+INDEX(Response_Table!$H$4:$H$21,MATCH($F36&amp;"|low",Response_Table!$A$4:$A$21,0))*$R36*INDEX(Parameters!$X$7:$AA$7,1,MATCH($E36,Parameters!$X$3:$AA$3,0))),AI36*(1+INDEX(Response_Table!$H$4:$H$21,MATCH($F36&amp;"|high",Response_Table!$A$4:$A$21,0))*$R36*INDEX(Parameters!$X$7:$AA$7,1,MATCH($E36,Parameters!$X$3:$AA$3,0))))*(1+Inputs_General!$C$22*Parameters!$F$7)</f>
        <v>0.426328002612986</v>
      </c>
      <c r="AM36" s="45" t="n">
        <f aca="false">IF(AI36=0,0,AJ36/AI36-1)</f>
        <v>-0.298334999552597</v>
      </c>
      <c r="AN36" s="43" t="n">
        <f aca="false">AI36*$Q36/Inputs_General!$C$13*1000</f>
        <v>4.95374641196979</v>
      </c>
      <c r="AO36" s="43" t="n">
        <f aca="false">AJ36*$Q36/Inputs_General!$C$13*1000*(1+Inputs_General!$C$21*$I36)</f>
        <v>3.6322846498978</v>
      </c>
      <c r="AP36" s="43" t="n">
        <f aca="false">AK36*$Q36/Inputs_General!$C$13*1000*(1+Inputs_General!$C$21*$H36)</f>
        <v>2.23118089781165</v>
      </c>
      <c r="AQ36" s="43" t="n">
        <f aca="false">AL36*$Q36/Inputs_General!$C$13*1000*(1+Inputs_General!$C$21*$J36)</f>
        <v>5.45085413797597</v>
      </c>
      <c r="AR36" s="45" t="n">
        <f aca="false">IF(AN36=0,0,AO36/AN36-1)</f>
        <v>-0.266760074532464</v>
      </c>
      <c r="AS36" s="42" t="n">
        <f aca="false">Parameters!$E$9*IF($N36="V",Parameters!$I$9,IF($N36="F",Parameters!$J$9,Parameters!$K$9))*(1-Parameters!$L$9*$P36)*IF($D36="V1",Parameters!$M$9,IF($D36="V2",Parameters!$N$9,Parameters!$O$9))</f>
        <v>285</v>
      </c>
      <c r="AT36" s="42" t="n">
        <f aca="false">AS36*(1+INDEX(Response_Table!$I$4:$I$21,MATCH($F36&amp;"|mid",Response_Table!$A$4:$A$21,0))*$R36*INDEX(Parameters!$X$9:$AA$9,1,MATCH($E36,Parameters!$X$3:$AA$3,0)))</f>
        <v>333.270950326965</v>
      </c>
      <c r="AU36" s="42" t="n">
        <f aca="false">MAX(0,MIN(AS36*(1+INDEX(Response_Table!$I$4:$I$21,MATCH($F36&amp;"|low",Response_Table!$A$4:$A$21,0))*$R36*INDEX(Parameters!$X$9:$AA$9,1,MATCH($E36,Parameters!$X$3:$AA$3,0))),AS36*(1+INDEX(Response_Table!$I$4:$I$21,MATCH($F36&amp;"|high",Response_Table!$A$4:$A$21,0))*$R36*INDEX(Parameters!$X$9:$AA$9,1,MATCH($E36,Parameters!$X$3:$AA$3,0))))*(1-Inputs_General!$C$22*Parameters!$F$9))</f>
        <v>287.044559024394</v>
      </c>
      <c r="AV36" s="42" t="n">
        <f aca="false">MAX(AS36*(1+INDEX(Response_Table!$I$4:$I$21,MATCH($F36&amp;"|low",Response_Table!$A$4:$A$21,0))*$R36*INDEX(Parameters!$X$9:$AA$9,1,MATCH($E36,Parameters!$X$3:$AA$3,0))),AS36*(1+INDEX(Response_Table!$I$4:$I$21,MATCH($F36&amp;"|high",Response_Table!$A$4:$A$21,0))*$R36*INDEX(Parameters!$X$9:$AA$9,1,MATCH($E36,Parameters!$X$3:$AA$3,0))))*(1+Inputs_General!$C$22*Parameters!$F$9)</f>
        <v>378.448246193483</v>
      </c>
      <c r="AW36" s="45" t="n">
        <f aca="false">IF(AS36=0,0,AT36/AS36-1)</f>
        <v>0.169371755533209</v>
      </c>
      <c r="AX36" s="43" t="n">
        <f aca="false">INDEX(Context!$AB$4:$AB$51,$K36)</f>
        <v>3.24945780185873</v>
      </c>
      <c r="AY36" s="43" t="n">
        <f aca="false">AX36*(1+INDEX(Response_Table!$J$4:$J$21,MATCH($F36&amp;"|mid",Response_Table!$A$4:$A$21,0))*$R36*INDEX(Parameters!$X$10:$AA$10,1,MATCH($E36,Parameters!$X$3:$AA$3,0)))</f>
        <v>2.66658934706486</v>
      </c>
      <c r="AZ36" s="43" t="n">
        <f aca="false">MAX(0,MIN(AX36*(1+INDEX(Response_Table!$J$4:$J$21,MATCH($F36&amp;"|low",Response_Table!$A$4:$A$21,0))*$R36*INDEX(Parameters!$X$10:$AA$10,1,MATCH($E36,Parameters!$X$3:$AA$3,0))),AX36*(1+INDEX(Response_Table!$J$4:$J$21,MATCH($F36&amp;"|high",Response_Table!$A$4:$A$21,0))*$R36*INDEX(Parameters!$X$10:$AA$10,1,MATCH($E36,Parameters!$X$3:$AA$3,0))))*(1-Inputs_General!$C$22*Parameters!$F$10))</f>
        <v>2.00805251354895</v>
      </c>
      <c r="BA36" s="43" t="n">
        <f aca="false">MAX(AX36*(1+INDEX(Response_Table!$J$4:$J$21,MATCH($F36&amp;"|low",Response_Table!$A$4:$A$21,0))*$R36*INDEX(Parameters!$X$10:$AA$10,1,MATCH($E36,Parameters!$X$3:$AA$3,0))),AX36*(1+INDEX(Response_Table!$J$4:$J$21,MATCH($F36&amp;"|high",Response_Table!$A$4:$A$21,0))*$R36*INDEX(Parameters!$X$10:$AA$10,1,MATCH($E36,Parameters!$X$3:$AA$3,0))))*(1+Inputs_General!$C$22*Parameters!$F$10)</f>
        <v>3.42783767133174</v>
      </c>
      <c r="BB36" s="45" t="n">
        <f aca="false">IF(AX36=0,0,AY36/AX36-1)</f>
        <v>-0.179374064947222</v>
      </c>
      <c r="BC36" s="46" t="n">
        <f aca="false">Parameters!$E$11*IF($N36="V",Parameters!$I$11,IF($N36="F",Parameters!$J$11,Parameters!$K$11))*(1-Parameters!$L$11*$P36)*IF($D36="V1",Parameters!$M$11,IF($D36="V2",Parameters!$N$11,Parameters!$O$11))</f>
        <v>1.24825892857143</v>
      </c>
      <c r="BD36" s="46" t="n">
        <f aca="false">BC36*(1+INDEX(Response_Table!$K$4:$K$21,MATCH($F36&amp;"|mid",Response_Table!$A$4:$A$21,0))*$R36*INDEX(Parameters!$X$11:$AA$11,1,MATCH($E36,Parameters!$X$3:$AA$3,0)))</f>
        <v>0.857468812980182</v>
      </c>
      <c r="BE36" s="46" t="n">
        <f aca="false">MAX(0,MIN(BC36*(1+INDEX(Response_Table!$K$4:$K$21,MATCH($F36&amp;"|low",Response_Table!$A$4:$A$21,0))*$R36*INDEX(Parameters!$X$11:$AA$11,1,MATCH($E36,Parameters!$X$3:$AA$3,0))),BC36*(1+INDEX(Response_Table!$K$4:$K$21,MATCH($F36&amp;"|high",Response_Table!$A$4:$A$21,0))*$R36*INDEX(Parameters!$X$11:$AA$11,1,MATCH($E36,Parameters!$X$3:$AA$3,0))))*(1-Inputs_General!$C$22*Parameters!$F$11))</f>
        <v>0.632291529721107</v>
      </c>
      <c r="BF36" s="46" t="n">
        <f aca="false">MAX(BC36*(1+INDEX(Response_Table!$K$4:$K$21,MATCH($F36&amp;"|low",Response_Table!$A$4:$A$21,0))*$R36*INDEX(Parameters!$X$11:$AA$11,1,MATCH($E36,Parameters!$X$3:$AA$3,0))),BC36*(1+INDEX(Response_Table!$K$4:$K$21,MATCH($F36&amp;"|high",Response_Table!$A$4:$A$21,0))*$R36*INDEX(Parameters!$X$11:$AA$11,1,MATCH($E36,Parameters!$X$3:$AA$3,0))))*(1+Inputs_General!$C$22*Parameters!$F$11)</f>
        <v>1.14520995746555</v>
      </c>
      <c r="BG36" s="45" t="n">
        <f aca="false">IF(BC36=0,0,BD36/BC36-1)</f>
        <v>-0.313068151684272</v>
      </c>
      <c r="BH36" s="46" t="n">
        <f aca="false">Parameters!$E$12*IF($N36="V",Parameters!$I$12,IF($N36="F",Parameters!$J$12,Parameters!$K$12))*(1-Parameters!$L$12*$P36)*IF($D36="V1",Parameters!$M$12,IF($D36="V2",Parameters!$N$12,Parameters!$O$12))</f>
        <v>0.449373214285714</v>
      </c>
      <c r="BI36" s="46" t="n">
        <f aca="false">BH36*(1+INDEX(Response_Table!$L$4:$L$21,MATCH($F36&amp;"|mid",Response_Table!$A$4:$A$21,0))*$R36*INDEX(Parameters!$X$12:$AA$12,1,MATCH($E36,Parameters!$X$3:$AA$3,0)))</f>
        <v>0.33593465009251</v>
      </c>
      <c r="BJ36" s="46" t="n">
        <f aca="false">MAX(0,MIN(BH36*(1+INDEX(Response_Table!$L$4:$L$21,MATCH($F36&amp;"|low",Response_Table!$A$4:$A$21,0))*$R36*INDEX(Parameters!$X$12:$AA$12,1,MATCH($E36,Parameters!$X$3:$AA$3,0))),BH36*(1+INDEX(Response_Table!$L$4:$L$21,MATCH($F36&amp;"|high",Response_Table!$A$4:$A$21,0))*$R36*INDEX(Parameters!$X$12:$AA$12,1,MATCH($E36,Parameters!$X$3:$AA$3,0))))*(1-Inputs_General!$C$22*Parameters!$F$12))</f>
        <v>0.245535476992629</v>
      </c>
      <c r="BK36" s="46" t="n">
        <f aca="false">MAX(BH36*(1+INDEX(Response_Table!$L$4:$L$21,MATCH($F36&amp;"|low",Response_Table!$A$4:$A$21,0))*$R36*INDEX(Parameters!$X$12:$AA$12,1,MATCH($E36,Parameters!$X$3:$AA$3,0))),BH36*(1+INDEX(Response_Table!$L$4:$L$21,MATCH($F36&amp;"|high",Response_Table!$A$4:$A$21,0))*$R36*INDEX(Parameters!$X$12:$AA$12,1,MATCH($E36,Parameters!$X$3:$AA$3,0))))*(1+Inputs_General!$C$22*Parameters!$F$12)</f>
        <v>0.446578455961845</v>
      </c>
      <c r="BL36" s="45" t="n">
        <f aca="false">IF(BH36=0,0,BI36/BH36-1)</f>
        <v>-0.252437307313736</v>
      </c>
      <c r="BM36" s="46" t="n">
        <f aca="false">Parameters!$E$13*IF($N36="V",Parameters!$I$13,IF($N36="F",Parameters!$J$13,Parameters!$K$13))*(1-Parameters!$L$13*$P36)*IF($D36="V1",Parameters!$M$13,IF($D36="V2",Parameters!$N$13,Parameters!$O$13))</f>
        <v>0.299791071428571</v>
      </c>
      <c r="BN36" s="46" t="n">
        <f aca="false">BM36*(1+INDEX(Response_Table!$M$4:$M$21,MATCH($F36&amp;"|mid",Response_Table!$A$4:$A$21,0))*$R36*INDEX(Parameters!$X$13:$AA$13,1,MATCH($E36,Parameters!$X$3:$AA$3,0)))</f>
        <v>0.271423750791189</v>
      </c>
      <c r="BO36" s="46" t="n">
        <f aca="false">MAX(0,MIN(BM36*(1+INDEX(Response_Table!$M$4:$M$21,MATCH($F36&amp;"|low",Response_Table!$A$4:$A$21,0))*$R36*INDEX(Parameters!$X$13:$AA$13,1,MATCH($E36,Parameters!$X$3:$AA$3,0))),BM36*(1+INDEX(Response_Table!$M$4:$M$21,MATCH($F36&amp;"|high",Response_Table!$A$4:$A$21,0))*$R36*INDEX(Parameters!$X$13:$AA$13,1,MATCH($E36,Parameters!$X$3:$AA$3,0))))*(1-Inputs_General!$C$22*Parameters!$F$13))</f>
        <v>0.199516230520746</v>
      </c>
      <c r="BP36" s="46" t="n">
        <f aca="false">MAX(BM36*(1+INDEX(Response_Table!$M$4:$M$21,MATCH($F36&amp;"|low",Response_Table!$A$4:$A$21,0))*$R36*INDEX(Parameters!$X$13:$AA$13,1,MATCH($E36,Parameters!$X$3:$AA$3,0))),BM36*(1+INDEX(Response_Table!$M$4:$M$21,MATCH($F36&amp;"|high",Response_Table!$A$4:$A$21,0))*$R36*INDEX(Parameters!$X$13:$AA$13,1,MATCH($E36,Parameters!$X$3:$AA$3,0))))*(1+Inputs_General!$C$22*Parameters!$F$13)</f>
        <v>0.353876682537635</v>
      </c>
      <c r="BQ36" s="45" t="n">
        <f aca="false">IF(BM36=0,0,BN36/BM36-1)</f>
        <v>-0.0946236340602346</v>
      </c>
      <c r="BR36" s="44" t="n">
        <f aca="false">Parameters!$E$14*IF($N36="V",Parameters!$I$14,IF($N36="F",Parameters!$J$14,Parameters!$K$14))*(1-Parameters!$L$14*$P36)*IF($D36="V1",Parameters!$M$14,IF($D36="V2",Parameters!$N$14,Parameters!$O$14))*INDEX(Context!$AC$4:$AC$51,$K36)</f>
        <v>15</v>
      </c>
      <c r="BS36" s="44" t="n">
        <f aca="false">BR36*(1+INDEX(Response_Table!$N$4:$N$21,MATCH($F36&amp;"|mid",Response_Table!$A$4:$A$21,0))*$R36*INDEX(Parameters!$X$14:$AA$14,1,MATCH($E36,Parameters!$X$3:$AA$3,0)))</f>
        <v>19.1307923014975</v>
      </c>
      <c r="BT36" s="44" t="n">
        <f aca="false">MAX(0,MIN(BR36*(1+INDEX(Response_Table!$N$4:$N$21,MATCH($F36&amp;"|low",Response_Table!$A$4:$A$21,0))*$R36*INDEX(Parameters!$X$14:$AA$14,1,MATCH($E36,Parameters!$X$3:$AA$3,0))),BR36*(1+INDEX(Response_Table!$N$4:$N$21,MATCH($F36&amp;"|high",Response_Table!$A$4:$A$21,0))*$R36*INDEX(Parameters!$X$14:$AA$14,1,MATCH($E36,Parameters!$X$3:$AA$3,0))))*(1-Inputs_General!$C$22*Parameters!$F$14))</f>
        <v>9.00691477726562</v>
      </c>
      <c r="BU36" s="44" t="n">
        <f aca="false">MAX(BR36*(1+INDEX(Response_Table!$N$4:$N$21,MATCH($F36&amp;"|low",Response_Table!$A$4:$A$21,0))*$R36*INDEX(Parameters!$X$14:$AA$14,1,MATCH($E36,Parameters!$X$3:$AA$3,0))),BR36*(1+INDEX(Response_Table!$N$4:$N$21,MATCH($F36&amp;"|high",Response_Table!$A$4:$A$21,0))*$R36*INDEX(Parameters!$X$14:$AA$14,1,MATCH($E36,Parameters!$X$3:$AA$3,0))))*(1+Inputs_General!$C$22*Parameters!$F$14)</f>
        <v>30.2039034794648</v>
      </c>
      <c r="BV36" s="45" t="n">
        <f aca="false">IF(BR36=0,0,BS36/BR36-1)</f>
        <v>0.275386153433167</v>
      </c>
      <c r="BW36" s="43" t="n">
        <f aca="false">Parameters!$E$15*IF($N36="V",Parameters!$I$15,IF($N36="F",Parameters!$J$15,Parameters!$K$15))*(1-Parameters!$L$15*$P36)*IF($D36="V1",Parameters!$M$15,IF($D36="V2",Parameters!$N$15,Parameters!$O$15))</f>
        <v>10.7849571428571</v>
      </c>
      <c r="BX36" s="43" t="n">
        <f aca="false">BW36*(1+INDEX(Response_Table!$O$4:$O$21,MATCH($F36&amp;"|mid",Response_Table!$A$4:$A$21,0))*$R36*INDEX(Parameters!$X$15:$AA$15,1,MATCH($E36,Parameters!$X$3:$AA$3,0)))</f>
        <v>10.0424501772289</v>
      </c>
      <c r="BY36" s="43" t="n">
        <f aca="false">MAX(0,MIN(BW36*(1+INDEX(Response_Table!$O$4:$O$21,MATCH($F36&amp;"|low",Response_Table!$A$4:$A$21,0))*$R36*INDEX(Parameters!$X$15:$AA$15,1,MATCH($E36,Parameters!$X$3:$AA$3,0))),BW36*(1+INDEX(Response_Table!$O$4:$O$21,MATCH($F36&amp;"|high",Response_Table!$A$4:$A$21,0))*$R36*INDEX(Parameters!$X$15:$AA$15,1,MATCH($E36,Parameters!$X$3:$AA$3,0))))*(1-Inputs_General!$C$22*Parameters!$F$15))</f>
        <v>7.90241883330241</v>
      </c>
      <c r="BZ36" s="43" t="n">
        <f aca="false">MAX(BW36*(1+INDEX(Response_Table!$O$4:$O$21,MATCH($F36&amp;"|low",Response_Table!$A$4:$A$21,0))*$R36*INDEX(Parameters!$X$15:$AA$15,1,MATCH($E36,Parameters!$X$3:$AA$3,0))),BW36*(1+INDEX(Response_Table!$O$4:$O$21,MATCH($F36&amp;"|high",Response_Table!$A$4:$A$21,0))*$R36*INDEX(Parameters!$X$15:$AA$15,1,MATCH($E36,Parameters!$X$3:$AA$3,0))))*(1+Inputs_General!$C$22*Parameters!$F$15)</f>
        <v>12.3149918447373</v>
      </c>
      <c r="CA36" s="45" t="n">
        <f aca="false">IF(BW36=0,0,BX36/BW36-1)</f>
        <v>-0.0688465383582917</v>
      </c>
      <c r="CB36" s="46" t="n">
        <f aca="false">BD36+BI36</f>
        <v>1.19340346307269</v>
      </c>
      <c r="CC36" s="43" t="n">
        <f aca="false">BD36/BI36</f>
        <v>2.55248695763909</v>
      </c>
      <c r="CD36" s="46" t="n">
        <f aca="false">BN36/CB36</f>
        <v>0.227436704509258</v>
      </c>
      <c r="CE36" s="43" t="n">
        <f aca="false">AE36/AO36</f>
        <v>2.8620451943232</v>
      </c>
      <c r="CF36" s="44" t="n">
        <f aca="false">AE36/AJ36</f>
        <v>35.9902232265377</v>
      </c>
      <c r="CG36" s="44" t="n">
        <f aca="false">INDEX(Context!$V$4:$V$51,$K36)</f>
        <v>25.5785714285714</v>
      </c>
      <c r="CH36" s="44" t="n">
        <f aca="false">INDEX(Context!$Y$4:$Y$51,$K36)</f>
        <v>23.620522619794</v>
      </c>
      <c r="CI36" s="44" t="n">
        <f aca="false">INDEX(Context!$Z$4:$Z$51,$K36)</f>
        <v>29.5785714285714</v>
      </c>
      <c r="CJ36" s="43" t="n">
        <f aca="false">INDEX(Context!$AA$4:$AA$51,$K36)</f>
        <v>0.201160714285714</v>
      </c>
      <c r="CK36" s="43" t="n">
        <f aca="false">MAX(0,MIN(1,1-(1-CJ36)*AO36/AN36))</f>
        <v>0.414259141682318</v>
      </c>
      <c r="CL36" s="44" t="n">
        <f aca="false">CH36+CK36*(CI36-CH36)</f>
        <v>26.0886988054195</v>
      </c>
      <c r="CM36" s="44" t="n">
        <f aca="false">CH36+MAX(0,MIN(1,1-(1-CJ36)*AQ36/AN36))*(CI36-CH36)</f>
        <v>24.3414304931957</v>
      </c>
      <c r="CN36" s="44" t="n">
        <f aca="false">CH36+MAX(0,MIN(1,1-(1-CJ36)*AP36/AN36))*(CI36-CH36)</f>
        <v>27.4348690805763</v>
      </c>
      <c r="CO36" s="44" t="n">
        <f aca="false">CL36-CG36</f>
        <v>0.510127376848068</v>
      </c>
      <c r="CP36" s="44" t="n">
        <f aca="false">CL36-(CH36+CJ36*(CI36-CH36))</f>
        <v>1.26965083150268</v>
      </c>
      <c r="CQ36" s="46" t="n">
        <f aca="false">CL36/CG36</f>
        <v>1.01994354447326</v>
      </c>
      <c r="CR36" s="43" t="n">
        <f aca="false">IF(CL36-CH36&lt;=0,"n/a",(CI36-CL36)/(CL36-CH36))</f>
        <v>1.41394793591995</v>
      </c>
      <c r="CS36" s="43" t="n">
        <f aca="false">IF(CI36-CL36&lt;=0,"n/a",(CL36-CH36)/(CI36-CL36))</f>
        <v>0.70723961936362</v>
      </c>
      <c r="CT36" s="43" t="n">
        <f aca="false">Inputs_General!$C$23+Inputs_General!$C$24*$I36</f>
        <v>0.96</v>
      </c>
      <c r="CU36" s="44" t="n">
        <f aca="false">3.29*CT36</f>
        <v>3.1584</v>
      </c>
    </row>
    <row r="37" customFormat="false" ht="15" hidden="false" customHeight="false" outlineLevel="0" collapsed="false">
      <c r="A37" s="9" t="str">
        <f aca="false">B37&amp;"|"&amp;E37&amp;"|"&amp;F37</f>
        <v>D1V2|24/02/2026|High</v>
      </c>
      <c r="B37" s="7" t="s">
        <v>343</v>
      </c>
      <c r="C37" s="9" t="s">
        <v>127</v>
      </c>
      <c r="D37" s="9" t="s">
        <v>146</v>
      </c>
      <c r="E37" s="9" t="s">
        <v>160</v>
      </c>
      <c r="F37" s="7" t="s">
        <v>283</v>
      </c>
      <c r="G37" s="9" t="s">
        <v>284</v>
      </c>
      <c r="H37" s="41" t="n">
        <f aca="false">INDEX(Severity_Classes!$C$4:$C$9,MATCH(F37,Severity_Classes!$A$4:$A$9,0))</f>
        <v>0.26</v>
      </c>
      <c r="I37" s="41" t="n">
        <f aca="false">INDEX(Severity_Classes!$D$4:$D$9,MATCH(F37,Severity_Classes!$A$4:$A$9,0))</f>
        <v>0.38</v>
      </c>
      <c r="J37" s="41" t="n">
        <f aca="false">INDEX(Severity_Classes!$E$4:$E$9,MATCH(F37,Severity_Classes!$A$4:$A$9,0))</f>
        <v>0.5</v>
      </c>
      <c r="K37" s="42" t="n">
        <f aca="false">MATCH(B37&amp;"|"&amp;E37,Context!$A$4:$A$51,0)</f>
        <v>6</v>
      </c>
      <c r="L37" s="42" t="n">
        <f aca="false">INDEX(Context!$H$4:$H$51,K37)</f>
        <v>77</v>
      </c>
      <c r="M37" s="42" t="n">
        <f aca="false">INDEX(Context!$I$4:$I$51,K37)</f>
        <v>19</v>
      </c>
      <c r="N37" s="9" t="str">
        <f aca="false">INDEX(Context!$L$4:$L$51,K37)</f>
        <v>F</v>
      </c>
      <c r="O37" s="9" t="str">
        <f aca="false">INDEX(Context!$M$4:$M$51,K37)</f>
        <v>5th fully expanded leaf from top</v>
      </c>
      <c r="P37" s="43" t="n">
        <f aca="false">INDEX(Context!$R$4:$R$51,K37)</f>
        <v>0.0232142857142859</v>
      </c>
      <c r="Q37" s="43" t="n">
        <f aca="false">INDEX(Context!$U$4:$U$51,K37)</f>
        <v>1.19492600027053</v>
      </c>
      <c r="R37" s="43" t="n">
        <f aca="false">INDEX(Context!$AD$4:$AD$51,K37)</f>
        <v>1.1</v>
      </c>
      <c r="S37" s="9" t="str">
        <f aca="false">INDEX(Context!$AI$4:$AN$51,K37,MATCH(F37,Severity_Classes!$A$4:$A$9,0))</f>
        <v>Likely</v>
      </c>
      <c r="T37" s="44" t="n">
        <f aca="false">Parameters!$E$4*IF($N37="V",Parameters!$I$4,IF($N37="F",Parameters!$J$4,Parameters!$K$4))*(1-Parameters!$L$4*$P37)*IF($D37="V1",Parameters!$M$4,IF($D37="V2",Parameters!$N$4,Parameters!$O$4))</f>
        <v>85.0411767857143</v>
      </c>
      <c r="U37" s="44" t="n">
        <f aca="false">MIN(100,T37*(1+INDEX(Response_Table!$E$4:$E$21,MATCH($F37&amp;"|mid",Response_Table!$A$4:$A$21,0))*$R37*INDEX(Parameters!$X$4:$AA$4,1,MATCH($E37,Parameters!$X$3:$AA$3,0))))</f>
        <v>69.9293772408593</v>
      </c>
      <c r="V37" s="44" t="n">
        <f aca="false">MAX(0,MIN(T37*(1+INDEX(Response_Table!$E$4:$E$21,MATCH($F37&amp;"|low",Response_Table!$A$4:$A$21,0))*$R37*INDEX(Parameters!$X$4:$AA$4,1,MATCH($E37,Parameters!$X$3:$AA$3,0))),T37*(1+INDEX(Response_Table!$E$4:$E$21,MATCH($F37&amp;"|high",Response_Table!$A$4:$A$21,0))*$R37*INDEX(Parameters!$X$4:$AA$4,1,MATCH($E37,Parameters!$X$3:$AA$3,0))))*(1-Inputs_General!$C$22*Parameters!$F$4))</f>
        <v>59.3829384810173</v>
      </c>
      <c r="W37" s="44" t="n">
        <f aca="false">MIN(100,MAX(T37*(1+INDEX(Response_Table!$E$4:$E$21,MATCH($F37&amp;"|low",Response_Table!$A$4:$A$21,0))*$R37*INDEX(Parameters!$X$4:$AA$4,1,MATCH($E37,Parameters!$X$3:$AA$3,0))),T37*(1+INDEX(Response_Table!$E$4:$E$21,MATCH($F37&amp;"|high",Response_Table!$A$4:$A$21,0))*$R37*INDEX(Parameters!$X$4:$AA$4,1,MATCH($E37,Parameters!$X$3:$AA$3,0))))*(1+Inputs_General!$C$22*Parameters!$F$4))</f>
        <v>82.1403518803457</v>
      </c>
      <c r="X37" s="45" t="n">
        <f aca="false">IF(T37=0,0,U37/T37-1)</f>
        <v>-0.177699793394599</v>
      </c>
      <c r="Y37" s="44" t="n">
        <f aca="false">Parameters!$E$5*IF($N37="V",Parameters!$I$5,IF($N37="F",Parameters!$J$5,Parameters!$K$5))*(1-Parameters!$L$5*$P37)*IF($D37="V1",Parameters!$M$5,IF($D37="V2",Parameters!$N$5,Parameters!$O$5))</f>
        <v>70.36344</v>
      </c>
      <c r="Z37" s="44" t="n">
        <f aca="false">MIN(100,Y37*(1+INDEX(Response_Table!$F$4:$F$21,MATCH($F37&amp;"|mid",Response_Table!$A$4:$A$21,0))*$R37*INDEX(Parameters!$X$5:$AA$5,1,MATCH($E37,Parameters!$X$3:$AA$3,0))))</f>
        <v>31.6408726676535</v>
      </c>
      <c r="AA37" s="44" t="n">
        <f aca="false">MAX(0,MIN(Y37*(1+INDEX(Response_Table!$F$4:$F$21,MATCH($F37&amp;"|low",Response_Table!$A$4:$A$21,0))*$R37*INDEX(Parameters!$X$5:$AA$5,1,MATCH($E37,Parameters!$X$3:$AA$3,0))),Y37*(1+INDEX(Response_Table!$F$4:$F$21,MATCH($F37&amp;"|high",Response_Table!$A$4:$A$21,0))*$R37*INDEX(Parameters!$X$5:$AA$5,1,MATCH($E37,Parameters!$X$3:$AA$3,0))))*(1-Inputs_General!$C$22*Parameters!$F$5))</f>
        <v>19.3929951446936</v>
      </c>
      <c r="AB37" s="44" t="n">
        <f aca="false">MIN(100,MAX(Y37*(1+INDEX(Response_Table!$F$4:$F$21,MATCH($F37&amp;"|low",Response_Table!$A$4:$A$21,0))*$R37*INDEX(Parameters!$X$5:$AA$5,1,MATCH($E37,Parameters!$X$3:$AA$3,0))),Y37*(1+INDEX(Response_Table!$F$4:$F$21,MATCH($F37&amp;"|high",Response_Table!$A$4:$A$21,0))*$R37*INDEX(Parameters!$X$5:$AA$5,1,MATCH($E37,Parameters!$X$3:$AA$3,0))))*(1+Inputs_General!$C$22*Parameters!$F$5))</f>
        <v>53.2874885971167</v>
      </c>
      <c r="AC37" s="45" t="n">
        <f aca="false">IF(Y37=0,0,Z37/Y37-1)</f>
        <v>-0.550322260144565</v>
      </c>
      <c r="AD37" s="44" t="n">
        <f aca="false">Parameters!$E$6*IF($N37="V",Parameters!$I$6,IF($N37="F",Parameters!$J$6,Parameters!$K$6))*(1-Parameters!$L$6*$P37)*IF($D37="V1",Parameters!$M$6,IF($D37="V2",Parameters!$N$6,Parameters!$O$6))</f>
        <v>18.9470714285714</v>
      </c>
      <c r="AE37" s="44" t="n">
        <f aca="false">AD37*(1+INDEX(Response_Table!$G$4:$G$21,MATCH($F37&amp;"|mid",Response_Table!$A$4:$A$21,0))*$R37*INDEX(Parameters!$X$6:$AA$6,1,MATCH($E37,Parameters!$X$3:$AA$3,0)))</f>
        <v>6.25241101976886</v>
      </c>
      <c r="AF37" s="44" t="n">
        <f aca="false">MAX(0,MIN(AD37*(1+INDEX(Response_Table!$G$4:$G$21,MATCH($F37&amp;"|low",Response_Table!$A$4:$A$21,0))*$R37*INDEX(Parameters!$X$6:$AA$6,1,MATCH($E37,Parameters!$X$3:$AA$3,0))),AD37*(1+INDEX(Response_Table!$G$4:$G$21,MATCH($F37&amp;"|high",Response_Table!$A$4:$A$21,0))*$R37*INDEX(Parameters!$X$6:$AA$6,1,MATCH($E37,Parameters!$X$3:$AA$3,0))))*(1-Inputs_General!$C$22*Parameters!$F$6))</f>
        <v>4.05131505550024</v>
      </c>
      <c r="AG37" s="44" t="n">
        <f aca="false">MAX(AD37*(1+INDEX(Response_Table!$G$4:$G$21,MATCH($F37&amp;"|low",Response_Table!$A$4:$A$21,0))*$R37*INDEX(Parameters!$X$6:$AA$6,1,MATCH($E37,Parameters!$X$3:$AA$3,0))),AD37*(1+INDEX(Response_Table!$G$4:$G$21,MATCH($F37&amp;"|high",Response_Table!$A$4:$A$21,0))*$R37*INDEX(Parameters!$X$6:$AA$6,1,MATCH($E37,Parameters!$X$3:$AA$3,0))))*(1+Inputs_General!$C$22*Parameters!$F$6)</f>
        <v>9.93240734609386</v>
      </c>
      <c r="AH37" s="45" t="n">
        <f aca="false">IF(AD37=0,0,AE37/AD37-1)</f>
        <v>-0.670006468105648</v>
      </c>
      <c r="AI37" s="46" t="n">
        <f aca="false">Parameters!$E$7*IF($N37="V",Parameters!$I$7,IF($N37="F",Parameters!$J$7,Parameters!$K$7))*(1-Parameters!$L$7*$P37)*IF($D37="V1",Parameters!$M$7,IF($D37="V2",Parameters!$N$7,Parameters!$O$7))*POWER($Q37/Inputs_General!$C$26,-Inputs_General!$C$25)</f>
        <v>0.411663164578586</v>
      </c>
      <c r="AJ37" s="46" t="n">
        <f aca="false">AI37*(1+INDEX(Response_Table!$H$4:$H$21,MATCH($F37&amp;"|mid",Response_Table!$A$4:$A$21,0))*$R37*INDEX(Parameters!$X$7:$AA$7,1,MATCH($E37,Parameters!$X$3:$AA$3,0)))</f>
        <v>0.211459264993426</v>
      </c>
      <c r="AK37" s="46" t="n">
        <f aca="false">MAX(0,MIN(AI37*(1+INDEX(Response_Table!$H$4:$H$21,MATCH($F37&amp;"|low",Response_Table!$A$4:$A$21,0))*$R37*INDEX(Parameters!$X$7:$AA$7,1,MATCH($E37,Parameters!$X$3:$AA$3,0))),AI37*(1+INDEX(Response_Table!$H$4:$H$21,MATCH($F37&amp;"|high",Response_Table!$A$4:$A$21,0))*$R37*INDEX(Parameters!$X$7:$AA$7,1,MATCH($E37,Parameters!$X$3:$AA$3,0))))*(1-Inputs_General!$C$22*Parameters!$F$7))</f>
        <v>0.128813662278162</v>
      </c>
      <c r="AL37" s="46" t="n">
        <f aca="false">MAX(AI37*(1+INDEX(Response_Table!$H$4:$H$21,MATCH($F37&amp;"|low",Response_Table!$A$4:$A$21,0))*$R37*INDEX(Parameters!$X$7:$AA$7,1,MATCH($E37,Parameters!$X$3:$AA$3,0))),AI37*(1+INDEX(Response_Table!$H$4:$H$21,MATCH($F37&amp;"|high",Response_Table!$A$4:$A$21,0))*$R37*INDEX(Parameters!$X$7:$AA$7,1,MATCH($E37,Parameters!$X$3:$AA$3,0))))*(1+Inputs_General!$C$22*Parameters!$F$7)</f>
        <v>0.326942318178776</v>
      </c>
      <c r="AM37" s="45" t="n">
        <f aca="false">IF(AI37=0,0,AJ37/AI37-1)</f>
        <v>-0.486329399401343</v>
      </c>
      <c r="AN37" s="43" t="n">
        <f aca="false">AI37*$Q37/Inputs_General!$C$13*1000</f>
        <v>4.95374641196979</v>
      </c>
      <c r="AO37" s="43" t="n">
        <f aca="false">AJ37*$Q37/Inputs_General!$C$13*1000*(1+Inputs_General!$C$21*$I37)</f>
        <v>2.78633031464171</v>
      </c>
      <c r="AP37" s="43" t="n">
        <f aca="false">AK37*$Q37/Inputs_General!$C$13*1000*(1+Inputs_General!$C$21*$H37)</f>
        <v>1.65083359387965</v>
      </c>
      <c r="AQ37" s="43" t="n">
        <f aca="false">AL37*$Q37/Inputs_General!$C$13*1000*(1+Inputs_General!$C$21*$J37)</f>
        <v>4.4260408978158</v>
      </c>
      <c r="AR37" s="45" t="n">
        <f aca="false">IF(AN37=0,0,AO37/AN37-1)</f>
        <v>-0.437530692344471</v>
      </c>
      <c r="AS37" s="42" t="n">
        <f aca="false">Parameters!$E$9*IF($N37="V",Parameters!$I$9,IF($N37="F",Parameters!$J$9,Parameters!$K$9))*(1-Parameters!$L$9*$P37)*IF($D37="V1",Parameters!$M$9,IF($D37="V2",Parameters!$N$9,Parameters!$O$9))</f>
        <v>285</v>
      </c>
      <c r="AT37" s="42" t="n">
        <f aca="false">AS37*(1+INDEX(Response_Table!$I$4:$I$21,MATCH($F37&amp;"|mid",Response_Table!$A$4:$A$21,0))*$R37*INDEX(Parameters!$X$9:$AA$9,1,MATCH($E37,Parameters!$X$3:$AA$3,0)))</f>
        <v>358.480147032144</v>
      </c>
      <c r="AU37" s="42" t="n">
        <f aca="false">MAX(0,MIN(AS37*(1+INDEX(Response_Table!$I$4:$I$21,MATCH($F37&amp;"|low",Response_Table!$A$4:$A$21,0))*$R37*INDEX(Parameters!$X$9:$AA$9,1,MATCH($E37,Parameters!$X$3:$AA$3,0))),AS37*(1+INDEX(Response_Table!$I$4:$I$21,MATCH($F37&amp;"|high",Response_Table!$A$4:$A$21,0))*$R37*INDEX(Parameters!$X$9:$AA$9,1,MATCH($E37,Parameters!$X$3:$AA$3,0))))*(1-Inputs_General!$C$22*Parameters!$F$9))</f>
        <v>311.676378308909</v>
      </c>
      <c r="AV37" s="42" t="n">
        <f aca="false">MAX(AS37*(1+INDEX(Response_Table!$I$4:$I$21,MATCH($F37&amp;"|low",Response_Table!$A$4:$A$21,0))*$R37*INDEX(Parameters!$X$9:$AA$9,1,MATCH($E37,Parameters!$X$3:$AA$3,0))),AS37*(1+INDEX(Response_Table!$I$4:$I$21,MATCH($F37&amp;"|high",Response_Table!$A$4:$A$21,0))*$R37*INDEX(Parameters!$X$9:$AA$9,1,MATCH($E37,Parameters!$X$3:$AA$3,0))))*(1+Inputs_General!$C$22*Parameters!$F$9)</f>
        <v>402.477670041161</v>
      </c>
      <c r="AW37" s="45" t="n">
        <f aca="false">IF(AS37=0,0,AT37/AS37-1)</f>
        <v>0.257825077305769</v>
      </c>
      <c r="AX37" s="43" t="n">
        <f aca="false">INDEX(Context!$AB$4:$AB$51,$K37)</f>
        <v>3.24945780185873</v>
      </c>
      <c r="AY37" s="43" t="n">
        <f aca="false">AX37*(1+INDEX(Response_Table!$J$4:$J$21,MATCH($F37&amp;"|mid",Response_Table!$A$4:$A$21,0))*$R37*INDEX(Parameters!$X$10:$AA$10,1,MATCH($E37,Parameters!$X$3:$AA$3,0)))</f>
        <v>2.26304201474037</v>
      </c>
      <c r="AZ37" s="43" t="n">
        <f aca="false">MAX(0,MIN(AX37*(1+INDEX(Response_Table!$J$4:$J$21,MATCH($F37&amp;"|low",Response_Table!$A$4:$A$21,0))*$R37*INDEX(Parameters!$X$10:$AA$10,1,MATCH($E37,Parameters!$X$3:$AA$3,0))),AX37*(1+INDEX(Response_Table!$J$4:$J$21,MATCH($F37&amp;"|high",Response_Table!$A$4:$A$21,0))*$R37*INDEX(Parameters!$X$10:$AA$10,1,MATCH($E37,Parameters!$X$3:$AA$3,0))))*(1-Inputs_General!$C$22*Parameters!$F$10))</f>
        <v>1.68691582603942</v>
      </c>
      <c r="BA37" s="43" t="n">
        <f aca="false">MAX(AX37*(1+INDEX(Response_Table!$J$4:$J$21,MATCH($F37&amp;"|low",Response_Table!$A$4:$A$21,0))*$R37*INDEX(Parameters!$X$10:$AA$10,1,MATCH($E37,Parameters!$X$3:$AA$3,0))),AX37*(1+INDEX(Response_Table!$J$4:$J$21,MATCH($F37&amp;"|high",Response_Table!$A$4:$A$21,0))*$R37*INDEX(Parameters!$X$10:$AA$10,1,MATCH($E37,Parameters!$X$3:$AA$3,0))))*(1+Inputs_General!$C$22*Parameters!$F$10)</f>
        <v>2.9703629061488</v>
      </c>
      <c r="BB37" s="45" t="n">
        <f aca="false">IF(AX37=0,0,AY37/AX37-1)</f>
        <v>-0.303563193390022</v>
      </c>
      <c r="BC37" s="46" t="n">
        <f aca="false">Parameters!$E$11*IF($N37="V",Parameters!$I$11,IF($N37="F",Parameters!$J$11,Parameters!$K$11))*(1-Parameters!$L$11*$P37)*IF($D37="V1",Parameters!$M$11,IF($D37="V2",Parameters!$N$11,Parameters!$O$11))</f>
        <v>1.24825892857143</v>
      </c>
      <c r="BD37" s="46" t="n">
        <f aca="false">BC37*(1+INDEX(Response_Table!$K$4:$K$21,MATCH($F37&amp;"|mid",Response_Table!$A$4:$A$21,0))*$R37*INDEX(Parameters!$X$11:$AA$11,1,MATCH($E37,Parameters!$X$3:$AA$3,0)))</f>
        <v>0.620304322840747</v>
      </c>
      <c r="BE37" s="46" t="n">
        <f aca="false">MAX(0,MIN(BC37*(1+INDEX(Response_Table!$K$4:$K$21,MATCH($F37&amp;"|low",Response_Table!$A$4:$A$21,0))*$R37*INDEX(Parameters!$X$11:$AA$11,1,MATCH($E37,Parameters!$X$3:$AA$3,0))),BC37*(1+INDEX(Response_Table!$K$4:$K$21,MATCH($F37&amp;"|high",Response_Table!$A$4:$A$21,0))*$R37*INDEX(Parameters!$X$11:$AA$11,1,MATCH($E37,Parameters!$X$3:$AA$3,0))))*(1-Inputs_General!$C$22*Parameters!$F$11))</f>
        <v>0.447784114088688</v>
      </c>
      <c r="BF37" s="46" t="n">
        <f aca="false">MAX(BC37*(1+INDEX(Response_Table!$K$4:$K$21,MATCH($F37&amp;"|low",Response_Table!$A$4:$A$21,0))*$R37*INDEX(Parameters!$X$11:$AA$11,1,MATCH($E37,Parameters!$X$3:$AA$3,0))),BC37*(1+INDEX(Response_Table!$K$4:$K$21,MATCH($F37&amp;"|high",Response_Table!$A$4:$A$21,0))*$R37*INDEX(Parameters!$X$11:$AA$11,1,MATCH($E37,Parameters!$X$3:$AA$3,0))))*(1+Inputs_General!$C$22*Parameters!$F$11)</f>
        <v>0.866565524195137</v>
      </c>
      <c r="BG37" s="45" t="n">
        <f aca="false">IF(BC37=0,0,BD37/BC37-1)</f>
        <v>-0.503064381401497</v>
      </c>
      <c r="BH37" s="46" t="n">
        <f aca="false">Parameters!$E$12*IF($N37="V",Parameters!$I$12,IF($N37="F",Parameters!$J$12,Parameters!$K$12))*(1-Parameters!$L$12*$P37)*IF($D37="V1",Parameters!$M$12,IF($D37="V2",Parameters!$N$12,Parameters!$O$12))</f>
        <v>0.449373214285714</v>
      </c>
      <c r="BI37" s="46" t="n">
        <f aca="false">BH37*(1+INDEX(Response_Table!$L$4:$L$21,MATCH($F37&amp;"|mid",Response_Table!$A$4:$A$21,0))*$R37*INDEX(Parameters!$X$12:$AA$12,1,MATCH($E37,Parameters!$X$3:$AA$3,0)))</f>
        <v>0.264451871245957</v>
      </c>
      <c r="BJ37" s="46" t="n">
        <f aca="false">MAX(0,MIN(BH37*(1+INDEX(Response_Table!$L$4:$L$21,MATCH($F37&amp;"|low",Response_Table!$A$4:$A$21,0))*$R37*INDEX(Parameters!$X$12:$AA$12,1,MATCH($E37,Parameters!$X$3:$AA$3,0))),BH37*(1+INDEX(Response_Table!$L$4:$L$21,MATCH($F37&amp;"|high",Response_Table!$A$4:$A$21,0))*$R37*INDEX(Parameters!$X$12:$AA$12,1,MATCH($E37,Parameters!$X$3:$AA$3,0))))*(1-Inputs_General!$C$22*Parameters!$F$12))</f>
        <v>0.191151223856296</v>
      </c>
      <c r="BK37" s="46" t="n">
        <f aca="false">MAX(BH37*(1+INDEX(Response_Table!$L$4:$L$21,MATCH($F37&amp;"|low",Response_Table!$A$4:$A$21,0))*$R37*INDEX(Parameters!$X$12:$AA$12,1,MATCH($E37,Parameters!$X$3:$AA$3,0))),BH37*(1+INDEX(Response_Table!$L$4:$L$21,MATCH($F37&amp;"|high",Response_Table!$A$4:$A$21,0))*$R37*INDEX(Parameters!$X$12:$AA$12,1,MATCH($E37,Parameters!$X$3:$AA$3,0))))*(1+Inputs_General!$C$22*Parameters!$F$12)</f>
        <v>0.361770014418431</v>
      </c>
      <c r="BL37" s="45" t="n">
        <f aca="false">IF(BH37=0,0,BI37/BH37-1)</f>
        <v>-0.411509491801136</v>
      </c>
      <c r="BM37" s="46" t="n">
        <f aca="false">Parameters!$E$13*IF($N37="V",Parameters!$I$13,IF($N37="F",Parameters!$J$13,Parameters!$K$13))*(1-Parameters!$L$13*$P37)*IF($D37="V1",Parameters!$M$13,IF($D37="V2",Parameters!$N$13,Parameters!$O$13))</f>
        <v>0.299791071428571</v>
      </c>
      <c r="BN37" s="46" t="n">
        <f aca="false">BM37*(1+INDEX(Response_Table!$M$4:$M$21,MATCH($F37&amp;"|mid",Response_Table!$A$4:$A$21,0))*$R37*INDEX(Parameters!$X$13:$AA$13,1,MATCH($E37,Parameters!$X$3:$AA$3,0)))</f>
        <v>0.217689981554087</v>
      </c>
      <c r="BO37" s="46" t="n">
        <f aca="false">MAX(0,MIN(BM37*(1+INDEX(Response_Table!$M$4:$M$21,MATCH($F37&amp;"|low",Response_Table!$A$4:$A$21,0))*$R37*INDEX(Parameters!$X$13:$AA$13,1,MATCH($E37,Parameters!$X$3:$AA$3,0))),BM37*(1+INDEX(Response_Table!$M$4:$M$21,MATCH($F37&amp;"|high",Response_Table!$A$4:$A$21,0))*$R37*INDEX(Parameters!$X$13:$AA$13,1,MATCH($E37,Parameters!$X$3:$AA$3,0))))*(1-Inputs_General!$C$22*Parameters!$F$13))</f>
        <v>0.160789388561603</v>
      </c>
      <c r="BP37" s="46" t="n">
        <f aca="false">MAX(BM37*(1+INDEX(Response_Table!$M$4:$M$21,MATCH($F37&amp;"|low",Response_Table!$A$4:$A$21,0))*$R37*INDEX(Parameters!$X$13:$AA$13,1,MATCH($E37,Parameters!$X$3:$AA$3,0))),BM37*(1+INDEX(Response_Table!$M$4:$M$21,MATCH($F37&amp;"|high",Response_Table!$A$4:$A$21,0))*$R37*INDEX(Parameters!$X$13:$AA$13,1,MATCH($E37,Parameters!$X$3:$AA$3,0))))*(1+Inputs_General!$C$22*Parameters!$F$13)</f>
        <v>0.294154613219932</v>
      </c>
      <c r="BQ37" s="45" t="n">
        <f aca="false">IF(BM37=0,0,BN37/BM37-1)</f>
        <v>-0.273861024223485</v>
      </c>
      <c r="BR37" s="44" t="n">
        <f aca="false">Parameters!$E$14*IF($N37="V",Parameters!$I$14,IF($N37="F",Parameters!$J$14,Parameters!$K$14))*(1-Parameters!$L$14*$P37)*IF($D37="V1",Parameters!$M$14,IF($D37="V2",Parameters!$N$14,Parameters!$O$14))*INDEX(Context!$AC$4:$AC$51,$K37)</f>
        <v>15</v>
      </c>
      <c r="BS37" s="44" t="n">
        <f aca="false">BR37*(1+INDEX(Response_Table!$N$4:$N$21,MATCH($F37&amp;"|mid",Response_Table!$A$4:$A$21,0))*$R37*INDEX(Parameters!$X$14:$AA$14,1,MATCH($E37,Parameters!$X$3:$AA$3,0)))</f>
        <v>21.7337916840186</v>
      </c>
      <c r="BT37" s="44" t="n">
        <f aca="false">MAX(0,MIN(BR37*(1+INDEX(Response_Table!$N$4:$N$21,MATCH($F37&amp;"|low",Response_Table!$A$4:$A$21,0))*$R37*INDEX(Parameters!$X$14:$AA$14,1,MATCH($E37,Parameters!$X$3:$AA$3,0))),BR37*(1+INDEX(Response_Table!$N$4:$N$21,MATCH($F37&amp;"|high",Response_Table!$A$4:$A$21,0))*$R37*INDEX(Parameters!$X$14:$AA$14,1,MATCH($E37,Parameters!$X$3:$AA$3,0))))*(1-Inputs_General!$C$22*Parameters!$F$14))</f>
        <v>10.3132418172117</v>
      </c>
      <c r="BU37" s="44" t="n">
        <f aca="false">MAX(BR37*(1+INDEX(Response_Table!$N$4:$N$21,MATCH($F37&amp;"|low",Response_Table!$A$4:$A$21,0))*$R37*INDEX(Parameters!$X$14:$AA$14,1,MATCH($E37,Parameters!$X$3:$AA$3,0))),BR37*(1+INDEX(Response_Table!$N$4:$N$21,MATCH($F37&amp;"|high",Response_Table!$A$4:$A$21,0))*$R37*INDEX(Parameters!$X$14:$AA$14,1,MATCH($E37,Parameters!$X$3:$AA$3,0))))*(1+Inputs_General!$C$22*Parameters!$F$14)</f>
        <v>33.8890255476014</v>
      </c>
      <c r="BV37" s="45" t="n">
        <f aca="false">IF(BR37=0,0,BS37/BR37-1)</f>
        <v>0.448919445601239</v>
      </c>
      <c r="BW37" s="43" t="n">
        <f aca="false">Parameters!$E$15*IF($N37="V",Parameters!$I$15,IF($N37="F",Parameters!$J$15,Parameters!$K$15))*(1-Parameters!$L$15*$P37)*IF($D37="V1",Parameters!$M$15,IF($D37="V2",Parameters!$N$15,Parameters!$O$15))</f>
        <v>10.7849571428571</v>
      </c>
      <c r="BX37" s="43" t="n">
        <f aca="false">BW37*(1+INDEX(Response_Table!$O$4:$O$21,MATCH($F37&amp;"|mid",Response_Table!$A$4:$A$21,0))*$R37*INDEX(Parameters!$X$15:$AA$15,1,MATCH($E37,Parameters!$X$3:$AA$3,0)))</f>
        <v>9.574562897506</v>
      </c>
      <c r="BY37" s="43" t="n">
        <f aca="false">MAX(0,MIN(BW37*(1+INDEX(Response_Table!$O$4:$O$21,MATCH($F37&amp;"|low",Response_Table!$A$4:$A$21,0))*$R37*INDEX(Parameters!$X$15:$AA$15,1,MATCH($E37,Parameters!$X$3:$AA$3,0))),BW37*(1+INDEX(Response_Table!$O$4:$O$21,MATCH($F37&amp;"|high",Response_Table!$A$4:$A$21,0))*$R37*INDEX(Parameters!$X$15:$AA$15,1,MATCH($E37,Parameters!$X$3:$AA$3,0))))*(1-Inputs_General!$C$22*Parameters!$F$15))</f>
        <v>7.54644917641004</v>
      </c>
      <c r="BZ37" s="43" t="n">
        <f aca="false">MAX(BW37*(1+INDEX(Response_Table!$O$4:$O$21,MATCH($F37&amp;"|low",Response_Table!$A$4:$A$21,0))*$R37*INDEX(Parameters!$X$15:$AA$15,1,MATCH($E37,Parameters!$X$3:$AA$3,0))),BW37*(1+INDEX(Response_Table!$O$4:$O$21,MATCH($F37&amp;"|high",Response_Table!$A$4:$A$21,0))*$R37*INDEX(Parameters!$X$15:$AA$15,1,MATCH($E37,Parameters!$X$3:$AA$3,0))))*(1+Inputs_General!$C$22*Parameters!$F$15)</f>
        <v>11.759882045544</v>
      </c>
      <c r="CA37" s="45" t="n">
        <f aca="false">IF(BW37=0,0,BX37/BW37-1)</f>
        <v>-0.11222986140031</v>
      </c>
      <c r="CB37" s="46" t="n">
        <f aca="false">BD37+BI37</f>
        <v>0.884756194086704</v>
      </c>
      <c r="CC37" s="43" t="n">
        <f aca="false">BD37/BI37</f>
        <v>2.34562274004038</v>
      </c>
      <c r="CD37" s="46" t="n">
        <f aca="false">BN37/CB37</f>
        <v>0.246045162508072</v>
      </c>
      <c r="CE37" s="43" t="n">
        <f aca="false">AE37/AO37</f>
        <v>2.24395901193533</v>
      </c>
      <c r="CF37" s="44" t="n">
        <f aca="false">AE37/AJ37</f>
        <v>29.56792184047</v>
      </c>
      <c r="CG37" s="44" t="n">
        <f aca="false">INDEX(Context!$V$4:$V$51,$K37)</f>
        <v>25.5785714285714</v>
      </c>
      <c r="CH37" s="44" t="n">
        <f aca="false">INDEX(Context!$Y$4:$Y$51,$K37)</f>
        <v>23.620522619794</v>
      </c>
      <c r="CI37" s="44" t="n">
        <f aca="false">INDEX(Context!$Z$4:$Z$51,$K37)</f>
        <v>29.5785714285714</v>
      </c>
      <c r="CJ37" s="43" t="n">
        <f aca="false">INDEX(Context!$AA$4:$AA$51,$K37)</f>
        <v>0.201160714285714</v>
      </c>
      <c r="CK37" s="43" t="n">
        <f aca="false">MAX(0,MIN(1,1-(1-CJ37)*AO37/AN37))</f>
        <v>0.550677420036248</v>
      </c>
      <c r="CL37" s="44" t="n">
        <f aca="false">CH37+CK37*(CI37-CH37)</f>
        <v>26.9014855662616</v>
      </c>
      <c r="CM37" s="44" t="n">
        <f aca="false">CH37+MAX(0,MIN(1,1-(1-CJ37)*AQ37/AN37))*(CI37-CH37)</f>
        <v>25.3260635865242</v>
      </c>
      <c r="CN37" s="44" t="n">
        <f aca="false">CH37+MAX(0,MIN(1,1-(1-CJ37)*AP37/AN37))*(CI37-CH37)</f>
        <v>27.9924625412015</v>
      </c>
      <c r="CO37" s="44" t="n">
        <f aca="false">CL37-CG37</f>
        <v>1.32291413769017</v>
      </c>
      <c r="CP37" s="44" t="n">
        <f aca="false">CL37-(CH37+CJ37*(CI37-CH37))</f>
        <v>2.08243759234478</v>
      </c>
      <c r="CQ37" s="46" t="n">
        <f aca="false">CL37/CG37</f>
        <v>1.05171962560084</v>
      </c>
      <c r="CR37" s="43" t="n">
        <f aca="false">IF(CL37-CH37&lt;=0,"n/a",(CI37-CL37)/(CL37-CH37))</f>
        <v>0.815945167924582</v>
      </c>
      <c r="CS37" s="43" t="n">
        <f aca="false">IF(CI37-CL37&lt;=0,"n/a",(CL37-CH37)/(CI37-CL37))</f>
        <v>1.22557254986089</v>
      </c>
      <c r="CT37" s="43" t="n">
        <f aca="false">Inputs_General!$C$23+Inputs_General!$C$24*$I37</f>
        <v>1.36</v>
      </c>
      <c r="CU37" s="44" t="n">
        <f aca="false">3.29*CT37</f>
        <v>4.4744</v>
      </c>
    </row>
    <row r="38" customFormat="false" ht="15" hidden="false" customHeight="false" outlineLevel="0" collapsed="false">
      <c r="A38" s="9" t="str">
        <f aca="false">B38&amp;"|"&amp;E38&amp;"|"&amp;F38</f>
        <v>D1V2|24/02/2026|Very high</v>
      </c>
      <c r="B38" s="7" t="s">
        <v>343</v>
      </c>
      <c r="C38" s="9" t="s">
        <v>127</v>
      </c>
      <c r="D38" s="9" t="s">
        <v>146</v>
      </c>
      <c r="E38" s="9" t="s">
        <v>160</v>
      </c>
      <c r="F38" s="7" t="s">
        <v>285</v>
      </c>
      <c r="G38" s="9" t="s">
        <v>286</v>
      </c>
      <c r="H38" s="41" t="n">
        <f aca="false">INDEX(Severity_Classes!$C$4:$C$9,MATCH(F38,Severity_Classes!$A$4:$A$9,0))</f>
        <v>0.51</v>
      </c>
      <c r="I38" s="41" t="n">
        <f aca="false">INDEX(Severity_Classes!$D$4:$D$9,MATCH(F38,Severity_Classes!$A$4:$A$9,0))</f>
        <v>0.65</v>
      </c>
      <c r="J38" s="41" t="n">
        <f aca="false">INDEX(Severity_Classes!$E$4:$E$9,MATCH(F38,Severity_Classes!$A$4:$A$9,0))</f>
        <v>0.85</v>
      </c>
      <c r="K38" s="42" t="n">
        <f aca="false">MATCH(B38&amp;"|"&amp;E38,Context!$A$4:$A$51,0)</f>
        <v>6</v>
      </c>
      <c r="L38" s="42" t="n">
        <f aca="false">INDEX(Context!$H$4:$H$51,K38)</f>
        <v>77</v>
      </c>
      <c r="M38" s="42" t="n">
        <f aca="false">INDEX(Context!$I$4:$I$51,K38)</f>
        <v>19</v>
      </c>
      <c r="N38" s="9" t="str">
        <f aca="false">INDEX(Context!$L$4:$L$51,K38)</f>
        <v>F</v>
      </c>
      <c r="O38" s="9" t="str">
        <f aca="false">INDEX(Context!$M$4:$M$51,K38)</f>
        <v>5th fully expanded leaf from top</v>
      </c>
      <c r="P38" s="43" t="n">
        <f aca="false">INDEX(Context!$R$4:$R$51,K38)</f>
        <v>0.0232142857142859</v>
      </c>
      <c r="Q38" s="43" t="n">
        <f aca="false">INDEX(Context!$U$4:$U$51,K38)</f>
        <v>1.19492600027053</v>
      </c>
      <c r="R38" s="43" t="n">
        <f aca="false">INDEX(Context!$AD$4:$AD$51,K38)</f>
        <v>1.1</v>
      </c>
      <c r="S38" s="9" t="str">
        <f aca="false">INDEX(Context!$AI$4:$AN$51,K38,MATCH(F38,Severity_Classes!$A$4:$A$9,0))</f>
        <v>Possible</v>
      </c>
      <c r="T38" s="44" t="n">
        <f aca="false">Parameters!$E$4*IF($N38="V",Parameters!$I$4,IF($N38="F",Parameters!$J$4,Parameters!$K$4))*(1-Parameters!$L$4*$P38)*IF($D38="V1",Parameters!$M$4,IF($D38="V2",Parameters!$N$4,Parameters!$O$4))</f>
        <v>85.0411767857143</v>
      </c>
      <c r="U38" s="44" t="n">
        <f aca="false">MIN(100,T38*(1+INDEX(Response_Table!$E$4:$E$21,MATCH($F38&amp;"|mid",Response_Table!$A$4:$A$21,0))*$R38*INDEX(Parameters!$X$4:$AA$4,1,MATCH($E38,Parameters!$X$3:$AA$3,0))))</f>
        <v>59.2216414220062</v>
      </c>
      <c r="V38" s="44" t="n">
        <f aca="false">MAX(0,MIN(T38*(1+INDEX(Response_Table!$E$4:$E$21,MATCH($F38&amp;"|low",Response_Table!$A$4:$A$21,0))*$R38*INDEX(Parameters!$X$4:$AA$4,1,MATCH($E38,Parameters!$X$3:$AA$3,0))),T38*(1+INDEX(Response_Table!$E$4:$E$21,MATCH($F38&amp;"|high",Response_Table!$A$4:$A$21,0))*$R38*INDEX(Parameters!$X$4:$AA$4,1,MATCH($E38,Parameters!$X$3:$AA$3,0))))*(1-Inputs_General!$C$22*Parameters!$F$4))</f>
        <v>53.6503816884635</v>
      </c>
      <c r="W38" s="44" t="n">
        <f aca="false">MIN(100,MAX(T38*(1+INDEX(Response_Table!$E$4:$E$21,MATCH($F38&amp;"|low",Response_Table!$A$4:$A$21,0))*$R38*INDEX(Parameters!$X$4:$AA$4,1,MATCH($E38,Parameters!$X$3:$AA$3,0))),T38*(1+INDEX(Response_Table!$E$4:$E$21,MATCH($F38&amp;"|high",Response_Table!$A$4:$A$21,0))*$R38*INDEX(Parameters!$X$4:$AA$4,1,MATCH($E38,Parameters!$X$3:$AA$3,0))))*(1+Inputs_General!$C$22*Parameters!$F$4))</f>
        <v>67.3038745592432</v>
      </c>
      <c r="X38" s="45" t="n">
        <f aca="false">IF(T38=0,0,U38/T38-1)</f>
        <v>-0.30361215989247</v>
      </c>
      <c r="Y38" s="44" t="n">
        <f aca="false">Parameters!$E$5*IF($N38="V",Parameters!$I$5,IF($N38="F",Parameters!$J$5,Parameters!$K$5))*(1-Parameters!$L$5*$P38)*IF($D38="V1",Parameters!$M$5,IF($D38="V2",Parameters!$N$5,Parameters!$O$5))</f>
        <v>70.36344</v>
      </c>
      <c r="Z38" s="44" t="n">
        <f aca="false">MIN(100,Y38*(1+INDEX(Response_Table!$F$4:$F$21,MATCH($F38&amp;"|mid",Response_Table!$A$4:$A$21,0))*$R38*INDEX(Parameters!$X$5:$AA$5,1,MATCH($E38,Parameters!$X$3:$AA$3,0))))</f>
        <v>17.5702803872931</v>
      </c>
      <c r="AA38" s="44" t="n">
        <f aca="false">MAX(0,MIN(Y38*(1+INDEX(Response_Table!$F$4:$F$21,MATCH($F38&amp;"|low",Response_Table!$A$4:$A$21,0))*$R38*INDEX(Parameters!$X$5:$AA$5,1,MATCH($E38,Parameters!$X$3:$AA$3,0))),Y38*(1+INDEX(Response_Table!$F$4:$F$21,MATCH($F38&amp;"|high",Response_Table!$A$4:$A$21,0))*$R38*INDEX(Parameters!$X$5:$AA$5,1,MATCH($E38,Parameters!$X$3:$AA$3,0))))*(1-Inputs_General!$C$22*Parameters!$F$5))</f>
        <v>14.4896467569336</v>
      </c>
      <c r="AB38" s="44" t="n">
        <f aca="false">MIN(100,MAX(Y38*(1+INDEX(Response_Table!$F$4:$F$21,MATCH($F38&amp;"|low",Response_Table!$A$4:$A$21,0))*$R38*INDEX(Parameters!$X$5:$AA$5,1,MATCH($E38,Parameters!$X$3:$AA$3,0))),Y38*(1+INDEX(Response_Table!$F$4:$F$21,MATCH($F38&amp;"|high",Response_Table!$A$4:$A$21,0))*$R38*INDEX(Parameters!$X$5:$AA$5,1,MATCH($E38,Parameters!$X$3:$AA$3,0))))*(1+Inputs_General!$C$22*Parameters!$F$5))</f>
        <v>23.8874502245365</v>
      </c>
      <c r="AC38" s="45" t="n">
        <f aca="false">IF(Y38=0,0,Z38/Y38-1)</f>
        <v>-0.750292475932201</v>
      </c>
      <c r="AD38" s="44" t="n">
        <f aca="false">Parameters!$E$6*IF($N38="V",Parameters!$I$6,IF($N38="F",Parameters!$J$6,Parameters!$K$6))*(1-Parameters!$L$6*$P38)*IF($D38="V1",Parameters!$M$6,IF($D38="V2",Parameters!$N$6,Parameters!$O$6))</f>
        <v>18.9470714285714</v>
      </c>
      <c r="AE38" s="44" t="n">
        <f aca="false">AD38*(1+INDEX(Response_Table!$G$4:$G$21,MATCH($F38&amp;"|mid",Response_Table!$A$4:$A$21,0))*$R38*INDEX(Parameters!$X$6:$AA$6,1,MATCH($E38,Parameters!$X$3:$AA$3,0)))</f>
        <v>4.21092461538482</v>
      </c>
      <c r="AF38" s="44" t="n">
        <f aca="false">MAX(0,MIN(AD38*(1+INDEX(Response_Table!$G$4:$G$21,MATCH($F38&amp;"|low",Response_Table!$A$4:$A$21,0))*$R38*INDEX(Parameters!$X$6:$AA$6,1,MATCH($E38,Parameters!$X$3:$AA$3,0))),AD38*(1+INDEX(Response_Table!$G$4:$G$21,MATCH($F38&amp;"|high",Response_Table!$A$4:$A$21,0))*$R38*INDEX(Parameters!$X$6:$AA$6,1,MATCH($E38,Parameters!$X$3:$AA$3,0))))*(1-Inputs_General!$C$22*Parameters!$F$6))</f>
        <v>2.95922297370269</v>
      </c>
      <c r="AG38" s="44" t="n">
        <f aca="false">MAX(AD38*(1+INDEX(Response_Table!$G$4:$G$21,MATCH($F38&amp;"|low",Response_Table!$A$4:$A$21,0))*$R38*INDEX(Parameters!$X$6:$AA$6,1,MATCH($E38,Parameters!$X$3:$AA$3,0))),AD38*(1+INDEX(Response_Table!$G$4:$G$21,MATCH($F38&amp;"|high",Response_Table!$A$4:$A$21,0))*$R38*INDEX(Parameters!$X$6:$AA$6,1,MATCH($E38,Parameters!$X$3:$AA$3,0))))*(1+Inputs_General!$C$22*Parameters!$F$6)</f>
        <v>5.95488917181569</v>
      </c>
      <c r="AH38" s="45" t="n">
        <f aca="false">IF(AD38=0,0,AE38/AD38-1)</f>
        <v>-0.77775327278099</v>
      </c>
      <c r="AI38" s="46" t="n">
        <f aca="false">Parameters!$E$7*IF($N38="V",Parameters!$I$7,IF($N38="F",Parameters!$J$7,Parameters!$K$7))*(1-Parameters!$L$7*$P38)*IF($D38="V1",Parameters!$M$7,IF($D38="V2",Parameters!$N$7,Parameters!$O$7))*POWER($Q38/Inputs_General!$C$26,-Inputs_General!$C$25)</f>
        <v>0.411663164578586</v>
      </c>
      <c r="AJ38" s="46" t="n">
        <f aca="false">AI38*(1+INDEX(Response_Table!$H$4:$H$21,MATCH($F38&amp;"|mid",Response_Table!$A$4:$A$21,0))*$R38*INDEX(Parameters!$X$7:$AA$7,1,MATCH($E38,Parameters!$X$3:$AA$3,0)))</f>
        <v>0.159200833005848</v>
      </c>
      <c r="AK38" s="46" t="n">
        <f aca="false">MAX(0,MIN(AI38*(1+INDEX(Response_Table!$H$4:$H$21,MATCH($F38&amp;"|low",Response_Table!$A$4:$A$21,0))*$R38*INDEX(Parameters!$X$7:$AA$7,1,MATCH($E38,Parameters!$X$3:$AA$3,0))),AI38*(1+INDEX(Response_Table!$H$4:$H$21,MATCH($F38&amp;"|high",Response_Table!$A$4:$A$21,0))*$R38*INDEX(Parameters!$X$7:$AA$7,1,MATCH($E38,Parameters!$X$3:$AA$3,0))))*(1-Inputs_General!$C$22*Parameters!$F$7))</f>
        <v>0.098761741194064</v>
      </c>
      <c r="AL38" s="46" t="n">
        <f aca="false">MAX(AI38*(1+INDEX(Response_Table!$H$4:$H$21,MATCH($F38&amp;"|low",Response_Table!$A$4:$A$21,0))*$R38*INDEX(Parameters!$X$7:$AA$7,1,MATCH($E38,Parameters!$X$3:$AA$3,0))),AI38*(1+INDEX(Response_Table!$H$4:$H$21,MATCH($F38&amp;"|high",Response_Table!$A$4:$A$21,0))*$R38*INDEX(Parameters!$X$7:$AA$7,1,MATCH($E38,Parameters!$X$3:$AA$3,0))))*(1+Inputs_General!$C$22*Parameters!$F$7)</f>
        <v>0.234670477762427</v>
      </c>
      <c r="AM38" s="45" t="n">
        <f aca="false">IF(AI38=0,0,AJ38/AI38-1)</f>
        <v>-0.613274038815643</v>
      </c>
      <c r="AN38" s="43" t="n">
        <f aca="false">AI38*$Q38/Inputs_General!$C$13*1000</f>
        <v>4.95374641196979</v>
      </c>
      <c r="AO38" s="43" t="n">
        <f aca="false">AJ38*$Q38/Inputs_General!$C$13*1000*(1+Inputs_General!$C$21*$I38)</f>
        <v>2.22705047331037</v>
      </c>
      <c r="AP38" s="43" t="n">
        <f aca="false">AK38*$Q38/Inputs_General!$C$13*1000*(1+Inputs_General!$C$21*$H38)</f>
        <v>1.33997609631254</v>
      </c>
      <c r="AQ38" s="43" t="n">
        <f aca="false">AL38*$Q38/Inputs_General!$C$13*1000*(1+Inputs_General!$C$21*$J38)</f>
        <v>3.42398589769644</v>
      </c>
      <c r="AR38" s="45" t="n">
        <f aca="false">IF(AN38=0,0,AO38/AN38-1)</f>
        <v>-0.550431070123185</v>
      </c>
      <c r="AS38" s="42" t="n">
        <f aca="false">Parameters!$E$9*IF($N38="V",Parameters!$I$9,IF($N38="F",Parameters!$J$9,Parameters!$K$9))*(1-Parameters!$L$9*$P38)*IF($D38="V1",Parameters!$M$9,IF($D38="V2",Parameters!$N$9,Parameters!$O$9))</f>
        <v>285</v>
      </c>
      <c r="AT38" s="42" t="n">
        <f aca="false">AS38*(1+INDEX(Response_Table!$I$4:$I$21,MATCH($F38&amp;"|mid",Response_Table!$A$4:$A$21,0))*$R38*INDEX(Parameters!$X$9:$AA$9,1,MATCH($E38,Parameters!$X$3:$AA$3,0)))</f>
        <v>372.064569968942</v>
      </c>
      <c r="AU38" s="42" t="n">
        <f aca="false">MAX(0,MIN(AS38*(1+INDEX(Response_Table!$I$4:$I$21,MATCH($F38&amp;"|low",Response_Table!$A$4:$A$21,0))*$R38*INDEX(Parameters!$X$9:$AA$9,1,MATCH($E38,Parameters!$X$3:$AA$3,0))),AS38*(1+INDEX(Response_Table!$I$4:$I$21,MATCH($F38&amp;"|high",Response_Table!$A$4:$A$21,0))*$R38*INDEX(Parameters!$X$9:$AA$9,1,MATCH($E38,Parameters!$X$3:$AA$3,0))))*(1-Inputs_General!$C$22*Parameters!$F$9))</f>
        <v>330.61558680736</v>
      </c>
      <c r="AV38" s="42" t="n">
        <f aca="false">MAX(AS38*(1+INDEX(Response_Table!$I$4:$I$21,MATCH($F38&amp;"|low",Response_Table!$A$4:$A$21,0))*$R38*INDEX(Parameters!$X$9:$AA$9,1,MATCH($E38,Parameters!$X$3:$AA$3,0))),AS38*(1+INDEX(Response_Table!$I$4:$I$21,MATCH($F38&amp;"|high",Response_Table!$A$4:$A$21,0))*$R38*INDEX(Parameters!$X$9:$AA$9,1,MATCH($E38,Parameters!$X$3:$AA$3,0))))*(1+Inputs_General!$C$22*Parameters!$F$9)</f>
        <v>413.013683739106</v>
      </c>
      <c r="AW38" s="45" t="n">
        <f aca="false">IF(AS38=0,0,AT38/AS38-1)</f>
        <v>0.30548971918927</v>
      </c>
      <c r="AX38" s="43" t="n">
        <f aca="false">INDEX(Context!$AB$4:$AB$51,$K38)</f>
        <v>3.24945780185873</v>
      </c>
      <c r="AY38" s="43" t="n">
        <f aca="false">AX38*(1+INDEX(Response_Table!$J$4:$J$21,MATCH($F38&amp;"|mid",Response_Table!$A$4:$A$21,0))*$R38*INDEX(Parameters!$X$10:$AA$10,1,MATCH($E38,Parameters!$X$3:$AA$3,0)))</f>
        <v>1.95770499867698</v>
      </c>
      <c r="AZ38" s="43" t="n">
        <f aca="false">MAX(0,MIN(AX38*(1+INDEX(Response_Table!$J$4:$J$21,MATCH($F38&amp;"|low",Response_Table!$A$4:$A$21,0))*$R38*INDEX(Parameters!$X$10:$AA$10,1,MATCH($E38,Parameters!$X$3:$AA$3,0))),AX38*(1+INDEX(Response_Table!$J$4:$J$21,MATCH($F38&amp;"|high",Response_Table!$A$4:$A$21,0))*$R38*INDEX(Parameters!$X$10:$AA$10,1,MATCH($E38,Parameters!$X$3:$AA$3,0))))*(1-Inputs_General!$C$22*Parameters!$F$10))</f>
        <v>1.47123155160263</v>
      </c>
      <c r="BA38" s="43" t="n">
        <f aca="false">MAX(AX38*(1+INDEX(Response_Table!$J$4:$J$21,MATCH($F38&amp;"|low",Response_Table!$A$4:$A$21,0))*$R38*INDEX(Parameters!$X$10:$AA$10,1,MATCH($E38,Parameters!$X$3:$AA$3,0))),AX38*(1+INDEX(Response_Table!$J$4:$J$21,MATCH($F38&amp;"|high",Response_Table!$A$4:$A$21,0))*$R38*INDEX(Parameters!$X$10:$AA$10,1,MATCH($E38,Parameters!$X$3:$AA$3,0))))*(1+Inputs_General!$C$22*Parameters!$F$10)</f>
        <v>2.50308778396186</v>
      </c>
      <c r="BB38" s="45" t="n">
        <f aca="false">IF(AX38=0,0,AY38/AX38-1)</f>
        <v>-0.397528720773924</v>
      </c>
      <c r="BC38" s="46" t="n">
        <f aca="false">Parameters!$E$11*IF($N38="V",Parameters!$I$11,IF($N38="F",Parameters!$J$11,Parameters!$K$11))*(1-Parameters!$L$11*$P38)*IF($D38="V1",Parameters!$M$11,IF($D38="V2",Parameters!$N$11,Parameters!$O$11))</f>
        <v>1.24825892857143</v>
      </c>
      <c r="BD38" s="46" t="n">
        <f aca="false">BC38*(1+INDEX(Response_Table!$K$4:$K$21,MATCH($F38&amp;"|mid",Response_Table!$A$4:$A$21,0))*$R38*INDEX(Parameters!$X$11:$AA$11,1,MATCH($E38,Parameters!$X$3:$AA$3,0)))</f>
        <v>0.467254650412878</v>
      </c>
      <c r="BE38" s="46" t="n">
        <f aca="false">MAX(0,MIN(BC38*(1+INDEX(Response_Table!$K$4:$K$21,MATCH($F38&amp;"|low",Response_Table!$A$4:$A$21,0))*$R38*INDEX(Parameters!$X$11:$AA$11,1,MATCH($E38,Parameters!$X$3:$AA$3,0))),BC38*(1+INDEX(Response_Table!$K$4:$K$21,MATCH($F38&amp;"|high",Response_Table!$A$4:$A$21,0))*$R38*INDEX(Parameters!$X$11:$AA$11,1,MATCH($E38,Parameters!$X$3:$AA$3,0))))*(1-Inputs_General!$C$22*Parameters!$F$11))</f>
        <v>0.346354311898111</v>
      </c>
      <c r="BF38" s="46" t="n">
        <f aca="false">MAX(BC38*(1+INDEX(Response_Table!$K$4:$K$21,MATCH($F38&amp;"|low",Response_Table!$A$4:$A$21,0))*$R38*INDEX(Parameters!$X$11:$AA$11,1,MATCH($E38,Parameters!$X$3:$AA$3,0))),BC38*(1+INDEX(Response_Table!$K$4:$K$21,MATCH($F38&amp;"|high",Response_Table!$A$4:$A$21,0))*$R38*INDEX(Parameters!$X$11:$AA$11,1,MATCH($E38,Parameters!$X$3:$AA$3,0))))*(1+Inputs_General!$C$22*Parameters!$F$11)</f>
        <v>0.617502394537712</v>
      </c>
      <c r="BG38" s="45" t="n">
        <f aca="false">IF(BC38=0,0,BD38/BC38-1)</f>
        <v>-0.625674898278014</v>
      </c>
      <c r="BH38" s="46" t="n">
        <f aca="false">Parameters!$E$12*IF($N38="V",Parameters!$I$12,IF($N38="F",Parameters!$J$12,Parameters!$K$12))*(1-Parameters!$L$12*$P38)*IF($D38="V1",Parameters!$M$12,IF($D38="V2",Parameters!$N$12,Parameters!$O$12))</f>
        <v>0.449373214285714</v>
      </c>
      <c r="BI38" s="46" t="n">
        <f aca="false">BH38*(1+INDEX(Response_Table!$L$4:$L$21,MATCH($F38&amp;"|mid",Response_Table!$A$4:$A$21,0))*$R38*INDEX(Parameters!$X$12:$AA$12,1,MATCH($E38,Parameters!$X$3:$AA$3,0)))</f>
        <v>0.216182584542157</v>
      </c>
      <c r="BJ38" s="46" t="n">
        <f aca="false">MAX(0,MIN(BH38*(1+INDEX(Response_Table!$L$4:$L$21,MATCH($F38&amp;"|low",Response_Table!$A$4:$A$21,0))*$R38*INDEX(Parameters!$X$12:$AA$12,1,MATCH($E38,Parameters!$X$3:$AA$3,0))),BH38*(1+INDEX(Response_Table!$L$4:$L$21,MATCH($F38&amp;"|high",Response_Table!$A$4:$A$21,0))*$R38*INDEX(Parameters!$X$12:$AA$12,1,MATCH($E38,Parameters!$X$3:$AA$3,0))))*(1-Inputs_General!$C$22*Parameters!$F$12))</f>
        <v>0.15950113479549</v>
      </c>
      <c r="BK38" s="46" t="n">
        <f aca="false">MAX(BH38*(1+INDEX(Response_Table!$L$4:$L$21,MATCH($F38&amp;"|low",Response_Table!$A$4:$A$21,0))*$R38*INDEX(Parameters!$X$12:$AA$12,1,MATCH($E38,Parameters!$X$3:$AA$3,0))),BH38*(1+INDEX(Response_Table!$L$4:$L$21,MATCH($F38&amp;"|high",Response_Table!$A$4:$A$21,0))*$R38*INDEX(Parameters!$X$12:$AA$12,1,MATCH($E38,Parameters!$X$3:$AA$3,0))))*(1+Inputs_General!$C$22*Parameters!$F$12)</f>
        <v>0.283032004728178</v>
      </c>
      <c r="BL38" s="45" t="n">
        <f aca="false">IF(BH38=0,0,BI38/BH38-1)</f>
        <v>-0.518924186690159</v>
      </c>
      <c r="BM38" s="46" t="n">
        <f aca="false">Parameters!$E$13*IF($N38="V",Parameters!$I$13,IF($N38="F",Parameters!$J$13,Parameters!$K$13))*(1-Parameters!$L$13*$P38)*IF($D38="V1",Parameters!$M$13,IF($D38="V2",Parameters!$N$13,Parameters!$O$13))</f>
        <v>0.299791071428571</v>
      </c>
      <c r="BN38" s="46" t="n">
        <f aca="false">BM38*(1+INDEX(Response_Table!$M$4:$M$21,MATCH($F38&amp;"|mid",Response_Table!$A$4:$A$21,0))*$R38*INDEX(Parameters!$X$13:$AA$13,1,MATCH($E38,Parameters!$X$3:$AA$3,0)))</f>
        <v>0.187526100372845</v>
      </c>
      <c r="BO38" s="46" t="n">
        <f aca="false">MAX(0,MIN(BM38*(1+INDEX(Response_Table!$M$4:$M$21,MATCH($F38&amp;"|low",Response_Table!$A$4:$A$21,0))*$R38*INDEX(Parameters!$X$13:$AA$13,1,MATCH($E38,Parameters!$X$3:$AA$3,0))),BM38*(1+INDEX(Response_Table!$M$4:$M$21,MATCH($F38&amp;"|high",Response_Table!$A$4:$A$21,0))*$R38*INDEX(Parameters!$X$13:$AA$13,1,MATCH($E38,Parameters!$X$3:$AA$3,0))))*(1-Inputs_General!$C$22*Parameters!$F$13))</f>
        <v>0.143133785126994</v>
      </c>
      <c r="BP38" s="46" t="n">
        <f aca="false">MAX(BM38*(1+INDEX(Response_Table!$M$4:$M$21,MATCH($F38&amp;"|low",Response_Table!$A$4:$A$21,0))*$R38*INDEX(Parameters!$X$13:$AA$13,1,MATCH($E38,Parameters!$X$3:$AA$3,0))),BM38*(1+INDEX(Response_Table!$M$4:$M$21,MATCH($F38&amp;"|high",Response_Table!$A$4:$A$21,0))*$R38*INDEX(Parameters!$X$13:$AA$13,1,MATCH($E38,Parameters!$X$3:$AA$3,0))))*(1+Inputs_General!$C$22*Parameters!$F$13)</f>
        <v>0.238561643384094</v>
      </c>
      <c r="BQ38" s="45" t="n">
        <f aca="false">IF(BM38=0,0,BN38/BM38-1)</f>
        <v>-0.374477366923432</v>
      </c>
      <c r="BR38" s="44" t="n">
        <f aca="false">Parameters!$E$14*IF($N38="V",Parameters!$I$14,IF($N38="F",Parameters!$J$14,Parameters!$K$14))*(1-Parameters!$L$14*$P38)*IF($D38="V1",Parameters!$M$14,IF($D38="V2",Parameters!$N$14,Parameters!$O$14))*INDEX(Context!$AC$4:$AC$51,$K38)</f>
        <v>15</v>
      </c>
      <c r="BS38" s="44" t="n">
        <f aca="false">BR38*(1+INDEX(Response_Table!$N$4:$N$21,MATCH($F38&amp;"|mid",Response_Table!$A$4:$A$21,0))*$R38*INDEX(Parameters!$X$14:$AA$14,1,MATCH($E38,Parameters!$X$3:$AA$3,0)))</f>
        <v>23.4914866912935</v>
      </c>
      <c r="BT38" s="44" t="n">
        <f aca="false">MAX(0,MIN(BR38*(1+INDEX(Response_Table!$N$4:$N$21,MATCH($F38&amp;"|low",Response_Table!$A$4:$A$21,0))*$R38*INDEX(Parameters!$X$14:$AA$14,1,MATCH($E38,Parameters!$X$3:$AA$3,0))),BR38*(1+INDEX(Response_Table!$N$4:$N$21,MATCH($F38&amp;"|high",Response_Table!$A$4:$A$21,0))*$R38*INDEX(Parameters!$X$14:$AA$14,1,MATCH($E38,Parameters!$X$3:$AA$3,0))))*(1-Inputs_General!$C$22*Parameters!$F$14))</f>
        <v>11.526064376594</v>
      </c>
      <c r="BU38" s="44" t="n">
        <f aca="false">MAX(BR38*(1+INDEX(Response_Table!$N$4:$N$21,MATCH($F38&amp;"|low",Response_Table!$A$4:$A$21,0))*$R38*INDEX(Parameters!$X$14:$AA$14,1,MATCH($E38,Parameters!$X$3:$AA$3,0))),BR38*(1+INDEX(Response_Table!$N$4:$N$21,MATCH($F38&amp;"|high",Response_Table!$A$4:$A$21,0))*$R38*INDEX(Parameters!$X$14:$AA$14,1,MATCH($E38,Parameters!$X$3:$AA$3,0))))*(1+Inputs_General!$C$22*Parameters!$F$14)</f>
        <v>36.0336618150901</v>
      </c>
      <c r="BV38" s="45" t="n">
        <f aca="false">IF(BR38=0,0,BS38/BR38-1)</f>
        <v>0.566099112752901</v>
      </c>
      <c r="BW38" s="43" t="n">
        <f aca="false">Parameters!$E$15*IF($N38="V",Parameters!$I$15,IF($N38="F",Parameters!$J$15,Parameters!$K$15))*(1-Parameters!$L$15*$P38)*IF($D38="V1",Parameters!$M$15,IF($D38="V2",Parameters!$N$15,Parameters!$O$15))</f>
        <v>10.7849571428571</v>
      </c>
      <c r="BX38" s="43" t="n">
        <f aca="false">BW38*(1+INDEX(Response_Table!$O$4:$O$21,MATCH($F38&amp;"|mid",Response_Table!$A$4:$A$21,0))*$R38*INDEX(Parameters!$X$15:$AA$15,1,MATCH($E38,Parameters!$X$3:$AA$3,0)))</f>
        <v>9.25861847544477</v>
      </c>
      <c r="BY38" s="43" t="n">
        <f aca="false">MAX(0,MIN(BW38*(1+INDEX(Response_Table!$O$4:$O$21,MATCH($F38&amp;"|low",Response_Table!$A$4:$A$21,0))*$R38*INDEX(Parameters!$X$15:$AA$15,1,MATCH($E38,Parameters!$X$3:$AA$3,0))),BW38*(1+INDEX(Response_Table!$O$4:$O$21,MATCH($F38&amp;"|high",Response_Table!$A$4:$A$21,0))*$R38*INDEX(Parameters!$X$15:$AA$15,1,MATCH($E38,Parameters!$X$3:$AA$3,0))))*(1-Inputs_General!$C$22*Parameters!$F$15))</f>
        <v>7.33928495710295</v>
      </c>
      <c r="BZ38" s="43" t="n">
        <f aca="false">MAX(BW38*(1+INDEX(Response_Table!$O$4:$O$21,MATCH($F38&amp;"|low",Response_Table!$A$4:$A$21,0))*$R38*INDEX(Parameters!$X$15:$AA$15,1,MATCH($E38,Parameters!$X$3:$AA$3,0))),BW38*(1+INDEX(Response_Table!$O$4:$O$21,MATCH($F38&amp;"|high",Response_Table!$A$4:$A$21,0))*$R38*INDEX(Parameters!$X$15:$AA$15,1,MATCH($E38,Parameters!$X$3:$AA$3,0))))*(1+Inputs_General!$C$22*Parameters!$F$15)</f>
        <v>11.2445059821169</v>
      </c>
      <c r="CA38" s="45" t="n">
        <f aca="false">IF(BW38=0,0,BX38/BW38-1)</f>
        <v>-0.141524778188225</v>
      </c>
      <c r="CB38" s="46" t="n">
        <f aca="false">BD38+BI38</f>
        <v>0.683437234955035</v>
      </c>
      <c r="CC38" s="43" t="n">
        <f aca="false">BD38/BI38</f>
        <v>2.16138895463043</v>
      </c>
      <c r="CD38" s="46" t="n">
        <f aca="false">BN38/CB38</f>
        <v>0.274386718752869</v>
      </c>
      <c r="CE38" s="43" t="n">
        <f aca="false">AE38/AO38</f>
        <v>1.8908078940508</v>
      </c>
      <c r="CF38" s="44" t="n">
        <f aca="false">AE38/AJ38</f>
        <v>26.450393103346</v>
      </c>
      <c r="CG38" s="44" t="n">
        <f aca="false">INDEX(Context!$V$4:$V$51,$K38)</f>
        <v>25.5785714285714</v>
      </c>
      <c r="CH38" s="44" t="n">
        <f aca="false">INDEX(Context!$Y$4:$Y$51,$K38)</f>
        <v>23.620522619794</v>
      </c>
      <c r="CI38" s="44" t="n">
        <f aca="false">INDEX(Context!$Z$4:$Z$51,$K38)</f>
        <v>29.5785714285714</v>
      </c>
      <c r="CJ38" s="43" t="n">
        <f aca="false">INDEX(Context!$AA$4:$AA$51,$K38)</f>
        <v>0.201160714285714</v>
      </c>
      <c r="CK38" s="43" t="n">
        <f aca="false">MAX(0,MIN(1,1-(1-CJ38)*AO38/AN38))</f>
        <v>0.640866677177869</v>
      </c>
      <c r="CL38" s="44" t="n">
        <f aca="false">CH38+CK38*(CI38-CH38)</f>
        <v>27.4388375623388</v>
      </c>
      <c r="CM38" s="44" t="n">
        <f aca="false">CH38+MAX(0,MIN(1,1-(1-CJ38)*AQ38/AN38))*(CI38-CH38)</f>
        <v>26.2888307286609</v>
      </c>
      <c r="CN38" s="44" t="n">
        <f aca="false">CH38+MAX(0,MIN(1,1-(1-CJ38)*AP38/AN38))*(CI38-CH38)</f>
        <v>28.2911321596444</v>
      </c>
      <c r="CO38" s="44" t="n">
        <f aca="false">CL38-CG38</f>
        <v>1.86026613376733</v>
      </c>
      <c r="CP38" s="44" t="n">
        <f aca="false">CL38-(CH38+CJ38*(CI38-CH38))</f>
        <v>2.61978958842193</v>
      </c>
      <c r="CQ38" s="46" t="n">
        <f aca="false">CL38/CG38</f>
        <v>1.07272752268289</v>
      </c>
      <c r="CR38" s="43" t="n">
        <f aca="false">IF(CL38-CH38&lt;=0,"n/a",(CI38-CL38)/(CL38-CH38))</f>
        <v>0.560386950377286</v>
      </c>
      <c r="CS38" s="43" t="n">
        <f aca="false">IF(CI38-CL38&lt;=0,"n/a",(CL38-CH38)/(CI38-CL38))</f>
        <v>1.78448123984104</v>
      </c>
      <c r="CT38" s="43" t="n">
        <f aca="false">Inputs_General!$C$23+Inputs_General!$C$24*$I38</f>
        <v>1.9</v>
      </c>
      <c r="CU38" s="44" t="n">
        <f aca="false">3.29*CT38</f>
        <v>6.251</v>
      </c>
    </row>
    <row r="39" customFormat="false" ht="15" hidden="false" customHeight="false" outlineLevel="0" collapsed="false">
      <c r="A39" s="33" t="str">
        <f aca="false">B39&amp;"|"&amp;E39&amp;"|"&amp;F39</f>
        <v>D1V2|03/03/2026|Healthy</v>
      </c>
      <c r="B39" s="34" t="s">
        <v>343</v>
      </c>
      <c r="C39" s="33" t="s">
        <v>127</v>
      </c>
      <c r="D39" s="33" t="s">
        <v>146</v>
      </c>
      <c r="E39" s="33" t="s">
        <v>162</v>
      </c>
      <c r="F39" s="34" t="s">
        <v>275</v>
      </c>
      <c r="G39" s="33" t="s">
        <v>276</v>
      </c>
      <c r="H39" s="35" t="n">
        <f aca="false">INDEX(Severity_Classes!$C$4:$C$9,MATCH(F39,Severity_Classes!$A$4:$A$9,0))</f>
        <v>0</v>
      </c>
      <c r="I39" s="35" t="n">
        <f aca="false">INDEX(Severity_Classes!$D$4:$D$9,MATCH(F39,Severity_Classes!$A$4:$A$9,0))</f>
        <v>0</v>
      </c>
      <c r="J39" s="35" t="n">
        <f aca="false">INDEX(Severity_Classes!$E$4:$E$9,MATCH(F39,Severity_Classes!$A$4:$A$9,0))</f>
        <v>0</v>
      </c>
      <c r="K39" s="36" t="n">
        <f aca="false">MATCH(B39&amp;"|"&amp;E39,Context!$A$4:$A$51,0)</f>
        <v>7</v>
      </c>
      <c r="L39" s="36" t="n">
        <f aca="false">INDEX(Context!$H$4:$H$51,K39)</f>
        <v>84</v>
      </c>
      <c r="M39" s="36" t="n">
        <f aca="false">INDEX(Context!$I$4:$I$51,K39)</f>
        <v>26</v>
      </c>
      <c r="N39" s="33" t="str">
        <f aca="false">INDEX(Context!$L$4:$L$51,K39)</f>
        <v>F</v>
      </c>
      <c r="O39" s="33" t="str">
        <f aca="false">INDEX(Context!$M$4:$M$51,K39)</f>
        <v>5th fully expanded leaf from top</v>
      </c>
      <c r="P39" s="37" t="n">
        <f aca="false">INDEX(Context!$R$4:$R$51,K39)</f>
        <v>0.433928571428571</v>
      </c>
      <c r="Q39" s="37" t="n">
        <f aca="false">INDEX(Context!$U$4:$U$51,K39)</f>
        <v>1.73951545534029</v>
      </c>
      <c r="R39" s="37" t="n">
        <f aca="false">INDEX(Context!$AD$4:$AD$51,K39)</f>
        <v>1.1</v>
      </c>
      <c r="S39" s="33" t="str">
        <f aca="false">INDEX(Context!$AI$4:$AN$51,K39,MATCH(F39,Severity_Classes!$A$4:$A$9,0))</f>
        <v>Reference: healthy (uninoculated) control plot</v>
      </c>
      <c r="T39" s="38" t="n">
        <f aca="false">Parameters!$E$4*IF($N39="V",Parameters!$I$4,IF($N39="F",Parameters!$J$4,Parameters!$K$4))*(1-Parameters!$L$4*$P39)*IF($D39="V1",Parameters!$M$4,IF($D39="V2",Parameters!$N$4,Parameters!$O$4))</f>
        <v>83.2927660714286</v>
      </c>
      <c r="U39" s="38" t="n">
        <f aca="false">MIN(100,T39*(1+INDEX(Response_Table!$E$4:$E$21,MATCH($F39&amp;"|mid",Response_Table!$A$4:$A$21,0))*$R39*INDEX(Parameters!$X$4:$AA$4,1,MATCH($E39,Parameters!$X$3:$AA$3,0))))</f>
        <v>83.2927660714286</v>
      </c>
      <c r="V39" s="38" t="n">
        <f aca="false">MAX(0,MIN(T39*(1+INDEX(Response_Table!$E$4:$E$21,MATCH($F39&amp;"|low",Response_Table!$A$4:$A$21,0))*$R39*INDEX(Parameters!$X$4:$AA$4,1,MATCH($E39,Parameters!$X$3:$AA$3,0))),T39*(1+INDEX(Response_Table!$E$4:$E$21,MATCH($F39&amp;"|high",Response_Table!$A$4:$A$21,0))*$R39*INDEX(Parameters!$X$4:$AA$4,1,MATCH($E39,Parameters!$X$3:$AA$3,0))))*(1-Inputs_General!$C$22*Parameters!$F$4))</f>
        <v>77.8121020639286</v>
      </c>
      <c r="W39" s="38" t="n">
        <f aca="false">MIN(100,MAX(T39*(1+INDEX(Response_Table!$E$4:$E$21,MATCH($F39&amp;"|low",Response_Table!$A$4:$A$21,0))*$R39*INDEX(Parameters!$X$4:$AA$4,1,MATCH($E39,Parameters!$X$3:$AA$3,0))),T39*(1+INDEX(Response_Table!$E$4:$E$21,MATCH($F39&amp;"|high",Response_Table!$A$4:$A$21,0))*$R39*INDEX(Parameters!$X$4:$AA$4,1,MATCH($E39,Parameters!$X$3:$AA$3,0))))*(1+Inputs_General!$C$22*Parameters!$F$4))</f>
        <v>88.7734300789286</v>
      </c>
      <c r="X39" s="39" t="n">
        <f aca="false">IF(T39=0,0,U39/T39-1)</f>
        <v>0</v>
      </c>
      <c r="Y39" s="38" t="n">
        <f aca="false">Parameters!$E$5*IF($N39="V",Parameters!$I$5,IF($N39="F",Parameters!$J$5,Parameters!$K$5))*(1-Parameters!$L$5*$P39)*IF($D39="V1",Parameters!$M$5,IF($D39="V2",Parameters!$N$5,Parameters!$O$5))</f>
        <v>66.88584</v>
      </c>
      <c r="Z39" s="38" t="n">
        <f aca="false">MIN(100,Y39*(1+INDEX(Response_Table!$F$4:$F$21,MATCH($F39&amp;"|mid",Response_Table!$A$4:$A$21,0))*$R39*INDEX(Parameters!$X$5:$AA$5,1,MATCH($E39,Parameters!$X$3:$AA$3,0))))</f>
        <v>66.88584</v>
      </c>
      <c r="AA39" s="38" t="n">
        <f aca="false">MAX(0,MIN(Y39*(1+INDEX(Response_Table!$F$4:$F$21,MATCH($F39&amp;"|low",Response_Table!$A$4:$A$21,0))*$R39*INDEX(Parameters!$X$5:$AA$5,1,MATCH($E39,Parameters!$X$3:$AA$3,0))),Y39*(1+INDEX(Response_Table!$F$4:$F$21,MATCH($F39&amp;"|high",Response_Table!$A$4:$A$21,0))*$R39*INDEX(Parameters!$X$5:$AA$5,1,MATCH($E39,Parameters!$X$3:$AA$3,0))))*(1-Inputs_General!$C$22*Parameters!$F$5))</f>
        <v>59.183935524</v>
      </c>
      <c r="AB39" s="38" t="n">
        <f aca="false">MIN(100,MAX(Y39*(1+INDEX(Response_Table!$F$4:$F$21,MATCH($F39&amp;"|low",Response_Table!$A$4:$A$21,0))*$R39*INDEX(Parameters!$X$5:$AA$5,1,MATCH($E39,Parameters!$X$3:$AA$3,0))),Y39*(1+INDEX(Response_Table!$F$4:$F$21,MATCH($F39&amp;"|high",Response_Table!$A$4:$A$21,0))*$R39*INDEX(Parameters!$X$5:$AA$5,1,MATCH($E39,Parameters!$X$3:$AA$3,0))))*(1+Inputs_General!$C$22*Parameters!$F$5))</f>
        <v>74.587744476</v>
      </c>
      <c r="AC39" s="39" t="n">
        <f aca="false">IF(Y39=0,0,Z39/Y39-1)</f>
        <v>0</v>
      </c>
      <c r="AD39" s="38" t="n">
        <f aca="false">Parameters!$E$6*IF($N39="V",Parameters!$I$6,IF($N39="F",Parameters!$J$6,Parameters!$K$6))*(1-Parameters!$L$6*$P39)*IF($D39="V1",Parameters!$M$6,IF($D39="V2",Parameters!$N$6,Parameters!$O$6))</f>
        <v>18.0106428571429</v>
      </c>
      <c r="AE39" s="38" t="n">
        <f aca="false">AD39*(1+INDEX(Response_Table!$G$4:$G$21,MATCH($F39&amp;"|mid",Response_Table!$A$4:$A$21,0))*$R39*INDEX(Parameters!$X$6:$AA$6,1,MATCH($E39,Parameters!$X$3:$AA$3,0)))</f>
        <v>18.0106428571429</v>
      </c>
      <c r="AF39" s="38" t="n">
        <f aca="false">MAX(0,MIN(AD39*(1+INDEX(Response_Table!$G$4:$G$21,MATCH($F39&amp;"|low",Response_Table!$A$4:$A$21,0))*$R39*INDEX(Parameters!$X$6:$AA$6,1,MATCH($E39,Parameters!$X$3:$AA$3,0))),AD39*(1+INDEX(Response_Table!$G$4:$G$21,MATCH($F39&amp;"|high",Response_Table!$A$4:$A$21,0))*$R39*INDEX(Parameters!$X$6:$AA$6,1,MATCH($E39,Parameters!$X$3:$AA$3,0))))*(1-Inputs_General!$C$22*Parameters!$F$6))</f>
        <v>14.4553419571429</v>
      </c>
      <c r="AG39" s="38" t="n">
        <f aca="false">MAX(AD39*(1+INDEX(Response_Table!$G$4:$G$21,MATCH($F39&amp;"|low",Response_Table!$A$4:$A$21,0))*$R39*INDEX(Parameters!$X$6:$AA$6,1,MATCH($E39,Parameters!$X$3:$AA$3,0))),AD39*(1+INDEX(Response_Table!$G$4:$G$21,MATCH($F39&amp;"|high",Response_Table!$A$4:$A$21,0))*$R39*INDEX(Parameters!$X$6:$AA$6,1,MATCH($E39,Parameters!$X$3:$AA$3,0))))*(1+Inputs_General!$C$22*Parameters!$F$6)</f>
        <v>21.5659437571429</v>
      </c>
      <c r="AH39" s="39" t="n">
        <f aca="false">IF(AD39=0,0,AE39/AD39-1)</f>
        <v>0</v>
      </c>
      <c r="AI39" s="40" t="n">
        <f aca="false">Parameters!$E$7*IF($N39="V",Parameters!$I$7,IF($N39="F",Parameters!$J$7,Parameters!$K$7))*(1-Parameters!$L$7*$P39)*IF($D39="V1",Parameters!$M$7,IF($D39="V2",Parameters!$N$7,Parameters!$O$7))*POWER($Q39/Inputs_General!$C$26,-Inputs_General!$C$25)</f>
        <v>0.341191629407368</v>
      </c>
      <c r="AJ39" s="40" t="n">
        <f aca="false">AI39*(1+INDEX(Response_Table!$H$4:$H$21,MATCH($F39&amp;"|mid",Response_Table!$A$4:$A$21,0))*$R39*INDEX(Parameters!$X$7:$AA$7,1,MATCH($E39,Parameters!$X$3:$AA$3,0)))</f>
        <v>0.341191629407368</v>
      </c>
      <c r="AK39" s="40" t="n">
        <f aca="false">MAX(0,MIN(AI39*(1+INDEX(Response_Table!$H$4:$H$21,MATCH($F39&amp;"|low",Response_Table!$A$4:$A$21,0))*$R39*INDEX(Parameters!$X$7:$AA$7,1,MATCH($E39,Parameters!$X$3:$AA$3,0))),AI39*(1+INDEX(Response_Table!$H$4:$H$21,MATCH($F39&amp;"|high",Response_Table!$A$4:$A$21,0))*$R39*INDEX(Parameters!$X$7:$AA$7,1,MATCH($E39,Parameters!$X$3:$AA$3,0))))*(1-Inputs_General!$C$22*Parameters!$F$7))</f>
        <v>0.240164787939846</v>
      </c>
      <c r="AL39" s="40" t="n">
        <f aca="false">MAX(AI39*(1+INDEX(Response_Table!$H$4:$H$21,MATCH($F39&amp;"|low",Response_Table!$A$4:$A$21,0))*$R39*INDEX(Parameters!$X$7:$AA$7,1,MATCH($E39,Parameters!$X$3:$AA$3,0))),AI39*(1+INDEX(Response_Table!$H$4:$H$21,MATCH($F39&amp;"|high",Response_Table!$A$4:$A$21,0))*$R39*INDEX(Parameters!$X$7:$AA$7,1,MATCH($E39,Parameters!$X$3:$AA$3,0))))*(1+Inputs_General!$C$22*Parameters!$F$7)</f>
        <v>0.44221847087489</v>
      </c>
      <c r="AM39" s="39" t="n">
        <f aca="false">IF(AI39=0,0,AJ39/AI39-1)</f>
        <v>0</v>
      </c>
      <c r="AN39" s="37" t="n">
        <f aca="false">AI39*$Q39/Inputs_General!$C$13*1000</f>
        <v>5.97691956280819</v>
      </c>
      <c r="AO39" s="37" t="n">
        <f aca="false">AJ39*$Q39/Inputs_General!$C$13*1000*(1+Inputs_General!$C$21*$I39)</f>
        <v>5.97691956280819</v>
      </c>
      <c r="AP39" s="37" t="n">
        <f aca="false">AK39*$Q39/Inputs_General!$C$13*1000*(1+Inputs_General!$C$21*$H39)</f>
        <v>4.20715368026068</v>
      </c>
      <c r="AQ39" s="37" t="n">
        <f aca="false">AL39*$Q39/Inputs_General!$C$13*1000*(1+Inputs_General!$C$21*$J39)</f>
        <v>7.74668544535569</v>
      </c>
      <c r="AR39" s="39" t="n">
        <f aca="false">IF(AN39=0,0,AO39/AN39-1)</f>
        <v>0</v>
      </c>
      <c r="AS39" s="36" t="n">
        <f aca="false">Parameters!$E$9*IF($N39="V",Parameters!$I$9,IF($N39="F",Parameters!$J$9,Parameters!$K$9))*(1-Parameters!$L$9*$P39)*IF($D39="V1",Parameters!$M$9,IF($D39="V2",Parameters!$N$9,Parameters!$O$9))</f>
        <v>285</v>
      </c>
      <c r="AT39" s="36" t="n">
        <f aca="false">AS39*(1+INDEX(Response_Table!$I$4:$I$21,MATCH($F39&amp;"|mid",Response_Table!$A$4:$A$21,0))*$R39*INDEX(Parameters!$X$9:$AA$9,1,MATCH($E39,Parameters!$X$3:$AA$3,0)))</f>
        <v>285</v>
      </c>
      <c r="AU39" s="36" t="n">
        <f aca="false">MAX(0,MIN(AS39*(1+INDEX(Response_Table!$I$4:$I$21,MATCH($F39&amp;"|low",Response_Table!$A$4:$A$21,0))*$R39*INDEX(Parameters!$X$9:$AA$9,1,MATCH($E39,Parameters!$X$3:$AA$3,0))),AS39*(1+INDEX(Response_Table!$I$4:$I$21,MATCH($F39&amp;"|high",Response_Table!$A$4:$A$21,0))*$R39*INDEX(Parameters!$X$9:$AA$9,1,MATCH($E39,Parameters!$X$3:$AA$3,0))))*(1-Inputs_General!$C$22*Parameters!$F$9))</f>
        <v>256.8705</v>
      </c>
      <c r="AV39" s="36" t="n">
        <f aca="false">MAX(AS39*(1+INDEX(Response_Table!$I$4:$I$21,MATCH($F39&amp;"|low",Response_Table!$A$4:$A$21,0))*$R39*INDEX(Parameters!$X$9:$AA$9,1,MATCH($E39,Parameters!$X$3:$AA$3,0))),AS39*(1+INDEX(Response_Table!$I$4:$I$21,MATCH($F39&amp;"|high",Response_Table!$A$4:$A$21,0))*$R39*INDEX(Parameters!$X$9:$AA$9,1,MATCH($E39,Parameters!$X$3:$AA$3,0))))*(1+Inputs_General!$C$22*Parameters!$F$9)</f>
        <v>313.1295</v>
      </c>
      <c r="AW39" s="39" t="n">
        <f aca="false">IF(AS39=0,0,AT39/AS39-1)</f>
        <v>0</v>
      </c>
      <c r="AX39" s="37" t="n">
        <f aca="false">INDEX(Context!$AB$4:$AB$51,$K39)</f>
        <v>3.35011354523348</v>
      </c>
      <c r="AY39" s="37" t="n">
        <f aca="false">AX39*(1+INDEX(Response_Table!$J$4:$J$21,MATCH($F39&amp;"|mid",Response_Table!$A$4:$A$21,0))*$R39*INDEX(Parameters!$X$10:$AA$10,1,MATCH($E39,Parameters!$X$3:$AA$3,0)))</f>
        <v>3.35011354523348</v>
      </c>
      <c r="AZ39" s="37" t="n">
        <f aca="false">MAX(0,MIN(AX39*(1+INDEX(Response_Table!$J$4:$J$21,MATCH($F39&amp;"|low",Response_Table!$A$4:$A$21,0))*$R39*INDEX(Parameters!$X$10:$AA$10,1,MATCH($E39,Parameters!$X$3:$AA$3,0))),AX39*(1+INDEX(Response_Table!$J$4:$J$21,MATCH($F39&amp;"|high",Response_Table!$A$4:$A$21,0))*$R39*INDEX(Parameters!$X$10:$AA$10,1,MATCH($E39,Parameters!$X$3:$AA$3,0))))*(1-Inputs_General!$C$22*Parameters!$F$10))</f>
        <v>2.68880113140439</v>
      </c>
      <c r="BA39" s="37" t="n">
        <f aca="false">MAX(AX39*(1+INDEX(Response_Table!$J$4:$J$21,MATCH($F39&amp;"|low",Response_Table!$A$4:$A$21,0))*$R39*INDEX(Parameters!$X$10:$AA$10,1,MATCH($E39,Parameters!$X$3:$AA$3,0))),AX39*(1+INDEX(Response_Table!$J$4:$J$21,MATCH($F39&amp;"|high",Response_Table!$A$4:$A$21,0))*$R39*INDEX(Parameters!$X$10:$AA$10,1,MATCH($E39,Parameters!$X$3:$AA$3,0))))*(1+Inputs_General!$C$22*Parameters!$F$10)</f>
        <v>4.01142595906256</v>
      </c>
      <c r="BB39" s="39" t="n">
        <f aca="false">IF(AX39=0,0,AY39/AX39-1)</f>
        <v>0</v>
      </c>
      <c r="BC39" s="40" t="n">
        <f aca="false">Parameters!$E$11*IF($N39="V",Parameters!$I$11,IF($N39="F",Parameters!$J$11,Parameters!$K$11))*(1-Parameters!$L$11*$P39)*IF($D39="V1",Parameters!$M$11,IF($D39="V2",Parameters!$N$11,Parameters!$O$11))</f>
        <v>1.21745535714286</v>
      </c>
      <c r="BD39" s="40" t="n">
        <f aca="false">BC39*(1+INDEX(Response_Table!$K$4:$K$21,MATCH($F39&amp;"|mid",Response_Table!$A$4:$A$21,0))*$R39*INDEX(Parameters!$X$11:$AA$11,1,MATCH($E39,Parameters!$X$3:$AA$3,0)))</f>
        <v>1.21745535714286</v>
      </c>
      <c r="BE39" s="40" t="n">
        <f aca="false">MAX(0,MIN(BC39*(1+INDEX(Response_Table!$K$4:$K$21,MATCH($F39&amp;"|low",Response_Table!$A$4:$A$21,0))*$R39*INDEX(Parameters!$X$11:$AA$11,1,MATCH($E39,Parameters!$X$3:$AA$3,0))),BC39*(1+INDEX(Response_Table!$K$4:$K$21,MATCH($F39&amp;"|high",Response_Table!$A$4:$A$21,0))*$R39*INDEX(Parameters!$X$11:$AA$11,1,MATCH($E39,Parameters!$X$3:$AA$3,0))))*(1-Inputs_General!$C$22*Parameters!$F$11))</f>
        <v>1.01718395089286</v>
      </c>
      <c r="BF39" s="40" t="n">
        <f aca="false">MAX(BC39*(1+INDEX(Response_Table!$K$4:$K$21,MATCH($F39&amp;"|low",Response_Table!$A$4:$A$21,0))*$R39*INDEX(Parameters!$X$11:$AA$11,1,MATCH($E39,Parameters!$X$3:$AA$3,0))),BC39*(1+INDEX(Response_Table!$K$4:$K$21,MATCH($F39&amp;"|high",Response_Table!$A$4:$A$21,0))*$R39*INDEX(Parameters!$X$11:$AA$11,1,MATCH($E39,Parameters!$X$3:$AA$3,0))))*(1+Inputs_General!$C$22*Parameters!$F$11)</f>
        <v>1.41772676339286</v>
      </c>
      <c r="BG39" s="39" t="n">
        <f aca="false">IF(BC39=0,0,BD39/BC39-1)</f>
        <v>0</v>
      </c>
      <c r="BH39" s="40" t="n">
        <f aca="false">Parameters!$E$12*IF($N39="V",Parameters!$I$12,IF($N39="F",Parameters!$J$12,Parameters!$K$12))*(1-Parameters!$L$12*$P39)*IF($D39="V1",Parameters!$M$12,IF($D39="V2",Parameters!$N$12,Parameters!$O$12))</f>
        <v>0.438283928571429</v>
      </c>
      <c r="BI39" s="40" t="n">
        <f aca="false">BH39*(1+INDEX(Response_Table!$L$4:$L$21,MATCH($F39&amp;"|mid",Response_Table!$A$4:$A$21,0))*$R39*INDEX(Parameters!$X$12:$AA$12,1,MATCH($E39,Parameters!$X$3:$AA$3,0)))</f>
        <v>0.438283928571429</v>
      </c>
      <c r="BJ39" s="40" t="n">
        <f aca="false">MAX(0,MIN(BH39*(1+INDEX(Response_Table!$L$4:$L$21,MATCH($F39&amp;"|low",Response_Table!$A$4:$A$21,0))*$R39*INDEX(Parameters!$X$12:$AA$12,1,MATCH($E39,Parameters!$X$3:$AA$3,0))),BH39*(1+INDEX(Response_Table!$L$4:$L$21,MATCH($F39&amp;"|high",Response_Table!$A$4:$A$21,0))*$R39*INDEX(Parameters!$X$12:$AA$12,1,MATCH($E39,Parameters!$X$3:$AA$3,0))))*(1-Inputs_General!$C$22*Parameters!$F$12))</f>
        <v>0.351766681071429</v>
      </c>
      <c r="BK39" s="40" t="n">
        <f aca="false">MAX(BH39*(1+INDEX(Response_Table!$L$4:$L$21,MATCH($F39&amp;"|low",Response_Table!$A$4:$A$21,0))*$R39*INDEX(Parameters!$X$12:$AA$12,1,MATCH($E39,Parameters!$X$3:$AA$3,0))),BH39*(1+INDEX(Response_Table!$L$4:$L$21,MATCH($F39&amp;"|high",Response_Table!$A$4:$A$21,0))*$R39*INDEX(Parameters!$X$12:$AA$12,1,MATCH($E39,Parameters!$X$3:$AA$3,0))))*(1+Inputs_General!$C$22*Parameters!$F$12)</f>
        <v>0.524801176071429</v>
      </c>
      <c r="BL39" s="39" t="n">
        <f aca="false">IF(BH39=0,0,BI39/BH39-1)</f>
        <v>0</v>
      </c>
      <c r="BM39" s="40" t="n">
        <f aca="false">Parameters!$E$13*IF($N39="V",Parameters!$I$13,IF($N39="F",Parameters!$J$13,Parameters!$K$13))*(1-Parameters!$L$13*$P39)*IF($D39="V1",Parameters!$M$13,IF($D39="V2",Parameters!$N$13,Parameters!$O$13))</f>
        <v>0.296094642857143</v>
      </c>
      <c r="BN39" s="40" t="n">
        <f aca="false">BM39*(1+INDEX(Response_Table!$M$4:$M$21,MATCH($F39&amp;"|mid",Response_Table!$A$4:$A$21,0))*$R39*INDEX(Parameters!$X$13:$AA$13,1,MATCH($E39,Parameters!$X$3:$AA$3,0)))</f>
        <v>0.296094642857143</v>
      </c>
      <c r="BO39" s="40" t="n">
        <f aca="false">MAX(0,MIN(BM39*(1+INDEX(Response_Table!$M$4:$M$21,MATCH($F39&amp;"|low",Response_Table!$A$4:$A$21,0))*$R39*INDEX(Parameters!$X$13:$AA$13,1,MATCH($E39,Parameters!$X$3:$AA$3,0))),BM39*(1+INDEX(Response_Table!$M$4:$M$21,MATCH($F39&amp;"|high",Response_Table!$A$4:$A$21,0))*$R39*INDEX(Parameters!$X$13:$AA$13,1,MATCH($E39,Parameters!$X$3:$AA$3,0))))*(1-Inputs_General!$C$22*Parameters!$F$13))</f>
        <v>0.237645560357143</v>
      </c>
      <c r="BP39" s="40" t="n">
        <f aca="false">MAX(BM39*(1+INDEX(Response_Table!$M$4:$M$21,MATCH($F39&amp;"|low",Response_Table!$A$4:$A$21,0))*$R39*INDEX(Parameters!$X$13:$AA$13,1,MATCH($E39,Parameters!$X$3:$AA$3,0))),BM39*(1+INDEX(Response_Table!$M$4:$M$21,MATCH($F39&amp;"|high",Response_Table!$A$4:$A$21,0))*$R39*INDEX(Parameters!$X$13:$AA$13,1,MATCH($E39,Parameters!$X$3:$AA$3,0))))*(1+Inputs_General!$C$22*Parameters!$F$13)</f>
        <v>0.354543725357143</v>
      </c>
      <c r="BQ39" s="39" t="n">
        <f aca="false">IF(BM39=0,0,BN39/BM39-1)</f>
        <v>0</v>
      </c>
      <c r="BR39" s="38" t="n">
        <f aca="false">Parameters!$E$14*IF($N39="V",Parameters!$I$14,IF($N39="F",Parameters!$J$14,Parameters!$K$14))*(1-Parameters!$L$14*$P39)*IF($D39="V1",Parameters!$M$14,IF($D39="V2",Parameters!$N$14,Parameters!$O$14))*INDEX(Context!$AC$4:$AC$51,$K39)</f>
        <v>15</v>
      </c>
      <c r="BS39" s="38" t="n">
        <f aca="false">BR39*(1+INDEX(Response_Table!$N$4:$N$21,MATCH($F39&amp;"|mid",Response_Table!$A$4:$A$21,0))*$R39*INDEX(Parameters!$X$14:$AA$14,1,MATCH($E39,Parameters!$X$3:$AA$3,0)))</f>
        <v>15</v>
      </c>
      <c r="BT39" s="38" t="n">
        <f aca="false">MAX(0,MIN(BR39*(1+INDEX(Response_Table!$N$4:$N$21,MATCH($F39&amp;"|low",Response_Table!$A$4:$A$21,0))*$R39*INDEX(Parameters!$X$14:$AA$14,1,MATCH($E39,Parameters!$X$3:$AA$3,0))),BR39*(1+INDEX(Response_Table!$N$4:$N$21,MATCH($F39&amp;"|high",Response_Table!$A$4:$A$21,0))*$R39*INDEX(Parameters!$X$14:$AA$14,1,MATCH($E39,Parameters!$X$3:$AA$3,0))))*(1-Inputs_General!$C$22*Parameters!$F$14))</f>
        <v>7.5975</v>
      </c>
      <c r="BU39" s="38" t="n">
        <f aca="false">MAX(BR39*(1+INDEX(Response_Table!$N$4:$N$21,MATCH($F39&amp;"|low",Response_Table!$A$4:$A$21,0))*$R39*INDEX(Parameters!$X$14:$AA$14,1,MATCH($E39,Parameters!$X$3:$AA$3,0))),BR39*(1+INDEX(Response_Table!$N$4:$N$21,MATCH($F39&amp;"|high",Response_Table!$A$4:$A$21,0))*$R39*INDEX(Parameters!$X$14:$AA$14,1,MATCH($E39,Parameters!$X$3:$AA$3,0))))*(1+Inputs_General!$C$22*Parameters!$F$14)</f>
        <v>22.4025</v>
      </c>
      <c r="BV39" s="39" t="n">
        <f aca="false">IF(BR39=0,0,BS39/BR39-1)</f>
        <v>0</v>
      </c>
      <c r="BW39" s="37" t="n">
        <f aca="false">Parameters!$E$15*IF($N39="V",Parameters!$I$15,IF($N39="F",Parameters!$J$15,Parameters!$K$15))*(1-Parameters!$L$15*$P39)*IF($D39="V1",Parameters!$M$15,IF($D39="V2",Parameters!$N$15,Parameters!$O$15))</f>
        <v>10.5188142857143</v>
      </c>
      <c r="BX39" s="37" t="n">
        <f aca="false">BW39*(1+INDEX(Response_Table!$O$4:$O$21,MATCH($F39&amp;"|mid",Response_Table!$A$4:$A$21,0))*$R39*INDEX(Parameters!$X$15:$AA$15,1,MATCH($E39,Parameters!$X$3:$AA$3,0)))</f>
        <v>10.5188142857143</v>
      </c>
      <c r="BY39" s="37" t="n">
        <f aca="false">MAX(0,MIN(BW39*(1+INDEX(Response_Table!$O$4:$O$21,MATCH($F39&amp;"|low",Response_Table!$A$4:$A$21,0))*$R39*INDEX(Parameters!$X$15:$AA$15,1,MATCH($E39,Parameters!$X$3:$AA$3,0))),BW39*(1+INDEX(Response_Table!$O$4:$O$21,MATCH($F39&amp;"|high",Response_Table!$A$4:$A$21,0))*$R39*INDEX(Parameters!$X$15:$AA$15,1,MATCH($E39,Parameters!$X$3:$AA$3,0))))*(1-Inputs_General!$C$22*Parameters!$F$15))</f>
        <v>8.44240034571429</v>
      </c>
      <c r="BZ39" s="37" t="n">
        <f aca="false">MAX(BW39*(1+INDEX(Response_Table!$O$4:$O$21,MATCH($F39&amp;"|low",Response_Table!$A$4:$A$21,0))*$R39*INDEX(Parameters!$X$15:$AA$15,1,MATCH($E39,Parameters!$X$3:$AA$3,0))),BW39*(1+INDEX(Response_Table!$O$4:$O$21,MATCH($F39&amp;"|high",Response_Table!$A$4:$A$21,0))*$R39*INDEX(Parameters!$X$15:$AA$15,1,MATCH($E39,Parameters!$X$3:$AA$3,0))))*(1+Inputs_General!$C$22*Parameters!$F$15)</f>
        <v>12.5952282257143</v>
      </c>
      <c r="CA39" s="39" t="n">
        <f aca="false">IF(BW39=0,0,BX39/BW39-1)</f>
        <v>0</v>
      </c>
      <c r="CB39" s="40" t="n">
        <f aca="false">BD39+BI39</f>
        <v>1.65573928571429</v>
      </c>
      <c r="CC39" s="37" t="n">
        <f aca="false">BD39/BI39</f>
        <v>2.77777777777778</v>
      </c>
      <c r="CD39" s="40" t="n">
        <f aca="false">BN39/CB39</f>
        <v>0.178829267030049</v>
      </c>
      <c r="CE39" s="37" t="n">
        <f aca="false">AE39/AO39</f>
        <v>3.01336544149186</v>
      </c>
      <c r="CF39" s="38" t="n">
        <f aca="false">AE39/AJ39</f>
        <v>52.7874698697222</v>
      </c>
      <c r="CG39" s="38" t="n">
        <f aca="false">INDEX(Context!$V$4:$V$51,$K39)</f>
        <v>28.62</v>
      </c>
      <c r="CH39" s="38" t="n">
        <f aca="false">INDEX(Context!$Y$4:$Y$51,$K39)</f>
        <v>25.3060134606718</v>
      </c>
      <c r="CI39" s="38" t="n">
        <f aca="false">INDEX(Context!$Z$4:$Z$51,$K39)</f>
        <v>32.62</v>
      </c>
      <c r="CJ39" s="37" t="n">
        <f aca="false">INDEX(Context!$AA$4:$AA$51,$K39)</f>
        <v>0.221696428571429</v>
      </c>
      <c r="CK39" s="37" t="n">
        <f aca="false">MAX(0,MIN(1,1-(1-CJ39)*AO39/AN39))</f>
        <v>0.221696428571429</v>
      </c>
      <c r="CL39" s="38" t="n">
        <f aca="false">CH39+CK39*(CI39-CH39)</f>
        <v>26.9274981550603</v>
      </c>
      <c r="CM39" s="38" t="n">
        <f aca="false">CH39+MAX(0,MIN(1,1-(1-CJ39)*AQ39/AN39))*(CI39-CH39)</f>
        <v>25.3060134606718</v>
      </c>
      <c r="CN39" s="38" t="n">
        <f aca="false">CH39+MAX(0,MIN(1,1-(1-CJ39)*AP39/AN39))*(CI39-CH39)</f>
        <v>28.613047951347</v>
      </c>
      <c r="CO39" s="38" t="n">
        <f aca="false">CL39-CG39</f>
        <v>-1.69250184493966</v>
      </c>
      <c r="CP39" s="38" t="n">
        <f aca="false">CL39-(CH39+CJ39*(CI39-CH39))</f>
        <v>0</v>
      </c>
      <c r="CQ39" s="40" t="n">
        <f aca="false">CL39/CG39</f>
        <v>0.940862968380864</v>
      </c>
      <c r="CR39" s="37" t="n">
        <f aca="false">IF(CL39-CH39&lt;=0,"n/a",(CI39-CL39)/(CL39-CH39))</f>
        <v>3.5106725734998</v>
      </c>
      <c r="CS39" s="37" t="n">
        <f aca="false">IF(CI39-CL39&lt;=0,"n/a",(CL39-CH39)/(CI39-CL39))</f>
        <v>0.284845703797178</v>
      </c>
      <c r="CT39" s="37" t="n">
        <f aca="false">Inputs_General!$C$23+Inputs_General!$C$24*$I39</f>
        <v>0.6</v>
      </c>
      <c r="CU39" s="38" t="n">
        <f aca="false">3.29*CT39</f>
        <v>1.974</v>
      </c>
    </row>
    <row r="40" customFormat="false" ht="15" hidden="false" customHeight="false" outlineLevel="0" collapsed="false">
      <c r="A40" s="9" t="str">
        <f aca="false">B40&amp;"|"&amp;E40&amp;"|"&amp;F40</f>
        <v>D1V2|03/03/2026|Very low</v>
      </c>
      <c r="B40" s="7" t="s">
        <v>343</v>
      </c>
      <c r="C40" s="9" t="s">
        <v>127</v>
      </c>
      <c r="D40" s="9" t="s">
        <v>146</v>
      </c>
      <c r="E40" s="9" t="s">
        <v>162</v>
      </c>
      <c r="F40" s="7" t="s">
        <v>277</v>
      </c>
      <c r="G40" s="9" t="s">
        <v>278</v>
      </c>
      <c r="H40" s="41" t="n">
        <f aca="false">INDEX(Severity_Classes!$C$4:$C$9,MATCH(F40,Severity_Classes!$A$4:$A$9,0))</f>
        <v>0.01</v>
      </c>
      <c r="I40" s="41" t="n">
        <f aca="false">INDEX(Severity_Classes!$D$4:$D$9,MATCH(F40,Severity_Classes!$A$4:$A$9,0))</f>
        <v>0.03</v>
      </c>
      <c r="J40" s="41" t="n">
        <f aca="false">INDEX(Severity_Classes!$E$4:$E$9,MATCH(F40,Severity_Classes!$A$4:$A$9,0))</f>
        <v>0.05</v>
      </c>
      <c r="K40" s="42" t="n">
        <f aca="false">MATCH(B40&amp;"|"&amp;E40,Context!$A$4:$A$51,0)</f>
        <v>7</v>
      </c>
      <c r="L40" s="42" t="n">
        <f aca="false">INDEX(Context!$H$4:$H$51,K40)</f>
        <v>84</v>
      </c>
      <c r="M40" s="42" t="n">
        <f aca="false">INDEX(Context!$I$4:$I$51,K40)</f>
        <v>26</v>
      </c>
      <c r="N40" s="9" t="str">
        <f aca="false">INDEX(Context!$L$4:$L$51,K40)</f>
        <v>F</v>
      </c>
      <c r="O40" s="9" t="str">
        <f aca="false">INDEX(Context!$M$4:$M$51,K40)</f>
        <v>5th fully expanded leaf from top</v>
      </c>
      <c r="P40" s="43" t="n">
        <f aca="false">INDEX(Context!$R$4:$R$51,K40)</f>
        <v>0.433928571428571</v>
      </c>
      <c r="Q40" s="43" t="n">
        <f aca="false">INDEX(Context!$U$4:$U$51,K40)</f>
        <v>1.73951545534029</v>
      </c>
      <c r="R40" s="43" t="n">
        <f aca="false">INDEX(Context!$AD$4:$AD$51,K40)</f>
        <v>1.1</v>
      </c>
      <c r="S40" s="9" t="str">
        <f aca="false">INDEX(Context!$AI$4:$AN$51,K40,MATCH(F40,Severity_Classes!$A$4:$A$9,0))</f>
        <v>Unlikely</v>
      </c>
      <c r="T40" s="44" t="n">
        <f aca="false">Parameters!$E$4*IF($N40="V",Parameters!$I$4,IF($N40="F",Parameters!$J$4,Parameters!$K$4))*(1-Parameters!$L$4*$P40)*IF($D40="V1",Parameters!$M$4,IF($D40="V2",Parameters!$N$4,Parameters!$O$4))</f>
        <v>83.2927660714286</v>
      </c>
      <c r="U40" s="44" t="n">
        <f aca="false">MIN(100,T40*(1+INDEX(Response_Table!$E$4:$E$21,MATCH($F40&amp;"|mid",Response_Table!$A$4:$A$21,0))*$R40*INDEX(Parameters!$X$4:$AA$4,1,MATCH($E40,Parameters!$X$3:$AA$3,0))))</f>
        <v>82.8977524038264</v>
      </c>
      <c r="V40" s="44" t="n">
        <f aca="false">MAX(0,MIN(T40*(1+INDEX(Response_Table!$E$4:$E$21,MATCH($F40&amp;"|low",Response_Table!$A$4:$A$21,0))*$R40*INDEX(Parameters!$X$4:$AA$4,1,MATCH($E40,Parameters!$X$3:$AA$3,0))),T40*(1+INDEX(Response_Table!$E$4:$E$21,MATCH($F40&amp;"|high",Response_Table!$A$4:$A$21,0))*$R40*INDEX(Parameters!$X$4:$AA$4,1,MATCH($E40,Parameters!$X$3:$AA$3,0))))*(1-Inputs_General!$C$22*Parameters!$F$4))</f>
        <v>77.1483417033647</v>
      </c>
      <c r="W40" s="44" t="n">
        <f aca="false">MIN(100,MAX(T40*(1+INDEX(Response_Table!$E$4:$E$21,MATCH($F40&amp;"|low",Response_Table!$A$4:$A$21,0))*$R40*INDEX(Parameters!$X$4:$AA$4,1,MATCH($E40,Parameters!$X$3:$AA$3,0))),T40*(1+INDEX(Response_Table!$E$4:$E$21,MATCH($F40&amp;"|high",Response_Table!$A$4:$A$21,0))*$R40*INDEX(Parameters!$X$4:$AA$4,1,MATCH($E40,Parameters!$X$3:$AA$3,0))))*(1+Inputs_General!$C$22*Parameters!$F$4))</f>
        <v>88.6433160793479</v>
      </c>
      <c r="X40" s="45" t="n">
        <f aca="false">IF(T40=0,0,U40/T40-1)</f>
        <v>-0.00474247268080141</v>
      </c>
      <c r="Y40" s="44" t="n">
        <f aca="false">Parameters!$E$5*IF($N40="V",Parameters!$I$5,IF($N40="F",Parameters!$J$5,Parameters!$K$5))*(1-Parameters!$L$5*$P40)*IF($D40="V1",Parameters!$M$5,IF($D40="V2",Parameters!$N$5,Parameters!$O$5))</f>
        <v>66.88584</v>
      </c>
      <c r="Z40" s="44" t="n">
        <f aca="false">MIN(100,Y40*(1+INDEX(Response_Table!$F$4:$F$21,MATCH($F40&amp;"|mid",Response_Table!$A$4:$A$21,0))*$R40*INDEX(Parameters!$X$5:$AA$5,1,MATCH($E40,Parameters!$X$3:$AA$3,0))))</f>
        <v>65.8732542838952</v>
      </c>
      <c r="AA40" s="44" t="n">
        <f aca="false">MAX(0,MIN(Y40*(1+INDEX(Response_Table!$F$4:$F$21,MATCH($F40&amp;"|low",Response_Table!$A$4:$A$21,0))*$R40*INDEX(Parameters!$X$5:$AA$5,1,MATCH($E40,Parameters!$X$3:$AA$3,0))),Y40*(1+INDEX(Response_Table!$F$4:$F$21,MATCH($F40&amp;"|high",Response_Table!$A$4:$A$21,0))*$R40*INDEX(Parameters!$X$5:$AA$5,1,MATCH($E40,Parameters!$X$3:$AA$3,0))))*(1-Inputs_General!$C$22*Parameters!$F$5))</f>
        <v>57.5500061260851</v>
      </c>
      <c r="AB40" s="44" t="n">
        <f aca="false">MIN(100,MAX(Y40*(1+INDEX(Response_Table!$F$4:$F$21,MATCH($F40&amp;"|low",Response_Table!$A$4:$A$21,0))*$R40*INDEX(Parameters!$X$5:$AA$5,1,MATCH($E40,Parameters!$X$3:$AA$3,0))),Y40*(1+INDEX(Response_Table!$F$4:$F$21,MATCH($F40&amp;"|high",Response_Table!$A$4:$A$21,0))*$R40*INDEX(Parameters!$X$5:$AA$5,1,MATCH($E40,Parameters!$X$3:$AA$3,0))))*(1+Inputs_General!$C$22*Parameters!$F$5))</f>
        <v>74.2435679431691</v>
      </c>
      <c r="AC40" s="45" t="n">
        <f aca="false">IF(Y40=0,0,Z40/Y40-1)</f>
        <v>-0.0151390147167895</v>
      </c>
      <c r="AD40" s="44" t="n">
        <f aca="false">Parameters!$E$6*IF($N40="V",Parameters!$I$6,IF($N40="F",Parameters!$J$6,Parameters!$K$6))*(1-Parameters!$L$6*$P40)*IF($D40="V1",Parameters!$M$6,IF($D40="V2",Parameters!$N$6,Parameters!$O$6))</f>
        <v>18.0106428571429</v>
      </c>
      <c r="AE40" s="44" t="n">
        <f aca="false">AD40*(1+INDEX(Response_Table!$G$4:$G$21,MATCH($F40&amp;"|mid",Response_Table!$A$4:$A$21,0))*$R40*INDEX(Parameters!$X$6:$AA$6,1,MATCH($E40,Parameters!$X$3:$AA$3,0)))</f>
        <v>16.1732208638444</v>
      </c>
      <c r="AF40" s="44" t="n">
        <f aca="false">MAX(0,MIN(AD40*(1+INDEX(Response_Table!$G$4:$G$21,MATCH($F40&amp;"|low",Response_Table!$A$4:$A$21,0))*$R40*INDEX(Parameters!$X$6:$AA$6,1,MATCH($E40,Parameters!$X$3:$AA$3,0))),AD40*(1+INDEX(Response_Table!$G$4:$G$21,MATCH($F40&amp;"|high",Response_Table!$A$4:$A$21,0))*$R40*INDEX(Parameters!$X$6:$AA$6,1,MATCH($E40,Parameters!$X$3:$AA$3,0))))*(1-Inputs_General!$C$22*Parameters!$F$6))</f>
        <v>12.1002488550559</v>
      </c>
      <c r="AG40" s="44" t="n">
        <f aca="false">MAX(AD40*(1+INDEX(Response_Table!$G$4:$G$21,MATCH($F40&amp;"|low",Response_Table!$A$4:$A$21,0))*$R40*INDEX(Parameters!$X$6:$AA$6,1,MATCH($E40,Parameters!$X$3:$AA$3,0))),AD40*(1+INDEX(Response_Table!$G$4:$G$21,MATCH($F40&amp;"|high",Response_Table!$A$4:$A$21,0))*$R40*INDEX(Parameters!$X$6:$AA$6,1,MATCH($E40,Parameters!$X$3:$AA$3,0))))*(1+Inputs_General!$C$22*Parameters!$F$6)</f>
        <v>20.8000727181572</v>
      </c>
      <c r="AH40" s="45" t="n">
        <f aca="false">IF(AD40=0,0,AE40/AD40-1)</f>
        <v>-0.102018679059517</v>
      </c>
      <c r="AI40" s="46" t="n">
        <f aca="false">Parameters!$E$7*IF($N40="V",Parameters!$I$7,IF($N40="F",Parameters!$J$7,Parameters!$K$7))*(1-Parameters!$L$7*$P40)*IF($D40="V1",Parameters!$M$7,IF($D40="V2",Parameters!$N$7,Parameters!$O$7))*POWER($Q40/Inputs_General!$C$26,-Inputs_General!$C$25)</f>
        <v>0.341191629407368</v>
      </c>
      <c r="AJ40" s="46" t="n">
        <f aca="false">AI40*(1+INDEX(Response_Table!$H$4:$H$21,MATCH($F40&amp;"|mid",Response_Table!$A$4:$A$21,0))*$R40*INDEX(Parameters!$X$7:$AA$7,1,MATCH($E40,Parameters!$X$3:$AA$3,0)))</f>
        <v>0.320194968623362</v>
      </c>
      <c r="AK40" s="46" t="n">
        <f aca="false">MAX(0,MIN(AI40*(1+INDEX(Response_Table!$H$4:$H$21,MATCH($F40&amp;"|low",Response_Table!$A$4:$A$21,0))*$R40*INDEX(Parameters!$X$7:$AA$7,1,MATCH($E40,Parameters!$X$3:$AA$3,0))),AI40*(1+INDEX(Response_Table!$H$4:$H$21,MATCH($F40&amp;"|high",Response_Table!$A$4:$A$21,0))*$R40*INDEX(Parameters!$X$7:$AA$7,1,MATCH($E40,Parameters!$X$3:$AA$3,0))))*(1-Inputs_General!$C$22*Parameters!$F$7))</f>
        <v>0.216245864837781</v>
      </c>
      <c r="AL40" s="46" t="n">
        <f aca="false">MAX(AI40*(1+INDEX(Response_Table!$H$4:$H$21,MATCH($F40&amp;"|low",Response_Table!$A$4:$A$21,0))*$R40*INDEX(Parameters!$X$7:$AA$7,1,MATCH($E40,Parameters!$X$3:$AA$3,0))),AI40*(1+INDEX(Response_Table!$H$4:$H$21,MATCH($F40&amp;"|high",Response_Table!$A$4:$A$21,0))*$R40*INDEX(Parameters!$X$7:$AA$7,1,MATCH($E40,Parameters!$X$3:$AA$3,0))))*(1+Inputs_General!$C$22*Parameters!$F$7)</f>
        <v>0.432873756237273</v>
      </c>
      <c r="AM40" s="45" t="n">
        <f aca="false">IF(AI40=0,0,AJ40/AI40-1)</f>
        <v>-0.0615392025310718</v>
      </c>
      <c r="AN40" s="43" t="n">
        <f aca="false">AI40*$Q40/Inputs_General!$C$13*1000</f>
        <v>5.97691956280819</v>
      </c>
      <c r="AO40" s="43" t="n">
        <f aca="false">AJ40*$Q40/Inputs_General!$C$13*1000*(1+Inputs_General!$C$21*$I40)</f>
        <v>5.65117298456552</v>
      </c>
      <c r="AP40" s="43" t="n">
        <f aca="false">AK40*$Q40/Inputs_General!$C$13*1000*(1+Inputs_General!$C$21*$H40)</f>
        <v>3.79761763946469</v>
      </c>
      <c r="AQ40" s="43" t="n">
        <f aca="false">AL40*$Q40/Inputs_General!$C$13*1000*(1+Inputs_General!$C$21*$J40)</f>
        <v>7.6777741344488</v>
      </c>
      <c r="AR40" s="45" t="n">
        <f aca="false">IF(AN40=0,0,AO40/AN40-1)</f>
        <v>-0.0545007465500549</v>
      </c>
      <c r="AS40" s="42" t="n">
        <f aca="false">Parameters!$E$9*IF($N40="V",Parameters!$I$9,IF($N40="F",Parameters!$J$9,Parameters!$K$9))*(1-Parameters!$L$9*$P40)*IF($D40="V1",Parameters!$M$9,IF($D40="V2",Parameters!$N$9,Parameters!$O$9))</f>
        <v>285</v>
      </c>
      <c r="AT40" s="42" t="n">
        <f aca="false">AS40*(1+INDEX(Response_Table!$I$4:$I$21,MATCH($F40&amp;"|mid",Response_Table!$A$4:$A$21,0))*$R40*INDEX(Parameters!$X$9:$AA$9,1,MATCH($E40,Parameters!$X$3:$AA$3,0)))</f>
        <v>295.635132926751</v>
      </c>
      <c r="AU40" s="42" t="n">
        <f aca="false">MAX(0,MIN(AS40*(1+INDEX(Response_Table!$I$4:$I$21,MATCH($F40&amp;"|low",Response_Table!$A$4:$A$21,0))*$R40*INDEX(Parameters!$X$9:$AA$9,1,MATCH($E40,Parameters!$X$3:$AA$3,0))),AS40*(1+INDEX(Response_Table!$I$4:$I$21,MATCH($F40&amp;"|high",Response_Table!$A$4:$A$21,0))*$R40*INDEX(Parameters!$X$9:$AA$9,1,MATCH($E40,Parameters!$X$3:$AA$3,0))))*(1-Inputs_General!$C$22*Parameters!$F$9))</f>
        <v>260.194272002174</v>
      </c>
      <c r="AV40" s="42" t="n">
        <f aca="false">MAX(AS40*(1+INDEX(Response_Table!$I$4:$I$21,MATCH($F40&amp;"|low",Response_Table!$A$4:$A$21,0))*$R40*INDEX(Parameters!$X$9:$AA$9,1,MATCH($E40,Parameters!$X$3:$AA$3,0))),AS40*(1+INDEX(Response_Table!$I$4:$I$21,MATCH($F40&amp;"|high",Response_Table!$A$4:$A$21,0))*$R40*INDEX(Parameters!$X$9:$AA$9,1,MATCH($E40,Parameters!$X$3:$AA$3,0))))*(1+Inputs_General!$C$22*Parameters!$F$9)</f>
        <v>331.860547055842</v>
      </c>
      <c r="AW40" s="45" t="n">
        <f aca="false">IF(AS40=0,0,AT40/AS40-1)</f>
        <v>0.037316255883338</v>
      </c>
      <c r="AX40" s="43" t="n">
        <f aca="false">INDEX(Context!$AB$4:$AB$51,$K40)</f>
        <v>3.35011354523348</v>
      </c>
      <c r="AY40" s="43" t="n">
        <f aca="false">AX40*(1+INDEX(Response_Table!$J$4:$J$21,MATCH($F40&amp;"|mid",Response_Table!$A$4:$A$21,0))*$R40*INDEX(Parameters!$X$10:$AA$10,1,MATCH($E40,Parameters!$X$3:$AA$3,0)))</f>
        <v>3.23029012026836</v>
      </c>
      <c r="AZ40" s="43" t="n">
        <f aca="false">MAX(0,MIN(AX40*(1+INDEX(Response_Table!$J$4:$J$21,MATCH($F40&amp;"|low",Response_Table!$A$4:$A$21,0))*$R40*INDEX(Parameters!$X$10:$AA$10,1,MATCH($E40,Parameters!$X$3:$AA$3,0))),AX40*(1+INDEX(Response_Table!$J$4:$J$21,MATCH($F40&amp;"|high",Response_Table!$A$4:$A$21,0))*$R40*INDEX(Parameters!$X$10:$AA$10,1,MATCH($E40,Parameters!$X$3:$AA$3,0))))*(1-Inputs_General!$C$22*Parameters!$F$10))</f>
        <v>2.53240961307373</v>
      </c>
      <c r="BA40" s="43" t="n">
        <f aca="false">MAX(AX40*(1+INDEX(Response_Table!$J$4:$J$21,MATCH($F40&amp;"|low",Response_Table!$A$4:$A$21,0))*$R40*INDEX(Parameters!$X$10:$AA$10,1,MATCH($E40,Parameters!$X$3:$AA$3,0))),AX40*(1+INDEX(Response_Table!$J$4:$J$21,MATCH($F40&amp;"|high",Response_Table!$A$4:$A$21,0))*$R40*INDEX(Parameters!$X$10:$AA$10,1,MATCH($E40,Parameters!$X$3:$AA$3,0))))*(1+Inputs_General!$C$22*Parameters!$F$10)</f>
        <v>3.96239994145113</v>
      </c>
      <c r="BB40" s="45" t="n">
        <f aca="false">IF(AX40=0,0,AY40/AX40-1)</f>
        <v>-0.0357669742673663</v>
      </c>
      <c r="BC40" s="46" t="n">
        <f aca="false">Parameters!$E$11*IF($N40="V",Parameters!$I$11,IF($N40="F",Parameters!$J$11,Parameters!$K$11))*(1-Parameters!$L$11*$P40)*IF($D40="V1",Parameters!$M$11,IF($D40="V2",Parameters!$N$11,Parameters!$O$11))</f>
        <v>1.21745535714286</v>
      </c>
      <c r="BD40" s="46" t="n">
        <f aca="false">BC40*(1+INDEX(Response_Table!$K$4:$K$21,MATCH($F40&amp;"|mid",Response_Table!$A$4:$A$21,0))*$R40*INDEX(Parameters!$X$11:$AA$11,1,MATCH($E40,Parameters!$X$3:$AA$3,0)))</f>
        <v>1.13777506072678</v>
      </c>
      <c r="BE40" s="46" t="n">
        <f aca="false">MAX(0,MIN(BC40*(1+INDEX(Response_Table!$K$4:$K$21,MATCH($F40&amp;"|low",Response_Table!$A$4:$A$21,0))*$R40*INDEX(Parameters!$X$11:$AA$11,1,MATCH($E40,Parameters!$X$3:$AA$3,0))),BC40*(1+INDEX(Response_Table!$K$4:$K$21,MATCH($F40&amp;"|high",Response_Table!$A$4:$A$21,0))*$R40*INDEX(Parameters!$X$11:$AA$11,1,MATCH($E40,Parameters!$X$3:$AA$3,0))))*(1-Inputs_General!$C$22*Parameters!$F$11))</f>
        <v>0.909650120986928</v>
      </c>
      <c r="BF40" s="46" t="n">
        <f aca="false">MAX(BC40*(1+INDEX(Response_Table!$K$4:$K$21,MATCH($F40&amp;"|low",Response_Table!$A$4:$A$21,0))*$R40*INDEX(Parameters!$X$11:$AA$11,1,MATCH($E40,Parameters!$X$3:$AA$3,0))),BC40*(1+INDEX(Response_Table!$K$4:$K$21,MATCH($F40&amp;"|high",Response_Table!$A$4:$A$21,0))*$R40*INDEX(Parameters!$X$11:$AA$11,1,MATCH($E40,Parameters!$X$3:$AA$3,0))))*(1+Inputs_General!$C$22*Parameters!$F$11)</f>
        <v>1.38580268445108</v>
      </c>
      <c r="BG40" s="45" t="n">
        <f aca="false">IF(BC40=0,0,BD40/BC40-1)</f>
        <v>-0.0654482285108751</v>
      </c>
      <c r="BH40" s="46" t="n">
        <f aca="false">Parameters!$E$12*IF($N40="V",Parameters!$I$12,IF($N40="F",Parameters!$J$12,Parameters!$K$12))*(1-Parameters!$L$12*$P40)*IF($D40="V1",Parameters!$M$12,IF($D40="V2",Parameters!$N$12,Parameters!$O$12))</f>
        <v>0.438283928571429</v>
      </c>
      <c r="BI40" s="46" t="n">
        <f aca="false">BH40*(1+INDEX(Response_Table!$L$4:$L$21,MATCH($F40&amp;"|mid",Response_Table!$A$4:$A$21,0))*$R40*INDEX(Parameters!$X$12:$AA$12,1,MATCH($E40,Parameters!$X$3:$AA$3,0)))</f>
        <v>0.415461768732107</v>
      </c>
      <c r="BJ40" s="46" t="n">
        <f aca="false">MAX(0,MIN(BH40*(1+INDEX(Response_Table!$L$4:$L$21,MATCH($F40&amp;"|low",Response_Table!$A$4:$A$21,0))*$R40*INDEX(Parameters!$X$12:$AA$12,1,MATCH($E40,Parameters!$X$3:$AA$3,0))),BH40*(1+INDEX(Response_Table!$L$4:$L$21,MATCH($F40&amp;"|high",Response_Table!$A$4:$A$21,0))*$R40*INDEX(Parameters!$X$12:$AA$12,1,MATCH($E40,Parameters!$X$3:$AA$3,0))))*(1-Inputs_General!$C$22*Parameters!$F$12))</f>
        <v>0.322122713907657</v>
      </c>
      <c r="BK40" s="46" t="n">
        <f aca="false">MAX(BH40*(1+INDEX(Response_Table!$L$4:$L$21,MATCH($F40&amp;"|low",Response_Table!$A$4:$A$21,0))*$R40*INDEX(Parameters!$X$12:$AA$12,1,MATCH($E40,Parameters!$X$3:$AA$3,0))),BH40*(1+INDEX(Response_Table!$L$4:$L$21,MATCH($F40&amp;"|high",Response_Table!$A$4:$A$21,0))*$R40*INDEX(Parameters!$X$12:$AA$12,1,MATCH($E40,Parameters!$X$3:$AA$3,0))))*(1+Inputs_General!$C$22*Parameters!$F$12)</f>
        <v>0.515417493726525</v>
      </c>
      <c r="BL40" s="45" t="n">
        <f aca="false">IF(BH40=0,0,BI40/BH40-1)</f>
        <v>-0.052071632910907</v>
      </c>
      <c r="BM40" s="46" t="n">
        <f aca="false">Parameters!$E$13*IF($N40="V",Parameters!$I$13,IF($N40="F",Parameters!$J$13,Parameters!$K$13))*(1-Parameters!$L$13*$P40)*IF($D40="V1",Parameters!$M$13,IF($D40="V2",Parameters!$N$13,Parameters!$O$13))</f>
        <v>0.296094642857143</v>
      </c>
      <c r="BN40" s="46" t="n">
        <f aca="false">BM40*(1+INDEX(Response_Table!$M$4:$M$21,MATCH($F40&amp;"|mid",Response_Table!$A$4:$A$21,0))*$R40*INDEX(Parameters!$X$13:$AA$13,1,MATCH($E40,Parameters!$X$3:$AA$3,0)))</f>
        <v>0.304558082103307</v>
      </c>
      <c r="BO40" s="46" t="n">
        <f aca="false">MAX(0,MIN(BM40*(1+INDEX(Response_Table!$M$4:$M$21,MATCH($F40&amp;"|low",Response_Table!$A$4:$A$21,0))*$R40*INDEX(Parameters!$X$13:$AA$13,1,MATCH($E40,Parameters!$X$3:$AA$3,0))),BM40*(1+INDEX(Response_Table!$M$4:$M$21,MATCH($F40&amp;"|high",Response_Table!$A$4:$A$21,0))*$R40*INDEX(Parameters!$X$13:$AA$13,1,MATCH($E40,Parameters!$X$3:$AA$3,0))))*(1-Inputs_General!$C$22*Parameters!$F$13))</f>
        <v>0.240984877106815</v>
      </c>
      <c r="BP40" s="46" t="n">
        <f aca="false">MAX(BM40*(1+INDEX(Response_Table!$M$4:$M$21,MATCH($F40&amp;"|low",Response_Table!$A$4:$A$21,0))*$R40*INDEX(Parameters!$X$13:$AA$13,1,MATCH($E40,Parameters!$X$3:$AA$3,0))),BM40*(1+INDEX(Response_Table!$M$4:$M$21,MATCH($F40&amp;"|high",Response_Table!$A$4:$A$21,0))*$R40*INDEX(Parameters!$X$13:$AA$13,1,MATCH($E40,Parameters!$X$3:$AA$3,0))))*(1+Inputs_General!$C$22*Parameters!$F$13)</f>
        <v>0.36496418363522</v>
      </c>
      <c r="BQ40" s="45" t="n">
        <f aca="false">IF(BM40=0,0,BN40/BM40-1)</f>
        <v>0.0285835608658662</v>
      </c>
      <c r="BR40" s="44" t="n">
        <f aca="false">Parameters!$E$14*IF($N40="V",Parameters!$I$14,IF($N40="F",Parameters!$J$14,Parameters!$K$14))*(1-Parameters!$L$14*$P40)*IF($D40="V1",Parameters!$M$14,IF($D40="V2",Parameters!$N$14,Parameters!$O$14))*INDEX(Context!$AC$4:$AC$51,$K40)</f>
        <v>15</v>
      </c>
      <c r="BS40" s="44" t="n">
        <f aca="false">BR40*(1+INDEX(Response_Table!$N$4:$N$21,MATCH($F40&amp;"|mid",Response_Table!$A$4:$A$21,0))*$R40*INDEX(Parameters!$X$14:$AA$14,1,MATCH($E40,Parameters!$X$3:$AA$3,0)))</f>
        <v>15.8520812658148</v>
      </c>
      <c r="BT40" s="44" t="n">
        <f aca="false">MAX(0,MIN(BR40*(1+INDEX(Response_Table!$N$4:$N$21,MATCH($F40&amp;"|low",Response_Table!$A$4:$A$21,0))*$R40*INDEX(Parameters!$X$14:$AA$14,1,MATCH($E40,Parameters!$X$3:$AA$3,0))),BR40*(1+INDEX(Response_Table!$N$4:$N$21,MATCH($F40&amp;"|high",Response_Table!$A$4:$A$21,0))*$R40*INDEX(Parameters!$X$14:$AA$14,1,MATCH($E40,Parameters!$X$3:$AA$3,0))))*(1-Inputs_General!$C$22*Parameters!$F$14))</f>
        <v>7.74569643885104</v>
      </c>
      <c r="BU40" s="44" t="n">
        <f aca="false">MAX(BR40*(1+INDEX(Response_Table!$N$4:$N$21,MATCH($F40&amp;"|low",Response_Table!$A$4:$A$21,0))*$R40*INDEX(Parameters!$X$14:$AA$14,1,MATCH($E40,Parameters!$X$3:$AA$3,0))),BR40*(1+INDEX(Response_Table!$N$4:$N$21,MATCH($F40&amp;"|high",Response_Table!$A$4:$A$21,0))*$R40*INDEX(Parameters!$X$14:$AA$14,1,MATCH($E40,Parameters!$X$3:$AA$3,0))))*(1+Inputs_General!$C$22*Parameters!$F$14)</f>
        <v>24.4620231083708</v>
      </c>
      <c r="BV40" s="45" t="n">
        <f aca="false">IF(BR40=0,0,BS40/BR40-1)</f>
        <v>0.0568054177209894</v>
      </c>
      <c r="BW40" s="43" t="n">
        <f aca="false">Parameters!$E$15*IF($N40="V",Parameters!$I$15,IF($N40="F",Parameters!$J$15,Parameters!$K$15))*(1-Parameters!$L$15*$P40)*IF($D40="V1",Parameters!$M$15,IF($D40="V2",Parameters!$N$15,Parameters!$O$15))</f>
        <v>10.5188142857143</v>
      </c>
      <c r="BX40" s="43" t="n">
        <f aca="false">BW40*(1+INDEX(Response_Table!$O$4:$O$21,MATCH($F40&amp;"|mid",Response_Table!$A$4:$A$21,0))*$R40*INDEX(Parameters!$X$15:$AA$15,1,MATCH($E40,Parameters!$X$3:$AA$3,0)))</f>
        <v>10.3694328758569</v>
      </c>
      <c r="BY40" s="43" t="n">
        <f aca="false">MAX(0,MIN(BW40*(1+INDEX(Response_Table!$O$4:$O$21,MATCH($F40&amp;"|low",Response_Table!$A$4:$A$21,0))*$R40*INDEX(Parameters!$X$15:$AA$15,1,MATCH($E40,Parameters!$X$3:$AA$3,0))),BW40*(1+INDEX(Response_Table!$O$4:$O$21,MATCH($F40&amp;"|high",Response_Table!$A$4:$A$21,0))*$R40*INDEX(Parameters!$X$15:$AA$15,1,MATCH($E40,Parameters!$X$3:$AA$3,0))))*(1-Inputs_General!$C$22*Parameters!$F$15))</f>
        <v>8.24836710609687</v>
      </c>
      <c r="BZ40" s="43" t="n">
        <f aca="false">MAX(BW40*(1+INDEX(Response_Table!$O$4:$O$21,MATCH($F40&amp;"|low",Response_Table!$A$4:$A$21,0))*$R40*INDEX(Parameters!$X$15:$AA$15,1,MATCH($E40,Parameters!$X$3:$AA$3,0))),BW40*(1+INDEX(Response_Table!$O$4:$O$21,MATCH($F40&amp;"|high",Response_Table!$A$4:$A$21,0))*$R40*INDEX(Parameters!$X$15:$AA$15,1,MATCH($E40,Parameters!$X$3:$AA$3,0))))*(1+Inputs_General!$C$22*Parameters!$F$15)</f>
        <v>12.5338077594567</v>
      </c>
      <c r="CA40" s="45" t="n">
        <f aca="false">IF(BW40=0,0,BX40/BW40-1)</f>
        <v>-0.0142013544302474</v>
      </c>
      <c r="CB40" s="46" t="n">
        <f aca="false">BD40+BI40</f>
        <v>1.55323682945889</v>
      </c>
      <c r="CC40" s="43" t="n">
        <f aca="false">BD40/BI40</f>
        <v>2.73857944666969</v>
      </c>
      <c r="CD40" s="46" t="n">
        <f aca="false">BN40/CB40</f>
        <v>0.196079616660524</v>
      </c>
      <c r="CE40" s="43" t="n">
        <f aca="false">AE40/AO40</f>
        <v>2.8619228093029</v>
      </c>
      <c r="CF40" s="44" t="n">
        <f aca="false">AE40/AJ40</f>
        <v>50.5105402916828</v>
      </c>
      <c r="CG40" s="44" t="n">
        <f aca="false">INDEX(Context!$V$4:$V$51,$K40)</f>
        <v>28.62</v>
      </c>
      <c r="CH40" s="44" t="n">
        <f aca="false">INDEX(Context!$Y$4:$Y$51,$K40)</f>
        <v>25.3060134606718</v>
      </c>
      <c r="CI40" s="44" t="n">
        <f aca="false">INDEX(Context!$Z$4:$Z$51,$K40)</f>
        <v>32.62</v>
      </c>
      <c r="CJ40" s="43" t="n">
        <f aca="false">INDEX(Context!$AA$4:$AA$51,$K40)</f>
        <v>0.221696428571429</v>
      </c>
      <c r="CK40" s="43" t="n">
        <f aca="false">MAX(0,MIN(1,1-(1-CJ40)*AO40/AN40))</f>
        <v>0.26411455425686</v>
      </c>
      <c r="CL40" s="44" t="n">
        <f aca="false">CH40+CK40*(CI40-CH40)</f>
        <v>27.2377437553471</v>
      </c>
      <c r="CM40" s="44" t="n">
        <f aca="false">CH40+MAX(0,MIN(1,1-(1-CJ40)*AQ40/AN40))*(CI40-CH40)</f>
        <v>25.3075804557682</v>
      </c>
      <c r="CN40" s="44" t="n">
        <f aca="false">CH40+MAX(0,MIN(1,1-(1-CJ40)*AP40/AN40))*(CI40-CH40)</f>
        <v>29.0030958084918</v>
      </c>
      <c r="CO40" s="44" t="n">
        <f aca="false">CL40-CG40</f>
        <v>-1.38225624465289</v>
      </c>
      <c r="CP40" s="44" t="n">
        <f aca="false">CL40-(CH40+CJ40*(CI40-CH40))</f>
        <v>0.310245600286777</v>
      </c>
      <c r="CQ40" s="46" t="n">
        <f aca="false">CL40/CG40</f>
        <v>0.951703136105769</v>
      </c>
      <c r="CR40" s="43" t="n">
        <f aca="false">IF(CL40-CH40&lt;=0,"n/a",(CI40-CL40)/(CL40-CH40))</f>
        <v>2.78623587334558</v>
      </c>
      <c r="CS40" s="43" t="n">
        <f aca="false">IF(CI40-CL40&lt;=0,"n/a",(CL40-CH40)/(CI40-CL40))</f>
        <v>0.358907158423471</v>
      </c>
      <c r="CT40" s="43" t="n">
        <f aca="false">Inputs_General!$C$23+Inputs_General!$C$24*$I40</f>
        <v>0.66</v>
      </c>
      <c r="CU40" s="44" t="n">
        <f aca="false">3.29*CT40</f>
        <v>2.1714</v>
      </c>
    </row>
    <row r="41" customFormat="false" ht="15" hidden="false" customHeight="false" outlineLevel="0" collapsed="false">
      <c r="A41" s="9" t="str">
        <f aca="false">B41&amp;"|"&amp;E41&amp;"|"&amp;F41</f>
        <v>D1V2|03/03/2026|Low</v>
      </c>
      <c r="B41" s="7" t="s">
        <v>343</v>
      </c>
      <c r="C41" s="9" t="s">
        <v>127</v>
      </c>
      <c r="D41" s="9" t="s">
        <v>146</v>
      </c>
      <c r="E41" s="9" t="s">
        <v>162</v>
      </c>
      <c r="F41" s="7" t="s">
        <v>279</v>
      </c>
      <c r="G41" s="9" t="s">
        <v>280</v>
      </c>
      <c r="H41" s="41" t="n">
        <f aca="false">INDEX(Severity_Classes!$C$4:$C$9,MATCH(F41,Severity_Classes!$A$4:$A$9,0))</f>
        <v>0.06</v>
      </c>
      <c r="I41" s="41" t="n">
        <f aca="false">INDEX(Severity_Classes!$D$4:$D$9,MATCH(F41,Severity_Classes!$A$4:$A$9,0))</f>
        <v>0.08</v>
      </c>
      <c r="J41" s="41" t="n">
        <f aca="false">INDEX(Severity_Classes!$E$4:$E$9,MATCH(F41,Severity_Classes!$A$4:$A$9,0))</f>
        <v>0.1</v>
      </c>
      <c r="K41" s="42" t="n">
        <f aca="false">MATCH(B41&amp;"|"&amp;E41,Context!$A$4:$A$51,0)</f>
        <v>7</v>
      </c>
      <c r="L41" s="42" t="n">
        <f aca="false">INDEX(Context!$H$4:$H$51,K41)</f>
        <v>84</v>
      </c>
      <c r="M41" s="42" t="n">
        <f aca="false">INDEX(Context!$I$4:$I$51,K41)</f>
        <v>26</v>
      </c>
      <c r="N41" s="9" t="str">
        <f aca="false">INDEX(Context!$L$4:$L$51,K41)</f>
        <v>F</v>
      </c>
      <c r="O41" s="9" t="str">
        <f aca="false">INDEX(Context!$M$4:$M$51,K41)</f>
        <v>5th fully expanded leaf from top</v>
      </c>
      <c r="P41" s="43" t="n">
        <f aca="false">INDEX(Context!$R$4:$R$51,K41)</f>
        <v>0.433928571428571</v>
      </c>
      <c r="Q41" s="43" t="n">
        <f aca="false">INDEX(Context!$U$4:$U$51,K41)</f>
        <v>1.73951545534029</v>
      </c>
      <c r="R41" s="43" t="n">
        <f aca="false">INDEX(Context!$AD$4:$AD$51,K41)</f>
        <v>1.1</v>
      </c>
      <c r="S41" s="9" t="str">
        <f aca="false">INDEX(Context!$AI$4:$AN$51,K41,MATCH(F41,Severity_Classes!$A$4:$A$9,0))</f>
        <v>Possible</v>
      </c>
      <c r="T41" s="44" t="n">
        <f aca="false">Parameters!$E$4*IF($N41="V",Parameters!$I$4,IF($N41="F",Parameters!$J$4,Parameters!$K$4))*(1-Parameters!$L$4*$P41)*IF($D41="V1",Parameters!$M$4,IF($D41="V2",Parameters!$N$4,Parameters!$O$4))</f>
        <v>83.2927660714286</v>
      </c>
      <c r="U41" s="44" t="n">
        <f aca="false">MIN(100,T41*(1+INDEX(Response_Table!$E$4:$E$21,MATCH($F41&amp;"|mid",Response_Table!$A$4:$A$21,0))*$R41*INDEX(Parameters!$X$4:$AA$4,1,MATCH($E41,Parameters!$X$3:$AA$3,0))))</f>
        <v>82.0175131994377</v>
      </c>
      <c r="V41" s="44" t="n">
        <f aca="false">MAX(0,MIN(T41*(1+INDEX(Response_Table!$E$4:$E$21,MATCH($F41&amp;"|low",Response_Table!$A$4:$A$21,0))*$R41*INDEX(Parameters!$X$4:$AA$4,1,MATCH($E41,Parameters!$X$3:$AA$3,0))),T41*(1+INDEX(Response_Table!$E$4:$E$21,MATCH($F41&amp;"|high",Response_Table!$A$4:$A$21,0))*$R41*INDEX(Parameters!$X$4:$AA$4,1,MATCH($E41,Parameters!$X$3:$AA$3,0))))*(1-Inputs_General!$C$22*Parameters!$F$4))</f>
        <v>76.2045203833694</v>
      </c>
      <c r="W41" s="44" t="n">
        <f aca="false">MIN(100,MAX(T41*(1+INDEX(Response_Table!$E$4:$E$21,MATCH($F41&amp;"|low",Response_Table!$A$4:$A$21,0))*$R41*INDEX(Parameters!$X$4:$AA$4,1,MATCH($E41,Parameters!$X$3:$AA$3,0))),T41*(1+INDEX(Response_Table!$E$4:$E$21,MATCH($F41&amp;"|high",Response_Table!$A$4:$A$21,0))*$R41*INDEX(Parameters!$X$4:$AA$4,1,MATCH($E41,Parameters!$X$3:$AA$3,0))))*(1+Inputs_General!$C$22*Parameters!$F$4))</f>
        <v>87.8292652384713</v>
      </c>
      <c r="X41" s="45" t="n">
        <f aca="false">IF(T41=0,0,U41/T41-1)</f>
        <v>-0.0153104877186722</v>
      </c>
      <c r="Y41" s="44" t="n">
        <f aca="false">Parameters!$E$5*IF($N41="V",Parameters!$I$5,IF($N41="F",Parameters!$J$5,Parameters!$K$5))*(1-Parameters!$L$5*$P41)*IF($D41="V1",Parameters!$M$5,IF($D41="V2",Parameters!$N$5,Parameters!$O$5))</f>
        <v>66.88584</v>
      </c>
      <c r="Z41" s="44" t="n">
        <f aca="false">MIN(100,Y41*(1+INDEX(Response_Table!$F$4:$F$21,MATCH($F41&amp;"|mid",Response_Table!$A$4:$A$21,0))*$R41*INDEX(Parameters!$X$5:$AA$5,1,MATCH($E41,Parameters!$X$3:$AA$3,0))))</f>
        <v>63.5051601403664</v>
      </c>
      <c r="AA41" s="44" t="n">
        <f aca="false">MAX(0,MIN(Y41*(1+INDEX(Response_Table!$F$4:$F$21,MATCH($F41&amp;"|low",Response_Table!$A$4:$A$21,0))*$R41*INDEX(Parameters!$X$5:$AA$5,1,MATCH($E41,Parameters!$X$3:$AA$3,0))),Y41*(1+INDEX(Response_Table!$F$4:$F$21,MATCH($F41&amp;"|high",Response_Table!$A$4:$A$21,0))*$R41*INDEX(Parameters!$X$5:$AA$5,1,MATCH($E41,Parameters!$X$3:$AA$3,0))))*(1-Inputs_General!$C$22*Parameters!$F$5))</f>
        <v>55.09766531103</v>
      </c>
      <c r="AB41" s="44" t="n">
        <f aca="false">MIN(100,MAX(Y41*(1+INDEX(Response_Table!$F$4:$F$21,MATCH($F41&amp;"|low",Response_Table!$A$4:$A$21,0))*$R41*INDEX(Parameters!$X$5:$AA$5,1,MATCH($E41,Parameters!$X$3:$AA$3,0))),Y41*(1+INDEX(Response_Table!$F$4:$F$21,MATCH($F41&amp;"|high",Response_Table!$A$4:$A$21,0))*$R41*INDEX(Parameters!$X$5:$AA$5,1,MATCH($E41,Parameters!$X$3:$AA$3,0))))*(1+Inputs_General!$C$22*Parameters!$F$5))</f>
        <v>72.0029196029376</v>
      </c>
      <c r="AC41" s="45" t="n">
        <f aca="false">IF(Y41=0,0,Z41/Y41-1)</f>
        <v>-0.0505440293436337</v>
      </c>
      <c r="AD41" s="44" t="n">
        <f aca="false">Parameters!$E$6*IF($N41="V",Parameters!$I$6,IF($N41="F",Parameters!$J$6,Parameters!$K$6))*(1-Parameters!$L$6*$P41)*IF($D41="V1",Parameters!$M$6,IF($D41="V2",Parameters!$N$6,Parameters!$O$6))</f>
        <v>18.0106428571429</v>
      </c>
      <c r="AE41" s="44" t="n">
        <f aca="false">AD41*(1+INDEX(Response_Table!$G$4:$G$21,MATCH($F41&amp;"|mid",Response_Table!$A$4:$A$21,0))*$R41*INDEX(Parameters!$X$6:$AA$6,1,MATCH($E41,Parameters!$X$3:$AA$3,0)))</f>
        <v>13.6017473619911</v>
      </c>
      <c r="AF41" s="44" t="n">
        <f aca="false">MAX(0,MIN(AD41*(1+INDEX(Response_Table!$G$4:$G$21,MATCH($F41&amp;"|low",Response_Table!$A$4:$A$21,0))*$R41*INDEX(Parameters!$X$6:$AA$6,1,MATCH($E41,Parameters!$X$3:$AA$3,0))),AD41*(1+INDEX(Response_Table!$G$4:$G$21,MATCH($F41&amp;"|high",Response_Table!$A$4:$A$21,0))*$R41*INDEX(Parameters!$X$6:$AA$6,1,MATCH($E41,Parameters!$X$3:$AA$3,0))))*(1-Inputs_General!$C$22*Parameters!$F$6))</f>
        <v>10.2102423696793</v>
      </c>
      <c r="AG41" s="44" t="n">
        <f aca="false">MAX(AD41*(1+INDEX(Response_Table!$G$4:$G$21,MATCH($F41&amp;"|low",Response_Table!$A$4:$A$21,0))*$R41*INDEX(Parameters!$X$6:$AA$6,1,MATCH($E41,Parameters!$X$3:$AA$3,0))),AD41*(1+INDEX(Response_Table!$G$4:$G$21,MATCH($F41&amp;"|high",Response_Table!$A$4:$A$21,0))*$R41*INDEX(Parameters!$X$6:$AA$6,1,MATCH($E41,Parameters!$X$3:$AA$3,0))))*(1+Inputs_General!$C$22*Parameters!$F$6)</f>
        <v>17.4377513421486</v>
      </c>
      <c r="AH41" s="45" t="n">
        <f aca="false">IF(AD41=0,0,AE41/AD41-1)</f>
        <v>-0.244793899369519</v>
      </c>
      <c r="AI41" s="46" t="n">
        <f aca="false">Parameters!$E$7*IF($N41="V",Parameters!$I$7,IF($N41="F",Parameters!$J$7,Parameters!$K$7))*(1-Parameters!$L$7*$P41)*IF($D41="V1",Parameters!$M$7,IF($D41="V2",Parameters!$N$7,Parameters!$O$7))*POWER($Q41/Inputs_General!$C$26,-Inputs_General!$C$25)</f>
        <v>0.341191629407368</v>
      </c>
      <c r="AJ41" s="46" t="n">
        <f aca="false">AI41*(1+INDEX(Response_Table!$H$4:$H$21,MATCH($F41&amp;"|mid",Response_Table!$A$4:$A$21,0))*$R41*INDEX(Parameters!$X$7:$AA$7,1,MATCH($E41,Parameters!$X$3:$AA$3,0)))</f>
        <v>0.289139066164089</v>
      </c>
      <c r="AK41" s="46" t="n">
        <f aca="false">MAX(0,MIN(AI41*(1+INDEX(Response_Table!$H$4:$H$21,MATCH($F41&amp;"|low",Response_Table!$A$4:$A$21,0))*$R41*INDEX(Parameters!$X$7:$AA$7,1,MATCH($E41,Parameters!$X$3:$AA$3,0))),AI41*(1+INDEX(Response_Table!$H$4:$H$21,MATCH($F41&amp;"|high",Response_Table!$A$4:$A$21,0))*$R41*INDEX(Parameters!$X$7:$AA$7,1,MATCH($E41,Parameters!$X$3:$AA$3,0))))*(1-Inputs_General!$C$22*Parameters!$F$7))</f>
        <v>0.195658656936336</v>
      </c>
      <c r="AL41" s="46" t="n">
        <f aca="false">MAX(AI41*(1+INDEX(Response_Table!$H$4:$H$21,MATCH($F41&amp;"|low",Response_Table!$A$4:$A$21,0))*$R41*INDEX(Parameters!$X$7:$AA$7,1,MATCH($E41,Parameters!$X$3:$AA$3,0))),AI41*(1+INDEX(Response_Table!$H$4:$H$21,MATCH($F41&amp;"|high",Response_Table!$A$4:$A$21,0))*$R41*INDEX(Parameters!$X$7:$AA$7,1,MATCH($E41,Parameters!$X$3:$AA$3,0))))*(1+Inputs_General!$C$22*Parameters!$F$7)</f>
        <v>0.390133183894555</v>
      </c>
      <c r="AM41" s="45" t="n">
        <f aca="false">IF(AI41=0,0,AJ41/AI41-1)</f>
        <v>-0.152561079337414</v>
      </c>
      <c r="AN41" s="43" t="n">
        <f aca="false">AI41*$Q41/Inputs_General!$C$13*1000</f>
        <v>5.97691956280819</v>
      </c>
      <c r="AO41" s="43" t="n">
        <f aca="false">AJ41*$Q41/Inputs_General!$C$13*1000*(1+Inputs_General!$C$21*$I41)</f>
        <v>5.16637574845713</v>
      </c>
      <c r="AP41" s="43" t="n">
        <f aca="false">AK41*$Q41/Inputs_General!$C$13*1000*(1+Inputs_General!$C$21*$H41)</f>
        <v>3.47891768960279</v>
      </c>
      <c r="AQ41" s="43" t="n">
        <f aca="false">AL41*$Q41/Inputs_General!$C$13*1000*(1+Inputs_General!$C$21*$J41)</f>
        <v>7.00512357101044</v>
      </c>
      <c r="AR41" s="45" t="n">
        <f aca="false">IF(AN41=0,0,AO41/AN41-1)</f>
        <v>-0.135612300924163</v>
      </c>
      <c r="AS41" s="42" t="n">
        <f aca="false">Parameters!$E$9*IF($N41="V",Parameters!$I$9,IF($N41="F",Parameters!$J$9,Parameters!$K$9))*(1-Parameters!$L$9*$P41)*IF($D41="V1",Parameters!$M$9,IF($D41="V2",Parameters!$N$9,Parameters!$O$9))</f>
        <v>285</v>
      </c>
      <c r="AT41" s="42" t="n">
        <f aca="false">AS41*(1+INDEX(Response_Table!$I$4:$I$21,MATCH($F41&amp;"|mid",Response_Table!$A$4:$A$21,0))*$R41*INDEX(Parameters!$X$9:$AA$9,1,MATCH($E41,Parameters!$X$3:$AA$3,0)))</f>
        <v>310.755683063219</v>
      </c>
      <c r="AU41" s="42" t="n">
        <f aca="false">MAX(0,MIN(AS41*(1+INDEX(Response_Table!$I$4:$I$21,MATCH($F41&amp;"|low",Response_Table!$A$4:$A$21,0))*$R41*INDEX(Parameters!$X$9:$AA$9,1,MATCH($E41,Parameters!$X$3:$AA$3,0))),AS41*(1+INDEX(Response_Table!$I$4:$I$21,MATCH($F41&amp;"|high",Response_Table!$A$4:$A$21,0))*$R41*INDEX(Parameters!$X$9:$AA$9,1,MATCH($E41,Parameters!$X$3:$AA$3,0))))*(1-Inputs_General!$C$22*Parameters!$F$9))</f>
        <v>274.957472644588</v>
      </c>
      <c r="AV41" s="42" t="n">
        <f aca="false">MAX(AS41*(1+INDEX(Response_Table!$I$4:$I$21,MATCH($F41&amp;"|low",Response_Table!$A$4:$A$21,0))*$R41*INDEX(Parameters!$X$9:$AA$9,1,MATCH($E41,Parameters!$X$3:$AA$3,0))),AS41*(1+INDEX(Response_Table!$I$4:$I$21,MATCH($F41&amp;"|high",Response_Table!$A$4:$A$21,0))*$R41*INDEX(Parameters!$X$9:$AA$9,1,MATCH($E41,Parameters!$X$3:$AA$3,0))))*(1+Inputs_General!$C$22*Parameters!$F$9)</f>
        <v>347.196231317812</v>
      </c>
      <c r="AW41" s="45" t="n">
        <f aca="false">IF(AS41=0,0,AT41/AS41-1)</f>
        <v>0.0903708177656819</v>
      </c>
      <c r="AX41" s="43" t="n">
        <f aca="false">INDEX(Context!$AB$4:$AB$51,$K41)</f>
        <v>3.35011354523348</v>
      </c>
      <c r="AY41" s="43" t="n">
        <f aca="false">AX41*(1+INDEX(Response_Table!$J$4:$J$21,MATCH($F41&amp;"|mid",Response_Table!$A$4:$A$21,0))*$R41*INDEX(Parameters!$X$10:$AA$10,1,MATCH($E41,Parameters!$X$3:$AA$3,0)))</f>
        <v>3.04951362830685</v>
      </c>
      <c r="AZ41" s="43" t="n">
        <f aca="false">MAX(0,MIN(AX41*(1+INDEX(Response_Table!$J$4:$J$21,MATCH($F41&amp;"|low",Response_Table!$A$4:$A$21,0))*$R41*INDEX(Parameters!$X$10:$AA$10,1,MATCH($E41,Parameters!$X$3:$AA$3,0))),AX41*(1+INDEX(Response_Table!$J$4:$J$21,MATCH($F41&amp;"|high",Response_Table!$A$4:$A$21,0))*$R41*INDEX(Parameters!$X$10:$AA$10,1,MATCH($E41,Parameters!$X$3:$AA$3,0))))*(1-Inputs_General!$C$22*Parameters!$F$10))</f>
        <v>2.39439458255642</v>
      </c>
      <c r="BA41" s="43" t="n">
        <f aca="false">MAX(AX41*(1+INDEX(Response_Table!$J$4:$J$21,MATCH($F41&amp;"|low",Response_Table!$A$4:$A$21,0))*$R41*INDEX(Parameters!$X$10:$AA$10,1,MATCH($E41,Parameters!$X$3:$AA$3,0))),AX41*(1+INDEX(Response_Table!$J$4:$J$21,MATCH($F41&amp;"|high",Response_Table!$A$4:$A$21,0))*$R41*INDEX(Parameters!$X$10:$AA$10,1,MATCH($E41,Parameters!$X$3:$AA$3,0))))*(1+Inputs_General!$C$22*Parameters!$F$10)</f>
        <v>3.73483993762942</v>
      </c>
      <c r="BB41" s="45" t="n">
        <f aca="false">IF(AX41=0,0,AY41/AX41-1)</f>
        <v>-0.089728277226399</v>
      </c>
      <c r="BC41" s="46" t="n">
        <f aca="false">Parameters!$E$11*IF($N41="V",Parameters!$I$11,IF($N41="F",Parameters!$J$11,Parameters!$K$11))*(1-Parameters!$L$11*$P41)*IF($D41="V1",Parameters!$M$11,IF($D41="V2",Parameters!$N$11,Parameters!$O$11))</f>
        <v>1.21745535714286</v>
      </c>
      <c r="BD41" s="46" t="n">
        <f aca="false">BC41*(1+INDEX(Response_Table!$K$4:$K$21,MATCH($F41&amp;"|mid",Response_Table!$A$4:$A$21,0))*$R41*INDEX(Parameters!$X$11:$AA$11,1,MATCH($E41,Parameters!$X$3:$AA$3,0)))</f>
        <v>1.02085032705881</v>
      </c>
      <c r="BE41" s="46" t="n">
        <f aca="false">MAX(0,MIN(BC41*(1+INDEX(Response_Table!$K$4:$K$21,MATCH($F41&amp;"|low",Response_Table!$A$4:$A$21,0))*$R41*INDEX(Parameters!$X$11:$AA$11,1,MATCH($E41,Parameters!$X$3:$AA$3,0))),BC41*(1+INDEX(Response_Table!$K$4:$K$21,MATCH($F41&amp;"|high",Response_Table!$A$4:$A$21,0))*$R41*INDEX(Parameters!$X$11:$AA$11,1,MATCH($E41,Parameters!$X$3:$AA$3,0))))*(1-Inputs_General!$C$22*Parameters!$F$11))</f>
        <v>0.818015835728842</v>
      </c>
      <c r="BF41" s="46" t="n">
        <f aca="false">MAX(BC41*(1+INDEX(Response_Table!$K$4:$K$21,MATCH($F41&amp;"|low",Response_Table!$A$4:$A$21,0))*$R41*INDEX(Parameters!$X$11:$AA$11,1,MATCH($E41,Parameters!$X$3:$AA$3,0))),BC41*(1+INDEX(Response_Table!$K$4:$K$21,MATCH($F41&amp;"|high",Response_Table!$A$4:$A$21,0))*$R41*INDEX(Parameters!$X$11:$AA$11,1,MATCH($E41,Parameters!$X$3:$AA$3,0))))*(1+Inputs_General!$C$22*Parameters!$F$11)</f>
        <v>1.24064476692988</v>
      </c>
      <c r="BG41" s="45" t="n">
        <f aca="false">IF(BC41=0,0,BD41/BC41-1)</f>
        <v>-0.161488492313542</v>
      </c>
      <c r="BH41" s="46" t="n">
        <f aca="false">Parameters!$E$12*IF($N41="V",Parameters!$I$12,IF($N41="F",Parameters!$J$12,Parameters!$K$12))*(1-Parameters!$L$12*$P41)*IF($D41="V1",Parameters!$M$12,IF($D41="V2",Parameters!$N$12,Parameters!$O$12))</f>
        <v>0.438283928571429</v>
      </c>
      <c r="BI41" s="46" t="n">
        <f aca="false">BH41*(1+INDEX(Response_Table!$L$4:$L$21,MATCH($F41&amp;"|mid",Response_Table!$A$4:$A$21,0))*$R41*INDEX(Parameters!$X$12:$AA$12,1,MATCH($E41,Parameters!$X$3:$AA$3,0)))</f>
        <v>0.381705793095268</v>
      </c>
      <c r="BJ41" s="46" t="n">
        <f aca="false">MAX(0,MIN(BH41*(1+INDEX(Response_Table!$L$4:$L$21,MATCH($F41&amp;"|low",Response_Table!$A$4:$A$21,0))*$R41*INDEX(Parameters!$X$12:$AA$12,1,MATCH($E41,Parameters!$X$3:$AA$3,0))),BH41*(1+INDEX(Response_Table!$L$4:$L$21,MATCH($F41&amp;"|high",Response_Table!$A$4:$A$21,0))*$R41*INDEX(Parameters!$X$12:$AA$12,1,MATCH($E41,Parameters!$X$3:$AA$3,0))))*(1-Inputs_General!$C$22*Parameters!$F$12))</f>
        <v>0.296607914916916</v>
      </c>
      <c r="BK41" s="46" t="n">
        <f aca="false">MAX(BH41*(1+INDEX(Response_Table!$L$4:$L$21,MATCH($F41&amp;"|low",Response_Table!$A$4:$A$21,0))*$R41*INDEX(Parameters!$X$12:$AA$12,1,MATCH($E41,Parameters!$X$3:$AA$3,0))),BH41*(1+INDEX(Response_Table!$L$4:$L$21,MATCH($F41&amp;"|high",Response_Table!$A$4:$A$21,0))*$R41*INDEX(Parameters!$X$12:$AA$12,1,MATCH($E41,Parameters!$X$3:$AA$3,0))))*(1+Inputs_General!$C$22*Parameters!$F$12)</f>
        <v>0.472498692066284</v>
      </c>
      <c r="BL41" s="45" t="n">
        <f aca="false">IF(BH41=0,0,BI41/BH41-1)</f>
        <v>-0.129090144054735</v>
      </c>
      <c r="BM41" s="46" t="n">
        <f aca="false">Parameters!$E$13*IF($N41="V",Parameters!$I$13,IF($N41="F",Parameters!$J$13,Parameters!$K$13))*(1-Parameters!$L$13*$P41)*IF($D41="V1",Parameters!$M$13,IF($D41="V2",Parameters!$N$13,Parameters!$O$13))</f>
        <v>0.296094642857143</v>
      </c>
      <c r="BN41" s="46" t="n">
        <f aca="false">BM41*(1+INDEX(Response_Table!$M$4:$M$21,MATCH($F41&amp;"|mid",Response_Table!$A$4:$A$21,0))*$R41*INDEX(Parameters!$X$13:$AA$13,1,MATCH($E41,Parameters!$X$3:$AA$3,0)))</f>
        <v>0.300121441641621</v>
      </c>
      <c r="BO41" s="46" t="n">
        <f aca="false">MAX(0,MIN(BM41*(1+INDEX(Response_Table!$M$4:$M$21,MATCH($F41&amp;"|low",Response_Table!$A$4:$A$21,0))*$R41*INDEX(Parameters!$X$13:$AA$13,1,MATCH($E41,Parameters!$X$3:$AA$3,0))),BM41*(1+INDEX(Response_Table!$M$4:$M$21,MATCH($F41&amp;"|high",Response_Table!$A$4:$A$21,0))*$R41*INDEX(Parameters!$X$13:$AA$13,1,MATCH($E41,Parameters!$X$3:$AA$3,0))))*(1-Inputs_General!$C$22*Parameters!$F$13))</f>
        <v>0.236685476357029</v>
      </c>
      <c r="BP41" s="46" t="n">
        <f aca="false">MAX(BM41*(1+INDEX(Response_Table!$M$4:$M$21,MATCH($F41&amp;"|low",Response_Table!$A$4:$A$21,0))*$R41*INDEX(Parameters!$X$13:$AA$13,1,MATCH($E41,Parameters!$X$3:$AA$3,0))),BM41*(1+INDEX(Response_Table!$M$4:$M$21,MATCH($F41&amp;"|high",Response_Table!$A$4:$A$21,0))*$R41*INDEX(Parameters!$X$13:$AA$13,1,MATCH($E41,Parameters!$X$3:$AA$3,0))))*(1+Inputs_General!$C$22*Parameters!$F$13)</f>
        <v>0.363754531338965</v>
      </c>
      <c r="BQ41" s="45" t="n">
        <f aca="false">IF(BM41=0,0,BN41/BM41-1)</f>
        <v>0.0135997015873786</v>
      </c>
      <c r="BR41" s="44" t="n">
        <f aca="false">Parameters!$E$14*IF($N41="V",Parameters!$I$14,IF($N41="F",Parameters!$J$14,Parameters!$K$14))*(1-Parameters!$L$14*$P41)*IF($D41="V1",Parameters!$M$14,IF($D41="V2",Parameters!$N$14,Parameters!$O$14))*INDEX(Context!$AC$4:$AC$51,$K41)</f>
        <v>15</v>
      </c>
      <c r="BS41" s="44" t="n">
        <f aca="false">BR41*(1+INDEX(Response_Table!$N$4:$N$21,MATCH($F41&amp;"|mid",Response_Table!$A$4:$A$21,0))*$R41*INDEX(Parameters!$X$14:$AA$14,1,MATCH($E41,Parameters!$X$3:$AA$3,0)))</f>
        <v>17.1123841754411</v>
      </c>
      <c r="BT41" s="44" t="n">
        <f aca="false">MAX(0,MIN(BR41*(1+INDEX(Response_Table!$N$4:$N$21,MATCH($F41&amp;"|low",Response_Table!$A$4:$A$21,0))*$R41*INDEX(Parameters!$X$14:$AA$14,1,MATCH($E41,Parameters!$X$3:$AA$3,0))),BR41*(1+INDEX(Response_Table!$N$4:$N$21,MATCH($F41&amp;"|high",Response_Table!$A$4:$A$21,0))*$R41*INDEX(Parameters!$X$14:$AA$14,1,MATCH($E41,Parameters!$X$3:$AA$3,0))))*(1-Inputs_General!$C$22*Parameters!$F$14))</f>
        <v>8.42351281540989</v>
      </c>
      <c r="BU41" s="44" t="n">
        <f aca="false">MAX(BR41*(1+INDEX(Response_Table!$N$4:$N$21,MATCH($F41&amp;"|low",Response_Table!$A$4:$A$21,0))*$R41*INDEX(Parameters!$X$14:$AA$14,1,MATCH($E41,Parameters!$X$3:$AA$3,0))),BR41*(1+INDEX(Response_Table!$N$4:$N$21,MATCH($F41&amp;"|high",Response_Table!$A$4:$A$21,0))*$R41*INDEX(Parameters!$X$14:$AA$14,1,MATCH($E41,Parameters!$X$3:$AA$3,0))))*(1+Inputs_General!$C$22*Parameters!$F$14)</f>
        <v>26.2346710753774</v>
      </c>
      <c r="BV41" s="45" t="n">
        <f aca="false">IF(BR41=0,0,BS41/BR41-1)</f>
        <v>0.140825611696075</v>
      </c>
      <c r="BW41" s="43" t="n">
        <f aca="false">Parameters!$E$15*IF($N41="V",Parameters!$I$15,IF($N41="F",Parameters!$J$15,Parameters!$K$15))*(1-Parameters!$L$15*$P41)*IF($D41="V1",Parameters!$M$15,IF($D41="V2",Parameters!$N$15,Parameters!$O$15))</f>
        <v>10.5188142857143</v>
      </c>
      <c r="BX41" s="43" t="n">
        <f aca="false">BW41*(1+INDEX(Response_Table!$O$4:$O$21,MATCH($F41&amp;"|mid",Response_Table!$A$4:$A$21,0))*$R41*INDEX(Parameters!$X$15:$AA$15,1,MATCH($E41,Parameters!$X$3:$AA$3,0)))</f>
        <v>10.1484846716885</v>
      </c>
      <c r="BY41" s="43" t="n">
        <f aca="false">MAX(0,MIN(BW41*(1+INDEX(Response_Table!$O$4:$O$21,MATCH($F41&amp;"|low",Response_Table!$A$4:$A$21,0))*$R41*INDEX(Parameters!$X$15:$AA$15,1,MATCH($E41,Parameters!$X$3:$AA$3,0))),BW41*(1+INDEX(Response_Table!$O$4:$O$21,MATCH($F41&amp;"|high",Response_Table!$A$4:$A$21,0))*$R41*INDEX(Parameters!$X$15:$AA$15,1,MATCH($E41,Parameters!$X$3:$AA$3,0))))*(1-Inputs_General!$C$22*Parameters!$F$15))</f>
        <v>8.08136114906657</v>
      </c>
      <c r="BZ41" s="43" t="n">
        <f aca="false">MAX(BW41*(1+INDEX(Response_Table!$O$4:$O$21,MATCH($F41&amp;"|low",Response_Table!$A$4:$A$21,0))*$R41*INDEX(Parameters!$X$15:$AA$15,1,MATCH($E41,Parameters!$X$3:$AA$3,0))),BW41*(1+INDEX(Response_Table!$O$4:$O$21,MATCH($F41&amp;"|high",Response_Table!$A$4:$A$21,0))*$R41*INDEX(Parameters!$X$15:$AA$15,1,MATCH($E41,Parameters!$X$3:$AA$3,0))))*(1+Inputs_General!$C$22*Parameters!$F$15)</f>
        <v>12.2528846940443</v>
      </c>
      <c r="CA41" s="45" t="n">
        <f aca="false">IF(BW41=0,0,BX41/BW41-1)</f>
        <v>-0.0352064029240187</v>
      </c>
      <c r="CB41" s="46" t="n">
        <f aca="false">BD41+BI41</f>
        <v>1.40255612015408</v>
      </c>
      <c r="CC41" s="43" t="n">
        <f aca="false">BD41/BI41</f>
        <v>2.67444284452876</v>
      </c>
      <c r="CD41" s="46" t="n">
        <f aca="false">BN41/CB41</f>
        <v>0.213981770375542</v>
      </c>
      <c r="CE41" s="43" t="n">
        <f aca="false">AE41/AO41</f>
        <v>2.63274450489844</v>
      </c>
      <c r="CF41" s="44" t="n">
        <f aca="false">AE41/AJ41</f>
        <v>47.0422331455964</v>
      </c>
      <c r="CG41" s="44" t="n">
        <f aca="false">INDEX(Context!$V$4:$V$51,$K41)</f>
        <v>28.62</v>
      </c>
      <c r="CH41" s="44" t="n">
        <f aca="false">INDEX(Context!$Y$4:$Y$51,$K41)</f>
        <v>25.3060134606718</v>
      </c>
      <c r="CI41" s="44" t="n">
        <f aca="false">INDEX(Context!$Z$4:$Z$51,$K41)</f>
        <v>32.62</v>
      </c>
      <c r="CJ41" s="43" t="n">
        <f aca="false">INDEX(Context!$AA$4:$AA$51,$K41)</f>
        <v>0.221696428571429</v>
      </c>
      <c r="CK41" s="43" t="n">
        <f aca="false">MAX(0,MIN(1,1-(1-CJ41)*AO41/AN41))</f>
        <v>0.327243966710351</v>
      </c>
      <c r="CL41" s="44" t="n">
        <f aca="false">CH41+CK41*(CI41-CH41)</f>
        <v>27.6994714282676</v>
      </c>
      <c r="CM41" s="44" t="n">
        <f aca="false">CH41+MAX(0,MIN(1,1-(1-CJ41)*AQ41/AN41))*(CI41-CH41)</f>
        <v>25.9482222668442</v>
      </c>
      <c r="CN41" s="44" t="n">
        <f aca="false">CH41+MAX(0,MIN(1,1-(1-CJ41)*AP41/AN41))*(CI41-CH41)</f>
        <v>29.3066301012837</v>
      </c>
      <c r="CO41" s="44" t="n">
        <f aca="false">CL41-CG41</f>
        <v>-0.920528571732351</v>
      </c>
      <c r="CP41" s="44" t="n">
        <f aca="false">CL41-(CH41+CJ41*(CI41-CH41))</f>
        <v>0.771973273207312</v>
      </c>
      <c r="CQ41" s="46" t="n">
        <f aca="false">CL41/CG41</f>
        <v>0.967836178485942</v>
      </c>
      <c r="CR41" s="43" t="n">
        <f aca="false">IF(CL41-CH41&lt;=0,"n/a",(CI41-CL41)/(CL41-CH41))</f>
        <v>2.05582409983777</v>
      </c>
      <c r="CS41" s="43" t="n">
        <f aca="false">IF(CI41-CL41&lt;=0,"n/a",(CL41-CH41)/(CI41-CL41))</f>
        <v>0.486422938654582</v>
      </c>
      <c r="CT41" s="43" t="n">
        <f aca="false">Inputs_General!$C$23+Inputs_General!$C$24*$I41</f>
        <v>0.76</v>
      </c>
      <c r="CU41" s="44" t="n">
        <f aca="false">3.29*CT41</f>
        <v>2.5004</v>
      </c>
    </row>
    <row r="42" customFormat="false" ht="15" hidden="false" customHeight="false" outlineLevel="0" collapsed="false">
      <c r="A42" s="9" t="str">
        <f aca="false">B42&amp;"|"&amp;E42&amp;"|"&amp;F42</f>
        <v>D1V2|03/03/2026|Moderate</v>
      </c>
      <c r="B42" s="7" t="s">
        <v>343</v>
      </c>
      <c r="C42" s="9" t="s">
        <v>127</v>
      </c>
      <c r="D42" s="9" t="s">
        <v>146</v>
      </c>
      <c r="E42" s="9" t="s">
        <v>162</v>
      </c>
      <c r="F42" s="7" t="s">
        <v>281</v>
      </c>
      <c r="G42" s="9" t="s">
        <v>282</v>
      </c>
      <c r="H42" s="41" t="n">
        <f aca="false">INDEX(Severity_Classes!$C$4:$C$9,MATCH(F42,Severity_Classes!$A$4:$A$9,0))</f>
        <v>0.11</v>
      </c>
      <c r="I42" s="41" t="n">
        <f aca="false">INDEX(Severity_Classes!$D$4:$D$9,MATCH(F42,Severity_Classes!$A$4:$A$9,0))</f>
        <v>0.18</v>
      </c>
      <c r="J42" s="41" t="n">
        <f aca="false">INDEX(Severity_Classes!$E$4:$E$9,MATCH(F42,Severity_Classes!$A$4:$A$9,0))</f>
        <v>0.25</v>
      </c>
      <c r="K42" s="42" t="n">
        <f aca="false">MATCH(B42&amp;"|"&amp;E42,Context!$A$4:$A$51,0)</f>
        <v>7</v>
      </c>
      <c r="L42" s="42" t="n">
        <f aca="false">INDEX(Context!$H$4:$H$51,K42)</f>
        <v>84</v>
      </c>
      <c r="M42" s="42" t="n">
        <f aca="false">INDEX(Context!$I$4:$I$51,K42)</f>
        <v>26</v>
      </c>
      <c r="N42" s="9" t="str">
        <f aca="false">INDEX(Context!$L$4:$L$51,K42)</f>
        <v>F</v>
      </c>
      <c r="O42" s="9" t="str">
        <f aca="false">INDEX(Context!$M$4:$M$51,K42)</f>
        <v>5th fully expanded leaf from top</v>
      </c>
      <c r="P42" s="43" t="n">
        <f aca="false">INDEX(Context!$R$4:$R$51,K42)</f>
        <v>0.433928571428571</v>
      </c>
      <c r="Q42" s="43" t="n">
        <f aca="false">INDEX(Context!$U$4:$U$51,K42)</f>
        <v>1.73951545534029</v>
      </c>
      <c r="R42" s="43" t="n">
        <f aca="false">INDEX(Context!$AD$4:$AD$51,K42)</f>
        <v>1.1</v>
      </c>
      <c r="S42" s="9" t="str">
        <f aca="false">INDEX(Context!$AI$4:$AN$51,K42,MATCH(F42,Severity_Classes!$A$4:$A$9,0))</f>
        <v>Likely</v>
      </c>
      <c r="T42" s="44" t="n">
        <f aca="false">Parameters!$E$4*IF($N42="V",Parameters!$I$4,IF($N42="F",Parameters!$J$4,Parameters!$K$4))*(1-Parameters!$L$4*$P42)*IF($D42="V1",Parameters!$M$4,IF($D42="V2",Parameters!$N$4,Parameters!$O$4))</f>
        <v>83.2927660714286</v>
      </c>
      <c r="U42" s="44" t="n">
        <f aca="false">MIN(100,T42*(1+INDEX(Response_Table!$E$4:$E$21,MATCH($F42&amp;"|mid",Response_Table!$A$4:$A$21,0))*$R42*INDEX(Parameters!$X$4:$AA$4,1,MATCH($E42,Parameters!$X$3:$AA$3,0))))</f>
        <v>79.1248860721094</v>
      </c>
      <c r="V42" s="44" t="n">
        <f aca="false">MAX(0,MIN(T42*(1+INDEX(Response_Table!$E$4:$E$21,MATCH($F42&amp;"|low",Response_Table!$A$4:$A$21,0))*$R42*INDEX(Parameters!$X$4:$AA$4,1,MATCH($E42,Parameters!$X$3:$AA$3,0))),T42*(1+INDEX(Response_Table!$E$4:$E$21,MATCH($F42&amp;"|high",Response_Table!$A$4:$A$21,0))*$R42*INDEX(Parameters!$X$4:$AA$4,1,MATCH($E42,Parameters!$X$3:$AA$3,0))))*(1-Inputs_General!$C$22*Parameters!$F$4))</f>
        <v>71.0017791130182</v>
      </c>
      <c r="W42" s="44" t="n">
        <f aca="false">MIN(100,MAX(T42*(1+INDEX(Response_Table!$E$4:$E$21,MATCH($F42&amp;"|low",Response_Table!$A$4:$A$21,0))*$R42*INDEX(Parameters!$X$4:$AA$4,1,MATCH($E42,Parameters!$X$3:$AA$3,0))),T42*(1+INDEX(Response_Table!$E$4:$E$21,MATCH($F42&amp;"|high",Response_Table!$A$4:$A$21,0))*$R42*INDEX(Parameters!$X$4:$AA$4,1,MATCH($E42,Parameters!$X$3:$AA$3,0))))*(1+Inputs_General!$C$22*Parameters!$F$4))</f>
        <v>86.6776587121468</v>
      </c>
      <c r="X42" s="45" t="n">
        <f aca="false">IF(T42=0,0,U42/T42-1)</f>
        <v>-0.0500389192951635</v>
      </c>
      <c r="Y42" s="44" t="n">
        <f aca="false">Parameters!$E$5*IF($N42="V",Parameters!$I$5,IF($N42="F",Parameters!$J$5,Parameters!$K$5))*(1-Parameters!$L$5*$P42)*IF($D42="V1",Parameters!$M$5,IF($D42="V2",Parameters!$N$5,Parameters!$O$5))</f>
        <v>66.88584</v>
      </c>
      <c r="Z42" s="44" t="n">
        <f aca="false">MIN(100,Y42*(1+INDEX(Response_Table!$F$4:$F$21,MATCH($F42&amp;"|mid",Response_Table!$A$4:$A$21,0))*$R42*INDEX(Parameters!$X$5:$AA$5,1,MATCH($E42,Parameters!$X$3:$AA$3,0))))</f>
        <v>55.3243555722058</v>
      </c>
      <c r="AA42" s="44" t="n">
        <f aca="false">MAX(0,MIN(Y42*(1+INDEX(Response_Table!$F$4:$F$21,MATCH($F42&amp;"|low",Response_Table!$A$4:$A$21,0))*$R42*INDEX(Parameters!$X$5:$AA$5,1,MATCH($E42,Parameters!$X$3:$AA$3,0))),Y42*(1+INDEX(Response_Table!$F$4:$F$21,MATCH($F42&amp;"|high",Response_Table!$A$4:$A$21,0))*$R42*INDEX(Parameters!$X$5:$AA$5,1,MATCH($E42,Parameters!$X$3:$AA$3,0))))*(1-Inputs_General!$C$22*Parameters!$F$5))</f>
        <v>41.3824901759808</v>
      </c>
      <c r="AB42" s="44" t="n">
        <f aca="false">MIN(100,MAX(Y42*(1+INDEX(Response_Table!$F$4:$F$21,MATCH($F42&amp;"|low",Response_Table!$A$4:$A$21,0))*$R42*INDEX(Parameters!$X$5:$AA$5,1,MATCH($E42,Parameters!$X$3:$AA$3,0))),Y42*(1+INDEX(Response_Table!$F$4:$F$21,MATCH($F42&amp;"|high",Response_Table!$A$4:$A$21,0))*$R42*INDEX(Parameters!$X$5:$AA$5,1,MATCH($E42,Parameters!$X$3:$AA$3,0))))*(1+Inputs_General!$C$22*Parameters!$F$5))</f>
        <v>68.6694196332536</v>
      </c>
      <c r="AC42" s="45" t="n">
        <f aca="false">IF(Y42=0,0,Z42/Y42-1)</f>
        <v>-0.172853991634017</v>
      </c>
      <c r="AD42" s="44" t="n">
        <f aca="false">Parameters!$E$6*IF($N42="V",Parameters!$I$6,IF($N42="F",Parameters!$J$6,Parameters!$K$6))*(1-Parameters!$L$6*$P42)*IF($D42="V1",Parameters!$M$6,IF($D42="V2",Parameters!$N$6,Parameters!$O$6))</f>
        <v>18.0106428571429</v>
      </c>
      <c r="AE42" s="44" t="n">
        <f aca="false">AD42*(1+INDEX(Response_Table!$G$4:$G$21,MATCH($F42&amp;"|mid",Response_Table!$A$4:$A$21,0))*$R42*INDEX(Parameters!$X$6:$AA$6,1,MATCH($E42,Parameters!$X$3:$AA$3,0)))</f>
        <v>9.88196894724764</v>
      </c>
      <c r="AF42" s="44" t="n">
        <f aca="false">MAX(0,MIN(AD42*(1+INDEX(Response_Table!$G$4:$G$21,MATCH($F42&amp;"|low",Response_Table!$A$4:$A$21,0))*$R42*INDEX(Parameters!$X$6:$AA$6,1,MATCH($E42,Parameters!$X$3:$AA$3,0))),AD42*(1+INDEX(Response_Table!$G$4:$G$21,MATCH($F42&amp;"|high",Response_Table!$A$4:$A$21,0))*$R42*INDEX(Parameters!$X$6:$AA$6,1,MATCH($E42,Parameters!$X$3:$AA$3,0))))*(1-Inputs_General!$C$22*Parameters!$F$6))</f>
        <v>6.49939125006288</v>
      </c>
      <c r="AG42" s="44" t="n">
        <f aca="false">MAX(AD42*(1+INDEX(Response_Table!$G$4:$G$21,MATCH($F42&amp;"|low",Response_Table!$A$4:$A$21,0))*$R42*INDEX(Parameters!$X$6:$AA$6,1,MATCH($E42,Parameters!$X$3:$AA$3,0))),AD42*(1+INDEX(Response_Table!$G$4:$G$21,MATCH($F42&amp;"|high",Response_Table!$A$4:$A$21,0))*$R42*INDEX(Parameters!$X$6:$AA$6,1,MATCH($E42,Parameters!$X$3:$AA$3,0))))*(1+Inputs_General!$C$22*Parameters!$F$6)</f>
        <v>14.7394252331107</v>
      </c>
      <c r="AH42" s="45" t="n">
        <f aca="false">IF(AD42=0,0,AE42/AD42-1)</f>
        <v>-0.45132613945934</v>
      </c>
      <c r="AI42" s="46" t="n">
        <f aca="false">Parameters!$E$7*IF($N42="V",Parameters!$I$7,IF($N42="F",Parameters!$J$7,Parameters!$K$7))*(1-Parameters!$L$7*$P42)*IF($D42="V1",Parameters!$M$7,IF($D42="V2",Parameters!$N$7,Parameters!$O$7))*POWER($Q42/Inputs_General!$C$26,-Inputs_General!$C$25)</f>
        <v>0.341191629407368</v>
      </c>
      <c r="AJ42" s="46" t="n">
        <f aca="false">AI42*(1+INDEX(Response_Table!$H$4:$H$21,MATCH($F42&amp;"|mid",Response_Table!$A$4:$A$21,0))*$R42*INDEX(Parameters!$X$7:$AA$7,1,MATCH($E42,Parameters!$X$3:$AA$3,0)))</f>
        <v>0.239402224800771</v>
      </c>
      <c r="AK42" s="46" t="n">
        <f aca="false">MAX(0,MIN(AI42*(1+INDEX(Response_Table!$H$4:$H$21,MATCH($F42&amp;"|low",Response_Table!$A$4:$A$21,0))*$R42*INDEX(Parameters!$X$7:$AA$7,1,MATCH($E42,Parameters!$X$3:$AA$3,0))),AI42*(1+INDEX(Response_Table!$H$4:$H$21,MATCH($F42&amp;"|high",Response_Table!$A$4:$A$21,0))*$R42*INDEX(Parameters!$X$7:$AA$7,1,MATCH($E42,Parameters!$X$3:$AA$3,0))))*(1-Inputs_General!$C$22*Parameters!$F$7))</f>
        <v>0.149560720835635</v>
      </c>
      <c r="AL42" s="46" t="n">
        <f aca="false">MAX(AI42*(1+INDEX(Response_Table!$H$4:$H$21,MATCH($F42&amp;"|low",Response_Table!$A$4:$A$21,0))*$R42*INDEX(Parameters!$X$7:$AA$7,1,MATCH($E42,Parameters!$X$3:$AA$3,0))),AI42*(1+INDEX(Response_Table!$H$4:$H$21,MATCH($F42&amp;"|high",Response_Table!$A$4:$A$21,0))*$R42*INDEX(Parameters!$X$7:$AA$7,1,MATCH($E42,Parameters!$X$3:$AA$3,0))))*(1+Inputs_General!$C$22*Parameters!$F$7)</f>
        <v>0.353346032362206</v>
      </c>
      <c r="AM42" s="45" t="n">
        <f aca="false">IF(AI42=0,0,AJ42/AI42-1)</f>
        <v>-0.298334999552597</v>
      </c>
      <c r="AN42" s="43" t="n">
        <f aca="false">AI42*$Q42/Inputs_General!$C$13*1000</f>
        <v>5.97691956280819</v>
      </c>
      <c r="AO42" s="43" t="n">
        <f aca="false">AJ42*$Q42/Inputs_General!$C$13*1000*(1+Inputs_General!$C$21*$I42)</f>
        <v>4.38251605475893</v>
      </c>
      <c r="AP42" s="43" t="n">
        <f aca="false">AK42*$Q42/Inputs_General!$C$13*1000*(1+Inputs_General!$C$21*$H42)</f>
        <v>2.69202087617393</v>
      </c>
      <c r="AQ42" s="43" t="n">
        <f aca="false">AL42*$Q42/Inputs_General!$C$13*1000*(1+Inputs_General!$C$21*$J42)</f>
        <v>6.57670256445925</v>
      </c>
      <c r="AR42" s="45" t="n">
        <f aca="false">IF(AN42=0,0,AO42/AN42-1)</f>
        <v>-0.266760074532465</v>
      </c>
      <c r="AS42" s="42" t="n">
        <f aca="false">Parameters!$E$9*IF($N42="V",Parameters!$I$9,IF($N42="F",Parameters!$J$9,Parameters!$K$9))*(1-Parameters!$L$9*$P42)*IF($D42="V1",Parameters!$M$9,IF($D42="V2",Parameters!$N$9,Parameters!$O$9))</f>
        <v>285</v>
      </c>
      <c r="AT42" s="42" t="n">
        <f aca="false">AS42*(1+INDEX(Response_Table!$I$4:$I$21,MATCH($F42&amp;"|mid",Response_Table!$A$4:$A$21,0))*$R42*INDEX(Parameters!$X$9:$AA$9,1,MATCH($E42,Parameters!$X$3:$AA$3,0)))</f>
        <v>333.270950326965</v>
      </c>
      <c r="AU42" s="42" t="n">
        <f aca="false">MAX(0,MIN(AS42*(1+INDEX(Response_Table!$I$4:$I$21,MATCH($F42&amp;"|low",Response_Table!$A$4:$A$21,0))*$R42*INDEX(Parameters!$X$9:$AA$9,1,MATCH($E42,Parameters!$X$3:$AA$3,0))),AS42*(1+INDEX(Response_Table!$I$4:$I$21,MATCH($F42&amp;"|high",Response_Table!$A$4:$A$21,0))*$R42*INDEX(Parameters!$X$9:$AA$9,1,MATCH($E42,Parameters!$X$3:$AA$3,0))))*(1-Inputs_General!$C$22*Parameters!$F$9))</f>
        <v>287.044559024394</v>
      </c>
      <c r="AV42" s="42" t="n">
        <f aca="false">MAX(AS42*(1+INDEX(Response_Table!$I$4:$I$21,MATCH($F42&amp;"|low",Response_Table!$A$4:$A$21,0))*$R42*INDEX(Parameters!$X$9:$AA$9,1,MATCH($E42,Parameters!$X$3:$AA$3,0))),AS42*(1+INDEX(Response_Table!$I$4:$I$21,MATCH($F42&amp;"|high",Response_Table!$A$4:$A$21,0))*$R42*INDEX(Parameters!$X$9:$AA$9,1,MATCH($E42,Parameters!$X$3:$AA$3,0))))*(1+Inputs_General!$C$22*Parameters!$F$9)</f>
        <v>378.448246193483</v>
      </c>
      <c r="AW42" s="45" t="n">
        <f aca="false">IF(AS42=0,0,AT42/AS42-1)</f>
        <v>0.169371755533209</v>
      </c>
      <c r="AX42" s="43" t="n">
        <f aca="false">INDEX(Context!$AB$4:$AB$51,$K42)</f>
        <v>3.35011354523348</v>
      </c>
      <c r="AY42" s="43" t="n">
        <f aca="false">AX42*(1+INDEX(Response_Table!$J$4:$J$21,MATCH($F42&amp;"|mid",Response_Table!$A$4:$A$21,0))*$R42*INDEX(Parameters!$X$10:$AA$10,1,MATCH($E42,Parameters!$X$3:$AA$3,0)))</f>
        <v>2.7491900605902</v>
      </c>
      <c r="AZ42" s="43" t="n">
        <f aca="false">MAX(0,MIN(AX42*(1+INDEX(Response_Table!$J$4:$J$21,MATCH($F42&amp;"|low",Response_Table!$A$4:$A$21,0))*$R42*INDEX(Parameters!$X$10:$AA$10,1,MATCH($E42,Parameters!$X$3:$AA$3,0))),AX42*(1+INDEX(Response_Table!$J$4:$J$21,MATCH($F42&amp;"|high",Response_Table!$A$4:$A$21,0))*$R42*INDEX(Parameters!$X$10:$AA$10,1,MATCH($E42,Parameters!$X$3:$AA$3,0))))*(1-Inputs_General!$C$22*Parameters!$F$10))</f>
        <v>2.07025428098572</v>
      </c>
      <c r="BA42" s="43" t="n">
        <f aca="false">MAX(AX42*(1+INDEX(Response_Table!$J$4:$J$21,MATCH($F42&amp;"|low",Response_Table!$A$4:$A$21,0))*$R42*INDEX(Parameters!$X$10:$AA$10,1,MATCH($E42,Parameters!$X$3:$AA$3,0))),AX42*(1+INDEX(Response_Table!$J$4:$J$21,MATCH($F42&amp;"|high",Response_Table!$A$4:$A$21,0))*$R42*INDEX(Parameters!$X$10:$AA$10,1,MATCH($E42,Parameters!$X$3:$AA$3,0))))*(1+Inputs_General!$C$22*Parameters!$F$10)</f>
        <v>3.53401893910462</v>
      </c>
      <c r="BB42" s="45" t="n">
        <f aca="false">IF(AX42=0,0,AY42/AX42-1)</f>
        <v>-0.179374064947222</v>
      </c>
      <c r="BC42" s="46" t="n">
        <f aca="false">Parameters!$E$11*IF($N42="V",Parameters!$I$11,IF($N42="F",Parameters!$J$11,Parameters!$K$11))*(1-Parameters!$L$11*$P42)*IF($D42="V1",Parameters!$M$11,IF($D42="V2",Parameters!$N$11,Parameters!$O$11))</f>
        <v>1.21745535714286</v>
      </c>
      <c r="BD42" s="46" t="n">
        <f aca="false">BC42*(1+INDEX(Response_Table!$K$4:$K$21,MATCH($F42&amp;"|mid",Response_Table!$A$4:$A$21,0))*$R42*INDEX(Parameters!$X$11:$AA$11,1,MATCH($E42,Parameters!$X$3:$AA$3,0)))</f>
        <v>0.836308858724028</v>
      </c>
      <c r="BE42" s="46" t="n">
        <f aca="false">MAX(0,MIN(BC42*(1+INDEX(Response_Table!$K$4:$K$21,MATCH($F42&amp;"|low",Response_Table!$A$4:$A$21,0))*$R42*INDEX(Parameters!$X$11:$AA$11,1,MATCH($E42,Parameters!$X$3:$AA$3,0))),BC42*(1+INDEX(Response_Table!$K$4:$K$21,MATCH($F42&amp;"|high",Response_Table!$A$4:$A$21,0))*$R42*INDEX(Parameters!$X$11:$AA$11,1,MATCH($E42,Parameters!$X$3:$AA$3,0))))*(1-Inputs_General!$C$22*Parameters!$F$11))</f>
        <v>0.61668832684898</v>
      </c>
      <c r="BF42" s="46" t="n">
        <f aca="false">MAX(BC42*(1+INDEX(Response_Table!$K$4:$K$21,MATCH($F42&amp;"|low",Response_Table!$A$4:$A$21,0))*$R42*INDEX(Parameters!$X$11:$AA$11,1,MATCH($E42,Parameters!$X$3:$AA$3,0))),BC42*(1+INDEX(Response_Table!$K$4:$K$21,MATCH($F42&amp;"|high",Response_Table!$A$4:$A$21,0))*$R42*INDEX(Parameters!$X$11:$AA$11,1,MATCH($E42,Parameters!$X$3:$AA$3,0))))*(1+Inputs_General!$C$22*Parameters!$F$11)</f>
        <v>1.11694934909492</v>
      </c>
      <c r="BG42" s="45" t="n">
        <f aca="false">IF(BC42=0,0,BD42/BC42-1)</f>
        <v>-0.313068151684272</v>
      </c>
      <c r="BH42" s="46" t="n">
        <f aca="false">Parameters!$E$12*IF($N42="V",Parameters!$I$12,IF($N42="F",Parameters!$J$12,Parameters!$K$12))*(1-Parameters!$L$12*$P42)*IF($D42="V1",Parameters!$M$12,IF($D42="V2",Parameters!$N$12,Parameters!$O$12))</f>
        <v>0.438283928571429</v>
      </c>
      <c r="BI42" s="46" t="n">
        <f aca="false">BH42*(1+INDEX(Response_Table!$L$4:$L$21,MATCH($F42&amp;"|mid",Response_Table!$A$4:$A$21,0))*$R42*INDEX(Parameters!$X$12:$AA$12,1,MATCH($E42,Parameters!$X$3:$AA$3,0)))</f>
        <v>0.327644713803971</v>
      </c>
      <c r="BJ42" s="46" t="n">
        <f aca="false">MAX(0,MIN(BH42*(1+INDEX(Response_Table!$L$4:$L$21,MATCH($F42&amp;"|low",Response_Table!$A$4:$A$21,0))*$R42*INDEX(Parameters!$X$12:$AA$12,1,MATCH($E42,Parameters!$X$3:$AA$3,0))),BH42*(1+INDEX(Response_Table!$L$4:$L$21,MATCH($F42&amp;"|high",Response_Table!$A$4:$A$21,0))*$R42*INDEX(Parameters!$X$12:$AA$12,1,MATCH($E42,Parameters!$X$3:$AA$3,0))))*(1-Inputs_General!$C$22*Parameters!$F$12))</f>
        <v>0.239476341799864</v>
      </c>
      <c r="BK42" s="46" t="n">
        <f aca="false">MAX(BH42*(1+INDEX(Response_Table!$L$4:$L$21,MATCH($F42&amp;"|low",Response_Table!$A$4:$A$21,0))*$R42*INDEX(Parameters!$X$12:$AA$12,1,MATCH($E42,Parameters!$X$3:$AA$3,0))),BH42*(1+INDEX(Response_Table!$L$4:$L$21,MATCH($F42&amp;"|high",Response_Table!$A$4:$A$21,0))*$R42*INDEX(Parameters!$X$12:$AA$12,1,MATCH($E42,Parameters!$X$3:$AA$3,0))))*(1+Inputs_General!$C$22*Parameters!$F$12)</f>
        <v>0.43555813713871</v>
      </c>
      <c r="BL42" s="45" t="n">
        <f aca="false">IF(BH42=0,0,BI42/BH42-1)</f>
        <v>-0.252437307313736</v>
      </c>
      <c r="BM42" s="46" t="n">
        <f aca="false">Parameters!$E$13*IF($N42="V",Parameters!$I$13,IF($N42="F",Parameters!$J$13,Parameters!$K$13))*(1-Parameters!$L$13*$P42)*IF($D42="V1",Parameters!$M$13,IF($D42="V2",Parameters!$N$13,Parameters!$O$13))</f>
        <v>0.296094642857143</v>
      </c>
      <c r="BN42" s="46" t="n">
        <f aca="false">BM42*(1+INDEX(Response_Table!$M$4:$M$21,MATCH($F42&amp;"|mid",Response_Table!$A$4:$A$21,0))*$R42*INDEX(Parameters!$X$13:$AA$13,1,MATCH($E42,Parameters!$X$3:$AA$3,0)))</f>
        <v>0.268077091724233</v>
      </c>
      <c r="BO42" s="46" t="n">
        <f aca="false">MAX(0,MIN(BM42*(1+INDEX(Response_Table!$M$4:$M$21,MATCH($F42&amp;"|low",Response_Table!$A$4:$A$21,0))*$R42*INDEX(Parameters!$X$13:$AA$13,1,MATCH($E42,Parameters!$X$3:$AA$3,0))),BM42*(1+INDEX(Response_Table!$M$4:$M$21,MATCH($F42&amp;"|high",Response_Table!$A$4:$A$21,0))*$R42*INDEX(Parameters!$X$13:$AA$13,1,MATCH($E42,Parameters!$X$3:$AA$3,0))))*(1-Inputs_General!$C$22*Parameters!$F$13))</f>
        <v>0.197056192296638</v>
      </c>
      <c r="BP42" s="46" t="n">
        <f aca="false">MAX(BM42*(1+INDEX(Response_Table!$M$4:$M$21,MATCH($F42&amp;"|low",Response_Table!$A$4:$A$21,0))*$R42*INDEX(Parameters!$X$13:$AA$13,1,MATCH($E42,Parameters!$X$3:$AA$3,0))),BM42*(1+INDEX(Response_Table!$M$4:$M$21,MATCH($F42&amp;"|high",Response_Table!$A$4:$A$21,0))*$R42*INDEX(Parameters!$X$13:$AA$13,1,MATCH($E42,Parameters!$X$3:$AA$3,0))))*(1+Inputs_General!$C$22*Parameters!$F$13)</f>
        <v>0.349513377540387</v>
      </c>
      <c r="BQ42" s="45" t="n">
        <f aca="false">IF(BM42=0,0,BN42/BM42-1)</f>
        <v>-0.0946236340602347</v>
      </c>
      <c r="BR42" s="44" t="n">
        <f aca="false">Parameters!$E$14*IF($N42="V",Parameters!$I$14,IF($N42="F",Parameters!$J$14,Parameters!$K$14))*(1-Parameters!$L$14*$P42)*IF($D42="V1",Parameters!$M$14,IF($D42="V2",Parameters!$N$14,Parameters!$O$14))*INDEX(Context!$AC$4:$AC$51,$K42)</f>
        <v>15</v>
      </c>
      <c r="BS42" s="44" t="n">
        <f aca="false">BR42*(1+INDEX(Response_Table!$N$4:$N$21,MATCH($F42&amp;"|mid",Response_Table!$A$4:$A$21,0))*$R42*INDEX(Parameters!$X$14:$AA$14,1,MATCH($E42,Parameters!$X$3:$AA$3,0)))</f>
        <v>19.1307923014975</v>
      </c>
      <c r="BT42" s="44" t="n">
        <f aca="false">MAX(0,MIN(BR42*(1+INDEX(Response_Table!$N$4:$N$21,MATCH($F42&amp;"|low",Response_Table!$A$4:$A$21,0))*$R42*INDEX(Parameters!$X$14:$AA$14,1,MATCH($E42,Parameters!$X$3:$AA$3,0))),BR42*(1+INDEX(Response_Table!$N$4:$N$21,MATCH($F42&amp;"|high",Response_Table!$A$4:$A$21,0))*$R42*INDEX(Parameters!$X$14:$AA$14,1,MATCH($E42,Parameters!$X$3:$AA$3,0))))*(1-Inputs_General!$C$22*Parameters!$F$14))</f>
        <v>9.00691477726562</v>
      </c>
      <c r="BU42" s="44" t="n">
        <f aca="false">MAX(BR42*(1+INDEX(Response_Table!$N$4:$N$21,MATCH($F42&amp;"|low",Response_Table!$A$4:$A$21,0))*$R42*INDEX(Parameters!$X$14:$AA$14,1,MATCH($E42,Parameters!$X$3:$AA$3,0))),BR42*(1+INDEX(Response_Table!$N$4:$N$21,MATCH($F42&amp;"|high",Response_Table!$A$4:$A$21,0))*$R42*INDEX(Parameters!$X$14:$AA$14,1,MATCH($E42,Parameters!$X$3:$AA$3,0))))*(1+Inputs_General!$C$22*Parameters!$F$14)</f>
        <v>30.2039034794648</v>
      </c>
      <c r="BV42" s="45" t="n">
        <f aca="false">IF(BR42=0,0,BS42/BR42-1)</f>
        <v>0.275386153433167</v>
      </c>
      <c r="BW42" s="43" t="n">
        <f aca="false">Parameters!$E$15*IF($N42="V",Parameters!$I$15,IF($N42="F",Parameters!$J$15,Parameters!$K$15))*(1-Parameters!$L$15*$P42)*IF($D42="V1",Parameters!$M$15,IF($D42="V2",Parameters!$N$15,Parameters!$O$15))</f>
        <v>10.5188142857143</v>
      </c>
      <c r="BX42" s="43" t="n">
        <f aca="false">BW42*(1+INDEX(Response_Table!$O$4:$O$21,MATCH($F42&amp;"|mid",Response_Table!$A$4:$A$21,0))*$R42*INDEX(Parameters!$X$15:$AA$15,1,MATCH($E42,Parameters!$X$3:$AA$3,0)))</f>
        <v>9.79463033450911</v>
      </c>
      <c r="BY42" s="43" t="n">
        <f aca="false">MAX(0,MIN(BW42*(1+INDEX(Response_Table!$O$4:$O$21,MATCH($F42&amp;"|low",Response_Table!$A$4:$A$21,0))*$R42*INDEX(Parameters!$X$15:$AA$15,1,MATCH($E42,Parameters!$X$3:$AA$3,0))),BW42*(1+INDEX(Response_Table!$O$4:$O$21,MATCH($F42&amp;"|high",Response_Table!$A$4:$A$21,0))*$R42*INDEX(Parameters!$X$15:$AA$15,1,MATCH($E42,Parameters!$X$3:$AA$3,0))))*(1-Inputs_General!$C$22*Parameters!$F$15))</f>
        <v>7.70740903411859</v>
      </c>
      <c r="BZ42" s="43" t="n">
        <f aca="false">MAX(BW42*(1+INDEX(Response_Table!$O$4:$O$21,MATCH($F42&amp;"|low",Response_Table!$A$4:$A$21,0))*$R42*INDEX(Parameters!$X$15:$AA$15,1,MATCH($E42,Parameters!$X$3:$AA$3,0))),BW42*(1+INDEX(Response_Table!$O$4:$O$21,MATCH($F42&amp;"|high",Response_Table!$A$4:$A$21,0))*$R42*INDEX(Parameters!$X$15:$AA$15,1,MATCH($E42,Parameters!$X$3:$AA$3,0))))*(1+Inputs_General!$C$22*Parameters!$F$15)</f>
        <v>12.011091970882</v>
      </c>
      <c r="CA42" s="45" t="n">
        <f aca="false">IF(BW42=0,0,BX42/BW42-1)</f>
        <v>-0.0688465383582917</v>
      </c>
      <c r="CB42" s="46" t="n">
        <f aca="false">BD42+BI42</f>
        <v>1.163953572528</v>
      </c>
      <c r="CC42" s="43" t="n">
        <f aca="false">BD42/BI42</f>
        <v>2.55248695763909</v>
      </c>
      <c r="CD42" s="46" t="n">
        <f aca="false">BN42/CB42</f>
        <v>0.230315966247686</v>
      </c>
      <c r="CE42" s="43" t="n">
        <f aca="false">AE42/AO42</f>
        <v>2.25486200706941</v>
      </c>
      <c r="CF42" s="44" t="n">
        <f aca="false">AE42/AJ42</f>
        <v>41.2776821747223</v>
      </c>
      <c r="CG42" s="44" t="n">
        <f aca="false">INDEX(Context!$V$4:$V$51,$K42)</f>
        <v>28.62</v>
      </c>
      <c r="CH42" s="44" t="n">
        <f aca="false">INDEX(Context!$Y$4:$Y$51,$K42)</f>
        <v>25.3060134606718</v>
      </c>
      <c r="CI42" s="44" t="n">
        <f aca="false">INDEX(Context!$Z$4:$Z$51,$K42)</f>
        <v>32.62</v>
      </c>
      <c r="CJ42" s="43" t="n">
        <f aca="false">INDEX(Context!$AA$4:$AA$51,$K42)</f>
        <v>0.221696428571429</v>
      </c>
      <c r="CK42" s="43" t="n">
        <f aca="false">MAX(0,MIN(1,1-(1-CJ42)*AO42/AN42))</f>
        <v>0.429316747294598</v>
      </c>
      <c r="CL42" s="44" t="n">
        <f aca="false">CH42+CK42*(CI42-CH42)</f>
        <v>28.4460303714926</v>
      </c>
      <c r="CM42" s="44" t="n">
        <f aca="false">CH42+MAX(0,MIN(1,1-(1-CJ42)*AQ42/AN42))*(CI42-CH42)</f>
        <v>26.3562564296894</v>
      </c>
      <c r="CN42" s="44" t="n">
        <f aca="false">CH42+MAX(0,MIN(1,1-(1-CJ42)*AP42/AN42))*(CI42-CH42)</f>
        <v>30.0560816398479</v>
      </c>
      <c r="CO42" s="44" t="n">
        <f aca="false">CL42-CG42</f>
        <v>-0.173969628507365</v>
      </c>
      <c r="CP42" s="44" t="n">
        <f aca="false">CL42-(CH42+CJ42*(CI42-CH42))</f>
        <v>1.5185322164323</v>
      </c>
      <c r="CQ42" s="46" t="n">
        <f aca="false">CL42/CG42</f>
        <v>0.993921396627975</v>
      </c>
      <c r="CR42" s="43" t="n">
        <f aca="false">IF(CL42-CH42&lt;=0,"n/a",(CI42-CL42)/(CL42-CH42))</f>
        <v>1.32928253160783</v>
      </c>
      <c r="CS42" s="43" t="n">
        <f aca="false">IF(CI42-CL42&lt;=0,"n/a",(CL42-CH42)/(CI42-CL42))</f>
        <v>0.752285519610682</v>
      </c>
      <c r="CT42" s="43" t="n">
        <f aca="false">Inputs_General!$C$23+Inputs_General!$C$24*$I42</f>
        <v>0.96</v>
      </c>
      <c r="CU42" s="44" t="n">
        <f aca="false">3.29*CT42</f>
        <v>3.1584</v>
      </c>
    </row>
    <row r="43" customFormat="false" ht="15" hidden="false" customHeight="false" outlineLevel="0" collapsed="false">
      <c r="A43" s="9" t="str">
        <f aca="false">B43&amp;"|"&amp;E43&amp;"|"&amp;F43</f>
        <v>D1V2|03/03/2026|High</v>
      </c>
      <c r="B43" s="7" t="s">
        <v>343</v>
      </c>
      <c r="C43" s="9" t="s">
        <v>127</v>
      </c>
      <c r="D43" s="9" t="s">
        <v>146</v>
      </c>
      <c r="E43" s="9" t="s">
        <v>162</v>
      </c>
      <c r="F43" s="7" t="s">
        <v>283</v>
      </c>
      <c r="G43" s="9" t="s">
        <v>284</v>
      </c>
      <c r="H43" s="41" t="n">
        <f aca="false">INDEX(Severity_Classes!$C$4:$C$9,MATCH(F43,Severity_Classes!$A$4:$A$9,0))</f>
        <v>0.26</v>
      </c>
      <c r="I43" s="41" t="n">
        <f aca="false">INDEX(Severity_Classes!$D$4:$D$9,MATCH(F43,Severity_Classes!$A$4:$A$9,0))</f>
        <v>0.38</v>
      </c>
      <c r="J43" s="41" t="n">
        <f aca="false">INDEX(Severity_Classes!$E$4:$E$9,MATCH(F43,Severity_Classes!$A$4:$A$9,0))</f>
        <v>0.5</v>
      </c>
      <c r="K43" s="42" t="n">
        <f aca="false">MATCH(B43&amp;"|"&amp;E43,Context!$A$4:$A$51,0)</f>
        <v>7</v>
      </c>
      <c r="L43" s="42" t="n">
        <f aca="false">INDEX(Context!$H$4:$H$51,K43)</f>
        <v>84</v>
      </c>
      <c r="M43" s="42" t="n">
        <f aca="false">INDEX(Context!$I$4:$I$51,K43)</f>
        <v>26</v>
      </c>
      <c r="N43" s="9" t="str">
        <f aca="false">INDEX(Context!$L$4:$L$51,K43)</f>
        <v>F</v>
      </c>
      <c r="O43" s="9" t="str">
        <f aca="false">INDEX(Context!$M$4:$M$51,K43)</f>
        <v>5th fully expanded leaf from top</v>
      </c>
      <c r="P43" s="43" t="n">
        <f aca="false">INDEX(Context!$R$4:$R$51,K43)</f>
        <v>0.433928571428571</v>
      </c>
      <c r="Q43" s="43" t="n">
        <f aca="false">INDEX(Context!$U$4:$U$51,K43)</f>
        <v>1.73951545534029</v>
      </c>
      <c r="R43" s="43" t="n">
        <f aca="false">INDEX(Context!$AD$4:$AD$51,K43)</f>
        <v>1.1</v>
      </c>
      <c r="S43" s="9" t="str">
        <f aca="false">INDEX(Context!$AI$4:$AN$51,K43,MATCH(F43,Severity_Classes!$A$4:$A$9,0))</f>
        <v>Likely</v>
      </c>
      <c r="T43" s="44" t="n">
        <f aca="false">Parameters!$E$4*IF($N43="V",Parameters!$I$4,IF($N43="F",Parameters!$J$4,Parameters!$K$4))*(1-Parameters!$L$4*$P43)*IF($D43="V1",Parameters!$M$4,IF($D43="V2",Parameters!$N$4,Parameters!$O$4))</f>
        <v>83.2927660714286</v>
      </c>
      <c r="U43" s="44" t="n">
        <f aca="false">MIN(100,T43*(1+INDEX(Response_Table!$E$4:$E$21,MATCH($F43&amp;"|mid",Response_Table!$A$4:$A$21,0))*$R43*INDEX(Parameters!$X$4:$AA$4,1,MATCH($E43,Parameters!$X$3:$AA$3,0))))</f>
        <v>68.4916587492711</v>
      </c>
      <c r="V43" s="44" t="n">
        <f aca="false">MAX(0,MIN(T43*(1+INDEX(Response_Table!$E$4:$E$21,MATCH($F43&amp;"|low",Response_Table!$A$4:$A$21,0))*$R43*INDEX(Parameters!$X$4:$AA$4,1,MATCH($E43,Parameters!$X$3:$AA$3,0))),T43*(1+INDEX(Response_Table!$E$4:$E$21,MATCH($F43&amp;"|high",Response_Table!$A$4:$A$21,0))*$R43*INDEX(Parameters!$X$4:$AA$4,1,MATCH($E43,Parameters!$X$3:$AA$3,0))))*(1-Inputs_General!$C$22*Parameters!$F$4))</f>
        <v>58.1620503205959</v>
      </c>
      <c r="W43" s="44" t="n">
        <f aca="false">MIN(100,MAX(T43*(1+INDEX(Response_Table!$E$4:$E$21,MATCH($F43&amp;"|low",Response_Table!$A$4:$A$21,0))*$R43*INDEX(Parameters!$X$4:$AA$4,1,MATCH($E43,Parameters!$X$3:$AA$3,0))),T43*(1+INDEX(Response_Table!$E$4:$E$21,MATCH($F43&amp;"|high",Response_Table!$A$4:$A$21,0))*$R43*INDEX(Parameters!$X$4:$AA$4,1,MATCH($E43,Parameters!$X$3:$AA$3,0))))*(1+Inputs_General!$C$22*Parameters!$F$4))</f>
        <v>80.4515809022033</v>
      </c>
      <c r="X43" s="45" t="n">
        <f aca="false">IF(T43=0,0,U43/T43-1)</f>
        <v>-0.177699793394599</v>
      </c>
      <c r="Y43" s="44" t="n">
        <f aca="false">Parameters!$E$5*IF($N43="V",Parameters!$I$5,IF($N43="F",Parameters!$J$5,Parameters!$K$5))*(1-Parameters!$L$5*$P43)*IF($D43="V1",Parameters!$M$5,IF($D43="V2",Parameters!$N$5,Parameters!$O$5))</f>
        <v>66.88584</v>
      </c>
      <c r="Z43" s="44" t="n">
        <f aca="false">MIN(100,Y43*(1+INDEX(Response_Table!$F$4:$F$21,MATCH($F43&amp;"|mid",Response_Table!$A$4:$A$21,0))*$R43*INDEX(Parameters!$X$5:$AA$5,1,MATCH($E43,Parameters!$X$3:$AA$3,0))))</f>
        <v>30.0770733595323</v>
      </c>
      <c r="AA43" s="44" t="n">
        <f aca="false">MAX(0,MIN(Y43*(1+INDEX(Response_Table!$F$4:$F$21,MATCH($F43&amp;"|low",Response_Table!$A$4:$A$21,0))*$R43*INDEX(Parameters!$X$5:$AA$5,1,MATCH($E43,Parameters!$X$3:$AA$3,0))),Y43*(1+INDEX(Response_Table!$F$4:$F$21,MATCH($F43&amp;"|high",Response_Table!$A$4:$A$21,0))*$R43*INDEX(Parameters!$X$5:$AA$5,1,MATCH($E43,Parameters!$X$3:$AA$3,0))))*(1-Inputs_General!$C$22*Parameters!$F$5))</f>
        <v>18.4345275098652</v>
      </c>
      <c r="AB43" s="44" t="n">
        <f aca="false">MIN(100,MAX(Y43*(1+INDEX(Response_Table!$F$4:$F$21,MATCH($F43&amp;"|low",Response_Table!$A$4:$A$21,0))*$R43*INDEX(Parameters!$X$5:$AA$5,1,MATCH($E43,Parameters!$X$3:$AA$3,0))),Y43*(1+INDEX(Response_Table!$F$4:$F$21,MATCH($F43&amp;"|high",Response_Table!$A$4:$A$21,0))*$R43*INDEX(Parameters!$X$5:$AA$5,1,MATCH($E43,Parameters!$X$3:$AA$3,0))))*(1+Inputs_General!$C$22*Parameters!$F$5))</f>
        <v>50.6538400667815</v>
      </c>
      <c r="AC43" s="45" t="n">
        <f aca="false">IF(Y43=0,0,Z43/Y43-1)</f>
        <v>-0.550322260144565</v>
      </c>
      <c r="AD43" s="44" t="n">
        <f aca="false">Parameters!$E$6*IF($N43="V",Parameters!$I$6,IF($N43="F",Parameters!$J$6,Parameters!$K$6))*(1-Parameters!$L$6*$P43)*IF($D43="V1",Parameters!$M$6,IF($D43="V2",Parameters!$N$6,Parameters!$O$6))</f>
        <v>18.0106428571429</v>
      </c>
      <c r="AE43" s="44" t="n">
        <f aca="false">AD43*(1+INDEX(Response_Table!$G$4:$G$21,MATCH($F43&amp;"|mid",Response_Table!$A$4:$A$21,0))*$R43*INDEX(Parameters!$X$6:$AA$6,1,MATCH($E43,Parameters!$X$3:$AA$3,0)))</f>
        <v>5.94339564811636</v>
      </c>
      <c r="AF43" s="44" t="n">
        <f aca="false">MAX(0,MIN(AD43*(1+INDEX(Response_Table!$G$4:$G$21,MATCH($F43&amp;"|low",Response_Table!$A$4:$A$21,0))*$R43*INDEX(Parameters!$X$6:$AA$6,1,MATCH($E43,Parameters!$X$3:$AA$3,0))),AD43*(1+INDEX(Response_Table!$G$4:$G$21,MATCH($F43&amp;"|high",Response_Table!$A$4:$A$21,0))*$R43*INDEX(Parameters!$X$6:$AA$6,1,MATCH($E43,Parameters!$X$3:$AA$3,0))))*(1-Inputs_General!$C$22*Parameters!$F$6))</f>
        <v>3.85108531634867</v>
      </c>
      <c r="AG43" s="44" t="n">
        <f aca="false">MAX(AD43*(1+INDEX(Response_Table!$G$4:$G$21,MATCH($F43&amp;"|low",Response_Table!$A$4:$A$21,0))*$R43*INDEX(Parameters!$X$6:$AA$6,1,MATCH($E43,Parameters!$X$3:$AA$3,0))),AD43*(1+INDEX(Response_Table!$G$4:$G$21,MATCH($F43&amp;"|high",Response_Table!$A$4:$A$21,0))*$R43*INDEX(Parameters!$X$6:$AA$6,1,MATCH($E43,Parameters!$X$3:$AA$3,0))))*(1+Inputs_General!$C$22*Parameters!$F$6)</f>
        <v>9.44151406704474</v>
      </c>
      <c r="AH43" s="45" t="n">
        <f aca="false">IF(AD43=0,0,AE43/AD43-1)</f>
        <v>-0.670006468105648</v>
      </c>
      <c r="AI43" s="46" t="n">
        <f aca="false">Parameters!$E$7*IF($N43="V",Parameters!$I$7,IF($N43="F",Parameters!$J$7,Parameters!$K$7))*(1-Parameters!$L$7*$P43)*IF($D43="V1",Parameters!$M$7,IF($D43="V2",Parameters!$N$7,Parameters!$O$7))*POWER($Q43/Inputs_General!$C$26,-Inputs_General!$C$25)</f>
        <v>0.341191629407368</v>
      </c>
      <c r="AJ43" s="46" t="n">
        <f aca="false">AI43*(1+INDEX(Response_Table!$H$4:$H$21,MATCH($F43&amp;"|mid",Response_Table!$A$4:$A$21,0))*$R43*INDEX(Parameters!$X$7:$AA$7,1,MATCH($E43,Parameters!$X$3:$AA$3,0)))</f>
        <v>0.175260109196917</v>
      </c>
      <c r="AK43" s="46" t="n">
        <f aca="false">MAX(0,MIN(AI43*(1+INDEX(Response_Table!$H$4:$H$21,MATCH($F43&amp;"|low",Response_Table!$A$4:$A$21,0))*$R43*INDEX(Parameters!$X$7:$AA$7,1,MATCH($E43,Parameters!$X$3:$AA$3,0))),AI43*(1+INDEX(Response_Table!$H$4:$H$21,MATCH($F43&amp;"|high",Response_Table!$A$4:$A$21,0))*$R43*INDEX(Parameters!$X$7:$AA$7,1,MATCH($E43,Parameters!$X$3:$AA$3,0))))*(1-Inputs_General!$C$22*Parameters!$F$7))</f>
        <v>0.106762389993304</v>
      </c>
      <c r="AL43" s="46" t="n">
        <f aca="false">MAX(AI43*(1+INDEX(Response_Table!$H$4:$H$21,MATCH($F43&amp;"|low",Response_Table!$A$4:$A$21,0))*$R43*INDEX(Parameters!$X$7:$AA$7,1,MATCH($E43,Parameters!$X$3:$AA$3,0))),AI43*(1+INDEX(Response_Table!$H$4:$H$21,MATCH($F43&amp;"|high",Response_Table!$A$4:$A$21,0))*$R43*INDEX(Parameters!$X$7:$AA$7,1,MATCH($E43,Parameters!$X$3:$AA$3,0))))*(1+Inputs_General!$C$22*Parameters!$F$7)</f>
        <v>0.27097392203121</v>
      </c>
      <c r="AM43" s="45" t="n">
        <f aca="false">IF(AI43=0,0,AJ43/AI43-1)</f>
        <v>-0.486329399401343</v>
      </c>
      <c r="AN43" s="43" t="n">
        <f aca="false">AI43*$Q43/Inputs_General!$C$13*1000</f>
        <v>5.97691956280819</v>
      </c>
      <c r="AO43" s="43" t="n">
        <f aca="false">AJ43*$Q43/Inputs_General!$C$13*1000*(1+Inputs_General!$C$21*$I43)</f>
        <v>3.36183380840551</v>
      </c>
      <c r="AP43" s="43" t="n">
        <f aca="false">AK43*$Q43/Inputs_General!$C$13*1000*(1+Inputs_General!$C$21*$H43)</f>
        <v>1.9918055511196</v>
      </c>
      <c r="AQ43" s="43" t="n">
        <f aca="false">AL43*$Q43/Inputs_General!$C$13*1000*(1+Inputs_General!$C$21*$J43)</f>
        <v>5.34021894298486</v>
      </c>
      <c r="AR43" s="45" t="n">
        <f aca="false">IF(AN43=0,0,AO43/AN43-1)</f>
        <v>-0.43753069234447</v>
      </c>
      <c r="AS43" s="42" t="n">
        <f aca="false">Parameters!$E$9*IF($N43="V",Parameters!$I$9,IF($N43="F",Parameters!$J$9,Parameters!$K$9))*(1-Parameters!$L$9*$P43)*IF($D43="V1",Parameters!$M$9,IF($D43="V2",Parameters!$N$9,Parameters!$O$9))</f>
        <v>285</v>
      </c>
      <c r="AT43" s="42" t="n">
        <f aca="false">AS43*(1+INDEX(Response_Table!$I$4:$I$21,MATCH($F43&amp;"|mid",Response_Table!$A$4:$A$21,0))*$R43*INDEX(Parameters!$X$9:$AA$9,1,MATCH($E43,Parameters!$X$3:$AA$3,0)))</f>
        <v>358.480147032144</v>
      </c>
      <c r="AU43" s="42" t="n">
        <f aca="false">MAX(0,MIN(AS43*(1+INDEX(Response_Table!$I$4:$I$21,MATCH($F43&amp;"|low",Response_Table!$A$4:$A$21,0))*$R43*INDEX(Parameters!$X$9:$AA$9,1,MATCH($E43,Parameters!$X$3:$AA$3,0))),AS43*(1+INDEX(Response_Table!$I$4:$I$21,MATCH($F43&amp;"|high",Response_Table!$A$4:$A$21,0))*$R43*INDEX(Parameters!$X$9:$AA$9,1,MATCH($E43,Parameters!$X$3:$AA$3,0))))*(1-Inputs_General!$C$22*Parameters!$F$9))</f>
        <v>311.676378308909</v>
      </c>
      <c r="AV43" s="42" t="n">
        <f aca="false">MAX(AS43*(1+INDEX(Response_Table!$I$4:$I$21,MATCH($F43&amp;"|low",Response_Table!$A$4:$A$21,0))*$R43*INDEX(Parameters!$X$9:$AA$9,1,MATCH($E43,Parameters!$X$3:$AA$3,0))),AS43*(1+INDEX(Response_Table!$I$4:$I$21,MATCH($F43&amp;"|high",Response_Table!$A$4:$A$21,0))*$R43*INDEX(Parameters!$X$9:$AA$9,1,MATCH($E43,Parameters!$X$3:$AA$3,0))))*(1+Inputs_General!$C$22*Parameters!$F$9)</f>
        <v>402.477670041161</v>
      </c>
      <c r="AW43" s="45" t="n">
        <f aca="false">IF(AS43=0,0,AT43/AS43-1)</f>
        <v>0.257825077305769</v>
      </c>
      <c r="AX43" s="43" t="n">
        <f aca="false">INDEX(Context!$AB$4:$AB$51,$K43)</f>
        <v>3.35011354523348</v>
      </c>
      <c r="AY43" s="43" t="n">
        <f aca="false">AX43*(1+INDEX(Response_Table!$J$4:$J$21,MATCH($F43&amp;"|mid",Response_Table!$A$4:$A$21,0))*$R43*INDEX(Parameters!$X$10:$AA$10,1,MATCH($E43,Parameters!$X$3:$AA$3,0)))</f>
        <v>2.33314237922323</v>
      </c>
      <c r="AZ43" s="43" t="n">
        <f aca="false">MAX(0,MIN(AX43*(1+INDEX(Response_Table!$J$4:$J$21,MATCH($F43&amp;"|low",Response_Table!$A$4:$A$21,0))*$R43*INDEX(Parameters!$X$10:$AA$10,1,MATCH($E43,Parameters!$X$3:$AA$3,0))),AX43*(1+INDEX(Response_Table!$J$4:$J$21,MATCH($F43&amp;"|high",Response_Table!$A$4:$A$21,0))*$R43*INDEX(Parameters!$X$10:$AA$10,1,MATCH($E43,Parameters!$X$3:$AA$3,0))))*(1-Inputs_General!$C$22*Parameters!$F$10))</f>
        <v>1.7391700102247</v>
      </c>
      <c r="BA43" s="43" t="n">
        <f aca="false">MAX(AX43*(1+INDEX(Response_Table!$J$4:$J$21,MATCH($F43&amp;"|low",Response_Table!$A$4:$A$21,0))*$R43*INDEX(Parameters!$X$10:$AA$10,1,MATCH($E43,Parameters!$X$3:$AA$3,0))),AX43*(1+INDEX(Response_Table!$J$4:$J$21,MATCH($F43&amp;"|high",Response_Table!$A$4:$A$21,0))*$R43*INDEX(Parameters!$X$10:$AA$10,1,MATCH($E43,Parameters!$X$3:$AA$3,0))))*(1+Inputs_General!$C$22*Parameters!$F$10)</f>
        <v>3.06237335978206</v>
      </c>
      <c r="BB43" s="45" t="n">
        <f aca="false">IF(AX43=0,0,AY43/AX43-1)</f>
        <v>-0.303563193390022</v>
      </c>
      <c r="BC43" s="46" t="n">
        <f aca="false">Parameters!$E$11*IF($N43="V",Parameters!$I$11,IF($N43="F",Parameters!$J$11,Parameters!$K$11))*(1-Parameters!$L$11*$P43)*IF($D43="V1",Parameters!$M$11,IF($D43="V2",Parameters!$N$11,Parameters!$O$11))</f>
        <v>1.21745535714286</v>
      </c>
      <c r="BD43" s="46" t="n">
        <f aca="false">BC43*(1+INDEX(Response_Table!$K$4:$K$21,MATCH($F43&amp;"|mid",Response_Table!$A$4:$A$21,0))*$R43*INDEX(Parameters!$X$11:$AA$11,1,MATCH($E43,Parameters!$X$3:$AA$3,0)))</f>
        <v>0.604996931017847</v>
      </c>
      <c r="BE43" s="46" t="n">
        <f aca="false">MAX(0,MIN(BC43*(1+INDEX(Response_Table!$K$4:$K$21,MATCH($F43&amp;"|low",Response_Table!$A$4:$A$21,0))*$R43*INDEX(Parameters!$X$11:$AA$11,1,MATCH($E43,Parameters!$X$3:$AA$3,0))),BC43*(1+INDEX(Response_Table!$K$4:$K$21,MATCH($F43&amp;"|high",Response_Table!$A$4:$A$21,0))*$R43*INDEX(Parameters!$X$11:$AA$11,1,MATCH($E43,Parameters!$X$3:$AA$3,0))))*(1-Inputs_General!$C$22*Parameters!$F$11))</f>
        <v>0.436734042963864</v>
      </c>
      <c r="BF43" s="46" t="n">
        <f aca="false">MAX(BC43*(1+INDEX(Response_Table!$K$4:$K$21,MATCH($F43&amp;"|low",Response_Table!$A$4:$A$21,0))*$R43*INDEX(Parameters!$X$11:$AA$11,1,MATCH($E43,Parameters!$X$3:$AA$3,0))),BC43*(1+INDEX(Response_Table!$K$4:$K$21,MATCH($F43&amp;"|high",Response_Table!$A$4:$A$21,0))*$R43*INDEX(Parameters!$X$11:$AA$11,1,MATCH($E43,Parameters!$X$3:$AA$3,0))))*(1+Inputs_General!$C$22*Parameters!$F$11)</f>
        <v>0.845181088313207</v>
      </c>
      <c r="BG43" s="45" t="n">
        <f aca="false">IF(BC43=0,0,BD43/BC43-1)</f>
        <v>-0.503064381401497</v>
      </c>
      <c r="BH43" s="46" t="n">
        <f aca="false">Parameters!$E$12*IF($N43="V",Parameters!$I$12,IF($N43="F",Parameters!$J$12,Parameters!$K$12))*(1-Parameters!$L$12*$P43)*IF($D43="V1",Parameters!$M$12,IF($D43="V2",Parameters!$N$12,Parameters!$O$12))</f>
        <v>0.438283928571429</v>
      </c>
      <c r="BI43" s="46" t="n">
        <f aca="false">BH43*(1+INDEX(Response_Table!$L$4:$L$21,MATCH($F43&amp;"|mid",Response_Table!$A$4:$A$21,0))*$R43*INDEX(Parameters!$X$12:$AA$12,1,MATCH($E43,Parameters!$X$3:$AA$3,0)))</f>
        <v>0.257925931860395</v>
      </c>
      <c r="BJ43" s="46" t="n">
        <f aca="false">MAX(0,MIN(BH43*(1+INDEX(Response_Table!$L$4:$L$21,MATCH($F43&amp;"|low",Response_Table!$A$4:$A$21,0))*$R43*INDEX(Parameters!$X$12:$AA$12,1,MATCH($E43,Parameters!$X$3:$AA$3,0))),BH43*(1+INDEX(Response_Table!$L$4:$L$21,MATCH($F43&amp;"|high",Response_Table!$A$4:$A$21,0))*$R43*INDEX(Parameters!$X$12:$AA$12,1,MATCH($E43,Parameters!$X$3:$AA$3,0))))*(1-Inputs_General!$C$22*Parameters!$F$12))</f>
        <v>0.186434141332036</v>
      </c>
      <c r="BK43" s="46" t="n">
        <f aca="false">MAX(BH43*(1+INDEX(Response_Table!$L$4:$L$21,MATCH($F43&amp;"|low",Response_Table!$A$4:$A$21,0))*$R43*INDEX(Parameters!$X$12:$AA$12,1,MATCH($E43,Parameters!$X$3:$AA$3,0))),BH43*(1+INDEX(Response_Table!$L$4:$L$21,MATCH($F43&amp;"|high",Response_Table!$A$4:$A$21,0))*$R43*INDEX(Parameters!$X$12:$AA$12,1,MATCH($E43,Parameters!$X$3:$AA$3,0))))*(1+Inputs_General!$C$22*Parameters!$F$12)</f>
        <v>0.352842532928187</v>
      </c>
      <c r="BL43" s="45" t="n">
        <f aca="false">IF(BH43=0,0,BI43/BH43-1)</f>
        <v>-0.411509491801136</v>
      </c>
      <c r="BM43" s="46" t="n">
        <f aca="false">Parameters!$E$13*IF($N43="V",Parameters!$I$13,IF($N43="F",Parameters!$J$13,Parameters!$K$13))*(1-Parameters!$L$13*$P43)*IF($D43="V1",Parameters!$M$13,IF($D43="V2",Parameters!$N$13,Parameters!$O$13))</f>
        <v>0.296094642857143</v>
      </c>
      <c r="BN43" s="46" t="n">
        <f aca="false">BM43*(1+INDEX(Response_Table!$M$4:$M$21,MATCH($F43&amp;"|mid",Response_Table!$A$4:$A$21,0))*$R43*INDEX(Parameters!$X$13:$AA$13,1,MATCH($E43,Parameters!$X$3:$AA$3,0)))</f>
        <v>0.215005860697199</v>
      </c>
      <c r="BO43" s="46" t="n">
        <f aca="false">MAX(0,MIN(BM43*(1+INDEX(Response_Table!$M$4:$M$21,MATCH($F43&amp;"|low",Response_Table!$A$4:$A$21,0))*$R43*INDEX(Parameters!$X$13:$AA$13,1,MATCH($E43,Parameters!$X$3:$AA$3,0))),BM43*(1+INDEX(Response_Table!$M$4:$M$21,MATCH($F43&amp;"|high",Response_Table!$A$4:$A$21,0))*$R43*INDEX(Parameters!$X$13:$AA$13,1,MATCH($E43,Parameters!$X$3:$AA$3,0))))*(1-Inputs_General!$C$22*Parameters!$F$13))</f>
        <v>0.15880685290092</v>
      </c>
      <c r="BP43" s="46" t="n">
        <f aca="false">MAX(BM43*(1+INDEX(Response_Table!$M$4:$M$21,MATCH($F43&amp;"|low",Response_Table!$A$4:$A$21,0))*$R43*INDEX(Parameters!$X$13:$AA$13,1,MATCH($E43,Parameters!$X$3:$AA$3,0))),BM43*(1+INDEX(Response_Table!$M$4:$M$21,MATCH($F43&amp;"|high",Response_Table!$A$4:$A$21,0))*$R43*INDEX(Parameters!$X$13:$AA$13,1,MATCH($E43,Parameters!$X$3:$AA$3,0))))*(1+Inputs_General!$C$22*Parameters!$F$13)</f>
        <v>0.290527682265843</v>
      </c>
      <c r="BQ43" s="45" t="n">
        <f aca="false">IF(BM43=0,0,BN43/BM43-1)</f>
        <v>-0.273861024223485</v>
      </c>
      <c r="BR43" s="44" t="n">
        <f aca="false">Parameters!$E$14*IF($N43="V",Parameters!$I$14,IF($N43="F",Parameters!$J$14,Parameters!$K$14))*(1-Parameters!$L$14*$P43)*IF($D43="V1",Parameters!$M$14,IF($D43="V2",Parameters!$N$14,Parameters!$O$14))*INDEX(Context!$AC$4:$AC$51,$K43)</f>
        <v>15</v>
      </c>
      <c r="BS43" s="44" t="n">
        <f aca="false">BR43*(1+INDEX(Response_Table!$N$4:$N$21,MATCH($F43&amp;"|mid",Response_Table!$A$4:$A$21,0))*$R43*INDEX(Parameters!$X$14:$AA$14,1,MATCH($E43,Parameters!$X$3:$AA$3,0)))</f>
        <v>21.7337916840186</v>
      </c>
      <c r="BT43" s="44" t="n">
        <f aca="false">MAX(0,MIN(BR43*(1+INDEX(Response_Table!$N$4:$N$21,MATCH($F43&amp;"|low",Response_Table!$A$4:$A$21,0))*$R43*INDEX(Parameters!$X$14:$AA$14,1,MATCH($E43,Parameters!$X$3:$AA$3,0))),BR43*(1+INDEX(Response_Table!$N$4:$N$21,MATCH($F43&amp;"|high",Response_Table!$A$4:$A$21,0))*$R43*INDEX(Parameters!$X$14:$AA$14,1,MATCH($E43,Parameters!$X$3:$AA$3,0))))*(1-Inputs_General!$C$22*Parameters!$F$14))</f>
        <v>10.3132418172117</v>
      </c>
      <c r="BU43" s="44" t="n">
        <f aca="false">MAX(BR43*(1+INDEX(Response_Table!$N$4:$N$21,MATCH($F43&amp;"|low",Response_Table!$A$4:$A$21,0))*$R43*INDEX(Parameters!$X$14:$AA$14,1,MATCH($E43,Parameters!$X$3:$AA$3,0))),BR43*(1+INDEX(Response_Table!$N$4:$N$21,MATCH($F43&amp;"|high",Response_Table!$A$4:$A$21,0))*$R43*INDEX(Parameters!$X$14:$AA$14,1,MATCH($E43,Parameters!$X$3:$AA$3,0))))*(1+Inputs_General!$C$22*Parameters!$F$14)</f>
        <v>33.8890255476014</v>
      </c>
      <c r="BV43" s="45" t="n">
        <f aca="false">IF(BR43=0,0,BS43/BR43-1)</f>
        <v>0.448919445601239</v>
      </c>
      <c r="BW43" s="43" t="n">
        <f aca="false">Parameters!$E$15*IF($N43="V",Parameters!$I$15,IF($N43="F",Parameters!$J$15,Parameters!$K$15))*(1-Parameters!$L$15*$P43)*IF($D43="V1",Parameters!$M$15,IF($D43="V2",Parameters!$N$15,Parameters!$O$15))</f>
        <v>10.5188142857143</v>
      </c>
      <c r="BX43" s="43" t="n">
        <f aca="false">BW43*(1+INDEX(Response_Table!$O$4:$O$21,MATCH($F43&amp;"|mid",Response_Table!$A$4:$A$21,0))*$R43*INDEX(Parameters!$X$15:$AA$15,1,MATCH($E43,Parameters!$X$3:$AA$3,0)))</f>
        <v>9.33828921633297</v>
      </c>
      <c r="BY43" s="43" t="n">
        <f aca="false">MAX(0,MIN(BW43*(1+INDEX(Response_Table!$O$4:$O$21,MATCH($F43&amp;"|low",Response_Table!$A$4:$A$21,0))*$R43*INDEX(Parameters!$X$15:$AA$15,1,MATCH($E43,Parameters!$X$3:$AA$3,0))),BW43*(1+INDEX(Response_Table!$O$4:$O$21,MATCH($F43&amp;"|high",Response_Table!$A$4:$A$21,0))*$R43*INDEX(Parameters!$X$15:$AA$15,1,MATCH($E43,Parameters!$X$3:$AA$3,0))))*(1-Inputs_General!$C$22*Parameters!$F$15))</f>
        <v>7.36022372196553</v>
      </c>
      <c r="BZ43" s="43" t="n">
        <f aca="false">MAX(BW43*(1+INDEX(Response_Table!$O$4:$O$21,MATCH($F43&amp;"|low",Response_Table!$A$4:$A$21,0))*$R43*INDEX(Parameters!$X$15:$AA$15,1,MATCH($E43,Parameters!$X$3:$AA$3,0))),BW43*(1+INDEX(Response_Table!$O$4:$O$21,MATCH($F43&amp;"|high",Response_Table!$A$4:$A$21,0))*$R43*INDEX(Parameters!$X$15:$AA$15,1,MATCH($E43,Parameters!$X$3:$AA$3,0))))*(1+Inputs_General!$C$22*Parameters!$F$15)</f>
        <v>11.4696807433222</v>
      </c>
      <c r="CA43" s="45" t="n">
        <f aca="false">IF(BW43=0,0,BX43/BW43-1)</f>
        <v>-0.11222986140031</v>
      </c>
      <c r="CB43" s="46" t="n">
        <f aca="false">BD43+BI43</f>
        <v>0.862922862878242</v>
      </c>
      <c r="CC43" s="43" t="n">
        <f aca="false">BD43/BI43</f>
        <v>2.34562274004038</v>
      </c>
      <c r="CD43" s="46" t="n">
        <f aca="false">BN43/CB43</f>
        <v>0.249160000211439</v>
      </c>
      <c r="CE43" s="43" t="n">
        <f aca="false">AE43/AO43</f>
        <v>1.76790287290711</v>
      </c>
      <c r="CF43" s="44" t="n">
        <f aca="false">AE43/AJ43</f>
        <v>33.9118563565342</v>
      </c>
      <c r="CG43" s="44" t="n">
        <f aca="false">INDEX(Context!$V$4:$V$51,$K43)</f>
        <v>28.62</v>
      </c>
      <c r="CH43" s="44" t="n">
        <f aca="false">INDEX(Context!$Y$4:$Y$51,$K43)</f>
        <v>25.3060134606718</v>
      </c>
      <c r="CI43" s="44" t="n">
        <f aca="false">INDEX(Context!$Z$4:$Z$51,$K43)</f>
        <v>32.62</v>
      </c>
      <c r="CJ43" s="43" t="n">
        <f aca="false">INDEX(Context!$AA$4:$AA$51,$K43)</f>
        <v>0.221696428571429</v>
      </c>
      <c r="CK43" s="43" t="n">
        <f aca="false">MAX(0,MIN(1,1-(1-CJ43)*AO43/AN43))</f>
        <v>0.562228129032745</v>
      </c>
      <c r="CL43" s="44" t="n">
        <f aca="false">CH43+CK43*(CI43-CH43)</f>
        <v>29.418142428449</v>
      </c>
      <c r="CM43" s="44" t="n">
        <f aca="false">CH43+MAX(0,MIN(1,1-(1-CJ43)*AQ43/AN43))*(CI43-CH43)</f>
        <v>27.5339007366798</v>
      </c>
      <c r="CN43" s="44" t="n">
        <f aca="false">CH43+MAX(0,MIN(1,1-(1-CJ43)*AP43/AN43))*(CI43-CH43)</f>
        <v>30.7229765156849</v>
      </c>
      <c r="CO43" s="44" t="n">
        <f aca="false">CL43-CG43</f>
        <v>0.798142428448962</v>
      </c>
      <c r="CP43" s="44" t="n">
        <f aca="false">CL43-(CH43+CJ43*(CI43-CH43))</f>
        <v>2.49064427338863</v>
      </c>
      <c r="CQ43" s="46" t="n">
        <f aca="false">CL43/CG43</f>
        <v>1.02788757611632</v>
      </c>
      <c r="CR43" s="43" t="n">
        <f aca="false">IF(CL43-CH43&lt;=0,"n/a",(CI43-CL43)/(CL43-CH43))</f>
        <v>0.778637439788713</v>
      </c>
      <c r="CS43" s="43" t="n">
        <f aca="false">IF(CI43-CL43&lt;=0,"n/a",(CL43-CH43)/(CI43-CL43))</f>
        <v>1.28429478072793</v>
      </c>
      <c r="CT43" s="43" t="n">
        <f aca="false">Inputs_General!$C$23+Inputs_General!$C$24*$I43</f>
        <v>1.36</v>
      </c>
      <c r="CU43" s="44" t="n">
        <f aca="false">3.29*CT43</f>
        <v>4.4744</v>
      </c>
    </row>
    <row r="44" customFormat="false" ht="15" hidden="false" customHeight="false" outlineLevel="0" collapsed="false">
      <c r="A44" s="9" t="str">
        <f aca="false">B44&amp;"|"&amp;E44&amp;"|"&amp;F44</f>
        <v>D1V2|03/03/2026|Very high</v>
      </c>
      <c r="B44" s="7" t="s">
        <v>343</v>
      </c>
      <c r="C44" s="9" t="s">
        <v>127</v>
      </c>
      <c r="D44" s="9" t="s">
        <v>146</v>
      </c>
      <c r="E44" s="9" t="s">
        <v>162</v>
      </c>
      <c r="F44" s="7" t="s">
        <v>285</v>
      </c>
      <c r="G44" s="9" t="s">
        <v>286</v>
      </c>
      <c r="H44" s="41" t="n">
        <f aca="false">INDEX(Severity_Classes!$C$4:$C$9,MATCH(F44,Severity_Classes!$A$4:$A$9,0))</f>
        <v>0.51</v>
      </c>
      <c r="I44" s="41" t="n">
        <f aca="false">INDEX(Severity_Classes!$D$4:$D$9,MATCH(F44,Severity_Classes!$A$4:$A$9,0))</f>
        <v>0.65</v>
      </c>
      <c r="J44" s="41" t="n">
        <f aca="false">INDEX(Severity_Classes!$E$4:$E$9,MATCH(F44,Severity_Classes!$A$4:$A$9,0))</f>
        <v>0.85</v>
      </c>
      <c r="K44" s="42" t="n">
        <f aca="false">MATCH(B44&amp;"|"&amp;E44,Context!$A$4:$A$51,0)</f>
        <v>7</v>
      </c>
      <c r="L44" s="42" t="n">
        <f aca="false">INDEX(Context!$H$4:$H$51,K44)</f>
        <v>84</v>
      </c>
      <c r="M44" s="42" t="n">
        <f aca="false">INDEX(Context!$I$4:$I$51,K44)</f>
        <v>26</v>
      </c>
      <c r="N44" s="9" t="str">
        <f aca="false">INDEX(Context!$L$4:$L$51,K44)</f>
        <v>F</v>
      </c>
      <c r="O44" s="9" t="str">
        <f aca="false">INDEX(Context!$M$4:$M$51,K44)</f>
        <v>5th fully expanded leaf from top</v>
      </c>
      <c r="P44" s="43" t="n">
        <f aca="false">INDEX(Context!$R$4:$R$51,K44)</f>
        <v>0.433928571428571</v>
      </c>
      <c r="Q44" s="43" t="n">
        <f aca="false">INDEX(Context!$U$4:$U$51,K44)</f>
        <v>1.73951545534029</v>
      </c>
      <c r="R44" s="43" t="n">
        <f aca="false">INDEX(Context!$AD$4:$AD$51,K44)</f>
        <v>1.1</v>
      </c>
      <c r="S44" s="9" t="str">
        <f aca="false">INDEX(Context!$AI$4:$AN$51,K44,MATCH(F44,Severity_Classes!$A$4:$A$9,0))</f>
        <v>Likely</v>
      </c>
      <c r="T44" s="44" t="n">
        <f aca="false">Parameters!$E$4*IF($N44="V",Parameters!$I$4,IF($N44="F",Parameters!$J$4,Parameters!$K$4))*(1-Parameters!$L$4*$P44)*IF($D44="V1",Parameters!$M$4,IF($D44="V2",Parameters!$N$4,Parameters!$O$4))</f>
        <v>83.2927660714286</v>
      </c>
      <c r="U44" s="44" t="n">
        <f aca="false">MIN(100,T44*(1+INDEX(Response_Table!$E$4:$E$21,MATCH($F44&amp;"|mid",Response_Table!$A$4:$A$21,0))*$R44*INDEX(Parameters!$X$4:$AA$4,1,MATCH($E44,Parameters!$X$3:$AA$3,0))))</f>
        <v>58.0040694610639</v>
      </c>
      <c r="V44" s="44" t="n">
        <f aca="false">MAX(0,MIN(T44*(1+INDEX(Response_Table!$E$4:$E$21,MATCH($F44&amp;"|low",Response_Table!$A$4:$A$21,0))*$R44*INDEX(Parameters!$X$4:$AA$4,1,MATCH($E44,Parameters!$X$3:$AA$3,0))),T44*(1+INDEX(Response_Table!$E$4:$E$21,MATCH($F44&amp;"|high",Response_Table!$A$4:$A$21,0))*$R44*INDEX(Parameters!$X$4:$AA$4,1,MATCH($E44,Parameters!$X$3:$AA$3,0))))*(1-Inputs_General!$C$22*Parameters!$F$4))</f>
        <v>52.5473524770264</v>
      </c>
      <c r="W44" s="44" t="n">
        <f aca="false">MIN(100,MAX(T44*(1+INDEX(Response_Table!$E$4:$E$21,MATCH($F44&amp;"|low",Response_Table!$A$4:$A$21,0))*$R44*INDEX(Parameters!$X$4:$AA$4,1,MATCH($E44,Parameters!$X$3:$AA$3,0))),T44*(1+INDEX(Response_Table!$E$4:$E$21,MATCH($F44&amp;"|high",Response_Table!$A$4:$A$21,0))*$R44*INDEX(Parameters!$X$4:$AA$4,1,MATCH($E44,Parameters!$X$3:$AA$3,0))))*(1+Inputs_General!$C$22*Parameters!$F$4))</f>
        <v>65.9201352950414</v>
      </c>
      <c r="X44" s="45" t="n">
        <f aca="false">IF(T44=0,0,U44/T44-1)</f>
        <v>-0.30361215989247</v>
      </c>
      <c r="Y44" s="44" t="n">
        <f aca="false">Parameters!$E$5*IF($N44="V",Parameters!$I$5,IF($N44="F",Parameters!$J$5,Parameters!$K$5))*(1-Parameters!$L$5*$P44)*IF($D44="V1",Parameters!$M$5,IF($D44="V2",Parameters!$N$5,Parameters!$O$5))</f>
        <v>66.88584</v>
      </c>
      <c r="Z44" s="44" t="n">
        <f aca="false">MIN(100,Y44*(1+INDEX(Response_Table!$F$4:$F$21,MATCH($F44&amp;"|mid",Response_Table!$A$4:$A$21,0))*$R44*INDEX(Parameters!$X$5:$AA$5,1,MATCH($E44,Parameters!$X$3:$AA$3,0))))</f>
        <v>16.701897501595</v>
      </c>
      <c r="AA44" s="44" t="n">
        <f aca="false">MAX(0,MIN(Y44*(1+INDEX(Response_Table!$F$4:$F$21,MATCH($F44&amp;"|low",Response_Table!$A$4:$A$21,0))*$R44*INDEX(Parameters!$X$5:$AA$5,1,MATCH($E44,Parameters!$X$3:$AA$3,0))),Y44*(1+INDEX(Response_Table!$F$4:$F$21,MATCH($F44&amp;"|high",Response_Table!$A$4:$A$21,0))*$R44*INDEX(Parameters!$X$5:$AA$5,1,MATCH($E44,Parameters!$X$3:$AA$3,0))))*(1-Inputs_General!$C$22*Parameters!$F$5))</f>
        <v>13.7735192401164</v>
      </c>
      <c r="AB44" s="44" t="n">
        <f aca="false">MIN(100,MAX(Y44*(1+INDEX(Response_Table!$F$4:$F$21,MATCH($F44&amp;"|low",Response_Table!$A$4:$A$21,0))*$R44*INDEX(Parameters!$X$5:$AA$5,1,MATCH($E44,Parameters!$X$3:$AA$3,0))),Y44*(1+INDEX(Response_Table!$F$4:$F$21,MATCH($F44&amp;"|high",Response_Table!$A$4:$A$21,0))*$R44*INDEX(Parameters!$X$5:$AA$5,1,MATCH($E44,Parameters!$X$3:$AA$3,0))))*(1+Inputs_General!$C$22*Parameters!$F$5))</f>
        <v>22.7068513666516</v>
      </c>
      <c r="AC44" s="45" t="n">
        <f aca="false">IF(Y44=0,0,Z44/Y44-1)</f>
        <v>-0.750292475932201</v>
      </c>
      <c r="AD44" s="44" t="n">
        <f aca="false">Parameters!$E$6*IF($N44="V",Parameters!$I$6,IF($N44="F",Parameters!$J$6,Parameters!$K$6))*(1-Parameters!$L$6*$P44)*IF($D44="V1",Parameters!$M$6,IF($D44="V2",Parameters!$N$6,Parameters!$O$6))</f>
        <v>18.0106428571429</v>
      </c>
      <c r="AE44" s="44" t="n">
        <f aca="false">AD44*(1+INDEX(Response_Table!$G$4:$G$21,MATCH($F44&amp;"|mid",Response_Table!$A$4:$A$21,0))*$R44*INDEX(Parameters!$X$6:$AA$6,1,MATCH($E44,Parameters!$X$3:$AA$3,0)))</f>
        <v>4.00280643011045</v>
      </c>
      <c r="AF44" s="44" t="n">
        <f aca="false">MAX(0,MIN(AD44*(1+INDEX(Response_Table!$G$4:$G$21,MATCH($F44&amp;"|low",Response_Table!$A$4:$A$21,0))*$R44*INDEX(Parameters!$X$6:$AA$6,1,MATCH($E44,Parameters!$X$3:$AA$3,0))),AD44*(1+INDEX(Response_Table!$G$4:$G$21,MATCH($F44&amp;"|high",Response_Table!$A$4:$A$21,0))*$R44*INDEX(Parameters!$X$6:$AA$6,1,MATCH($E44,Parameters!$X$3:$AA$3,0))))*(1-Inputs_General!$C$22*Parameters!$F$6))</f>
        <v>2.81296813150981</v>
      </c>
      <c r="AG44" s="44" t="n">
        <f aca="false">MAX(AD44*(1+INDEX(Response_Table!$G$4:$G$21,MATCH($F44&amp;"|low",Response_Table!$A$4:$A$21,0))*$R44*INDEX(Parameters!$X$6:$AA$6,1,MATCH($E44,Parameters!$X$3:$AA$3,0))),AD44*(1+INDEX(Response_Table!$G$4:$G$21,MATCH($F44&amp;"|high",Response_Table!$A$4:$A$21,0))*$R44*INDEX(Parameters!$X$6:$AA$6,1,MATCH($E44,Parameters!$X$3:$AA$3,0))))*(1+Inputs_General!$C$22*Parameters!$F$6)</f>
        <v>5.66057833960075</v>
      </c>
      <c r="AH44" s="45" t="n">
        <f aca="false">IF(AD44=0,0,AE44/AD44-1)</f>
        <v>-0.77775327278099</v>
      </c>
      <c r="AI44" s="46" t="n">
        <f aca="false">Parameters!$E$7*IF($N44="V",Parameters!$I$7,IF($N44="F",Parameters!$J$7,Parameters!$K$7))*(1-Parameters!$L$7*$P44)*IF($D44="V1",Parameters!$M$7,IF($D44="V2",Parameters!$N$7,Parameters!$O$7))*POWER($Q44/Inputs_General!$C$26,-Inputs_General!$C$25)</f>
        <v>0.341191629407368</v>
      </c>
      <c r="AJ44" s="46" t="n">
        <f aca="false">AI44*(1+INDEX(Response_Table!$H$4:$H$21,MATCH($F44&amp;"|mid",Response_Table!$A$4:$A$21,0))*$R44*INDEX(Parameters!$X$7:$AA$7,1,MATCH($E44,Parameters!$X$3:$AA$3,0)))</f>
        <v>0.131947660830621</v>
      </c>
      <c r="AK44" s="46" t="n">
        <f aca="false">MAX(0,MIN(AI44*(1+INDEX(Response_Table!$H$4:$H$21,MATCH($F44&amp;"|low",Response_Table!$A$4:$A$21,0))*$R44*INDEX(Parameters!$X$7:$AA$7,1,MATCH($E44,Parameters!$X$3:$AA$3,0))),AI44*(1+INDEX(Response_Table!$H$4:$H$21,MATCH($F44&amp;"|high",Response_Table!$A$4:$A$21,0))*$R44*INDEX(Parameters!$X$7:$AA$7,1,MATCH($E44,Parameters!$X$3:$AA$3,0))))*(1-Inputs_General!$C$22*Parameters!$F$7))</f>
        <v>0.0818549782942233</v>
      </c>
      <c r="AL44" s="46" t="n">
        <f aca="false">MAX(AI44*(1+INDEX(Response_Table!$H$4:$H$21,MATCH($F44&amp;"|low",Response_Table!$A$4:$A$21,0))*$R44*INDEX(Parameters!$X$7:$AA$7,1,MATCH($E44,Parameters!$X$3:$AA$3,0))),AI44*(1+INDEX(Response_Table!$H$4:$H$21,MATCH($F44&amp;"|high",Response_Table!$A$4:$A$21,0))*$R44*INDEX(Parameters!$X$7:$AA$7,1,MATCH($E44,Parameters!$X$3:$AA$3,0))))*(1+Inputs_General!$C$22*Parameters!$F$7)</f>
        <v>0.19449785545795</v>
      </c>
      <c r="AM44" s="45" t="n">
        <f aca="false">IF(AI44=0,0,AJ44/AI44-1)</f>
        <v>-0.613274038815643</v>
      </c>
      <c r="AN44" s="43" t="n">
        <f aca="false">AI44*$Q44/Inputs_General!$C$13*1000</f>
        <v>5.97691956280819</v>
      </c>
      <c r="AO44" s="43" t="n">
        <f aca="false">AJ44*$Q44/Inputs_General!$C$13*1000*(1+Inputs_General!$C$21*$I44)</f>
        <v>2.68703733181148</v>
      </c>
      <c r="AP44" s="43" t="n">
        <f aca="false">AK44*$Q44/Inputs_General!$C$13*1000*(1+Inputs_General!$C$21*$H44)</f>
        <v>1.61674189142862</v>
      </c>
      <c r="AQ44" s="43" t="n">
        <f aca="false">AL44*$Q44/Inputs_General!$C$13*1000*(1+Inputs_General!$C$21*$J44)</f>
        <v>4.13119416958278</v>
      </c>
      <c r="AR44" s="45" t="n">
        <f aca="false">IF(AN44=0,0,AO44/AN44-1)</f>
        <v>-0.550431070123185</v>
      </c>
      <c r="AS44" s="42" t="n">
        <f aca="false">Parameters!$E$9*IF($N44="V",Parameters!$I$9,IF($N44="F",Parameters!$J$9,Parameters!$K$9))*(1-Parameters!$L$9*$P44)*IF($D44="V1",Parameters!$M$9,IF($D44="V2",Parameters!$N$9,Parameters!$O$9))</f>
        <v>285</v>
      </c>
      <c r="AT44" s="42" t="n">
        <f aca="false">AS44*(1+INDEX(Response_Table!$I$4:$I$21,MATCH($F44&amp;"|mid",Response_Table!$A$4:$A$21,0))*$R44*INDEX(Parameters!$X$9:$AA$9,1,MATCH($E44,Parameters!$X$3:$AA$3,0)))</f>
        <v>372.064569968942</v>
      </c>
      <c r="AU44" s="42" t="n">
        <f aca="false">MAX(0,MIN(AS44*(1+INDEX(Response_Table!$I$4:$I$21,MATCH($F44&amp;"|low",Response_Table!$A$4:$A$21,0))*$R44*INDEX(Parameters!$X$9:$AA$9,1,MATCH($E44,Parameters!$X$3:$AA$3,0))),AS44*(1+INDEX(Response_Table!$I$4:$I$21,MATCH($F44&amp;"|high",Response_Table!$A$4:$A$21,0))*$R44*INDEX(Parameters!$X$9:$AA$9,1,MATCH($E44,Parameters!$X$3:$AA$3,0))))*(1-Inputs_General!$C$22*Parameters!$F$9))</f>
        <v>330.61558680736</v>
      </c>
      <c r="AV44" s="42" t="n">
        <f aca="false">MAX(AS44*(1+INDEX(Response_Table!$I$4:$I$21,MATCH($F44&amp;"|low",Response_Table!$A$4:$A$21,0))*$R44*INDEX(Parameters!$X$9:$AA$9,1,MATCH($E44,Parameters!$X$3:$AA$3,0))),AS44*(1+INDEX(Response_Table!$I$4:$I$21,MATCH($F44&amp;"|high",Response_Table!$A$4:$A$21,0))*$R44*INDEX(Parameters!$X$9:$AA$9,1,MATCH($E44,Parameters!$X$3:$AA$3,0))))*(1+Inputs_General!$C$22*Parameters!$F$9)</f>
        <v>413.013683739106</v>
      </c>
      <c r="AW44" s="45" t="n">
        <f aca="false">IF(AS44=0,0,AT44/AS44-1)</f>
        <v>0.30548971918927</v>
      </c>
      <c r="AX44" s="43" t="n">
        <f aca="false">INDEX(Context!$AB$4:$AB$51,$K44)</f>
        <v>3.35011354523348</v>
      </c>
      <c r="AY44" s="43" t="n">
        <f aca="false">AX44*(1+INDEX(Response_Table!$J$4:$J$21,MATCH($F44&amp;"|mid",Response_Table!$A$4:$A$21,0))*$R44*INDEX(Parameters!$X$10:$AA$10,1,MATCH($E44,Parameters!$X$3:$AA$3,0)))</f>
        <v>2.01834719314942</v>
      </c>
      <c r="AZ44" s="43" t="n">
        <f aca="false">MAX(0,MIN(AX44*(1+INDEX(Response_Table!$J$4:$J$21,MATCH($F44&amp;"|low",Response_Table!$A$4:$A$21,0))*$R44*INDEX(Parameters!$X$10:$AA$10,1,MATCH($E44,Parameters!$X$3:$AA$3,0))),AX44*(1+INDEX(Response_Table!$J$4:$J$21,MATCH($F44&amp;"|high",Response_Table!$A$4:$A$21,0))*$R44*INDEX(Parameters!$X$10:$AA$10,1,MATCH($E44,Parameters!$X$3:$AA$3,0))))*(1-Inputs_General!$C$22*Parameters!$F$10))</f>
        <v>1.51680466395947</v>
      </c>
      <c r="BA44" s="43" t="n">
        <f aca="false">MAX(AX44*(1+INDEX(Response_Table!$J$4:$J$21,MATCH($F44&amp;"|low",Response_Table!$A$4:$A$21,0))*$R44*INDEX(Parameters!$X$10:$AA$10,1,MATCH($E44,Parameters!$X$3:$AA$3,0))),AX44*(1+INDEX(Response_Table!$J$4:$J$21,MATCH($F44&amp;"|high",Response_Table!$A$4:$A$21,0))*$R44*INDEX(Parameters!$X$10:$AA$10,1,MATCH($E44,Parameters!$X$3:$AA$3,0))))*(1+Inputs_General!$C$22*Parameters!$F$10)</f>
        <v>2.58062384597282</v>
      </c>
      <c r="BB44" s="45" t="n">
        <f aca="false">IF(AX44=0,0,AY44/AX44-1)</f>
        <v>-0.397528720773924</v>
      </c>
      <c r="BC44" s="46" t="n">
        <f aca="false">Parameters!$E$11*IF($N44="V",Parameters!$I$11,IF($N44="F",Parameters!$J$11,Parameters!$K$11))*(1-Parameters!$L$11*$P44)*IF($D44="V1",Parameters!$M$11,IF($D44="V2",Parameters!$N$11,Parameters!$O$11))</f>
        <v>1.21745535714286</v>
      </c>
      <c r="BD44" s="46" t="n">
        <f aca="false">BC44*(1+INDEX(Response_Table!$K$4:$K$21,MATCH($F44&amp;"|mid",Response_Table!$A$4:$A$21,0))*$R44*INDEX(Parameters!$X$11:$AA$11,1,MATCH($E44,Parameters!$X$3:$AA$3,0)))</f>
        <v>0.455724100404477</v>
      </c>
      <c r="BE44" s="46" t="n">
        <f aca="false">MAX(0,MIN(BC44*(1+INDEX(Response_Table!$K$4:$K$21,MATCH($F44&amp;"|low",Response_Table!$A$4:$A$21,0))*$R44*INDEX(Parameters!$X$11:$AA$11,1,MATCH($E44,Parameters!$X$3:$AA$3,0))),BC44*(1+INDEX(Response_Table!$K$4:$K$21,MATCH($F44&amp;"|high",Response_Table!$A$4:$A$21,0))*$R44*INDEX(Parameters!$X$11:$AA$11,1,MATCH($E44,Parameters!$X$3:$AA$3,0))))*(1-Inputs_General!$C$22*Parameters!$F$11))</f>
        <v>0.337807247229119</v>
      </c>
      <c r="BF44" s="46" t="n">
        <f aca="false">MAX(BC44*(1+INDEX(Response_Table!$K$4:$K$21,MATCH($F44&amp;"|low",Response_Table!$A$4:$A$21,0))*$R44*INDEX(Parameters!$X$11:$AA$11,1,MATCH($E44,Parameters!$X$3:$AA$3,0))),BC44*(1+INDEX(Response_Table!$K$4:$K$21,MATCH($F44&amp;"|high",Response_Table!$A$4:$A$21,0))*$R44*INDEX(Parameters!$X$11:$AA$11,1,MATCH($E44,Parameters!$X$3:$AA$3,0))))*(1+Inputs_General!$C$22*Parameters!$F$11)</f>
        <v>0.60226414654118</v>
      </c>
      <c r="BG44" s="45" t="n">
        <f aca="false">IF(BC44=0,0,BD44/BC44-1)</f>
        <v>-0.625674898278014</v>
      </c>
      <c r="BH44" s="46" t="n">
        <f aca="false">Parameters!$E$12*IF($N44="V",Parameters!$I$12,IF($N44="F",Parameters!$J$12,Parameters!$K$12))*(1-Parameters!$L$12*$P44)*IF($D44="V1",Parameters!$M$12,IF($D44="V2",Parameters!$N$12,Parameters!$O$12))</f>
        <v>0.438283928571429</v>
      </c>
      <c r="BI44" s="46" t="n">
        <f aca="false">BH44*(1+INDEX(Response_Table!$L$4:$L$21,MATCH($F44&amp;"|mid",Response_Table!$A$4:$A$21,0))*$R44*INDEX(Parameters!$X$12:$AA$12,1,MATCH($E44,Parameters!$X$3:$AA$3,0)))</f>
        <v>0.210847797398132</v>
      </c>
      <c r="BJ44" s="46" t="n">
        <f aca="false">MAX(0,MIN(BH44*(1+INDEX(Response_Table!$L$4:$L$21,MATCH($F44&amp;"|low",Response_Table!$A$4:$A$21,0))*$R44*INDEX(Parameters!$X$12:$AA$12,1,MATCH($E44,Parameters!$X$3:$AA$3,0))),BH44*(1+INDEX(Response_Table!$L$4:$L$21,MATCH($F44&amp;"|high",Response_Table!$A$4:$A$21,0))*$R44*INDEX(Parameters!$X$12:$AA$12,1,MATCH($E44,Parameters!$X$3:$AA$3,0))))*(1-Inputs_General!$C$22*Parameters!$F$12))</f>
        <v>0.155565088766775</v>
      </c>
      <c r="BK44" s="46" t="n">
        <f aca="false">MAX(BH44*(1+INDEX(Response_Table!$L$4:$L$21,MATCH($F44&amp;"|low",Response_Table!$A$4:$A$21,0))*$R44*INDEX(Parameters!$X$12:$AA$12,1,MATCH($E44,Parameters!$X$3:$AA$3,0))),BH44*(1+INDEX(Response_Table!$L$4:$L$21,MATCH($F44&amp;"|high",Response_Table!$A$4:$A$21,0))*$R44*INDEX(Parameters!$X$12:$AA$12,1,MATCH($E44,Parameters!$X$3:$AA$3,0))))*(1+Inputs_General!$C$22*Parameters!$F$12)</f>
        <v>0.27604755913387</v>
      </c>
      <c r="BL44" s="45" t="n">
        <f aca="false">IF(BH44=0,0,BI44/BH44-1)</f>
        <v>-0.518924186690159</v>
      </c>
      <c r="BM44" s="46" t="n">
        <f aca="false">Parameters!$E$13*IF($N44="V",Parameters!$I$13,IF($N44="F",Parameters!$J$13,Parameters!$K$13))*(1-Parameters!$L$13*$P44)*IF($D44="V1",Parameters!$M$13,IF($D44="V2",Parameters!$N$13,Parameters!$O$13))</f>
        <v>0.296094642857143</v>
      </c>
      <c r="BN44" s="46" t="n">
        <f aca="false">BM44*(1+INDEX(Response_Table!$M$4:$M$21,MATCH($F44&amp;"|mid",Response_Table!$A$4:$A$21,0))*$R44*INDEX(Parameters!$X$13:$AA$13,1,MATCH($E44,Parameters!$X$3:$AA$3,0)))</f>
        <v>0.185213900639866</v>
      </c>
      <c r="BO44" s="46" t="n">
        <f aca="false">MAX(0,MIN(BM44*(1+INDEX(Response_Table!$M$4:$M$21,MATCH($F44&amp;"|low",Response_Table!$A$4:$A$21,0))*$R44*INDEX(Parameters!$X$13:$AA$13,1,MATCH($E44,Parameters!$X$3:$AA$3,0))),BM44*(1+INDEX(Response_Table!$M$4:$M$21,MATCH($F44&amp;"|high",Response_Table!$A$4:$A$21,0))*$R44*INDEX(Parameters!$X$13:$AA$13,1,MATCH($E44,Parameters!$X$3:$AA$3,0))))*(1-Inputs_General!$C$22*Parameters!$F$13))</f>
        <v>0.141368943331143</v>
      </c>
      <c r="BP44" s="46" t="n">
        <f aca="false">MAX(BM44*(1+INDEX(Response_Table!$M$4:$M$21,MATCH($F44&amp;"|low",Response_Table!$A$4:$A$21,0))*$R44*INDEX(Parameters!$X$13:$AA$13,1,MATCH($E44,Parameters!$X$3:$AA$3,0))),BM44*(1+INDEX(Response_Table!$M$4:$M$21,MATCH($F44&amp;"|high",Response_Table!$A$4:$A$21,0))*$R44*INDEX(Parameters!$X$13:$AA$13,1,MATCH($E44,Parameters!$X$3:$AA$3,0))))*(1+Inputs_General!$C$22*Parameters!$F$13)</f>
        <v>0.235620174612359</v>
      </c>
      <c r="BQ44" s="45" t="n">
        <f aca="false">IF(BM44=0,0,BN44/BM44-1)</f>
        <v>-0.374477366923432</v>
      </c>
      <c r="BR44" s="44" t="n">
        <f aca="false">Parameters!$E$14*IF($N44="V",Parameters!$I$14,IF($N44="F",Parameters!$J$14,Parameters!$K$14))*(1-Parameters!$L$14*$P44)*IF($D44="V1",Parameters!$M$14,IF($D44="V2",Parameters!$N$14,Parameters!$O$14))*INDEX(Context!$AC$4:$AC$51,$K44)</f>
        <v>15</v>
      </c>
      <c r="BS44" s="44" t="n">
        <f aca="false">BR44*(1+INDEX(Response_Table!$N$4:$N$21,MATCH($F44&amp;"|mid",Response_Table!$A$4:$A$21,0))*$R44*INDEX(Parameters!$X$14:$AA$14,1,MATCH($E44,Parameters!$X$3:$AA$3,0)))</f>
        <v>23.4914866912935</v>
      </c>
      <c r="BT44" s="44" t="n">
        <f aca="false">MAX(0,MIN(BR44*(1+INDEX(Response_Table!$N$4:$N$21,MATCH($F44&amp;"|low",Response_Table!$A$4:$A$21,0))*$R44*INDEX(Parameters!$X$14:$AA$14,1,MATCH($E44,Parameters!$X$3:$AA$3,0))),BR44*(1+INDEX(Response_Table!$N$4:$N$21,MATCH($F44&amp;"|high",Response_Table!$A$4:$A$21,0))*$R44*INDEX(Parameters!$X$14:$AA$14,1,MATCH($E44,Parameters!$X$3:$AA$3,0))))*(1-Inputs_General!$C$22*Parameters!$F$14))</f>
        <v>11.526064376594</v>
      </c>
      <c r="BU44" s="44" t="n">
        <f aca="false">MAX(BR44*(1+INDEX(Response_Table!$N$4:$N$21,MATCH($F44&amp;"|low",Response_Table!$A$4:$A$21,0))*$R44*INDEX(Parameters!$X$14:$AA$14,1,MATCH($E44,Parameters!$X$3:$AA$3,0))),BR44*(1+INDEX(Response_Table!$N$4:$N$21,MATCH($F44&amp;"|high",Response_Table!$A$4:$A$21,0))*$R44*INDEX(Parameters!$X$14:$AA$14,1,MATCH($E44,Parameters!$X$3:$AA$3,0))))*(1+Inputs_General!$C$22*Parameters!$F$14)</f>
        <v>36.0336618150901</v>
      </c>
      <c r="BV44" s="45" t="n">
        <f aca="false">IF(BR44=0,0,BS44/BR44-1)</f>
        <v>0.566099112752901</v>
      </c>
      <c r="BW44" s="43" t="n">
        <f aca="false">Parameters!$E$15*IF($N44="V",Parameters!$I$15,IF($N44="F",Parameters!$J$15,Parameters!$K$15))*(1-Parameters!$L$15*$P44)*IF($D44="V1",Parameters!$M$15,IF($D44="V2",Parameters!$N$15,Parameters!$O$15))</f>
        <v>10.5188142857143</v>
      </c>
      <c r="BX44" s="43" t="n">
        <f aca="false">BW44*(1+INDEX(Response_Table!$O$4:$O$21,MATCH($F44&amp;"|mid",Response_Table!$A$4:$A$21,0))*$R44*INDEX(Parameters!$X$15:$AA$15,1,MATCH($E44,Parameters!$X$3:$AA$3,0)))</f>
        <v>9.03014142712544</v>
      </c>
      <c r="BY44" s="43" t="n">
        <f aca="false">MAX(0,MIN(BW44*(1+INDEX(Response_Table!$O$4:$O$21,MATCH($F44&amp;"|low",Response_Table!$A$4:$A$21,0))*$R44*INDEX(Parameters!$X$15:$AA$15,1,MATCH($E44,Parameters!$X$3:$AA$3,0))),BW44*(1+INDEX(Response_Table!$O$4:$O$21,MATCH($F44&amp;"|high",Response_Table!$A$4:$A$21,0))*$R44*INDEX(Parameters!$X$15:$AA$15,1,MATCH($E44,Parameters!$X$3:$AA$3,0))))*(1-Inputs_General!$C$22*Parameters!$F$15))</f>
        <v>7.15817174153837</v>
      </c>
      <c r="BZ44" s="43" t="n">
        <f aca="false">MAX(BW44*(1+INDEX(Response_Table!$O$4:$O$21,MATCH($F44&amp;"|low",Response_Table!$A$4:$A$21,0))*$R44*INDEX(Parameters!$X$15:$AA$15,1,MATCH($E44,Parameters!$X$3:$AA$3,0))),BW44*(1+INDEX(Response_Table!$O$4:$O$21,MATCH($F44&amp;"|high",Response_Table!$A$4:$A$21,0))*$R44*INDEX(Parameters!$X$15:$AA$15,1,MATCH($E44,Parameters!$X$3:$AA$3,0))))*(1+Inputs_General!$C$22*Parameters!$F$15)</f>
        <v>10.9670227330321</v>
      </c>
      <c r="CA44" s="45" t="n">
        <f aca="false">IF(BW44=0,0,BX44/BW44-1)</f>
        <v>-0.141524778188225</v>
      </c>
      <c r="CB44" s="46" t="n">
        <f aca="false">BD44+BI44</f>
        <v>0.666571897802609</v>
      </c>
      <c r="CC44" s="43" t="n">
        <f aca="false">BD44/BI44</f>
        <v>2.16138895463043</v>
      </c>
      <c r="CD44" s="46" t="n">
        <f aca="false">BN44/CB44</f>
        <v>0.277860349724364</v>
      </c>
      <c r="CE44" s="43" t="n">
        <f aca="false">AE44/AO44</f>
        <v>1.48967280161007</v>
      </c>
      <c r="CF44" s="44" t="n">
        <f aca="false">AE44/AJ44</f>
        <v>30.3363197567312</v>
      </c>
      <c r="CG44" s="44" t="n">
        <f aca="false">INDEX(Context!$V$4:$V$51,$K44)</f>
        <v>28.62</v>
      </c>
      <c r="CH44" s="44" t="n">
        <f aca="false">INDEX(Context!$Y$4:$Y$51,$K44)</f>
        <v>25.3060134606718</v>
      </c>
      <c r="CI44" s="44" t="n">
        <f aca="false">INDEX(Context!$Z$4:$Z$51,$K44)</f>
        <v>32.62</v>
      </c>
      <c r="CJ44" s="43" t="n">
        <f aca="false">INDEX(Context!$AA$4:$AA$51,$K44)</f>
        <v>0.221696428571429</v>
      </c>
      <c r="CK44" s="43" t="n">
        <f aca="false">MAX(0,MIN(1,1-(1-CJ44)*AO44/AN44))</f>
        <v>0.650098896273554</v>
      </c>
      <c r="CL44" s="44" t="n">
        <f aca="false">CH44+CK44*(CI44-CH44)</f>
        <v>30.0608280372487</v>
      </c>
      <c r="CM44" s="44" t="n">
        <f aca="false">CH44+MAX(0,MIN(1,1-(1-CJ44)*AQ44/AN44))*(CI44-CH44)</f>
        <v>28.6853928524504</v>
      </c>
      <c r="CN44" s="44" t="n">
        <f aca="false">CH44+MAX(0,MIN(1,1-(1-CJ44)*AP44/AN44))*(CI44-CH44)</f>
        <v>31.0801923945879</v>
      </c>
      <c r="CO44" s="44" t="n">
        <f aca="false">CL44-CG44</f>
        <v>1.44082803724868</v>
      </c>
      <c r="CP44" s="44" t="n">
        <f aca="false">CL44-(CH44+CJ44*(CI44-CH44))</f>
        <v>3.13332988218834</v>
      </c>
      <c r="CQ44" s="46" t="n">
        <f aca="false">CL44/CG44</f>
        <v>1.05034339752791</v>
      </c>
      <c r="CR44" s="43" t="n">
        <f aca="false">IF(CL44-CH44&lt;=0,"n/a",(CI44-CL44)/(CL44-CH44))</f>
        <v>0.538227500049796</v>
      </c>
      <c r="CS44" s="43" t="n">
        <f aca="false">IF(CI44-CL44&lt;=0,"n/a",(CL44-CH44)/(CI44-CL44))</f>
        <v>1.85795040184212</v>
      </c>
      <c r="CT44" s="43" t="n">
        <f aca="false">Inputs_General!$C$23+Inputs_General!$C$24*$I44</f>
        <v>1.9</v>
      </c>
      <c r="CU44" s="44" t="n">
        <f aca="false">3.29*CT44</f>
        <v>6.251</v>
      </c>
    </row>
    <row r="45" customFormat="false" ht="15" hidden="false" customHeight="false" outlineLevel="0" collapsed="false">
      <c r="A45" s="33" t="str">
        <f aca="false">B45&amp;"|"&amp;E45&amp;"|"&amp;F45</f>
        <v>D1V2|13/03/2026|Healthy</v>
      </c>
      <c r="B45" s="34" t="s">
        <v>343</v>
      </c>
      <c r="C45" s="33" t="s">
        <v>127</v>
      </c>
      <c r="D45" s="33" t="s">
        <v>146</v>
      </c>
      <c r="E45" s="33" t="s">
        <v>164</v>
      </c>
      <c r="F45" s="34" t="s">
        <v>275</v>
      </c>
      <c r="G45" s="33" t="s">
        <v>276</v>
      </c>
      <c r="H45" s="35" t="n">
        <f aca="false">INDEX(Severity_Classes!$C$4:$C$9,MATCH(F45,Severity_Classes!$A$4:$A$9,0))</f>
        <v>0</v>
      </c>
      <c r="I45" s="35" t="n">
        <f aca="false">INDEX(Severity_Classes!$D$4:$D$9,MATCH(F45,Severity_Classes!$A$4:$A$9,0))</f>
        <v>0</v>
      </c>
      <c r="J45" s="35" t="n">
        <f aca="false">INDEX(Severity_Classes!$E$4:$E$9,MATCH(F45,Severity_Classes!$A$4:$A$9,0))</f>
        <v>0</v>
      </c>
      <c r="K45" s="36" t="n">
        <f aca="false">MATCH(B45&amp;"|"&amp;E45,Context!$A$4:$A$51,0)</f>
        <v>8</v>
      </c>
      <c r="L45" s="36" t="n">
        <f aca="false">INDEX(Context!$H$4:$H$51,K45)</f>
        <v>94</v>
      </c>
      <c r="M45" s="36" t="n">
        <f aca="false">INDEX(Context!$I$4:$I$51,K45)</f>
        <v>36</v>
      </c>
      <c r="N45" s="33" t="str">
        <f aca="false">INDEX(Context!$L$4:$L$51,K45)</f>
        <v>P</v>
      </c>
      <c r="O45" s="33" t="str">
        <f aca="false">INDEX(Context!$M$4:$M$51,K45)</f>
        <v>5th fully expanded leaf from top</v>
      </c>
      <c r="P45" s="37" t="n">
        <f aca="false">INDEX(Context!$R$4:$R$51,K45)</f>
        <v>0.953571428571428</v>
      </c>
      <c r="Q45" s="37" t="n">
        <f aca="false">INDEX(Context!$U$4:$U$51,K45)</f>
        <v>2.18945736698217</v>
      </c>
      <c r="R45" s="37" t="n">
        <f aca="false">INDEX(Context!$AD$4:$AD$51,K45)</f>
        <v>1.1</v>
      </c>
      <c r="S45" s="33" t="str">
        <f aca="false">INDEX(Context!$AI$4:$AN$51,K45,MATCH(F45,Severity_Classes!$A$4:$A$9,0))</f>
        <v>Reference: healthy (uninoculated) control plot</v>
      </c>
      <c r="T45" s="38" t="n">
        <f aca="false">Parameters!$E$4*IF($N45="V",Parameters!$I$4,IF($N45="F",Parameters!$J$4,Parameters!$K$4))*(1-Parameters!$L$4*$P45)*IF($D45="V1",Parameters!$M$4,IF($D45="V2",Parameters!$N$4,Parameters!$O$4))</f>
        <v>77.8046607142857</v>
      </c>
      <c r="U45" s="38" t="n">
        <f aca="false">MIN(100,T45*(1+INDEX(Response_Table!$E$4:$E$21,MATCH($F45&amp;"|mid",Response_Table!$A$4:$A$21,0))*$R45*INDEX(Parameters!$X$4:$AA$4,1,MATCH($E45,Parameters!$X$3:$AA$3,0))))</f>
        <v>77.8046607142857</v>
      </c>
      <c r="V45" s="38" t="n">
        <f aca="false">MAX(0,MIN(T45*(1+INDEX(Response_Table!$E$4:$E$21,MATCH($F45&amp;"|low",Response_Table!$A$4:$A$21,0))*$R45*INDEX(Parameters!$X$4:$AA$4,1,MATCH($E45,Parameters!$X$3:$AA$3,0))),T45*(1+INDEX(Response_Table!$E$4:$E$21,MATCH($F45&amp;"|high",Response_Table!$A$4:$A$21,0))*$R45*INDEX(Parameters!$X$4:$AA$4,1,MATCH($E45,Parameters!$X$3:$AA$3,0))))*(1-Inputs_General!$C$22*Parameters!$F$4))</f>
        <v>72.6851140392857</v>
      </c>
      <c r="W45" s="38" t="n">
        <f aca="false">MIN(100,MAX(T45*(1+INDEX(Response_Table!$E$4:$E$21,MATCH($F45&amp;"|low",Response_Table!$A$4:$A$21,0))*$R45*INDEX(Parameters!$X$4:$AA$4,1,MATCH($E45,Parameters!$X$3:$AA$3,0))),T45*(1+INDEX(Response_Table!$E$4:$E$21,MATCH($F45&amp;"|high",Response_Table!$A$4:$A$21,0))*$R45*INDEX(Parameters!$X$4:$AA$4,1,MATCH($E45,Parameters!$X$3:$AA$3,0))))*(1+Inputs_General!$C$22*Parameters!$F$4))</f>
        <v>82.9242073892857</v>
      </c>
      <c r="X45" s="39" t="n">
        <f aca="false">IF(T45=0,0,U45/T45-1)</f>
        <v>0</v>
      </c>
      <c r="Y45" s="38" t="n">
        <f aca="false">Parameters!$E$5*IF($N45="V",Parameters!$I$5,IF($N45="F",Parameters!$J$5,Parameters!$K$5))*(1-Parameters!$L$5*$P45)*IF($D45="V1",Parameters!$M$5,IF($D45="V2",Parameters!$N$5,Parameters!$O$5))</f>
        <v>58.6602514285714</v>
      </c>
      <c r="Z45" s="38" t="n">
        <f aca="false">MIN(100,Y45*(1+INDEX(Response_Table!$F$4:$F$21,MATCH($F45&amp;"|mid",Response_Table!$A$4:$A$21,0))*$R45*INDEX(Parameters!$X$5:$AA$5,1,MATCH($E45,Parameters!$X$3:$AA$3,0))))</f>
        <v>58.6602514285714</v>
      </c>
      <c r="AA45" s="38" t="n">
        <f aca="false">MAX(0,MIN(Y45*(1+INDEX(Response_Table!$F$4:$F$21,MATCH($F45&amp;"|low",Response_Table!$A$4:$A$21,0))*$R45*INDEX(Parameters!$X$5:$AA$5,1,MATCH($E45,Parameters!$X$3:$AA$3,0))),Y45*(1+INDEX(Response_Table!$F$4:$F$21,MATCH($F45&amp;"|high",Response_Table!$A$4:$A$21,0))*$R45*INDEX(Parameters!$X$5:$AA$5,1,MATCH($E45,Parameters!$X$3:$AA$3,0))))*(1-Inputs_General!$C$22*Parameters!$F$5))</f>
        <v>51.9055234765714</v>
      </c>
      <c r="AB45" s="38" t="n">
        <f aca="false">MIN(100,MAX(Y45*(1+INDEX(Response_Table!$F$4:$F$21,MATCH($F45&amp;"|low",Response_Table!$A$4:$A$21,0))*$R45*INDEX(Parameters!$X$5:$AA$5,1,MATCH($E45,Parameters!$X$3:$AA$3,0))),Y45*(1+INDEX(Response_Table!$F$4:$F$21,MATCH($F45&amp;"|high",Response_Table!$A$4:$A$21,0))*$R45*INDEX(Parameters!$X$5:$AA$5,1,MATCH($E45,Parameters!$X$3:$AA$3,0))))*(1+Inputs_General!$C$22*Parameters!$F$5))</f>
        <v>65.4149793805714</v>
      </c>
      <c r="AC45" s="39" t="n">
        <f aca="false">IF(Y45=0,0,Z45/Y45-1)</f>
        <v>0</v>
      </c>
      <c r="AD45" s="38" t="n">
        <f aca="false">Parameters!$E$6*IF($N45="V",Parameters!$I$6,IF($N45="F",Parameters!$J$6,Parameters!$K$6))*(1-Parameters!$L$6*$P45)*IF($D45="V1",Parameters!$M$6,IF($D45="V2",Parameters!$N$6,Parameters!$O$6))</f>
        <v>14.3019785714286</v>
      </c>
      <c r="AE45" s="38" t="n">
        <f aca="false">AD45*(1+INDEX(Response_Table!$G$4:$G$21,MATCH($F45&amp;"|mid",Response_Table!$A$4:$A$21,0))*$R45*INDEX(Parameters!$X$6:$AA$6,1,MATCH($E45,Parameters!$X$3:$AA$3,0)))</f>
        <v>14.3019785714286</v>
      </c>
      <c r="AF45" s="38" t="n">
        <f aca="false">MAX(0,MIN(AD45*(1+INDEX(Response_Table!$G$4:$G$21,MATCH($F45&amp;"|low",Response_Table!$A$4:$A$21,0))*$R45*INDEX(Parameters!$X$6:$AA$6,1,MATCH($E45,Parameters!$X$3:$AA$3,0))),AD45*(1+INDEX(Response_Table!$G$4:$G$21,MATCH($F45&amp;"|high",Response_Table!$A$4:$A$21,0))*$R45*INDEX(Parameters!$X$6:$AA$6,1,MATCH($E45,Parameters!$X$3:$AA$3,0))))*(1-Inputs_General!$C$22*Parameters!$F$6))</f>
        <v>11.4787680014286</v>
      </c>
      <c r="AG45" s="38" t="n">
        <f aca="false">MAX(AD45*(1+INDEX(Response_Table!$G$4:$G$21,MATCH($F45&amp;"|low",Response_Table!$A$4:$A$21,0))*$R45*INDEX(Parameters!$X$6:$AA$6,1,MATCH($E45,Parameters!$X$3:$AA$3,0))),AD45*(1+INDEX(Response_Table!$G$4:$G$21,MATCH($F45&amp;"|high",Response_Table!$A$4:$A$21,0))*$R45*INDEX(Parameters!$X$6:$AA$6,1,MATCH($E45,Parameters!$X$3:$AA$3,0))))*(1+Inputs_General!$C$22*Parameters!$F$6)</f>
        <v>17.1251891414286</v>
      </c>
      <c r="AH45" s="39" t="n">
        <f aca="false">IF(AD45=0,0,AE45/AD45-1)</f>
        <v>0</v>
      </c>
      <c r="AI45" s="40" t="n">
        <f aca="false">Parameters!$E$7*IF($N45="V",Parameters!$I$7,IF($N45="F",Parameters!$J$7,Parameters!$K$7))*(1-Parameters!$L$7*$P45)*IF($D45="V1",Parameters!$M$7,IF($D45="V2",Parameters!$N$7,Parameters!$O$7))*POWER($Q45/Inputs_General!$C$26,-Inputs_General!$C$25)</f>
        <v>0.258501574676089</v>
      </c>
      <c r="AJ45" s="40" t="n">
        <f aca="false">AI45*(1+INDEX(Response_Table!$H$4:$H$21,MATCH($F45&amp;"|mid",Response_Table!$A$4:$A$21,0))*$R45*INDEX(Parameters!$X$7:$AA$7,1,MATCH($E45,Parameters!$X$3:$AA$3,0)))</f>
        <v>0.258501574676089</v>
      </c>
      <c r="AK45" s="40" t="n">
        <f aca="false">MAX(0,MIN(AI45*(1+INDEX(Response_Table!$H$4:$H$21,MATCH($F45&amp;"|low",Response_Table!$A$4:$A$21,0))*$R45*INDEX(Parameters!$X$7:$AA$7,1,MATCH($E45,Parameters!$X$3:$AA$3,0))),AI45*(1+INDEX(Response_Table!$H$4:$H$21,MATCH($F45&amp;"|high",Response_Table!$A$4:$A$21,0))*$R45*INDEX(Parameters!$X$7:$AA$7,1,MATCH($E45,Parameters!$X$3:$AA$3,0))))*(1-Inputs_General!$C$22*Parameters!$F$7))</f>
        <v>0.181959258414499</v>
      </c>
      <c r="AL45" s="40" t="n">
        <f aca="false">MAX(AI45*(1+INDEX(Response_Table!$H$4:$H$21,MATCH($F45&amp;"|low",Response_Table!$A$4:$A$21,0))*$R45*INDEX(Parameters!$X$7:$AA$7,1,MATCH($E45,Parameters!$X$3:$AA$3,0))),AI45*(1+INDEX(Response_Table!$H$4:$H$21,MATCH($F45&amp;"|high",Response_Table!$A$4:$A$21,0))*$R45*INDEX(Parameters!$X$7:$AA$7,1,MATCH($E45,Parameters!$X$3:$AA$3,0))))*(1+Inputs_General!$C$22*Parameters!$F$7)</f>
        <v>0.335043890937679</v>
      </c>
      <c r="AM45" s="39" t="n">
        <f aca="false">IF(AI45=0,0,AJ45/AI45-1)</f>
        <v>0</v>
      </c>
      <c r="AN45" s="37" t="n">
        <f aca="false">AI45*$Q45/Inputs_General!$C$13*1000</f>
        <v>5.69967952720096</v>
      </c>
      <c r="AO45" s="37" t="n">
        <f aca="false">AJ45*$Q45/Inputs_General!$C$13*1000*(1+Inputs_General!$C$21*$I45)</f>
        <v>5.69967952720096</v>
      </c>
      <c r="AP45" s="37" t="n">
        <f aca="false">AK45*$Q45/Inputs_General!$C$13*1000*(1+Inputs_General!$C$21*$H45)</f>
        <v>4.01200441919675</v>
      </c>
      <c r="AQ45" s="37" t="n">
        <f aca="false">AL45*$Q45/Inputs_General!$C$13*1000*(1+Inputs_General!$C$21*$J45)</f>
        <v>7.38735463520516</v>
      </c>
      <c r="AR45" s="39" t="n">
        <f aca="false">IF(AN45=0,0,AO45/AN45-1)</f>
        <v>0</v>
      </c>
      <c r="AS45" s="36" t="n">
        <f aca="false">Parameters!$E$9*IF($N45="V",Parameters!$I$9,IF($N45="F",Parameters!$J$9,Parameters!$K$9))*(1-Parameters!$L$9*$P45)*IF($D45="V1",Parameters!$M$9,IF($D45="V2",Parameters!$N$9,Parameters!$O$9))</f>
        <v>293.55</v>
      </c>
      <c r="AT45" s="36" t="n">
        <f aca="false">AS45*(1+INDEX(Response_Table!$I$4:$I$21,MATCH($F45&amp;"|mid",Response_Table!$A$4:$A$21,0))*$R45*INDEX(Parameters!$X$9:$AA$9,1,MATCH($E45,Parameters!$X$3:$AA$3,0)))</f>
        <v>293.55</v>
      </c>
      <c r="AU45" s="36" t="n">
        <f aca="false">MAX(0,MIN(AS45*(1+INDEX(Response_Table!$I$4:$I$21,MATCH($F45&amp;"|low",Response_Table!$A$4:$A$21,0))*$R45*INDEX(Parameters!$X$9:$AA$9,1,MATCH($E45,Parameters!$X$3:$AA$3,0))),AS45*(1+INDEX(Response_Table!$I$4:$I$21,MATCH($F45&amp;"|high",Response_Table!$A$4:$A$21,0))*$R45*INDEX(Parameters!$X$9:$AA$9,1,MATCH($E45,Parameters!$X$3:$AA$3,0))))*(1-Inputs_General!$C$22*Parameters!$F$9))</f>
        <v>264.576615</v>
      </c>
      <c r="AV45" s="36" t="n">
        <f aca="false">MAX(AS45*(1+INDEX(Response_Table!$I$4:$I$21,MATCH($F45&amp;"|low",Response_Table!$A$4:$A$21,0))*$R45*INDEX(Parameters!$X$9:$AA$9,1,MATCH($E45,Parameters!$X$3:$AA$3,0))),AS45*(1+INDEX(Response_Table!$I$4:$I$21,MATCH($F45&amp;"|high",Response_Table!$A$4:$A$21,0))*$R45*INDEX(Parameters!$X$9:$AA$9,1,MATCH($E45,Parameters!$X$3:$AA$3,0))))*(1+Inputs_General!$C$22*Parameters!$F$9)</f>
        <v>322.523385</v>
      </c>
      <c r="AW45" s="39" t="n">
        <f aca="false">IF(AS45=0,0,AT45/AS45-1)</f>
        <v>0</v>
      </c>
      <c r="AX45" s="37" t="n">
        <f aca="false">INDEX(Context!$AB$4:$AB$51,$K45)</f>
        <v>2.6539155416324</v>
      </c>
      <c r="AY45" s="37" t="n">
        <f aca="false">AX45*(1+INDEX(Response_Table!$J$4:$J$21,MATCH($F45&amp;"|mid",Response_Table!$A$4:$A$21,0))*$R45*INDEX(Parameters!$X$10:$AA$10,1,MATCH($E45,Parameters!$X$3:$AA$3,0)))</f>
        <v>2.6539155416324</v>
      </c>
      <c r="AZ45" s="37" t="n">
        <f aca="false">MAX(0,MIN(AX45*(1+INDEX(Response_Table!$J$4:$J$21,MATCH($F45&amp;"|low",Response_Table!$A$4:$A$21,0))*$R45*INDEX(Parameters!$X$10:$AA$10,1,MATCH($E45,Parameters!$X$3:$AA$3,0))),AX45*(1+INDEX(Response_Table!$J$4:$J$21,MATCH($F45&amp;"|high",Response_Table!$A$4:$A$21,0))*$R45*INDEX(Parameters!$X$10:$AA$10,1,MATCH($E45,Parameters!$X$3:$AA$3,0))))*(1-Inputs_General!$C$22*Parameters!$F$10))</f>
        <v>2.13003261371417</v>
      </c>
      <c r="BA45" s="37" t="n">
        <f aca="false">MAX(AX45*(1+INDEX(Response_Table!$J$4:$J$21,MATCH($F45&amp;"|low",Response_Table!$A$4:$A$21,0))*$R45*INDEX(Parameters!$X$10:$AA$10,1,MATCH($E45,Parameters!$X$3:$AA$3,0))),AX45*(1+INDEX(Response_Table!$J$4:$J$21,MATCH($F45&amp;"|high",Response_Table!$A$4:$A$21,0))*$R45*INDEX(Parameters!$X$10:$AA$10,1,MATCH($E45,Parameters!$X$3:$AA$3,0))))*(1+Inputs_General!$C$22*Parameters!$F$10)</f>
        <v>3.17779846955064</v>
      </c>
      <c r="BB45" s="39" t="n">
        <f aca="false">IF(AX45=0,0,AY45/AX45-1)</f>
        <v>0</v>
      </c>
      <c r="BC45" s="40" t="n">
        <f aca="false">Parameters!$E$11*IF($N45="V",Parameters!$I$11,IF($N45="F",Parameters!$J$11,Parameters!$K$11))*(1-Parameters!$L$11*$P45)*IF($D45="V1",Parameters!$M$11,IF($D45="V2",Parameters!$N$11,Parameters!$O$11))</f>
        <v>1.00170982142857</v>
      </c>
      <c r="BD45" s="40" t="n">
        <f aca="false">BC45*(1+INDEX(Response_Table!$K$4:$K$21,MATCH($F45&amp;"|mid",Response_Table!$A$4:$A$21,0))*$R45*INDEX(Parameters!$X$11:$AA$11,1,MATCH($E45,Parameters!$X$3:$AA$3,0)))</f>
        <v>1.00170982142857</v>
      </c>
      <c r="BE45" s="40" t="n">
        <f aca="false">MAX(0,MIN(BC45*(1+INDEX(Response_Table!$K$4:$K$21,MATCH($F45&amp;"|low",Response_Table!$A$4:$A$21,0))*$R45*INDEX(Parameters!$X$11:$AA$11,1,MATCH($E45,Parameters!$X$3:$AA$3,0))),BC45*(1+INDEX(Response_Table!$K$4:$K$21,MATCH($F45&amp;"|high",Response_Table!$A$4:$A$21,0))*$R45*INDEX(Parameters!$X$11:$AA$11,1,MATCH($E45,Parameters!$X$3:$AA$3,0))))*(1-Inputs_General!$C$22*Parameters!$F$11))</f>
        <v>0.836928555803572</v>
      </c>
      <c r="BF45" s="40" t="n">
        <f aca="false">MAX(BC45*(1+INDEX(Response_Table!$K$4:$K$21,MATCH($F45&amp;"|low",Response_Table!$A$4:$A$21,0))*$R45*INDEX(Parameters!$X$11:$AA$11,1,MATCH($E45,Parameters!$X$3:$AA$3,0))),BC45*(1+INDEX(Response_Table!$K$4:$K$21,MATCH($F45&amp;"|high",Response_Table!$A$4:$A$21,0))*$R45*INDEX(Parameters!$X$11:$AA$11,1,MATCH($E45,Parameters!$X$3:$AA$3,0))))*(1+Inputs_General!$C$22*Parameters!$F$11)</f>
        <v>1.16649108705357</v>
      </c>
      <c r="BG45" s="39" t="n">
        <f aca="false">IF(BC45=0,0,BD45/BC45-1)</f>
        <v>0</v>
      </c>
      <c r="BH45" s="40" t="n">
        <f aca="false">Parameters!$E$12*IF($N45="V",Parameters!$I$12,IF($N45="F",Parameters!$J$12,Parameters!$K$12))*(1-Parameters!$L$12*$P45)*IF($D45="V1",Parameters!$M$12,IF($D45="V2",Parameters!$N$12,Parameters!$O$12))</f>
        <v>0.373343142857143</v>
      </c>
      <c r="BI45" s="40" t="n">
        <f aca="false">BH45*(1+INDEX(Response_Table!$L$4:$L$21,MATCH($F45&amp;"|mid",Response_Table!$A$4:$A$21,0))*$R45*INDEX(Parameters!$X$12:$AA$12,1,MATCH($E45,Parameters!$X$3:$AA$3,0)))</f>
        <v>0.373343142857143</v>
      </c>
      <c r="BJ45" s="40" t="n">
        <f aca="false">MAX(0,MIN(BH45*(1+INDEX(Response_Table!$L$4:$L$21,MATCH($F45&amp;"|low",Response_Table!$A$4:$A$21,0))*$R45*INDEX(Parameters!$X$12:$AA$12,1,MATCH($E45,Parameters!$X$3:$AA$3,0))),BH45*(1+INDEX(Response_Table!$L$4:$L$21,MATCH($F45&amp;"|high",Response_Table!$A$4:$A$21,0))*$R45*INDEX(Parameters!$X$12:$AA$12,1,MATCH($E45,Parameters!$X$3:$AA$3,0))))*(1-Inputs_General!$C$22*Parameters!$F$12))</f>
        <v>0.299645206457143</v>
      </c>
      <c r="BK45" s="40" t="n">
        <f aca="false">MAX(BH45*(1+INDEX(Response_Table!$L$4:$L$21,MATCH($F45&amp;"|low",Response_Table!$A$4:$A$21,0))*$R45*INDEX(Parameters!$X$12:$AA$12,1,MATCH($E45,Parameters!$X$3:$AA$3,0))),BH45*(1+INDEX(Response_Table!$L$4:$L$21,MATCH($F45&amp;"|high",Response_Table!$A$4:$A$21,0))*$R45*INDEX(Parameters!$X$12:$AA$12,1,MATCH($E45,Parameters!$X$3:$AA$3,0))))*(1+Inputs_General!$C$22*Parameters!$F$12)</f>
        <v>0.447041079257143</v>
      </c>
      <c r="BL45" s="39" t="n">
        <f aca="false">IF(BH45=0,0,BI45/BH45-1)</f>
        <v>0</v>
      </c>
      <c r="BM45" s="40" t="n">
        <f aca="false">Parameters!$E$13*IF($N45="V",Parameters!$I$13,IF($N45="F",Parameters!$J$13,Parameters!$K$13))*(1-Parameters!$L$13*$P45)*IF($D45="V1",Parameters!$M$13,IF($D45="V2",Parameters!$N$13,Parameters!$O$13))</f>
        <v>0.262276071428571</v>
      </c>
      <c r="BN45" s="40" t="n">
        <f aca="false">BM45*(1+INDEX(Response_Table!$M$4:$M$21,MATCH($F45&amp;"|mid",Response_Table!$A$4:$A$21,0))*$R45*INDEX(Parameters!$X$13:$AA$13,1,MATCH($E45,Parameters!$X$3:$AA$3,0)))</f>
        <v>0.262276071428571</v>
      </c>
      <c r="BO45" s="40" t="n">
        <f aca="false">MAX(0,MIN(BM45*(1+INDEX(Response_Table!$M$4:$M$21,MATCH($F45&amp;"|low",Response_Table!$A$4:$A$21,0))*$R45*INDEX(Parameters!$X$13:$AA$13,1,MATCH($E45,Parameters!$X$3:$AA$3,0))),BM45*(1+INDEX(Response_Table!$M$4:$M$21,MATCH($F45&amp;"|high",Response_Table!$A$4:$A$21,0))*$R45*INDEX(Parameters!$X$13:$AA$13,1,MATCH($E45,Parameters!$X$3:$AA$3,0))))*(1-Inputs_General!$C$22*Parameters!$F$13))</f>
        <v>0.210502774928571</v>
      </c>
      <c r="BP45" s="40" t="n">
        <f aca="false">MAX(BM45*(1+INDEX(Response_Table!$M$4:$M$21,MATCH($F45&amp;"|low",Response_Table!$A$4:$A$21,0))*$R45*INDEX(Parameters!$X$13:$AA$13,1,MATCH($E45,Parameters!$X$3:$AA$3,0))),BM45*(1+INDEX(Response_Table!$M$4:$M$21,MATCH($F45&amp;"|high",Response_Table!$A$4:$A$21,0))*$R45*INDEX(Parameters!$X$13:$AA$13,1,MATCH($E45,Parameters!$X$3:$AA$3,0))))*(1+Inputs_General!$C$22*Parameters!$F$13)</f>
        <v>0.314049367928571</v>
      </c>
      <c r="BQ45" s="39" t="n">
        <f aca="false">IF(BM45=0,0,BN45/BM45-1)</f>
        <v>0</v>
      </c>
      <c r="BR45" s="38" t="n">
        <f aca="false">Parameters!$E$14*IF($N45="V",Parameters!$I$14,IF($N45="F",Parameters!$J$14,Parameters!$K$14))*(1-Parameters!$L$14*$P45)*IF($D45="V1",Parameters!$M$14,IF($D45="V2",Parameters!$N$14,Parameters!$O$14))*INDEX(Context!$AC$4:$AC$51,$K45)</f>
        <v>17.25</v>
      </c>
      <c r="BS45" s="38" t="n">
        <f aca="false">BR45*(1+INDEX(Response_Table!$N$4:$N$21,MATCH($F45&amp;"|mid",Response_Table!$A$4:$A$21,0))*$R45*INDEX(Parameters!$X$14:$AA$14,1,MATCH($E45,Parameters!$X$3:$AA$3,0)))</f>
        <v>17.25</v>
      </c>
      <c r="BT45" s="38" t="n">
        <f aca="false">MAX(0,MIN(BR45*(1+INDEX(Response_Table!$N$4:$N$21,MATCH($F45&amp;"|low",Response_Table!$A$4:$A$21,0))*$R45*INDEX(Parameters!$X$14:$AA$14,1,MATCH($E45,Parameters!$X$3:$AA$3,0))),BR45*(1+INDEX(Response_Table!$N$4:$N$21,MATCH($F45&amp;"|high",Response_Table!$A$4:$A$21,0))*$R45*INDEX(Parameters!$X$14:$AA$14,1,MATCH($E45,Parameters!$X$3:$AA$3,0))))*(1-Inputs_General!$C$22*Parameters!$F$14))</f>
        <v>8.737125</v>
      </c>
      <c r="BU45" s="38" t="n">
        <f aca="false">MAX(BR45*(1+INDEX(Response_Table!$N$4:$N$21,MATCH($F45&amp;"|low",Response_Table!$A$4:$A$21,0))*$R45*INDEX(Parameters!$X$14:$AA$14,1,MATCH($E45,Parameters!$X$3:$AA$3,0))),BR45*(1+INDEX(Response_Table!$N$4:$N$21,MATCH($F45&amp;"|high",Response_Table!$A$4:$A$21,0))*$R45*INDEX(Parameters!$X$14:$AA$14,1,MATCH($E45,Parameters!$X$3:$AA$3,0))))*(1+Inputs_General!$C$22*Parameters!$F$14)</f>
        <v>25.762875</v>
      </c>
      <c r="BV45" s="39" t="n">
        <f aca="false">IF(BR45=0,0,BS45/BR45-1)</f>
        <v>0</v>
      </c>
      <c r="BW45" s="37" t="n">
        <f aca="false">Parameters!$E$15*IF($N45="V",Parameters!$I$15,IF($N45="F",Parameters!$J$15,Parameters!$K$15))*(1-Parameters!$L$15*$P45)*IF($D45="V1",Parameters!$M$15,IF($D45="V2",Parameters!$N$15,Parameters!$O$15))</f>
        <v>8.34931028571429</v>
      </c>
      <c r="BX45" s="37" t="n">
        <f aca="false">BW45*(1+INDEX(Response_Table!$O$4:$O$21,MATCH($F45&amp;"|mid",Response_Table!$A$4:$A$21,0))*$R45*INDEX(Parameters!$X$15:$AA$15,1,MATCH($E45,Parameters!$X$3:$AA$3,0)))</f>
        <v>8.34931028571429</v>
      </c>
      <c r="BY45" s="37" t="n">
        <f aca="false">MAX(0,MIN(BW45*(1+INDEX(Response_Table!$O$4:$O$21,MATCH($F45&amp;"|low",Response_Table!$A$4:$A$21,0))*$R45*INDEX(Parameters!$X$15:$AA$15,1,MATCH($E45,Parameters!$X$3:$AA$3,0))),BW45*(1+INDEX(Response_Table!$O$4:$O$21,MATCH($F45&amp;"|high",Response_Table!$A$4:$A$21,0))*$R45*INDEX(Parameters!$X$15:$AA$15,1,MATCH($E45,Parameters!$X$3:$AA$3,0))))*(1-Inputs_General!$C$22*Parameters!$F$15))</f>
        <v>6.70115643531429</v>
      </c>
      <c r="BZ45" s="37" t="n">
        <f aca="false">MAX(BW45*(1+INDEX(Response_Table!$O$4:$O$21,MATCH($F45&amp;"|low",Response_Table!$A$4:$A$21,0))*$R45*INDEX(Parameters!$X$15:$AA$15,1,MATCH($E45,Parameters!$X$3:$AA$3,0))),BW45*(1+INDEX(Response_Table!$O$4:$O$21,MATCH($F45&amp;"|high",Response_Table!$A$4:$A$21,0))*$R45*INDEX(Parameters!$X$15:$AA$15,1,MATCH($E45,Parameters!$X$3:$AA$3,0))))*(1+Inputs_General!$C$22*Parameters!$F$15)</f>
        <v>9.99746413611429</v>
      </c>
      <c r="CA45" s="39" t="n">
        <f aca="false">IF(BW45=0,0,BX45/BW45-1)</f>
        <v>0</v>
      </c>
      <c r="CB45" s="40" t="n">
        <f aca="false">BD45+BI45</f>
        <v>1.37505296428571</v>
      </c>
      <c r="CC45" s="37" t="n">
        <f aca="false">BD45/BI45</f>
        <v>2.68308080808081</v>
      </c>
      <c r="CD45" s="40" t="n">
        <f aca="false">BN45/CB45</f>
        <v>0.190738886603407</v>
      </c>
      <c r="CE45" s="37" t="n">
        <f aca="false">AE45/AO45</f>
        <v>2.5092601264991</v>
      </c>
      <c r="CF45" s="38" t="n">
        <f aca="false">AE45/AJ45</f>
        <v>55.3264659580872</v>
      </c>
      <c r="CG45" s="38" t="n">
        <f aca="false">INDEX(Context!$V$4:$V$51,$K45)</f>
        <v>32.7871428571429</v>
      </c>
      <c r="CH45" s="38" t="n">
        <f aca="false">INDEX(Context!$Y$4:$Y$51,$K45)</f>
        <v>28.36912210206</v>
      </c>
      <c r="CI45" s="38" t="n">
        <f aca="false">INDEX(Context!$Z$4:$Z$51,$K45)</f>
        <v>36.7871428571429</v>
      </c>
      <c r="CJ45" s="37" t="n">
        <f aca="false">INDEX(Context!$AA$4:$AA$51,$K45)</f>
        <v>0.347678571428571</v>
      </c>
      <c r="CK45" s="37" t="n">
        <f aca="false">MAX(0,MIN(1,1-(1-CJ45)*AO45/AN45))</f>
        <v>0.347678571428571</v>
      </c>
      <c r="CL45" s="38" t="n">
        <f aca="false">CH45+CK45*(CI45-CH45)</f>
        <v>31.2958875324433</v>
      </c>
      <c r="CM45" s="38" t="n">
        <f aca="false">CH45+MAX(0,MIN(1,1-(1-CJ45)*AQ45/AN45))*(CI45-CH45)</f>
        <v>29.6699268307998</v>
      </c>
      <c r="CN45" s="38" t="n">
        <f aca="false">CH45+MAX(0,MIN(1,1-(1-CJ45)*AP45/AN45))*(CI45-CH45)</f>
        <v>32.9218482340868</v>
      </c>
      <c r="CO45" s="38" t="n">
        <f aca="false">CL45-CG45</f>
        <v>-1.49125532469956</v>
      </c>
      <c r="CP45" s="38" t="n">
        <f aca="false">CL45-(CH45+CJ45*(CI45-CH45))</f>
        <v>0</v>
      </c>
      <c r="CQ45" s="40" t="n">
        <f aca="false">CL45/CG45</f>
        <v>0.954517069962542</v>
      </c>
      <c r="CR45" s="37" t="n">
        <f aca="false">IF(CL45-CH45&lt;=0,"n/a",(CI45-CL45)/(CL45-CH45))</f>
        <v>1.87621982537237</v>
      </c>
      <c r="CS45" s="37" t="n">
        <f aca="false">IF(CI45-CL45&lt;=0,"n/a",(CL45-CH45)/(CI45-CL45))</f>
        <v>0.53298658636737</v>
      </c>
      <c r="CT45" s="37" t="n">
        <f aca="false">Inputs_General!$C$23+Inputs_General!$C$24*$I45</f>
        <v>0.6</v>
      </c>
      <c r="CU45" s="38" t="n">
        <f aca="false">3.29*CT45</f>
        <v>1.974</v>
      </c>
    </row>
    <row r="46" customFormat="false" ht="15" hidden="false" customHeight="false" outlineLevel="0" collapsed="false">
      <c r="A46" s="9" t="str">
        <f aca="false">B46&amp;"|"&amp;E46&amp;"|"&amp;F46</f>
        <v>D1V2|13/03/2026|Very low</v>
      </c>
      <c r="B46" s="7" t="s">
        <v>343</v>
      </c>
      <c r="C46" s="9" t="s">
        <v>127</v>
      </c>
      <c r="D46" s="9" t="s">
        <v>146</v>
      </c>
      <c r="E46" s="9" t="s">
        <v>164</v>
      </c>
      <c r="F46" s="7" t="s">
        <v>277</v>
      </c>
      <c r="G46" s="9" t="s">
        <v>278</v>
      </c>
      <c r="H46" s="41" t="n">
        <f aca="false">INDEX(Severity_Classes!$C$4:$C$9,MATCH(F46,Severity_Classes!$A$4:$A$9,0))</f>
        <v>0.01</v>
      </c>
      <c r="I46" s="41" t="n">
        <f aca="false">INDEX(Severity_Classes!$D$4:$D$9,MATCH(F46,Severity_Classes!$A$4:$A$9,0))</f>
        <v>0.03</v>
      </c>
      <c r="J46" s="41" t="n">
        <f aca="false">INDEX(Severity_Classes!$E$4:$E$9,MATCH(F46,Severity_Classes!$A$4:$A$9,0))</f>
        <v>0.05</v>
      </c>
      <c r="K46" s="42" t="n">
        <f aca="false">MATCH(B46&amp;"|"&amp;E46,Context!$A$4:$A$51,0)</f>
        <v>8</v>
      </c>
      <c r="L46" s="42" t="n">
        <f aca="false">INDEX(Context!$H$4:$H$51,K46)</f>
        <v>94</v>
      </c>
      <c r="M46" s="42" t="n">
        <f aca="false">INDEX(Context!$I$4:$I$51,K46)</f>
        <v>36</v>
      </c>
      <c r="N46" s="9" t="str">
        <f aca="false">INDEX(Context!$L$4:$L$51,K46)</f>
        <v>P</v>
      </c>
      <c r="O46" s="9" t="str">
        <f aca="false">INDEX(Context!$M$4:$M$51,K46)</f>
        <v>5th fully expanded leaf from top</v>
      </c>
      <c r="P46" s="43" t="n">
        <f aca="false">INDEX(Context!$R$4:$R$51,K46)</f>
        <v>0.953571428571428</v>
      </c>
      <c r="Q46" s="43" t="n">
        <f aca="false">INDEX(Context!$U$4:$U$51,K46)</f>
        <v>2.18945736698217</v>
      </c>
      <c r="R46" s="43" t="n">
        <f aca="false">INDEX(Context!$AD$4:$AD$51,K46)</f>
        <v>1.1</v>
      </c>
      <c r="S46" s="9" t="str">
        <f aca="false">INDEX(Context!$AI$4:$AN$51,K46,MATCH(F46,Severity_Classes!$A$4:$A$9,0))</f>
        <v>Unlikely</v>
      </c>
      <c r="T46" s="44" t="n">
        <f aca="false">Parameters!$E$4*IF($N46="V",Parameters!$I$4,IF($N46="F",Parameters!$J$4,Parameters!$K$4))*(1-Parameters!$L$4*$P46)*IF($D46="V1",Parameters!$M$4,IF($D46="V2",Parameters!$N$4,Parameters!$O$4))</f>
        <v>77.8046607142857</v>
      </c>
      <c r="U46" s="44" t="n">
        <f aca="false">MIN(100,T46*(1+INDEX(Response_Table!$E$4:$E$21,MATCH($F46&amp;"|mid",Response_Table!$A$4:$A$21,0))*$R46*INDEX(Parameters!$X$4:$AA$4,1,MATCH($E46,Parameters!$X$3:$AA$3,0))))</f>
        <v>77.4356742364092</v>
      </c>
      <c r="V46" s="44" t="n">
        <f aca="false">MAX(0,MIN(T46*(1+INDEX(Response_Table!$E$4:$E$21,MATCH($F46&amp;"|low",Response_Table!$A$4:$A$21,0))*$R46*INDEX(Parameters!$X$4:$AA$4,1,MATCH($E46,Parameters!$X$3:$AA$3,0))),T46*(1+INDEX(Response_Table!$E$4:$E$21,MATCH($F46&amp;"|high",Response_Table!$A$4:$A$21,0))*$R46*INDEX(Parameters!$X$4:$AA$4,1,MATCH($E46,Parameters!$X$3:$AA$3,0))))*(1-Inputs_General!$C$22*Parameters!$F$4))</f>
        <v>72.0650884105898</v>
      </c>
      <c r="W46" s="44" t="n">
        <f aca="false">MIN(100,MAX(T46*(1+INDEX(Response_Table!$E$4:$E$21,MATCH($F46&amp;"|low",Response_Table!$A$4:$A$21,0))*$R46*INDEX(Parameters!$X$4:$AA$4,1,MATCH($E46,Parameters!$X$3:$AA$3,0))),T46*(1+INDEX(Response_Table!$E$4:$E$21,MATCH($F46&amp;"|high",Response_Table!$A$4:$A$21,0))*$R46*INDEX(Parameters!$X$4:$AA$4,1,MATCH($E46,Parameters!$X$3:$AA$3,0))))*(1+Inputs_General!$C$22*Parameters!$F$4))</f>
        <v>82.8026665152215</v>
      </c>
      <c r="X46" s="45" t="n">
        <f aca="false">IF(T46=0,0,U46/T46-1)</f>
        <v>-0.0047424726808013</v>
      </c>
      <c r="Y46" s="44" t="n">
        <f aca="false">Parameters!$E$5*IF($N46="V",Parameters!$I$5,IF($N46="F",Parameters!$J$5,Parameters!$K$5))*(1-Parameters!$L$5*$P46)*IF($D46="V1",Parameters!$M$5,IF($D46="V2",Parameters!$N$5,Parameters!$O$5))</f>
        <v>58.6602514285714</v>
      </c>
      <c r="Z46" s="44" t="n">
        <f aca="false">MIN(100,Y46*(1+INDEX(Response_Table!$F$4:$F$21,MATCH($F46&amp;"|mid",Response_Table!$A$4:$A$21,0))*$R46*INDEX(Parameters!$X$5:$AA$5,1,MATCH($E46,Parameters!$X$3:$AA$3,0))))</f>
        <v>57.7721930189037</v>
      </c>
      <c r="AA46" s="44" t="n">
        <f aca="false">MAX(0,MIN(Y46*(1+INDEX(Response_Table!$F$4:$F$21,MATCH($F46&amp;"|low",Response_Table!$A$4:$A$21,0))*$R46*INDEX(Parameters!$X$5:$AA$5,1,MATCH($E46,Parameters!$X$3:$AA$3,0))),Y46*(1+INDEX(Response_Table!$F$4:$F$21,MATCH($F46&amp;"|high",Response_Table!$A$4:$A$21,0))*$R46*INDEX(Parameters!$X$5:$AA$5,1,MATCH($E46,Parameters!$X$3:$AA$3,0))))*(1-Inputs_General!$C$22*Parameters!$F$5))</f>
        <v>50.4725339335199</v>
      </c>
      <c r="AB46" s="44" t="n">
        <f aca="false">MIN(100,MAX(Y46*(1+INDEX(Response_Table!$F$4:$F$21,MATCH($F46&amp;"|low",Response_Table!$A$4:$A$21,0))*$R46*INDEX(Parameters!$X$5:$AA$5,1,MATCH($E46,Parameters!$X$3:$AA$3,0))),Y46*(1+INDEX(Response_Table!$F$4:$F$21,MATCH($F46&amp;"|high",Response_Table!$A$4:$A$21,0))*$R46*INDEX(Parameters!$X$5:$AA$5,1,MATCH($E46,Parameters!$X$3:$AA$3,0))))*(1+Inputs_General!$C$22*Parameters!$F$5))</f>
        <v>65.1131295129212</v>
      </c>
      <c r="AC46" s="45" t="n">
        <f aca="false">IF(Y46=0,0,Z46/Y46-1)</f>
        <v>-0.0151390147167894</v>
      </c>
      <c r="AD46" s="44" t="n">
        <f aca="false">Parameters!$E$6*IF($N46="V",Parameters!$I$6,IF($N46="F",Parameters!$J$6,Parameters!$K$6))*(1-Parameters!$L$6*$P46)*IF($D46="V1",Parameters!$M$6,IF($D46="V2",Parameters!$N$6,Parameters!$O$6))</f>
        <v>14.3019785714286</v>
      </c>
      <c r="AE46" s="44" t="n">
        <f aca="false">AD46*(1+INDEX(Response_Table!$G$4:$G$21,MATCH($F46&amp;"|mid",Response_Table!$A$4:$A$21,0))*$R46*INDEX(Parameters!$X$6:$AA$6,1,MATCH($E46,Parameters!$X$3:$AA$3,0)))</f>
        <v>12.8429096096339</v>
      </c>
      <c r="AF46" s="44" t="n">
        <f aca="false">MAX(0,MIN(AD46*(1+INDEX(Response_Table!$G$4:$G$21,MATCH($F46&amp;"|low",Response_Table!$A$4:$A$21,0))*$R46*INDEX(Parameters!$X$6:$AA$6,1,MATCH($E46,Parameters!$X$3:$AA$3,0))),AD46*(1+INDEX(Response_Table!$G$4:$G$21,MATCH($F46&amp;"|high",Response_Table!$A$4:$A$21,0))*$R46*INDEX(Parameters!$X$6:$AA$6,1,MATCH($E46,Parameters!$X$3:$AA$3,0))))*(1-Inputs_General!$C$22*Parameters!$F$6))</f>
        <v>9.60862425659221</v>
      </c>
      <c r="AG46" s="44" t="n">
        <f aca="false">MAX(AD46*(1+INDEX(Response_Table!$G$4:$G$21,MATCH($F46&amp;"|low",Response_Table!$A$4:$A$21,0))*$R46*INDEX(Parameters!$X$6:$AA$6,1,MATCH($E46,Parameters!$X$3:$AA$3,0))),AD46*(1+INDEX(Response_Table!$G$4:$G$21,MATCH($F46&amp;"|high",Response_Table!$A$4:$A$21,0))*$R46*INDEX(Parameters!$X$6:$AA$6,1,MATCH($E46,Parameters!$X$3:$AA$3,0))))*(1+Inputs_General!$C$22*Parameters!$F$6)</f>
        <v>16.5170225548757</v>
      </c>
      <c r="AH46" s="45" t="n">
        <f aca="false">IF(AD46=0,0,AE46/AD46-1)</f>
        <v>-0.102018679059517</v>
      </c>
      <c r="AI46" s="46" t="n">
        <f aca="false">Parameters!$E$7*IF($N46="V",Parameters!$I$7,IF($N46="F",Parameters!$J$7,Parameters!$K$7))*(1-Parameters!$L$7*$P46)*IF($D46="V1",Parameters!$M$7,IF($D46="V2",Parameters!$N$7,Parameters!$O$7))*POWER($Q46/Inputs_General!$C$26,-Inputs_General!$C$25)</f>
        <v>0.258501574676089</v>
      </c>
      <c r="AJ46" s="46" t="n">
        <f aca="false">AI46*(1+INDEX(Response_Table!$H$4:$H$21,MATCH($F46&amp;"|mid",Response_Table!$A$4:$A$21,0))*$R46*INDEX(Parameters!$X$7:$AA$7,1,MATCH($E46,Parameters!$X$3:$AA$3,0)))</f>
        <v>0.242593593917496</v>
      </c>
      <c r="AK46" s="46" t="n">
        <f aca="false">MAX(0,MIN(AI46*(1+INDEX(Response_Table!$H$4:$H$21,MATCH($F46&amp;"|low",Response_Table!$A$4:$A$21,0))*$R46*INDEX(Parameters!$X$7:$AA$7,1,MATCH($E46,Parameters!$X$3:$AA$3,0))),AI46*(1+INDEX(Response_Table!$H$4:$H$21,MATCH($F46&amp;"|high",Response_Table!$A$4:$A$21,0))*$R46*INDEX(Parameters!$X$7:$AA$7,1,MATCH($E46,Parameters!$X$3:$AA$3,0))))*(1-Inputs_General!$C$22*Parameters!$F$7))</f>
        <v>0.163837244995882</v>
      </c>
      <c r="AL46" s="46" t="n">
        <f aca="false">MAX(AI46*(1+INDEX(Response_Table!$H$4:$H$21,MATCH($F46&amp;"|low",Response_Table!$A$4:$A$21,0))*$R46*INDEX(Parameters!$X$7:$AA$7,1,MATCH($E46,Parameters!$X$3:$AA$3,0))),AI46*(1+INDEX(Response_Table!$H$4:$H$21,MATCH($F46&amp;"|high",Response_Table!$A$4:$A$21,0))*$R46*INDEX(Parameters!$X$7:$AA$7,1,MATCH($E46,Parameters!$X$3:$AA$3,0))))*(1+Inputs_General!$C$22*Parameters!$F$7)</f>
        <v>0.327963929882015</v>
      </c>
      <c r="AM46" s="45" t="n">
        <f aca="false">IF(AI46=0,0,AJ46/AI46-1)</f>
        <v>-0.0615392025310718</v>
      </c>
      <c r="AN46" s="43" t="n">
        <f aca="false">AI46*$Q46/Inputs_General!$C$13*1000</f>
        <v>5.69967952720096</v>
      </c>
      <c r="AO46" s="43" t="n">
        <f aca="false">AJ46*$Q46/Inputs_General!$C$13*1000*(1+Inputs_General!$C$21*$I46)</f>
        <v>5.38904273787244</v>
      </c>
      <c r="AP46" s="43" t="n">
        <f aca="false">AK46*$Q46/Inputs_General!$C$13*1000*(1+Inputs_General!$C$21*$H46)</f>
        <v>3.62146475025077</v>
      </c>
      <c r="AQ46" s="43" t="n">
        <f aca="false">AL46*$Q46/Inputs_General!$C$13*1000*(1+Inputs_General!$C$21*$J46)</f>
        <v>7.32163978262245</v>
      </c>
      <c r="AR46" s="45" t="n">
        <f aca="false">IF(AN46=0,0,AO46/AN46-1)</f>
        <v>-0.0545007465500548</v>
      </c>
      <c r="AS46" s="42" t="n">
        <f aca="false">Parameters!$E$9*IF($N46="V",Parameters!$I$9,IF($N46="F",Parameters!$J$9,Parameters!$K$9))*(1-Parameters!$L$9*$P46)*IF($D46="V1",Parameters!$M$9,IF($D46="V2",Parameters!$N$9,Parameters!$O$9))</f>
        <v>293.55</v>
      </c>
      <c r="AT46" s="42" t="n">
        <f aca="false">AS46*(1+INDEX(Response_Table!$I$4:$I$21,MATCH($F46&amp;"|mid",Response_Table!$A$4:$A$21,0))*$R46*INDEX(Parameters!$X$9:$AA$9,1,MATCH($E46,Parameters!$X$3:$AA$3,0)))</f>
        <v>304.504186914554</v>
      </c>
      <c r="AU46" s="42" t="n">
        <f aca="false">MAX(0,MIN(AS46*(1+INDEX(Response_Table!$I$4:$I$21,MATCH($F46&amp;"|low",Response_Table!$A$4:$A$21,0))*$R46*INDEX(Parameters!$X$9:$AA$9,1,MATCH($E46,Parameters!$X$3:$AA$3,0))),AS46*(1+INDEX(Response_Table!$I$4:$I$21,MATCH($F46&amp;"|high",Response_Table!$A$4:$A$21,0))*$R46*INDEX(Parameters!$X$9:$AA$9,1,MATCH($E46,Parameters!$X$3:$AA$3,0))))*(1-Inputs_General!$C$22*Parameters!$F$9))</f>
        <v>268.000100162239</v>
      </c>
      <c r="AV46" s="42" t="n">
        <f aca="false">MAX(AS46*(1+INDEX(Response_Table!$I$4:$I$21,MATCH($F46&amp;"|low",Response_Table!$A$4:$A$21,0))*$R46*INDEX(Parameters!$X$9:$AA$9,1,MATCH($E46,Parameters!$X$3:$AA$3,0))),AS46*(1+INDEX(Response_Table!$I$4:$I$21,MATCH($F46&amp;"|high",Response_Table!$A$4:$A$21,0))*$R46*INDEX(Parameters!$X$9:$AA$9,1,MATCH($E46,Parameters!$X$3:$AA$3,0))))*(1+Inputs_General!$C$22*Parameters!$F$9)</f>
        <v>341.816363467518</v>
      </c>
      <c r="AW46" s="45" t="n">
        <f aca="false">IF(AS46=0,0,AT46/AS46-1)</f>
        <v>0.037316255883338</v>
      </c>
      <c r="AX46" s="43" t="n">
        <f aca="false">INDEX(Context!$AB$4:$AB$51,$K46)</f>
        <v>2.6539155416324</v>
      </c>
      <c r="AY46" s="43" t="n">
        <f aca="false">AX46*(1+INDEX(Response_Table!$J$4:$J$21,MATCH($F46&amp;"|mid",Response_Table!$A$4:$A$21,0))*$R46*INDEX(Parameters!$X$10:$AA$10,1,MATCH($E46,Parameters!$X$3:$AA$3,0)))</f>
        <v>2.55899301274707</v>
      </c>
      <c r="AZ46" s="43" t="n">
        <f aca="false">MAX(0,MIN(AX46*(1+INDEX(Response_Table!$J$4:$J$21,MATCH($F46&amp;"|low",Response_Table!$A$4:$A$21,0))*$R46*INDEX(Parameters!$X$10:$AA$10,1,MATCH($E46,Parameters!$X$3:$AA$3,0))),AX46*(1+INDEX(Response_Table!$J$4:$J$21,MATCH($F46&amp;"|high",Response_Table!$A$4:$A$21,0))*$R46*INDEX(Parameters!$X$10:$AA$10,1,MATCH($E46,Parameters!$X$3:$AA$3,0))))*(1-Inputs_General!$C$22*Parameters!$F$10))</f>
        <v>2.00614132600908</v>
      </c>
      <c r="BA46" s="43" t="n">
        <f aca="false">MAX(AX46*(1+INDEX(Response_Table!$J$4:$J$21,MATCH($F46&amp;"|low",Response_Table!$A$4:$A$21,0))*$R46*INDEX(Parameters!$X$10:$AA$10,1,MATCH($E46,Parameters!$X$3:$AA$3,0))),AX46*(1+INDEX(Response_Table!$J$4:$J$21,MATCH($F46&amp;"|high",Response_Table!$A$4:$A$21,0))*$R46*INDEX(Parameters!$X$10:$AA$10,1,MATCH($E46,Parameters!$X$3:$AA$3,0))))*(1+Inputs_General!$C$22*Parameters!$F$10)</f>
        <v>3.13896070828477</v>
      </c>
      <c r="BB46" s="45" t="n">
        <f aca="false">IF(AX46=0,0,AY46/AX46-1)</f>
        <v>-0.0357669742673663</v>
      </c>
      <c r="BC46" s="46" t="n">
        <f aca="false">Parameters!$E$11*IF($N46="V",Parameters!$I$11,IF($N46="F",Parameters!$J$11,Parameters!$K$11))*(1-Parameters!$L$11*$P46)*IF($D46="V1",Parameters!$M$11,IF($D46="V2",Parameters!$N$11,Parameters!$O$11))</f>
        <v>1.00170982142857</v>
      </c>
      <c r="BD46" s="46" t="n">
        <f aca="false">BC46*(1+INDEX(Response_Table!$K$4:$K$21,MATCH($F46&amp;"|mid",Response_Table!$A$4:$A$21,0))*$R46*INDEX(Parameters!$X$11:$AA$11,1,MATCH($E46,Parameters!$X$3:$AA$3,0)))</f>
        <v>0.936149688134127</v>
      </c>
      <c r="BE46" s="46" t="n">
        <f aca="false">MAX(0,MIN(BC46*(1+INDEX(Response_Table!$K$4:$K$21,MATCH($F46&amp;"|low",Response_Table!$A$4:$A$21,0))*$R46*INDEX(Parameters!$X$11:$AA$11,1,MATCH($E46,Parameters!$X$3:$AA$3,0))),BC46*(1+INDEX(Response_Table!$K$4:$K$21,MATCH($F46&amp;"|high",Response_Table!$A$4:$A$21,0))*$R46*INDEX(Parameters!$X$11:$AA$11,1,MATCH($E46,Parameters!$X$3:$AA$3,0))))*(1-Inputs_General!$C$22*Parameters!$F$11))</f>
        <v>0.748450819909097</v>
      </c>
      <c r="BF46" s="46" t="n">
        <f aca="false">MAX(BC46*(1+INDEX(Response_Table!$K$4:$K$21,MATCH($F46&amp;"|low",Response_Table!$A$4:$A$21,0))*$R46*INDEX(Parameters!$X$11:$AA$11,1,MATCH($E46,Parameters!$X$3:$AA$3,0))),BC46*(1+INDEX(Response_Table!$K$4:$K$21,MATCH($F46&amp;"|high",Response_Table!$A$4:$A$21,0))*$R46*INDEX(Parameters!$X$11:$AA$11,1,MATCH($E46,Parameters!$X$3:$AA$3,0))))*(1+Inputs_General!$C$22*Parameters!$F$11)</f>
        <v>1.14022428127016</v>
      </c>
      <c r="BG46" s="45" t="n">
        <f aca="false">IF(BC46=0,0,BD46/BC46-1)</f>
        <v>-0.0654482285108751</v>
      </c>
      <c r="BH46" s="46" t="n">
        <f aca="false">Parameters!$E$12*IF($N46="V",Parameters!$I$12,IF($N46="F",Parameters!$J$12,Parameters!$K$12))*(1-Parameters!$L$12*$P46)*IF($D46="V1",Parameters!$M$12,IF($D46="V2",Parameters!$N$12,Parameters!$O$12))</f>
        <v>0.373343142857143</v>
      </c>
      <c r="BI46" s="46" t="n">
        <f aca="false">BH46*(1+INDEX(Response_Table!$L$4:$L$21,MATCH($F46&amp;"|mid",Response_Table!$A$4:$A$21,0))*$R46*INDEX(Parameters!$X$12:$AA$12,1,MATCH($E46,Parameters!$X$3:$AA$3,0)))</f>
        <v>0.353902555772481</v>
      </c>
      <c r="BJ46" s="46" t="n">
        <f aca="false">MAX(0,MIN(BH46*(1+INDEX(Response_Table!$L$4:$L$21,MATCH($F46&amp;"|low",Response_Table!$A$4:$A$21,0))*$R46*INDEX(Parameters!$X$12:$AA$12,1,MATCH($E46,Parameters!$X$3:$AA$3,0))),BH46*(1+INDEX(Response_Table!$L$4:$L$21,MATCH($F46&amp;"|high",Response_Table!$A$4:$A$21,0))*$R46*INDEX(Parameters!$X$12:$AA$12,1,MATCH($E46,Parameters!$X$3:$AA$3,0))))*(1-Inputs_General!$C$22*Parameters!$F$12))</f>
        <v>0.274393603224165</v>
      </c>
      <c r="BK46" s="46" t="n">
        <f aca="false">MAX(BH46*(1+INDEX(Response_Table!$L$4:$L$21,MATCH($F46&amp;"|low",Response_Table!$A$4:$A$21,0))*$R46*INDEX(Parameters!$X$12:$AA$12,1,MATCH($E46,Parameters!$X$3:$AA$3,0))),BH46*(1+INDEX(Response_Table!$L$4:$L$21,MATCH($F46&amp;"|high",Response_Table!$A$4:$A$21,0))*$R46*INDEX(Parameters!$X$12:$AA$12,1,MATCH($E46,Parameters!$X$3:$AA$3,0))))*(1+Inputs_General!$C$22*Parameters!$F$12)</f>
        <v>0.43904778260664</v>
      </c>
      <c r="BL46" s="45" t="n">
        <f aca="false">IF(BH46=0,0,BI46/BH46-1)</f>
        <v>-0.052071632910907</v>
      </c>
      <c r="BM46" s="46" t="n">
        <f aca="false">Parameters!$E$13*IF($N46="V",Parameters!$I$13,IF($N46="F",Parameters!$J$13,Parameters!$K$13))*(1-Parameters!$L$13*$P46)*IF($D46="V1",Parameters!$M$13,IF($D46="V2",Parameters!$N$13,Parameters!$O$13))</f>
        <v>0.262276071428571</v>
      </c>
      <c r="BN46" s="46" t="n">
        <f aca="false">BM46*(1+INDEX(Response_Table!$M$4:$M$21,MATCH($F46&amp;"|mid",Response_Table!$A$4:$A$21,0))*$R46*INDEX(Parameters!$X$13:$AA$13,1,MATCH($E46,Parameters!$X$3:$AA$3,0)))</f>
        <v>0.26977285547991</v>
      </c>
      <c r="BO46" s="46" t="n">
        <f aca="false">MAX(0,MIN(BM46*(1+INDEX(Response_Table!$M$4:$M$21,MATCH($F46&amp;"|low",Response_Table!$A$4:$A$21,0))*$R46*INDEX(Parameters!$X$13:$AA$13,1,MATCH($E46,Parameters!$X$3:$AA$3,0))),BM46*(1+INDEX(Response_Table!$M$4:$M$21,MATCH($F46&amp;"|high",Response_Table!$A$4:$A$21,0))*$R46*INDEX(Parameters!$X$13:$AA$13,1,MATCH($E46,Parameters!$X$3:$AA$3,0))))*(1-Inputs_General!$C$22*Parameters!$F$13))</f>
        <v>0.213460690242096</v>
      </c>
      <c r="BP46" s="46" t="n">
        <f aca="false">MAX(BM46*(1+INDEX(Response_Table!$M$4:$M$21,MATCH($F46&amp;"|low",Response_Table!$A$4:$A$21,0))*$R46*INDEX(Parameters!$X$13:$AA$13,1,MATCH($E46,Parameters!$X$3:$AA$3,0))),BM46*(1+INDEX(Response_Table!$M$4:$M$21,MATCH($F46&amp;"|high",Response_Table!$A$4:$A$21,0))*$R46*INDEX(Parameters!$X$13:$AA$13,1,MATCH($E46,Parameters!$X$3:$AA$3,0))))*(1+Inputs_General!$C$22*Parameters!$F$13)</f>
        <v>0.3232796492781</v>
      </c>
      <c r="BQ46" s="45" t="n">
        <f aca="false">IF(BM46=0,0,BN46/BM46-1)</f>
        <v>0.0285835608658662</v>
      </c>
      <c r="BR46" s="44" t="n">
        <f aca="false">Parameters!$E$14*IF($N46="V",Parameters!$I$14,IF($N46="F",Parameters!$J$14,Parameters!$K$14))*(1-Parameters!$L$14*$P46)*IF($D46="V1",Parameters!$M$14,IF($D46="V2",Parameters!$N$14,Parameters!$O$14))*INDEX(Context!$AC$4:$AC$51,$K46)</f>
        <v>17.25</v>
      </c>
      <c r="BS46" s="44" t="n">
        <f aca="false">BR46*(1+INDEX(Response_Table!$N$4:$N$21,MATCH($F46&amp;"|mid",Response_Table!$A$4:$A$21,0))*$R46*INDEX(Parameters!$X$14:$AA$14,1,MATCH($E46,Parameters!$X$3:$AA$3,0)))</f>
        <v>18.2298934556871</v>
      </c>
      <c r="BT46" s="44" t="n">
        <f aca="false">MAX(0,MIN(BR46*(1+INDEX(Response_Table!$N$4:$N$21,MATCH($F46&amp;"|low",Response_Table!$A$4:$A$21,0))*$R46*INDEX(Parameters!$X$14:$AA$14,1,MATCH($E46,Parameters!$X$3:$AA$3,0))),BR46*(1+INDEX(Response_Table!$N$4:$N$21,MATCH($F46&amp;"|high",Response_Table!$A$4:$A$21,0))*$R46*INDEX(Parameters!$X$14:$AA$14,1,MATCH($E46,Parameters!$X$3:$AA$3,0))))*(1-Inputs_General!$C$22*Parameters!$F$14))</f>
        <v>8.90755090467869</v>
      </c>
      <c r="BU46" s="44" t="n">
        <f aca="false">MAX(BR46*(1+INDEX(Response_Table!$N$4:$N$21,MATCH($F46&amp;"|low",Response_Table!$A$4:$A$21,0))*$R46*INDEX(Parameters!$X$14:$AA$14,1,MATCH($E46,Parameters!$X$3:$AA$3,0))),BR46*(1+INDEX(Response_Table!$N$4:$N$21,MATCH($F46&amp;"|high",Response_Table!$A$4:$A$21,0))*$R46*INDEX(Parameters!$X$14:$AA$14,1,MATCH($E46,Parameters!$X$3:$AA$3,0))))*(1+Inputs_General!$C$22*Parameters!$F$14)</f>
        <v>28.1313265746265</v>
      </c>
      <c r="BV46" s="45" t="n">
        <f aca="false">IF(BR46=0,0,BS46/BR46-1)</f>
        <v>0.0568054177209894</v>
      </c>
      <c r="BW46" s="43" t="n">
        <f aca="false">Parameters!$E$15*IF($N46="V",Parameters!$I$15,IF($N46="F",Parameters!$J$15,Parameters!$K$15))*(1-Parameters!$L$15*$P46)*IF($D46="V1",Parameters!$M$15,IF($D46="V2",Parameters!$N$15,Parameters!$O$15))</f>
        <v>8.34931028571429</v>
      </c>
      <c r="BX46" s="43" t="n">
        <f aca="false">BW46*(1+INDEX(Response_Table!$O$4:$O$21,MATCH($F46&amp;"|mid",Response_Table!$A$4:$A$21,0))*$R46*INDEX(Parameters!$X$15:$AA$15,1,MATCH($E46,Parameters!$X$3:$AA$3,0)))</f>
        <v>8.23073877109875</v>
      </c>
      <c r="BY46" s="43" t="n">
        <f aca="false">MAX(0,MIN(BW46*(1+INDEX(Response_Table!$O$4:$O$21,MATCH($F46&amp;"|low",Response_Table!$A$4:$A$21,0))*$R46*INDEX(Parameters!$X$15:$AA$15,1,MATCH($E46,Parameters!$X$3:$AA$3,0))),BW46*(1+INDEX(Response_Table!$O$4:$O$21,MATCH($F46&amp;"|high",Response_Table!$A$4:$A$21,0))*$R46*INDEX(Parameters!$X$15:$AA$15,1,MATCH($E46,Parameters!$X$3:$AA$3,0))))*(1-Inputs_General!$C$22*Parameters!$F$15))</f>
        <v>6.5471425246867</v>
      </c>
      <c r="BZ46" s="43" t="n">
        <f aca="false">MAX(BW46*(1+INDEX(Response_Table!$O$4:$O$21,MATCH($F46&amp;"|low",Response_Table!$A$4:$A$21,0))*$R46*INDEX(Parameters!$X$15:$AA$15,1,MATCH($E46,Parameters!$X$3:$AA$3,0))),BW46*(1+INDEX(Response_Table!$O$4:$O$21,MATCH($F46&amp;"|high",Response_Table!$A$4:$A$21,0))*$R46*INDEX(Parameters!$X$15:$AA$15,1,MATCH($E46,Parameters!$X$3:$AA$3,0))))*(1+Inputs_General!$C$22*Parameters!$F$15)</f>
        <v>9.94871163257651</v>
      </c>
      <c r="CA46" s="45" t="n">
        <f aca="false">IF(BW46=0,0,BX46/BW46-1)</f>
        <v>-0.0142013544302474</v>
      </c>
      <c r="CB46" s="46" t="n">
        <f aca="false">BD46+BI46</f>
        <v>1.29005224390661</v>
      </c>
      <c r="CC46" s="43" t="n">
        <f aca="false">BD46/BI46</f>
        <v>2.64521878371504</v>
      </c>
      <c r="CD46" s="46" t="n">
        <f aca="false">BN46/CB46</f>
        <v>0.20911777546541</v>
      </c>
      <c r="CE46" s="43" t="n">
        <f aca="false">AE46/AO46</f>
        <v>2.38315230261176</v>
      </c>
      <c r="CF46" s="44" t="n">
        <f aca="false">AE46/AJ46</f>
        <v>52.9400195703505</v>
      </c>
      <c r="CG46" s="44" t="n">
        <f aca="false">INDEX(Context!$V$4:$V$51,$K46)</f>
        <v>32.7871428571429</v>
      </c>
      <c r="CH46" s="44" t="n">
        <f aca="false">INDEX(Context!$Y$4:$Y$51,$K46)</f>
        <v>28.36912210206</v>
      </c>
      <c r="CI46" s="44" t="n">
        <f aca="false">INDEX(Context!$Z$4:$Z$51,$K46)</f>
        <v>36.7871428571429</v>
      </c>
      <c r="CJ46" s="43" t="n">
        <f aca="false">INDEX(Context!$AA$4:$AA$51,$K46)</f>
        <v>0.347678571428571</v>
      </c>
      <c r="CK46" s="43" t="n">
        <f aca="false">MAX(0,MIN(1,1-(1-CJ46)*AO46/AN46))</f>
        <v>0.383230576276312</v>
      </c>
      <c r="CL46" s="44" t="n">
        <f aca="false">CH46+CK46*(CI46-CH46)</f>
        <v>31.5951650471364</v>
      </c>
      <c r="CM46" s="44" t="n">
        <f aca="false">CH46+MAX(0,MIN(1,1-(1-CJ46)*AQ46/AN46))*(CI46-CH46)</f>
        <v>29.733238642005</v>
      </c>
      <c r="CN46" s="44" t="n">
        <f aca="false">CH46+MAX(0,MIN(1,1-(1-CJ46)*AP46/AN46))*(CI46-CH46)</f>
        <v>33.2981067634254</v>
      </c>
      <c r="CO46" s="44" t="n">
        <f aca="false">CL46-CG46</f>
        <v>-1.19197781000647</v>
      </c>
      <c r="CP46" s="44" t="n">
        <f aca="false">CL46-(CH46+CJ46*(CI46-CH46))</f>
        <v>0.299277514693088</v>
      </c>
      <c r="CQ46" s="46" t="n">
        <f aca="false">CL46/CG46</f>
        <v>0.963644962441526</v>
      </c>
      <c r="CR46" s="43" t="n">
        <f aca="false">IF(CL46-CH46&lt;=0,"n/a",(CI46-CL46)/(CL46-CH46))</f>
        <v>1.6093951315591</v>
      </c>
      <c r="CS46" s="43" t="n">
        <f aca="false">IF(CI46-CL46&lt;=0,"n/a",(CL46-CH46)/(CI46-CL46))</f>
        <v>0.621351450859211</v>
      </c>
      <c r="CT46" s="43" t="n">
        <f aca="false">Inputs_General!$C$23+Inputs_General!$C$24*$I46</f>
        <v>0.66</v>
      </c>
      <c r="CU46" s="44" t="n">
        <f aca="false">3.29*CT46</f>
        <v>2.1714</v>
      </c>
    </row>
    <row r="47" customFormat="false" ht="15" hidden="false" customHeight="false" outlineLevel="0" collapsed="false">
      <c r="A47" s="9" t="str">
        <f aca="false">B47&amp;"|"&amp;E47&amp;"|"&amp;F47</f>
        <v>D1V2|13/03/2026|Low</v>
      </c>
      <c r="B47" s="7" t="s">
        <v>343</v>
      </c>
      <c r="C47" s="9" t="s">
        <v>127</v>
      </c>
      <c r="D47" s="9" t="s">
        <v>146</v>
      </c>
      <c r="E47" s="9" t="s">
        <v>164</v>
      </c>
      <c r="F47" s="7" t="s">
        <v>279</v>
      </c>
      <c r="G47" s="9" t="s">
        <v>280</v>
      </c>
      <c r="H47" s="41" t="n">
        <f aca="false">INDEX(Severity_Classes!$C$4:$C$9,MATCH(F47,Severity_Classes!$A$4:$A$9,0))</f>
        <v>0.06</v>
      </c>
      <c r="I47" s="41" t="n">
        <f aca="false">INDEX(Severity_Classes!$D$4:$D$9,MATCH(F47,Severity_Classes!$A$4:$A$9,0))</f>
        <v>0.08</v>
      </c>
      <c r="J47" s="41" t="n">
        <f aca="false">INDEX(Severity_Classes!$E$4:$E$9,MATCH(F47,Severity_Classes!$A$4:$A$9,0))</f>
        <v>0.1</v>
      </c>
      <c r="K47" s="42" t="n">
        <f aca="false">MATCH(B47&amp;"|"&amp;E47,Context!$A$4:$A$51,0)</f>
        <v>8</v>
      </c>
      <c r="L47" s="42" t="n">
        <f aca="false">INDEX(Context!$H$4:$H$51,K47)</f>
        <v>94</v>
      </c>
      <c r="M47" s="42" t="n">
        <f aca="false">INDEX(Context!$I$4:$I$51,K47)</f>
        <v>36</v>
      </c>
      <c r="N47" s="9" t="str">
        <f aca="false">INDEX(Context!$L$4:$L$51,K47)</f>
        <v>P</v>
      </c>
      <c r="O47" s="9" t="str">
        <f aca="false">INDEX(Context!$M$4:$M$51,K47)</f>
        <v>5th fully expanded leaf from top</v>
      </c>
      <c r="P47" s="43" t="n">
        <f aca="false">INDEX(Context!$R$4:$R$51,K47)</f>
        <v>0.953571428571428</v>
      </c>
      <c r="Q47" s="43" t="n">
        <f aca="false">INDEX(Context!$U$4:$U$51,K47)</f>
        <v>2.18945736698217</v>
      </c>
      <c r="R47" s="43" t="n">
        <f aca="false">INDEX(Context!$AD$4:$AD$51,K47)</f>
        <v>1.1</v>
      </c>
      <c r="S47" s="9" t="str">
        <f aca="false">INDEX(Context!$AI$4:$AN$51,K47,MATCH(F47,Severity_Classes!$A$4:$A$9,0))</f>
        <v>Possible</v>
      </c>
      <c r="T47" s="44" t="n">
        <f aca="false">Parameters!$E$4*IF($N47="V",Parameters!$I$4,IF($N47="F",Parameters!$J$4,Parameters!$K$4))*(1-Parameters!$L$4*$P47)*IF($D47="V1",Parameters!$M$4,IF($D47="V2",Parameters!$N$4,Parameters!$O$4))</f>
        <v>77.8046607142857</v>
      </c>
      <c r="U47" s="44" t="n">
        <f aca="false">MIN(100,T47*(1+INDEX(Response_Table!$E$4:$E$21,MATCH($F47&amp;"|mid",Response_Table!$A$4:$A$21,0))*$R47*INDEX(Parameters!$X$4:$AA$4,1,MATCH($E47,Parameters!$X$3:$AA$3,0))))</f>
        <v>76.6134334119642</v>
      </c>
      <c r="V47" s="44" t="n">
        <f aca="false">MAX(0,MIN(T47*(1+INDEX(Response_Table!$E$4:$E$21,MATCH($F47&amp;"|low",Response_Table!$A$4:$A$21,0))*$R47*INDEX(Parameters!$X$4:$AA$4,1,MATCH($E47,Parameters!$X$3:$AA$3,0))),T47*(1+INDEX(Response_Table!$E$4:$E$21,MATCH($F47&amp;"|high",Response_Table!$A$4:$A$21,0))*$R47*INDEX(Parameters!$X$4:$AA$4,1,MATCH($E47,Parameters!$X$3:$AA$3,0))))*(1-Inputs_General!$C$22*Parameters!$F$4))</f>
        <v>71.1834548541513</v>
      </c>
      <c r="W47" s="44" t="n">
        <f aca="false">MIN(100,MAX(T47*(1+INDEX(Response_Table!$E$4:$E$21,MATCH($F47&amp;"|low",Response_Table!$A$4:$A$21,0))*$R47*INDEX(Parameters!$X$4:$AA$4,1,MATCH($E47,Parameters!$X$3:$AA$3,0))),T47*(1+INDEX(Response_Table!$E$4:$E$21,MATCH($F47&amp;"|high",Response_Table!$A$4:$A$21,0))*$R47*INDEX(Parameters!$X$4:$AA$4,1,MATCH($E47,Parameters!$X$3:$AA$3,0))))*(1+Inputs_General!$C$22*Parameters!$F$4))</f>
        <v>82.0422529467218</v>
      </c>
      <c r="X47" s="45" t="n">
        <f aca="false">IF(T47=0,0,U47/T47-1)</f>
        <v>-0.0153104877186722</v>
      </c>
      <c r="Y47" s="44" t="n">
        <f aca="false">Parameters!$E$5*IF($N47="V",Parameters!$I$5,IF($N47="F",Parameters!$J$5,Parameters!$K$5))*(1-Parameters!$L$5*$P47)*IF($D47="V1",Parameters!$M$5,IF($D47="V2",Parameters!$N$5,Parameters!$O$5))</f>
        <v>58.6602514285714</v>
      </c>
      <c r="Z47" s="44" t="n">
        <f aca="false">MIN(100,Y47*(1+INDEX(Response_Table!$F$4:$F$21,MATCH($F47&amp;"|mid",Response_Table!$A$4:$A$21,0))*$R47*INDEX(Parameters!$X$5:$AA$5,1,MATCH($E47,Parameters!$X$3:$AA$3,0))))</f>
        <v>55.6953259590608</v>
      </c>
      <c r="AA47" s="44" t="n">
        <f aca="false">MAX(0,MIN(Y47*(1+INDEX(Response_Table!$F$4:$F$21,MATCH($F47&amp;"|low",Response_Table!$A$4:$A$21,0))*$R47*INDEX(Parameters!$X$5:$AA$5,1,MATCH($E47,Parameters!$X$3:$AA$3,0))),Y47*(1+INDEX(Response_Table!$F$4:$F$21,MATCH($F47&amp;"|high",Response_Table!$A$4:$A$21,0))*$R47*INDEX(Parameters!$X$5:$AA$5,1,MATCH($E47,Parameters!$X$3:$AA$3,0))))*(1-Inputs_General!$C$22*Parameters!$F$5))</f>
        <v>48.321780817469</v>
      </c>
      <c r="AB47" s="44" t="n">
        <f aca="false">MIN(100,MAX(Y47*(1+INDEX(Response_Table!$F$4:$F$21,MATCH($F47&amp;"|low",Response_Table!$A$4:$A$21,0))*$R47*INDEX(Parameters!$X$5:$AA$5,1,MATCH($E47,Parameters!$X$3:$AA$3,0))),Y47*(1+INDEX(Response_Table!$F$4:$F$21,MATCH($F47&amp;"|high",Response_Table!$A$4:$A$21,0))*$R47*INDEX(Parameters!$X$5:$AA$5,1,MATCH($E47,Parameters!$X$3:$AA$3,0))))*(1+Inputs_General!$C$22*Parameters!$F$5))</f>
        <v>63.1480350325201</v>
      </c>
      <c r="AC47" s="45" t="n">
        <f aca="false">IF(Y47=0,0,Z47/Y47-1)</f>
        <v>-0.0505440293436337</v>
      </c>
      <c r="AD47" s="44" t="n">
        <f aca="false">Parameters!$E$6*IF($N47="V",Parameters!$I$6,IF($N47="F",Parameters!$J$6,Parameters!$K$6))*(1-Parameters!$L$6*$P47)*IF($D47="V1",Parameters!$M$6,IF($D47="V2",Parameters!$N$6,Parameters!$O$6))</f>
        <v>14.3019785714286</v>
      </c>
      <c r="AE47" s="44" t="n">
        <f aca="false">AD47*(1+INDEX(Response_Table!$G$4:$G$21,MATCH($F47&amp;"|mid",Response_Table!$A$4:$A$21,0))*$R47*INDEX(Parameters!$X$6:$AA$6,1,MATCH($E47,Parameters!$X$3:$AA$3,0)))</f>
        <v>10.8009414682293</v>
      </c>
      <c r="AF47" s="44" t="n">
        <f aca="false">MAX(0,MIN(AD47*(1+INDEX(Response_Table!$G$4:$G$21,MATCH($F47&amp;"|low",Response_Table!$A$4:$A$21,0))*$R47*INDEX(Parameters!$X$6:$AA$6,1,MATCH($E47,Parameters!$X$3:$AA$3,0))),AD47*(1+INDEX(Response_Table!$G$4:$G$21,MATCH($F47&amp;"|high",Response_Table!$A$4:$A$21,0))*$R47*INDEX(Parameters!$X$6:$AA$6,1,MATCH($E47,Parameters!$X$3:$AA$3,0))))*(1-Inputs_General!$C$22*Parameters!$F$6))</f>
        <v>8.10779874646909</v>
      </c>
      <c r="AG47" s="44" t="n">
        <f aca="false">MAX(AD47*(1+INDEX(Response_Table!$G$4:$G$21,MATCH($F47&amp;"|low",Response_Table!$A$4:$A$21,0))*$R47*INDEX(Parameters!$X$6:$AA$6,1,MATCH($E47,Parameters!$X$3:$AA$3,0))),AD47*(1+INDEX(Response_Table!$G$4:$G$21,MATCH($F47&amp;"|high",Response_Table!$A$4:$A$21,0))*$R47*INDEX(Parameters!$X$6:$AA$6,1,MATCH($E47,Parameters!$X$3:$AA$3,0))))*(1+Inputs_General!$C$22*Parameters!$F$6)</f>
        <v>13.8470541005926</v>
      </c>
      <c r="AH47" s="45" t="n">
        <f aca="false">IF(AD47=0,0,AE47/AD47-1)</f>
        <v>-0.244793899369519</v>
      </c>
      <c r="AI47" s="46" t="n">
        <f aca="false">Parameters!$E$7*IF($N47="V",Parameters!$I$7,IF($N47="F",Parameters!$J$7,Parameters!$K$7))*(1-Parameters!$L$7*$P47)*IF($D47="V1",Parameters!$M$7,IF($D47="V2",Parameters!$N$7,Parameters!$O$7))*POWER($Q47/Inputs_General!$C$26,-Inputs_General!$C$25)</f>
        <v>0.258501574676089</v>
      </c>
      <c r="AJ47" s="46" t="n">
        <f aca="false">AI47*(1+INDEX(Response_Table!$H$4:$H$21,MATCH($F47&amp;"|mid",Response_Table!$A$4:$A$21,0))*$R47*INDEX(Parameters!$X$7:$AA$7,1,MATCH($E47,Parameters!$X$3:$AA$3,0)))</f>
        <v>0.219064295433084</v>
      </c>
      <c r="AK47" s="46" t="n">
        <f aca="false">MAX(0,MIN(AI47*(1+INDEX(Response_Table!$H$4:$H$21,MATCH($F47&amp;"|low",Response_Table!$A$4:$A$21,0))*$R47*INDEX(Parameters!$X$7:$AA$7,1,MATCH($E47,Parameters!$X$3:$AA$3,0))),AI47*(1+INDEX(Response_Table!$H$4:$H$21,MATCH($F47&amp;"|high",Response_Table!$A$4:$A$21,0))*$R47*INDEX(Parameters!$X$7:$AA$7,1,MATCH($E47,Parameters!$X$3:$AA$3,0))))*(1-Inputs_General!$C$22*Parameters!$F$7))</f>
        <v>0.148239483497596</v>
      </c>
      <c r="AL47" s="46" t="n">
        <f aca="false">MAX(AI47*(1+INDEX(Response_Table!$H$4:$H$21,MATCH($F47&amp;"|low",Response_Table!$A$4:$A$21,0))*$R47*INDEX(Parameters!$X$7:$AA$7,1,MATCH($E47,Parameters!$X$3:$AA$3,0))),AI47*(1+INDEX(Response_Table!$H$4:$H$21,MATCH($F47&amp;"|high",Response_Table!$A$4:$A$21,0))*$R47*INDEX(Parameters!$X$7:$AA$7,1,MATCH($E47,Parameters!$X$3:$AA$3,0))))*(1+Inputs_General!$C$22*Parameters!$F$7)</f>
        <v>0.295581818772371</v>
      </c>
      <c r="AM47" s="45" t="n">
        <f aca="false">IF(AI47=0,0,AJ47/AI47-1)</f>
        <v>-0.152561079337414</v>
      </c>
      <c r="AN47" s="43" t="n">
        <f aca="false">AI47*$Q47/Inputs_General!$C$13*1000</f>
        <v>5.69967952720096</v>
      </c>
      <c r="AO47" s="43" t="n">
        <f aca="false">AJ47*$Q47/Inputs_General!$C$13*1000*(1+Inputs_General!$C$21*$I47)</f>
        <v>4.92673287198689</v>
      </c>
      <c r="AP47" s="43" t="n">
        <f aca="false">AK47*$Q47/Inputs_General!$C$13*1000*(1+Inputs_General!$C$21*$H47)</f>
        <v>3.31754773071264</v>
      </c>
      <c r="AQ47" s="43" t="n">
        <f aca="false">AL47*$Q47/Inputs_General!$C$13*1000*(1+Inputs_General!$C$21*$J47)</f>
        <v>6.6801901855346</v>
      </c>
      <c r="AR47" s="45" t="n">
        <f aca="false">IF(AN47=0,0,AO47/AN47-1)</f>
        <v>-0.135612300924163</v>
      </c>
      <c r="AS47" s="42" t="n">
        <f aca="false">Parameters!$E$9*IF($N47="V",Parameters!$I$9,IF($N47="F",Parameters!$J$9,Parameters!$K$9))*(1-Parameters!$L$9*$P47)*IF($D47="V1",Parameters!$M$9,IF($D47="V2",Parameters!$N$9,Parameters!$O$9))</f>
        <v>293.55</v>
      </c>
      <c r="AT47" s="42" t="n">
        <f aca="false">AS47*(1+INDEX(Response_Table!$I$4:$I$21,MATCH($F47&amp;"|mid",Response_Table!$A$4:$A$21,0))*$R47*INDEX(Parameters!$X$9:$AA$9,1,MATCH($E47,Parameters!$X$3:$AA$3,0)))</f>
        <v>320.078353555116</v>
      </c>
      <c r="AU47" s="42" t="n">
        <f aca="false">MAX(0,MIN(AS47*(1+INDEX(Response_Table!$I$4:$I$21,MATCH($F47&amp;"|low",Response_Table!$A$4:$A$21,0))*$R47*INDEX(Parameters!$X$9:$AA$9,1,MATCH($E47,Parameters!$X$3:$AA$3,0))),AS47*(1+INDEX(Response_Table!$I$4:$I$21,MATCH($F47&amp;"|high",Response_Table!$A$4:$A$21,0))*$R47*INDEX(Parameters!$X$9:$AA$9,1,MATCH($E47,Parameters!$X$3:$AA$3,0))))*(1-Inputs_General!$C$22*Parameters!$F$9))</f>
        <v>283.206196823926</v>
      </c>
      <c r="AV47" s="42" t="n">
        <f aca="false">MAX(AS47*(1+INDEX(Response_Table!$I$4:$I$21,MATCH($F47&amp;"|low",Response_Table!$A$4:$A$21,0))*$R47*INDEX(Parameters!$X$9:$AA$9,1,MATCH($E47,Parameters!$X$3:$AA$3,0))),AS47*(1+INDEX(Response_Table!$I$4:$I$21,MATCH($F47&amp;"|high",Response_Table!$A$4:$A$21,0))*$R47*INDEX(Parameters!$X$9:$AA$9,1,MATCH($E47,Parameters!$X$3:$AA$3,0))))*(1+Inputs_General!$C$22*Parameters!$F$9)</f>
        <v>357.612118257346</v>
      </c>
      <c r="AW47" s="45" t="n">
        <f aca="false">IF(AS47=0,0,AT47/AS47-1)</f>
        <v>0.0903708177656819</v>
      </c>
      <c r="AX47" s="43" t="n">
        <f aca="false">INDEX(Context!$AB$4:$AB$51,$K47)</f>
        <v>2.6539155416324</v>
      </c>
      <c r="AY47" s="43" t="n">
        <f aca="false">AX47*(1+INDEX(Response_Table!$J$4:$J$21,MATCH($F47&amp;"|mid",Response_Table!$A$4:$A$21,0))*$R47*INDEX(Parameters!$X$10:$AA$10,1,MATCH($E47,Parameters!$X$3:$AA$3,0)))</f>
        <v>2.41578427217736</v>
      </c>
      <c r="AZ47" s="43" t="n">
        <f aca="false">MAX(0,MIN(AX47*(1+INDEX(Response_Table!$J$4:$J$21,MATCH($F47&amp;"|low",Response_Table!$A$4:$A$21,0))*$R47*INDEX(Parameters!$X$10:$AA$10,1,MATCH($E47,Parameters!$X$3:$AA$3,0))),AX47*(1+INDEX(Response_Table!$J$4:$J$21,MATCH($F47&amp;"|high",Response_Table!$A$4:$A$21,0))*$R47*INDEX(Parameters!$X$10:$AA$10,1,MATCH($E47,Parameters!$X$3:$AA$3,0))))*(1-Inputs_General!$C$22*Parameters!$F$10))</f>
        <v>1.89680764835212</v>
      </c>
      <c r="BA47" s="43" t="n">
        <f aca="false">MAX(AX47*(1+INDEX(Response_Table!$J$4:$J$21,MATCH($F47&amp;"|low",Response_Table!$A$4:$A$21,0))*$R47*INDEX(Parameters!$X$10:$AA$10,1,MATCH($E47,Parameters!$X$3:$AA$3,0))),AX47*(1+INDEX(Response_Table!$J$4:$J$21,MATCH($F47&amp;"|high",Response_Table!$A$4:$A$21,0))*$R47*INDEX(Parameters!$X$10:$AA$10,1,MATCH($E47,Parameters!$X$3:$AA$3,0))))*(1+Inputs_General!$C$22*Parameters!$F$10)</f>
        <v>2.95869068977879</v>
      </c>
      <c r="BB47" s="45" t="n">
        <f aca="false">IF(AX47=0,0,AY47/AX47-1)</f>
        <v>-0.089728277226399</v>
      </c>
      <c r="BC47" s="46" t="n">
        <f aca="false">Parameters!$E$11*IF($N47="V",Parameters!$I$11,IF($N47="F",Parameters!$J$11,Parameters!$K$11))*(1-Parameters!$L$11*$P47)*IF($D47="V1",Parameters!$M$11,IF($D47="V2",Parameters!$N$11,Parameters!$O$11))</f>
        <v>1.00170982142857</v>
      </c>
      <c r="BD47" s="46" t="n">
        <f aca="false">BC47*(1+INDEX(Response_Table!$K$4:$K$21,MATCH($F47&amp;"|mid",Response_Table!$A$4:$A$21,0))*$R47*INDEX(Parameters!$X$11:$AA$11,1,MATCH($E47,Parameters!$X$3:$AA$3,0)))</f>
        <v>0.839945212630404</v>
      </c>
      <c r="BE47" s="46" t="n">
        <f aca="false">MAX(0,MIN(BC47*(1+INDEX(Response_Table!$K$4:$K$21,MATCH($F47&amp;"|low",Response_Table!$A$4:$A$21,0))*$R47*INDEX(Parameters!$X$11:$AA$11,1,MATCH($E47,Parameters!$X$3:$AA$3,0))),BC47*(1+INDEX(Response_Table!$K$4:$K$21,MATCH($F47&amp;"|high",Response_Table!$A$4:$A$21,0))*$R47*INDEX(Parameters!$X$11:$AA$11,1,MATCH($E47,Parameters!$X$3:$AA$3,0))))*(1-Inputs_General!$C$22*Parameters!$F$11))</f>
        <v>0.673055066804828</v>
      </c>
      <c r="BF47" s="46" t="n">
        <f aca="false">MAX(BC47*(1+INDEX(Response_Table!$K$4:$K$21,MATCH($F47&amp;"|low",Response_Table!$A$4:$A$21,0))*$R47*INDEX(Parameters!$X$11:$AA$11,1,MATCH($E47,Parameters!$X$3:$AA$3,0))),BC47*(1+INDEX(Response_Table!$K$4:$K$21,MATCH($F47&amp;"|high",Response_Table!$A$4:$A$21,0))*$R47*INDEX(Parameters!$X$11:$AA$11,1,MATCH($E47,Parameters!$X$3:$AA$3,0))))*(1+Inputs_General!$C$22*Parameters!$F$11)</f>
        <v>1.02078983072871</v>
      </c>
      <c r="BG47" s="45" t="n">
        <f aca="false">IF(BC47=0,0,BD47/BC47-1)</f>
        <v>-0.161488492313542</v>
      </c>
      <c r="BH47" s="46" t="n">
        <f aca="false">Parameters!$E$12*IF($N47="V",Parameters!$I$12,IF($N47="F",Parameters!$J$12,Parameters!$K$12))*(1-Parameters!$L$12*$P47)*IF($D47="V1",Parameters!$M$12,IF($D47="V2",Parameters!$N$12,Parameters!$O$12))</f>
        <v>0.373343142857143</v>
      </c>
      <c r="BI47" s="46" t="n">
        <f aca="false">BH47*(1+INDEX(Response_Table!$L$4:$L$21,MATCH($F47&amp;"|mid",Response_Table!$A$4:$A$21,0))*$R47*INDEX(Parameters!$X$12:$AA$12,1,MATCH($E47,Parameters!$X$3:$AA$3,0)))</f>
        <v>0.325148222763867</v>
      </c>
      <c r="BJ47" s="46" t="n">
        <f aca="false">MAX(0,MIN(BH47*(1+INDEX(Response_Table!$L$4:$L$21,MATCH($F47&amp;"|low",Response_Table!$A$4:$A$21,0))*$R47*INDEX(Parameters!$X$12:$AA$12,1,MATCH($E47,Parameters!$X$3:$AA$3,0))),BH47*(1+INDEX(Response_Table!$L$4:$L$21,MATCH($F47&amp;"|high",Response_Table!$A$4:$A$21,0))*$R47*INDEX(Parameters!$X$12:$AA$12,1,MATCH($E47,Parameters!$X$3:$AA$3,0))))*(1-Inputs_General!$C$22*Parameters!$F$12))</f>
        <v>0.25265934690402</v>
      </c>
      <c r="BK47" s="46" t="n">
        <f aca="false">MAX(BH47*(1+INDEX(Response_Table!$L$4:$L$21,MATCH($F47&amp;"|low",Response_Table!$A$4:$A$21,0))*$R47*INDEX(Parameters!$X$12:$AA$12,1,MATCH($E47,Parameters!$X$3:$AA$3,0))),BH47*(1+INDEX(Response_Table!$L$4:$L$21,MATCH($F47&amp;"|high",Response_Table!$A$4:$A$21,0))*$R47*INDEX(Parameters!$X$12:$AA$12,1,MATCH($E47,Parameters!$X$3:$AA$3,0))))*(1+Inputs_General!$C$22*Parameters!$F$12)</f>
        <v>0.402488284858857</v>
      </c>
      <c r="BL47" s="45" t="n">
        <f aca="false">IF(BH47=0,0,BI47/BH47-1)</f>
        <v>-0.129090144054735</v>
      </c>
      <c r="BM47" s="46" t="n">
        <f aca="false">Parameters!$E$13*IF($N47="V",Parameters!$I$13,IF($N47="F",Parameters!$J$13,Parameters!$K$13))*(1-Parameters!$L$13*$P47)*IF($D47="V1",Parameters!$M$13,IF($D47="V2",Parameters!$N$13,Parameters!$O$13))</f>
        <v>0.262276071428571</v>
      </c>
      <c r="BN47" s="46" t="n">
        <f aca="false">BM47*(1+INDEX(Response_Table!$M$4:$M$21,MATCH($F47&amp;"|mid",Response_Table!$A$4:$A$21,0))*$R47*INDEX(Parameters!$X$13:$AA$13,1,MATCH($E47,Parameters!$X$3:$AA$3,0)))</f>
        <v>0.26584294773351</v>
      </c>
      <c r="BO47" s="46" t="n">
        <f aca="false">MAX(0,MIN(BM47*(1+INDEX(Response_Table!$M$4:$M$21,MATCH($F47&amp;"|low",Response_Table!$A$4:$A$21,0))*$R47*INDEX(Parameters!$X$13:$AA$13,1,MATCH($E47,Parameters!$X$3:$AA$3,0))),BM47*(1+INDEX(Response_Table!$M$4:$M$21,MATCH($F47&amp;"|high",Response_Table!$A$4:$A$21,0))*$R47*INDEX(Parameters!$X$13:$AA$13,1,MATCH($E47,Parameters!$X$3:$AA$3,0))))*(1-Inputs_General!$C$22*Parameters!$F$13))</f>
        <v>0.209652347317448</v>
      </c>
      <c r="BP47" s="46" t="n">
        <f aca="false">MAX(BM47*(1+INDEX(Response_Table!$M$4:$M$21,MATCH($F47&amp;"|low",Response_Table!$A$4:$A$21,0))*$R47*INDEX(Parameters!$X$13:$AA$13,1,MATCH($E47,Parameters!$X$3:$AA$3,0))),BM47*(1+INDEX(Response_Table!$M$4:$M$21,MATCH($F47&amp;"|high",Response_Table!$A$4:$A$21,0))*$R47*INDEX(Parameters!$X$13:$AA$13,1,MATCH($E47,Parameters!$X$3:$AA$3,0))))*(1+Inputs_General!$C$22*Parameters!$F$13)</f>
        <v>0.322208157916436</v>
      </c>
      <c r="BQ47" s="45" t="n">
        <f aca="false">IF(BM47=0,0,BN47/BM47-1)</f>
        <v>0.0135997015873786</v>
      </c>
      <c r="BR47" s="44" t="n">
        <f aca="false">Parameters!$E$14*IF($N47="V",Parameters!$I$14,IF($N47="F",Parameters!$J$14,Parameters!$K$14))*(1-Parameters!$L$14*$P47)*IF($D47="V1",Parameters!$M$14,IF($D47="V2",Parameters!$N$14,Parameters!$O$14))*INDEX(Context!$AC$4:$AC$51,$K47)</f>
        <v>17.25</v>
      </c>
      <c r="BS47" s="44" t="n">
        <f aca="false">BR47*(1+INDEX(Response_Table!$N$4:$N$21,MATCH($F47&amp;"|mid",Response_Table!$A$4:$A$21,0))*$R47*INDEX(Parameters!$X$14:$AA$14,1,MATCH($E47,Parameters!$X$3:$AA$3,0)))</f>
        <v>19.6792418017573</v>
      </c>
      <c r="BT47" s="44" t="n">
        <f aca="false">MAX(0,MIN(BR47*(1+INDEX(Response_Table!$N$4:$N$21,MATCH($F47&amp;"|low",Response_Table!$A$4:$A$21,0))*$R47*INDEX(Parameters!$X$14:$AA$14,1,MATCH($E47,Parameters!$X$3:$AA$3,0))),BR47*(1+INDEX(Response_Table!$N$4:$N$21,MATCH($F47&amp;"|high",Response_Table!$A$4:$A$21,0))*$R47*INDEX(Parameters!$X$14:$AA$14,1,MATCH($E47,Parameters!$X$3:$AA$3,0))))*(1-Inputs_General!$C$22*Parameters!$F$14))</f>
        <v>9.68703973772137</v>
      </c>
      <c r="BU47" s="44" t="n">
        <f aca="false">MAX(BR47*(1+INDEX(Response_Table!$N$4:$N$21,MATCH($F47&amp;"|low",Response_Table!$A$4:$A$21,0))*$R47*INDEX(Parameters!$X$14:$AA$14,1,MATCH($E47,Parameters!$X$3:$AA$3,0))),BR47*(1+INDEX(Response_Table!$N$4:$N$21,MATCH($F47&amp;"|high",Response_Table!$A$4:$A$21,0))*$R47*INDEX(Parameters!$X$14:$AA$14,1,MATCH($E47,Parameters!$X$3:$AA$3,0))))*(1+Inputs_General!$C$22*Parameters!$F$14)</f>
        <v>30.169871736684</v>
      </c>
      <c r="BV47" s="45" t="n">
        <f aca="false">IF(BR47=0,0,BS47/BR47-1)</f>
        <v>0.140825611696075</v>
      </c>
      <c r="BW47" s="43" t="n">
        <f aca="false">Parameters!$E$15*IF($N47="V",Parameters!$I$15,IF($N47="F",Parameters!$J$15,Parameters!$K$15))*(1-Parameters!$L$15*$P47)*IF($D47="V1",Parameters!$M$15,IF($D47="V2",Parameters!$N$15,Parameters!$O$15))</f>
        <v>8.34931028571429</v>
      </c>
      <c r="BX47" s="43" t="n">
        <f aca="false">BW47*(1+INDEX(Response_Table!$O$4:$O$21,MATCH($F47&amp;"|mid",Response_Table!$A$4:$A$21,0))*$R47*INDEX(Parameters!$X$15:$AA$15,1,MATCH($E47,Parameters!$X$3:$AA$3,0)))</f>
        <v>8.05536110365778</v>
      </c>
      <c r="BY47" s="43" t="n">
        <f aca="false">MAX(0,MIN(BW47*(1+INDEX(Response_Table!$O$4:$O$21,MATCH($F47&amp;"|low",Response_Table!$A$4:$A$21,0))*$R47*INDEX(Parameters!$X$15:$AA$15,1,MATCH($E47,Parameters!$X$3:$AA$3,0))),BW47*(1+INDEX(Response_Table!$O$4:$O$21,MATCH($F47&amp;"|high",Response_Table!$A$4:$A$21,0))*$R47*INDEX(Parameters!$X$15:$AA$15,1,MATCH($E47,Parameters!$X$3:$AA$3,0))))*(1-Inputs_General!$C$22*Parameters!$F$15))</f>
        <v>6.41458152332913</v>
      </c>
      <c r="BZ47" s="43" t="n">
        <f aca="false">MAX(BW47*(1+INDEX(Response_Table!$O$4:$O$21,MATCH($F47&amp;"|low",Response_Table!$A$4:$A$21,0))*$R47*INDEX(Parameters!$X$15:$AA$15,1,MATCH($E47,Parameters!$X$3:$AA$3,0))),BW47*(1+INDEX(Response_Table!$O$4:$O$21,MATCH($F47&amp;"|high",Response_Table!$A$4:$A$21,0))*$R47*INDEX(Parameters!$X$15:$AA$15,1,MATCH($E47,Parameters!$X$3:$AA$3,0))))*(1+Inputs_General!$C$22*Parameters!$F$15)</f>
        <v>9.72572891077598</v>
      </c>
      <c r="CA47" s="45" t="n">
        <f aca="false">IF(BW47=0,0,BX47/BW47-1)</f>
        <v>-0.0352064029240186</v>
      </c>
      <c r="CB47" s="46" t="n">
        <f aca="false">BD47+BI47</f>
        <v>1.16509343539427</v>
      </c>
      <c r="CC47" s="43" t="n">
        <f aca="false">BD47/BI47</f>
        <v>2.58326865664709</v>
      </c>
      <c r="CD47" s="46" t="n">
        <f aca="false">BN47/CB47</f>
        <v>0.228173071495805</v>
      </c>
      <c r="CE47" s="43" t="n">
        <f aca="false">AE47/AO47</f>
        <v>2.19231319190102</v>
      </c>
      <c r="CF47" s="44" t="n">
        <f aca="false">AE47/AJ47</f>
        <v>49.304892186452</v>
      </c>
      <c r="CG47" s="44" t="n">
        <f aca="false">INDEX(Context!$V$4:$V$51,$K47)</f>
        <v>32.7871428571429</v>
      </c>
      <c r="CH47" s="44" t="n">
        <f aca="false">INDEX(Context!$Y$4:$Y$51,$K47)</f>
        <v>28.36912210206</v>
      </c>
      <c r="CI47" s="44" t="n">
        <f aca="false">INDEX(Context!$Z$4:$Z$51,$K47)</f>
        <v>36.7871428571429</v>
      </c>
      <c r="CJ47" s="43" t="n">
        <f aca="false">INDEX(Context!$AA$4:$AA$51,$K47)</f>
        <v>0.347678571428571</v>
      </c>
      <c r="CK47" s="43" t="n">
        <f aca="false">MAX(0,MIN(1,1-(1-CJ47)*AO47/AN47))</f>
        <v>0.43614138129928</v>
      </c>
      <c r="CL47" s="44" t="n">
        <f aca="false">CH47+CK47*(CI47-CH47)</f>
        <v>32.0405693019879</v>
      </c>
      <c r="CM47" s="44" t="n">
        <f aca="false">CH47+MAX(0,MIN(1,1-(1-CJ47)*AQ47/AN47))*(CI47-CH47)</f>
        <v>30.3512318991215</v>
      </c>
      <c r="CN47" s="44" t="n">
        <f aca="false">CH47+MAX(0,MIN(1,1-(1-CJ47)*AP47/AN47))*(CI47-CH47)</f>
        <v>33.590910234891</v>
      </c>
      <c r="CO47" s="44" t="n">
        <f aca="false">CL47-CG47</f>
        <v>-0.746573555154996</v>
      </c>
      <c r="CP47" s="44" t="n">
        <f aca="false">CL47-(CH47+CJ47*(CI47-CH47))</f>
        <v>0.744681769544563</v>
      </c>
      <c r="CQ47" s="46" t="n">
        <f aca="false">CL47/CG47</f>
        <v>0.977229685477387</v>
      </c>
      <c r="CR47" s="43" t="n">
        <f aca="false">IF(CL47-CH47&lt;=0,"n/a",(CI47-CL47)/(CL47-CH47))</f>
        <v>1.29283448642495</v>
      </c>
      <c r="CS47" s="43" t="n">
        <f aca="false">IF(CI47-CL47&lt;=0,"n/a",(CL47-CH47)/(CI47-CL47))</f>
        <v>0.773494217937582</v>
      </c>
      <c r="CT47" s="43" t="n">
        <f aca="false">Inputs_General!$C$23+Inputs_General!$C$24*$I47</f>
        <v>0.76</v>
      </c>
      <c r="CU47" s="44" t="n">
        <f aca="false">3.29*CT47</f>
        <v>2.5004</v>
      </c>
    </row>
    <row r="48" customFormat="false" ht="15" hidden="false" customHeight="false" outlineLevel="0" collapsed="false">
      <c r="A48" s="9" t="str">
        <f aca="false">B48&amp;"|"&amp;E48&amp;"|"&amp;F48</f>
        <v>D1V2|13/03/2026|Moderate</v>
      </c>
      <c r="B48" s="7" t="s">
        <v>343</v>
      </c>
      <c r="C48" s="9" t="s">
        <v>127</v>
      </c>
      <c r="D48" s="9" t="s">
        <v>146</v>
      </c>
      <c r="E48" s="9" t="s">
        <v>164</v>
      </c>
      <c r="F48" s="7" t="s">
        <v>281</v>
      </c>
      <c r="G48" s="9" t="s">
        <v>282</v>
      </c>
      <c r="H48" s="41" t="n">
        <f aca="false">INDEX(Severity_Classes!$C$4:$C$9,MATCH(F48,Severity_Classes!$A$4:$A$9,0))</f>
        <v>0.11</v>
      </c>
      <c r="I48" s="41" t="n">
        <f aca="false">INDEX(Severity_Classes!$D$4:$D$9,MATCH(F48,Severity_Classes!$A$4:$A$9,0))</f>
        <v>0.18</v>
      </c>
      <c r="J48" s="41" t="n">
        <f aca="false">INDEX(Severity_Classes!$E$4:$E$9,MATCH(F48,Severity_Classes!$A$4:$A$9,0))</f>
        <v>0.25</v>
      </c>
      <c r="K48" s="42" t="n">
        <f aca="false">MATCH(B48&amp;"|"&amp;E48,Context!$A$4:$A$51,0)</f>
        <v>8</v>
      </c>
      <c r="L48" s="42" t="n">
        <f aca="false">INDEX(Context!$H$4:$H$51,K48)</f>
        <v>94</v>
      </c>
      <c r="M48" s="42" t="n">
        <f aca="false">INDEX(Context!$I$4:$I$51,K48)</f>
        <v>36</v>
      </c>
      <c r="N48" s="9" t="str">
        <f aca="false">INDEX(Context!$L$4:$L$51,K48)</f>
        <v>P</v>
      </c>
      <c r="O48" s="9" t="str">
        <f aca="false">INDEX(Context!$M$4:$M$51,K48)</f>
        <v>5th fully expanded leaf from top</v>
      </c>
      <c r="P48" s="43" t="n">
        <f aca="false">INDEX(Context!$R$4:$R$51,K48)</f>
        <v>0.953571428571428</v>
      </c>
      <c r="Q48" s="43" t="n">
        <f aca="false">INDEX(Context!$U$4:$U$51,K48)</f>
        <v>2.18945736698217</v>
      </c>
      <c r="R48" s="43" t="n">
        <f aca="false">INDEX(Context!$AD$4:$AD$51,K48)</f>
        <v>1.1</v>
      </c>
      <c r="S48" s="9" t="str">
        <f aca="false">INDEX(Context!$AI$4:$AN$51,K48,MATCH(F48,Severity_Classes!$A$4:$A$9,0))</f>
        <v>Likely</v>
      </c>
      <c r="T48" s="44" t="n">
        <f aca="false">Parameters!$E$4*IF($N48="V",Parameters!$I$4,IF($N48="F",Parameters!$J$4,Parameters!$K$4))*(1-Parameters!$L$4*$P48)*IF($D48="V1",Parameters!$M$4,IF($D48="V2",Parameters!$N$4,Parameters!$O$4))</f>
        <v>77.8046607142857</v>
      </c>
      <c r="U48" s="44" t="n">
        <f aca="false">MIN(100,T48*(1+INDEX(Response_Table!$E$4:$E$21,MATCH($F48&amp;"|mid",Response_Table!$A$4:$A$21,0))*$R48*INDEX(Parameters!$X$4:$AA$4,1,MATCH($E48,Parameters!$X$3:$AA$3,0))))</f>
        <v>73.911399576016</v>
      </c>
      <c r="V48" s="44" t="n">
        <f aca="false">MAX(0,MIN(T48*(1+INDEX(Response_Table!$E$4:$E$21,MATCH($F48&amp;"|low",Response_Table!$A$4:$A$21,0))*$R48*INDEX(Parameters!$X$4:$AA$4,1,MATCH($E48,Parameters!$X$3:$AA$3,0))),T48*(1+INDEX(Response_Table!$E$4:$E$21,MATCH($F48&amp;"|high",Response_Table!$A$4:$A$21,0))*$R48*INDEX(Parameters!$X$4:$AA$4,1,MATCH($E48,Parameters!$X$3:$AA$3,0))))*(1-Inputs_General!$C$22*Parameters!$F$4))</f>
        <v>66.3235187706655</v>
      </c>
      <c r="W48" s="44" t="n">
        <f aca="false">MIN(100,MAX(T48*(1+INDEX(Response_Table!$E$4:$E$21,MATCH($F48&amp;"|low",Response_Table!$A$4:$A$21,0))*$R48*INDEX(Parameters!$X$4:$AA$4,1,MATCH($E48,Parameters!$X$3:$AA$3,0))),T48*(1+INDEX(Response_Table!$E$4:$E$21,MATCH($F48&amp;"|high",Response_Table!$A$4:$A$21,0))*$R48*INDEX(Parameters!$X$4:$AA$4,1,MATCH($E48,Parameters!$X$3:$AA$3,0))))*(1+Inputs_General!$C$22*Parameters!$F$4))</f>
        <v>80.966525013996</v>
      </c>
      <c r="X48" s="45" t="n">
        <f aca="false">IF(T48=0,0,U48/T48-1)</f>
        <v>-0.0500389192951635</v>
      </c>
      <c r="Y48" s="44" t="n">
        <f aca="false">Parameters!$E$5*IF($N48="V",Parameters!$I$5,IF($N48="F",Parameters!$J$5,Parameters!$K$5))*(1-Parameters!$L$5*$P48)*IF($D48="V1",Parameters!$M$5,IF($D48="V2",Parameters!$N$5,Parameters!$O$5))</f>
        <v>58.6602514285714</v>
      </c>
      <c r="Z48" s="44" t="n">
        <f aca="false">MIN(100,Y48*(1+INDEX(Response_Table!$F$4:$F$21,MATCH($F48&amp;"|mid",Response_Table!$A$4:$A$21,0))*$R48*INDEX(Parameters!$X$5:$AA$5,1,MATCH($E48,Parameters!$X$3:$AA$3,0))))</f>
        <v>48.5205928188878</v>
      </c>
      <c r="AA48" s="44" t="n">
        <f aca="false">MAX(0,MIN(Y48*(1+INDEX(Response_Table!$F$4:$F$21,MATCH($F48&amp;"|low",Response_Table!$A$4:$A$21,0))*$R48*INDEX(Parameters!$X$5:$AA$5,1,MATCH($E48,Parameters!$X$3:$AA$3,0))),Y48*(1+INDEX(Response_Table!$F$4:$F$21,MATCH($F48&amp;"|high",Response_Table!$A$4:$A$21,0))*$R48*INDEX(Parameters!$X$5:$AA$5,1,MATCH($E48,Parameters!$X$3:$AA$3,0))))*(1-Inputs_General!$C$22*Parameters!$F$5))</f>
        <v>36.2932913523015</v>
      </c>
      <c r="AB48" s="44" t="n">
        <f aca="false">MIN(100,MAX(Y48*(1+INDEX(Response_Table!$F$4:$F$21,MATCH($F48&amp;"|low",Response_Table!$A$4:$A$21,0))*$R48*INDEX(Parameters!$X$5:$AA$5,1,MATCH($E48,Parameters!$X$3:$AA$3,0))),Y48*(1+INDEX(Response_Table!$F$4:$F$21,MATCH($F48&amp;"|high",Response_Table!$A$4:$A$21,0))*$R48*INDEX(Parameters!$X$5:$AA$5,1,MATCH($E48,Parameters!$X$3:$AA$3,0))))*(1+Inputs_General!$C$22*Parameters!$F$5))</f>
        <v>60.2244872926876</v>
      </c>
      <c r="AC48" s="45" t="n">
        <f aca="false">IF(Y48=0,0,Z48/Y48-1)</f>
        <v>-0.172853991634017</v>
      </c>
      <c r="AD48" s="44" t="n">
        <f aca="false">Parameters!$E$6*IF($N48="V",Parameters!$I$6,IF($N48="F",Parameters!$J$6,Parameters!$K$6))*(1-Parameters!$L$6*$P48)*IF($D48="V1",Parameters!$M$6,IF($D48="V2",Parameters!$N$6,Parameters!$O$6))</f>
        <v>14.3019785714286</v>
      </c>
      <c r="AE48" s="44" t="n">
        <f aca="false">AD48*(1+INDEX(Response_Table!$G$4:$G$21,MATCH($F48&amp;"|mid",Response_Table!$A$4:$A$21,0))*$R48*INDEX(Parameters!$X$6:$AA$6,1,MATCH($E48,Parameters!$X$3:$AA$3,0)))</f>
        <v>7.84712179615551</v>
      </c>
      <c r="AF48" s="44" t="n">
        <f aca="false">MAX(0,MIN(AD48*(1+INDEX(Response_Table!$G$4:$G$21,MATCH($F48&amp;"|low",Response_Table!$A$4:$A$21,0))*$R48*INDEX(Parameters!$X$6:$AA$6,1,MATCH($E48,Parameters!$X$3:$AA$3,0))),AD48*(1+INDEX(Response_Table!$G$4:$G$21,MATCH($F48&amp;"|high",Response_Table!$A$4:$A$21,0))*$R48*INDEX(Parameters!$X$6:$AA$6,1,MATCH($E48,Parameters!$X$3:$AA$3,0))))*(1-Inputs_General!$C$22*Parameters!$F$6))</f>
        <v>5.16106810417735</v>
      </c>
      <c r="AG48" s="44" t="n">
        <f aca="false">MAX(AD48*(1+INDEX(Response_Table!$G$4:$G$21,MATCH($F48&amp;"|low",Response_Table!$A$4:$A$21,0))*$R48*INDEX(Parameters!$X$6:$AA$6,1,MATCH($E48,Parameters!$X$3:$AA$3,0))),AD48*(1+INDEX(Response_Table!$G$4:$G$21,MATCH($F48&amp;"|high",Response_Table!$A$4:$A$21,0))*$R48*INDEX(Parameters!$X$6:$AA$6,1,MATCH($E48,Parameters!$X$3:$AA$3,0))))*(1+Inputs_General!$C$22*Parameters!$F$6)</f>
        <v>11.7043542260636</v>
      </c>
      <c r="AH48" s="45" t="n">
        <f aca="false">IF(AD48=0,0,AE48/AD48-1)</f>
        <v>-0.45132613945934</v>
      </c>
      <c r="AI48" s="46" t="n">
        <f aca="false">Parameters!$E$7*IF($N48="V",Parameters!$I$7,IF($N48="F",Parameters!$J$7,Parameters!$K$7))*(1-Parameters!$L$7*$P48)*IF($D48="V1",Parameters!$M$7,IF($D48="V2",Parameters!$N$7,Parameters!$O$7))*POWER($Q48/Inputs_General!$C$26,-Inputs_General!$C$25)</f>
        <v>0.258501574676089</v>
      </c>
      <c r="AJ48" s="46" t="n">
        <f aca="false">AI48*(1+INDEX(Response_Table!$H$4:$H$21,MATCH($F48&amp;"|mid",Response_Table!$A$4:$A$21,0))*$R48*INDEX(Parameters!$X$7:$AA$7,1,MATCH($E48,Parameters!$X$3:$AA$3,0)))</f>
        <v>0.181381507510752</v>
      </c>
      <c r="AK48" s="46" t="n">
        <f aca="false">MAX(0,MIN(AI48*(1+INDEX(Response_Table!$H$4:$H$21,MATCH($F48&amp;"|low",Response_Table!$A$4:$A$21,0))*$R48*INDEX(Parameters!$X$7:$AA$7,1,MATCH($E48,Parameters!$X$3:$AA$3,0))),AI48*(1+INDEX(Response_Table!$H$4:$H$21,MATCH($F48&amp;"|high",Response_Table!$A$4:$A$21,0))*$R48*INDEX(Parameters!$X$7:$AA$7,1,MATCH($E48,Parameters!$X$3:$AA$3,0))))*(1-Inputs_General!$C$22*Parameters!$F$7))</f>
        <v>0.113313688008279</v>
      </c>
      <c r="AL48" s="46" t="n">
        <f aca="false">MAX(AI48*(1+INDEX(Response_Table!$H$4:$H$21,MATCH($F48&amp;"|low",Response_Table!$A$4:$A$21,0))*$R48*INDEX(Parameters!$X$7:$AA$7,1,MATCH($E48,Parameters!$X$3:$AA$3,0))),AI48*(1+INDEX(Response_Table!$H$4:$H$21,MATCH($F48&amp;"|high",Response_Table!$A$4:$A$21,0))*$R48*INDEX(Parameters!$X$7:$AA$7,1,MATCH($E48,Parameters!$X$3:$AA$3,0))))*(1+Inputs_General!$C$22*Parameters!$F$7)</f>
        <v>0.267710277446818</v>
      </c>
      <c r="AM48" s="45" t="n">
        <f aca="false">IF(AI48=0,0,AJ48/AI48-1)</f>
        <v>-0.298334999552597</v>
      </c>
      <c r="AN48" s="43" t="n">
        <f aca="false">AI48*$Q48/Inputs_General!$C$13*1000</f>
        <v>5.69967952720096</v>
      </c>
      <c r="AO48" s="43" t="n">
        <f aca="false">AJ48*$Q48/Inputs_General!$C$13*1000*(1+Inputs_General!$C$21*$I48)</f>
        <v>4.17923259171367</v>
      </c>
      <c r="AP48" s="43" t="n">
        <f aca="false">AK48*$Q48/Inputs_General!$C$13*1000*(1+Inputs_General!$C$21*$H48)</f>
        <v>2.56715120782337</v>
      </c>
      <c r="AQ48" s="43" t="n">
        <f aca="false">AL48*$Q48/Inputs_General!$C$13*1000*(1+Inputs_General!$C$21*$J48)</f>
        <v>6.2716415319343</v>
      </c>
      <c r="AR48" s="45" t="n">
        <f aca="false">IF(AN48=0,0,AO48/AN48-1)</f>
        <v>-0.266760074532464</v>
      </c>
      <c r="AS48" s="42" t="n">
        <f aca="false">Parameters!$E$9*IF($N48="V",Parameters!$I$9,IF($N48="F",Parameters!$J$9,Parameters!$K$9))*(1-Parameters!$L$9*$P48)*IF($D48="V1",Parameters!$M$9,IF($D48="V2",Parameters!$N$9,Parameters!$O$9))</f>
        <v>293.55</v>
      </c>
      <c r="AT48" s="42" t="n">
        <f aca="false">AS48*(1+INDEX(Response_Table!$I$4:$I$21,MATCH($F48&amp;"|mid",Response_Table!$A$4:$A$21,0))*$R48*INDEX(Parameters!$X$9:$AA$9,1,MATCH($E48,Parameters!$X$3:$AA$3,0)))</f>
        <v>343.269078836774</v>
      </c>
      <c r="AU48" s="42" t="n">
        <f aca="false">MAX(0,MIN(AS48*(1+INDEX(Response_Table!$I$4:$I$21,MATCH($F48&amp;"|low",Response_Table!$A$4:$A$21,0))*$R48*INDEX(Parameters!$X$9:$AA$9,1,MATCH($E48,Parameters!$X$3:$AA$3,0))),AS48*(1+INDEX(Response_Table!$I$4:$I$21,MATCH($F48&amp;"|high",Response_Table!$A$4:$A$21,0))*$R48*INDEX(Parameters!$X$9:$AA$9,1,MATCH($E48,Parameters!$X$3:$AA$3,0))))*(1-Inputs_General!$C$22*Parameters!$F$9))</f>
        <v>295.655895795126</v>
      </c>
      <c r="AV48" s="42" t="n">
        <f aca="false">MAX(AS48*(1+INDEX(Response_Table!$I$4:$I$21,MATCH($F48&amp;"|low",Response_Table!$A$4:$A$21,0))*$R48*INDEX(Parameters!$X$9:$AA$9,1,MATCH($E48,Parameters!$X$3:$AA$3,0))),AS48*(1+INDEX(Response_Table!$I$4:$I$21,MATCH($F48&amp;"|high",Response_Table!$A$4:$A$21,0))*$R48*INDEX(Parameters!$X$9:$AA$9,1,MATCH($E48,Parameters!$X$3:$AA$3,0))))*(1+Inputs_General!$C$22*Parameters!$F$9)</f>
        <v>389.801693579288</v>
      </c>
      <c r="AW48" s="45" t="n">
        <f aca="false">IF(AS48=0,0,AT48/AS48-1)</f>
        <v>0.169371755533209</v>
      </c>
      <c r="AX48" s="43" t="n">
        <f aca="false">INDEX(Context!$AB$4:$AB$51,$K48)</f>
        <v>2.6539155416324</v>
      </c>
      <c r="AY48" s="43" t="n">
        <f aca="false">AX48*(1+INDEX(Response_Table!$J$4:$J$21,MATCH($F48&amp;"|mid",Response_Table!$A$4:$A$21,0))*$R48*INDEX(Parameters!$X$10:$AA$10,1,MATCH($E48,Parameters!$X$3:$AA$3,0)))</f>
        <v>2.17787192290319</v>
      </c>
      <c r="AZ48" s="43" t="n">
        <f aca="false">MAX(0,MIN(AX48*(1+INDEX(Response_Table!$J$4:$J$21,MATCH($F48&amp;"|low",Response_Table!$A$4:$A$21,0))*$R48*INDEX(Parameters!$X$10:$AA$10,1,MATCH($E48,Parameters!$X$3:$AA$3,0))),AX48*(1+INDEX(Response_Table!$J$4:$J$21,MATCH($F48&amp;"|high",Response_Table!$A$4:$A$21,0))*$R48*INDEX(Parameters!$X$10:$AA$10,1,MATCH($E48,Parameters!$X$3:$AA$3,0))))*(1-Inputs_General!$C$22*Parameters!$F$10))</f>
        <v>1.64002799823195</v>
      </c>
      <c r="BA48" s="43" t="n">
        <f aca="false">MAX(AX48*(1+INDEX(Response_Table!$J$4:$J$21,MATCH($F48&amp;"|low",Response_Table!$A$4:$A$21,0))*$R48*INDEX(Parameters!$X$10:$AA$10,1,MATCH($E48,Parameters!$X$3:$AA$3,0))),AX48*(1+INDEX(Response_Table!$J$4:$J$21,MATCH($F48&amp;"|high",Response_Table!$A$4:$A$21,0))*$R48*INDEX(Parameters!$X$10:$AA$10,1,MATCH($E48,Parameters!$X$3:$AA$3,0))))*(1+Inputs_General!$C$22*Parameters!$F$10)</f>
        <v>2.7996029568184</v>
      </c>
      <c r="BB48" s="45" t="n">
        <f aca="false">IF(AX48=0,0,AY48/AX48-1)</f>
        <v>-0.179374064947222</v>
      </c>
      <c r="BC48" s="46" t="n">
        <f aca="false">Parameters!$E$11*IF($N48="V",Parameters!$I$11,IF($N48="F",Parameters!$J$11,Parameters!$K$11))*(1-Parameters!$L$11*$P48)*IF($D48="V1",Parameters!$M$11,IF($D48="V2",Parameters!$N$11,Parameters!$O$11))</f>
        <v>1.00170982142857</v>
      </c>
      <c r="BD48" s="46" t="n">
        <f aca="false">BC48*(1+INDEX(Response_Table!$K$4:$K$21,MATCH($F48&amp;"|mid",Response_Table!$A$4:$A$21,0))*$R48*INDEX(Parameters!$X$11:$AA$11,1,MATCH($E48,Parameters!$X$3:$AA$3,0)))</f>
        <v>0.688106379109947</v>
      </c>
      <c r="BE48" s="46" t="n">
        <f aca="false">MAX(0,MIN(BC48*(1+INDEX(Response_Table!$K$4:$K$21,MATCH($F48&amp;"|low",Response_Table!$A$4:$A$21,0))*$R48*INDEX(Parameters!$X$11:$AA$11,1,MATCH($E48,Parameters!$X$3:$AA$3,0))),BC48*(1+INDEX(Response_Table!$K$4:$K$21,MATCH($F48&amp;"|high",Response_Table!$A$4:$A$21,0))*$R48*INDEX(Parameters!$X$11:$AA$11,1,MATCH($E48,Parameters!$X$3:$AA$3,0))))*(1-Inputs_General!$C$22*Parameters!$F$11))</f>
        <v>0.507404850732847</v>
      </c>
      <c r="BF48" s="46" t="n">
        <f aca="false">MAX(BC48*(1+INDEX(Response_Table!$K$4:$K$21,MATCH($F48&amp;"|low",Response_Table!$A$4:$A$21,0))*$R48*INDEX(Parameters!$X$11:$AA$11,1,MATCH($E48,Parameters!$X$3:$AA$3,0))),BC48*(1+INDEX(Response_Table!$K$4:$K$21,MATCH($F48&amp;"|high",Response_Table!$A$4:$A$21,0))*$R48*INDEX(Parameters!$X$11:$AA$11,1,MATCH($E48,Parameters!$X$3:$AA$3,0))))*(1+Inputs_General!$C$22*Parameters!$F$11)</f>
        <v>0.919014505511223</v>
      </c>
      <c r="BG48" s="45" t="n">
        <f aca="false">IF(BC48=0,0,BD48/BC48-1)</f>
        <v>-0.313068151684272</v>
      </c>
      <c r="BH48" s="46" t="n">
        <f aca="false">Parameters!$E$12*IF($N48="V",Parameters!$I$12,IF($N48="F",Parameters!$J$12,Parameters!$K$12))*(1-Parameters!$L$12*$P48)*IF($D48="V1",Parameters!$M$12,IF($D48="V2",Parameters!$N$12,Parameters!$O$12))</f>
        <v>0.373343142857143</v>
      </c>
      <c r="BI48" s="46" t="n">
        <f aca="false">BH48*(1+INDEX(Response_Table!$L$4:$L$21,MATCH($F48&amp;"|mid",Response_Table!$A$4:$A$21,0))*$R48*INDEX(Parameters!$X$12:$AA$12,1,MATCH($E48,Parameters!$X$3:$AA$3,0)))</f>
        <v>0.279097405170238</v>
      </c>
      <c r="BJ48" s="46" t="n">
        <f aca="false">MAX(0,MIN(BH48*(1+INDEX(Response_Table!$L$4:$L$21,MATCH($F48&amp;"|low",Response_Table!$A$4:$A$21,0))*$R48*INDEX(Parameters!$X$12:$AA$12,1,MATCH($E48,Parameters!$X$3:$AA$3,0))),BH48*(1+INDEX(Response_Table!$L$4:$L$21,MATCH($F48&amp;"|high",Response_Table!$A$4:$A$21,0))*$R48*INDEX(Parameters!$X$12:$AA$12,1,MATCH($E48,Parameters!$X$3:$AA$3,0))))*(1-Inputs_General!$C$22*Parameters!$F$12))</f>
        <v>0.203992992348387</v>
      </c>
      <c r="BK48" s="46" t="n">
        <f aca="false">MAX(BH48*(1+INDEX(Response_Table!$L$4:$L$21,MATCH($F48&amp;"|low",Response_Table!$A$4:$A$21,0))*$R48*INDEX(Parameters!$X$12:$AA$12,1,MATCH($E48,Parameters!$X$3:$AA$3,0))),BH48*(1+INDEX(Response_Table!$L$4:$L$21,MATCH($F48&amp;"|high",Response_Table!$A$4:$A$21,0))*$R48*INDEX(Parameters!$X$12:$AA$12,1,MATCH($E48,Parameters!$X$3:$AA$3,0))))*(1+Inputs_General!$C$22*Parameters!$F$12)</f>
        <v>0.371021233533246</v>
      </c>
      <c r="BL48" s="45" t="n">
        <f aca="false">IF(BH48=0,0,BI48/BH48-1)</f>
        <v>-0.252437307313736</v>
      </c>
      <c r="BM48" s="46" t="n">
        <f aca="false">Parameters!$E$13*IF($N48="V",Parameters!$I$13,IF($N48="F",Parameters!$J$13,Parameters!$K$13))*(1-Parameters!$L$13*$P48)*IF($D48="V1",Parameters!$M$13,IF($D48="V2",Parameters!$N$13,Parameters!$O$13))</f>
        <v>0.262276071428571</v>
      </c>
      <c r="BN48" s="46" t="n">
        <f aca="false">BM48*(1+INDEX(Response_Table!$M$4:$M$21,MATCH($F48&amp;"|mid",Response_Table!$A$4:$A$21,0))*$R48*INDEX(Parameters!$X$13:$AA$13,1,MATCH($E48,Parameters!$X$3:$AA$3,0)))</f>
        <v>0.237458556422958</v>
      </c>
      <c r="BO48" s="46" t="n">
        <f aca="false">MAX(0,MIN(BM48*(1+INDEX(Response_Table!$M$4:$M$21,MATCH($F48&amp;"|low",Response_Table!$A$4:$A$21,0))*$R48*INDEX(Parameters!$X$13:$AA$13,1,MATCH($E48,Parameters!$X$3:$AA$3,0))),BM48*(1+INDEX(Response_Table!$M$4:$M$21,MATCH($F48&amp;"|high",Response_Table!$A$4:$A$21,0))*$R48*INDEX(Parameters!$X$13:$AA$13,1,MATCH($E48,Parameters!$X$3:$AA$3,0))))*(1-Inputs_General!$C$22*Parameters!$F$13))</f>
        <v>0.174549338237001</v>
      </c>
      <c r="BP48" s="46" t="n">
        <f aca="false">MAX(BM48*(1+INDEX(Response_Table!$M$4:$M$21,MATCH($F48&amp;"|low",Response_Table!$A$4:$A$21,0))*$R48*INDEX(Parameters!$X$13:$AA$13,1,MATCH($E48,Parameters!$X$3:$AA$3,0))),BM48*(1+INDEX(Response_Table!$M$4:$M$21,MATCH($F48&amp;"|high",Response_Table!$A$4:$A$21,0))*$R48*INDEX(Parameters!$X$13:$AA$13,1,MATCH($E48,Parameters!$X$3:$AA$3,0))))*(1+Inputs_General!$C$22*Parameters!$F$13)</f>
        <v>0.309593563356874</v>
      </c>
      <c r="BQ48" s="45" t="n">
        <f aca="false">IF(BM48=0,0,BN48/BM48-1)</f>
        <v>-0.0946236340602347</v>
      </c>
      <c r="BR48" s="44" t="n">
        <f aca="false">Parameters!$E$14*IF($N48="V",Parameters!$I$14,IF($N48="F",Parameters!$J$14,Parameters!$K$14))*(1-Parameters!$L$14*$P48)*IF($D48="V1",Parameters!$M$14,IF($D48="V2",Parameters!$N$14,Parameters!$O$14))*INDEX(Context!$AC$4:$AC$51,$K48)</f>
        <v>17.25</v>
      </c>
      <c r="BS48" s="44" t="n">
        <f aca="false">BR48*(1+INDEX(Response_Table!$N$4:$N$21,MATCH($F48&amp;"|mid",Response_Table!$A$4:$A$21,0))*$R48*INDEX(Parameters!$X$14:$AA$14,1,MATCH($E48,Parameters!$X$3:$AA$3,0)))</f>
        <v>22.0004111467221</v>
      </c>
      <c r="BT48" s="44" t="n">
        <f aca="false">MAX(0,MIN(BR48*(1+INDEX(Response_Table!$N$4:$N$21,MATCH($F48&amp;"|low",Response_Table!$A$4:$A$21,0))*$R48*INDEX(Parameters!$X$14:$AA$14,1,MATCH($E48,Parameters!$X$3:$AA$3,0))),BR48*(1+INDEX(Response_Table!$N$4:$N$21,MATCH($F48&amp;"|high",Response_Table!$A$4:$A$21,0))*$R48*INDEX(Parameters!$X$14:$AA$14,1,MATCH($E48,Parameters!$X$3:$AA$3,0))))*(1-Inputs_General!$C$22*Parameters!$F$14))</f>
        <v>10.3579519938555</v>
      </c>
      <c r="BU48" s="44" t="n">
        <f aca="false">MAX(BR48*(1+INDEX(Response_Table!$N$4:$N$21,MATCH($F48&amp;"|low",Response_Table!$A$4:$A$21,0))*$R48*INDEX(Parameters!$X$14:$AA$14,1,MATCH($E48,Parameters!$X$3:$AA$3,0))),BR48*(1+INDEX(Response_Table!$N$4:$N$21,MATCH($F48&amp;"|high",Response_Table!$A$4:$A$21,0))*$R48*INDEX(Parameters!$X$14:$AA$14,1,MATCH($E48,Parameters!$X$3:$AA$3,0))))*(1+Inputs_General!$C$22*Parameters!$F$14)</f>
        <v>34.7344890013845</v>
      </c>
      <c r="BV48" s="45" t="n">
        <f aca="false">IF(BR48=0,0,BS48/BR48-1)</f>
        <v>0.275386153433167</v>
      </c>
      <c r="BW48" s="43" t="n">
        <f aca="false">Parameters!$E$15*IF($N48="V",Parameters!$I$15,IF($N48="F",Parameters!$J$15,Parameters!$K$15))*(1-Parameters!$L$15*$P48)*IF($D48="V1",Parameters!$M$15,IF($D48="V2",Parameters!$N$15,Parameters!$O$15))</f>
        <v>8.34931028571429</v>
      </c>
      <c r="BX48" s="43" t="n">
        <f aca="false">BW48*(1+INDEX(Response_Table!$O$4:$O$21,MATCH($F48&amp;"|mid",Response_Table!$A$4:$A$21,0))*$R48*INDEX(Parameters!$X$15:$AA$15,1,MATCH($E48,Parameters!$X$3:$AA$3,0)))</f>
        <v>7.77448917486358</v>
      </c>
      <c r="BY48" s="43" t="n">
        <f aca="false">MAX(0,MIN(BW48*(1+INDEX(Response_Table!$O$4:$O$21,MATCH($F48&amp;"|low",Response_Table!$A$4:$A$21,0))*$R48*INDEX(Parameters!$X$15:$AA$15,1,MATCH($E48,Parameters!$X$3:$AA$3,0))),BW48*(1+INDEX(Response_Table!$O$4:$O$21,MATCH($F48&amp;"|high",Response_Table!$A$4:$A$21,0))*$R48*INDEX(Parameters!$X$15:$AA$15,1,MATCH($E48,Parameters!$X$3:$AA$3,0))))*(1-Inputs_General!$C$22*Parameters!$F$15))</f>
        <v>6.1177569806675</v>
      </c>
      <c r="BZ48" s="43" t="n">
        <f aca="false">MAX(BW48*(1+INDEX(Response_Table!$O$4:$O$21,MATCH($F48&amp;"|low",Response_Table!$A$4:$A$21,0))*$R48*INDEX(Parameters!$X$15:$AA$15,1,MATCH($E48,Parameters!$X$3:$AA$3,0))),BW48*(1+INDEX(Response_Table!$O$4:$O$21,MATCH($F48&amp;"|high",Response_Table!$A$4:$A$21,0))*$R48*INDEX(Parameters!$X$15:$AA$15,1,MATCH($E48,Parameters!$X$3:$AA$3,0))))*(1+Inputs_General!$C$22*Parameters!$F$15)</f>
        <v>9.5338059035173</v>
      </c>
      <c r="CA48" s="45" t="n">
        <f aca="false">IF(BW48=0,0,BX48/BW48-1)</f>
        <v>-0.0688465383582917</v>
      </c>
      <c r="CB48" s="46" t="n">
        <f aca="false">BD48+BI48</f>
        <v>0.967203784280185</v>
      </c>
      <c r="CC48" s="43" t="n">
        <f aca="false">BD48/BI48</f>
        <v>2.46547035681048</v>
      </c>
      <c r="CD48" s="46" t="n">
        <f aca="false">BN48/CB48</f>
        <v>0.245510367393445</v>
      </c>
      <c r="CE48" s="43" t="n">
        <f aca="false">AE48/AO48</f>
        <v>1.87764658318236</v>
      </c>
      <c r="CF48" s="44" t="n">
        <f aca="false">AE48/AJ48</f>
        <v>43.2630751825146</v>
      </c>
      <c r="CG48" s="44" t="n">
        <f aca="false">INDEX(Context!$V$4:$V$51,$K48)</f>
        <v>32.7871428571429</v>
      </c>
      <c r="CH48" s="44" t="n">
        <f aca="false">INDEX(Context!$Y$4:$Y$51,$K48)</f>
        <v>28.36912210206</v>
      </c>
      <c r="CI48" s="44" t="n">
        <f aca="false">INDEX(Context!$Z$4:$Z$51,$K48)</f>
        <v>36.7871428571429</v>
      </c>
      <c r="CJ48" s="43" t="n">
        <f aca="false">INDEX(Context!$AA$4:$AA$51,$K48)</f>
        <v>0.347678571428571</v>
      </c>
      <c r="CK48" s="43" t="n">
        <f aca="false">MAX(0,MIN(1,1-(1-CJ48)*AO48/AN48))</f>
        <v>0.521691884333409</v>
      </c>
      <c r="CL48" s="44" t="n">
        <f aca="false">CH48+CK48*(CI48-CH48)</f>
        <v>32.7607352121369</v>
      </c>
      <c r="CM48" s="44" t="n">
        <f aca="false">CH48+MAX(0,MIN(1,1-(1-CJ48)*AQ48/AN48))*(CI48-CH48)</f>
        <v>30.7448408658669</v>
      </c>
      <c r="CN48" s="44" t="n">
        <f aca="false">CH48+MAX(0,MIN(1,1-(1-CJ48)*AP48/AN48))*(CI48-CH48)</f>
        <v>34.313866478709</v>
      </c>
      <c r="CO48" s="44" t="n">
        <f aca="false">CL48-CG48</f>
        <v>-0.0264076450059108</v>
      </c>
      <c r="CP48" s="44" t="n">
        <f aca="false">CL48-(CH48+CJ48*(CI48-CH48))</f>
        <v>1.46484767969365</v>
      </c>
      <c r="CQ48" s="46" t="n">
        <f aca="false">CL48/CG48</f>
        <v>0.999194573155674</v>
      </c>
      <c r="CR48" s="43" t="n">
        <f aca="false">IF(CL48-CH48&lt;=0,"n/a",(CI48-CL48)/(CL48-CH48))</f>
        <v>0.916840246188125</v>
      </c>
      <c r="CS48" s="43" t="n">
        <f aca="false">IF(CI48-CL48&lt;=0,"n/a",(CL48-CH48)/(CI48-CL48))</f>
        <v>1.09070255604247</v>
      </c>
      <c r="CT48" s="43" t="n">
        <f aca="false">Inputs_General!$C$23+Inputs_General!$C$24*$I48</f>
        <v>0.96</v>
      </c>
      <c r="CU48" s="44" t="n">
        <f aca="false">3.29*CT48</f>
        <v>3.1584</v>
      </c>
    </row>
    <row r="49" customFormat="false" ht="15" hidden="false" customHeight="false" outlineLevel="0" collapsed="false">
      <c r="A49" s="9" t="str">
        <f aca="false">B49&amp;"|"&amp;E49&amp;"|"&amp;F49</f>
        <v>D1V2|13/03/2026|High</v>
      </c>
      <c r="B49" s="7" t="s">
        <v>343</v>
      </c>
      <c r="C49" s="9" t="s">
        <v>127</v>
      </c>
      <c r="D49" s="9" t="s">
        <v>146</v>
      </c>
      <c r="E49" s="9" t="s">
        <v>164</v>
      </c>
      <c r="F49" s="7" t="s">
        <v>283</v>
      </c>
      <c r="G49" s="9" t="s">
        <v>284</v>
      </c>
      <c r="H49" s="41" t="n">
        <f aca="false">INDEX(Severity_Classes!$C$4:$C$9,MATCH(F49,Severity_Classes!$A$4:$A$9,0))</f>
        <v>0.26</v>
      </c>
      <c r="I49" s="41" t="n">
        <f aca="false">INDEX(Severity_Classes!$D$4:$D$9,MATCH(F49,Severity_Classes!$A$4:$A$9,0))</f>
        <v>0.38</v>
      </c>
      <c r="J49" s="41" t="n">
        <f aca="false">INDEX(Severity_Classes!$E$4:$E$9,MATCH(F49,Severity_Classes!$A$4:$A$9,0))</f>
        <v>0.5</v>
      </c>
      <c r="K49" s="42" t="n">
        <f aca="false">MATCH(B49&amp;"|"&amp;E49,Context!$A$4:$A$51,0)</f>
        <v>8</v>
      </c>
      <c r="L49" s="42" t="n">
        <f aca="false">INDEX(Context!$H$4:$H$51,K49)</f>
        <v>94</v>
      </c>
      <c r="M49" s="42" t="n">
        <f aca="false">INDEX(Context!$I$4:$I$51,K49)</f>
        <v>36</v>
      </c>
      <c r="N49" s="9" t="str">
        <f aca="false">INDEX(Context!$L$4:$L$51,K49)</f>
        <v>P</v>
      </c>
      <c r="O49" s="9" t="str">
        <f aca="false">INDEX(Context!$M$4:$M$51,K49)</f>
        <v>5th fully expanded leaf from top</v>
      </c>
      <c r="P49" s="43" t="n">
        <f aca="false">INDEX(Context!$R$4:$R$51,K49)</f>
        <v>0.953571428571428</v>
      </c>
      <c r="Q49" s="43" t="n">
        <f aca="false">INDEX(Context!$U$4:$U$51,K49)</f>
        <v>2.18945736698217</v>
      </c>
      <c r="R49" s="43" t="n">
        <f aca="false">INDEX(Context!$AD$4:$AD$51,K49)</f>
        <v>1.1</v>
      </c>
      <c r="S49" s="9" t="str">
        <f aca="false">INDEX(Context!$AI$4:$AN$51,K49,MATCH(F49,Severity_Classes!$A$4:$A$9,0))</f>
        <v>Likely</v>
      </c>
      <c r="T49" s="44" t="n">
        <f aca="false">Parameters!$E$4*IF($N49="V",Parameters!$I$4,IF($N49="F",Parameters!$J$4,Parameters!$K$4))*(1-Parameters!$L$4*$P49)*IF($D49="V1",Parameters!$M$4,IF($D49="V2",Parameters!$N$4,Parameters!$O$4))</f>
        <v>77.8046607142857</v>
      </c>
      <c r="U49" s="44" t="n">
        <f aca="false">MIN(100,T49*(1+INDEX(Response_Table!$E$4:$E$21,MATCH($F49&amp;"|mid",Response_Table!$A$4:$A$21,0))*$R49*INDEX(Parameters!$X$4:$AA$4,1,MATCH($E49,Parameters!$X$3:$AA$3,0))))</f>
        <v>63.9787885802203</v>
      </c>
      <c r="V49" s="44" t="n">
        <f aca="false">MAX(0,MIN(T49*(1+INDEX(Response_Table!$E$4:$E$21,MATCH($F49&amp;"|low",Response_Table!$A$4:$A$21,0))*$R49*INDEX(Parameters!$X$4:$AA$4,1,MATCH($E49,Parameters!$X$3:$AA$3,0))),T49*(1+INDEX(Response_Table!$E$4:$E$21,MATCH($F49&amp;"|high",Response_Table!$A$4:$A$21,0))*$R49*INDEX(Parameters!$X$4:$AA$4,1,MATCH($E49,Parameters!$X$3:$AA$3,0))))*(1-Inputs_General!$C$22*Parameters!$F$4))</f>
        <v>54.3297912301349</v>
      </c>
      <c r="W49" s="44" t="n">
        <f aca="false">MIN(100,MAX(T49*(1+INDEX(Response_Table!$E$4:$E$21,MATCH($F49&amp;"|low",Response_Table!$A$4:$A$21,0))*$R49*INDEX(Parameters!$X$4:$AA$4,1,MATCH($E49,Parameters!$X$3:$AA$3,0))),T49*(1+INDEX(Response_Table!$E$4:$E$21,MATCH($F49&amp;"|high",Response_Table!$A$4:$A$21,0))*$R49*INDEX(Parameters!$X$4:$AA$4,1,MATCH($E49,Parameters!$X$3:$AA$3,0))))*(1+Inputs_General!$C$22*Parameters!$F$4))</f>
        <v>75.1506793597889</v>
      </c>
      <c r="X49" s="45" t="n">
        <f aca="false">IF(T49=0,0,U49/T49-1)</f>
        <v>-0.177699793394599</v>
      </c>
      <c r="Y49" s="44" t="n">
        <f aca="false">Parameters!$E$5*IF($N49="V",Parameters!$I$5,IF($N49="F",Parameters!$J$5,Parameters!$K$5))*(1-Parameters!$L$5*$P49)*IF($D49="V1",Parameters!$M$5,IF($D49="V2",Parameters!$N$5,Parameters!$O$5))</f>
        <v>58.6602514285714</v>
      </c>
      <c r="Z49" s="44" t="n">
        <f aca="false">MIN(100,Y49*(1+INDEX(Response_Table!$F$4:$F$21,MATCH($F49&amp;"|mid",Response_Table!$A$4:$A$21,0))*$R49*INDEX(Parameters!$X$5:$AA$5,1,MATCH($E49,Parameters!$X$3:$AA$3,0))))</f>
        <v>26.3782092817516</v>
      </c>
      <c r="AA49" s="44" t="n">
        <f aca="false">MAX(0,MIN(Y49*(1+INDEX(Response_Table!$F$4:$F$21,MATCH($F49&amp;"|low",Response_Table!$A$4:$A$21,0))*$R49*INDEX(Parameters!$X$5:$AA$5,1,MATCH($E49,Parameters!$X$3:$AA$3,0))),Y49*(1+INDEX(Response_Table!$F$4:$F$21,MATCH($F49&amp;"|high",Response_Table!$A$4:$A$21,0))*$R49*INDEX(Parameters!$X$5:$AA$5,1,MATCH($E49,Parameters!$X$3:$AA$3,0))))*(1-Inputs_General!$C$22*Parameters!$F$5))</f>
        <v>16.1674581450365</v>
      </c>
      <c r="AB49" s="44" t="n">
        <f aca="false">MIN(100,MAX(Y49*(1+INDEX(Response_Table!$F$4:$F$21,MATCH($F49&amp;"|low",Response_Table!$A$4:$A$21,0))*$R49*INDEX(Parameters!$X$5:$AA$5,1,MATCH($E49,Parameters!$X$3:$AA$3,0))),Y49*(1+INDEX(Response_Table!$F$4:$F$21,MATCH($F49&amp;"|high",Response_Table!$A$4:$A$21,0))*$R49*INDEX(Parameters!$X$5:$AA$5,1,MATCH($E49,Parameters!$X$3:$AA$3,0))))*(1+Inputs_General!$C$22*Parameters!$F$5))</f>
        <v>44.4244550736007</v>
      </c>
      <c r="AC49" s="45" t="n">
        <f aca="false">IF(Y49=0,0,Z49/Y49-1)</f>
        <v>-0.550322260144565</v>
      </c>
      <c r="AD49" s="44" t="n">
        <f aca="false">Parameters!$E$6*IF($N49="V",Parameters!$I$6,IF($N49="F",Parameters!$J$6,Parameters!$K$6))*(1-Parameters!$L$6*$P49)*IF($D49="V1",Parameters!$M$6,IF($D49="V2",Parameters!$N$6,Parameters!$O$6))</f>
        <v>14.3019785714286</v>
      </c>
      <c r="AE49" s="44" t="n">
        <f aca="false">AD49*(1+INDEX(Response_Table!$G$4:$G$21,MATCH($F49&amp;"|mid",Response_Table!$A$4:$A$21,0))*$R49*INDEX(Parameters!$X$6:$AA$6,1,MATCH($E49,Parameters!$X$3:$AA$3,0)))</f>
        <v>4.71956042186306</v>
      </c>
      <c r="AF49" s="44" t="n">
        <f aca="false">MAX(0,MIN(AD49*(1+INDEX(Response_Table!$G$4:$G$21,MATCH($F49&amp;"|low",Response_Table!$A$4:$A$21,0))*$R49*INDEX(Parameters!$X$6:$AA$6,1,MATCH($E49,Parameters!$X$3:$AA$3,0))),AD49*(1+INDEX(Response_Table!$G$4:$G$21,MATCH($F49&amp;"|high",Response_Table!$A$4:$A$21,0))*$R49*INDEX(Parameters!$X$6:$AA$6,1,MATCH($E49,Parameters!$X$3:$AA$3,0))))*(1-Inputs_General!$C$22*Parameters!$F$6))</f>
        <v>3.05808849290009</v>
      </c>
      <c r="AG49" s="44" t="n">
        <f aca="false">MAX(AD49*(1+INDEX(Response_Table!$G$4:$G$21,MATCH($F49&amp;"|low",Response_Table!$A$4:$A$21,0))*$R49*INDEX(Parameters!$X$6:$AA$6,1,MATCH($E49,Parameters!$X$3:$AA$3,0))),AD49*(1+INDEX(Response_Table!$G$4:$G$21,MATCH($F49&amp;"|high",Response_Table!$A$4:$A$21,0))*$R49*INDEX(Parameters!$X$6:$AA$6,1,MATCH($E49,Parameters!$X$3:$AA$3,0))))*(1+Inputs_General!$C$22*Parameters!$F$6)</f>
        <v>7.49736325014977</v>
      </c>
      <c r="AH49" s="45" t="n">
        <f aca="false">IF(AD49=0,0,AE49/AD49-1)</f>
        <v>-0.670006468105648</v>
      </c>
      <c r="AI49" s="46" t="n">
        <f aca="false">Parameters!$E$7*IF($N49="V",Parameters!$I$7,IF($N49="F",Parameters!$J$7,Parameters!$K$7))*(1-Parameters!$L$7*$P49)*IF($D49="V1",Parameters!$M$7,IF($D49="V2",Parameters!$N$7,Parameters!$O$7))*POWER($Q49/Inputs_General!$C$26,-Inputs_General!$C$25)</f>
        <v>0.258501574676089</v>
      </c>
      <c r="AJ49" s="46" t="n">
        <f aca="false">AI49*(1+INDEX(Response_Table!$H$4:$H$21,MATCH($F49&amp;"|mid",Response_Table!$A$4:$A$21,0))*$R49*INDEX(Parameters!$X$7:$AA$7,1,MATCH($E49,Parameters!$X$3:$AA$3,0)))</f>
        <v>0.132784659119565</v>
      </c>
      <c r="AK49" s="46" t="n">
        <f aca="false">MAX(0,MIN(AI49*(1+INDEX(Response_Table!$H$4:$H$21,MATCH($F49&amp;"|low",Response_Table!$A$4:$A$21,0))*$R49*INDEX(Parameters!$X$7:$AA$7,1,MATCH($E49,Parameters!$X$3:$AA$3,0))),AI49*(1+INDEX(Response_Table!$H$4:$H$21,MATCH($F49&amp;"|high",Response_Table!$A$4:$A$21,0))*$R49*INDEX(Parameters!$X$7:$AA$7,1,MATCH($E49,Parameters!$X$3:$AA$3,0))))*(1-Inputs_General!$C$22*Parameters!$F$7))</f>
        <v>0.0808878165545517</v>
      </c>
      <c r="AL49" s="46" t="n">
        <f aca="false">MAX(AI49*(1+INDEX(Response_Table!$H$4:$H$21,MATCH($F49&amp;"|low",Response_Table!$A$4:$A$21,0))*$R49*INDEX(Parameters!$X$7:$AA$7,1,MATCH($E49,Parameters!$X$3:$AA$3,0))),AI49*(1+INDEX(Response_Table!$H$4:$H$21,MATCH($F49&amp;"|high",Response_Table!$A$4:$A$21,0))*$R49*INDEX(Parameters!$X$7:$AA$7,1,MATCH($E49,Parameters!$X$3:$AA$3,0))))*(1+Inputs_General!$C$22*Parameters!$F$7)</f>
        <v>0.205301594481939</v>
      </c>
      <c r="AM49" s="45" t="n">
        <f aca="false">IF(AI49=0,0,AJ49/AI49-1)</f>
        <v>-0.486329399401343</v>
      </c>
      <c r="AN49" s="43" t="n">
        <f aca="false">AI49*$Q49/Inputs_General!$C$13*1000</f>
        <v>5.69967952720096</v>
      </c>
      <c r="AO49" s="43" t="n">
        <f aca="false">AJ49*$Q49/Inputs_General!$C$13*1000*(1+Inputs_General!$C$21*$I49)</f>
        <v>3.20589479752312</v>
      </c>
      <c r="AP49" s="43" t="n">
        <f aca="false">AK49*$Q49/Inputs_General!$C$13*1000*(1+Inputs_General!$C$21*$H49)</f>
        <v>1.89941544345424</v>
      </c>
      <c r="AQ49" s="43" t="n">
        <f aca="false">AL49*$Q49/Inputs_General!$C$13*1000*(1+Inputs_General!$C$21*$J49)</f>
        <v>5.09251233185424</v>
      </c>
      <c r="AR49" s="45" t="n">
        <f aca="false">IF(AN49=0,0,AO49/AN49-1)</f>
        <v>-0.43753069234447</v>
      </c>
      <c r="AS49" s="42" t="n">
        <f aca="false">Parameters!$E$9*IF($N49="V",Parameters!$I$9,IF($N49="F",Parameters!$J$9,Parameters!$K$9))*(1-Parameters!$L$9*$P49)*IF($D49="V1",Parameters!$M$9,IF($D49="V2",Parameters!$N$9,Parameters!$O$9))</f>
        <v>293.55</v>
      </c>
      <c r="AT49" s="42" t="n">
        <f aca="false">AS49*(1+INDEX(Response_Table!$I$4:$I$21,MATCH($F49&amp;"|mid",Response_Table!$A$4:$A$21,0))*$R49*INDEX(Parameters!$X$9:$AA$9,1,MATCH($E49,Parameters!$X$3:$AA$3,0)))</f>
        <v>369.234551443109</v>
      </c>
      <c r="AU49" s="42" t="n">
        <f aca="false">MAX(0,MIN(AS49*(1+INDEX(Response_Table!$I$4:$I$21,MATCH($F49&amp;"|low",Response_Table!$A$4:$A$21,0))*$R49*INDEX(Parameters!$X$9:$AA$9,1,MATCH($E49,Parameters!$X$3:$AA$3,0))),AS49*(1+INDEX(Response_Table!$I$4:$I$21,MATCH($F49&amp;"|high",Response_Table!$A$4:$A$21,0))*$R49*INDEX(Parameters!$X$9:$AA$9,1,MATCH($E49,Parameters!$X$3:$AA$3,0))))*(1-Inputs_General!$C$22*Parameters!$F$9))</f>
        <v>321.026669658177</v>
      </c>
      <c r="AV49" s="42" t="n">
        <f aca="false">MAX(AS49*(1+INDEX(Response_Table!$I$4:$I$21,MATCH($F49&amp;"|low",Response_Table!$A$4:$A$21,0))*$R49*INDEX(Parameters!$X$9:$AA$9,1,MATCH($E49,Parameters!$X$3:$AA$3,0))),AS49*(1+INDEX(Response_Table!$I$4:$I$21,MATCH($F49&amp;"|high",Response_Table!$A$4:$A$21,0))*$R49*INDEX(Parameters!$X$9:$AA$9,1,MATCH($E49,Parameters!$X$3:$AA$3,0))))*(1+Inputs_General!$C$22*Parameters!$F$9)</f>
        <v>414.552000142396</v>
      </c>
      <c r="AW49" s="45" t="n">
        <f aca="false">IF(AS49=0,0,AT49/AS49-1)</f>
        <v>0.257825077305769</v>
      </c>
      <c r="AX49" s="43" t="n">
        <f aca="false">INDEX(Context!$AB$4:$AB$51,$K49)</f>
        <v>2.6539155416324</v>
      </c>
      <c r="AY49" s="43" t="n">
        <f aca="false">AX49*(1+INDEX(Response_Table!$J$4:$J$21,MATCH($F49&amp;"|mid",Response_Table!$A$4:$A$21,0))*$R49*INDEX(Parameters!$X$10:$AA$10,1,MATCH($E49,Parameters!$X$3:$AA$3,0)))</f>
        <v>1.84828446482706</v>
      </c>
      <c r="AZ49" s="43" t="n">
        <f aca="false">MAX(0,MIN(AX49*(1+INDEX(Response_Table!$J$4:$J$21,MATCH($F49&amp;"|low",Response_Table!$A$4:$A$21,0))*$R49*INDEX(Parameters!$X$10:$AA$10,1,MATCH($E49,Parameters!$X$3:$AA$3,0))),AX49*(1+INDEX(Response_Table!$J$4:$J$21,MATCH($F49&amp;"|high",Response_Table!$A$4:$A$21,0))*$R49*INDEX(Parameters!$X$10:$AA$10,1,MATCH($E49,Parameters!$X$3:$AA$3,0))))*(1-Inputs_General!$C$22*Parameters!$F$10))</f>
        <v>1.37774742776804</v>
      </c>
      <c r="BA49" s="43" t="n">
        <f aca="false">MAX(AX49*(1+INDEX(Response_Table!$J$4:$J$21,MATCH($F49&amp;"|low",Response_Table!$A$4:$A$21,0))*$R49*INDEX(Parameters!$X$10:$AA$10,1,MATCH($E49,Parameters!$X$3:$AA$3,0))),AX49*(1+INDEX(Response_Table!$J$4:$J$21,MATCH($F49&amp;"|high",Response_Table!$A$4:$A$21,0))*$R49*INDEX(Parameters!$X$10:$AA$10,1,MATCH($E49,Parameters!$X$3:$AA$3,0))))*(1+Inputs_General!$C$22*Parameters!$F$10)</f>
        <v>2.42597158098421</v>
      </c>
      <c r="BB49" s="45" t="n">
        <f aca="false">IF(AX49=0,0,AY49/AX49-1)</f>
        <v>-0.303563193390022</v>
      </c>
      <c r="BC49" s="46" t="n">
        <f aca="false">Parameters!$E$11*IF($N49="V",Parameters!$I$11,IF($N49="F",Parameters!$J$11,Parameters!$K$11))*(1-Parameters!$L$11*$P49)*IF($D49="V1",Parameters!$M$11,IF($D49="V2",Parameters!$N$11,Parameters!$O$11))</f>
        <v>1.00170982142857</v>
      </c>
      <c r="BD49" s="46" t="n">
        <f aca="false">BC49*(1+INDEX(Response_Table!$K$4:$K$21,MATCH($F49&amp;"|mid",Response_Table!$A$4:$A$21,0))*$R49*INDEX(Parameters!$X$11:$AA$11,1,MATCH($E49,Parameters!$X$3:$AA$3,0)))</f>
        <v>0.497785289767803</v>
      </c>
      <c r="BE49" s="46" t="n">
        <f aca="false">MAX(0,MIN(BC49*(1+INDEX(Response_Table!$K$4:$K$21,MATCH($F49&amp;"|low",Response_Table!$A$4:$A$21,0))*$R49*INDEX(Parameters!$X$11:$AA$11,1,MATCH($E49,Parameters!$X$3:$AA$3,0))),BC49*(1+INDEX(Response_Table!$K$4:$K$21,MATCH($F49&amp;"|high",Response_Table!$A$4:$A$21,0))*$R49*INDEX(Parameters!$X$11:$AA$11,1,MATCH($E49,Parameters!$X$3:$AA$3,0))))*(1-Inputs_General!$C$22*Parameters!$F$11))</f>
        <v>0.359340305681349</v>
      </c>
      <c r="BF49" s="46" t="n">
        <f aca="false">MAX(BC49*(1+INDEX(Response_Table!$K$4:$K$21,MATCH($F49&amp;"|low",Response_Table!$A$4:$A$21,0))*$R49*INDEX(Parameters!$X$11:$AA$11,1,MATCH($E49,Parameters!$X$3:$AA$3,0))),BC49*(1+INDEX(Response_Table!$K$4:$K$21,MATCH($F49&amp;"|high",Response_Table!$A$4:$A$21,0))*$R49*INDEX(Parameters!$X$11:$AA$11,1,MATCH($E49,Parameters!$X$3:$AA$3,0))))*(1+Inputs_General!$C$22*Parameters!$F$11)</f>
        <v>0.695406358912333</v>
      </c>
      <c r="BG49" s="45" t="n">
        <f aca="false">IF(BC49=0,0,BD49/BC49-1)</f>
        <v>-0.503064381401497</v>
      </c>
      <c r="BH49" s="46" t="n">
        <f aca="false">Parameters!$E$12*IF($N49="V",Parameters!$I$12,IF($N49="F",Parameters!$J$12,Parameters!$K$12))*(1-Parameters!$L$12*$P49)*IF($D49="V1",Parameters!$M$12,IF($D49="V2",Parameters!$N$12,Parameters!$O$12))</f>
        <v>0.373343142857143</v>
      </c>
      <c r="BI49" s="46" t="n">
        <f aca="false">BH49*(1+INDEX(Response_Table!$L$4:$L$21,MATCH($F49&amp;"|mid",Response_Table!$A$4:$A$21,0))*$R49*INDEX(Parameters!$X$12:$AA$12,1,MATCH($E49,Parameters!$X$3:$AA$3,0)))</f>
        <v>0.219708895872561</v>
      </c>
      <c r="BJ49" s="46" t="n">
        <f aca="false">MAX(0,MIN(BH49*(1+INDEX(Response_Table!$L$4:$L$21,MATCH($F49&amp;"|low",Response_Table!$A$4:$A$21,0))*$R49*INDEX(Parameters!$X$12:$AA$12,1,MATCH($E49,Parameters!$X$3:$AA$3,0))),BH49*(1+INDEX(Response_Table!$L$4:$L$21,MATCH($F49&amp;"|high",Response_Table!$A$4:$A$21,0))*$R49*INDEX(Parameters!$X$12:$AA$12,1,MATCH($E49,Parameters!$X$3:$AA$3,0))))*(1-Inputs_General!$C$22*Parameters!$F$12))</f>
        <v>0.158810085707789</v>
      </c>
      <c r="BK49" s="46" t="n">
        <f aca="false">MAX(BH49*(1+INDEX(Response_Table!$L$4:$L$21,MATCH($F49&amp;"|low",Response_Table!$A$4:$A$21,0))*$R49*INDEX(Parameters!$X$12:$AA$12,1,MATCH($E49,Parameters!$X$3:$AA$3,0))),BH49*(1+INDEX(Response_Table!$L$4:$L$21,MATCH($F49&amp;"|high",Response_Table!$A$4:$A$21,0))*$R49*INDEX(Parameters!$X$12:$AA$12,1,MATCH($E49,Parameters!$X$3:$AA$3,0))))*(1+Inputs_General!$C$22*Parameters!$F$12)</f>
        <v>0.30056164871584</v>
      </c>
      <c r="BL49" s="45" t="n">
        <f aca="false">IF(BH49=0,0,BI49/BH49-1)</f>
        <v>-0.411509491801136</v>
      </c>
      <c r="BM49" s="46" t="n">
        <f aca="false">Parameters!$E$13*IF($N49="V",Parameters!$I$13,IF($N49="F",Parameters!$J$13,Parameters!$K$13))*(1-Parameters!$L$13*$P49)*IF($D49="V1",Parameters!$M$13,IF($D49="V2",Parameters!$N$13,Parameters!$O$13))</f>
        <v>0.262276071428571</v>
      </c>
      <c r="BN49" s="46" t="n">
        <f aca="false">BM49*(1+INDEX(Response_Table!$M$4:$M$21,MATCH($F49&amp;"|mid",Response_Table!$A$4:$A$21,0))*$R49*INDEX(Parameters!$X$13:$AA$13,1,MATCH($E49,Parameters!$X$3:$AA$3,0)))</f>
        <v>0.190448877877831</v>
      </c>
      <c r="BO49" s="46" t="n">
        <f aca="false">MAX(0,MIN(BM49*(1+INDEX(Response_Table!$M$4:$M$21,MATCH($F49&amp;"|low",Response_Table!$A$4:$A$21,0))*$R49*INDEX(Parameters!$X$13:$AA$13,1,MATCH($E49,Parameters!$X$3:$AA$3,0))),BM49*(1+INDEX(Response_Table!$M$4:$M$21,MATCH($F49&amp;"|high",Response_Table!$A$4:$A$21,0))*$R49*INDEX(Parameters!$X$13:$AA$13,1,MATCH($E49,Parameters!$X$3:$AA$3,0))))*(1-Inputs_General!$C$22*Parameters!$F$13))</f>
        <v>0.140668662873728</v>
      </c>
      <c r="BP49" s="46" t="n">
        <f aca="false">MAX(BM49*(1+INDEX(Response_Table!$M$4:$M$21,MATCH($F49&amp;"|low",Response_Table!$A$4:$A$21,0))*$R49*INDEX(Parameters!$X$13:$AA$13,1,MATCH($E49,Parameters!$X$3:$AA$3,0))),BM49*(1+INDEX(Response_Table!$M$4:$M$21,MATCH($F49&amp;"|high",Response_Table!$A$4:$A$21,0))*$R49*INDEX(Parameters!$X$13:$AA$13,1,MATCH($E49,Parameters!$X$3:$AA$3,0))))*(1+Inputs_General!$C$22*Parameters!$F$13)</f>
        <v>0.257344943531103</v>
      </c>
      <c r="BQ49" s="45" t="n">
        <f aca="false">IF(BM49=0,0,BN49/BM49-1)</f>
        <v>-0.273861024223485</v>
      </c>
      <c r="BR49" s="44" t="n">
        <f aca="false">Parameters!$E$14*IF($N49="V",Parameters!$I$14,IF($N49="F",Parameters!$J$14,Parameters!$K$14))*(1-Parameters!$L$14*$P49)*IF($D49="V1",Parameters!$M$14,IF($D49="V2",Parameters!$N$14,Parameters!$O$14))*INDEX(Context!$AC$4:$AC$51,$K49)</f>
        <v>17.25</v>
      </c>
      <c r="BS49" s="44" t="n">
        <f aca="false">BR49*(1+INDEX(Response_Table!$N$4:$N$21,MATCH($F49&amp;"|mid",Response_Table!$A$4:$A$21,0))*$R49*INDEX(Parameters!$X$14:$AA$14,1,MATCH($E49,Parameters!$X$3:$AA$3,0)))</f>
        <v>24.9938604366214</v>
      </c>
      <c r="BT49" s="44" t="n">
        <f aca="false">MAX(0,MIN(BR49*(1+INDEX(Response_Table!$N$4:$N$21,MATCH($F49&amp;"|low",Response_Table!$A$4:$A$21,0))*$R49*INDEX(Parameters!$X$14:$AA$14,1,MATCH($E49,Parameters!$X$3:$AA$3,0))),BR49*(1+INDEX(Response_Table!$N$4:$N$21,MATCH($F49&amp;"|high",Response_Table!$A$4:$A$21,0))*$R49*INDEX(Parameters!$X$14:$AA$14,1,MATCH($E49,Parameters!$X$3:$AA$3,0))))*(1-Inputs_General!$C$22*Parameters!$F$14))</f>
        <v>11.8602280897934</v>
      </c>
      <c r="BU49" s="44" t="n">
        <f aca="false">MAX(BR49*(1+INDEX(Response_Table!$N$4:$N$21,MATCH($F49&amp;"|low",Response_Table!$A$4:$A$21,0))*$R49*INDEX(Parameters!$X$14:$AA$14,1,MATCH($E49,Parameters!$X$3:$AA$3,0))),BR49*(1+INDEX(Response_Table!$N$4:$N$21,MATCH($F49&amp;"|high",Response_Table!$A$4:$A$21,0))*$R49*INDEX(Parameters!$X$14:$AA$14,1,MATCH($E49,Parameters!$X$3:$AA$3,0))))*(1+Inputs_General!$C$22*Parameters!$F$14)</f>
        <v>38.9723793797416</v>
      </c>
      <c r="BV49" s="45" t="n">
        <f aca="false">IF(BR49=0,0,BS49/BR49-1)</f>
        <v>0.44891944560124</v>
      </c>
      <c r="BW49" s="43" t="n">
        <f aca="false">Parameters!$E$15*IF($N49="V",Parameters!$I$15,IF($N49="F",Parameters!$J$15,Parameters!$K$15))*(1-Parameters!$L$15*$P49)*IF($D49="V1",Parameters!$M$15,IF($D49="V2",Parameters!$N$15,Parameters!$O$15))</f>
        <v>8.34931028571429</v>
      </c>
      <c r="BX49" s="43" t="n">
        <f aca="false">BW49*(1+INDEX(Response_Table!$O$4:$O$21,MATCH($F49&amp;"|mid",Response_Table!$A$4:$A$21,0))*$R49*INDEX(Parameters!$X$15:$AA$15,1,MATCH($E49,Parameters!$X$3:$AA$3,0)))</f>
        <v>7.41226834956039</v>
      </c>
      <c r="BY49" s="43" t="n">
        <f aca="false">MAX(0,MIN(BW49*(1+INDEX(Response_Table!$O$4:$O$21,MATCH($F49&amp;"|low",Response_Table!$A$4:$A$21,0))*$R49*INDEX(Parameters!$X$15:$AA$15,1,MATCH($E49,Parameters!$X$3:$AA$3,0))),BW49*(1+INDEX(Response_Table!$O$4:$O$21,MATCH($F49&amp;"|high",Response_Table!$A$4:$A$21,0))*$R49*INDEX(Parameters!$X$15:$AA$15,1,MATCH($E49,Parameters!$X$3:$AA$3,0))))*(1-Inputs_General!$C$22*Parameters!$F$15))</f>
        <v>5.842178591405</v>
      </c>
      <c r="BZ49" s="43" t="n">
        <f aca="false">MAX(BW49*(1+INDEX(Response_Table!$O$4:$O$21,MATCH($F49&amp;"|low",Response_Table!$A$4:$A$21,0))*$R49*INDEX(Parameters!$X$15:$AA$15,1,MATCH($E49,Parameters!$X$3:$AA$3,0))),BW49*(1+INDEX(Response_Table!$O$4:$O$21,MATCH($F49&amp;"|high",Response_Table!$A$4:$A$21,0))*$R49*INDEX(Parameters!$X$15:$AA$15,1,MATCH($E49,Parameters!$X$3:$AA$3,0))))*(1+Inputs_General!$C$22*Parameters!$F$15)</f>
        <v>9.10406066719295</v>
      </c>
      <c r="CA49" s="45" t="n">
        <f aca="false">IF(BW49=0,0,BX49/BW49-1)</f>
        <v>-0.11222986140031</v>
      </c>
      <c r="CB49" s="46" t="n">
        <f aca="false">BD49+BI49</f>
        <v>0.717494185640364</v>
      </c>
      <c r="CC49" s="43" t="n">
        <f aca="false">BD49/BI49</f>
        <v>2.26565832844809</v>
      </c>
      <c r="CD49" s="46" t="n">
        <f aca="false">BN49/CB49</f>
        <v>0.265436127134403</v>
      </c>
      <c r="CE49" s="43" t="n">
        <f aca="false">AE49/AO49</f>
        <v>1.47215074727636</v>
      </c>
      <c r="CF49" s="44" t="n">
        <f aca="false">AE49/AJ49</f>
        <v>35.5429644746337</v>
      </c>
      <c r="CG49" s="44" t="n">
        <f aca="false">INDEX(Context!$V$4:$V$51,$K49)</f>
        <v>32.7871428571429</v>
      </c>
      <c r="CH49" s="44" t="n">
        <f aca="false">INDEX(Context!$Y$4:$Y$51,$K49)</f>
        <v>28.36912210206</v>
      </c>
      <c r="CI49" s="44" t="n">
        <f aca="false">INDEX(Context!$Z$4:$Z$51,$K49)</f>
        <v>36.7871428571429</v>
      </c>
      <c r="CJ49" s="43" t="n">
        <f aca="false">INDEX(Context!$AA$4:$AA$51,$K49)</f>
        <v>0.347678571428571</v>
      </c>
      <c r="CK49" s="43" t="n">
        <f aca="false">MAX(0,MIN(1,1-(1-CJ49)*AO49/AN49))</f>
        <v>0.633089217702562</v>
      </c>
      <c r="CL49" s="44" t="n">
        <f aca="false">CH49+CK49*(CI49-CH49)</f>
        <v>33.6984802764994</v>
      </c>
      <c r="CM49" s="44" t="n">
        <f aca="false">CH49+MAX(0,MIN(1,1-(1-CJ49)*AQ49/AN49))*(CI49-CH49)</f>
        <v>31.88085201659</v>
      </c>
      <c r="CN49" s="44" t="n">
        <f aca="false">CH49+MAX(0,MIN(1,1-(1-CJ49)*AP49/AN49))*(CI49-CH49)</f>
        <v>34.9571846782824</v>
      </c>
      <c r="CO49" s="44" t="n">
        <f aca="false">CL49-CG49</f>
        <v>0.911337419356499</v>
      </c>
      <c r="CP49" s="44" t="n">
        <f aca="false">CL49-(CH49+CJ49*(CI49-CH49))</f>
        <v>2.40259274405606</v>
      </c>
      <c r="CQ49" s="46" t="n">
        <f aca="false">CL49/CG49</f>
        <v>1.02779557289659</v>
      </c>
      <c r="CR49" s="43" t="n">
        <f aca="false">IF(CL49-CH49&lt;=0,"n/a",(CI49-CL49)/(CL49-CH49))</f>
        <v>0.579556201618678</v>
      </c>
      <c r="CS49" s="43" t="n">
        <f aca="false">IF(CI49-CL49&lt;=0,"n/a",(CL49-CH49)/(CI49-CL49))</f>
        <v>1.72545819923424</v>
      </c>
      <c r="CT49" s="43" t="n">
        <f aca="false">Inputs_General!$C$23+Inputs_General!$C$24*$I49</f>
        <v>1.36</v>
      </c>
      <c r="CU49" s="44" t="n">
        <f aca="false">3.29*CT49</f>
        <v>4.4744</v>
      </c>
    </row>
    <row r="50" customFormat="false" ht="15" hidden="false" customHeight="false" outlineLevel="0" collapsed="false">
      <c r="A50" s="9" t="str">
        <f aca="false">B50&amp;"|"&amp;E50&amp;"|"&amp;F50</f>
        <v>D1V2|13/03/2026|Very high</v>
      </c>
      <c r="B50" s="7" t="s">
        <v>343</v>
      </c>
      <c r="C50" s="9" t="s">
        <v>127</v>
      </c>
      <c r="D50" s="9" t="s">
        <v>146</v>
      </c>
      <c r="E50" s="9" t="s">
        <v>164</v>
      </c>
      <c r="F50" s="7" t="s">
        <v>285</v>
      </c>
      <c r="G50" s="9" t="s">
        <v>286</v>
      </c>
      <c r="H50" s="41" t="n">
        <f aca="false">INDEX(Severity_Classes!$C$4:$C$9,MATCH(F50,Severity_Classes!$A$4:$A$9,0))</f>
        <v>0.51</v>
      </c>
      <c r="I50" s="41" t="n">
        <f aca="false">INDEX(Severity_Classes!$D$4:$D$9,MATCH(F50,Severity_Classes!$A$4:$A$9,0))</f>
        <v>0.65</v>
      </c>
      <c r="J50" s="41" t="n">
        <f aca="false">INDEX(Severity_Classes!$E$4:$E$9,MATCH(F50,Severity_Classes!$A$4:$A$9,0))</f>
        <v>0.85</v>
      </c>
      <c r="K50" s="42" t="n">
        <f aca="false">MATCH(B50&amp;"|"&amp;E50,Context!$A$4:$A$51,0)</f>
        <v>8</v>
      </c>
      <c r="L50" s="42" t="n">
        <f aca="false">INDEX(Context!$H$4:$H$51,K50)</f>
        <v>94</v>
      </c>
      <c r="M50" s="42" t="n">
        <f aca="false">INDEX(Context!$I$4:$I$51,K50)</f>
        <v>36</v>
      </c>
      <c r="N50" s="9" t="str">
        <f aca="false">INDEX(Context!$L$4:$L$51,K50)</f>
        <v>P</v>
      </c>
      <c r="O50" s="9" t="str">
        <f aca="false">INDEX(Context!$M$4:$M$51,K50)</f>
        <v>5th fully expanded leaf from top</v>
      </c>
      <c r="P50" s="43" t="n">
        <f aca="false">INDEX(Context!$R$4:$R$51,K50)</f>
        <v>0.953571428571428</v>
      </c>
      <c r="Q50" s="43" t="n">
        <f aca="false">INDEX(Context!$U$4:$U$51,K50)</f>
        <v>2.18945736698217</v>
      </c>
      <c r="R50" s="43" t="n">
        <f aca="false">INDEX(Context!$AD$4:$AD$51,K50)</f>
        <v>1.1</v>
      </c>
      <c r="S50" s="9" t="str">
        <f aca="false">INDEX(Context!$AI$4:$AN$51,K50,MATCH(F50,Severity_Classes!$A$4:$A$9,0))</f>
        <v>Likely</v>
      </c>
      <c r="T50" s="44" t="n">
        <f aca="false">Parameters!$E$4*IF($N50="V",Parameters!$I$4,IF($N50="F",Parameters!$J$4,Parameters!$K$4))*(1-Parameters!$L$4*$P50)*IF($D50="V1",Parameters!$M$4,IF($D50="V2",Parameters!$N$4,Parameters!$O$4))</f>
        <v>77.8046607142857</v>
      </c>
      <c r="U50" s="44" t="n">
        <f aca="false">MIN(100,T50*(1+INDEX(Response_Table!$E$4:$E$21,MATCH($F50&amp;"|mid",Response_Table!$A$4:$A$21,0))*$R50*INDEX(Parameters!$X$4:$AA$4,1,MATCH($E50,Parameters!$X$3:$AA$3,0))))</f>
        <v>54.1822196251207</v>
      </c>
      <c r="V50" s="44" t="n">
        <f aca="false">MAX(0,MIN(T50*(1+INDEX(Response_Table!$E$4:$E$21,MATCH($F50&amp;"|low",Response_Table!$A$4:$A$21,0))*$R50*INDEX(Parameters!$X$4:$AA$4,1,MATCH($E50,Parameters!$X$3:$AA$3,0))),T50*(1+INDEX(Response_Table!$E$4:$E$21,MATCH($F50&amp;"|high",Response_Table!$A$4:$A$21,0))*$R50*INDEX(Parameters!$X$4:$AA$4,1,MATCH($E50,Parameters!$X$3:$AA$3,0))))*(1-Inputs_General!$C$22*Parameters!$F$4))</f>
        <v>49.0850421200197</v>
      </c>
      <c r="W50" s="44" t="n">
        <f aca="false">MIN(100,MAX(T50*(1+INDEX(Response_Table!$E$4:$E$21,MATCH($F50&amp;"|low",Response_Table!$A$4:$A$21,0))*$R50*INDEX(Parameters!$X$4:$AA$4,1,MATCH($E50,Parameters!$X$3:$AA$3,0))),T50*(1+INDEX(Response_Table!$E$4:$E$21,MATCH($F50&amp;"|high",Response_Table!$A$4:$A$21,0))*$R50*INDEX(Parameters!$X$4:$AA$4,1,MATCH($E50,Parameters!$X$3:$AA$3,0))))*(1+Inputs_General!$C$22*Parameters!$F$4))</f>
        <v>61.5767011083792</v>
      </c>
      <c r="X50" s="45" t="n">
        <f aca="false">IF(T50=0,0,U50/T50-1)</f>
        <v>-0.30361215989247</v>
      </c>
      <c r="Y50" s="44" t="n">
        <f aca="false">Parameters!$E$5*IF($N50="V",Parameters!$I$5,IF($N50="F",Parameters!$J$5,Parameters!$K$5))*(1-Parameters!$L$5*$P50)*IF($D50="V1",Parameters!$M$5,IF($D50="V2",Parameters!$N$5,Parameters!$O$5))</f>
        <v>58.6602514285714</v>
      </c>
      <c r="Z50" s="44" t="n">
        <f aca="false">MIN(100,Y50*(1+INDEX(Response_Table!$F$4:$F$21,MATCH($F50&amp;"|mid",Response_Table!$A$4:$A$21,0))*$R50*INDEX(Parameters!$X$5:$AA$5,1,MATCH($E50,Parameters!$X$3:$AA$3,0))))</f>
        <v>14.6479061454231</v>
      </c>
      <c r="AA50" s="44" t="n">
        <f aca="false">MAX(0,MIN(Y50*(1+INDEX(Response_Table!$F$4:$F$21,MATCH($F50&amp;"|low",Response_Table!$A$4:$A$21,0))*$R50*INDEX(Parameters!$X$5:$AA$5,1,MATCH($E50,Parameters!$X$3:$AA$3,0))),Y50*(1+INDEX(Response_Table!$F$4:$F$21,MATCH($F50&amp;"|high",Response_Table!$A$4:$A$21,0))*$R50*INDEX(Parameters!$X$5:$AA$5,1,MATCH($E50,Parameters!$X$3:$AA$3,0))))*(1-Inputs_General!$C$22*Parameters!$F$5))</f>
        <v>12.0796584401347</v>
      </c>
      <c r="AB50" s="44" t="n">
        <f aca="false">MIN(100,MAX(Y50*(1+INDEX(Response_Table!$F$4:$F$21,MATCH($F50&amp;"|low",Response_Table!$A$4:$A$21,0))*$R50*INDEX(Parameters!$X$5:$AA$5,1,MATCH($E50,Parameters!$X$3:$AA$3,0))),Y50*(1+INDEX(Response_Table!$F$4:$F$21,MATCH($F50&amp;"|high",Response_Table!$A$4:$A$21,0))*$R50*INDEX(Parameters!$X$5:$AA$5,1,MATCH($E50,Parameters!$X$3:$AA$3,0))))*(1+Inputs_General!$C$22*Parameters!$F$5))</f>
        <v>19.9143736599404</v>
      </c>
      <c r="AC50" s="45" t="n">
        <f aca="false">IF(Y50=0,0,Z50/Y50-1)</f>
        <v>-0.750292475932201</v>
      </c>
      <c r="AD50" s="44" t="n">
        <f aca="false">Parameters!$E$6*IF($N50="V",Parameters!$I$6,IF($N50="F",Parameters!$J$6,Parameters!$K$6))*(1-Parameters!$L$6*$P50)*IF($D50="V1",Parameters!$M$6,IF($D50="V2",Parameters!$N$6,Parameters!$O$6))</f>
        <v>14.3019785714286</v>
      </c>
      <c r="AE50" s="44" t="n">
        <f aca="false">AD50*(1+INDEX(Response_Table!$G$4:$G$21,MATCH($F50&amp;"|mid",Response_Table!$A$4:$A$21,0))*$R50*INDEX(Parameters!$X$6:$AA$6,1,MATCH($E50,Parameters!$X$3:$AA$3,0)))</f>
        <v>3.17856793025642</v>
      </c>
      <c r="AF50" s="44" t="n">
        <f aca="false">MAX(0,MIN(AD50*(1+INDEX(Response_Table!$G$4:$G$21,MATCH($F50&amp;"|low",Response_Table!$A$4:$A$21,0))*$R50*INDEX(Parameters!$X$6:$AA$6,1,MATCH($E50,Parameters!$X$3:$AA$3,0))),AD50*(1+INDEX(Response_Table!$G$4:$G$21,MATCH($F50&amp;"|high",Response_Table!$A$4:$A$21,0))*$R50*INDEX(Parameters!$X$6:$AA$6,1,MATCH($E50,Parameters!$X$3:$AA$3,0))))*(1-Inputs_General!$C$22*Parameters!$F$6))</f>
        <v>2.23373536736416</v>
      </c>
      <c r="AG50" s="44" t="n">
        <f aca="false">MAX(AD50*(1+INDEX(Response_Table!$G$4:$G$21,MATCH($F50&amp;"|low",Response_Table!$A$4:$A$21,0))*$R50*INDEX(Parameters!$X$6:$AA$6,1,MATCH($E50,Parameters!$X$3:$AA$3,0))),AD50*(1+INDEX(Response_Table!$G$4:$G$21,MATCH($F50&amp;"|high",Response_Table!$A$4:$A$21,0))*$R50*INDEX(Parameters!$X$6:$AA$6,1,MATCH($E50,Parameters!$X$3:$AA$3,0))))*(1+Inputs_General!$C$22*Parameters!$F$6)</f>
        <v>4.49497948279818</v>
      </c>
      <c r="AH50" s="45" t="n">
        <f aca="false">IF(AD50=0,0,AE50/AD50-1)</f>
        <v>-0.77775327278099</v>
      </c>
      <c r="AI50" s="46" t="n">
        <f aca="false">Parameters!$E$7*IF($N50="V",Parameters!$I$7,IF($N50="F",Parameters!$J$7,Parameters!$K$7))*(1-Parameters!$L$7*$P50)*IF($D50="V1",Parameters!$M$7,IF($D50="V2",Parameters!$N$7,Parameters!$O$7))*POWER($Q50/Inputs_General!$C$26,-Inputs_General!$C$25)</f>
        <v>0.258501574676089</v>
      </c>
      <c r="AJ50" s="46" t="n">
        <f aca="false">AI50*(1+INDEX(Response_Table!$H$4:$H$21,MATCH($F50&amp;"|mid",Response_Table!$A$4:$A$21,0))*$R50*INDEX(Parameters!$X$7:$AA$7,1,MATCH($E50,Parameters!$X$3:$AA$3,0)))</f>
        <v>0.0999692699342804</v>
      </c>
      <c r="AK50" s="46" t="n">
        <f aca="false">MAX(0,MIN(AI50*(1+INDEX(Response_Table!$H$4:$H$21,MATCH($F50&amp;"|low",Response_Table!$A$4:$A$21,0))*$R50*INDEX(Parameters!$X$7:$AA$7,1,MATCH($E50,Parameters!$X$3:$AA$3,0))),AI50*(1+INDEX(Response_Table!$H$4:$H$21,MATCH($F50&amp;"|high",Response_Table!$A$4:$A$21,0))*$R50*INDEX(Parameters!$X$7:$AA$7,1,MATCH($E50,Parameters!$X$3:$AA$3,0))))*(1-Inputs_General!$C$22*Parameters!$F$7))</f>
        <v>0.0620168813076892</v>
      </c>
      <c r="AL50" s="46" t="n">
        <f aca="false">MAX(AI50*(1+INDEX(Response_Table!$H$4:$H$21,MATCH($F50&amp;"|low",Response_Table!$A$4:$A$21,0))*$R50*INDEX(Parameters!$X$7:$AA$7,1,MATCH($E50,Parameters!$X$3:$AA$3,0))),AI50*(1+INDEX(Response_Table!$H$4:$H$21,MATCH($F50&amp;"|high",Response_Table!$A$4:$A$21,0))*$R50*INDEX(Parameters!$X$7:$AA$7,1,MATCH($E50,Parameters!$X$3:$AA$3,0))))*(1+Inputs_General!$C$22*Parameters!$F$7)</f>
        <v>0.147360009957843</v>
      </c>
      <c r="AM50" s="45" t="n">
        <f aca="false">IF(AI50=0,0,AJ50/AI50-1)</f>
        <v>-0.613274038815643</v>
      </c>
      <c r="AN50" s="43" t="n">
        <f aca="false">AI50*$Q50/Inputs_General!$C$13*1000</f>
        <v>5.69967952720096</v>
      </c>
      <c r="AO50" s="43" t="n">
        <f aca="false">AJ50*$Q50/Inputs_General!$C$13*1000*(1+Inputs_General!$C$21*$I50)</f>
        <v>2.56239882568453</v>
      </c>
      <c r="AP50" s="43" t="n">
        <f aca="false">AK50*$Q50/Inputs_General!$C$13*1000*(1+Inputs_General!$C$21*$H50)</f>
        <v>1.54174915063008</v>
      </c>
      <c r="AQ50" s="43" t="n">
        <f aca="false">AL50*$Q50/Inputs_General!$C$13*1000*(1+Inputs_General!$C$21*$J50)</f>
        <v>3.93956829832253</v>
      </c>
      <c r="AR50" s="45" t="n">
        <f aca="false">IF(AN50=0,0,AO50/AN50-1)</f>
        <v>-0.550431070123185</v>
      </c>
      <c r="AS50" s="42" t="n">
        <f aca="false">Parameters!$E$9*IF($N50="V",Parameters!$I$9,IF($N50="F",Parameters!$J$9,Parameters!$K$9))*(1-Parameters!$L$9*$P50)*IF($D50="V1",Parameters!$M$9,IF($D50="V2",Parameters!$N$9,Parameters!$O$9))</f>
        <v>293.55</v>
      </c>
      <c r="AT50" s="42" t="n">
        <f aca="false">AS50*(1+INDEX(Response_Table!$I$4:$I$21,MATCH($F50&amp;"|mid",Response_Table!$A$4:$A$21,0))*$R50*INDEX(Parameters!$X$9:$AA$9,1,MATCH($E50,Parameters!$X$3:$AA$3,0)))</f>
        <v>383.22650706801</v>
      </c>
      <c r="AU50" s="42" t="n">
        <f aca="false">MAX(0,MIN(AS50*(1+INDEX(Response_Table!$I$4:$I$21,MATCH($F50&amp;"|low",Response_Table!$A$4:$A$21,0))*$R50*INDEX(Parameters!$X$9:$AA$9,1,MATCH($E50,Parameters!$X$3:$AA$3,0))),AS50*(1+INDEX(Response_Table!$I$4:$I$21,MATCH($F50&amp;"|high",Response_Table!$A$4:$A$21,0))*$R50*INDEX(Parameters!$X$9:$AA$9,1,MATCH($E50,Parameters!$X$3:$AA$3,0))))*(1-Inputs_General!$C$22*Parameters!$F$9))</f>
        <v>340.534054411581</v>
      </c>
      <c r="AV50" s="42" t="n">
        <f aca="false">MAX(AS50*(1+INDEX(Response_Table!$I$4:$I$21,MATCH($F50&amp;"|low",Response_Table!$A$4:$A$21,0))*$R50*INDEX(Parameters!$X$9:$AA$9,1,MATCH($E50,Parameters!$X$3:$AA$3,0))),AS50*(1+INDEX(Response_Table!$I$4:$I$21,MATCH($F50&amp;"|high",Response_Table!$A$4:$A$21,0))*$R50*INDEX(Parameters!$X$9:$AA$9,1,MATCH($E50,Parameters!$X$3:$AA$3,0))))*(1+Inputs_General!$C$22*Parameters!$F$9)</f>
        <v>425.404094251279</v>
      </c>
      <c r="AW50" s="45" t="n">
        <f aca="false">IF(AS50=0,0,AT50/AS50-1)</f>
        <v>0.30548971918927</v>
      </c>
      <c r="AX50" s="43" t="n">
        <f aca="false">INDEX(Context!$AB$4:$AB$51,$K50)</f>
        <v>2.6539155416324</v>
      </c>
      <c r="AY50" s="43" t="n">
        <f aca="false">AX50*(1+INDEX(Response_Table!$J$4:$J$21,MATCH($F50&amp;"|mid",Response_Table!$A$4:$A$21,0))*$R50*INDEX(Parameters!$X$10:$AA$10,1,MATCH($E50,Parameters!$X$3:$AA$3,0)))</f>
        <v>1.59890789132524</v>
      </c>
      <c r="AZ50" s="43" t="n">
        <f aca="false">MAX(0,MIN(AX50*(1+INDEX(Response_Table!$J$4:$J$21,MATCH($F50&amp;"|low",Response_Table!$A$4:$A$21,0))*$R50*INDEX(Parameters!$X$10:$AA$10,1,MATCH($E50,Parameters!$X$3:$AA$3,0))),AX50*(1+INDEX(Response_Table!$J$4:$J$21,MATCH($F50&amp;"|high",Response_Table!$A$4:$A$21,0))*$R50*INDEX(Parameters!$X$10:$AA$10,1,MATCH($E50,Parameters!$X$3:$AA$3,0))))*(1-Inputs_General!$C$22*Parameters!$F$10))</f>
        <v>1.20159254811825</v>
      </c>
      <c r="BA50" s="43" t="n">
        <f aca="false">MAX(AX50*(1+INDEX(Response_Table!$J$4:$J$21,MATCH($F50&amp;"|low",Response_Table!$A$4:$A$21,0))*$R50*INDEX(Parameters!$X$10:$AA$10,1,MATCH($E50,Parameters!$X$3:$AA$3,0))),AX50*(1+INDEX(Response_Table!$J$4:$J$21,MATCH($F50&amp;"|high",Response_Table!$A$4:$A$21,0))*$R50*INDEX(Parameters!$X$10:$AA$10,1,MATCH($E50,Parameters!$X$3:$AA$3,0))))*(1+Inputs_General!$C$22*Parameters!$F$10)</f>
        <v>2.0443360021868</v>
      </c>
      <c r="BB50" s="45" t="n">
        <f aca="false">IF(AX50=0,0,AY50/AX50-1)</f>
        <v>-0.397528720773924</v>
      </c>
      <c r="BC50" s="46" t="n">
        <f aca="false">Parameters!$E$11*IF($N50="V",Parameters!$I$11,IF($N50="F",Parameters!$J$11,Parameters!$K$11))*(1-Parameters!$L$11*$P50)*IF($D50="V1",Parameters!$M$11,IF($D50="V2",Parameters!$N$11,Parameters!$O$11))</f>
        <v>1.00170982142857</v>
      </c>
      <c r="BD50" s="46" t="n">
        <f aca="false">BC50*(1+INDEX(Response_Table!$K$4:$K$21,MATCH($F50&amp;"|mid",Response_Table!$A$4:$A$21,0))*$R50*INDEX(Parameters!$X$11:$AA$11,1,MATCH($E50,Parameters!$X$3:$AA$3,0)))</f>
        <v>0.374965130802163</v>
      </c>
      <c r="BE50" s="46" t="n">
        <f aca="false">MAX(0,MIN(BC50*(1+INDEX(Response_Table!$K$4:$K$21,MATCH($F50&amp;"|low",Response_Table!$A$4:$A$21,0))*$R50*INDEX(Parameters!$X$11:$AA$11,1,MATCH($E50,Parameters!$X$3:$AA$3,0))),BC50*(1+INDEX(Response_Table!$K$4:$K$21,MATCH($F50&amp;"|high",Response_Table!$A$4:$A$21,0))*$R50*INDEX(Parameters!$X$11:$AA$11,1,MATCH($E50,Parameters!$X$3:$AA$3,0))))*(1-Inputs_General!$C$22*Parameters!$F$11))</f>
        <v>0.277944349510511</v>
      </c>
      <c r="BF50" s="46" t="n">
        <f aca="false">MAX(BC50*(1+INDEX(Response_Table!$K$4:$K$21,MATCH($F50&amp;"|low",Response_Table!$A$4:$A$21,0))*$R50*INDEX(Parameters!$X$11:$AA$11,1,MATCH($E50,Parameters!$X$3:$AA$3,0))),BC50*(1+INDEX(Response_Table!$K$4:$K$21,MATCH($F50&amp;"|high",Response_Table!$A$4:$A$21,0))*$R50*INDEX(Parameters!$X$11:$AA$11,1,MATCH($E50,Parameters!$X$3:$AA$3,0))))*(1+Inputs_General!$C$22*Parameters!$F$11)</f>
        <v>0.495536782638516</v>
      </c>
      <c r="BG50" s="45" t="n">
        <f aca="false">IF(BC50=0,0,BD50/BC50-1)</f>
        <v>-0.625674898278014</v>
      </c>
      <c r="BH50" s="46" t="n">
        <f aca="false">Parameters!$E$12*IF($N50="V",Parameters!$I$12,IF($N50="F",Parameters!$J$12,Parameters!$K$12))*(1-Parameters!$L$12*$P50)*IF($D50="V1",Parameters!$M$12,IF($D50="V2",Parameters!$N$12,Parameters!$O$12))</f>
        <v>0.373343142857143</v>
      </c>
      <c r="BI50" s="46" t="n">
        <f aca="false">BH50*(1+INDEX(Response_Table!$L$4:$L$21,MATCH($F50&amp;"|mid",Response_Table!$A$4:$A$21,0))*$R50*INDEX(Parameters!$X$12:$AA$12,1,MATCH($E50,Parameters!$X$3:$AA$3,0)))</f>
        <v>0.179606356093652</v>
      </c>
      <c r="BJ50" s="46" t="n">
        <f aca="false">MAX(0,MIN(BH50*(1+INDEX(Response_Table!$L$4:$L$21,MATCH($F50&amp;"|low",Response_Table!$A$4:$A$21,0))*$R50*INDEX(Parameters!$X$12:$AA$12,1,MATCH($E50,Parameters!$X$3:$AA$3,0))),BH50*(1+INDEX(Response_Table!$L$4:$L$21,MATCH($F50&amp;"|high",Response_Table!$A$4:$A$21,0))*$R50*INDEX(Parameters!$X$12:$AA$12,1,MATCH($E50,Parameters!$X$3:$AA$3,0))))*(1-Inputs_General!$C$22*Parameters!$F$12))</f>
        <v>0.132514918692879</v>
      </c>
      <c r="BK50" s="46" t="n">
        <f aca="false">MAX(BH50*(1+INDEX(Response_Table!$L$4:$L$21,MATCH($F50&amp;"|low",Response_Table!$A$4:$A$21,0))*$R50*INDEX(Parameters!$X$12:$AA$12,1,MATCH($E50,Parameters!$X$3:$AA$3,0))),BH50*(1+INDEX(Response_Table!$L$4:$L$21,MATCH($F50&amp;"|high",Response_Table!$A$4:$A$21,0))*$R50*INDEX(Parameters!$X$12:$AA$12,1,MATCH($E50,Parameters!$X$3:$AA$3,0))))*(1+Inputs_General!$C$22*Parameters!$F$12)</f>
        <v>0.235145431047413</v>
      </c>
      <c r="BL50" s="45" t="n">
        <f aca="false">IF(BH50=0,0,BI50/BH50-1)</f>
        <v>-0.518924186690159</v>
      </c>
      <c r="BM50" s="46" t="n">
        <f aca="false">Parameters!$E$13*IF($N50="V",Parameters!$I$13,IF($N50="F",Parameters!$J$13,Parameters!$K$13))*(1-Parameters!$L$13*$P50)*IF($D50="V1",Parameters!$M$13,IF($D50="V2",Parameters!$N$13,Parameters!$O$13))</f>
        <v>0.262276071428571</v>
      </c>
      <c r="BN50" s="46" t="n">
        <f aca="false">BM50*(1+INDEX(Response_Table!$M$4:$M$21,MATCH($F50&amp;"|mid",Response_Table!$A$4:$A$21,0))*$R50*INDEX(Parameters!$X$13:$AA$13,1,MATCH($E50,Parameters!$X$3:$AA$3,0)))</f>
        <v>0.164059618792978</v>
      </c>
      <c r="BO50" s="46" t="n">
        <f aca="false">MAX(0,MIN(BM50*(1+INDEX(Response_Table!$M$4:$M$21,MATCH($F50&amp;"|low",Response_Table!$A$4:$A$21,0))*$R50*INDEX(Parameters!$X$13:$AA$13,1,MATCH($E50,Parameters!$X$3:$AA$3,0))),BM50*(1+INDEX(Response_Table!$M$4:$M$21,MATCH($F50&amp;"|high",Response_Table!$A$4:$A$21,0))*$R50*INDEX(Parameters!$X$13:$AA$13,1,MATCH($E50,Parameters!$X$3:$AA$3,0))))*(1-Inputs_General!$C$22*Parameters!$F$13))</f>
        <v>0.125222431318318</v>
      </c>
      <c r="BP50" s="46" t="n">
        <f aca="false">MAX(BM50*(1+INDEX(Response_Table!$M$4:$M$21,MATCH($F50&amp;"|low",Response_Table!$A$4:$A$21,0))*$R50*INDEX(Parameters!$X$13:$AA$13,1,MATCH($E50,Parameters!$X$3:$AA$3,0))),BM50*(1+INDEX(Response_Table!$M$4:$M$21,MATCH($F50&amp;"|high",Response_Table!$A$4:$A$21,0))*$R50*INDEX(Parameters!$X$13:$AA$13,1,MATCH($E50,Parameters!$X$3:$AA$3,0))))*(1+Inputs_General!$C$22*Parameters!$F$13)</f>
        <v>0.208708719449744</v>
      </c>
      <c r="BQ50" s="45" t="n">
        <f aca="false">IF(BM50=0,0,BN50/BM50-1)</f>
        <v>-0.374477366923432</v>
      </c>
      <c r="BR50" s="44" t="n">
        <f aca="false">Parameters!$E$14*IF($N50="V",Parameters!$I$14,IF($N50="F",Parameters!$J$14,Parameters!$K$14))*(1-Parameters!$L$14*$P50)*IF($D50="V1",Parameters!$M$14,IF($D50="V2",Parameters!$N$14,Parameters!$O$14))*INDEX(Context!$AC$4:$AC$51,$K50)</f>
        <v>17.25</v>
      </c>
      <c r="BS50" s="44" t="n">
        <f aca="false">BR50*(1+INDEX(Response_Table!$N$4:$N$21,MATCH($F50&amp;"|mid",Response_Table!$A$4:$A$21,0))*$R50*INDEX(Parameters!$X$14:$AA$14,1,MATCH($E50,Parameters!$X$3:$AA$3,0)))</f>
        <v>27.0152096949875</v>
      </c>
      <c r="BT50" s="44" t="n">
        <f aca="false">MAX(0,MIN(BR50*(1+INDEX(Response_Table!$N$4:$N$21,MATCH($F50&amp;"|low",Response_Table!$A$4:$A$21,0))*$R50*INDEX(Parameters!$X$14:$AA$14,1,MATCH($E50,Parameters!$X$3:$AA$3,0))),BR50*(1+INDEX(Response_Table!$N$4:$N$21,MATCH($F50&amp;"|high",Response_Table!$A$4:$A$21,0))*$R50*INDEX(Parameters!$X$14:$AA$14,1,MATCH($E50,Parameters!$X$3:$AA$3,0))))*(1-Inputs_General!$C$22*Parameters!$F$14))</f>
        <v>13.2549740330831</v>
      </c>
      <c r="BU50" s="44" t="n">
        <f aca="false">MAX(BR50*(1+INDEX(Response_Table!$N$4:$N$21,MATCH($F50&amp;"|low",Response_Table!$A$4:$A$21,0))*$R50*INDEX(Parameters!$X$14:$AA$14,1,MATCH($E50,Parameters!$X$3:$AA$3,0))),BR50*(1+INDEX(Response_Table!$N$4:$N$21,MATCH($F50&amp;"|high",Response_Table!$A$4:$A$21,0))*$R50*INDEX(Parameters!$X$14:$AA$14,1,MATCH($E50,Parameters!$X$3:$AA$3,0))))*(1+Inputs_General!$C$22*Parameters!$F$14)</f>
        <v>41.4387110873536</v>
      </c>
      <c r="BV50" s="45" t="n">
        <f aca="false">IF(BR50=0,0,BS50/BR50-1)</f>
        <v>0.566099112752901</v>
      </c>
      <c r="BW50" s="43" t="n">
        <f aca="false">Parameters!$E$15*IF($N50="V",Parameters!$I$15,IF($N50="F",Parameters!$J$15,Parameters!$K$15))*(1-Parameters!$L$15*$P50)*IF($D50="V1",Parameters!$M$15,IF($D50="V2",Parameters!$N$15,Parameters!$O$15))</f>
        <v>8.34931028571429</v>
      </c>
      <c r="BX50" s="43" t="n">
        <f aca="false">BW50*(1+INDEX(Response_Table!$O$4:$O$21,MATCH($F50&amp;"|mid",Response_Table!$A$4:$A$21,0))*$R50*INDEX(Parameters!$X$15:$AA$15,1,MATCH($E50,Parameters!$X$3:$AA$3,0)))</f>
        <v>7.1676759995039</v>
      </c>
      <c r="BY50" s="43" t="n">
        <f aca="false">MAX(0,MIN(BW50*(1+INDEX(Response_Table!$O$4:$O$21,MATCH($F50&amp;"|low",Response_Table!$A$4:$A$21,0))*$R50*INDEX(Parameters!$X$15:$AA$15,1,MATCH($E50,Parameters!$X$3:$AA$3,0))),BW50*(1+INDEX(Response_Table!$O$4:$O$21,MATCH($F50&amp;"|high",Response_Table!$A$4:$A$21,0))*$R50*INDEX(Parameters!$X$15:$AA$15,1,MATCH($E50,Parameters!$X$3:$AA$3,0))))*(1-Inputs_General!$C$22*Parameters!$F$15))</f>
        <v>5.68179980415704</v>
      </c>
      <c r="BZ50" s="43" t="n">
        <f aca="false">MAX(BW50*(1+INDEX(Response_Table!$O$4:$O$21,MATCH($F50&amp;"|low",Response_Table!$A$4:$A$21,0))*$R50*INDEX(Parameters!$X$15:$AA$15,1,MATCH($E50,Parameters!$X$3:$AA$3,0))),BW50*(1+INDEX(Response_Table!$O$4:$O$21,MATCH($F50&amp;"|high",Response_Table!$A$4:$A$21,0))*$R50*INDEX(Parameters!$X$15:$AA$15,1,MATCH($E50,Parameters!$X$3:$AA$3,0))))*(1+Inputs_General!$C$22*Parameters!$F$15)</f>
        <v>8.70507580240535</v>
      </c>
      <c r="CA50" s="45" t="n">
        <f aca="false">IF(BW50=0,0,BX50/BW50-1)</f>
        <v>-0.141524778188225</v>
      </c>
      <c r="CB50" s="46" t="n">
        <f aca="false">BD50+BI50</f>
        <v>0.554571486895815</v>
      </c>
      <c r="CC50" s="43" t="n">
        <f aca="false">BD50/BI50</f>
        <v>2.08770524026803</v>
      </c>
      <c r="CD50" s="46" t="n">
        <f aca="false">BN50/CB50</f>
        <v>0.295831326834514</v>
      </c>
      <c r="CE50" s="43" t="n">
        <f aca="false">AE50/AO50</f>
        <v>1.24046573015709</v>
      </c>
      <c r="CF50" s="44" t="n">
        <f aca="false">AE50/AJ50</f>
        <v>31.7954500652651</v>
      </c>
      <c r="CG50" s="44" t="n">
        <f aca="false">INDEX(Context!$V$4:$V$51,$K50)</f>
        <v>32.7871428571429</v>
      </c>
      <c r="CH50" s="44" t="n">
        <f aca="false">INDEX(Context!$Y$4:$Y$51,$K50)</f>
        <v>28.36912210206</v>
      </c>
      <c r="CI50" s="44" t="n">
        <f aca="false">INDEX(Context!$Z$4:$Z$51,$K50)</f>
        <v>36.7871428571429</v>
      </c>
      <c r="CJ50" s="43" t="n">
        <f aca="false">INDEX(Context!$AA$4:$AA$51,$K50)</f>
        <v>0.347678571428571</v>
      </c>
      <c r="CK50" s="43" t="n">
        <f aca="false">MAX(0,MIN(1,1-(1-CJ50)*AO50/AN50))</f>
        <v>0.706736553421428</v>
      </c>
      <c r="CL50" s="44" t="n">
        <f aca="false">CH50+CK50*(CI50-CH50)</f>
        <v>34.3184450771373</v>
      </c>
      <c r="CM50" s="44" t="n">
        <f aca="false">CH50+MAX(0,MIN(1,1-(1-CJ50)*AQ50/AN50))*(CI50-CH50)</f>
        <v>32.991635532224</v>
      </c>
      <c r="CN50" s="44" t="n">
        <f aca="false">CH50+MAX(0,MIN(1,1-(1-CJ50)*AP50/AN50))*(CI50-CH50)</f>
        <v>35.3017719354367</v>
      </c>
      <c r="CO50" s="44" t="n">
        <f aca="false">CL50-CG50</f>
        <v>1.53130221999446</v>
      </c>
      <c r="CP50" s="44" t="n">
        <f aca="false">CL50-(CH50+CJ50*(CI50-CH50))</f>
        <v>3.02255754469402</v>
      </c>
      <c r="CQ50" s="46" t="n">
        <f aca="false">CL50/CG50</f>
        <v>1.04670435074708</v>
      </c>
      <c r="CR50" s="43" t="n">
        <f aca="false">IF(CL50-CH50&lt;=0,"n/a",(CI50-CL50)/(CL50-CH50))</f>
        <v>0.414954405794968</v>
      </c>
      <c r="CS50" s="43" t="n">
        <f aca="false">IF(CI50-CL50&lt;=0,"n/a",(CL50-CH50)/(CI50-CL50))</f>
        <v>2.40990331958087</v>
      </c>
      <c r="CT50" s="43" t="n">
        <f aca="false">Inputs_General!$C$23+Inputs_General!$C$24*$I50</f>
        <v>1.9</v>
      </c>
      <c r="CU50" s="44" t="n">
        <f aca="false">3.29*CT50</f>
        <v>6.251</v>
      </c>
    </row>
    <row r="51" customFormat="false" ht="15" hidden="false" customHeight="false" outlineLevel="0" collapsed="false">
      <c r="A51" s="33" t="str">
        <f aca="false">B51&amp;"|"&amp;E51&amp;"|"&amp;F51</f>
        <v>D1V3|11/02/2026|Healthy</v>
      </c>
      <c r="B51" s="34" t="s">
        <v>345</v>
      </c>
      <c r="C51" s="33" t="s">
        <v>127</v>
      </c>
      <c r="D51" s="33" t="s">
        <v>150</v>
      </c>
      <c r="E51" s="33" t="s">
        <v>158</v>
      </c>
      <c r="F51" s="34" t="s">
        <v>275</v>
      </c>
      <c r="G51" s="33" t="s">
        <v>276</v>
      </c>
      <c r="H51" s="35" t="n">
        <f aca="false">INDEX(Severity_Classes!$C$4:$C$9,MATCH(F51,Severity_Classes!$A$4:$A$9,0))</f>
        <v>0</v>
      </c>
      <c r="I51" s="35" t="n">
        <f aca="false">INDEX(Severity_Classes!$D$4:$D$9,MATCH(F51,Severity_Classes!$A$4:$A$9,0))</f>
        <v>0</v>
      </c>
      <c r="J51" s="35" t="n">
        <f aca="false">INDEX(Severity_Classes!$E$4:$E$9,MATCH(F51,Severity_Classes!$A$4:$A$9,0))</f>
        <v>0</v>
      </c>
      <c r="K51" s="36" t="n">
        <f aca="false">MATCH(B51&amp;"|"&amp;E51,Context!$A$4:$A$51,0)</f>
        <v>9</v>
      </c>
      <c r="L51" s="36" t="n">
        <f aca="false">INDEX(Context!$H$4:$H$51,K51)</f>
        <v>64</v>
      </c>
      <c r="M51" s="36" t="n">
        <f aca="false">INDEX(Context!$I$4:$I$51,K51)</f>
        <v>6</v>
      </c>
      <c r="N51" s="33" t="str">
        <f aca="false">INDEX(Context!$L$4:$L$51,K51)</f>
        <v>V</v>
      </c>
      <c r="O51" s="33" t="str">
        <f aca="false">INDEX(Context!$M$4:$M$51,K51)</f>
        <v>3rd fully expanded leaf from top</v>
      </c>
      <c r="P51" s="37" t="n">
        <f aca="false">INDEX(Context!$R$4:$R$51,K51)</f>
        <v>0</v>
      </c>
      <c r="Q51" s="37" t="n">
        <f aca="false">INDEX(Context!$U$4:$U$51,K51)</f>
        <v>0.937791824040773</v>
      </c>
      <c r="R51" s="37" t="n">
        <f aca="false">INDEX(Context!$AD$4:$AD$51,K51)</f>
        <v>0.85</v>
      </c>
      <c r="S51" s="33" t="str">
        <f aca="false">INDEX(Context!$AI$4:$AN$51,K51,MATCH(F51,Severity_Classes!$A$4:$A$9,0))</f>
        <v>Reference: healthy (uninoculated) control plot</v>
      </c>
      <c r="T51" s="38" t="n">
        <f aca="false">Parameters!$E$4*IF($N51="V",Parameters!$I$4,IF($N51="F",Parameters!$J$4,Parameters!$K$4))*(1-Parameters!$L$4*$P51)*IF($D51="V1",Parameters!$M$4,IF($D51="V2",Parameters!$N$4,Parameters!$O$4))</f>
        <v>86</v>
      </c>
      <c r="U51" s="38" t="n">
        <f aca="false">MIN(100,T51*(1+INDEX(Response_Table!$E$4:$E$21,MATCH($F51&amp;"|mid",Response_Table!$A$4:$A$21,0))*$R51*INDEX(Parameters!$X$4:$AA$4,1,MATCH($E51,Parameters!$X$3:$AA$3,0))))</f>
        <v>86</v>
      </c>
      <c r="V51" s="38" t="n">
        <f aca="false">MAX(0,MIN(T51*(1+INDEX(Response_Table!$E$4:$E$21,MATCH($F51&amp;"|low",Response_Table!$A$4:$A$21,0))*$R51*INDEX(Parameters!$X$4:$AA$4,1,MATCH($E51,Parameters!$X$3:$AA$3,0))),T51*(1+INDEX(Response_Table!$E$4:$E$21,MATCH($F51&amp;"|high",Response_Table!$A$4:$A$21,0))*$R51*INDEX(Parameters!$X$4:$AA$4,1,MATCH($E51,Parameters!$X$3:$AA$3,0))))*(1-Inputs_General!$C$22*Parameters!$F$4))</f>
        <v>80.3412</v>
      </c>
      <c r="W51" s="38" t="n">
        <f aca="false">MIN(100,MAX(T51*(1+INDEX(Response_Table!$E$4:$E$21,MATCH($F51&amp;"|low",Response_Table!$A$4:$A$21,0))*$R51*INDEX(Parameters!$X$4:$AA$4,1,MATCH($E51,Parameters!$X$3:$AA$3,0))),T51*(1+INDEX(Response_Table!$E$4:$E$21,MATCH($F51&amp;"|high",Response_Table!$A$4:$A$21,0))*$R51*INDEX(Parameters!$X$4:$AA$4,1,MATCH($E51,Parameters!$X$3:$AA$3,0))))*(1+Inputs_General!$C$22*Parameters!$F$4))</f>
        <v>91.6588</v>
      </c>
      <c r="X51" s="39" t="n">
        <f aca="false">IF(T51=0,0,U51/T51-1)</f>
        <v>0</v>
      </c>
      <c r="Y51" s="38" t="n">
        <f aca="false">Parameters!$E$5*IF($N51="V",Parameters!$I$5,IF($N51="F",Parameters!$J$5,Parameters!$K$5))*(1-Parameters!$L$5*$P51)*IF($D51="V1",Parameters!$M$5,IF($D51="V2",Parameters!$N$5,Parameters!$O$5))</f>
        <v>72</v>
      </c>
      <c r="Z51" s="38" t="n">
        <f aca="false">MIN(100,Y51*(1+INDEX(Response_Table!$F$4:$F$21,MATCH($F51&amp;"|mid",Response_Table!$A$4:$A$21,0))*$R51*INDEX(Parameters!$X$5:$AA$5,1,MATCH($E51,Parameters!$X$3:$AA$3,0))))</f>
        <v>72</v>
      </c>
      <c r="AA51" s="38" t="n">
        <f aca="false">MAX(0,MIN(Y51*(1+INDEX(Response_Table!$F$4:$F$21,MATCH($F51&amp;"|low",Response_Table!$A$4:$A$21,0))*$R51*INDEX(Parameters!$X$5:$AA$5,1,MATCH($E51,Parameters!$X$3:$AA$3,0))),Y51*(1+INDEX(Response_Table!$F$4:$F$21,MATCH($F51&amp;"|high",Response_Table!$A$4:$A$21,0))*$R51*INDEX(Parameters!$X$5:$AA$5,1,MATCH($E51,Parameters!$X$3:$AA$3,0))))*(1-Inputs_General!$C$22*Parameters!$F$5))</f>
        <v>63.7092</v>
      </c>
      <c r="AB51" s="38" t="n">
        <f aca="false">MIN(100,MAX(Y51*(1+INDEX(Response_Table!$F$4:$F$21,MATCH($F51&amp;"|low",Response_Table!$A$4:$A$21,0))*$R51*INDEX(Parameters!$X$5:$AA$5,1,MATCH($E51,Parameters!$X$3:$AA$3,0))),Y51*(1+INDEX(Response_Table!$F$4:$F$21,MATCH($F51&amp;"|high",Response_Table!$A$4:$A$21,0))*$R51*INDEX(Parameters!$X$5:$AA$5,1,MATCH($E51,Parameters!$X$3:$AA$3,0))))*(1+Inputs_General!$C$22*Parameters!$F$5))</f>
        <v>80.2908</v>
      </c>
      <c r="AC51" s="39" t="n">
        <f aca="false">IF(Y51=0,0,Z51/Y51-1)</f>
        <v>0</v>
      </c>
      <c r="AD51" s="38" t="n">
        <f aca="false">Parameters!$E$6*IF($N51="V",Parameters!$I$6,IF($N51="F",Parameters!$J$6,Parameters!$K$6))*(1-Parameters!$L$6*$P51)*IF($D51="V1",Parameters!$M$6,IF($D51="V2",Parameters!$N$6,Parameters!$O$6))</f>
        <v>19.57</v>
      </c>
      <c r="AE51" s="38" t="n">
        <f aca="false">AD51*(1+INDEX(Response_Table!$G$4:$G$21,MATCH($F51&amp;"|mid",Response_Table!$A$4:$A$21,0))*$R51*INDEX(Parameters!$X$6:$AA$6,1,MATCH($E51,Parameters!$X$3:$AA$3,0)))</f>
        <v>19.57</v>
      </c>
      <c r="AF51" s="38" t="n">
        <f aca="false">MAX(0,MIN(AD51*(1+INDEX(Response_Table!$G$4:$G$21,MATCH($F51&amp;"|low",Response_Table!$A$4:$A$21,0))*$R51*INDEX(Parameters!$X$6:$AA$6,1,MATCH($E51,Parameters!$X$3:$AA$3,0))),AD51*(1+INDEX(Response_Table!$G$4:$G$21,MATCH($F51&amp;"|high",Response_Table!$A$4:$A$21,0))*$R51*INDEX(Parameters!$X$6:$AA$6,1,MATCH($E51,Parameters!$X$3:$AA$3,0))))*(1-Inputs_General!$C$22*Parameters!$F$6))</f>
        <v>15.706882</v>
      </c>
      <c r="AG51" s="38" t="n">
        <f aca="false">MAX(AD51*(1+INDEX(Response_Table!$G$4:$G$21,MATCH($F51&amp;"|low",Response_Table!$A$4:$A$21,0))*$R51*INDEX(Parameters!$X$6:$AA$6,1,MATCH($E51,Parameters!$X$3:$AA$3,0))),AD51*(1+INDEX(Response_Table!$G$4:$G$21,MATCH($F51&amp;"|high",Response_Table!$A$4:$A$21,0))*$R51*INDEX(Parameters!$X$6:$AA$6,1,MATCH($E51,Parameters!$X$3:$AA$3,0))))*(1+Inputs_General!$C$22*Parameters!$F$6)</f>
        <v>23.433118</v>
      </c>
      <c r="AH51" s="39" t="n">
        <f aca="false">IF(AD51=0,0,AE51/AD51-1)</f>
        <v>0</v>
      </c>
      <c r="AI51" s="40" t="n">
        <f aca="false">Parameters!$E$7*IF($N51="V",Parameters!$I$7,IF($N51="F",Parameters!$J$7,Parameters!$K$7))*(1-Parameters!$L$7*$P51)*IF($D51="V1",Parameters!$M$7,IF($D51="V2",Parameters!$N$7,Parameters!$O$7))*POWER($Q51/Inputs_General!$C$26,-Inputs_General!$C$25)</f>
        <v>0.464685683730118</v>
      </c>
      <c r="AJ51" s="40" t="n">
        <f aca="false">AI51*(1+INDEX(Response_Table!$H$4:$H$21,MATCH($F51&amp;"|mid",Response_Table!$A$4:$A$21,0))*$R51*INDEX(Parameters!$X$7:$AA$7,1,MATCH($E51,Parameters!$X$3:$AA$3,0)))</f>
        <v>0.464685683730118</v>
      </c>
      <c r="AK51" s="40" t="n">
        <f aca="false">MAX(0,MIN(AI51*(1+INDEX(Response_Table!$H$4:$H$21,MATCH($F51&amp;"|low",Response_Table!$A$4:$A$21,0))*$R51*INDEX(Parameters!$X$7:$AA$7,1,MATCH($E51,Parameters!$X$3:$AA$3,0))),AI51*(1+INDEX(Response_Table!$H$4:$H$21,MATCH($F51&amp;"|high",Response_Table!$A$4:$A$21,0))*$R51*INDEX(Parameters!$X$7:$AA$7,1,MATCH($E51,Parameters!$X$3:$AA$3,0))))*(1-Inputs_General!$C$22*Parameters!$F$7))</f>
        <v>0.32709225277763</v>
      </c>
      <c r="AL51" s="40" t="n">
        <f aca="false">MAX(AI51*(1+INDEX(Response_Table!$H$4:$H$21,MATCH($F51&amp;"|low",Response_Table!$A$4:$A$21,0))*$R51*INDEX(Parameters!$X$7:$AA$7,1,MATCH($E51,Parameters!$X$3:$AA$3,0))),AI51*(1+INDEX(Response_Table!$H$4:$H$21,MATCH($F51&amp;"|high",Response_Table!$A$4:$A$21,0))*$R51*INDEX(Parameters!$X$7:$AA$7,1,MATCH($E51,Parameters!$X$3:$AA$3,0))))*(1+Inputs_General!$C$22*Parameters!$F$7)</f>
        <v>0.602279114682606</v>
      </c>
      <c r="AM51" s="39" t="n">
        <f aca="false">IF(AI51=0,0,AJ51/AI51-1)</f>
        <v>0</v>
      </c>
      <c r="AN51" s="37" t="n">
        <f aca="false">AI51*$Q51/Inputs_General!$C$13*1000</f>
        <v>4.38850387664553</v>
      </c>
      <c r="AO51" s="37" t="n">
        <f aca="false">AJ51*$Q51/Inputs_General!$C$13*1000*(1+Inputs_General!$C$21*$I51)</f>
        <v>4.38850387664553</v>
      </c>
      <c r="AP51" s="37" t="n">
        <f aca="false">AK51*$Q51/Inputs_General!$C$13*1000*(1+Inputs_General!$C$21*$H51)</f>
        <v>3.08906787877079</v>
      </c>
      <c r="AQ51" s="37" t="n">
        <f aca="false">AL51*$Q51/Inputs_General!$C$13*1000*(1+Inputs_General!$C$21*$J51)</f>
        <v>5.68793987452027</v>
      </c>
      <c r="AR51" s="39" t="n">
        <f aca="false">IF(AN51=0,0,AO51/AN51-1)</f>
        <v>0</v>
      </c>
      <c r="AS51" s="36" t="n">
        <f aca="false">Parameters!$E$9*IF($N51="V",Parameters!$I$9,IF($N51="F",Parameters!$J$9,Parameters!$K$9))*(1-Parameters!$L$9*$P51)*IF($D51="V1",Parameters!$M$9,IF($D51="V2",Parameters!$N$9,Parameters!$O$9))</f>
        <v>285</v>
      </c>
      <c r="AT51" s="36" t="n">
        <f aca="false">AS51*(1+INDEX(Response_Table!$I$4:$I$21,MATCH($F51&amp;"|mid",Response_Table!$A$4:$A$21,0))*$R51*INDEX(Parameters!$X$9:$AA$9,1,MATCH($E51,Parameters!$X$3:$AA$3,0)))</f>
        <v>285</v>
      </c>
      <c r="AU51" s="36" t="n">
        <f aca="false">MAX(0,MIN(AS51*(1+INDEX(Response_Table!$I$4:$I$21,MATCH($F51&amp;"|low",Response_Table!$A$4:$A$21,0))*$R51*INDEX(Parameters!$X$9:$AA$9,1,MATCH($E51,Parameters!$X$3:$AA$3,0))),AS51*(1+INDEX(Response_Table!$I$4:$I$21,MATCH($F51&amp;"|high",Response_Table!$A$4:$A$21,0))*$R51*INDEX(Parameters!$X$9:$AA$9,1,MATCH($E51,Parameters!$X$3:$AA$3,0))))*(1-Inputs_General!$C$22*Parameters!$F$9))</f>
        <v>256.8705</v>
      </c>
      <c r="AV51" s="36" t="n">
        <f aca="false">MAX(AS51*(1+INDEX(Response_Table!$I$4:$I$21,MATCH($F51&amp;"|low",Response_Table!$A$4:$A$21,0))*$R51*INDEX(Parameters!$X$9:$AA$9,1,MATCH($E51,Parameters!$X$3:$AA$3,0))),AS51*(1+INDEX(Response_Table!$I$4:$I$21,MATCH($F51&amp;"|high",Response_Table!$A$4:$A$21,0))*$R51*INDEX(Parameters!$X$9:$AA$9,1,MATCH($E51,Parameters!$X$3:$AA$3,0))))*(1+Inputs_General!$C$22*Parameters!$F$9)</f>
        <v>313.1295</v>
      </c>
      <c r="AW51" s="39" t="n">
        <f aca="false">IF(AS51=0,0,AT51/AS51-1)</f>
        <v>0</v>
      </c>
      <c r="AX51" s="37" t="n">
        <f aca="false">INDEX(Context!$AB$4:$AB$51,$K51)</f>
        <v>2.6849133441391</v>
      </c>
      <c r="AY51" s="37" t="n">
        <f aca="false">AX51*(1+INDEX(Response_Table!$J$4:$J$21,MATCH($F51&amp;"|mid",Response_Table!$A$4:$A$21,0))*$R51*INDEX(Parameters!$X$10:$AA$10,1,MATCH($E51,Parameters!$X$3:$AA$3,0)))</f>
        <v>2.6849133441391</v>
      </c>
      <c r="AZ51" s="37" t="n">
        <f aca="false">MAX(0,MIN(AX51*(1+INDEX(Response_Table!$J$4:$J$21,MATCH($F51&amp;"|low",Response_Table!$A$4:$A$21,0))*$R51*INDEX(Parameters!$X$10:$AA$10,1,MATCH($E51,Parameters!$X$3:$AA$3,0))),AX51*(1+INDEX(Response_Table!$J$4:$J$21,MATCH($F51&amp;"|high",Response_Table!$A$4:$A$21,0))*$R51*INDEX(Parameters!$X$10:$AA$10,1,MATCH($E51,Parameters!$X$3:$AA$3,0))))*(1-Inputs_General!$C$22*Parameters!$F$10))</f>
        <v>2.15491145000604</v>
      </c>
      <c r="BA51" s="37" t="n">
        <f aca="false">MAX(AX51*(1+INDEX(Response_Table!$J$4:$J$21,MATCH($F51&amp;"|low",Response_Table!$A$4:$A$21,0))*$R51*INDEX(Parameters!$X$10:$AA$10,1,MATCH($E51,Parameters!$X$3:$AA$3,0))),AX51*(1+INDEX(Response_Table!$J$4:$J$21,MATCH($F51&amp;"|high",Response_Table!$A$4:$A$21,0))*$R51*INDEX(Parameters!$X$10:$AA$10,1,MATCH($E51,Parameters!$X$3:$AA$3,0))))*(1+Inputs_General!$C$22*Parameters!$F$10)</f>
        <v>3.21491523827216</v>
      </c>
      <c r="BB51" s="39" t="n">
        <f aca="false">IF(AX51=0,0,AY51/AX51-1)</f>
        <v>0</v>
      </c>
      <c r="BC51" s="40" t="n">
        <f aca="false">Parameters!$E$11*IF($N51="V",Parameters!$I$11,IF($N51="F",Parameters!$J$11,Parameters!$K$11))*(1-Parameters!$L$11*$P51)*IF($D51="V1",Parameters!$M$11,IF($D51="V2",Parameters!$N$11,Parameters!$O$11))</f>
        <v>1.223125</v>
      </c>
      <c r="BD51" s="40" t="n">
        <f aca="false">BC51*(1+INDEX(Response_Table!$K$4:$K$21,MATCH($F51&amp;"|mid",Response_Table!$A$4:$A$21,0))*$R51*INDEX(Parameters!$X$11:$AA$11,1,MATCH($E51,Parameters!$X$3:$AA$3,0)))</f>
        <v>1.223125</v>
      </c>
      <c r="BE51" s="40" t="n">
        <f aca="false">MAX(0,MIN(BC51*(1+INDEX(Response_Table!$K$4:$K$21,MATCH($F51&amp;"|low",Response_Table!$A$4:$A$21,0))*$R51*INDEX(Parameters!$X$11:$AA$11,1,MATCH($E51,Parameters!$X$3:$AA$3,0))),BC51*(1+INDEX(Response_Table!$K$4:$K$21,MATCH($F51&amp;"|high",Response_Table!$A$4:$A$21,0))*$R51*INDEX(Parameters!$X$11:$AA$11,1,MATCH($E51,Parameters!$X$3:$AA$3,0))))*(1-Inputs_General!$C$22*Parameters!$F$11))</f>
        <v>1.0219209375</v>
      </c>
      <c r="BF51" s="40" t="n">
        <f aca="false">MAX(BC51*(1+INDEX(Response_Table!$K$4:$K$21,MATCH($F51&amp;"|low",Response_Table!$A$4:$A$21,0))*$R51*INDEX(Parameters!$X$11:$AA$11,1,MATCH($E51,Parameters!$X$3:$AA$3,0))),BC51*(1+INDEX(Response_Table!$K$4:$K$21,MATCH($F51&amp;"|high",Response_Table!$A$4:$A$21,0))*$R51*INDEX(Parameters!$X$11:$AA$11,1,MATCH($E51,Parameters!$X$3:$AA$3,0))))*(1+Inputs_General!$C$22*Parameters!$F$11)</f>
        <v>1.4243290625</v>
      </c>
      <c r="BG51" s="39" t="n">
        <f aca="false">IF(BC51=0,0,BD51/BC51-1)</f>
        <v>0</v>
      </c>
      <c r="BH51" s="40" t="n">
        <f aca="false">Parameters!$E$12*IF($N51="V",Parameters!$I$12,IF($N51="F",Parameters!$J$12,Parameters!$K$12))*(1-Parameters!$L$12*$P51)*IF($D51="V1",Parameters!$M$12,IF($D51="V2",Parameters!$N$12,Parameters!$O$12))</f>
        <v>0.440325</v>
      </c>
      <c r="BI51" s="40" t="n">
        <f aca="false">BH51*(1+INDEX(Response_Table!$L$4:$L$21,MATCH($F51&amp;"|mid",Response_Table!$A$4:$A$21,0))*$R51*INDEX(Parameters!$X$12:$AA$12,1,MATCH($E51,Parameters!$X$3:$AA$3,0)))</f>
        <v>0.440325</v>
      </c>
      <c r="BJ51" s="40" t="n">
        <f aca="false">MAX(0,MIN(BH51*(1+INDEX(Response_Table!$L$4:$L$21,MATCH($F51&amp;"|low",Response_Table!$A$4:$A$21,0))*$R51*INDEX(Parameters!$X$12:$AA$12,1,MATCH($E51,Parameters!$X$3:$AA$3,0))),BH51*(1+INDEX(Response_Table!$L$4:$L$21,MATCH($F51&amp;"|high",Response_Table!$A$4:$A$21,0))*$R51*INDEX(Parameters!$X$12:$AA$12,1,MATCH($E51,Parameters!$X$3:$AA$3,0))))*(1-Inputs_General!$C$22*Parameters!$F$12))</f>
        <v>0.353404845</v>
      </c>
      <c r="BK51" s="40" t="n">
        <f aca="false">MAX(BH51*(1+INDEX(Response_Table!$L$4:$L$21,MATCH($F51&amp;"|low",Response_Table!$A$4:$A$21,0))*$R51*INDEX(Parameters!$X$12:$AA$12,1,MATCH($E51,Parameters!$X$3:$AA$3,0))),BH51*(1+INDEX(Response_Table!$L$4:$L$21,MATCH($F51&amp;"|high",Response_Table!$A$4:$A$21,0))*$R51*INDEX(Parameters!$X$12:$AA$12,1,MATCH($E51,Parameters!$X$3:$AA$3,0))))*(1+Inputs_General!$C$22*Parameters!$F$12)</f>
        <v>0.527245155</v>
      </c>
      <c r="BL51" s="39" t="n">
        <f aca="false">IF(BH51=0,0,BI51/BH51-1)</f>
        <v>0</v>
      </c>
      <c r="BM51" s="40" t="n">
        <f aca="false">Parameters!$E$13*IF($N51="V",Parameters!$I$13,IF($N51="F",Parameters!$J$13,Parameters!$K$13))*(1-Parameters!$L$13*$P51)*IF($D51="V1",Parameters!$M$13,IF($D51="V2",Parameters!$N$13,Parameters!$O$13))</f>
        <v>0.29355</v>
      </c>
      <c r="BN51" s="40" t="n">
        <f aca="false">BM51*(1+INDEX(Response_Table!$M$4:$M$21,MATCH($F51&amp;"|mid",Response_Table!$A$4:$A$21,0))*$R51*INDEX(Parameters!$X$13:$AA$13,1,MATCH($E51,Parameters!$X$3:$AA$3,0)))</f>
        <v>0.29355</v>
      </c>
      <c r="BO51" s="40" t="n">
        <f aca="false">MAX(0,MIN(BM51*(1+INDEX(Response_Table!$M$4:$M$21,MATCH($F51&amp;"|low",Response_Table!$A$4:$A$21,0))*$R51*INDEX(Parameters!$X$13:$AA$13,1,MATCH($E51,Parameters!$X$3:$AA$3,0))),BM51*(1+INDEX(Response_Table!$M$4:$M$21,MATCH($F51&amp;"|high",Response_Table!$A$4:$A$21,0))*$R51*INDEX(Parameters!$X$13:$AA$13,1,MATCH($E51,Parameters!$X$3:$AA$3,0))))*(1-Inputs_General!$C$22*Parameters!$F$13))</f>
        <v>0.23560323</v>
      </c>
      <c r="BP51" s="40" t="n">
        <f aca="false">MAX(BM51*(1+INDEX(Response_Table!$M$4:$M$21,MATCH($F51&amp;"|low",Response_Table!$A$4:$A$21,0))*$R51*INDEX(Parameters!$X$13:$AA$13,1,MATCH($E51,Parameters!$X$3:$AA$3,0))),BM51*(1+INDEX(Response_Table!$M$4:$M$21,MATCH($F51&amp;"|high",Response_Table!$A$4:$A$21,0))*$R51*INDEX(Parameters!$X$13:$AA$13,1,MATCH($E51,Parameters!$X$3:$AA$3,0))))*(1+Inputs_General!$C$22*Parameters!$F$13)</f>
        <v>0.35149677</v>
      </c>
      <c r="BQ51" s="39" t="n">
        <f aca="false">IF(BM51=0,0,BN51/BM51-1)</f>
        <v>0</v>
      </c>
      <c r="BR51" s="38" t="n">
        <f aca="false">Parameters!$E$14*IF($N51="V",Parameters!$I$14,IF($N51="F",Parameters!$J$14,Parameters!$K$14))*(1-Parameters!$L$14*$P51)*IF($D51="V1",Parameters!$M$14,IF($D51="V2",Parameters!$N$14,Parameters!$O$14))*INDEX(Context!$AC$4:$AC$51,$K51)</f>
        <v>16.5</v>
      </c>
      <c r="BS51" s="38" t="n">
        <f aca="false">BR51*(1+INDEX(Response_Table!$N$4:$N$21,MATCH($F51&amp;"|mid",Response_Table!$A$4:$A$21,0))*$R51*INDEX(Parameters!$X$14:$AA$14,1,MATCH($E51,Parameters!$X$3:$AA$3,0)))</f>
        <v>16.5</v>
      </c>
      <c r="BT51" s="38" t="n">
        <f aca="false">MAX(0,MIN(BR51*(1+INDEX(Response_Table!$N$4:$N$21,MATCH($F51&amp;"|low",Response_Table!$A$4:$A$21,0))*$R51*INDEX(Parameters!$X$14:$AA$14,1,MATCH($E51,Parameters!$X$3:$AA$3,0))),BR51*(1+INDEX(Response_Table!$N$4:$N$21,MATCH($F51&amp;"|high",Response_Table!$A$4:$A$21,0))*$R51*INDEX(Parameters!$X$14:$AA$14,1,MATCH($E51,Parameters!$X$3:$AA$3,0))))*(1-Inputs_General!$C$22*Parameters!$F$14))</f>
        <v>8.35725</v>
      </c>
      <c r="BU51" s="38" t="n">
        <f aca="false">MAX(BR51*(1+INDEX(Response_Table!$N$4:$N$21,MATCH($F51&amp;"|low",Response_Table!$A$4:$A$21,0))*$R51*INDEX(Parameters!$X$14:$AA$14,1,MATCH($E51,Parameters!$X$3:$AA$3,0))),BR51*(1+INDEX(Response_Table!$N$4:$N$21,MATCH($F51&amp;"|high",Response_Table!$A$4:$A$21,0))*$R51*INDEX(Parameters!$X$14:$AA$14,1,MATCH($E51,Parameters!$X$3:$AA$3,0))))*(1+Inputs_General!$C$22*Parameters!$F$14)</f>
        <v>24.64275</v>
      </c>
      <c r="BV51" s="39" t="n">
        <f aca="false">IF(BR51=0,0,BS51/BR51-1)</f>
        <v>0</v>
      </c>
      <c r="BW51" s="37" t="n">
        <f aca="false">Parameters!$E$15*IF($N51="V",Parameters!$I$15,IF($N51="F",Parameters!$J$15,Parameters!$K$15))*(1-Parameters!$L$15*$P51)*IF($D51="V1",Parameters!$M$15,IF($D51="V2",Parameters!$N$15,Parameters!$O$15))</f>
        <v>10.8</v>
      </c>
      <c r="BX51" s="37" t="n">
        <f aca="false">BW51*(1+INDEX(Response_Table!$O$4:$O$21,MATCH($F51&amp;"|mid",Response_Table!$A$4:$A$21,0))*$R51*INDEX(Parameters!$X$15:$AA$15,1,MATCH($E51,Parameters!$X$3:$AA$3,0)))</f>
        <v>10.8</v>
      </c>
      <c r="BY51" s="37" t="n">
        <f aca="false">MAX(0,MIN(BW51*(1+INDEX(Response_Table!$O$4:$O$21,MATCH($F51&amp;"|low",Response_Table!$A$4:$A$21,0))*$R51*INDEX(Parameters!$X$15:$AA$15,1,MATCH($E51,Parameters!$X$3:$AA$3,0))),BW51*(1+INDEX(Response_Table!$O$4:$O$21,MATCH($F51&amp;"|high",Response_Table!$A$4:$A$21,0))*$R51*INDEX(Parameters!$X$15:$AA$15,1,MATCH($E51,Parameters!$X$3:$AA$3,0))))*(1-Inputs_General!$C$22*Parameters!$F$15))</f>
        <v>8.66808</v>
      </c>
      <c r="BZ51" s="37" t="n">
        <f aca="false">MAX(BW51*(1+INDEX(Response_Table!$O$4:$O$21,MATCH($F51&amp;"|low",Response_Table!$A$4:$A$21,0))*$R51*INDEX(Parameters!$X$15:$AA$15,1,MATCH($E51,Parameters!$X$3:$AA$3,0))),BW51*(1+INDEX(Response_Table!$O$4:$O$21,MATCH($F51&amp;"|high",Response_Table!$A$4:$A$21,0))*$R51*INDEX(Parameters!$X$15:$AA$15,1,MATCH($E51,Parameters!$X$3:$AA$3,0))))*(1+Inputs_General!$C$22*Parameters!$F$15)</f>
        <v>12.93192</v>
      </c>
      <c r="CA51" s="39" t="n">
        <f aca="false">IF(BW51=0,0,BX51/BW51-1)</f>
        <v>0</v>
      </c>
      <c r="CB51" s="40" t="n">
        <f aca="false">BD51+BI51</f>
        <v>1.66345</v>
      </c>
      <c r="CC51" s="37" t="n">
        <f aca="false">BD51/BI51</f>
        <v>2.77777777777778</v>
      </c>
      <c r="CD51" s="40" t="n">
        <f aca="false">BN51/CB51</f>
        <v>0.176470588235294</v>
      </c>
      <c r="CE51" s="37" t="n">
        <f aca="false">AE51/AO51</f>
        <v>4.45937853767122</v>
      </c>
      <c r="CF51" s="38" t="n">
        <f aca="false">AE51/AJ51</f>
        <v>42.1144887505636</v>
      </c>
      <c r="CG51" s="38" t="n">
        <f aca="false">INDEX(Context!$V$4:$V$51,$K51)</f>
        <v>22.6257142857143</v>
      </c>
      <c r="CH51" s="38" t="n">
        <f aca="false">INDEX(Context!$Y$4:$Y$51,$K51)</f>
        <v>21.3177449518561</v>
      </c>
      <c r="CI51" s="38" t="n">
        <f aca="false">INDEX(Context!$Z$4:$Z$51,$K51)</f>
        <v>26.6257142857143</v>
      </c>
      <c r="CJ51" s="37" t="n">
        <f aca="false">INDEX(Context!$AA$4:$AA$51,$K51)</f>
        <v>0.12</v>
      </c>
      <c r="CK51" s="37" t="n">
        <f aca="false">MAX(0,MIN(1,1-(1-CJ51)*AO51/AN51))</f>
        <v>0.12</v>
      </c>
      <c r="CL51" s="38" t="n">
        <f aca="false">CH51+CK51*(CI51-CH51)</f>
        <v>21.954701271919</v>
      </c>
      <c r="CM51" s="38" t="n">
        <f aca="false">CH51+MAX(0,MIN(1,1-(1-CJ51)*AQ51/AN51))*(CI51-CH51)</f>
        <v>21.3177449518561</v>
      </c>
      <c r="CN51" s="38" t="n">
        <f aca="false">CH51+MAX(0,MIN(1,1-(1-CJ51)*AP51/AN51))*(CI51-CH51)</f>
        <v>23.3377882253038</v>
      </c>
      <c r="CO51" s="38" t="n">
        <f aca="false">CL51-CG51</f>
        <v>-0.67101301379525</v>
      </c>
      <c r="CP51" s="38" t="n">
        <f aca="false">CL51-(CH51+CJ51*(CI51-CH51))</f>
        <v>0</v>
      </c>
      <c r="CQ51" s="40" t="n">
        <f aca="false">CL51/CG51</f>
        <v>0.970342902534621</v>
      </c>
      <c r="CR51" s="37" t="n">
        <f aca="false">IF(CL51-CH51&lt;=0,"n/a",(CI51-CL51)/(CL51-CH51))</f>
        <v>7.33333333333333</v>
      </c>
      <c r="CS51" s="37" t="n">
        <f aca="false">IF(CI51-CL51&lt;=0,"n/a",(CL51-CH51)/(CI51-CL51))</f>
        <v>0.136363636363636</v>
      </c>
      <c r="CT51" s="37" t="n">
        <f aca="false">Inputs_General!$C$23+Inputs_General!$C$24*$I51</f>
        <v>0.6</v>
      </c>
      <c r="CU51" s="38" t="n">
        <f aca="false">3.29*CT51</f>
        <v>1.974</v>
      </c>
    </row>
    <row r="52" customFormat="false" ht="15" hidden="false" customHeight="false" outlineLevel="0" collapsed="false">
      <c r="A52" s="9" t="str">
        <f aca="false">B52&amp;"|"&amp;E52&amp;"|"&amp;F52</f>
        <v>D1V3|11/02/2026|Very low</v>
      </c>
      <c r="B52" s="7" t="s">
        <v>345</v>
      </c>
      <c r="C52" s="9" t="s">
        <v>127</v>
      </c>
      <c r="D52" s="9" t="s">
        <v>150</v>
      </c>
      <c r="E52" s="9" t="s">
        <v>158</v>
      </c>
      <c r="F52" s="7" t="s">
        <v>277</v>
      </c>
      <c r="G52" s="9" t="s">
        <v>278</v>
      </c>
      <c r="H52" s="41" t="n">
        <f aca="false">INDEX(Severity_Classes!$C$4:$C$9,MATCH(F52,Severity_Classes!$A$4:$A$9,0))</f>
        <v>0.01</v>
      </c>
      <c r="I52" s="41" t="n">
        <f aca="false">INDEX(Severity_Classes!$D$4:$D$9,MATCH(F52,Severity_Classes!$A$4:$A$9,0))</f>
        <v>0.03</v>
      </c>
      <c r="J52" s="41" t="n">
        <f aca="false">INDEX(Severity_Classes!$E$4:$E$9,MATCH(F52,Severity_Classes!$A$4:$A$9,0))</f>
        <v>0.05</v>
      </c>
      <c r="K52" s="42" t="n">
        <f aca="false">MATCH(B52&amp;"|"&amp;E52,Context!$A$4:$A$51,0)</f>
        <v>9</v>
      </c>
      <c r="L52" s="42" t="n">
        <f aca="false">INDEX(Context!$H$4:$H$51,K52)</f>
        <v>64</v>
      </c>
      <c r="M52" s="42" t="n">
        <f aca="false">INDEX(Context!$I$4:$I$51,K52)</f>
        <v>6</v>
      </c>
      <c r="N52" s="9" t="str">
        <f aca="false">INDEX(Context!$L$4:$L$51,K52)</f>
        <v>V</v>
      </c>
      <c r="O52" s="9" t="str">
        <f aca="false">INDEX(Context!$M$4:$M$51,K52)</f>
        <v>3rd fully expanded leaf from top</v>
      </c>
      <c r="P52" s="43" t="n">
        <f aca="false">INDEX(Context!$R$4:$R$51,K52)</f>
        <v>0</v>
      </c>
      <c r="Q52" s="43" t="n">
        <f aca="false">INDEX(Context!$U$4:$U$51,K52)</f>
        <v>0.937791824040773</v>
      </c>
      <c r="R52" s="43" t="n">
        <f aca="false">INDEX(Context!$AD$4:$AD$51,K52)</f>
        <v>0.85</v>
      </c>
      <c r="S52" s="9" t="str">
        <f aca="false">INDEX(Context!$AI$4:$AN$51,K52,MATCH(F52,Severity_Classes!$A$4:$A$9,0))</f>
        <v>Likely</v>
      </c>
      <c r="T52" s="44" t="n">
        <f aca="false">Parameters!$E$4*IF($N52="V",Parameters!$I$4,IF($N52="F",Parameters!$J$4,Parameters!$K$4))*(1-Parameters!$L$4*$P52)*IF($D52="V1",Parameters!$M$4,IF($D52="V2",Parameters!$N$4,Parameters!$O$4))</f>
        <v>86</v>
      </c>
      <c r="U52" s="44" t="n">
        <f aca="false">MIN(100,T52*(1+INDEX(Response_Table!$E$4:$E$21,MATCH($F52&amp;"|mid",Response_Table!$A$4:$A$21,0))*$R52*INDEX(Parameters!$X$4:$AA$4,1,MATCH($E52,Parameters!$X$3:$AA$3,0))))</f>
        <v>85.8424205668334</v>
      </c>
      <c r="V52" s="44" t="n">
        <f aca="false">MAX(0,MIN(T52*(1+INDEX(Response_Table!$E$4:$E$21,MATCH($F52&amp;"|low",Response_Table!$A$4:$A$21,0))*$R52*INDEX(Parameters!$X$4:$AA$4,1,MATCH($E52,Parameters!$X$3:$AA$3,0))),T52*(1+INDEX(Response_Table!$E$4:$E$21,MATCH($F52&amp;"|high",Response_Table!$A$4:$A$21,0))*$R52*INDEX(Parameters!$X$4:$AA$4,1,MATCH($E52,Parameters!$X$3:$AA$3,0))))*(1-Inputs_General!$C$22*Parameters!$F$4))</f>
        <v>80.076411740872</v>
      </c>
      <c r="W52" s="44" t="n">
        <f aca="false">MIN(100,MAX(T52*(1+INDEX(Response_Table!$E$4:$E$21,MATCH($F52&amp;"|low",Response_Table!$A$4:$A$21,0))*$R52*INDEX(Parameters!$X$4:$AA$4,1,MATCH($E52,Parameters!$X$3:$AA$3,0))),T52*(1+INDEX(Response_Table!$E$4:$E$21,MATCH($F52&amp;"|high",Response_Table!$A$4:$A$21,0))*$R52*INDEX(Parameters!$X$4:$AA$4,1,MATCH($E52,Parameters!$X$3:$AA$3,0))))*(1+Inputs_General!$C$22*Parameters!$F$4))</f>
        <v>91.6068947319483</v>
      </c>
      <c r="X52" s="45" t="n">
        <f aca="false">IF(T52=0,0,U52/T52-1)</f>
        <v>-0.00183231899030967</v>
      </c>
      <c r="Y52" s="44" t="n">
        <f aca="false">Parameters!$E$5*IF($N52="V",Parameters!$I$5,IF($N52="F",Parameters!$J$5,Parameters!$K$5))*(1-Parameters!$L$5*$P52)*IF($D52="V1",Parameters!$M$5,IF($D52="V2",Parameters!$N$5,Parameters!$O$5))</f>
        <v>72</v>
      </c>
      <c r="Z52" s="44" t="n">
        <f aca="false">MIN(100,Y52*(1+INDEX(Response_Table!$F$4:$F$21,MATCH($F52&amp;"|mid",Response_Table!$A$4:$A$21,0))*$R52*INDEX(Parameters!$X$5:$AA$5,1,MATCH($E52,Parameters!$X$3:$AA$3,0))))</f>
        <v>71.5788601360602</v>
      </c>
      <c r="AA52" s="44" t="n">
        <f aca="false">MAX(0,MIN(Y52*(1+INDEX(Response_Table!$F$4:$F$21,MATCH($F52&amp;"|low",Response_Table!$A$4:$A$21,0))*$R52*INDEX(Parameters!$X$5:$AA$5,1,MATCH($E52,Parameters!$X$3:$AA$3,0))),Y52*(1+INDEX(Response_Table!$F$4:$F$21,MATCH($F52&amp;"|high",Response_Table!$A$4:$A$21,0))*$R52*INDEX(Parameters!$X$5:$AA$5,1,MATCH($E52,Parameters!$X$3:$AA$3,0))))*(1-Inputs_General!$C$22*Parameters!$F$5))</f>
        <v>63.0296399455958</v>
      </c>
      <c r="AB52" s="44" t="n">
        <f aca="false">MIN(100,MAX(Y52*(1+INDEX(Response_Table!$F$4:$F$21,MATCH($F52&amp;"|low",Response_Table!$A$4:$A$21,0))*$R52*INDEX(Parameters!$X$5:$AA$5,1,MATCH($E52,Parameters!$X$3:$AA$3,0))),Y52*(1+INDEX(Response_Table!$F$4:$F$21,MATCH($F52&amp;"|high",Response_Table!$A$4:$A$21,0))*$R52*INDEX(Parameters!$X$5:$AA$5,1,MATCH($E52,Parameters!$X$3:$AA$3,0))))*(1+Inputs_General!$C$22*Parameters!$F$5))</f>
        <v>80.1476551225814</v>
      </c>
      <c r="AC52" s="45" t="n">
        <f aca="false">IF(Y52=0,0,Z52/Y52-1)</f>
        <v>-0.00584916477694142</v>
      </c>
      <c r="AD52" s="44" t="n">
        <f aca="false">Parameters!$E$6*IF($N52="V",Parameters!$I$6,IF($N52="F",Parameters!$J$6,Parameters!$K$6))*(1-Parameters!$L$6*$P52)*IF($D52="V1",Parameters!$M$6,IF($D52="V2",Parameters!$N$6,Parameters!$O$6))</f>
        <v>19.57</v>
      </c>
      <c r="AE52" s="44" t="n">
        <f aca="false">AD52*(1+INDEX(Response_Table!$G$4:$G$21,MATCH($F52&amp;"|mid",Response_Table!$A$4:$A$21,0))*$R52*INDEX(Parameters!$X$6:$AA$6,1,MATCH($E52,Parameters!$X$3:$AA$3,0)))</f>
        <v>18.3357965695887</v>
      </c>
      <c r="AF52" s="44" t="n">
        <f aca="false">MAX(0,MIN(AD52*(1+INDEX(Response_Table!$G$4:$G$21,MATCH($F52&amp;"|low",Response_Table!$A$4:$A$21,0))*$R52*INDEX(Parameters!$X$6:$AA$6,1,MATCH($E52,Parameters!$X$3:$AA$3,0))),AD52*(1+INDEX(Response_Table!$G$4:$G$21,MATCH($F52&amp;"|high",Response_Table!$A$4:$A$21,0))*$R52*INDEX(Parameters!$X$6:$AA$6,1,MATCH($E52,Parameters!$X$3:$AA$3,0))))*(1-Inputs_General!$C$22*Parameters!$F$6))</f>
        <v>14.124956891813</v>
      </c>
      <c r="AG52" s="44" t="n">
        <f aca="false">MAX(AD52*(1+INDEX(Response_Table!$G$4:$G$21,MATCH($F52&amp;"|low",Response_Table!$A$4:$A$21,0))*$R52*INDEX(Parameters!$X$6:$AA$6,1,MATCH($E52,Parameters!$X$3:$AA$3,0))),AD52*(1+INDEX(Response_Table!$G$4:$G$21,MATCH($F52&amp;"|high",Response_Table!$A$4:$A$21,0))*$R52*INDEX(Parameters!$X$6:$AA$6,1,MATCH($E52,Parameters!$X$3:$AA$3,0))))*(1+Inputs_General!$C$22*Parameters!$F$6)</f>
        <v>22.9186794730768</v>
      </c>
      <c r="AH52" s="45" t="n">
        <f aca="false">IF(AD52=0,0,AE52/AD52-1)</f>
        <v>-0.0630660925095196</v>
      </c>
      <c r="AI52" s="46" t="n">
        <f aca="false">Parameters!$E$7*IF($N52="V",Parameters!$I$7,IF($N52="F",Parameters!$J$7,Parameters!$K$7))*(1-Parameters!$L$7*$P52)*IF($D52="V1",Parameters!$M$7,IF($D52="V2",Parameters!$N$7,Parameters!$O$7))*POWER($Q52/Inputs_General!$C$26,-Inputs_General!$C$25)</f>
        <v>0.464685683730118</v>
      </c>
      <c r="AJ52" s="46" t="n">
        <f aca="false">AI52*(1+INDEX(Response_Table!$H$4:$H$21,MATCH($F52&amp;"|mid",Response_Table!$A$4:$A$21,0))*$R52*INDEX(Parameters!$X$7:$AA$7,1,MATCH($E52,Parameters!$X$3:$AA$3,0)))</f>
        <v>0.447007917589242</v>
      </c>
      <c r="AK52" s="46" t="n">
        <f aca="false">MAX(0,MIN(AI52*(1+INDEX(Response_Table!$H$4:$H$21,MATCH($F52&amp;"|low",Response_Table!$A$4:$A$21,0))*$R52*INDEX(Parameters!$X$7:$AA$7,1,MATCH($E52,Parameters!$X$3:$AA$3,0))),AI52*(1+INDEX(Response_Table!$H$4:$H$21,MATCH($F52&amp;"|high",Response_Table!$A$4:$A$21,0))*$R52*INDEX(Parameters!$X$7:$AA$7,1,MATCH($E52,Parameters!$X$3:$AA$3,0))))*(1-Inputs_General!$C$22*Parameters!$F$7))</f>
        <v>0.306954139708623</v>
      </c>
      <c r="AL52" s="46" t="n">
        <f aca="false">MAX(AI52*(1+INDEX(Response_Table!$H$4:$H$21,MATCH($F52&amp;"|low",Response_Table!$A$4:$A$21,0))*$R52*INDEX(Parameters!$X$7:$AA$7,1,MATCH($E52,Parameters!$X$3:$AA$3,0))),AI52*(1+INDEX(Response_Table!$H$4:$H$21,MATCH($F52&amp;"|high",Response_Table!$A$4:$A$21,0))*$R52*INDEX(Parameters!$X$7:$AA$7,1,MATCH($E52,Parameters!$X$3:$AA$3,0))))*(1+Inputs_General!$C$22*Parameters!$F$7)</f>
        <v>0.594411497935526</v>
      </c>
      <c r="AM52" s="45" t="n">
        <f aca="false">IF(AI52=0,0,AJ52/AI52-1)</f>
        <v>-0.0380424161101172</v>
      </c>
      <c r="AN52" s="43" t="n">
        <f aca="false">AI52*$Q52/Inputs_General!$C$13*1000</f>
        <v>4.38850387664553</v>
      </c>
      <c r="AO52" s="43" t="n">
        <f aca="false">AJ52*$Q52/Inputs_General!$C$13*1000*(1+Inputs_General!$C$21*$I52)</f>
        <v>4.25321624546484</v>
      </c>
      <c r="AP52" s="43" t="n">
        <f aca="false">AK52*$Q52/Inputs_General!$C$13*1000*(1+Inputs_General!$C$21*$H52)</f>
        <v>2.90613021430666</v>
      </c>
      <c r="AQ52" s="43" t="n">
        <f aca="false">AL52*$Q52/Inputs_General!$C$13*1000*(1+Inputs_General!$C$21*$J52)</f>
        <v>5.68380836773174</v>
      </c>
      <c r="AR52" s="45" t="n">
        <f aca="false">IF(AN52=0,0,AO52/AN52-1)</f>
        <v>-0.0308277342309431</v>
      </c>
      <c r="AS52" s="42" t="n">
        <f aca="false">Parameters!$E$9*IF($N52="V",Parameters!$I$9,IF($N52="F",Parameters!$J$9,Parameters!$K$9))*(1-Parameters!$L$9*$P52)*IF($D52="V1",Parameters!$M$9,IF($D52="V2",Parameters!$N$9,Parameters!$O$9))</f>
        <v>285</v>
      </c>
      <c r="AT52" s="42" t="n">
        <f aca="false">AS52*(1+INDEX(Response_Table!$I$4:$I$21,MATCH($F52&amp;"|mid",Response_Table!$A$4:$A$21,0))*$R52*INDEX(Parameters!$X$9:$AA$9,1,MATCH($E52,Parameters!$X$3:$AA$3,0)))</f>
        <v>291.574445809265</v>
      </c>
      <c r="AU52" s="42" t="n">
        <f aca="false">MAX(0,MIN(AS52*(1+INDEX(Response_Table!$I$4:$I$21,MATCH($F52&amp;"|low",Response_Table!$A$4:$A$21,0))*$R52*INDEX(Parameters!$X$9:$AA$9,1,MATCH($E52,Parameters!$X$3:$AA$3,0))),AS52*(1+INDEX(Response_Table!$I$4:$I$21,MATCH($F52&amp;"|high",Response_Table!$A$4:$A$21,0))*$R52*INDEX(Parameters!$X$9:$AA$9,1,MATCH($E52,Parameters!$X$3:$AA$3,0))))*(1-Inputs_General!$C$22*Parameters!$F$9))</f>
        <v>258.925195419526</v>
      </c>
      <c r="AV52" s="42" t="n">
        <f aca="false">MAX(AS52*(1+INDEX(Response_Table!$I$4:$I$21,MATCH($F52&amp;"|low",Response_Table!$A$4:$A$21,0))*$R52*INDEX(Parameters!$X$9:$AA$9,1,MATCH($E52,Parameters!$X$3:$AA$3,0))),AS52*(1+INDEX(Response_Table!$I$4:$I$21,MATCH($F52&amp;"|high",Response_Table!$A$4:$A$21,0))*$R52*INDEX(Parameters!$X$9:$AA$9,1,MATCH($E52,Parameters!$X$3:$AA$3,0))))*(1+Inputs_General!$C$22*Parameters!$F$9)</f>
        <v>324.70869272543</v>
      </c>
      <c r="AW52" s="45" t="n">
        <f aca="false">IF(AS52=0,0,AT52/AS52-1)</f>
        <v>0.0230682309096999</v>
      </c>
      <c r="AX52" s="43" t="n">
        <f aca="false">INDEX(Context!$AB$4:$AB$51,$K52)</f>
        <v>2.6849133441391</v>
      </c>
      <c r="AY52" s="43" t="n">
        <f aca="false">AX52*(1+INDEX(Response_Table!$J$4:$J$21,MATCH($F52&amp;"|mid",Response_Table!$A$4:$A$21,0))*$R52*INDEX(Parameters!$X$10:$AA$10,1,MATCH($E52,Parameters!$X$3:$AA$3,0)))</f>
        <v>2.64781037026799</v>
      </c>
      <c r="AZ52" s="43" t="n">
        <f aca="false">MAX(0,MIN(AX52*(1+INDEX(Response_Table!$J$4:$J$21,MATCH($F52&amp;"|low",Response_Table!$A$4:$A$21,0))*$R52*INDEX(Parameters!$X$10:$AA$10,1,MATCH($E52,Parameters!$X$3:$AA$3,0))),AX52*(1+INDEX(Response_Table!$J$4:$J$21,MATCH($F52&amp;"|high",Response_Table!$A$4:$A$21,0))*$R52*INDEX(Parameters!$X$10:$AA$10,1,MATCH($E52,Parameters!$X$3:$AA$3,0))))*(1-Inputs_General!$C$22*Parameters!$F$10))</f>
        <v>2.10648527273749</v>
      </c>
      <c r="BA52" s="43" t="n">
        <f aca="false">MAX(AX52*(1+INDEX(Response_Table!$J$4:$J$21,MATCH($F52&amp;"|low",Response_Table!$A$4:$A$21,0))*$R52*INDEX(Parameters!$X$10:$AA$10,1,MATCH($E52,Parameters!$X$3:$AA$3,0))),AX52*(1+INDEX(Response_Table!$J$4:$J$21,MATCH($F52&amp;"|high",Response_Table!$A$4:$A$21,0))*$R52*INDEX(Parameters!$X$10:$AA$10,1,MATCH($E52,Parameters!$X$3:$AA$3,0))))*(1+Inputs_General!$C$22*Parameters!$F$10)</f>
        <v>3.19973447498675</v>
      </c>
      <c r="BB52" s="45" t="n">
        <f aca="false">IF(AX52=0,0,AY52/AX52-1)</f>
        <v>-0.0138190582396642</v>
      </c>
      <c r="BC52" s="46" t="n">
        <f aca="false">Parameters!$E$11*IF($N52="V",Parameters!$I$11,IF($N52="F",Parameters!$J$11,Parameters!$K$11))*(1-Parameters!$L$11*$P52)*IF($D52="V1",Parameters!$M$11,IF($D52="V2",Parameters!$N$11,Parameters!$O$11))</f>
        <v>1.223125</v>
      </c>
      <c r="BD52" s="46" t="n">
        <f aca="false">BC52*(1+INDEX(Response_Table!$K$4:$K$21,MATCH($F52&amp;"|mid",Response_Table!$A$4:$A$21,0))*$R52*INDEX(Parameters!$X$11:$AA$11,1,MATCH($E52,Parameters!$X$3:$AA$3,0)))</f>
        <v>1.19219606371693</v>
      </c>
      <c r="BE52" s="46" t="n">
        <f aca="false">MAX(0,MIN(BC52*(1+INDEX(Response_Table!$K$4:$K$21,MATCH($F52&amp;"|low",Response_Table!$A$4:$A$21,0))*$R52*INDEX(Parameters!$X$11:$AA$11,1,MATCH($E52,Parameters!$X$3:$AA$3,0))),BC52*(1+INDEX(Response_Table!$K$4:$K$21,MATCH($F52&amp;"|high",Response_Table!$A$4:$A$21,0))*$R52*INDEX(Parameters!$X$11:$AA$11,1,MATCH($E52,Parameters!$X$3:$AA$3,0))))*(1-Inputs_General!$C$22*Parameters!$F$11))</f>
        <v>0.980180292409174</v>
      </c>
      <c r="BF52" s="46" t="n">
        <f aca="false">MAX(BC52*(1+INDEX(Response_Table!$K$4:$K$21,MATCH($F52&amp;"|low",Response_Table!$A$4:$A$21,0))*$R52*INDEX(Parameters!$X$11:$AA$11,1,MATCH($E52,Parameters!$X$3:$AA$3,0))),BC52*(1+INDEX(Response_Table!$K$4:$K$21,MATCH($F52&amp;"|high",Response_Table!$A$4:$A$21,0))*$R52*INDEX(Parameters!$X$11:$AA$11,1,MATCH($E52,Parameters!$X$3:$AA$3,0))))*(1+Inputs_General!$C$22*Parameters!$F$11)</f>
        <v>1.41193731889591</v>
      </c>
      <c r="BG52" s="45" t="n">
        <f aca="false">IF(BC52=0,0,BD52/BC52-1)</f>
        <v>-0.0252868155610199</v>
      </c>
      <c r="BH52" s="46" t="n">
        <f aca="false">Parameters!$E$12*IF($N52="V",Parameters!$I$12,IF($N52="F",Parameters!$J$12,Parameters!$K$12))*(1-Parameters!$L$12*$P52)*IF($D52="V1",Parameters!$M$12,IF($D52="V2",Parameters!$N$12,Parameters!$O$12))</f>
        <v>0.440325</v>
      </c>
      <c r="BI52" s="46" t="n">
        <f aca="false">BH52*(1+INDEX(Response_Table!$L$4:$L$21,MATCH($F52&amp;"|mid",Response_Table!$A$4:$A$21,0))*$R52*INDEX(Parameters!$X$12:$AA$12,1,MATCH($E52,Parameters!$X$3:$AA$3,0)))</f>
        <v>0.431466283864877</v>
      </c>
      <c r="BJ52" s="46" t="n">
        <f aca="false">MAX(0,MIN(BH52*(1+INDEX(Response_Table!$L$4:$L$21,MATCH($F52&amp;"|low",Response_Table!$A$4:$A$21,0))*$R52*INDEX(Parameters!$X$12:$AA$12,1,MATCH($E52,Parameters!$X$3:$AA$3,0))),BH52*(1+INDEX(Response_Table!$L$4:$L$21,MATCH($F52&amp;"|high",Response_Table!$A$4:$A$21,0))*$R52*INDEX(Parameters!$X$12:$AA$12,1,MATCH($E52,Parameters!$X$3:$AA$3,0))))*(1-Inputs_General!$C$22*Parameters!$F$12))</f>
        <v>0.34189815623471</v>
      </c>
      <c r="BK52" s="46" t="n">
        <f aca="false">MAX(BH52*(1+INDEX(Response_Table!$L$4:$L$21,MATCH($F52&amp;"|low",Response_Table!$A$4:$A$21,0))*$R52*INDEX(Parameters!$X$12:$AA$12,1,MATCH($E52,Parameters!$X$3:$AA$3,0))),BH52*(1+INDEX(Response_Table!$L$4:$L$21,MATCH($F52&amp;"|high",Response_Table!$A$4:$A$21,0))*$R52*INDEX(Parameters!$X$12:$AA$12,1,MATCH($E52,Parameters!$X$3:$AA$3,0))))*(1+Inputs_General!$C$22*Parameters!$F$12)</f>
        <v>0.523602757488944</v>
      </c>
      <c r="BL52" s="45" t="n">
        <f aca="false">IF(BH52=0,0,BI52/BH52-1)</f>
        <v>-0.0201185854428505</v>
      </c>
      <c r="BM52" s="46" t="n">
        <f aca="false">Parameters!$E$13*IF($N52="V",Parameters!$I$13,IF($N52="F",Parameters!$J$13,Parameters!$K$13))*(1-Parameters!$L$13*$P52)*IF($D52="V1",Parameters!$M$13,IF($D52="V2",Parameters!$N$13,Parameters!$O$13))</f>
        <v>0.29355</v>
      </c>
      <c r="BN52" s="46" t="n">
        <f aca="false">BM52*(1+INDEX(Response_Table!$M$4:$M$21,MATCH($F52&amp;"|mid",Response_Table!$A$4:$A$21,0))*$R52*INDEX(Parameters!$X$13:$AA$13,1,MATCH($E52,Parameters!$X$3:$AA$3,0)))</f>
        <v>0.296791863021977</v>
      </c>
      <c r="BO52" s="46" t="n">
        <f aca="false">MAX(0,MIN(BM52*(1+INDEX(Response_Table!$M$4:$M$21,MATCH($F52&amp;"|low",Response_Table!$A$4:$A$21,0))*$R52*INDEX(Parameters!$X$13:$AA$13,1,MATCH($E52,Parameters!$X$3:$AA$3,0))),BM52*(1+INDEX(Response_Table!$M$4:$M$21,MATCH($F52&amp;"|high",Response_Table!$A$4:$A$21,0))*$R52*INDEX(Parameters!$X$13:$AA$13,1,MATCH($E52,Parameters!$X$3:$AA$3,0))))*(1-Inputs_General!$C$22*Parameters!$F$13))</f>
        <v>0.23688233264073</v>
      </c>
      <c r="BP52" s="46" t="n">
        <f aca="false">MAX(BM52*(1+INDEX(Response_Table!$M$4:$M$21,MATCH($F52&amp;"|low",Response_Table!$A$4:$A$21,0))*$R52*INDEX(Parameters!$X$13:$AA$13,1,MATCH($E52,Parameters!$X$3:$AA$3,0))),BM52*(1+INDEX(Response_Table!$M$4:$M$21,MATCH($F52&amp;"|high",Response_Table!$A$4:$A$21,0))*$R52*INDEX(Parameters!$X$13:$AA$13,1,MATCH($E52,Parameters!$X$3:$AA$3,0))))*(1+Inputs_General!$C$22*Parameters!$F$13)</f>
        <v>0.355488255893759</v>
      </c>
      <c r="BQ52" s="45" t="n">
        <f aca="false">IF(BM52=0,0,BN52/BM52-1)</f>
        <v>0.0110436485163574</v>
      </c>
      <c r="BR52" s="44" t="n">
        <f aca="false">Parameters!$E$14*IF($N52="V",Parameters!$I$14,IF($N52="F",Parameters!$J$14,Parameters!$K$14))*(1-Parameters!$L$14*$P52)*IF($D52="V1",Parameters!$M$14,IF($D52="V2",Parameters!$N$14,Parameters!$O$14))*INDEX(Context!$AC$4:$AC$51,$K52)</f>
        <v>16.5</v>
      </c>
      <c r="BS52" s="44" t="n">
        <f aca="false">BR52*(1+INDEX(Response_Table!$N$4:$N$21,MATCH($F52&amp;"|mid",Response_Table!$A$4:$A$21,0))*$R52*INDEX(Parameters!$X$14:$AA$14,1,MATCH($E52,Parameters!$X$3:$AA$3,0)))</f>
        <v>16.8621345379713</v>
      </c>
      <c r="BT52" s="44" t="n">
        <f aca="false">MAX(0,MIN(BR52*(1+INDEX(Response_Table!$N$4:$N$21,MATCH($F52&amp;"|low",Response_Table!$A$4:$A$21,0))*$R52*INDEX(Parameters!$X$14:$AA$14,1,MATCH($E52,Parameters!$X$3:$AA$3,0))),BR52*(1+INDEX(Response_Table!$N$4:$N$21,MATCH($F52&amp;"|high",Response_Table!$A$4:$A$21,0))*$R52*INDEX(Parameters!$X$14:$AA$14,1,MATCH($E52,Parameters!$X$3:$AA$3,0))))*(1-Inputs_General!$C$22*Parameters!$F$14))</f>
        <v>8.42023348651169</v>
      </c>
      <c r="BU52" s="44" t="n">
        <f aca="false">MAX(BR52*(1+INDEX(Response_Table!$N$4:$N$21,MATCH($F52&amp;"|low",Response_Table!$A$4:$A$21,0))*$R52*INDEX(Parameters!$X$14:$AA$14,1,MATCH($E52,Parameters!$X$3:$AA$3,0))),BR52*(1+INDEX(Response_Table!$N$4:$N$21,MATCH($F52&amp;"|high",Response_Table!$A$4:$A$21,0))*$R52*INDEX(Parameters!$X$14:$AA$14,1,MATCH($E52,Parameters!$X$3:$AA$3,0))))*(1+Inputs_General!$C$22*Parameters!$F$14)</f>
        <v>25.5180473210576</v>
      </c>
      <c r="BV52" s="45" t="n">
        <f aca="false">IF(BR52=0,0,BS52/BR52-1)</f>
        <v>0.0219475477558369</v>
      </c>
      <c r="BW52" s="43" t="n">
        <f aca="false">Parameters!$E$15*IF($N52="V",Parameters!$I$15,IF($N52="F",Parameters!$J$15,Parameters!$K$15))*(1-Parameters!$L$15*$P52)*IF($D52="V1",Parameters!$M$15,IF($D52="V2",Parameters!$N$15,Parameters!$O$15))</f>
        <v>10.8</v>
      </c>
      <c r="BX52" s="43" t="n">
        <f aca="false">BW52*(1+INDEX(Response_Table!$O$4:$O$21,MATCH($F52&amp;"|mid",Response_Table!$A$4:$A$21,0))*$R52*INDEX(Parameters!$X$15:$AA$15,1,MATCH($E52,Parameters!$X$3:$AA$3,0)))</f>
        <v>10.7407416210592</v>
      </c>
      <c r="BY52" s="43" t="n">
        <f aca="false">MAX(0,MIN(BW52*(1+INDEX(Response_Table!$O$4:$O$21,MATCH($F52&amp;"|low",Response_Table!$A$4:$A$21,0))*$R52*INDEX(Parameters!$X$15:$AA$15,1,MATCH($E52,Parameters!$X$3:$AA$3,0))),BW52*(1+INDEX(Response_Table!$O$4:$O$21,MATCH($F52&amp;"|high",Response_Table!$A$4:$A$21,0))*$R52*INDEX(Parameters!$X$15:$AA$15,1,MATCH($E52,Parameters!$X$3:$AA$3,0))))*(1-Inputs_General!$C$22*Parameters!$F$15))</f>
        <v>8.59110860676352</v>
      </c>
      <c r="BZ52" s="43" t="n">
        <f aca="false">MAX(BW52*(1+INDEX(Response_Table!$O$4:$O$21,MATCH($F52&amp;"|low",Response_Table!$A$4:$A$21,0))*$R52*INDEX(Parameters!$X$15:$AA$15,1,MATCH($E52,Parameters!$X$3:$AA$3,0))),BW52*(1+INDEX(Response_Table!$O$4:$O$21,MATCH($F52&amp;"|high",Response_Table!$A$4:$A$21,0))*$R52*INDEX(Parameters!$X$15:$AA$15,1,MATCH($E52,Parameters!$X$3:$AA$3,0))))*(1+Inputs_General!$C$22*Parameters!$F$15)</f>
        <v>12.9075550052682</v>
      </c>
      <c r="CA52" s="45" t="n">
        <f aca="false">IF(BW52=0,0,BX52/BW52-1)</f>
        <v>-0.00548688693895916</v>
      </c>
      <c r="CB52" s="46" t="n">
        <f aca="false">BD52+BI52</f>
        <v>1.6236623475818</v>
      </c>
      <c r="CC52" s="43" t="n">
        <f aca="false">BD52/BI52</f>
        <v>2.76312682659183</v>
      </c>
      <c r="CD52" s="46" t="n">
        <f aca="false">BN52/CB52</f>
        <v>0.182791615180338</v>
      </c>
      <c r="CE52" s="43" t="n">
        <f aca="false">AE52/AO52</f>
        <v>4.31104263488601</v>
      </c>
      <c r="CF52" s="44" t="n">
        <f aca="false">AE52/AJ52</f>
        <v>41.0189525690629</v>
      </c>
      <c r="CG52" s="44" t="n">
        <f aca="false">INDEX(Context!$V$4:$V$51,$K52)</f>
        <v>22.6257142857143</v>
      </c>
      <c r="CH52" s="44" t="n">
        <f aca="false">INDEX(Context!$Y$4:$Y$51,$K52)</f>
        <v>21.3177449518561</v>
      </c>
      <c r="CI52" s="44" t="n">
        <f aca="false">INDEX(Context!$Z$4:$Z$51,$K52)</f>
        <v>26.6257142857143</v>
      </c>
      <c r="CJ52" s="43" t="n">
        <f aca="false">INDEX(Context!$AA$4:$AA$51,$K52)</f>
        <v>0.12</v>
      </c>
      <c r="CK52" s="43" t="n">
        <f aca="false">MAX(0,MIN(1,1-(1-CJ52)*AO52/AN52))</f>
        <v>0.14712840612323</v>
      </c>
      <c r="CL52" s="44" t="n">
        <f aca="false">CH52+CK52*(CI52-CH52)</f>
        <v>22.0986980196976</v>
      </c>
      <c r="CM52" s="44" t="n">
        <f aca="false">CH52+MAX(0,MIN(1,1-(1-CJ52)*AQ52/AN52))*(CI52-CH52)</f>
        <v>21.3177449518561</v>
      </c>
      <c r="CN52" s="44" t="n">
        <f aca="false">CH52+MAX(0,MIN(1,1-(1-CJ52)*AP52/AN52))*(CI52-CH52)</f>
        <v>23.5325024685731</v>
      </c>
      <c r="CO52" s="44" t="n">
        <f aca="false">CL52-CG52</f>
        <v>-0.527016266016695</v>
      </c>
      <c r="CP52" s="44" t="n">
        <f aca="false">CL52-(CH52+CJ52*(CI52-CH52))</f>
        <v>0.143996747778555</v>
      </c>
      <c r="CQ52" s="46" t="n">
        <f aca="false">CL52/CG52</f>
        <v>0.976707198749104</v>
      </c>
      <c r="CR52" s="43" t="n">
        <f aca="false">IF(CL52-CH52&lt;=0,"n/a",(CI52-CL52)/(CL52-CH52))</f>
        <v>5.79678402253902</v>
      </c>
      <c r="CS52" s="43" t="n">
        <f aca="false">IF(CI52-CL52&lt;=0,"n/a",(CL52-CH52)/(CI52-CL52))</f>
        <v>0.172509445946547</v>
      </c>
      <c r="CT52" s="43" t="n">
        <f aca="false">Inputs_General!$C$23+Inputs_General!$C$24*$I52</f>
        <v>0.66</v>
      </c>
      <c r="CU52" s="44" t="n">
        <f aca="false">3.29*CT52</f>
        <v>2.1714</v>
      </c>
    </row>
    <row r="53" customFormat="false" ht="15" hidden="false" customHeight="false" outlineLevel="0" collapsed="false">
      <c r="A53" s="9" t="str">
        <f aca="false">B53&amp;"|"&amp;E53&amp;"|"&amp;F53</f>
        <v>D1V3|11/02/2026|Low</v>
      </c>
      <c r="B53" s="7" t="s">
        <v>345</v>
      </c>
      <c r="C53" s="9" t="s">
        <v>127</v>
      </c>
      <c r="D53" s="9" t="s">
        <v>150</v>
      </c>
      <c r="E53" s="9" t="s">
        <v>158</v>
      </c>
      <c r="F53" s="7" t="s">
        <v>279</v>
      </c>
      <c r="G53" s="9" t="s">
        <v>280</v>
      </c>
      <c r="H53" s="41" t="n">
        <f aca="false">INDEX(Severity_Classes!$C$4:$C$9,MATCH(F53,Severity_Classes!$A$4:$A$9,0))</f>
        <v>0.06</v>
      </c>
      <c r="I53" s="41" t="n">
        <f aca="false">INDEX(Severity_Classes!$D$4:$D$9,MATCH(F53,Severity_Classes!$A$4:$A$9,0))</f>
        <v>0.08</v>
      </c>
      <c r="J53" s="41" t="n">
        <f aca="false">INDEX(Severity_Classes!$E$4:$E$9,MATCH(F53,Severity_Classes!$A$4:$A$9,0))</f>
        <v>0.1</v>
      </c>
      <c r="K53" s="42" t="n">
        <f aca="false">MATCH(B53&amp;"|"&amp;E53,Context!$A$4:$A$51,0)</f>
        <v>9</v>
      </c>
      <c r="L53" s="42" t="n">
        <f aca="false">INDEX(Context!$H$4:$H$51,K53)</f>
        <v>64</v>
      </c>
      <c r="M53" s="42" t="n">
        <f aca="false">INDEX(Context!$I$4:$I$51,K53)</f>
        <v>6</v>
      </c>
      <c r="N53" s="9" t="str">
        <f aca="false">INDEX(Context!$L$4:$L$51,K53)</f>
        <v>V</v>
      </c>
      <c r="O53" s="9" t="str">
        <f aca="false">INDEX(Context!$M$4:$M$51,K53)</f>
        <v>3rd fully expanded leaf from top</v>
      </c>
      <c r="P53" s="43" t="n">
        <f aca="false">INDEX(Context!$R$4:$R$51,K53)</f>
        <v>0</v>
      </c>
      <c r="Q53" s="43" t="n">
        <f aca="false">INDEX(Context!$U$4:$U$51,K53)</f>
        <v>0.937791824040773</v>
      </c>
      <c r="R53" s="43" t="n">
        <f aca="false">INDEX(Context!$AD$4:$AD$51,K53)</f>
        <v>0.85</v>
      </c>
      <c r="S53" s="9" t="str">
        <f aca="false">INDEX(Context!$AI$4:$AN$51,K53,MATCH(F53,Severity_Classes!$A$4:$A$9,0))</f>
        <v>Likely</v>
      </c>
      <c r="T53" s="44" t="n">
        <f aca="false">Parameters!$E$4*IF($N53="V",Parameters!$I$4,IF($N53="F",Parameters!$J$4,Parameters!$K$4))*(1-Parameters!$L$4*$P53)*IF($D53="V1",Parameters!$M$4,IF($D53="V2",Parameters!$N$4,Parameters!$O$4))</f>
        <v>86</v>
      </c>
      <c r="U53" s="44" t="n">
        <f aca="false">MIN(100,T53*(1+INDEX(Response_Table!$E$4:$E$21,MATCH($F53&amp;"|mid",Response_Table!$A$4:$A$21,0))*$R53*INDEX(Parameters!$X$4:$AA$4,1,MATCH($E53,Parameters!$X$3:$AA$3,0))))</f>
        <v>85.4912742489841</v>
      </c>
      <c r="V53" s="44" t="n">
        <f aca="false">MAX(0,MIN(T53*(1+INDEX(Response_Table!$E$4:$E$21,MATCH($F53&amp;"|low",Response_Table!$A$4:$A$21,0))*$R53*INDEX(Parameters!$X$4:$AA$4,1,MATCH($E53,Parameters!$X$3:$AA$3,0))),T53*(1+INDEX(Response_Table!$E$4:$E$21,MATCH($F53&amp;"|high",Response_Table!$A$4:$A$21,0))*$R53*INDEX(Parameters!$X$4:$AA$4,1,MATCH($E53,Parameters!$X$3:$AA$3,0))))*(1-Inputs_General!$C$22*Parameters!$F$4))</f>
        <v>79.6999011519644</v>
      </c>
      <c r="W53" s="44" t="n">
        <f aca="false">MIN(100,MAX(T53*(1+INDEX(Response_Table!$E$4:$E$21,MATCH($F53&amp;"|low",Response_Table!$A$4:$A$21,0))*$R53*INDEX(Parameters!$X$4:$AA$4,1,MATCH($E53,Parameters!$X$3:$AA$3,0))),T53*(1+INDEX(Response_Table!$E$4:$E$21,MATCH($F53&amp;"|high",Response_Table!$A$4:$A$21,0))*$R53*INDEX(Parameters!$X$4:$AA$4,1,MATCH($E53,Parameters!$X$3:$AA$3,0))))*(1+Inputs_General!$C$22*Parameters!$F$4))</f>
        <v>91.2821523734045</v>
      </c>
      <c r="X53" s="45" t="n">
        <f aca="false">IF(T53=0,0,U53/T53-1)</f>
        <v>-0.00591541570948695</v>
      </c>
      <c r="Y53" s="44" t="n">
        <f aca="false">Parameters!$E$5*IF($N53="V",Parameters!$I$5,IF($N53="F",Parameters!$J$5,Parameters!$K$5))*(1-Parameters!$L$5*$P53)*IF($D53="V1",Parameters!$M$5,IF($D53="V2",Parameters!$N$5,Parameters!$O$5))</f>
        <v>72</v>
      </c>
      <c r="Z53" s="44" t="n">
        <f aca="false">MIN(100,Y53*(1+INDEX(Response_Table!$F$4:$F$21,MATCH($F53&amp;"|mid",Response_Table!$A$4:$A$21,0))*$R53*INDEX(Parameters!$X$5:$AA$5,1,MATCH($E53,Parameters!$X$3:$AA$3,0))))</f>
        <v>70.5939570018953</v>
      </c>
      <c r="AA53" s="44" t="n">
        <f aca="false">MAX(0,MIN(Y53*(1+INDEX(Response_Table!$F$4:$F$21,MATCH($F53&amp;"|low",Response_Table!$A$4:$A$21,0))*$R53*INDEX(Parameters!$X$5:$AA$5,1,MATCH($E53,Parameters!$X$3:$AA$3,0))),Y53*(1+INDEX(Response_Table!$F$4:$F$21,MATCH($F53&amp;"|high",Response_Table!$A$4:$A$21,0))*$R53*INDEX(Parameters!$X$5:$AA$5,1,MATCH($E53,Parameters!$X$3:$AA$3,0))))*(1-Inputs_General!$C$22*Parameters!$F$5))</f>
        <v>62.0096981660899</v>
      </c>
      <c r="AB53" s="44" t="n">
        <f aca="false">MIN(100,MAX(Y53*(1+INDEX(Response_Table!$F$4:$F$21,MATCH($F53&amp;"|low",Response_Table!$A$4:$A$21,0))*$R53*INDEX(Parameters!$X$5:$AA$5,1,MATCH($E53,Parameters!$X$3:$AA$3,0))),Y53*(1+INDEX(Response_Table!$F$4:$F$21,MATCH($F53&amp;"|high",Response_Table!$A$4:$A$21,0))*$R53*INDEX(Parameters!$X$5:$AA$5,1,MATCH($E53,Parameters!$X$3:$AA$3,0))))*(1+Inputs_General!$C$22*Parameters!$F$5))</f>
        <v>79.2157573857933</v>
      </c>
      <c r="AC53" s="45" t="n">
        <f aca="false">IF(Y53=0,0,Z53/Y53-1)</f>
        <v>-0.0195283749736768</v>
      </c>
      <c r="AD53" s="44" t="n">
        <f aca="false">Parameters!$E$6*IF($N53="V",Parameters!$I$6,IF($N53="F",Parameters!$J$6,Parameters!$K$6))*(1-Parameters!$L$6*$P53)*IF($D53="V1",Parameters!$M$6,IF($D53="V2",Parameters!$N$6,Parameters!$O$6))</f>
        <v>19.57</v>
      </c>
      <c r="AE53" s="44" t="n">
        <f aca="false">AD53*(1+INDEX(Response_Table!$G$4:$G$21,MATCH($F53&amp;"|mid",Response_Table!$A$4:$A$21,0))*$R53*INDEX(Parameters!$X$6:$AA$6,1,MATCH($E53,Parameters!$X$3:$AA$3,0)))</f>
        <v>16.6085279134093</v>
      </c>
      <c r="AF53" s="44" t="n">
        <f aca="false">MAX(0,MIN(AD53*(1+INDEX(Response_Table!$G$4:$G$21,MATCH($F53&amp;"|low",Response_Table!$A$4:$A$21,0))*$R53*INDEX(Parameters!$X$6:$AA$6,1,MATCH($E53,Parameters!$X$3:$AA$3,0))),AD53*(1+INDEX(Response_Table!$G$4:$G$21,MATCH($F53&amp;"|high",Response_Table!$A$4:$A$21,0))*$R53*INDEX(Parameters!$X$6:$AA$6,1,MATCH($E53,Parameters!$X$3:$AA$3,0))))*(1-Inputs_General!$C$22*Parameters!$F$6))</f>
        <v>12.8554322555242</v>
      </c>
      <c r="AG53" s="44" t="n">
        <f aca="false">MAX(AD53*(1+INDEX(Response_Table!$G$4:$G$21,MATCH($F53&amp;"|low",Response_Table!$A$4:$A$21,0))*$R53*INDEX(Parameters!$X$6:$AA$6,1,MATCH($E53,Parameters!$X$3:$AA$3,0))),AD53*(1+INDEX(Response_Table!$G$4:$G$21,MATCH($F53&amp;"|high",Response_Table!$A$4:$A$21,0))*$R53*INDEX(Parameters!$X$6:$AA$6,1,MATCH($E53,Parameters!$X$3:$AA$3,0))))*(1+Inputs_General!$C$22*Parameters!$F$6)</f>
        <v>20.6601952535832</v>
      </c>
      <c r="AH53" s="45" t="n">
        <f aca="false">IF(AD53=0,0,AE53/AD53-1)</f>
        <v>-0.151327137792066</v>
      </c>
      <c r="AI53" s="46" t="n">
        <f aca="false">Parameters!$E$7*IF($N53="V",Parameters!$I$7,IF($N53="F",Parameters!$J$7,Parameters!$K$7))*(1-Parameters!$L$7*$P53)*IF($D53="V1",Parameters!$M$7,IF($D53="V2",Parameters!$N$7,Parameters!$O$7))*POWER($Q53/Inputs_General!$C$26,-Inputs_General!$C$25)</f>
        <v>0.464685683730118</v>
      </c>
      <c r="AJ53" s="46" t="n">
        <f aca="false">AI53*(1+INDEX(Response_Table!$H$4:$H$21,MATCH($F53&amp;"|mid",Response_Table!$A$4:$A$21,0))*$R53*INDEX(Parameters!$X$7:$AA$7,1,MATCH($E53,Parameters!$X$3:$AA$3,0)))</f>
        <v>0.420860951335111</v>
      </c>
      <c r="AK53" s="46" t="n">
        <f aca="false">MAX(0,MIN(AI53*(1+INDEX(Response_Table!$H$4:$H$21,MATCH($F53&amp;"|low",Response_Table!$A$4:$A$21,0))*$R53*INDEX(Parameters!$X$7:$AA$7,1,MATCH($E53,Parameters!$X$3:$AA$3,0))),AI53*(1+INDEX(Response_Table!$H$4:$H$21,MATCH($F53&amp;"|high",Response_Table!$A$4:$A$21,0))*$R53*INDEX(Parameters!$X$7:$AA$7,1,MATCH($E53,Parameters!$X$3:$AA$3,0))))*(1-Inputs_General!$C$22*Parameters!$F$7))</f>
        <v>0.28962110515998</v>
      </c>
      <c r="AL53" s="46" t="n">
        <f aca="false">MAX(AI53*(1+INDEX(Response_Table!$H$4:$H$21,MATCH($F53&amp;"|low",Response_Table!$A$4:$A$21,0))*$R53*INDEX(Parameters!$X$7:$AA$7,1,MATCH($E53,Parameters!$X$3:$AA$3,0))),AI53*(1+INDEX(Response_Table!$H$4:$H$21,MATCH($F53&amp;"|high",Response_Table!$A$4:$A$21,0))*$R53*INDEX(Parameters!$X$7:$AA$7,1,MATCH($E53,Parameters!$X$3:$AA$3,0))))*(1+Inputs_General!$C$22*Parameters!$F$7)</f>
        <v>0.558426831117588</v>
      </c>
      <c r="AM53" s="45" t="n">
        <f aca="false">IF(AI53=0,0,AJ53/AI53-1)</f>
        <v>-0.0943104854085833</v>
      </c>
      <c r="AN53" s="43" t="n">
        <f aca="false">AI53*$Q53/Inputs_General!$C$13*1000</f>
        <v>4.38850387664553</v>
      </c>
      <c r="AO53" s="43" t="n">
        <f aca="false">AJ53*$Q53/Inputs_General!$C$13*1000*(1+Inputs_General!$C$21*$I53)</f>
        <v>4.05411438473807</v>
      </c>
      <c r="AP53" s="43" t="n">
        <f aca="false">AK53*$Q53/Inputs_General!$C$13*1000*(1+Inputs_General!$C$21*$H53)</f>
        <v>2.77621721103738</v>
      </c>
      <c r="AQ53" s="43" t="n">
        <f aca="false">AL53*$Q53/Inputs_General!$C$13*1000*(1+Inputs_General!$C$21*$J53)</f>
        <v>5.40564269346171</v>
      </c>
      <c r="AR53" s="45" t="n">
        <f aca="false">IF(AN53=0,0,AO53/AN53-1)</f>
        <v>-0.0761966951167549</v>
      </c>
      <c r="AS53" s="42" t="n">
        <f aca="false">Parameters!$E$9*IF($N53="V",Parameters!$I$9,IF($N53="F",Parameters!$J$9,Parameters!$K$9))*(1-Parameters!$L$9*$P53)*IF($D53="V1",Parameters!$M$9,IF($D53="V2",Parameters!$N$9,Parameters!$O$9))</f>
        <v>285</v>
      </c>
      <c r="AT53" s="42" t="n">
        <f aca="false">AS53*(1+INDEX(Response_Table!$I$4:$I$21,MATCH($F53&amp;"|mid",Response_Table!$A$4:$A$21,0))*$R53*INDEX(Parameters!$X$9:$AA$9,1,MATCH($E53,Parameters!$X$3:$AA$3,0)))</f>
        <v>300.921694984536</v>
      </c>
      <c r="AU53" s="42" t="n">
        <f aca="false">MAX(0,MIN(AS53*(1+INDEX(Response_Table!$I$4:$I$21,MATCH($F53&amp;"|low",Response_Table!$A$4:$A$21,0))*$R53*INDEX(Parameters!$X$9:$AA$9,1,MATCH($E53,Parameters!$X$3:$AA$3,0))),AS53*(1+INDEX(Response_Table!$I$4:$I$21,MATCH($F53&amp;"|high",Response_Table!$A$4:$A$21,0))*$R53*INDEX(Parameters!$X$9:$AA$9,1,MATCH($E53,Parameters!$X$3:$AA$3,0))))*(1-Inputs_General!$C$22*Parameters!$F$9))</f>
        <v>268.051537634836</v>
      </c>
      <c r="AV53" s="42" t="n">
        <f aca="false">MAX(AS53*(1+INDEX(Response_Table!$I$4:$I$21,MATCH($F53&amp;"|low",Response_Table!$A$4:$A$21,0))*$R53*INDEX(Parameters!$X$9:$AA$9,1,MATCH($E53,Parameters!$X$3:$AA$3,0))),AS53*(1+INDEX(Response_Table!$I$4:$I$21,MATCH($F53&amp;"|high",Response_Table!$A$4:$A$21,0))*$R53*INDEX(Parameters!$X$9:$AA$9,1,MATCH($E53,Parameters!$X$3:$AA$3,0))))*(1+Inputs_General!$C$22*Parameters!$F$9)</f>
        <v>334.188933905556</v>
      </c>
      <c r="AW53" s="45" t="n">
        <f aca="false">IF(AS53=0,0,AT53/AS53-1)</f>
        <v>0.055865596436967</v>
      </c>
      <c r="AX53" s="43" t="n">
        <f aca="false">INDEX(Context!$AB$4:$AB$51,$K53)</f>
        <v>2.6849133441391</v>
      </c>
      <c r="AY53" s="43" t="n">
        <f aca="false">AX53*(1+INDEX(Response_Table!$J$4:$J$21,MATCH($F53&amp;"|mid",Response_Table!$A$4:$A$21,0))*$R53*INDEX(Parameters!$X$10:$AA$10,1,MATCH($E53,Parameters!$X$3:$AA$3,0)))</f>
        <v>2.59183345707501</v>
      </c>
      <c r="AZ53" s="43" t="n">
        <f aca="false">MAX(0,MIN(AX53*(1+INDEX(Response_Table!$J$4:$J$21,MATCH($F53&amp;"|low",Response_Table!$A$4:$A$21,0))*$R53*INDEX(Parameters!$X$10:$AA$10,1,MATCH($E53,Parameters!$X$3:$AA$3,0))),AX53*(1+INDEX(Response_Table!$J$4:$J$21,MATCH($F53&amp;"|high",Response_Table!$A$4:$A$21,0))*$R53*INDEX(Parameters!$X$10:$AA$10,1,MATCH($E53,Parameters!$X$3:$AA$3,0))))*(1-Inputs_General!$C$22*Parameters!$F$10))</f>
        <v>2.06374932129398</v>
      </c>
      <c r="BA53" s="43" t="n">
        <f aca="false">MAX(AX53*(1+INDEX(Response_Table!$J$4:$J$21,MATCH($F53&amp;"|low",Response_Table!$A$4:$A$21,0))*$R53*INDEX(Parameters!$X$10:$AA$10,1,MATCH($E53,Parameters!$X$3:$AA$3,0))),AX53*(1+INDEX(Response_Table!$J$4:$J$21,MATCH($F53&amp;"|high",Response_Table!$A$4:$A$21,0))*$R53*INDEX(Parameters!$X$10:$AA$10,1,MATCH($E53,Parameters!$X$3:$AA$3,0))))*(1+Inputs_General!$C$22*Parameters!$F$10)</f>
        <v>3.12927118387015</v>
      </c>
      <c r="BB53" s="45" t="n">
        <f aca="false">IF(AX53=0,0,AY53/AX53-1)</f>
        <v>-0.0346677434738359</v>
      </c>
      <c r="BC53" s="46" t="n">
        <f aca="false">Parameters!$E$11*IF($N53="V",Parameters!$I$11,IF($N53="F",Parameters!$J$11,Parameters!$K$11))*(1-Parameters!$L$11*$P53)*IF($D53="V1",Parameters!$M$11,IF($D53="V2",Parameters!$N$11,Parameters!$O$11))</f>
        <v>1.223125</v>
      </c>
      <c r="BD53" s="46" t="n">
        <f aca="false">BC53*(1+INDEX(Response_Table!$K$4:$K$21,MATCH($F53&amp;"|mid",Response_Table!$A$4:$A$21,0))*$R53*INDEX(Parameters!$X$11:$AA$11,1,MATCH($E53,Parameters!$X$3:$AA$3,0)))</f>
        <v>1.1468102180287</v>
      </c>
      <c r="BE53" s="46" t="n">
        <f aca="false">MAX(0,MIN(BC53*(1+INDEX(Response_Table!$K$4:$K$21,MATCH($F53&amp;"|low",Response_Table!$A$4:$A$21,0))*$R53*INDEX(Parameters!$X$11:$AA$11,1,MATCH($E53,Parameters!$X$3:$AA$3,0))),BC53*(1+INDEX(Response_Table!$K$4:$K$21,MATCH($F53&amp;"|high",Response_Table!$A$4:$A$21,0))*$R53*INDEX(Parameters!$X$11:$AA$11,1,MATCH($E53,Parameters!$X$3:$AA$3,0))))*(1-Inputs_General!$C$22*Parameters!$F$11))</f>
        <v>0.944611260947583</v>
      </c>
      <c r="BF53" s="46" t="n">
        <f aca="false">MAX(BC53*(1+INDEX(Response_Table!$K$4:$K$21,MATCH($F53&amp;"|low",Response_Table!$A$4:$A$21,0))*$R53*INDEX(Parameters!$X$11:$AA$11,1,MATCH($E53,Parameters!$X$3:$AA$3,0))),BC53*(1+INDEX(Response_Table!$K$4:$K$21,MATCH($F53&amp;"|high",Response_Table!$A$4:$A$21,0))*$R53*INDEX(Parameters!$X$11:$AA$11,1,MATCH($E53,Parameters!$X$3:$AA$3,0))))*(1+Inputs_General!$C$22*Parameters!$F$11)</f>
        <v>1.35559239820745</v>
      </c>
      <c r="BG53" s="45" t="n">
        <f aca="false">IF(BC53=0,0,BD53/BC53-1)</f>
        <v>-0.0623932811211415</v>
      </c>
      <c r="BH53" s="46" t="n">
        <f aca="false">Parameters!$E$12*IF($N53="V",Parameters!$I$12,IF($N53="F",Parameters!$J$12,Parameters!$K$12))*(1-Parameters!$L$12*$P53)*IF($D53="V1",Parameters!$M$12,IF($D53="V2",Parameters!$N$12,Parameters!$O$12))</f>
        <v>0.440325</v>
      </c>
      <c r="BI53" s="46" t="n">
        <f aca="false">BH53*(1+INDEX(Response_Table!$L$4:$L$21,MATCH($F53&amp;"|mid",Response_Table!$A$4:$A$21,0))*$R53*INDEX(Parameters!$X$12:$AA$12,1,MATCH($E53,Parameters!$X$3:$AA$3,0)))</f>
        <v>0.418363465896016</v>
      </c>
      <c r="BJ53" s="46" t="n">
        <f aca="false">MAX(0,MIN(BH53*(1+INDEX(Response_Table!$L$4:$L$21,MATCH($F53&amp;"|low",Response_Table!$A$4:$A$21,0))*$R53*INDEX(Parameters!$X$12:$AA$12,1,MATCH($E53,Parameters!$X$3:$AA$3,0))),BH53*(1+INDEX(Response_Table!$L$4:$L$21,MATCH($F53&amp;"|high",Response_Table!$A$4:$A$21,0))*$R53*INDEX(Parameters!$X$12:$AA$12,1,MATCH($E53,Parameters!$X$3:$AA$3,0))))*(1-Inputs_General!$C$22*Parameters!$F$12))</f>
        <v>0.331994257432185</v>
      </c>
      <c r="BK53" s="46" t="n">
        <f aca="false">MAX(BH53*(1+INDEX(Response_Table!$L$4:$L$21,MATCH($F53&amp;"|low",Response_Table!$A$4:$A$21,0))*$R53*INDEX(Parameters!$X$12:$AA$12,1,MATCH($E53,Parameters!$X$3:$AA$3,0))),BH53*(1+INDEX(Response_Table!$L$4:$L$21,MATCH($F53&amp;"|high",Response_Table!$A$4:$A$21,0))*$R53*INDEX(Parameters!$X$12:$AA$12,1,MATCH($E53,Parameters!$X$3:$AA$3,0))))*(1+Inputs_General!$C$22*Parameters!$F$12)</f>
        <v>0.506943270243015</v>
      </c>
      <c r="BL53" s="45" t="n">
        <f aca="false">IF(BH53=0,0,BI53/BH53-1)</f>
        <v>-0.0498757374756931</v>
      </c>
      <c r="BM53" s="46" t="n">
        <f aca="false">Parameters!$E$13*IF($N53="V",Parameters!$I$13,IF($N53="F",Parameters!$J$13,Parameters!$K$13))*(1-Parameters!$L$13*$P53)*IF($D53="V1",Parameters!$M$13,IF($D53="V2",Parameters!$N$13,Parameters!$O$13))</f>
        <v>0.29355</v>
      </c>
      <c r="BN53" s="46" t="n">
        <f aca="false">BM53*(1+INDEX(Response_Table!$M$4:$M$21,MATCH($F53&amp;"|mid",Response_Table!$A$4:$A$21,0))*$R53*INDEX(Parameters!$X$13:$AA$13,1,MATCH($E53,Parameters!$X$3:$AA$3,0)))</f>
        <v>0.295092437973104</v>
      </c>
      <c r="BO53" s="46" t="n">
        <f aca="false">MAX(0,MIN(BM53*(1+INDEX(Response_Table!$M$4:$M$21,MATCH($F53&amp;"|low",Response_Table!$A$4:$A$21,0))*$R53*INDEX(Parameters!$X$13:$AA$13,1,MATCH($E53,Parameters!$X$3:$AA$3,0))),BM53*(1+INDEX(Response_Table!$M$4:$M$21,MATCH($F53&amp;"|high",Response_Table!$A$4:$A$21,0))*$R53*INDEX(Parameters!$X$13:$AA$13,1,MATCH($E53,Parameters!$X$3:$AA$3,0))))*(1-Inputs_General!$C$22*Parameters!$F$13))</f>
        <v>0.235235476333029</v>
      </c>
      <c r="BP53" s="46" t="n">
        <f aca="false">MAX(BM53*(1+INDEX(Response_Table!$M$4:$M$21,MATCH($F53&amp;"|low",Response_Table!$A$4:$A$21,0))*$R53*INDEX(Parameters!$X$13:$AA$13,1,MATCH($E53,Parameters!$X$3:$AA$3,0))),BM53*(1+INDEX(Response_Table!$M$4:$M$21,MATCH($F53&amp;"|high",Response_Table!$A$4:$A$21,0))*$R53*INDEX(Parameters!$X$13:$AA$13,1,MATCH($E53,Parameters!$X$3:$AA$3,0))))*(1+Inputs_General!$C$22*Parameters!$F$13)</f>
        <v>0.355024906782999</v>
      </c>
      <c r="BQ53" s="45" t="n">
        <f aca="false">IF(BM53=0,0,BN53/BM53-1)</f>
        <v>0.00525443015875982</v>
      </c>
      <c r="BR53" s="44" t="n">
        <f aca="false">Parameters!$E$14*IF($N53="V",Parameters!$I$14,IF($N53="F",Parameters!$J$14,Parameters!$K$14))*(1-Parameters!$L$14*$P53)*IF($D53="V1",Parameters!$M$14,IF($D53="V2",Parameters!$N$14,Parameters!$O$14))*INDEX(Context!$AC$4:$AC$51,$K53)</f>
        <v>16.5</v>
      </c>
      <c r="BS53" s="44" t="n">
        <f aca="false">BR53*(1+INDEX(Response_Table!$N$4:$N$21,MATCH($F53&amp;"|mid",Response_Table!$A$4:$A$21,0))*$R53*INDEX(Parameters!$X$14:$AA$14,1,MATCH($E53,Parameters!$X$3:$AA$3,0)))</f>
        <v>17.3977632745625</v>
      </c>
      <c r="BT53" s="44" t="n">
        <f aca="false">MAX(0,MIN(BR53*(1+INDEX(Response_Table!$N$4:$N$21,MATCH($F53&amp;"|low",Response_Table!$A$4:$A$21,0))*$R53*INDEX(Parameters!$X$14:$AA$14,1,MATCH($E53,Parameters!$X$3:$AA$3,0))),BR53*(1+INDEX(Response_Table!$N$4:$N$21,MATCH($F53&amp;"|high",Response_Table!$A$4:$A$21,0))*$R53*INDEX(Parameters!$X$14:$AA$14,1,MATCH($E53,Parameters!$X$3:$AA$3,0))))*(1-Inputs_General!$C$22*Parameters!$F$14))</f>
        <v>8.7083054465492</v>
      </c>
      <c r="BU53" s="44" t="n">
        <f aca="false">MAX(BR53*(1+INDEX(Response_Table!$N$4:$N$21,MATCH($F53&amp;"|low",Response_Table!$A$4:$A$21,0))*$R53*INDEX(Parameters!$X$14:$AA$14,1,MATCH($E53,Parameters!$X$3:$AA$3,0))),BR53*(1+INDEX(Response_Table!$N$4:$N$21,MATCH($F53&amp;"|high",Response_Table!$A$4:$A$21,0))*$R53*INDEX(Parameters!$X$14:$AA$14,1,MATCH($E53,Parameters!$X$3:$AA$3,0))))*(1+Inputs_General!$C$22*Parameters!$F$14)</f>
        <v>26.2714227070354</v>
      </c>
      <c r="BV53" s="45" t="n">
        <f aca="false">IF(BR53=0,0,BS53/BR53-1)</f>
        <v>0.0544098954280288</v>
      </c>
      <c r="BW53" s="43" t="n">
        <f aca="false">Parameters!$E$15*IF($N53="V",Parameters!$I$15,IF($N53="F",Parameters!$J$15,Parameters!$K$15))*(1-Parameters!$L$15*$P53)*IF($D53="V1",Parameters!$M$15,IF($D53="V2",Parameters!$N$15,Parameters!$O$15))</f>
        <v>10.8</v>
      </c>
      <c r="BX53" s="43" t="n">
        <f aca="false">BW53*(1+INDEX(Response_Table!$O$4:$O$21,MATCH($F53&amp;"|mid",Response_Table!$A$4:$A$21,0))*$R53*INDEX(Parameters!$X$15:$AA$15,1,MATCH($E53,Parameters!$X$3:$AA$3,0)))</f>
        <v>10.6530932823443</v>
      </c>
      <c r="BY53" s="43" t="n">
        <f aca="false">MAX(0,MIN(BW53*(1+INDEX(Response_Table!$O$4:$O$21,MATCH($F53&amp;"|low",Response_Table!$A$4:$A$21,0))*$R53*INDEX(Parameters!$X$15:$AA$15,1,MATCH($E53,Parameters!$X$3:$AA$3,0))),BW53*(1+INDEX(Response_Table!$O$4:$O$21,MATCH($F53&amp;"|high",Response_Table!$A$4:$A$21,0))*$R53*INDEX(Parameters!$X$15:$AA$15,1,MATCH($E53,Parameters!$X$3:$AA$3,0))))*(1-Inputs_General!$C$22*Parameters!$F$15))</f>
        <v>8.52485871464833</v>
      </c>
      <c r="BZ53" s="43" t="n">
        <f aca="false">MAX(BW53*(1+INDEX(Response_Table!$O$4:$O$21,MATCH($F53&amp;"|low",Response_Table!$A$4:$A$21,0))*$R53*INDEX(Parameters!$X$15:$AA$15,1,MATCH($E53,Parameters!$X$3:$AA$3,0))),BW53*(1+INDEX(Response_Table!$O$4:$O$21,MATCH($F53&amp;"|high",Response_Table!$A$4:$A$21,0))*$R53*INDEX(Parameters!$X$15:$AA$15,1,MATCH($E53,Parameters!$X$3:$AA$3,0))))*(1+Inputs_General!$C$22*Parameters!$F$15)</f>
        <v>12.7961151314625</v>
      </c>
      <c r="CA53" s="45" t="n">
        <f aca="false">IF(BW53=0,0,BX53/BW53-1)</f>
        <v>-0.0136024738570073</v>
      </c>
      <c r="CB53" s="46" t="n">
        <f aca="false">BD53+BI53</f>
        <v>1.56517368392472</v>
      </c>
      <c r="CC53" s="43" t="n">
        <f aca="false">BD53/BI53</f>
        <v>2.74118155984907</v>
      </c>
      <c r="CD53" s="46" t="n">
        <f aca="false">BN53/CB53</f>
        <v>0.188536544540636</v>
      </c>
      <c r="CE53" s="43" t="n">
        <f aca="false">AE53/AO53</f>
        <v>4.09670925318066</v>
      </c>
      <c r="CF53" s="44" t="n">
        <f aca="false">AE53/AJ53</f>
        <v>39.4632190530423</v>
      </c>
      <c r="CG53" s="44" t="n">
        <f aca="false">INDEX(Context!$V$4:$V$51,$K53)</f>
        <v>22.6257142857143</v>
      </c>
      <c r="CH53" s="44" t="n">
        <f aca="false">INDEX(Context!$Y$4:$Y$51,$K53)</f>
        <v>21.3177449518561</v>
      </c>
      <c r="CI53" s="44" t="n">
        <f aca="false">INDEX(Context!$Z$4:$Z$51,$K53)</f>
        <v>26.6257142857143</v>
      </c>
      <c r="CJ53" s="43" t="n">
        <f aca="false">INDEX(Context!$AA$4:$AA$51,$K53)</f>
        <v>0.12</v>
      </c>
      <c r="CK53" s="43" t="n">
        <f aca="false">MAX(0,MIN(1,1-(1-CJ53)*AO53/AN53))</f>
        <v>0.187053091702744</v>
      </c>
      <c r="CL53" s="44" t="n">
        <f aca="false">CH53+CK53*(CI53-CH53)</f>
        <v>22.3106170264176</v>
      </c>
      <c r="CM53" s="44" t="n">
        <f aca="false">CH53+MAX(0,MIN(1,1-(1-CJ53)*AQ53/AN53))*(CI53-CH53)</f>
        <v>21.3177449518561</v>
      </c>
      <c r="CN53" s="44" t="n">
        <f aca="false">CH53+MAX(0,MIN(1,1-(1-CJ53)*AP53/AN53))*(CI53-CH53)</f>
        <v>23.6707785977481</v>
      </c>
      <c r="CO53" s="44" t="n">
        <f aca="false">CL53-CG53</f>
        <v>-0.315097259296699</v>
      </c>
      <c r="CP53" s="44" t="n">
        <f aca="false">CL53-(CH53+CJ53*(CI53-CH53))</f>
        <v>0.35591575449855</v>
      </c>
      <c r="CQ53" s="46" t="n">
        <f aca="false">CL53/CG53</f>
        <v>0.986073488981709</v>
      </c>
      <c r="CR53" s="43" t="n">
        <f aca="false">IF(CL53-CH53&lt;=0,"n/a",(CI53-CL53)/(CL53-CH53))</f>
        <v>4.34607576328731</v>
      </c>
      <c r="CS53" s="43" t="n">
        <f aca="false">IF(CI53-CL53&lt;=0,"n/a",(CL53-CH53)/(CI53-CL53))</f>
        <v>0.230092629412335</v>
      </c>
      <c r="CT53" s="43" t="n">
        <f aca="false">Inputs_General!$C$23+Inputs_General!$C$24*$I53</f>
        <v>0.76</v>
      </c>
      <c r="CU53" s="44" t="n">
        <f aca="false">3.29*CT53</f>
        <v>2.5004</v>
      </c>
    </row>
    <row r="54" customFormat="false" ht="15" hidden="false" customHeight="false" outlineLevel="0" collapsed="false">
      <c r="A54" s="9" t="str">
        <f aca="false">B54&amp;"|"&amp;E54&amp;"|"&amp;F54</f>
        <v>D1V3|11/02/2026|Moderate</v>
      </c>
      <c r="B54" s="7" t="s">
        <v>345</v>
      </c>
      <c r="C54" s="9" t="s">
        <v>127</v>
      </c>
      <c r="D54" s="9" t="s">
        <v>150</v>
      </c>
      <c r="E54" s="9" t="s">
        <v>158</v>
      </c>
      <c r="F54" s="7" t="s">
        <v>281</v>
      </c>
      <c r="G54" s="9" t="s">
        <v>282</v>
      </c>
      <c r="H54" s="41" t="n">
        <f aca="false">INDEX(Severity_Classes!$C$4:$C$9,MATCH(F54,Severity_Classes!$A$4:$A$9,0))</f>
        <v>0.11</v>
      </c>
      <c r="I54" s="41" t="n">
        <f aca="false">INDEX(Severity_Classes!$D$4:$D$9,MATCH(F54,Severity_Classes!$A$4:$A$9,0))</f>
        <v>0.18</v>
      </c>
      <c r="J54" s="41" t="n">
        <f aca="false">INDEX(Severity_Classes!$E$4:$E$9,MATCH(F54,Severity_Classes!$A$4:$A$9,0))</f>
        <v>0.25</v>
      </c>
      <c r="K54" s="42" t="n">
        <f aca="false">MATCH(B54&amp;"|"&amp;E54,Context!$A$4:$A$51,0)</f>
        <v>9</v>
      </c>
      <c r="L54" s="42" t="n">
        <f aca="false">INDEX(Context!$H$4:$H$51,K54)</f>
        <v>64</v>
      </c>
      <c r="M54" s="42" t="n">
        <f aca="false">INDEX(Context!$I$4:$I$51,K54)</f>
        <v>6</v>
      </c>
      <c r="N54" s="9" t="str">
        <f aca="false">INDEX(Context!$L$4:$L$51,K54)</f>
        <v>V</v>
      </c>
      <c r="O54" s="9" t="str">
        <f aca="false">INDEX(Context!$M$4:$M$51,K54)</f>
        <v>3rd fully expanded leaf from top</v>
      </c>
      <c r="P54" s="43" t="n">
        <f aca="false">INDEX(Context!$R$4:$R$51,K54)</f>
        <v>0</v>
      </c>
      <c r="Q54" s="43" t="n">
        <f aca="false">INDEX(Context!$U$4:$U$51,K54)</f>
        <v>0.937791824040773</v>
      </c>
      <c r="R54" s="43" t="n">
        <f aca="false">INDEX(Context!$AD$4:$AD$51,K54)</f>
        <v>0.85</v>
      </c>
      <c r="S54" s="9" t="str">
        <f aca="false">INDEX(Context!$AI$4:$AN$51,K54,MATCH(F54,Severity_Classes!$A$4:$A$9,0))</f>
        <v>Unlikely (only via pre-inoculation natural infection)</v>
      </c>
      <c r="T54" s="44" t="n">
        <f aca="false">Parameters!$E$4*IF($N54="V",Parameters!$I$4,IF($N54="F",Parameters!$J$4,Parameters!$K$4))*(1-Parameters!$L$4*$P54)*IF($D54="V1",Parameters!$M$4,IF($D54="V2",Parameters!$N$4,Parameters!$O$4))</f>
        <v>86</v>
      </c>
      <c r="U54" s="44" t="n">
        <f aca="false">MIN(100,T54*(1+INDEX(Response_Table!$E$4:$E$21,MATCH($F54&amp;"|mid",Response_Table!$A$4:$A$21,0))*$R54*INDEX(Parameters!$X$4:$AA$4,1,MATCH($E54,Parameters!$X$3:$AA$3,0))))</f>
        <v>84.3373431816016</v>
      </c>
      <c r="V54" s="44" t="n">
        <f aca="false">MAX(0,MIN(T54*(1+INDEX(Response_Table!$E$4:$E$21,MATCH($F54&amp;"|low",Response_Table!$A$4:$A$21,0))*$R54*INDEX(Parameters!$X$4:$AA$4,1,MATCH($E54,Parameters!$X$3:$AA$3,0))),T54*(1+INDEX(Response_Table!$E$4:$E$21,MATCH($F54&amp;"|high",Response_Table!$A$4:$A$21,0))*$R54*INDEX(Parameters!$X$4:$AA$4,1,MATCH($E54,Parameters!$X$3:$AA$3,0))))*(1-Inputs_General!$C$22*Parameters!$F$4))</f>
        <v>77.6244159535121</v>
      </c>
      <c r="W54" s="44" t="n">
        <f aca="false">MIN(100,MAX(T54*(1+INDEX(Response_Table!$E$4:$E$21,MATCH($F54&amp;"|low",Response_Table!$A$4:$A$21,0))*$R54*INDEX(Parameters!$X$4:$AA$4,1,MATCH($E54,Parameters!$X$3:$AA$3,0))),T54*(1+INDEX(Response_Table!$E$4:$E$21,MATCH($F54&amp;"|high",Response_Table!$A$4:$A$21,0))*$R54*INDEX(Parameters!$X$4:$AA$4,1,MATCH($E54,Parameters!$X$3:$AA$3,0))))*(1+Inputs_General!$C$22*Parameters!$F$4))</f>
        <v>90.8227518044298</v>
      </c>
      <c r="X54" s="45" t="n">
        <f aca="false">IF(T54=0,0,U54/T54-1)</f>
        <v>-0.019333218818586</v>
      </c>
      <c r="Y54" s="44" t="n">
        <f aca="false">Parameters!$E$5*IF($N54="V",Parameters!$I$5,IF($N54="F",Parameters!$J$5,Parameters!$K$5))*(1-Parameters!$L$5*$P54)*IF($D54="V1",Parameters!$M$5,IF($D54="V2",Parameters!$N$5,Parameters!$O$5))</f>
        <v>72</v>
      </c>
      <c r="Z54" s="44" t="n">
        <f aca="false">MIN(100,Y54*(1+INDEX(Response_Table!$F$4:$F$21,MATCH($F54&amp;"|mid",Response_Table!$A$4:$A$21,0))*$R54*INDEX(Parameters!$X$5:$AA$5,1,MATCH($E54,Parameters!$X$3:$AA$3,0))))</f>
        <v>67.1915162327264</v>
      </c>
      <c r="AA54" s="44" t="n">
        <f aca="false">MAX(0,MIN(Y54*(1+INDEX(Response_Table!$F$4:$F$21,MATCH($F54&amp;"|low",Response_Table!$A$4:$A$21,0))*$R54*INDEX(Parameters!$X$5:$AA$5,1,MATCH($E54,Parameters!$X$3:$AA$3,0))),Y54*(1+INDEX(Response_Table!$F$4:$F$21,MATCH($F54&amp;"|high",Response_Table!$A$4:$A$21,0))*$R54*INDEX(Parameters!$X$5:$AA$5,1,MATCH($E54,Parameters!$X$3:$AA$3,0))))*(1-Inputs_General!$C$22*Parameters!$F$5))</f>
        <v>56.3054828108666</v>
      </c>
      <c r="AB54" s="44" t="n">
        <f aca="false">MIN(100,MAX(Y54*(1+INDEX(Response_Table!$F$4:$F$21,MATCH($F54&amp;"|low",Response_Table!$A$4:$A$21,0))*$R54*INDEX(Parameters!$X$5:$AA$5,1,MATCH($E54,Parameters!$X$3:$AA$3,0))),Y54*(1+INDEX(Response_Table!$F$4:$F$21,MATCH($F54&amp;"|high",Response_Table!$A$4:$A$21,0))*$R54*INDEX(Parameters!$X$5:$AA$5,1,MATCH($E54,Parameters!$X$3:$AA$3,0))))*(1+Inputs_General!$C$22*Parameters!$F$5))</f>
        <v>77.8293367585339</v>
      </c>
      <c r="AC54" s="45" t="n">
        <f aca="false">IF(Y54=0,0,Z54/Y54-1)</f>
        <v>-0.0667844967676885</v>
      </c>
      <c r="AD54" s="44" t="n">
        <f aca="false">Parameters!$E$6*IF($N54="V",Parameters!$I$6,IF($N54="F",Parameters!$J$6,Parameters!$K$6))*(1-Parameters!$L$6*$P54)*IF($D54="V1",Parameters!$M$6,IF($D54="V2",Parameters!$N$6,Parameters!$O$6))</f>
        <v>19.57</v>
      </c>
      <c r="AE54" s="44" t="n">
        <f aca="false">AD54*(1+INDEX(Response_Table!$G$4:$G$21,MATCH($F54&amp;"|mid",Response_Table!$A$4:$A$21,0))*$R54*INDEX(Parameters!$X$6:$AA$6,1,MATCH($E54,Parameters!$X$3:$AA$3,0)))</f>
        <v>14.109938424119</v>
      </c>
      <c r="AF54" s="44" t="n">
        <f aca="false">MAX(0,MIN(AD54*(1+INDEX(Response_Table!$G$4:$G$21,MATCH($F54&amp;"|low",Response_Table!$A$4:$A$21,0))*$R54*INDEX(Parameters!$X$6:$AA$6,1,MATCH($E54,Parameters!$X$3:$AA$3,0))),AD54*(1+INDEX(Response_Table!$G$4:$G$21,MATCH($F54&amp;"|high",Response_Table!$A$4:$A$21,0))*$R54*INDEX(Parameters!$X$6:$AA$6,1,MATCH($E54,Parameters!$X$3:$AA$3,0))))*(1-Inputs_General!$C$22*Parameters!$F$6))</f>
        <v>10.3628392647575</v>
      </c>
      <c r="AG54" s="44" t="n">
        <f aca="false">MAX(AD54*(1+INDEX(Response_Table!$G$4:$G$21,MATCH($F54&amp;"|low",Response_Table!$A$4:$A$21,0))*$R54*INDEX(Parameters!$X$6:$AA$6,1,MATCH($E54,Parameters!$X$3:$AA$3,0))),AD54*(1+INDEX(Response_Table!$G$4:$G$21,MATCH($F54&amp;"|high",Response_Table!$A$4:$A$21,0))*$R54*INDEX(Parameters!$X$6:$AA$6,1,MATCH($E54,Parameters!$X$3:$AA$3,0))))*(1+Inputs_General!$C$22*Parameters!$F$6)</f>
        <v>18.8477192125379</v>
      </c>
      <c r="AH54" s="45" t="n">
        <f aca="false">IF(AD54=0,0,AE54/AD54-1)</f>
        <v>-0.279001613483956</v>
      </c>
      <c r="AI54" s="46" t="n">
        <f aca="false">Parameters!$E$7*IF($N54="V",Parameters!$I$7,IF($N54="F",Parameters!$J$7,Parameters!$K$7))*(1-Parameters!$L$7*$P54)*IF($D54="V1",Parameters!$M$7,IF($D54="V2",Parameters!$N$7,Parameters!$O$7))*POWER($Q54/Inputs_General!$C$26,-Inputs_General!$C$25)</f>
        <v>0.464685683730118</v>
      </c>
      <c r="AJ54" s="46" t="n">
        <f aca="false">AI54*(1+INDEX(Response_Table!$H$4:$H$21,MATCH($F54&amp;"|mid",Response_Table!$A$4:$A$21,0))*$R54*INDEX(Parameters!$X$7:$AA$7,1,MATCH($E54,Parameters!$X$3:$AA$3,0)))</f>
        <v>0.378985899904253</v>
      </c>
      <c r="AK54" s="46" t="n">
        <f aca="false">MAX(0,MIN(AI54*(1+INDEX(Response_Table!$H$4:$H$21,MATCH($F54&amp;"|low",Response_Table!$A$4:$A$21,0))*$R54*INDEX(Parameters!$X$7:$AA$7,1,MATCH($E54,Parameters!$X$3:$AA$3,0))),AI54*(1+INDEX(Response_Table!$H$4:$H$21,MATCH($F54&amp;"|high",Response_Table!$A$4:$A$21,0))*$R54*INDEX(Parameters!$X$7:$AA$7,1,MATCH($E54,Parameters!$X$3:$AA$3,0))))*(1-Inputs_General!$C$22*Parameters!$F$7))</f>
        <v>0.250809765473722</v>
      </c>
      <c r="AL54" s="46" t="n">
        <f aca="false">MAX(AI54*(1+INDEX(Response_Table!$H$4:$H$21,MATCH($F54&amp;"|low",Response_Table!$A$4:$A$21,0))*$R54*INDEX(Parameters!$X$7:$AA$7,1,MATCH($E54,Parameters!$X$3:$AA$3,0))),AI54*(1+INDEX(Response_Table!$H$4:$H$21,MATCH($F54&amp;"|high",Response_Table!$A$4:$A$21,0))*$R54*INDEX(Parameters!$X$7:$AA$7,1,MATCH($E54,Parameters!$X$3:$AA$3,0))))*(1+Inputs_General!$C$22*Parameters!$F$7)</f>
        <v>0.527454541358391</v>
      </c>
      <c r="AM54" s="45" t="n">
        <f aca="false">IF(AI54=0,0,AJ54/AI54-1)</f>
        <v>-0.184425272450697</v>
      </c>
      <c r="AN54" s="43" t="n">
        <f aca="false">AI54*$Q54/Inputs_General!$C$13*1000</f>
        <v>4.38850387664553</v>
      </c>
      <c r="AO54" s="43" t="n">
        <f aca="false">AJ54*$Q54/Inputs_General!$C$13*1000*(1+Inputs_General!$C$21*$I54)</f>
        <v>3.74021473195373</v>
      </c>
      <c r="AP54" s="43" t="n">
        <f aca="false">AK54*$Q54/Inputs_General!$C$13*1000*(1+Inputs_General!$C$21*$H54)</f>
        <v>2.43379203933272</v>
      </c>
      <c r="AQ54" s="43" t="n">
        <f aca="false">AL54*$Q54/Inputs_General!$C$13*1000*(1+Inputs_General!$C$21*$J54)</f>
        <v>5.29262554095183</v>
      </c>
      <c r="AR54" s="45" t="n">
        <f aca="false">IF(AN54=0,0,AO54/AN54-1)</f>
        <v>-0.147724409710978</v>
      </c>
      <c r="AS54" s="42" t="n">
        <f aca="false">Parameters!$E$9*IF($N54="V",Parameters!$I$9,IF($N54="F",Parameters!$J$9,Parameters!$K$9))*(1-Parameters!$L$9*$P54)*IF($D54="V1",Parameters!$M$9,IF($D54="V2",Parameters!$N$9,Parameters!$O$9))</f>
        <v>285</v>
      </c>
      <c r="AT54" s="42" t="n">
        <f aca="false">AS54*(1+INDEX(Response_Table!$I$4:$I$21,MATCH($F54&amp;"|mid",Response_Table!$A$4:$A$21,0))*$R54*INDEX(Parameters!$X$9:$AA$9,1,MATCH($E54,Parameters!$X$3:$AA$3,0)))</f>
        <v>314.840223838487</v>
      </c>
      <c r="AU54" s="42" t="n">
        <f aca="false">MAX(0,MIN(AS54*(1+INDEX(Response_Table!$I$4:$I$21,MATCH($F54&amp;"|low",Response_Table!$A$4:$A$21,0))*$R54*INDEX(Parameters!$X$9:$AA$9,1,MATCH($E54,Parameters!$X$3:$AA$3,0))),AS54*(1+INDEX(Response_Table!$I$4:$I$21,MATCH($F54&amp;"|high",Response_Table!$A$4:$A$21,0))*$R54*INDEX(Parameters!$X$9:$AA$9,1,MATCH($E54,Parameters!$X$3:$AA$3,0))))*(1-Inputs_General!$C$22*Parameters!$F$9))</f>
        <v>275.523554669625</v>
      </c>
      <c r="AV54" s="42" t="n">
        <f aca="false">MAX(AS54*(1+INDEX(Response_Table!$I$4:$I$21,MATCH($F54&amp;"|low",Response_Table!$A$4:$A$21,0))*$R54*INDEX(Parameters!$X$9:$AA$9,1,MATCH($E54,Parameters!$X$3:$AA$3,0))),AS54*(1+INDEX(Response_Table!$I$4:$I$21,MATCH($F54&amp;"|high",Response_Table!$A$4:$A$21,0))*$R54*INDEX(Parameters!$X$9:$AA$9,1,MATCH($E54,Parameters!$X$3:$AA$3,0))))*(1+Inputs_General!$C$22*Parameters!$F$9)</f>
        <v>353.508361283244</v>
      </c>
      <c r="AW54" s="45" t="n">
        <f aca="false">IF(AS54=0,0,AT54/AS54-1)</f>
        <v>0.104702539784166</v>
      </c>
      <c r="AX54" s="43" t="n">
        <f aca="false">INDEX(Context!$AB$4:$AB$51,$K54)</f>
        <v>2.6849133441391</v>
      </c>
      <c r="AY54" s="43" t="n">
        <f aca="false">AX54*(1+INDEX(Response_Table!$J$4:$J$21,MATCH($F54&amp;"|mid",Response_Table!$A$4:$A$21,0))*$R54*INDEX(Parameters!$X$10:$AA$10,1,MATCH($E54,Parameters!$X$3:$AA$3,0)))</f>
        <v>2.49883914073734</v>
      </c>
      <c r="AZ54" s="43" t="n">
        <f aca="false">MAX(0,MIN(AX54*(1+INDEX(Response_Table!$J$4:$J$21,MATCH($F54&amp;"|low",Response_Table!$A$4:$A$21,0))*$R54*INDEX(Parameters!$X$10:$AA$10,1,MATCH($E54,Parameters!$X$3:$AA$3,0))),AX54*(1+INDEX(Response_Table!$J$4:$J$21,MATCH($F54&amp;"|high",Response_Table!$A$4:$A$21,0))*$R54*INDEX(Parameters!$X$10:$AA$10,1,MATCH($E54,Parameters!$X$3:$AA$3,0))))*(1-Inputs_General!$C$22*Parameters!$F$10))</f>
        <v>1.96338022282052</v>
      </c>
      <c r="BA54" s="43" t="n">
        <f aca="false">MAX(AX54*(1+INDEX(Response_Table!$J$4:$J$21,MATCH($F54&amp;"|low",Response_Table!$A$4:$A$21,0))*$R54*INDEX(Parameters!$X$10:$AA$10,1,MATCH($E54,Parameters!$X$3:$AA$3,0))),AX54*(1+INDEX(Response_Table!$J$4:$J$21,MATCH($F54&amp;"|high",Response_Table!$A$4:$A$21,0))*$R54*INDEX(Parameters!$X$10:$AA$10,1,MATCH($E54,Parameters!$X$3:$AA$3,0))))*(1+Inputs_General!$C$22*Parameters!$F$10)</f>
        <v>3.06708754771382</v>
      </c>
      <c r="BB54" s="45" t="n">
        <f aca="false">IF(AX54=0,0,AY54/AX54-1)</f>
        <v>-0.0693036160023358</v>
      </c>
      <c r="BC54" s="46" t="n">
        <f aca="false">Parameters!$E$11*IF($N54="V",Parameters!$I$11,IF($N54="F",Parameters!$J$11,Parameters!$K$11))*(1-Parameters!$L$11*$P54)*IF($D54="V1",Parameters!$M$11,IF($D54="V2",Parameters!$N$11,Parameters!$O$11))</f>
        <v>1.223125</v>
      </c>
      <c r="BD54" s="46" t="n">
        <f aca="false">BC54*(1+INDEX(Response_Table!$K$4:$K$21,MATCH($F54&amp;"|mid",Response_Table!$A$4:$A$21,0))*$R54*INDEX(Parameters!$X$11:$AA$11,1,MATCH($E54,Parameters!$X$3:$AA$3,0)))</f>
        <v>1.07517806337523</v>
      </c>
      <c r="BE54" s="46" t="n">
        <f aca="false">MAX(0,MIN(BC54*(1+INDEX(Response_Table!$K$4:$K$21,MATCH($F54&amp;"|low",Response_Table!$A$4:$A$21,0))*$R54*INDEX(Parameters!$X$11:$AA$11,1,MATCH($E54,Parameters!$X$3:$AA$3,0))),BC54*(1+INDEX(Response_Table!$K$4:$K$21,MATCH($F54&amp;"|high",Response_Table!$A$4:$A$21,0))*$R54*INDEX(Parameters!$X$11:$AA$11,1,MATCH($E54,Parameters!$X$3:$AA$3,0))))*(1-Inputs_General!$C$22*Parameters!$F$11))</f>
        <v>0.866463387831504</v>
      </c>
      <c r="BF54" s="46" t="n">
        <f aca="false">MAX(BC54*(1+INDEX(Response_Table!$K$4:$K$21,MATCH($F54&amp;"|low",Response_Table!$A$4:$A$21,0))*$R54*INDEX(Parameters!$X$11:$AA$11,1,MATCH($E54,Parameters!$X$3:$AA$3,0))),BC54*(1+INDEX(Response_Table!$K$4:$K$21,MATCH($F54&amp;"|high",Response_Table!$A$4:$A$21,0))*$R54*INDEX(Parameters!$X$11:$AA$11,1,MATCH($E54,Parameters!$X$3:$AA$3,0))))*(1+Inputs_General!$C$22*Parameters!$F$11)</f>
        <v>1.30757842400299</v>
      </c>
      <c r="BG54" s="45" t="n">
        <f aca="false">IF(BC54=0,0,BD54/BC54-1)</f>
        <v>-0.120958149514378</v>
      </c>
      <c r="BH54" s="46" t="n">
        <f aca="false">Parameters!$E$12*IF($N54="V",Parameters!$I$12,IF($N54="F",Parameters!$J$12,Parameters!$K$12))*(1-Parameters!$L$12*$P54)*IF($D54="V1",Parameters!$M$12,IF($D54="V2",Parameters!$N$12,Parameters!$O$12))</f>
        <v>0.440325</v>
      </c>
      <c r="BI54" s="46" t="n">
        <f aca="false">BH54*(1+INDEX(Response_Table!$L$4:$L$21,MATCH($F54&amp;"|mid",Response_Table!$A$4:$A$21,0))*$R54*INDEX(Parameters!$X$12:$AA$12,1,MATCH($E54,Parameters!$X$3:$AA$3,0)))</f>
        <v>0.397378959662962</v>
      </c>
      <c r="BJ54" s="46" t="n">
        <f aca="false">MAX(0,MIN(BH54*(1+INDEX(Response_Table!$L$4:$L$21,MATCH($F54&amp;"|low",Response_Table!$A$4:$A$21,0))*$R54*INDEX(Parameters!$X$12:$AA$12,1,MATCH($E54,Parameters!$X$3:$AA$3,0))),BH54*(1+INDEX(Response_Table!$L$4:$L$21,MATCH($F54&amp;"|high",Response_Table!$A$4:$A$21,0))*$R54*INDEX(Parameters!$X$12:$AA$12,1,MATCH($E54,Parameters!$X$3:$AA$3,0))))*(1-Inputs_General!$C$22*Parameters!$F$12))</f>
        <v>0.309817899359143</v>
      </c>
      <c r="BK54" s="46" t="n">
        <f aca="false">MAX(BH54*(1+INDEX(Response_Table!$L$4:$L$21,MATCH($F54&amp;"|low",Response_Table!$A$4:$A$21,0))*$R54*INDEX(Parameters!$X$12:$AA$12,1,MATCH($E54,Parameters!$X$3:$AA$3,0))),BH54*(1+INDEX(Response_Table!$L$4:$L$21,MATCH($F54&amp;"|high",Response_Table!$A$4:$A$21,0))*$R54*INDEX(Parameters!$X$12:$AA$12,1,MATCH($E54,Parameters!$X$3:$AA$3,0))))*(1+Inputs_General!$C$22*Parameters!$F$12)</f>
        <v>0.492604316687293</v>
      </c>
      <c r="BL54" s="45" t="n">
        <f aca="false">IF(BH54=0,0,BI54/BH54-1)</f>
        <v>-0.0975325960075799</v>
      </c>
      <c r="BM54" s="46" t="n">
        <f aca="false">Parameters!$E$13*IF($N54="V",Parameters!$I$13,IF($N54="F",Parameters!$J$13,Parameters!$K$13))*(1-Parameters!$L$13*$P54)*IF($D54="V1",Parameters!$M$13,IF($D54="V2",Parameters!$N$13,Parameters!$O$13))</f>
        <v>0.29355</v>
      </c>
      <c r="BN54" s="46" t="n">
        <f aca="false">BM54*(1+INDEX(Response_Table!$M$4:$M$21,MATCH($F54&amp;"|mid",Response_Table!$A$4:$A$21,0))*$R54*INDEX(Parameters!$X$13:$AA$13,1,MATCH($E54,Parameters!$X$3:$AA$3,0)))</f>
        <v>0.282818066994716</v>
      </c>
      <c r="BO54" s="46" t="n">
        <f aca="false">MAX(0,MIN(BM54*(1+INDEX(Response_Table!$M$4:$M$21,MATCH($F54&amp;"|low",Response_Table!$A$4:$A$21,0))*$R54*INDEX(Parameters!$X$13:$AA$13,1,MATCH($E54,Parameters!$X$3:$AA$3,0))),BM54*(1+INDEX(Response_Table!$M$4:$M$21,MATCH($F54&amp;"|high",Response_Table!$A$4:$A$21,0))*$R54*INDEX(Parameters!$X$13:$AA$13,1,MATCH($E54,Parameters!$X$3:$AA$3,0))))*(1-Inputs_General!$C$22*Parameters!$F$13))</f>
        <v>0.220055747756255</v>
      </c>
      <c r="BP54" s="46" t="n">
        <f aca="false">MAX(BM54*(1+INDEX(Response_Table!$M$4:$M$21,MATCH($F54&amp;"|low",Response_Table!$A$4:$A$21,0))*$R54*INDEX(Parameters!$X$13:$AA$13,1,MATCH($E54,Parameters!$X$3:$AA$3,0))),BM54*(1+INDEX(Response_Table!$M$4:$M$21,MATCH($F54&amp;"|high",Response_Table!$A$4:$A$21,0))*$R54*INDEX(Parameters!$X$13:$AA$13,1,MATCH($E54,Parameters!$X$3:$AA$3,0))))*(1+Inputs_General!$C$22*Parameters!$F$13)</f>
        <v>0.349569929374044</v>
      </c>
      <c r="BQ54" s="45" t="n">
        <f aca="false">IF(BM54=0,0,BN54/BM54-1)</f>
        <v>-0.0365591313414543</v>
      </c>
      <c r="BR54" s="44" t="n">
        <f aca="false">Parameters!$E$14*IF($N54="V",Parameters!$I$14,IF($N54="F",Parameters!$J$14,Parameters!$K$14))*(1-Parameters!$L$14*$P54)*IF($D54="V1",Parameters!$M$14,IF($D54="V2",Parameters!$N$14,Parameters!$O$14))*INDEX(Context!$AC$4:$AC$51,$K54)</f>
        <v>16.5</v>
      </c>
      <c r="BS54" s="44" t="n">
        <f aca="false">BR54*(1+INDEX(Response_Table!$N$4:$N$21,MATCH($F54&amp;"|mid",Response_Table!$A$4:$A$21,0))*$R54*INDEX(Parameters!$X$14:$AA$14,1,MATCH($E54,Parameters!$X$3:$AA$3,0)))</f>
        <v>18.2555867281364</v>
      </c>
      <c r="BT54" s="44" t="n">
        <f aca="false">MAX(0,MIN(BR54*(1+INDEX(Response_Table!$N$4:$N$21,MATCH($F54&amp;"|low",Response_Table!$A$4:$A$21,0))*$R54*INDEX(Parameters!$X$14:$AA$14,1,MATCH($E54,Parameters!$X$3:$AA$3,0))),BR54*(1+INDEX(Response_Table!$N$4:$N$21,MATCH($F54&amp;"|high",Response_Table!$A$4:$A$21,0))*$R54*INDEX(Parameters!$X$14:$AA$14,1,MATCH($E54,Parameters!$X$3:$AA$3,0))))*(1-Inputs_General!$C$22*Parameters!$F$14))</f>
        <v>8.95625128033789</v>
      </c>
      <c r="BU54" s="44" t="n">
        <f aca="false">MAX(BR54*(1+INDEX(Response_Table!$N$4:$N$21,MATCH($F54&amp;"|low",Response_Table!$A$4:$A$21,0))*$R54*INDEX(Parameters!$X$14:$AA$14,1,MATCH($E54,Parameters!$X$3:$AA$3,0))),BR54*(1+INDEX(Response_Table!$N$4:$N$21,MATCH($F54&amp;"|high",Response_Table!$A$4:$A$21,0))*$R54*INDEX(Parameters!$X$14:$AA$14,1,MATCH($E54,Parameters!$X$3:$AA$3,0))))*(1+Inputs_General!$C$22*Parameters!$F$14)</f>
        <v>27.9583464787725</v>
      </c>
      <c r="BV54" s="45" t="n">
        <f aca="false">IF(BR54=0,0,BS54/BR54-1)</f>
        <v>0.106399195644633</v>
      </c>
      <c r="BW54" s="43" t="n">
        <f aca="false">Parameters!$E$15*IF($N54="V",Parameters!$I$15,IF($N54="F",Parameters!$J$15,Parameters!$K$15))*(1-Parameters!$L$15*$P54)*IF($D54="V1",Parameters!$M$15,IF($D54="V2",Parameters!$N$15,Parameters!$O$15))</f>
        <v>10.8</v>
      </c>
      <c r="BX54" s="43" t="n">
        <f aca="false">BW54*(1+INDEX(Response_Table!$O$4:$O$21,MATCH($F54&amp;"|mid",Response_Table!$A$4:$A$21,0))*$R54*INDEX(Parameters!$X$15:$AA$15,1,MATCH($E54,Parameters!$X$3:$AA$3,0)))</f>
        <v>10.5127221717595</v>
      </c>
      <c r="BY54" s="43" t="n">
        <f aca="false">MAX(0,MIN(BW54*(1+INDEX(Response_Table!$O$4:$O$21,MATCH($F54&amp;"|low",Response_Table!$A$4:$A$21,0))*$R54*INDEX(Parameters!$X$15:$AA$15,1,MATCH($E54,Parameters!$X$3:$AA$3,0))),BW54*(1+INDEX(Response_Table!$O$4:$O$21,MATCH($F54&amp;"|high",Response_Table!$A$4:$A$21,0))*$R54*INDEX(Parameters!$X$15:$AA$15,1,MATCH($E54,Parameters!$X$3:$AA$3,0))))*(1-Inputs_General!$C$22*Parameters!$F$15))</f>
        <v>8.37651498061582</v>
      </c>
      <c r="BZ54" s="43" t="n">
        <f aca="false">MAX(BW54*(1+INDEX(Response_Table!$O$4:$O$21,MATCH($F54&amp;"|low",Response_Table!$A$4:$A$21,0))*$R54*INDEX(Parameters!$X$15:$AA$15,1,MATCH($E54,Parameters!$X$3:$AA$3,0))),BW54*(1+INDEX(Response_Table!$O$4:$O$21,MATCH($F54&amp;"|high",Response_Table!$A$4:$A$21,0))*$R54*INDEX(Parameters!$X$15:$AA$15,1,MATCH($E54,Parameters!$X$3:$AA$3,0))))*(1+Inputs_General!$C$22*Parameters!$F$15)</f>
        <v>12.7001979431862</v>
      </c>
      <c r="CA54" s="45" t="n">
        <f aca="false">IF(BW54=0,0,BX54/BW54-1)</f>
        <v>-0.0265997989111582</v>
      </c>
      <c r="CB54" s="46" t="n">
        <f aca="false">BD54+BI54</f>
        <v>1.47255702303819</v>
      </c>
      <c r="CC54" s="43" t="n">
        <f aca="false">BD54/BI54</f>
        <v>2.70567436254587</v>
      </c>
      <c r="CD54" s="46" t="n">
        <f aca="false">BN54/CB54</f>
        <v>0.192059161424665</v>
      </c>
      <c r="CE54" s="43" t="n">
        <f aca="false">AE54/AO54</f>
        <v>3.77249421098038</v>
      </c>
      <c r="CF54" s="44" t="n">
        <f aca="false">AE54/AJ54</f>
        <v>37.2307740939273</v>
      </c>
      <c r="CG54" s="44" t="n">
        <f aca="false">INDEX(Context!$V$4:$V$51,$K54)</f>
        <v>22.6257142857143</v>
      </c>
      <c r="CH54" s="44" t="n">
        <f aca="false">INDEX(Context!$Y$4:$Y$51,$K54)</f>
        <v>21.3177449518561</v>
      </c>
      <c r="CI54" s="44" t="n">
        <f aca="false">INDEX(Context!$Z$4:$Z$51,$K54)</f>
        <v>26.6257142857143</v>
      </c>
      <c r="CJ54" s="43" t="n">
        <f aca="false">INDEX(Context!$AA$4:$AA$51,$K54)</f>
        <v>0.12</v>
      </c>
      <c r="CK54" s="43" t="n">
        <f aca="false">MAX(0,MIN(1,1-(1-CJ54)*AO54/AN54))</f>
        <v>0.249997480545661</v>
      </c>
      <c r="CL54" s="44" t="n">
        <f aca="false">CH54+CK54*(CI54-CH54)</f>
        <v>22.6447239121342</v>
      </c>
      <c r="CM54" s="44" t="n">
        <f aca="false">CH54+MAX(0,MIN(1,1-(1-CJ54)*AQ54/AN54))*(CI54-CH54)</f>
        <v>21.3177449518561</v>
      </c>
      <c r="CN54" s="44" t="n">
        <f aca="false">CH54+MAX(0,MIN(1,1-(1-CJ54)*AP54/AN54))*(CI54-CH54)</f>
        <v>24.0352473274661</v>
      </c>
      <c r="CO54" s="44" t="n">
        <f aca="false">CL54-CG54</f>
        <v>0.0190096264199475</v>
      </c>
      <c r="CP54" s="44" t="n">
        <f aca="false">CL54-(CH54+CJ54*(CI54-CH54))</f>
        <v>0.690022640215197</v>
      </c>
      <c r="CQ54" s="46" t="n">
        <f aca="false">CL54/CG54</f>
        <v>1.00084017795769</v>
      </c>
      <c r="CR54" s="43" t="n">
        <f aca="false">IF(CL54-CH54&lt;=0,"n/a",(CI54-CL54)/(CL54-CH54))</f>
        <v>3.00004031167569</v>
      </c>
      <c r="CS54" s="43" t="n">
        <f aca="false">IF(CI54-CL54&lt;=0,"n/a",(CL54-CH54)/(CI54-CL54))</f>
        <v>0.333328854318442</v>
      </c>
      <c r="CT54" s="43" t="n">
        <f aca="false">Inputs_General!$C$23+Inputs_General!$C$24*$I54</f>
        <v>0.96</v>
      </c>
      <c r="CU54" s="44" t="n">
        <f aca="false">3.29*CT54</f>
        <v>3.1584</v>
      </c>
    </row>
    <row r="55" customFormat="false" ht="15" hidden="false" customHeight="false" outlineLevel="0" collapsed="false">
      <c r="A55" s="9" t="str">
        <f aca="false">B55&amp;"|"&amp;E55&amp;"|"&amp;F55</f>
        <v>D1V3|11/02/2026|High</v>
      </c>
      <c r="B55" s="7" t="s">
        <v>345</v>
      </c>
      <c r="C55" s="9" t="s">
        <v>127</v>
      </c>
      <c r="D55" s="9" t="s">
        <v>150</v>
      </c>
      <c r="E55" s="9" t="s">
        <v>158</v>
      </c>
      <c r="F55" s="7" t="s">
        <v>283</v>
      </c>
      <c r="G55" s="9" t="s">
        <v>284</v>
      </c>
      <c r="H55" s="41" t="n">
        <f aca="false">INDEX(Severity_Classes!$C$4:$C$9,MATCH(F55,Severity_Classes!$A$4:$A$9,0))</f>
        <v>0.26</v>
      </c>
      <c r="I55" s="41" t="n">
        <f aca="false">INDEX(Severity_Classes!$D$4:$D$9,MATCH(F55,Severity_Classes!$A$4:$A$9,0))</f>
        <v>0.38</v>
      </c>
      <c r="J55" s="41" t="n">
        <f aca="false">INDEX(Severity_Classes!$E$4:$E$9,MATCH(F55,Severity_Classes!$A$4:$A$9,0))</f>
        <v>0.5</v>
      </c>
      <c r="K55" s="42" t="n">
        <f aca="false">MATCH(B55&amp;"|"&amp;E55,Context!$A$4:$A$51,0)</f>
        <v>9</v>
      </c>
      <c r="L55" s="42" t="n">
        <f aca="false">INDEX(Context!$H$4:$H$51,K55)</f>
        <v>64</v>
      </c>
      <c r="M55" s="42" t="n">
        <f aca="false">INDEX(Context!$I$4:$I$51,K55)</f>
        <v>6</v>
      </c>
      <c r="N55" s="9" t="str">
        <f aca="false">INDEX(Context!$L$4:$L$51,K55)</f>
        <v>V</v>
      </c>
      <c r="O55" s="9" t="str">
        <f aca="false">INDEX(Context!$M$4:$M$51,K55)</f>
        <v>3rd fully expanded leaf from top</v>
      </c>
      <c r="P55" s="43" t="n">
        <f aca="false">INDEX(Context!$R$4:$R$51,K55)</f>
        <v>0</v>
      </c>
      <c r="Q55" s="43" t="n">
        <f aca="false">INDEX(Context!$U$4:$U$51,K55)</f>
        <v>0.937791824040773</v>
      </c>
      <c r="R55" s="43" t="n">
        <f aca="false">INDEX(Context!$AD$4:$AD$51,K55)</f>
        <v>0.85</v>
      </c>
      <c r="S55" s="9" t="str">
        <f aca="false">INDEX(Context!$AI$4:$AN$51,K55,MATCH(F55,Severity_Classes!$A$4:$A$9,0))</f>
        <v>Unlikely (only via pre-inoculation natural infection)</v>
      </c>
      <c r="T55" s="44" t="n">
        <f aca="false">Parameters!$E$4*IF($N55="V",Parameters!$I$4,IF($N55="F",Parameters!$J$4,Parameters!$K$4))*(1-Parameters!$L$4*$P55)*IF($D55="V1",Parameters!$M$4,IF($D55="V2",Parameters!$N$4,Parameters!$O$4))</f>
        <v>86</v>
      </c>
      <c r="U55" s="44" t="n">
        <f aca="false">MIN(100,T55*(1+INDEX(Response_Table!$E$4:$E$21,MATCH($F55&amp;"|mid",Response_Table!$A$4:$A$21,0))*$R55*INDEX(Parameters!$X$4:$AA$4,1,MATCH($E55,Parameters!$X$3:$AA$3,0))))</f>
        <v>80.0955205012977</v>
      </c>
      <c r="V55" s="44" t="n">
        <f aca="false">MAX(0,MIN(T55*(1+INDEX(Response_Table!$E$4:$E$21,MATCH($F55&amp;"|low",Response_Table!$A$4:$A$21,0))*$R55*INDEX(Parameters!$X$4:$AA$4,1,MATCH($E55,Parameters!$X$3:$AA$3,0))),T55*(1+INDEX(Response_Table!$E$4:$E$21,MATCH($F55&amp;"|high",Response_Table!$A$4:$A$21,0))*$R55*INDEX(Parameters!$X$4:$AA$4,1,MATCH($E55,Parameters!$X$3:$AA$3,0))))*(1-Inputs_General!$C$22*Parameters!$F$4))</f>
        <v>72.5023724621942</v>
      </c>
      <c r="W55" s="44" t="n">
        <f aca="false">MIN(100,MAX(T55*(1+INDEX(Response_Table!$E$4:$E$21,MATCH($F55&amp;"|low",Response_Table!$A$4:$A$21,0))*$R55*INDEX(Parameters!$X$4:$AA$4,1,MATCH($E55,Parameters!$X$3:$AA$3,0))),T55*(1+INDEX(Response_Table!$E$4:$E$21,MATCH($F55&amp;"|high",Response_Table!$A$4:$A$21,0))*$R55*INDEX(Parameters!$X$4:$AA$4,1,MATCH($E55,Parameters!$X$3:$AA$3,0))))*(1+Inputs_General!$C$22*Parameters!$F$4))</f>
        <v>88.3390356887373</v>
      </c>
      <c r="X55" s="45" t="n">
        <f aca="false">IF(T55=0,0,U55/T55-1)</f>
        <v>-0.068656738357004</v>
      </c>
      <c r="Y55" s="44" t="n">
        <f aca="false">Parameters!$E$5*IF($N55="V",Parameters!$I$5,IF($N55="F",Parameters!$J$5,Parameters!$K$5))*(1-Parameters!$L$5*$P55)*IF($D55="V1",Parameters!$M$5,IF($D55="V2",Parameters!$N$5,Parameters!$O$5))</f>
        <v>72</v>
      </c>
      <c r="Z55" s="44" t="n">
        <f aca="false">MIN(100,Y55*(1+INDEX(Response_Table!$F$4:$F$21,MATCH($F55&amp;"|mid",Response_Table!$A$4:$A$21,0))*$R55*INDEX(Parameters!$X$5:$AA$5,1,MATCH($E55,Parameters!$X$3:$AA$3,0))))</f>
        <v>56.6910353087058</v>
      </c>
      <c r="AA55" s="44" t="n">
        <f aca="false">MAX(0,MIN(Y55*(1+INDEX(Response_Table!$F$4:$F$21,MATCH($F55&amp;"|low",Response_Table!$A$4:$A$21,0))*$R55*INDEX(Parameters!$X$5:$AA$5,1,MATCH($E55,Parameters!$X$3:$AA$3,0))),Y55*(1+INDEX(Response_Table!$F$4:$F$21,MATCH($F55&amp;"|high",Response_Table!$A$4:$A$21,0))*$R55*INDEX(Parameters!$X$5:$AA$5,1,MATCH($E55,Parameters!$X$3:$AA$3,0))))*(1-Inputs_General!$C$22*Parameters!$F$5))</f>
        <v>46.7613012949755</v>
      </c>
      <c r="AB55" s="44" t="n">
        <f aca="false">MIN(100,MAX(Y55*(1+INDEX(Response_Table!$F$4:$F$21,MATCH($F55&amp;"|low",Response_Table!$A$4:$A$21,0))*$R55*INDEX(Parameters!$X$5:$AA$5,1,MATCH($E55,Parameters!$X$3:$AA$3,0))),Y55*(1+INDEX(Response_Table!$F$4:$F$21,MATCH($F55&amp;"|high",Response_Table!$A$4:$A$21,0))*$R55*INDEX(Parameters!$X$5:$AA$5,1,MATCH($E55,Parameters!$X$3:$AA$3,0))))*(1+Inputs_General!$C$22*Parameters!$F$5))</f>
        <v>70.3365599923299</v>
      </c>
      <c r="AC55" s="45" t="n">
        <f aca="false">IF(Y55=0,0,Z55/Y55-1)</f>
        <v>-0.212624509601309</v>
      </c>
      <c r="AD55" s="44" t="n">
        <f aca="false">Parameters!$E$6*IF($N55="V",Parameters!$I$6,IF($N55="F",Parameters!$J$6,Parameters!$K$6))*(1-Parameters!$L$6*$P55)*IF($D55="V1",Parameters!$M$6,IF($D55="V2",Parameters!$N$6,Parameters!$O$6))</f>
        <v>19.57</v>
      </c>
      <c r="AE55" s="44" t="n">
        <f aca="false">AD55*(1+INDEX(Response_Table!$G$4:$G$21,MATCH($F55&amp;"|mid",Response_Table!$A$4:$A$21,0))*$R55*INDEX(Parameters!$X$6:$AA$6,1,MATCH($E55,Parameters!$X$3:$AA$3,0)))</f>
        <v>11.4643835682157</v>
      </c>
      <c r="AF55" s="44" t="n">
        <f aca="false">MAX(0,MIN(AD55*(1+INDEX(Response_Table!$G$4:$G$21,MATCH($F55&amp;"|low",Response_Table!$A$4:$A$21,0))*$R55*INDEX(Parameters!$X$6:$AA$6,1,MATCH($E55,Parameters!$X$3:$AA$3,0))),AD55*(1+INDEX(Response_Table!$G$4:$G$21,MATCH($F55&amp;"|high",Response_Table!$A$4:$A$21,0))*$R55*INDEX(Parameters!$X$6:$AA$6,1,MATCH($E55,Parameters!$X$3:$AA$3,0))))*(1-Inputs_General!$C$22*Parameters!$F$6))</f>
        <v>8.58396196814849</v>
      </c>
      <c r="AG55" s="44" t="n">
        <f aca="false">MAX(AD55*(1+INDEX(Response_Table!$G$4:$G$21,MATCH($F55&amp;"|low",Response_Table!$A$4:$A$21,0))*$R55*INDEX(Parameters!$X$6:$AA$6,1,MATCH($E55,Parameters!$X$3:$AA$3,0))),AD55*(1+INDEX(Response_Table!$G$4:$G$21,MATCH($F55&amp;"|high",Response_Table!$A$4:$A$21,0))*$R55*INDEX(Parameters!$X$6:$AA$6,1,MATCH($E55,Parameters!$X$3:$AA$3,0))))*(1+Inputs_General!$C$22*Parameters!$F$6)</f>
        <v>15.2890918754204</v>
      </c>
      <c r="AH55" s="45" t="n">
        <f aca="false">IF(AD55=0,0,AE55/AD55-1)</f>
        <v>-0.414185816647128</v>
      </c>
      <c r="AI55" s="46" t="n">
        <f aca="false">Parameters!$E$7*IF($N55="V",Parameters!$I$7,IF($N55="F",Parameters!$J$7,Parameters!$K$7))*(1-Parameters!$L$7*$P55)*IF($D55="V1",Parameters!$M$7,IF($D55="V2",Parameters!$N$7,Parameters!$O$7))*POWER($Q55/Inputs_General!$C$26,-Inputs_General!$C$25)</f>
        <v>0.464685683730118</v>
      </c>
      <c r="AJ55" s="46" t="n">
        <f aca="false">AI55*(1+INDEX(Response_Table!$H$4:$H$21,MATCH($F55&amp;"|mid",Response_Table!$A$4:$A$21,0))*$R55*INDEX(Parameters!$X$7:$AA$7,1,MATCH($E55,Parameters!$X$3:$AA$3,0)))</f>
        <v>0.324982583324998</v>
      </c>
      <c r="AK55" s="46" t="n">
        <f aca="false">MAX(0,MIN(AI55*(1+INDEX(Response_Table!$H$4:$H$21,MATCH($F55&amp;"|low",Response_Table!$A$4:$A$21,0))*$R55*INDEX(Parameters!$X$7:$AA$7,1,MATCH($E55,Parameters!$X$3:$AA$3,0))),AI55*(1+INDEX(Response_Table!$H$4:$H$21,MATCH($F55&amp;"|high",Response_Table!$A$4:$A$21,0))*$R55*INDEX(Parameters!$X$7:$AA$7,1,MATCH($E55,Parameters!$X$3:$AA$3,0))))*(1-Inputs_General!$C$22*Parameters!$F$7))</f>
        <v>0.214776469911465</v>
      </c>
      <c r="AL55" s="46" t="n">
        <f aca="false">MAX(AI55*(1+INDEX(Response_Table!$H$4:$H$21,MATCH($F55&amp;"|low",Response_Table!$A$4:$A$21,0))*$R55*INDEX(Parameters!$X$7:$AA$7,1,MATCH($E55,Parameters!$X$3:$AA$3,0))),AI55*(1+INDEX(Response_Table!$H$4:$H$21,MATCH($F55&amp;"|high",Response_Table!$A$4:$A$21,0))*$R55*INDEX(Parameters!$X$7:$AA$7,1,MATCH($E55,Parameters!$X$3:$AA$3,0))))*(1+Inputs_General!$C$22*Parameters!$F$7)</f>
        <v>0.458102804054004</v>
      </c>
      <c r="AM55" s="45" t="n">
        <f aca="false">IF(AI55=0,0,AJ55/AI55-1)</f>
        <v>-0.300639992357194</v>
      </c>
      <c r="AN55" s="43" t="n">
        <f aca="false">AI55*$Q55/Inputs_General!$C$13*1000</f>
        <v>4.38850387664553</v>
      </c>
      <c r="AO55" s="43" t="n">
        <f aca="false">AJ55*$Q55/Inputs_General!$C$13*1000*(1+Inputs_General!$C$21*$I55)</f>
        <v>3.36071279465888</v>
      </c>
      <c r="AP55" s="43" t="n">
        <f aca="false">AK55*$Q55/Inputs_General!$C$13*1000*(1+Inputs_General!$C$21*$H55)</f>
        <v>2.16019771012554</v>
      </c>
      <c r="AQ55" s="43" t="n">
        <f aca="false">AL55*$Q55/Inputs_General!$C$13*1000*(1+Inputs_General!$C$21*$J55)</f>
        <v>4.86712686040782</v>
      </c>
      <c r="AR55" s="45" t="n">
        <f aca="false">IF(AN55=0,0,AO55/AN55-1)</f>
        <v>-0.234200791631127</v>
      </c>
      <c r="AS55" s="42" t="n">
        <f aca="false">Parameters!$E$9*IF($N55="V",Parameters!$I$9,IF($N55="F",Parameters!$J$9,Parameters!$K$9))*(1-Parameters!$L$9*$P55)*IF($D55="V1",Parameters!$M$9,IF($D55="V2",Parameters!$N$9,Parameters!$O$9))</f>
        <v>285</v>
      </c>
      <c r="AT55" s="42" t="n">
        <f aca="false">AS55*(1+INDEX(Response_Table!$I$4:$I$21,MATCH($F55&amp;"|mid",Response_Table!$A$4:$A$21,0))*$R55*INDEX(Parameters!$X$9:$AA$9,1,MATCH($E55,Parameters!$X$3:$AA$3,0)))</f>
        <v>330.424090892598</v>
      </c>
      <c r="AU55" s="42" t="n">
        <f aca="false">MAX(0,MIN(AS55*(1+INDEX(Response_Table!$I$4:$I$21,MATCH($F55&amp;"|low",Response_Table!$A$4:$A$21,0))*$R55*INDEX(Parameters!$X$9:$AA$9,1,MATCH($E55,Parameters!$X$3:$AA$3,0))),AS55*(1+INDEX(Response_Table!$I$4:$I$21,MATCH($F55&amp;"|high",Response_Table!$A$4:$A$21,0))*$R55*INDEX(Parameters!$X$9:$AA$9,1,MATCH($E55,Parameters!$X$3:$AA$3,0))))*(1-Inputs_General!$C$22*Parameters!$F$9))</f>
        <v>290.750497500053</v>
      </c>
      <c r="AV55" s="42" t="n">
        <f aca="false">MAX(AS55*(1+INDEX(Response_Table!$I$4:$I$21,MATCH($F55&amp;"|low",Response_Table!$A$4:$A$21,0))*$R55*INDEX(Parameters!$X$9:$AA$9,1,MATCH($E55,Parameters!$X$3:$AA$3,0))),AS55*(1+INDEX(Response_Table!$I$4:$I$21,MATCH($F55&amp;"|high",Response_Table!$A$4:$A$21,0))*$R55*INDEX(Parameters!$X$9:$AA$9,1,MATCH($E55,Parameters!$X$3:$AA$3,0))))*(1+Inputs_General!$C$22*Parameters!$F$9)</f>
        <v>368.362914207263</v>
      </c>
      <c r="AW55" s="45" t="n">
        <f aca="false">IF(AS55=0,0,AT55/AS55-1)</f>
        <v>0.159382775061748</v>
      </c>
      <c r="AX55" s="43" t="n">
        <f aca="false">INDEX(Context!$AB$4:$AB$51,$K55)</f>
        <v>2.6849133441391</v>
      </c>
      <c r="AY55" s="43" t="n">
        <f aca="false">AX55*(1+INDEX(Response_Table!$J$4:$J$21,MATCH($F55&amp;"|mid",Response_Table!$A$4:$A$21,0))*$R55*INDEX(Parameters!$X$10:$AA$10,1,MATCH($E55,Parameters!$X$3:$AA$3,0)))</f>
        <v>2.37001119031456</v>
      </c>
      <c r="AZ55" s="43" t="n">
        <f aca="false">MAX(0,MIN(AX55*(1+INDEX(Response_Table!$J$4:$J$21,MATCH($F55&amp;"|low",Response_Table!$A$4:$A$21,0))*$R55*INDEX(Parameters!$X$10:$AA$10,1,MATCH($E55,Parameters!$X$3:$AA$3,0))),AX55*(1+INDEX(Response_Table!$J$4:$J$21,MATCH($F55&amp;"|high",Response_Table!$A$4:$A$21,0))*$R55*INDEX(Parameters!$X$10:$AA$10,1,MATCH($E55,Parameters!$X$3:$AA$3,0))))*(1-Inputs_General!$C$22*Parameters!$F$10))</f>
        <v>1.86086094455121</v>
      </c>
      <c r="BA55" s="43" t="n">
        <f aca="false">MAX(AX55*(1+INDEX(Response_Table!$J$4:$J$21,MATCH($F55&amp;"|low",Response_Table!$A$4:$A$21,0))*$R55*INDEX(Parameters!$X$10:$AA$10,1,MATCH($E55,Parameters!$X$3:$AA$3,0))),AX55*(1+INDEX(Response_Table!$J$4:$J$21,MATCH($F55&amp;"|high",Response_Table!$A$4:$A$21,0))*$R55*INDEX(Parameters!$X$10:$AA$10,1,MATCH($E55,Parameters!$X$3:$AA$3,0))))*(1+Inputs_General!$C$22*Parameters!$F$10)</f>
        <v>2.92104387043517</v>
      </c>
      <c r="BB55" s="45" t="n">
        <f aca="false">IF(AX55=0,0,AY55/AX55-1)</f>
        <v>-0.117285779264327</v>
      </c>
      <c r="BC55" s="46" t="n">
        <f aca="false">Parameters!$E$11*IF($N55="V",Parameters!$I$11,IF($N55="F",Parameters!$J$11,Parameters!$K$11))*(1-Parameters!$L$11*$P55)*IF($D55="V1",Parameters!$M$11,IF($D55="V2",Parameters!$N$11,Parameters!$O$11))</f>
        <v>1.223125</v>
      </c>
      <c r="BD55" s="46" t="n">
        <f aca="false">BC55*(1+INDEX(Response_Table!$K$4:$K$21,MATCH($F55&amp;"|mid",Response_Table!$A$4:$A$21,0))*$R55*INDEX(Parameters!$X$11:$AA$11,1,MATCH($E55,Parameters!$X$3:$AA$3,0)))</f>
        <v>0.985391350783432</v>
      </c>
      <c r="BE55" s="46" t="n">
        <f aca="false">MAX(0,MIN(BC55*(1+INDEX(Response_Table!$K$4:$K$21,MATCH($F55&amp;"|low",Response_Table!$A$4:$A$21,0))*$R55*INDEX(Parameters!$X$11:$AA$11,1,MATCH($E55,Parameters!$X$3:$AA$3,0))),BC55*(1+INDEX(Response_Table!$K$4:$K$21,MATCH($F55&amp;"|high",Response_Table!$A$4:$A$21,0))*$R55*INDEX(Parameters!$X$11:$AA$11,1,MATCH($E55,Parameters!$X$3:$AA$3,0))))*(1-Inputs_General!$C$22*Parameters!$F$11))</f>
        <v>0.796611808074757</v>
      </c>
      <c r="BF55" s="46" t="n">
        <f aca="false">MAX(BC55*(1+INDEX(Response_Table!$K$4:$K$21,MATCH($F55&amp;"|low",Response_Table!$A$4:$A$21,0))*$R55*INDEX(Parameters!$X$11:$AA$11,1,MATCH($E55,Parameters!$X$3:$AA$3,0))),BC55*(1+INDEX(Response_Table!$K$4:$K$21,MATCH($F55&amp;"|high",Response_Table!$A$4:$A$21,0))*$R55*INDEX(Parameters!$X$11:$AA$11,1,MATCH($E55,Parameters!$X$3:$AA$3,0))))*(1+Inputs_General!$C$22*Parameters!$F$11)</f>
        <v>1.20208806315408</v>
      </c>
      <c r="BG55" s="45" t="n">
        <f aca="false">IF(BC55=0,0,BD55/BC55-1)</f>
        <v>-0.194365783723306</v>
      </c>
      <c r="BH55" s="46" t="n">
        <f aca="false">Parameters!$E$12*IF($N55="V",Parameters!$I$12,IF($N55="F",Parameters!$J$12,Parameters!$K$12))*(1-Parameters!$L$12*$P55)*IF($D55="V1",Parameters!$M$12,IF($D55="V2",Parameters!$N$12,Parameters!$O$12))</f>
        <v>0.440325</v>
      </c>
      <c r="BI55" s="46" t="n">
        <f aca="false">BH55*(1+INDEX(Response_Table!$L$4:$L$21,MATCH($F55&amp;"|mid",Response_Table!$A$4:$A$21,0))*$R55*INDEX(Parameters!$X$12:$AA$12,1,MATCH($E55,Parameters!$X$3:$AA$3,0)))</f>
        <v>0.37031671389512</v>
      </c>
      <c r="BJ55" s="46" t="n">
        <f aca="false">MAX(0,MIN(BH55*(1+INDEX(Response_Table!$L$4:$L$21,MATCH($F55&amp;"|low",Response_Table!$A$4:$A$21,0))*$R55*INDEX(Parameters!$X$12:$AA$12,1,MATCH($E55,Parameters!$X$3:$AA$3,0))),BH55*(1+INDEX(Response_Table!$L$4:$L$21,MATCH($F55&amp;"|high",Response_Table!$A$4:$A$21,0))*$R55*INDEX(Parameters!$X$12:$AA$12,1,MATCH($E55,Parameters!$X$3:$AA$3,0))))*(1-Inputs_General!$C$22*Parameters!$F$12))</f>
        <v>0.289228884102261</v>
      </c>
      <c r="BK55" s="46" t="n">
        <f aca="false">MAX(BH55*(1+INDEX(Response_Table!$L$4:$L$21,MATCH($F55&amp;"|low",Response_Table!$A$4:$A$21,0))*$R55*INDEX(Parameters!$X$12:$AA$12,1,MATCH($E55,Parameters!$X$3:$AA$3,0))),BH55*(1+INDEX(Response_Table!$L$4:$L$21,MATCH($F55&amp;"|high",Response_Table!$A$4:$A$21,0))*$R55*INDEX(Parameters!$X$12:$AA$12,1,MATCH($E55,Parameters!$X$3:$AA$3,0))))*(1+Inputs_General!$C$22*Parameters!$F$12)</f>
        <v>0.460497186476781</v>
      </c>
      <c r="BL55" s="45" t="n">
        <f aca="false">IF(BH55=0,0,BI55/BH55-1)</f>
        <v>-0.158992303650439</v>
      </c>
      <c r="BM55" s="46" t="n">
        <f aca="false">Parameters!$E$13*IF($N55="V",Parameters!$I$13,IF($N55="F",Parameters!$J$13,Parameters!$K$13))*(1-Parameters!$L$13*$P55)*IF($D55="V1",Parameters!$M$13,IF($D55="V2",Parameters!$N$13,Parameters!$O$13))</f>
        <v>0.29355</v>
      </c>
      <c r="BN55" s="46" t="n">
        <f aca="false">BM55*(1+INDEX(Response_Table!$M$4:$M$21,MATCH($F55&amp;"|mid",Response_Table!$A$4:$A$21,0))*$R55*INDEX(Parameters!$X$13:$AA$13,1,MATCH($E55,Parameters!$X$3:$AA$3,0)))</f>
        <v>0.262489491767417</v>
      </c>
      <c r="BO55" s="46" t="n">
        <f aca="false">MAX(0,MIN(BM55*(1+INDEX(Response_Table!$M$4:$M$21,MATCH($F55&amp;"|low",Response_Table!$A$4:$A$21,0))*$R55*INDEX(Parameters!$X$13:$AA$13,1,MATCH($E55,Parameters!$X$3:$AA$3,0))),BM55*(1+INDEX(Response_Table!$M$4:$M$21,MATCH($F55&amp;"|high",Response_Table!$A$4:$A$21,0))*$R55*INDEX(Parameters!$X$13:$AA$13,1,MATCH($E55,Parameters!$X$3:$AA$3,0))))*(1-Inputs_General!$C$22*Parameters!$F$13))</f>
        <v>0.205404597627397</v>
      </c>
      <c r="BP55" s="46" t="n">
        <f aca="false">MAX(BM55*(1+INDEX(Response_Table!$M$4:$M$21,MATCH($F55&amp;"|low",Response_Table!$A$4:$A$21,0))*$R55*INDEX(Parameters!$X$13:$AA$13,1,MATCH($E55,Parameters!$X$3:$AA$3,0))),BM55*(1+INDEX(Response_Table!$M$4:$M$21,MATCH($F55&amp;"|high",Response_Table!$A$4:$A$21,0))*$R55*INDEX(Parameters!$X$13:$AA$13,1,MATCH($E55,Parameters!$X$3:$AA$3,0))))*(1+Inputs_General!$C$22*Parameters!$F$13)</f>
        <v>0.326975858716208</v>
      </c>
      <c r="BQ55" s="45" t="n">
        <f aca="false">IF(BM55=0,0,BN55/BM55-1)</f>
        <v>-0.105809941177256</v>
      </c>
      <c r="BR55" s="44" t="n">
        <f aca="false">Parameters!$E$14*IF($N55="V",Parameters!$I$14,IF($N55="F",Parameters!$J$14,Parameters!$K$14))*(1-Parameters!$L$14*$P55)*IF($D55="V1",Parameters!$M$14,IF($D55="V2",Parameters!$N$14,Parameters!$O$14))*INDEX(Context!$AC$4:$AC$51,$K55)</f>
        <v>16.5</v>
      </c>
      <c r="BS55" s="44" t="n">
        <f aca="false">BR55*(1+INDEX(Response_Table!$N$4:$N$21,MATCH($F55&amp;"|mid",Response_Table!$A$4:$A$21,0))*$R55*INDEX(Parameters!$X$14:$AA$14,1,MATCH($E55,Parameters!$X$3:$AA$3,0)))</f>
        <v>19.3618614657079</v>
      </c>
      <c r="BT55" s="44" t="n">
        <f aca="false">MAX(0,MIN(BR55*(1+INDEX(Response_Table!$N$4:$N$21,MATCH($F55&amp;"|low",Response_Table!$A$4:$A$21,0))*$R55*INDEX(Parameters!$X$14:$AA$14,1,MATCH($E55,Parameters!$X$3:$AA$3,0))),BR55*(1+INDEX(Response_Table!$N$4:$N$21,MATCH($F55&amp;"|high",Response_Table!$A$4:$A$21,0))*$R55*INDEX(Parameters!$X$14:$AA$14,1,MATCH($E55,Parameters!$X$3:$AA$3,0))))*(1-Inputs_General!$C$22*Parameters!$F$14))</f>
        <v>9.51144027231495</v>
      </c>
      <c r="BU55" s="44" t="n">
        <f aca="false">MAX(BR55*(1+INDEX(Response_Table!$N$4:$N$21,MATCH($F55&amp;"|low",Response_Table!$A$4:$A$21,0))*$R55*INDEX(Parameters!$X$14:$AA$14,1,MATCH($E55,Parameters!$X$3:$AA$3,0))),BR55*(1+INDEX(Response_Table!$N$4:$N$21,MATCH($F55&amp;"|high",Response_Table!$A$4:$A$21,0))*$R55*INDEX(Parameters!$X$14:$AA$14,1,MATCH($E55,Parameters!$X$3:$AA$3,0))))*(1+Inputs_General!$C$22*Parameters!$F$14)</f>
        <v>29.5245233577306</v>
      </c>
      <c r="BV55" s="45" t="n">
        <f aca="false">IF(BR55=0,0,BS55/BR55-1)</f>
        <v>0.173446149436842</v>
      </c>
      <c r="BW55" s="43" t="n">
        <f aca="false">Parameters!$E$15*IF($N55="V",Parameters!$I$15,IF($N55="F",Parameters!$J$15,Parameters!$K$15))*(1-Parameters!$L$15*$P55)*IF($D55="V1",Parameters!$M$15,IF($D55="V2",Parameters!$N$15,Parameters!$O$15))</f>
        <v>10.8</v>
      </c>
      <c r="BX55" s="43" t="n">
        <f aca="false">BW55*(1+INDEX(Response_Table!$O$4:$O$21,MATCH($F55&amp;"|mid",Response_Table!$A$4:$A$21,0))*$R55*INDEX(Parameters!$X$15:$AA$15,1,MATCH($E55,Parameters!$X$3:$AA$3,0)))</f>
        <v>10.3316953965205</v>
      </c>
      <c r="BY55" s="43" t="n">
        <f aca="false">MAX(0,MIN(BW55*(1+INDEX(Response_Table!$O$4:$O$21,MATCH($F55&amp;"|low",Response_Table!$A$4:$A$21,0))*$R55*INDEX(Parameters!$X$15:$AA$15,1,MATCH($E55,Parameters!$X$3:$AA$3,0))),BW55*(1+INDEX(Response_Table!$O$4:$O$21,MATCH($F55&amp;"|high",Response_Table!$A$4:$A$21,0))*$R55*INDEX(Parameters!$X$15:$AA$15,1,MATCH($E55,Parameters!$X$3:$AA$3,0))))*(1-Inputs_General!$C$22*Parameters!$F$15))</f>
        <v>8.23878941750944</v>
      </c>
      <c r="BZ55" s="43" t="n">
        <f aca="false">MAX(BW55*(1+INDEX(Response_Table!$O$4:$O$21,MATCH($F55&amp;"|low",Response_Table!$A$4:$A$21,0))*$R55*INDEX(Parameters!$X$15:$AA$15,1,MATCH($E55,Parameters!$X$3:$AA$3,0))),BW55*(1+INDEX(Response_Table!$O$4:$O$21,MATCH($F55&amp;"|high",Response_Table!$A$4:$A$21,0))*$R55*INDEX(Parameters!$X$15:$AA$15,1,MATCH($E55,Parameters!$X$3:$AA$3,0))))*(1+Inputs_General!$C$22*Parameters!$F$15)</f>
        <v>12.4854245539395</v>
      </c>
      <c r="CA55" s="45" t="n">
        <f aca="false">IF(BW55=0,0,BX55/BW55-1)</f>
        <v>-0.0433615373592108</v>
      </c>
      <c r="CB55" s="46" t="n">
        <f aca="false">BD55+BI55</f>
        <v>1.35570806467855</v>
      </c>
      <c r="CC55" s="43" t="n">
        <f aca="false">BD55/BI55</f>
        <v>2.66094214441131</v>
      </c>
      <c r="CD55" s="46" t="n">
        <f aca="false">BN55/CB55</f>
        <v>0.193618005680046</v>
      </c>
      <c r="CE55" s="43" t="n">
        <f aca="false">AE55/AO55</f>
        <v>3.41129524261516</v>
      </c>
      <c r="CF55" s="44" t="n">
        <f aca="false">AE55/AJ55</f>
        <v>35.2769168455738</v>
      </c>
      <c r="CG55" s="44" t="n">
        <f aca="false">INDEX(Context!$V$4:$V$51,$K55)</f>
        <v>22.6257142857143</v>
      </c>
      <c r="CH55" s="44" t="n">
        <f aca="false">INDEX(Context!$Y$4:$Y$51,$K55)</f>
        <v>21.3177449518561</v>
      </c>
      <c r="CI55" s="44" t="n">
        <f aca="false">INDEX(Context!$Z$4:$Z$51,$K55)</f>
        <v>26.6257142857143</v>
      </c>
      <c r="CJ55" s="43" t="n">
        <f aca="false">INDEX(Context!$AA$4:$AA$51,$K55)</f>
        <v>0.12</v>
      </c>
      <c r="CK55" s="43" t="n">
        <f aca="false">MAX(0,MIN(1,1-(1-CJ55)*AO55/AN55))</f>
        <v>0.326096696635392</v>
      </c>
      <c r="CL55" s="44" t="n">
        <f aca="false">CH55+CK55*(CI55-CH55)</f>
        <v>23.0486562174692</v>
      </c>
      <c r="CM55" s="44" t="n">
        <f aca="false">CH55+MAX(0,MIN(1,1-(1-CJ55)*AQ55/AN55))*(CI55-CH55)</f>
        <v>21.4452670208175</v>
      </c>
      <c r="CN55" s="44" t="n">
        <f aca="false">CH55+MAX(0,MIN(1,1-(1-CJ55)*AP55/AN55))*(CI55-CH55)</f>
        <v>24.3264542417469</v>
      </c>
      <c r="CO55" s="44" t="n">
        <f aca="false">CL55-CG55</f>
        <v>0.422941931754892</v>
      </c>
      <c r="CP55" s="44" t="n">
        <f aca="false">CL55-(CH55+CJ55*(CI55-CH55))</f>
        <v>1.09395494555014</v>
      </c>
      <c r="CQ55" s="46" t="n">
        <f aca="false">CL55/CG55</f>
        <v>1.01869297589522</v>
      </c>
      <c r="CR55" s="43" t="n">
        <f aca="false">IF(CL55-CH55&lt;=0,"n/a",(CI55-CL55)/(CL55-CH55))</f>
        <v>2.06657506904493</v>
      </c>
      <c r="CS55" s="43" t="n">
        <f aca="false">IF(CI55-CL55&lt;=0,"n/a",(CL55-CH55)/(CI55-CL55))</f>
        <v>0.483892414545652</v>
      </c>
      <c r="CT55" s="43" t="n">
        <f aca="false">Inputs_General!$C$23+Inputs_General!$C$24*$I55</f>
        <v>1.36</v>
      </c>
      <c r="CU55" s="44" t="n">
        <f aca="false">3.29*CT55</f>
        <v>4.4744</v>
      </c>
    </row>
    <row r="56" customFormat="false" ht="15" hidden="false" customHeight="false" outlineLevel="0" collapsed="false">
      <c r="A56" s="9" t="str">
        <f aca="false">B56&amp;"|"&amp;E56&amp;"|"&amp;F56</f>
        <v>D1V3|11/02/2026|Very high</v>
      </c>
      <c r="B56" s="7" t="s">
        <v>345</v>
      </c>
      <c r="C56" s="9" t="s">
        <v>127</v>
      </c>
      <c r="D56" s="9" t="s">
        <v>150</v>
      </c>
      <c r="E56" s="9" t="s">
        <v>158</v>
      </c>
      <c r="F56" s="7" t="s">
        <v>285</v>
      </c>
      <c r="G56" s="9" t="s">
        <v>286</v>
      </c>
      <c r="H56" s="41" t="n">
        <f aca="false">INDEX(Severity_Classes!$C$4:$C$9,MATCH(F56,Severity_Classes!$A$4:$A$9,0))</f>
        <v>0.51</v>
      </c>
      <c r="I56" s="41" t="n">
        <f aca="false">INDEX(Severity_Classes!$D$4:$D$9,MATCH(F56,Severity_Classes!$A$4:$A$9,0))</f>
        <v>0.65</v>
      </c>
      <c r="J56" s="41" t="n">
        <f aca="false">INDEX(Severity_Classes!$E$4:$E$9,MATCH(F56,Severity_Classes!$A$4:$A$9,0))</f>
        <v>0.85</v>
      </c>
      <c r="K56" s="42" t="n">
        <f aca="false">MATCH(B56&amp;"|"&amp;E56,Context!$A$4:$A$51,0)</f>
        <v>9</v>
      </c>
      <c r="L56" s="42" t="n">
        <f aca="false">INDEX(Context!$H$4:$H$51,K56)</f>
        <v>64</v>
      </c>
      <c r="M56" s="42" t="n">
        <f aca="false">INDEX(Context!$I$4:$I$51,K56)</f>
        <v>6</v>
      </c>
      <c r="N56" s="9" t="str">
        <f aca="false">INDEX(Context!$L$4:$L$51,K56)</f>
        <v>V</v>
      </c>
      <c r="O56" s="9" t="str">
        <f aca="false">INDEX(Context!$M$4:$M$51,K56)</f>
        <v>3rd fully expanded leaf from top</v>
      </c>
      <c r="P56" s="43" t="n">
        <f aca="false">INDEX(Context!$R$4:$R$51,K56)</f>
        <v>0</v>
      </c>
      <c r="Q56" s="43" t="n">
        <f aca="false">INDEX(Context!$U$4:$U$51,K56)</f>
        <v>0.937791824040773</v>
      </c>
      <c r="R56" s="43" t="n">
        <f aca="false">INDEX(Context!$AD$4:$AD$51,K56)</f>
        <v>0.85</v>
      </c>
      <c r="S56" s="9" t="str">
        <f aca="false">INDEX(Context!$AI$4:$AN$51,K56,MATCH(F56,Severity_Classes!$A$4:$A$9,0))</f>
        <v>Unlikely (only via pre-inoculation natural infection)</v>
      </c>
      <c r="T56" s="44" t="n">
        <f aca="false">Parameters!$E$4*IF($N56="V",Parameters!$I$4,IF($N56="F",Parameters!$J$4,Parameters!$K$4))*(1-Parameters!$L$4*$P56)*IF($D56="V1",Parameters!$M$4,IF($D56="V2",Parameters!$N$4,Parameters!$O$4))</f>
        <v>86</v>
      </c>
      <c r="U56" s="44" t="n">
        <f aca="false">MIN(100,T56*(1+INDEX(Response_Table!$E$4:$E$21,MATCH($F56&amp;"|mid",Response_Table!$A$4:$A$21,0))*$R56*INDEX(Parameters!$X$4:$AA$4,1,MATCH($E56,Parameters!$X$3:$AA$3,0))))</f>
        <v>75.9117959599366</v>
      </c>
      <c r="V56" s="44" t="n">
        <f aca="false">MAX(0,MIN(T56*(1+INDEX(Response_Table!$E$4:$E$21,MATCH($F56&amp;"|low",Response_Table!$A$4:$A$21,0))*$R56*INDEX(Parameters!$X$4:$AA$4,1,MATCH($E56,Parameters!$X$3:$AA$3,0))),T56*(1+INDEX(Response_Table!$E$4:$E$21,MATCH($F56&amp;"|high",Response_Table!$A$4:$A$21,0))*$R56*INDEX(Parameters!$X$4:$AA$4,1,MATCH($E56,Parameters!$X$3:$AA$3,0))))*(1-Inputs_General!$C$22*Parameters!$F$4))</f>
        <v>70.2625489417515</v>
      </c>
      <c r="W56" s="44" t="n">
        <f aca="false">MIN(100,MAX(T56*(1+INDEX(Response_Table!$E$4:$E$21,MATCH($F56&amp;"|low",Response_Table!$A$4:$A$21,0))*$R56*INDEX(Parameters!$X$4:$AA$4,1,MATCH($E56,Parameters!$X$3:$AA$3,0))),T56*(1+INDEX(Response_Table!$E$4:$E$21,MATCH($F56&amp;"|high",Response_Table!$A$4:$A$21,0))*$R56*INDEX(Parameters!$X$4:$AA$4,1,MATCH($E56,Parameters!$X$3:$AA$3,0))))*(1+Inputs_General!$C$22*Parameters!$F$4))</f>
        <v>82.5421300379317</v>
      </c>
      <c r="X56" s="45" t="n">
        <f aca="false">IF(T56=0,0,U56/T56-1)</f>
        <v>-0.117304698140272</v>
      </c>
      <c r="Y56" s="44" t="n">
        <f aca="false">Parameters!$E$5*IF($N56="V",Parameters!$I$5,IF($N56="F",Parameters!$J$5,Parameters!$K$5))*(1-Parameters!$L$5*$P56)*IF($D56="V1",Parameters!$M$5,IF($D56="V2",Parameters!$N$5,Parameters!$O$5))</f>
        <v>72</v>
      </c>
      <c r="Z56" s="44" t="n">
        <f aca="false">MIN(100,Y56*(1+INDEX(Response_Table!$F$4:$F$21,MATCH($F56&amp;"|mid",Response_Table!$A$4:$A$21,0))*$R56*INDEX(Parameters!$X$5:$AA$5,1,MATCH($E56,Parameters!$X$3:$AA$3,0))))</f>
        <v>51.1282274877042</v>
      </c>
      <c r="AA56" s="44" t="n">
        <f aca="false">MAX(0,MIN(Y56*(1+INDEX(Response_Table!$F$4:$F$21,MATCH($F56&amp;"|low",Response_Table!$A$4:$A$21,0))*$R56*INDEX(Parameters!$X$5:$AA$5,1,MATCH($E56,Parameters!$X$3:$AA$3,0))),Y56*(1+INDEX(Response_Table!$F$4:$F$21,MATCH($F56&amp;"|high",Response_Table!$A$4:$A$21,0))*$R56*INDEX(Parameters!$X$5:$AA$5,1,MATCH($E56,Parameters!$X$3:$AA$3,0))))*(1-Inputs_General!$C$22*Parameters!$F$5))</f>
        <v>44.8227628015676</v>
      </c>
      <c r="AB56" s="44" t="n">
        <f aca="false">MIN(100,MAX(Y56*(1+INDEX(Response_Table!$F$4:$F$21,MATCH($F56&amp;"|low",Response_Table!$A$4:$A$21,0))*$R56*INDEX(Parameters!$X$5:$AA$5,1,MATCH($E56,Parameters!$X$3:$AA$3,0))),Y56*(1+INDEX(Response_Table!$F$4:$F$21,MATCH($F56&amp;"|high",Response_Table!$A$4:$A$21,0))*$R56*INDEX(Parameters!$X$5:$AA$5,1,MATCH($E56,Parameters!$X$3:$AA$3,0))))*(1+Inputs_General!$C$22*Parameters!$F$5))</f>
        <v>58.7132565706956</v>
      </c>
      <c r="AC56" s="45" t="n">
        <f aca="false">IF(Y56=0,0,Z56/Y56-1)</f>
        <v>-0.289885729337441</v>
      </c>
      <c r="AD56" s="44" t="n">
        <f aca="false">Parameters!$E$6*IF($N56="V",Parameters!$I$6,IF($N56="F",Parameters!$J$6,Parameters!$K$6))*(1-Parameters!$L$6*$P56)*IF($D56="V1",Parameters!$M$6,IF($D56="V2",Parameters!$N$6,Parameters!$O$6))</f>
        <v>19.57</v>
      </c>
      <c r="AE56" s="44" t="n">
        <f aca="false">AD56*(1+INDEX(Response_Table!$G$4:$G$21,MATCH($F56&amp;"|mid",Response_Table!$A$4:$A$21,0))*$R56*INDEX(Parameters!$X$6:$AA$6,1,MATCH($E56,Parameters!$X$3:$AA$3,0)))</f>
        <v>10.1608823155816</v>
      </c>
      <c r="AF56" s="44" t="n">
        <f aca="false">MAX(0,MIN(AD56*(1+INDEX(Response_Table!$G$4:$G$21,MATCH($F56&amp;"|low",Response_Table!$A$4:$A$21,0))*$R56*INDEX(Parameters!$X$6:$AA$6,1,MATCH($E56,Parameters!$X$3:$AA$3,0))),AD56*(1+INDEX(Response_Table!$G$4:$G$21,MATCH($F56&amp;"|high",Response_Table!$A$4:$A$21,0))*$R56*INDEX(Parameters!$X$6:$AA$6,1,MATCH($E56,Parameters!$X$3:$AA$3,0))))*(1-Inputs_General!$C$22*Parameters!$F$6))</f>
        <v>7.88665465639861</v>
      </c>
      <c r="AG56" s="44" t="n">
        <f aca="false">MAX(AD56*(1+INDEX(Response_Table!$G$4:$G$21,MATCH($F56&amp;"|low",Response_Table!$A$4:$A$21,0))*$R56*INDEX(Parameters!$X$6:$AA$6,1,MATCH($E56,Parameters!$X$3:$AA$3,0))),AD56*(1+INDEX(Response_Table!$G$4:$G$21,MATCH($F56&amp;"|high",Response_Table!$A$4:$A$21,0))*$R56*INDEX(Parameters!$X$6:$AA$6,1,MATCH($E56,Parameters!$X$3:$AA$3,0))))*(1+Inputs_General!$C$22*Parameters!$F$6)</f>
        <v>12.749422783619</v>
      </c>
      <c r="AH56" s="45" t="n">
        <f aca="false">IF(AD56=0,0,AE56/AD56-1)</f>
        <v>-0.480792932264612</v>
      </c>
      <c r="AI56" s="46" t="n">
        <f aca="false">Parameters!$E$7*IF($N56="V",Parameters!$I$7,IF($N56="F",Parameters!$J$7,Parameters!$K$7))*(1-Parameters!$L$7*$P56)*IF($D56="V1",Parameters!$M$7,IF($D56="V2",Parameters!$N$7,Parameters!$O$7))*POWER($Q56/Inputs_General!$C$26,-Inputs_General!$C$25)</f>
        <v>0.464685683730118</v>
      </c>
      <c r="AJ56" s="46" t="n">
        <f aca="false">AI56*(1+INDEX(Response_Table!$H$4:$H$21,MATCH($F56&amp;"|mid",Response_Table!$A$4:$A$21,0))*$R56*INDEX(Parameters!$X$7:$AA$7,1,MATCH($E56,Parameters!$X$3:$AA$3,0)))</f>
        <v>0.288516435632059</v>
      </c>
      <c r="AK56" s="46" t="n">
        <f aca="false">MAX(0,MIN(AI56*(1+INDEX(Response_Table!$H$4:$H$21,MATCH($F56&amp;"|low",Response_Table!$A$4:$A$21,0))*$R56*INDEX(Parameters!$X$7:$AA$7,1,MATCH($E56,Parameters!$X$3:$AA$3,0))),AI56*(1+INDEX(Response_Table!$H$4:$H$21,MATCH($F56&amp;"|high",Response_Table!$A$4:$A$21,0))*$R56*INDEX(Parameters!$X$7:$AA$7,1,MATCH($E56,Parameters!$X$3:$AA$3,0))))*(1-Inputs_General!$C$22*Parameters!$F$7))</f>
        <v>0.19380611640048</v>
      </c>
      <c r="AL56" s="46" t="n">
        <f aca="false">MAX(AI56*(1+INDEX(Response_Table!$H$4:$H$21,MATCH($F56&amp;"|low",Response_Table!$A$4:$A$21,0))*$R56*INDEX(Parameters!$X$7:$AA$7,1,MATCH($E56,Parameters!$X$3:$AA$3,0))),AI56*(1+INDEX(Response_Table!$H$4:$H$21,MATCH($F56&amp;"|high",Response_Table!$A$4:$A$21,0))*$R56*INDEX(Parameters!$X$7:$AA$7,1,MATCH($E56,Parameters!$X$3:$AA$3,0))))*(1+Inputs_General!$C$22*Parameters!$F$7)</f>
        <v>0.393715136216559</v>
      </c>
      <c r="AM56" s="45" t="n">
        <f aca="false">IF(AI56=0,0,AJ56/AI56-1)</f>
        <v>-0.379114860358761</v>
      </c>
      <c r="AN56" s="43" t="n">
        <f aca="false">AI56*$Q56/Inputs_General!$C$13*1000</f>
        <v>4.38850387664553</v>
      </c>
      <c r="AO56" s="43" t="n">
        <f aca="false">AJ56*$Q56/Inputs_General!$C$13*1000*(1+Inputs_General!$C$21*$I56)</f>
        <v>3.16752982913559</v>
      </c>
      <c r="AP56" s="43" t="n">
        <f aca="false">AK56*$Q56/Inputs_General!$C$13*1000*(1+Inputs_General!$C$21*$H56)</f>
        <v>2.06367462048511</v>
      </c>
      <c r="AQ56" s="43" t="n">
        <f aca="false">AL56*$Q56/Inputs_General!$C$13*1000*(1+Inputs_General!$C$21*$J56)</f>
        <v>4.50838558248538</v>
      </c>
      <c r="AR56" s="45" t="n">
        <f aca="false">IF(AN56=0,0,AO56/AN56-1)</f>
        <v>-0.27822102516706</v>
      </c>
      <c r="AS56" s="42" t="n">
        <f aca="false">Parameters!$E$9*IF($N56="V",Parameters!$I$9,IF($N56="F",Parameters!$J$9,Parameters!$K$9))*(1-Parameters!$L$9*$P56)*IF($D56="V1",Parameters!$M$9,IF($D56="V2",Parameters!$N$9,Parameters!$O$9))</f>
        <v>285</v>
      </c>
      <c r="AT56" s="42" t="n">
        <f aca="false">AS56*(1+INDEX(Response_Table!$I$4:$I$21,MATCH($F56&amp;"|mid",Response_Table!$A$4:$A$21,0))*$R56*INDEX(Parameters!$X$9:$AA$9,1,MATCH($E56,Parameters!$X$3:$AA$3,0)))</f>
        <v>338.821734162619</v>
      </c>
      <c r="AU56" s="42" t="n">
        <f aca="false">MAX(0,MIN(AS56*(1+INDEX(Response_Table!$I$4:$I$21,MATCH($F56&amp;"|low",Response_Table!$A$4:$A$21,0))*$R56*INDEX(Parameters!$X$9:$AA$9,1,MATCH($E56,Parameters!$X$3:$AA$3,0))),AS56*(1+INDEX(Response_Table!$I$4:$I$21,MATCH($F56&amp;"|high",Response_Table!$A$4:$A$21,0))*$R56*INDEX(Parameters!$X$9:$AA$9,1,MATCH($E56,Parameters!$X$3:$AA$3,0))))*(1-Inputs_General!$C$22*Parameters!$F$9))</f>
        <v>302.45837184455</v>
      </c>
      <c r="AV56" s="42" t="n">
        <f aca="false">MAX(AS56*(1+INDEX(Response_Table!$I$4:$I$21,MATCH($F56&amp;"|low",Response_Table!$A$4:$A$21,0))*$R56*INDEX(Parameters!$X$9:$AA$9,1,MATCH($E56,Parameters!$X$3:$AA$3,0))),AS56*(1+INDEX(Response_Table!$I$4:$I$21,MATCH($F56&amp;"|high",Response_Table!$A$4:$A$21,0))*$R56*INDEX(Parameters!$X$9:$AA$9,1,MATCH($E56,Parameters!$X$3:$AA$3,0))))*(1+Inputs_General!$C$22*Parameters!$F$9)</f>
        <v>374.876086311447</v>
      </c>
      <c r="AW56" s="45" t="n">
        <f aca="false">IF(AS56=0,0,AT56/AS56-1)</f>
        <v>0.188848190044276</v>
      </c>
      <c r="AX56" s="43" t="n">
        <f aca="false">INDEX(Context!$AB$4:$AB$51,$K56)</f>
        <v>2.6849133441391</v>
      </c>
      <c r="AY56" s="43" t="n">
        <f aca="false">AX56*(1+INDEX(Response_Table!$J$4:$J$21,MATCH($F56&amp;"|mid",Response_Table!$A$4:$A$21,0))*$R56*INDEX(Parameters!$X$10:$AA$10,1,MATCH($E56,Parameters!$X$3:$AA$3,0)))</f>
        <v>2.27253577958374</v>
      </c>
      <c r="AZ56" s="43" t="n">
        <f aca="false">MAX(0,MIN(AX56*(1+INDEX(Response_Table!$J$4:$J$21,MATCH($F56&amp;"|low",Response_Table!$A$4:$A$21,0))*$R56*INDEX(Parameters!$X$10:$AA$10,1,MATCH($E56,Parameters!$X$3:$AA$3,0))),AX56*(1+INDEX(Response_Table!$J$4:$J$21,MATCH($F56&amp;"|high",Response_Table!$A$4:$A$21,0))*$R56*INDEX(Parameters!$X$10:$AA$10,1,MATCH($E56,Parameters!$X$3:$AA$3,0))))*(1-Inputs_General!$C$22*Parameters!$F$10))</f>
        <v>1.79200616398789</v>
      </c>
      <c r="BA56" s="43" t="n">
        <f aca="false">MAX(AX56*(1+INDEX(Response_Table!$J$4:$J$21,MATCH($F56&amp;"|low",Response_Table!$A$4:$A$21,0))*$R56*INDEX(Parameters!$X$10:$AA$10,1,MATCH($E56,Parameters!$X$3:$AA$3,0))),AX56*(1+INDEX(Response_Table!$J$4:$J$21,MATCH($F56&amp;"|high",Response_Table!$A$4:$A$21,0))*$R56*INDEX(Parameters!$X$10:$AA$10,1,MATCH($E56,Parameters!$X$3:$AA$3,0))))*(1+Inputs_General!$C$22*Parameters!$F$10)</f>
        <v>2.77187153932806</v>
      </c>
      <c r="BB56" s="45" t="n">
        <f aca="false">IF(AX56=0,0,AY56/AX56-1)</f>
        <v>-0.153590642117198</v>
      </c>
      <c r="BC56" s="46" t="n">
        <f aca="false">Parameters!$E$11*IF($N56="V",Parameters!$I$11,IF($N56="F",Parameters!$J$11,Parameters!$K$11))*(1-Parameters!$L$11*$P56)*IF($D56="V1",Parameters!$M$11,IF($D56="V2",Parameters!$N$11,Parameters!$O$11))</f>
        <v>1.223125</v>
      </c>
      <c r="BD56" s="46" t="n">
        <f aca="false">BC56*(1+INDEX(Response_Table!$K$4:$K$21,MATCH($F56&amp;"|mid",Response_Table!$A$4:$A$21,0))*$R56*INDEX(Parameters!$X$11:$AA$11,1,MATCH($E56,Parameters!$X$3:$AA$3,0)))</f>
        <v>0.927449173425977</v>
      </c>
      <c r="BE56" s="46" t="n">
        <f aca="false">MAX(0,MIN(BC56*(1+INDEX(Response_Table!$K$4:$K$21,MATCH($F56&amp;"|low",Response_Table!$A$4:$A$21,0))*$R56*INDEX(Parameters!$X$11:$AA$11,1,MATCH($E56,Parameters!$X$3:$AA$3,0))),BC56*(1+INDEX(Response_Table!$K$4:$K$21,MATCH($F56&amp;"|high",Response_Table!$A$4:$A$21,0))*$R56*INDEX(Parameters!$X$11:$AA$11,1,MATCH($E56,Parameters!$X$3:$AA$3,0))))*(1-Inputs_General!$C$22*Parameters!$F$11))</f>
        <v>0.758212094474405</v>
      </c>
      <c r="BF56" s="46" t="n">
        <f aca="false">MAX(BC56*(1+INDEX(Response_Table!$K$4:$K$21,MATCH($F56&amp;"|low",Response_Table!$A$4:$A$21,0))*$R56*INDEX(Parameters!$X$11:$AA$11,1,MATCH($E56,Parameters!$X$3:$AA$3,0))),BC56*(1+INDEX(Response_Table!$K$4:$K$21,MATCH($F56&amp;"|high",Response_Table!$A$4:$A$21,0))*$R56*INDEX(Parameters!$X$11:$AA$11,1,MATCH($E56,Parameters!$X$3:$AA$3,0))))*(1+Inputs_General!$C$22*Parameters!$F$11)</f>
        <v>1.10779671445084</v>
      </c>
      <c r="BG56" s="45" t="n">
        <f aca="false">IF(BC56=0,0,BD56/BC56-1)</f>
        <v>-0.241738028880142</v>
      </c>
      <c r="BH56" s="46" t="n">
        <f aca="false">Parameters!$E$12*IF($N56="V",Parameters!$I$12,IF($N56="F",Parameters!$J$12,Parameters!$K$12))*(1-Parameters!$L$12*$P56)*IF($D56="V1",Parameters!$M$12,IF($D56="V2",Parameters!$N$12,Parameters!$O$12))</f>
        <v>0.440325</v>
      </c>
      <c r="BI56" s="46" t="n">
        <f aca="false">BH56*(1+INDEX(Response_Table!$L$4:$L$21,MATCH($F56&amp;"|mid",Response_Table!$A$4:$A$21,0))*$R56*INDEX(Parameters!$X$12:$AA$12,1,MATCH($E56,Parameters!$X$3:$AA$3,0)))</f>
        <v>0.352042727896049</v>
      </c>
      <c r="BJ56" s="46" t="n">
        <f aca="false">MAX(0,MIN(BH56*(1+INDEX(Response_Table!$L$4:$L$21,MATCH($F56&amp;"|low",Response_Table!$A$4:$A$21,0))*$R56*INDEX(Parameters!$X$12:$AA$12,1,MATCH($E56,Parameters!$X$3:$AA$3,0))),BH56*(1+INDEX(Response_Table!$L$4:$L$21,MATCH($F56&amp;"|high",Response_Table!$A$4:$A$21,0))*$R56*INDEX(Parameters!$X$12:$AA$12,1,MATCH($E56,Parameters!$X$3:$AA$3,0))))*(1-Inputs_General!$C$22*Parameters!$F$12))</f>
        <v>0.277246662613975</v>
      </c>
      <c r="BK56" s="46" t="n">
        <f aca="false">MAX(BH56*(1+INDEX(Response_Table!$L$4:$L$21,MATCH($F56&amp;"|low",Response_Table!$A$4:$A$21,0))*$R56*INDEX(Parameters!$X$12:$AA$12,1,MATCH($E56,Parameters!$X$3:$AA$3,0))),BH56*(1+INDEX(Response_Table!$L$4:$L$21,MATCH($F56&amp;"|high",Response_Table!$A$4:$A$21,0))*$R56*INDEX(Parameters!$X$12:$AA$12,1,MATCH($E56,Parameters!$X$3:$AA$3,0))))*(1+Inputs_General!$C$22*Parameters!$F$12)</f>
        <v>0.430688225439012</v>
      </c>
      <c r="BL56" s="45" t="n">
        <f aca="false">IF(BH56=0,0,BI56/BH56-1)</f>
        <v>-0.200493435766652</v>
      </c>
      <c r="BM56" s="46" t="n">
        <f aca="false">Parameters!$E$13*IF($N56="V",Parameters!$I$13,IF($N56="F",Parameters!$J$13,Parameters!$K$13))*(1-Parameters!$L$13*$P56)*IF($D56="V1",Parameters!$M$13,IF($D56="V2",Parameters!$N$13,Parameters!$O$13))</f>
        <v>0.29355</v>
      </c>
      <c r="BN56" s="46" t="n">
        <f aca="false">BM56*(1+INDEX(Response_Table!$M$4:$M$21,MATCH($F56&amp;"|mid",Response_Table!$A$4:$A$21,0))*$R56*INDEX(Parameters!$X$13:$AA$13,1,MATCH($E56,Parameters!$X$3:$AA$3,0)))</f>
        <v>0.251077883453947</v>
      </c>
      <c r="BO56" s="46" t="n">
        <f aca="false">MAX(0,MIN(BM56*(1+INDEX(Response_Table!$M$4:$M$21,MATCH($F56&amp;"|low",Response_Table!$A$4:$A$21,0))*$R56*INDEX(Parameters!$X$13:$AA$13,1,MATCH($E56,Parameters!$X$3:$AA$3,0))),BM56*(1+INDEX(Response_Table!$M$4:$M$21,MATCH($F56&amp;"|high",Response_Table!$A$4:$A$21,0))*$R56*INDEX(Parameters!$X$13:$AA$13,1,MATCH($E56,Parameters!$X$3:$AA$3,0))))*(1-Inputs_General!$C$22*Parameters!$F$13))</f>
        <v>0.198725124593966</v>
      </c>
      <c r="BP56" s="46" t="n">
        <f aca="false">MAX(BM56*(1+INDEX(Response_Table!$M$4:$M$21,MATCH($F56&amp;"|low",Response_Table!$A$4:$A$21,0))*$R56*INDEX(Parameters!$X$13:$AA$13,1,MATCH($E56,Parameters!$X$3:$AA$3,0))),BM56*(1+INDEX(Response_Table!$M$4:$M$21,MATCH($F56&amp;"|high",Response_Table!$A$4:$A$21,0))*$R56*INDEX(Parameters!$X$13:$AA$13,1,MATCH($E56,Parameters!$X$3:$AA$3,0))))*(1+Inputs_General!$C$22*Parameters!$F$13)</f>
        <v>0.305943910176918</v>
      </c>
      <c r="BQ56" s="45" t="n">
        <f aca="false">IF(BM56=0,0,BN56/BM56-1)</f>
        <v>-0.144684437220417</v>
      </c>
      <c r="BR56" s="44" t="n">
        <f aca="false">Parameters!$E$14*IF($N56="V",Parameters!$I$14,IF($N56="F",Parameters!$J$14,Parameters!$K$14))*(1-Parameters!$L$14*$P56)*IF($D56="V1",Parameters!$M$14,IF($D56="V2",Parameters!$N$14,Parameters!$O$14))*INDEX(Context!$AC$4:$AC$51,$K56)</f>
        <v>16.5</v>
      </c>
      <c r="BS56" s="44" t="n">
        <f aca="false">BR56*(1+INDEX(Response_Table!$N$4:$N$21,MATCH($F56&amp;"|mid",Response_Table!$A$4:$A$21,0))*$R56*INDEX(Parameters!$X$14:$AA$14,1,MATCH($E56,Parameters!$X$3:$AA$3,0)))</f>
        <v>20.1088818437997</v>
      </c>
      <c r="BT56" s="44" t="n">
        <f aca="false">MAX(0,MIN(BR56*(1+INDEX(Response_Table!$N$4:$N$21,MATCH($F56&amp;"|low",Response_Table!$A$4:$A$21,0))*$R56*INDEX(Parameters!$X$14:$AA$14,1,MATCH($E56,Parameters!$X$3:$AA$3,0))),BR56*(1+INDEX(Response_Table!$N$4:$N$21,MATCH($F56&amp;"|high",Response_Table!$A$4:$A$21,0))*$R56*INDEX(Parameters!$X$14:$AA$14,1,MATCH($E56,Parameters!$X$3:$AA$3,0))))*(1-Inputs_General!$C$22*Parameters!$F$14))</f>
        <v>10.0268898600524</v>
      </c>
      <c r="BU56" s="44" t="n">
        <f aca="false">MAX(BR56*(1+INDEX(Response_Table!$N$4:$N$21,MATCH($F56&amp;"|low",Response_Table!$A$4:$A$21,0))*$R56*INDEX(Parameters!$X$14:$AA$14,1,MATCH($E56,Parameters!$X$3:$AA$3,0))),BR56*(1+INDEX(Response_Table!$N$4:$N$21,MATCH($F56&amp;"|high",Response_Table!$A$4:$A$21,0))*$R56*INDEX(Parameters!$X$14:$AA$14,1,MATCH($E56,Parameters!$X$3:$AA$3,0))))*(1+Inputs_General!$C$22*Parameters!$F$14)</f>
        <v>30.4359937714133</v>
      </c>
      <c r="BV56" s="45" t="n">
        <f aca="false">IF(BR56=0,0,BS56/BR56-1)</f>
        <v>0.218720111745439</v>
      </c>
      <c r="BW56" s="43" t="n">
        <f aca="false">Parameters!$E$15*IF($N56="V",Parameters!$I$15,IF($N56="F",Parameters!$J$15,Parameters!$K$15))*(1-Parameters!$L$15*$P56)*IF($D56="V1",Parameters!$M$15,IF($D56="V2",Parameters!$N$15,Parameters!$O$15))</f>
        <v>10.8</v>
      </c>
      <c r="BX56" s="43" t="n">
        <f aca="false">BW56*(1+INDEX(Response_Table!$O$4:$O$21,MATCH($F56&amp;"|mid",Response_Table!$A$4:$A$21,0))*$R56*INDEX(Parameters!$X$15:$AA$15,1,MATCH($E56,Parameters!$X$3:$AA$3,0)))</f>
        <v>10.2094556982873</v>
      </c>
      <c r="BY56" s="43" t="n">
        <f aca="false">MAX(0,MIN(BW56*(1+INDEX(Response_Table!$O$4:$O$21,MATCH($F56&amp;"|low",Response_Table!$A$4:$A$21,0))*$R56*INDEX(Parameters!$X$15:$AA$15,1,MATCH($E56,Parameters!$X$3:$AA$3,0))),BW56*(1+INDEX(Response_Table!$O$4:$O$21,MATCH($F56&amp;"|high",Response_Table!$A$4:$A$21,0))*$R56*INDEX(Parameters!$X$15:$AA$15,1,MATCH($E56,Parameters!$X$3:$AA$3,0))))*(1-Inputs_General!$C$22*Parameters!$F$15))</f>
        <v>8.15863705562374</v>
      </c>
      <c r="BZ56" s="43" t="n">
        <f aca="false">MAX(BW56*(1+INDEX(Response_Table!$O$4:$O$21,MATCH($F56&amp;"|low",Response_Table!$A$4:$A$21,0))*$R56*INDEX(Parameters!$X$15:$AA$15,1,MATCH($E56,Parameters!$X$3:$AA$3,0))),BW56*(1+INDEX(Response_Table!$O$4:$O$21,MATCH($F56&amp;"|high",Response_Table!$A$4:$A$21,0))*$R56*INDEX(Parameters!$X$15:$AA$15,1,MATCH($E56,Parameters!$X$3:$AA$3,0))))*(1+Inputs_General!$C$22*Parameters!$F$15)</f>
        <v>12.2860242478384</v>
      </c>
      <c r="CA56" s="45" t="n">
        <f aca="false">IF(BW56=0,0,BX56/BW56-1)</f>
        <v>-0.0546800279363597</v>
      </c>
      <c r="CB56" s="46" t="n">
        <f aca="false">BD56+BI56</f>
        <v>1.27949190132203</v>
      </c>
      <c r="CC56" s="43" t="n">
        <f aca="false">BD56/BI56</f>
        <v>2.63447899909421</v>
      </c>
      <c r="CD56" s="46" t="n">
        <f aca="false">BN56/CB56</f>
        <v>0.196232491346387</v>
      </c>
      <c r="CE56" s="43" t="n">
        <f aca="false">AE56/AO56</f>
        <v>3.20782529721414</v>
      </c>
      <c r="CF56" s="44" t="n">
        <f aca="false">AE56/AJ56</f>
        <v>35.2176897420832</v>
      </c>
      <c r="CG56" s="44" t="n">
        <f aca="false">INDEX(Context!$V$4:$V$51,$K56)</f>
        <v>22.6257142857143</v>
      </c>
      <c r="CH56" s="44" t="n">
        <f aca="false">INDEX(Context!$Y$4:$Y$51,$K56)</f>
        <v>21.3177449518561</v>
      </c>
      <c r="CI56" s="44" t="n">
        <f aca="false">INDEX(Context!$Z$4:$Z$51,$K56)</f>
        <v>26.6257142857143</v>
      </c>
      <c r="CJ56" s="43" t="n">
        <f aca="false">INDEX(Context!$AA$4:$AA$51,$K56)</f>
        <v>0.12</v>
      </c>
      <c r="CK56" s="43" t="n">
        <f aca="false">MAX(0,MIN(1,1-(1-CJ56)*AO56/AN56))</f>
        <v>0.364834502147012</v>
      </c>
      <c r="CL56" s="44" t="n">
        <f aca="false">CH56+CK56*(CI56-CH56)</f>
        <v>23.2542753011858</v>
      </c>
      <c r="CM56" s="44" t="n">
        <f aca="false">CH56+MAX(0,MIN(1,1-(1-CJ56)*AQ56/AN56))*(CI56-CH56)</f>
        <v>21.827102203117</v>
      </c>
      <c r="CN56" s="44" t="n">
        <f aca="false">CH56+MAX(0,MIN(1,1-(1-CJ56)*AP56/AN56))*(CI56-CH56)</f>
        <v>24.4291909876893</v>
      </c>
      <c r="CO56" s="44" t="n">
        <f aca="false">CL56-CG56</f>
        <v>0.62856101547154</v>
      </c>
      <c r="CP56" s="44" t="n">
        <f aca="false">CL56-(CH56+CJ56*(CI56-CH56))</f>
        <v>1.29957402926679</v>
      </c>
      <c r="CQ56" s="46" t="n">
        <f aca="false">CL56/CG56</f>
        <v>1.02778082528287</v>
      </c>
      <c r="CR56" s="43" t="n">
        <f aca="false">IF(CL56-CH56&lt;=0,"n/a",(CI56-CL56)/(CL56-CH56))</f>
        <v>1.74096883412919</v>
      </c>
      <c r="CS56" s="43" t="n">
        <f aca="false">IF(CI56-CL56&lt;=0,"n/a",(CL56-CH56)/(CI56-CL56))</f>
        <v>0.57439282105253</v>
      </c>
      <c r="CT56" s="43" t="n">
        <f aca="false">Inputs_General!$C$23+Inputs_General!$C$24*$I56</f>
        <v>1.9</v>
      </c>
      <c r="CU56" s="44" t="n">
        <f aca="false">3.29*CT56</f>
        <v>6.251</v>
      </c>
    </row>
    <row r="57" customFormat="false" ht="15" hidden="false" customHeight="false" outlineLevel="0" collapsed="false">
      <c r="A57" s="33" t="str">
        <f aca="false">B57&amp;"|"&amp;E57&amp;"|"&amp;F57</f>
        <v>D1V3|24/02/2026|Healthy</v>
      </c>
      <c r="B57" s="34" t="s">
        <v>345</v>
      </c>
      <c r="C57" s="33" t="s">
        <v>127</v>
      </c>
      <c r="D57" s="33" t="s">
        <v>150</v>
      </c>
      <c r="E57" s="33" t="s">
        <v>160</v>
      </c>
      <c r="F57" s="34" t="s">
        <v>275</v>
      </c>
      <c r="G57" s="33" t="s">
        <v>276</v>
      </c>
      <c r="H57" s="35" t="n">
        <f aca="false">INDEX(Severity_Classes!$C$4:$C$9,MATCH(F57,Severity_Classes!$A$4:$A$9,0))</f>
        <v>0</v>
      </c>
      <c r="I57" s="35" t="n">
        <f aca="false">INDEX(Severity_Classes!$D$4:$D$9,MATCH(F57,Severity_Classes!$A$4:$A$9,0))</f>
        <v>0</v>
      </c>
      <c r="J57" s="35" t="n">
        <f aca="false">INDEX(Severity_Classes!$E$4:$E$9,MATCH(F57,Severity_Classes!$A$4:$A$9,0))</f>
        <v>0</v>
      </c>
      <c r="K57" s="36" t="n">
        <f aca="false">MATCH(B57&amp;"|"&amp;E57,Context!$A$4:$A$51,0)</f>
        <v>10</v>
      </c>
      <c r="L57" s="36" t="n">
        <f aca="false">INDEX(Context!$H$4:$H$51,K57)</f>
        <v>77</v>
      </c>
      <c r="M57" s="36" t="n">
        <f aca="false">INDEX(Context!$I$4:$I$51,K57)</f>
        <v>19</v>
      </c>
      <c r="N57" s="33" t="str">
        <f aca="false">INDEX(Context!$L$4:$L$51,K57)</f>
        <v>F</v>
      </c>
      <c r="O57" s="33" t="str">
        <f aca="false">INDEX(Context!$M$4:$M$51,K57)</f>
        <v>5th fully expanded leaf from top</v>
      </c>
      <c r="P57" s="37" t="n">
        <f aca="false">INDEX(Context!$R$4:$R$51,K57)</f>
        <v>0.0232142857142859</v>
      </c>
      <c r="Q57" s="37" t="n">
        <f aca="false">INDEX(Context!$U$4:$U$51,K57)</f>
        <v>1.19492600027053</v>
      </c>
      <c r="R57" s="37" t="n">
        <f aca="false">INDEX(Context!$AD$4:$AD$51,K57)</f>
        <v>0.85</v>
      </c>
      <c r="S57" s="33" t="str">
        <f aca="false">INDEX(Context!$AI$4:$AN$51,K57,MATCH(F57,Severity_Classes!$A$4:$A$9,0))</f>
        <v>Reference: healthy (uninoculated) control plot</v>
      </c>
      <c r="T57" s="38" t="n">
        <f aca="false">Parameters!$E$4*IF($N57="V",Parameters!$I$4,IF($N57="F",Parameters!$J$4,Parameters!$K$4))*(1-Parameters!$L$4*$P57)*IF($D57="V1",Parameters!$M$4,IF($D57="V2",Parameters!$N$4,Parameters!$O$4))</f>
        <v>85.0411767857143</v>
      </c>
      <c r="U57" s="38" t="n">
        <f aca="false">MIN(100,T57*(1+INDEX(Response_Table!$E$4:$E$21,MATCH($F57&amp;"|mid",Response_Table!$A$4:$A$21,0))*$R57*INDEX(Parameters!$X$4:$AA$4,1,MATCH($E57,Parameters!$X$3:$AA$3,0))))</f>
        <v>85.0411767857143</v>
      </c>
      <c r="V57" s="38" t="n">
        <f aca="false">MAX(0,MIN(T57*(1+INDEX(Response_Table!$E$4:$E$21,MATCH($F57&amp;"|low",Response_Table!$A$4:$A$21,0))*$R57*INDEX(Parameters!$X$4:$AA$4,1,MATCH($E57,Parameters!$X$3:$AA$3,0))),T57*(1+INDEX(Response_Table!$E$4:$E$21,MATCH($F57&amp;"|high",Response_Table!$A$4:$A$21,0))*$R57*INDEX(Parameters!$X$4:$AA$4,1,MATCH($E57,Parameters!$X$3:$AA$3,0))))*(1-Inputs_General!$C$22*Parameters!$F$4))</f>
        <v>79.4454673532143</v>
      </c>
      <c r="W57" s="38" t="n">
        <f aca="false">MIN(100,MAX(T57*(1+INDEX(Response_Table!$E$4:$E$21,MATCH($F57&amp;"|low",Response_Table!$A$4:$A$21,0))*$R57*INDEX(Parameters!$X$4:$AA$4,1,MATCH($E57,Parameters!$X$3:$AA$3,0))),T57*(1+INDEX(Response_Table!$E$4:$E$21,MATCH($F57&amp;"|high",Response_Table!$A$4:$A$21,0))*$R57*INDEX(Parameters!$X$4:$AA$4,1,MATCH($E57,Parameters!$X$3:$AA$3,0))))*(1+Inputs_General!$C$22*Parameters!$F$4))</f>
        <v>90.6368862182143</v>
      </c>
      <c r="X57" s="39" t="n">
        <f aca="false">IF(T57=0,0,U57/T57-1)</f>
        <v>0</v>
      </c>
      <c r="Y57" s="38" t="n">
        <f aca="false">Parameters!$E$5*IF($N57="V",Parameters!$I$5,IF($N57="F",Parameters!$J$5,Parameters!$K$5))*(1-Parameters!$L$5*$P57)*IF($D57="V1",Parameters!$M$5,IF($D57="V2",Parameters!$N$5,Parameters!$O$5))</f>
        <v>70.36344</v>
      </c>
      <c r="Z57" s="38" t="n">
        <f aca="false">MIN(100,Y57*(1+INDEX(Response_Table!$F$4:$F$21,MATCH($F57&amp;"|mid",Response_Table!$A$4:$A$21,0))*$R57*INDEX(Parameters!$X$5:$AA$5,1,MATCH($E57,Parameters!$X$3:$AA$3,0))))</f>
        <v>70.36344</v>
      </c>
      <c r="AA57" s="38" t="n">
        <f aca="false">MAX(0,MIN(Y57*(1+INDEX(Response_Table!$F$4:$F$21,MATCH($F57&amp;"|low",Response_Table!$A$4:$A$21,0))*$R57*INDEX(Parameters!$X$5:$AA$5,1,MATCH($E57,Parameters!$X$3:$AA$3,0))),Y57*(1+INDEX(Response_Table!$F$4:$F$21,MATCH($F57&amp;"|high",Response_Table!$A$4:$A$21,0))*$R57*INDEX(Parameters!$X$5:$AA$5,1,MATCH($E57,Parameters!$X$3:$AA$3,0))))*(1-Inputs_General!$C$22*Parameters!$F$5))</f>
        <v>62.261089884</v>
      </c>
      <c r="AB57" s="38" t="n">
        <f aca="false">MIN(100,MAX(Y57*(1+INDEX(Response_Table!$F$4:$F$21,MATCH($F57&amp;"|low",Response_Table!$A$4:$A$21,0))*$R57*INDEX(Parameters!$X$5:$AA$5,1,MATCH($E57,Parameters!$X$3:$AA$3,0))),Y57*(1+INDEX(Response_Table!$F$4:$F$21,MATCH($F57&amp;"|high",Response_Table!$A$4:$A$21,0))*$R57*INDEX(Parameters!$X$5:$AA$5,1,MATCH($E57,Parameters!$X$3:$AA$3,0))))*(1+Inputs_General!$C$22*Parameters!$F$5))</f>
        <v>78.465790116</v>
      </c>
      <c r="AC57" s="39" t="n">
        <f aca="false">IF(Y57=0,0,Z57/Y57-1)</f>
        <v>0</v>
      </c>
      <c r="AD57" s="38" t="n">
        <f aca="false">Parameters!$E$6*IF($N57="V",Parameters!$I$6,IF($N57="F",Parameters!$J$6,Parameters!$K$6))*(1-Parameters!$L$6*$P57)*IF($D57="V1",Parameters!$M$6,IF($D57="V2",Parameters!$N$6,Parameters!$O$6))</f>
        <v>19.5154835714286</v>
      </c>
      <c r="AE57" s="38" t="n">
        <f aca="false">AD57*(1+INDEX(Response_Table!$G$4:$G$21,MATCH($F57&amp;"|mid",Response_Table!$A$4:$A$21,0))*$R57*INDEX(Parameters!$X$6:$AA$6,1,MATCH($E57,Parameters!$X$3:$AA$3,0)))</f>
        <v>19.5154835714286</v>
      </c>
      <c r="AF57" s="38" t="n">
        <f aca="false">MAX(0,MIN(AD57*(1+INDEX(Response_Table!$G$4:$G$21,MATCH($F57&amp;"|low",Response_Table!$A$4:$A$21,0))*$R57*INDEX(Parameters!$X$6:$AA$6,1,MATCH($E57,Parameters!$X$3:$AA$3,0))),AD57*(1+INDEX(Response_Table!$G$4:$G$21,MATCH($F57&amp;"|high",Response_Table!$A$4:$A$21,0))*$R57*INDEX(Parameters!$X$6:$AA$6,1,MATCH($E57,Parameters!$X$3:$AA$3,0))))*(1-Inputs_General!$C$22*Parameters!$F$6))</f>
        <v>15.6631271144286</v>
      </c>
      <c r="AG57" s="38" t="n">
        <f aca="false">MAX(AD57*(1+INDEX(Response_Table!$G$4:$G$21,MATCH($F57&amp;"|low",Response_Table!$A$4:$A$21,0))*$R57*INDEX(Parameters!$X$6:$AA$6,1,MATCH($E57,Parameters!$X$3:$AA$3,0))),AD57*(1+INDEX(Response_Table!$G$4:$G$21,MATCH($F57&amp;"|high",Response_Table!$A$4:$A$21,0))*$R57*INDEX(Parameters!$X$6:$AA$6,1,MATCH($E57,Parameters!$X$3:$AA$3,0))))*(1+Inputs_General!$C$22*Parameters!$F$6)</f>
        <v>23.3678400284286</v>
      </c>
      <c r="AH57" s="39" t="n">
        <f aca="false">IF(AD57=0,0,AE57/AD57-1)</f>
        <v>0</v>
      </c>
      <c r="AI57" s="40" t="n">
        <f aca="false">Parameters!$E$7*IF($N57="V",Parameters!$I$7,IF($N57="F",Parameters!$J$7,Parameters!$K$7))*(1-Parameters!$L$7*$P57)*IF($D57="V1",Parameters!$M$7,IF($D57="V2",Parameters!$N$7,Parameters!$O$7))*POWER($Q57/Inputs_General!$C$26,-Inputs_General!$C$25)</f>
        <v>0.411663164578586</v>
      </c>
      <c r="AJ57" s="40" t="n">
        <f aca="false">AI57*(1+INDEX(Response_Table!$H$4:$H$21,MATCH($F57&amp;"|mid",Response_Table!$A$4:$A$21,0))*$R57*INDEX(Parameters!$X$7:$AA$7,1,MATCH($E57,Parameters!$X$3:$AA$3,0)))</f>
        <v>0.411663164578586</v>
      </c>
      <c r="AK57" s="40" t="n">
        <f aca="false">MAX(0,MIN(AI57*(1+INDEX(Response_Table!$H$4:$H$21,MATCH($F57&amp;"|low",Response_Table!$A$4:$A$21,0))*$R57*INDEX(Parameters!$X$7:$AA$7,1,MATCH($E57,Parameters!$X$3:$AA$3,0))),AI57*(1+INDEX(Response_Table!$H$4:$H$21,MATCH($F57&amp;"|high",Response_Table!$A$4:$A$21,0))*$R57*INDEX(Parameters!$X$7:$AA$7,1,MATCH($E57,Parameters!$X$3:$AA$3,0))))*(1-Inputs_General!$C$22*Parameters!$F$7))</f>
        <v>0.289769701546867</v>
      </c>
      <c r="AL57" s="40" t="n">
        <f aca="false">MAX(AI57*(1+INDEX(Response_Table!$H$4:$H$21,MATCH($F57&amp;"|low",Response_Table!$A$4:$A$21,0))*$R57*INDEX(Parameters!$X$7:$AA$7,1,MATCH($E57,Parameters!$X$3:$AA$3,0))),AI57*(1+INDEX(Response_Table!$H$4:$H$21,MATCH($F57&amp;"|high",Response_Table!$A$4:$A$21,0))*$R57*INDEX(Parameters!$X$7:$AA$7,1,MATCH($E57,Parameters!$X$3:$AA$3,0))))*(1+Inputs_General!$C$22*Parameters!$F$7)</f>
        <v>0.533556627610306</v>
      </c>
      <c r="AM57" s="39" t="n">
        <f aca="false">IF(AI57=0,0,AJ57/AI57-1)</f>
        <v>0</v>
      </c>
      <c r="AN57" s="37" t="n">
        <f aca="false">AI57*$Q57/Inputs_General!$C$13*1000</f>
        <v>4.95374641196979</v>
      </c>
      <c r="AO57" s="37" t="n">
        <f aca="false">AJ57*$Q57/Inputs_General!$C$13*1000*(1+Inputs_General!$C$21*$I57)</f>
        <v>4.95374641196979</v>
      </c>
      <c r="AP57" s="37" t="n">
        <f aca="false">AK57*$Q57/Inputs_General!$C$13*1000*(1+Inputs_General!$C$21*$H57)</f>
        <v>3.48694209938553</v>
      </c>
      <c r="AQ57" s="37" t="n">
        <f aca="false">AL57*$Q57/Inputs_General!$C$13*1000*(1+Inputs_General!$C$21*$J57)</f>
        <v>6.42055072455404</v>
      </c>
      <c r="AR57" s="39" t="n">
        <f aca="false">IF(AN57=0,0,AO57/AN57-1)</f>
        <v>0</v>
      </c>
      <c r="AS57" s="36" t="n">
        <f aca="false">Parameters!$E$9*IF($N57="V",Parameters!$I$9,IF($N57="F",Parameters!$J$9,Parameters!$K$9))*(1-Parameters!$L$9*$P57)*IF($D57="V1",Parameters!$M$9,IF($D57="V2",Parameters!$N$9,Parameters!$O$9))</f>
        <v>285</v>
      </c>
      <c r="AT57" s="36" t="n">
        <f aca="false">AS57*(1+INDEX(Response_Table!$I$4:$I$21,MATCH($F57&amp;"|mid",Response_Table!$A$4:$A$21,0))*$R57*INDEX(Parameters!$X$9:$AA$9,1,MATCH($E57,Parameters!$X$3:$AA$3,0)))</f>
        <v>285</v>
      </c>
      <c r="AU57" s="36" t="n">
        <f aca="false">MAX(0,MIN(AS57*(1+INDEX(Response_Table!$I$4:$I$21,MATCH($F57&amp;"|low",Response_Table!$A$4:$A$21,0))*$R57*INDEX(Parameters!$X$9:$AA$9,1,MATCH($E57,Parameters!$X$3:$AA$3,0))),AS57*(1+INDEX(Response_Table!$I$4:$I$21,MATCH($F57&amp;"|high",Response_Table!$A$4:$A$21,0))*$R57*INDEX(Parameters!$X$9:$AA$9,1,MATCH($E57,Parameters!$X$3:$AA$3,0))))*(1-Inputs_General!$C$22*Parameters!$F$9))</f>
        <v>256.8705</v>
      </c>
      <c r="AV57" s="36" t="n">
        <f aca="false">MAX(AS57*(1+INDEX(Response_Table!$I$4:$I$21,MATCH($F57&amp;"|low",Response_Table!$A$4:$A$21,0))*$R57*INDEX(Parameters!$X$9:$AA$9,1,MATCH($E57,Parameters!$X$3:$AA$3,0))),AS57*(1+INDEX(Response_Table!$I$4:$I$21,MATCH($F57&amp;"|high",Response_Table!$A$4:$A$21,0))*$R57*INDEX(Parameters!$X$9:$AA$9,1,MATCH($E57,Parameters!$X$3:$AA$3,0))))*(1+Inputs_General!$C$22*Parameters!$F$9)</f>
        <v>313.1295</v>
      </c>
      <c r="AW57" s="39" t="n">
        <f aca="false">IF(AS57=0,0,AT57/AS57-1)</f>
        <v>0</v>
      </c>
      <c r="AX57" s="37" t="n">
        <f aca="false">INDEX(Context!$AB$4:$AB$51,$K57)</f>
        <v>3.24945780185873</v>
      </c>
      <c r="AY57" s="37" t="n">
        <f aca="false">AX57*(1+INDEX(Response_Table!$J$4:$J$21,MATCH($F57&amp;"|mid",Response_Table!$A$4:$A$21,0))*$R57*INDEX(Parameters!$X$10:$AA$10,1,MATCH($E57,Parameters!$X$3:$AA$3,0)))</f>
        <v>3.24945780185873</v>
      </c>
      <c r="AZ57" s="37" t="n">
        <f aca="false">MAX(0,MIN(AX57*(1+INDEX(Response_Table!$J$4:$J$21,MATCH($F57&amp;"|low",Response_Table!$A$4:$A$21,0))*$R57*INDEX(Parameters!$X$10:$AA$10,1,MATCH($E57,Parameters!$X$3:$AA$3,0))),AX57*(1+INDEX(Response_Table!$J$4:$J$21,MATCH($F57&amp;"|high",Response_Table!$A$4:$A$21,0))*$R57*INDEX(Parameters!$X$10:$AA$10,1,MATCH($E57,Parameters!$X$3:$AA$3,0))))*(1-Inputs_General!$C$22*Parameters!$F$10))</f>
        <v>2.60801483177182</v>
      </c>
      <c r="BA57" s="37" t="n">
        <f aca="false">MAX(AX57*(1+INDEX(Response_Table!$J$4:$J$21,MATCH($F57&amp;"|low",Response_Table!$A$4:$A$21,0))*$R57*INDEX(Parameters!$X$10:$AA$10,1,MATCH($E57,Parameters!$X$3:$AA$3,0))),AX57*(1+INDEX(Response_Table!$J$4:$J$21,MATCH($F57&amp;"|high",Response_Table!$A$4:$A$21,0))*$R57*INDEX(Parameters!$X$10:$AA$10,1,MATCH($E57,Parameters!$X$3:$AA$3,0))))*(1+Inputs_General!$C$22*Parameters!$F$10)</f>
        <v>3.89090077194564</v>
      </c>
      <c r="BB57" s="39" t="n">
        <f aca="false">IF(AX57=0,0,AY57/AX57-1)</f>
        <v>0</v>
      </c>
      <c r="BC57" s="40" t="n">
        <f aca="false">Parameters!$E$11*IF($N57="V",Parameters!$I$11,IF($N57="F",Parameters!$J$11,Parameters!$K$11))*(1-Parameters!$L$11*$P57)*IF($D57="V1",Parameters!$M$11,IF($D57="V2",Parameters!$N$11,Parameters!$O$11))</f>
        <v>1.28570669642857</v>
      </c>
      <c r="BD57" s="40" t="n">
        <f aca="false">BC57*(1+INDEX(Response_Table!$K$4:$K$21,MATCH($F57&amp;"|mid",Response_Table!$A$4:$A$21,0))*$R57*INDEX(Parameters!$X$11:$AA$11,1,MATCH($E57,Parameters!$X$3:$AA$3,0)))</f>
        <v>1.28570669642857</v>
      </c>
      <c r="BE57" s="40" t="n">
        <f aca="false">MAX(0,MIN(BC57*(1+INDEX(Response_Table!$K$4:$K$21,MATCH($F57&amp;"|low",Response_Table!$A$4:$A$21,0))*$R57*INDEX(Parameters!$X$11:$AA$11,1,MATCH($E57,Parameters!$X$3:$AA$3,0))),BC57*(1+INDEX(Response_Table!$K$4:$K$21,MATCH($F57&amp;"|high",Response_Table!$A$4:$A$21,0))*$R57*INDEX(Parameters!$X$11:$AA$11,1,MATCH($E57,Parameters!$X$3:$AA$3,0))))*(1-Inputs_General!$C$22*Parameters!$F$11))</f>
        <v>1.07420794486607</v>
      </c>
      <c r="BF57" s="40" t="n">
        <f aca="false">MAX(BC57*(1+INDEX(Response_Table!$K$4:$K$21,MATCH($F57&amp;"|low",Response_Table!$A$4:$A$21,0))*$R57*INDEX(Parameters!$X$11:$AA$11,1,MATCH($E57,Parameters!$X$3:$AA$3,0))),BC57*(1+INDEX(Response_Table!$K$4:$K$21,MATCH($F57&amp;"|high",Response_Table!$A$4:$A$21,0))*$R57*INDEX(Parameters!$X$11:$AA$11,1,MATCH($E57,Parameters!$X$3:$AA$3,0))))*(1+Inputs_General!$C$22*Parameters!$F$11)</f>
        <v>1.49720544799107</v>
      </c>
      <c r="BG57" s="39" t="n">
        <f aca="false">IF(BC57=0,0,BD57/BC57-1)</f>
        <v>0</v>
      </c>
      <c r="BH57" s="40" t="n">
        <f aca="false">Parameters!$E$12*IF($N57="V",Parameters!$I$12,IF($N57="F",Parameters!$J$12,Parameters!$K$12))*(1-Parameters!$L$12*$P57)*IF($D57="V1",Parameters!$M$12,IF($D57="V2",Parameters!$N$12,Parameters!$O$12))</f>
        <v>0.462854410714286</v>
      </c>
      <c r="BI57" s="40" t="n">
        <f aca="false">BH57*(1+INDEX(Response_Table!$L$4:$L$21,MATCH($F57&amp;"|mid",Response_Table!$A$4:$A$21,0))*$R57*INDEX(Parameters!$X$12:$AA$12,1,MATCH($E57,Parameters!$X$3:$AA$3,0)))</f>
        <v>0.462854410714286</v>
      </c>
      <c r="BJ57" s="40" t="n">
        <f aca="false">MAX(0,MIN(BH57*(1+INDEX(Response_Table!$L$4:$L$21,MATCH($F57&amp;"|low",Response_Table!$A$4:$A$21,0))*$R57*INDEX(Parameters!$X$12:$AA$12,1,MATCH($E57,Parameters!$X$3:$AA$3,0))),BH57*(1+INDEX(Response_Table!$L$4:$L$21,MATCH($F57&amp;"|high",Response_Table!$A$4:$A$21,0))*$R57*INDEX(Parameters!$X$12:$AA$12,1,MATCH($E57,Parameters!$X$3:$AA$3,0))))*(1-Inputs_General!$C$22*Parameters!$F$12))</f>
        <v>0.371486950039286</v>
      </c>
      <c r="BK57" s="40" t="n">
        <f aca="false">MAX(BH57*(1+INDEX(Response_Table!$L$4:$L$21,MATCH($F57&amp;"|low",Response_Table!$A$4:$A$21,0))*$R57*INDEX(Parameters!$X$12:$AA$12,1,MATCH($E57,Parameters!$X$3:$AA$3,0))),BH57*(1+INDEX(Response_Table!$L$4:$L$21,MATCH($F57&amp;"|high",Response_Table!$A$4:$A$21,0))*$R57*INDEX(Parameters!$X$12:$AA$12,1,MATCH($E57,Parameters!$X$3:$AA$3,0))))*(1+Inputs_General!$C$22*Parameters!$F$12)</f>
        <v>0.554221871389286</v>
      </c>
      <c r="BL57" s="39" t="n">
        <f aca="false">IF(BH57=0,0,BI57/BH57-1)</f>
        <v>0</v>
      </c>
      <c r="BM57" s="40" t="n">
        <f aca="false">Parameters!$E$13*IF($N57="V",Parameters!$I$13,IF($N57="F",Parameters!$J$13,Parameters!$K$13))*(1-Parameters!$L$13*$P57)*IF($D57="V1",Parameters!$M$13,IF($D57="V2",Parameters!$N$13,Parameters!$O$13))</f>
        <v>0.308784803571429</v>
      </c>
      <c r="BN57" s="40" t="n">
        <f aca="false">BM57*(1+INDEX(Response_Table!$M$4:$M$21,MATCH($F57&amp;"|mid",Response_Table!$A$4:$A$21,0))*$R57*INDEX(Parameters!$X$13:$AA$13,1,MATCH($E57,Parameters!$X$3:$AA$3,0)))</f>
        <v>0.308784803571429</v>
      </c>
      <c r="BO57" s="40" t="n">
        <f aca="false">MAX(0,MIN(BM57*(1+INDEX(Response_Table!$M$4:$M$21,MATCH($F57&amp;"|low",Response_Table!$A$4:$A$21,0))*$R57*INDEX(Parameters!$X$13:$AA$13,1,MATCH($E57,Parameters!$X$3:$AA$3,0))),BM57*(1+INDEX(Response_Table!$M$4:$M$21,MATCH($F57&amp;"|high",Response_Table!$A$4:$A$21,0))*$R57*INDEX(Parameters!$X$13:$AA$13,1,MATCH($E57,Parameters!$X$3:$AA$3,0))))*(1-Inputs_General!$C$22*Parameters!$F$13))</f>
        <v>0.247830683346429</v>
      </c>
      <c r="BP57" s="40" t="n">
        <f aca="false">MAX(BM57*(1+INDEX(Response_Table!$M$4:$M$21,MATCH($F57&amp;"|low",Response_Table!$A$4:$A$21,0))*$R57*INDEX(Parameters!$X$13:$AA$13,1,MATCH($E57,Parameters!$X$3:$AA$3,0))),BM57*(1+INDEX(Response_Table!$M$4:$M$21,MATCH($F57&amp;"|high",Response_Table!$A$4:$A$21,0))*$R57*INDEX(Parameters!$X$13:$AA$13,1,MATCH($E57,Parameters!$X$3:$AA$3,0))))*(1+Inputs_General!$C$22*Parameters!$F$13)</f>
        <v>0.369738923796429</v>
      </c>
      <c r="BQ57" s="39" t="n">
        <f aca="false">IF(BM57=0,0,BN57/BM57-1)</f>
        <v>0</v>
      </c>
      <c r="BR57" s="38" t="n">
        <f aca="false">Parameters!$E$14*IF($N57="V",Parameters!$I$14,IF($N57="F",Parameters!$J$14,Parameters!$K$14))*(1-Parameters!$L$14*$P57)*IF($D57="V1",Parameters!$M$14,IF($D57="V2",Parameters!$N$14,Parameters!$O$14))*INDEX(Context!$AC$4:$AC$51,$K57)</f>
        <v>15</v>
      </c>
      <c r="BS57" s="38" t="n">
        <f aca="false">BR57*(1+INDEX(Response_Table!$N$4:$N$21,MATCH($F57&amp;"|mid",Response_Table!$A$4:$A$21,0))*$R57*INDEX(Parameters!$X$14:$AA$14,1,MATCH($E57,Parameters!$X$3:$AA$3,0)))</f>
        <v>15</v>
      </c>
      <c r="BT57" s="38" t="n">
        <f aca="false">MAX(0,MIN(BR57*(1+INDEX(Response_Table!$N$4:$N$21,MATCH($F57&amp;"|low",Response_Table!$A$4:$A$21,0))*$R57*INDEX(Parameters!$X$14:$AA$14,1,MATCH($E57,Parameters!$X$3:$AA$3,0))),BR57*(1+INDEX(Response_Table!$N$4:$N$21,MATCH($F57&amp;"|high",Response_Table!$A$4:$A$21,0))*$R57*INDEX(Parameters!$X$14:$AA$14,1,MATCH($E57,Parameters!$X$3:$AA$3,0))))*(1-Inputs_General!$C$22*Parameters!$F$14))</f>
        <v>7.5975</v>
      </c>
      <c r="BU57" s="38" t="n">
        <f aca="false">MAX(BR57*(1+INDEX(Response_Table!$N$4:$N$21,MATCH($F57&amp;"|low",Response_Table!$A$4:$A$21,0))*$R57*INDEX(Parameters!$X$14:$AA$14,1,MATCH($E57,Parameters!$X$3:$AA$3,0))),BR57*(1+INDEX(Response_Table!$N$4:$N$21,MATCH($F57&amp;"|high",Response_Table!$A$4:$A$21,0))*$R57*INDEX(Parameters!$X$14:$AA$14,1,MATCH($E57,Parameters!$X$3:$AA$3,0))))*(1+Inputs_General!$C$22*Parameters!$F$14)</f>
        <v>22.4025</v>
      </c>
      <c r="BV57" s="39" t="n">
        <f aca="false">IF(BR57=0,0,BS57/BR57-1)</f>
        <v>0</v>
      </c>
      <c r="BW57" s="37" t="n">
        <f aca="false">Parameters!$E$15*IF($N57="V",Parameters!$I$15,IF($N57="F",Parameters!$J$15,Parameters!$K$15))*(1-Parameters!$L$15*$P57)*IF($D57="V1",Parameters!$M$15,IF($D57="V2",Parameters!$N$15,Parameters!$O$15))</f>
        <v>9.98607142857143</v>
      </c>
      <c r="BX57" s="37" t="n">
        <f aca="false">BW57*(1+INDEX(Response_Table!$O$4:$O$21,MATCH($F57&amp;"|mid",Response_Table!$A$4:$A$21,0))*$R57*INDEX(Parameters!$X$15:$AA$15,1,MATCH($E57,Parameters!$X$3:$AA$3,0)))</f>
        <v>9.98607142857143</v>
      </c>
      <c r="BY57" s="37" t="n">
        <f aca="false">MAX(0,MIN(BW57*(1+INDEX(Response_Table!$O$4:$O$21,MATCH($F57&amp;"|low",Response_Table!$A$4:$A$21,0))*$R57*INDEX(Parameters!$X$15:$AA$15,1,MATCH($E57,Parameters!$X$3:$AA$3,0))),BW57*(1+INDEX(Response_Table!$O$4:$O$21,MATCH($F57&amp;"|high",Response_Table!$A$4:$A$21,0))*$R57*INDEX(Parameters!$X$15:$AA$15,1,MATCH($E57,Parameters!$X$3:$AA$3,0))))*(1-Inputs_General!$C$22*Parameters!$F$15))</f>
        <v>8.01482092857143</v>
      </c>
      <c r="BZ57" s="37" t="n">
        <f aca="false">MAX(BW57*(1+INDEX(Response_Table!$O$4:$O$21,MATCH($F57&amp;"|low",Response_Table!$A$4:$A$21,0))*$R57*INDEX(Parameters!$X$15:$AA$15,1,MATCH($E57,Parameters!$X$3:$AA$3,0))),BW57*(1+INDEX(Response_Table!$O$4:$O$21,MATCH($F57&amp;"|high",Response_Table!$A$4:$A$21,0))*$R57*INDEX(Parameters!$X$15:$AA$15,1,MATCH($E57,Parameters!$X$3:$AA$3,0))))*(1+Inputs_General!$C$22*Parameters!$F$15)</f>
        <v>11.9573219285714</v>
      </c>
      <c r="CA57" s="39" t="n">
        <f aca="false">IF(BW57=0,0,BX57/BW57-1)</f>
        <v>0</v>
      </c>
      <c r="CB57" s="40" t="n">
        <f aca="false">BD57+BI57</f>
        <v>1.74856110714286</v>
      </c>
      <c r="CC57" s="37" t="n">
        <f aca="false">BD57/BI57</f>
        <v>2.77777777777778</v>
      </c>
      <c r="CD57" s="40" t="n">
        <f aca="false">BN57/CB57</f>
        <v>0.176593658814694</v>
      </c>
      <c r="CE57" s="37" t="n">
        <f aca="false">AE57/AO57</f>
        <v>3.93954028899685</v>
      </c>
      <c r="CF57" s="38" t="n">
        <f aca="false">AE57/AJ57</f>
        <v>47.4064362581634</v>
      </c>
      <c r="CG57" s="38" t="n">
        <f aca="false">INDEX(Context!$V$4:$V$51,$K57)</f>
        <v>25.5785714285714</v>
      </c>
      <c r="CH57" s="38" t="n">
        <f aca="false">INDEX(Context!$Y$4:$Y$51,$K57)</f>
        <v>23.620522619794</v>
      </c>
      <c r="CI57" s="38" t="n">
        <f aca="false">INDEX(Context!$Z$4:$Z$51,$K57)</f>
        <v>29.5785714285714</v>
      </c>
      <c r="CJ57" s="37" t="n">
        <f aca="false">INDEX(Context!$AA$4:$AA$51,$K57)</f>
        <v>0.201160714285714</v>
      </c>
      <c r="CK57" s="37" t="n">
        <f aca="false">MAX(0,MIN(1,1-(1-CJ57)*AO57/AN57))</f>
        <v>0.201160714285714</v>
      </c>
      <c r="CL57" s="38" t="n">
        <f aca="false">CH57+CK57*(CI57-CH57)</f>
        <v>24.8190479739168</v>
      </c>
      <c r="CM57" s="38" t="n">
        <f aca="false">CH57+MAX(0,MIN(1,1-(1-CJ57)*AQ57/AN57))*(CI57-CH57)</f>
        <v>23.620522619794</v>
      </c>
      <c r="CN57" s="38" t="n">
        <f aca="false">CH57+MAX(0,MIN(1,1-(1-CJ57)*AP57/AN57))*(CI57-CH57)</f>
        <v>26.2283428688401</v>
      </c>
      <c r="CO57" s="38" t="n">
        <f aca="false">CL57-CG57</f>
        <v>-0.759523454654609</v>
      </c>
      <c r="CP57" s="38" t="n">
        <f aca="false">CL57-(CH57+CJ57*(CI57-CH57))</f>
        <v>0</v>
      </c>
      <c r="CQ57" s="40" t="n">
        <f aca="false">CL57/CG57</f>
        <v>0.970306259801272</v>
      </c>
      <c r="CR57" s="37" t="n">
        <f aca="false">IF(CL57-CH57&lt;=0,"n/a",(CI57-CL57)/(CL57-CH57))</f>
        <v>3.97114957834</v>
      </c>
      <c r="CS57" s="37" t="n">
        <f aca="false">IF(CI57-CL57&lt;=0,"n/a",(CL57-CH57)/(CI57-CL57))</f>
        <v>0.251816251257405</v>
      </c>
      <c r="CT57" s="37" t="n">
        <f aca="false">Inputs_General!$C$23+Inputs_General!$C$24*$I57</f>
        <v>0.6</v>
      </c>
      <c r="CU57" s="38" t="n">
        <f aca="false">3.29*CT57</f>
        <v>1.974</v>
      </c>
    </row>
    <row r="58" customFormat="false" ht="15" hidden="false" customHeight="false" outlineLevel="0" collapsed="false">
      <c r="A58" s="9" t="str">
        <f aca="false">B58&amp;"|"&amp;E58&amp;"|"&amp;F58</f>
        <v>D1V3|24/02/2026|Very low</v>
      </c>
      <c r="B58" s="7" t="s">
        <v>345</v>
      </c>
      <c r="C58" s="9" t="s">
        <v>127</v>
      </c>
      <c r="D58" s="9" t="s">
        <v>150</v>
      </c>
      <c r="E58" s="9" t="s">
        <v>160</v>
      </c>
      <c r="F58" s="7" t="s">
        <v>277</v>
      </c>
      <c r="G58" s="9" t="s">
        <v>278</v>
      </c>
      <c r="H58" s="41" t="n">
        <f aca="false">INDEX(Severity_Classes!$C$4:$C$9,MATCH(F58,Severity_Classes!$A$4:$A$9,0))</f>
        <v>0.01</v>
      </c>
      <c r="I58" s="41" t="n">
        <f aca="false">INDEX(Severity_Classes!$D$4:$D$9,MATCH(F58,Severity_Classes!$A$4:$A$9,0))</f>
        <v>0.03</v>
      </c>
      <c r="J58" s="41" t="n">
        <f aca="false">INDEX(Severity_Classes!$E$4:$E$9,MATCH(F58,Severity_Classes!$A$4:$A$9,0))</f>
        <v>0.05</v>
      </c>
      <c r="K58" s="42" t="n">
        <f aca="false">MATCH(B58&amp;"|"&amp;E58,Context!$A$4:$A$51,0)</f>
        <v>10</v>
      </c>
      <c r="L58" s="42" t="n">
        <f aca="false">INDEX(Context!$H$4:$H$51,K58)</f>
        <v>77</v>
      </c>
      <c r="M58" s="42" t="n">
        <f aca="false">INDEX(Context!$I$4:$I$51,K58)</f>
        <v>19</v>
      </c>
      <c r="N58" s="9" t="str">
        <f aca="false">INDEX(Context!$L$4:$L$51,K58)</f>
        <v>F</v>
      </c>
      <c r="O58" s="9" t="str">
        <f aca="false">INDEX(Context!$M$4:$M$51,K58)</f>
        <v>5th fully expanded leaf from top</v>
      </c>
      <c r="P58" s="43" t="n">
        <f aca="false">INDEX(Context!$R$4:$R$51,K58)</f>
        <v>0.0232142857142859</v>
      </c>
      <c r="Q58" s="43" t="n">
        <f aca="false">INDEX(Context!$U$4:$U$51,K58)</f>
        <v>1.19492600027053</v>
      </c>
      <c r="R58" s="43" t="n">
        <f aca="false">INDEX(Context!$AD$4:$AD$51,K58)</f>
        <v>0.85</v>
      </c>
      <c r="S58" s="9" t="str">
        <f aca="false">INDEX(Context!$AI$4:$AN$51,K58,MATCH(F58,Severity_Classes!$A$4:$A$9,0))</f>
        <v>Likely</v>
      </c>
      <c r="T58" s="44" t="n">
        <f aca="false">Parameters!$E$4*IF($N58="V",Parameters!$I$4,IF($N58="F",Parameters!$J$4,Parameters!$K$4))*(1-Parameters!$L$4*$P58)*IF($D58="V1",Parameters!$M$4,IF($D58="V2",Parameters!$N$4,Parameters!$O$4))</f>
        <v>85.0411767857143</v>
      </c>
      <c r="U58" s="44" t="n">
        <f aca="false">MIN(100,T58*(1+INDEX(Response_Table!$E$4:$E$21,MATCH($F58&amp;"|mid",Response_Table!$A$4:$A$21,0))*$R58*INDEX(Parameters!$X$4:$AA$4,1,MATCH($E58,Parameters!$X$3:$AA$3,0))))</f>
        <v>84.7295316593488</v>
      </c>
      <c r="V58" s="44" t="n">
        <f aca="false">MAX(0,MIN(T58*(1+INDEX(Response_Table!$E$4:$E$21,MATCH($F58&amp;"|low",Response_Table!$A$4:$A$21,0))*$R58*INDEX(Parameters!$X$4:$AA$4,1,MATCH($E58,Parameters!$X$3:$AA$3,0))),T58*(1+INDEX(Response_Table!$E$4:$E$21,MATCH($F58&amp;"|high",Response_Table!$A$4:$A$21,0))*$R58*INDEX(Parameters!$X$4:$AA$4,1,MATCH($E58,Parameters!$X$3:$AA$3,0))))*(1-Inputs_General!$C$22*Parameters!$F$4))</f>
        <v>78.9217951403007</v>
      </c>
      <c r="W58" s="44" t="n">
        <f aca="false">MIN(100,MAX(T58*(1+INDEX(Response_Table!$E$4:$E$21,MATCH($F58&amp;"|low",Response_Table!$A$4:$A$21,0))*$R58*INDEX(Parameters!$X$4:$AA$4,1,MATCH($E58,Parameters!$X$3:$AA$3,0))),T58*(1+INDEX(Response_Table!$E$4:$E$21,MATCH($F58&amp;"|high",Response_Table!$A$4:$A$21,0))*$R58*INDEX(Parameters!$X$4:$AA$4,1,MATCH($E58,Parameters!$X$3:$AA$3,0))))*(1+Inputs_General!$C$22*Parameters!$F$4))</f>
        <v>90.5342330769005</v>
      </c>
      <c r="X58" s="45" t="n">
        <f aca="false">IF(T58=0,0,U58/T58-1)</f>
        <v>-0.00366463798061933</v>
      </c>
      <c r="Y58" s="44" t="n">
        <f aca="false">Parameters!$E$5*IF($N58="V",Parameters!$I$5,IF($N58="F",Parameters!$J$5,Parameters!$K$5))*(1-Parameters!$L$5*$P58)*IF($D58="V1",Parameters!$M$5,IF($D58="V2",Parameters!$N$5,Parameters!$O$5))</f>
        <v>70.36344</v>
      </c>
      <c r="Z58" s="44" t="n">
        <f aca="false">MIN(100,Y58*(1+INDEX(Response_Table!$F$4:$F$21,MATCH($F58&amp;"|mid",Response_Table!$A$4:$A$21,0))*$R58*INDEX(Parameters!$X$5:$AA$5,1,MATCH($E58,Parameters!$X$3:$AA$3,0))))</f>
        <v>69.5403052903351</v>
      </c>
      <c r="AA58" s="44" t="n">
        <f aca="false">MAX(0,MIN(Y58*(1+INDEX(Response_Table!$F$4:$F$21,MATCH($F58&amp;"|low",Response_Table!$A$4:$A$21,0))*$R58*INDEX(Parameters!$X$5:$AA$5,1,MATCH($E58,Parameters!$X$3:$AA$3,0))),Y58*(1+INDEX(Response_Table!$F$4:$F$21,MATCH($F58&amp;"|high",Response_Table!$A$4:$A$21,0))*$R58*INDEX(Parameters!$X$5:$AA$5,1,MATCH($E58,Parameters!$X$3:$AA$3,0))))*(1-Inputs_General!$C$22*Parameters!$F$5))</f>
        <v>60.9328625752649</v>
      </c>
      <c r="AB58" s="44" t="n">
        <f aca="false">MIN(100,MAX(Y58*(1+INDEX(Response_Table!$F$4:$F$21,MATCH($F58&amp;"|low",Response_Table!$A$4:$A$21,0))*$R58*INDEX(Parameters!$X$5:$AA$5,1,MATCH($E58,Parameters!$X$3:$AA$3,0))),Y58*(1+INDEX(Response_Table!$F$4:$F$21,MATCH($F58&amp;"|high",Response_Table!$A$4:$A$21,0))*$R58*INDEX(Parameters!$X$5:$AA$5,1,MATCH($E58,Parameters!$X$3:$AA$3,0))))*(1+Inputs_General!$C$22*Parameters!$F$5))</f>
        <v>78.1860077272902</v>
      </c>
      <c r="AC58" s="45" t="n">
        <f aca="false">IF(Y58=0,0,Z58/Y58-1)</f>
        <v>-0.0116983295538827</v>
      </c>
      <c r="AD58" s="44" t="n">
        <f aca="false">Parameters!$E$6*IF($N58="V",Parameters!$I$6,IF($N58="F",Parameters!$J$6,Parameters!$K$6))*(1-Parameters!$L$6*$P58)*IF($D58="V1",Parameters!$M$6,IF($D58="V2",Parameters!$N$6,Parameters!$O$6))</f>
        <v>19.5154835714286</v>
      </c>
      <c r="AE58" s="44" t="n">
        <f aca="false">AD58*(1+INDEX(Response_Table!$G$4:$G$21,MATCH($F58&amp;"|mid",Response_Table!$A$4:$A$21,0))*$R58*INDEX(Parameters!$X$6:$AA$6,1,MATCH($E58,Parameters!$X$3:$AA$3,0)))</f>
        <v>17.9770269560739</v>
      </c>
      <c r="AF58" s="44" t="n">
        <f aca="false">MAX(0,MIN(AD58*(1+INDEX(Response_Table!$G$4:$G$21,MATCH($F58&amp;"|low",Response_Table!$A$4:$A$21,0))*$R58*INDEX(Parameters!$X$6:$AA$6,1,MATCH($E58,Parameters!$X$3:$AA$3,0))),AD58*(1+INDEX(Response_Table!$G$4:$G$21,MATCH($F58&amp;"|high",Response_Table!$A$4:$A$21,0))*$R58*INDEX(Parameters!$X$6:$AA$6,1,MATCH($E58,Parameters!$X$3:$AA$3,0))))*(1-Inputs_General!$C$22*Parameters!$F$6))</f>
        <v>13.6912292184109</v>
      </c>
      <c r="AG58" s="44" t="n">
        <f aca="false">MAX(AD58*(1+INDEX(Response_Table!$G$4:$G$21,MATCH($F58&amp;"|low",Response_Table!$A$4:$A$21,0))*$R58*INDEX(Parameters!$X$6:$AA$6,1,MATCH($E58,Parameters!$X$3:$AA$3,0))),AD58*(1+INDEX(Response_Table!$G$4:$G$21,MATCH($F58&amp;"|high",Response_Table!$A$4:$A$21,0))*$R58*INDEX(Parameters!$X$6:$AA$6,1,MATCH($E58,Parameters!$X$3:$AA$3,0))))*(1+Inputs_General!$C$22*Parameters!$F$6)</f>
        <v>22.7265832182165</v>
      </c>
      <c r="AH58" s="45" t="n">
        <f aca="false">IF(AD58=0,0,AE58/AD58-1)</f>
        <v>-0.0788326156368996</v>
      </c>
      <c r="AI58" s="46" t="n">
        <f aca="false">Parameters!$E$7*IF($N58="V",Parameters!$I$7,IF($N58="F",Parameters!$J$7,Parameters!$K$7))*(1-Parameters!$L$7*$P58)*IF($D58="V1",Parameters!$M$7,IF($D58="V2",Parameters!$N$7,Parameters!$O$7))*POWER($Q58/Inputs_General!$C$26,-Inputs_General!$C$25)</f>
        <v>0.411663164578586</v>
      </c>
      <c r="AJ58" s="46" t="n">
        <f aca="false">AI58*(1+INDEX(Response_Table!$H$4:$H$21,MATCH($F58&amp;"|mid",Response_Table!$A$4:$A$21,0))*$R58*INDEX(Parameters!$X$7:$AA$7,1,MATCH($E58,Parameters!$X$3:$AA$3,0)))</f>
        <v>0.392087337823454</v>
      </c>
      <c r="AK58" s="46" t="n">
        <f aca="false">MAX(0,MIN(AI58*(1+INDEX(Response_Table!$H$4:$H$21,MATCH($F58&amp;"|low",Response_Table!$A$4:$A$21,0))*$R58*INDEX(Parameters!$X$7:$AA$7,1,MATCH($E58,Parameters!$X$3:$AA$3,0))),AI58*(1+INDEX(Response_Table!$H$4:$H$21,MATCH($F58&amp;"|high",Response_Table!$A$4:$A$21,0))*$R58*INDEX(Parameters!$X$7:$AA$7,1,MATCH($E58,Parameters!$X$3:$AA$3,0))))*(1-Inputs_General!$C$22*Parameters!$F$7))</f>
        <v>0.267469360572075</v>
      </c>
      <c r="AL58" s="46" t="n">
        <f aca="false">MAX(AI58*(1+INDEX(Response_Table!$H$4:$H$21,MATCH($F58&amp;"|low",Response_Table!$A$4:$A$21,0))*$R58*INDEX(Parameters!$X$7:$AA$7,1,MATCH($E58,Parameters!$X$3:$AA$3,0))),AI58*(1+INDEX(Response_Table!$H$4:$H$21,MATCH($F58&amp;"|high",Response_Table!$A$4:$A$21,0))*$R58*INDEX(Parameters!$X$7:$AA$7,1,MATCH($E58,Parameters!$X$3:$AA$3,0))))*(1+Inputs_General!$C$22*Parameters!$F$7)</f>
        <v>0.524844265358805</v>
      </c>
      <c r="AM58" s="45" t="n">
        <f aca="false">IF(AI58=0,0,AJ58/AI58-1)</f>
        <v>-0.0475530201376464</v>
      </c>
      <c r="AN58" s="43" t="n">
        <f aca="false">AI58*$Q58/Inputs_General!$C$13*1000</f>
        <v>4.95374641196979</v>
      </c>
      <c r="AO58" s="43" t="n">
        <f aca="false">AJ58*$Q58/Inputs_General!$C$13*1000*(1+Inputs_General!$C$21*$I58)</f>
        <v>4.75356716515273</v>
      </c>
      <c r="AP58" s="43" t="n">
        <f aca="false">AK58*$Q58/Inputs_General!$C$13*1000*(1+Inputs_General!$C$21*$H58)</f>
        <v>3.22663754739542</v>
      </c>
      <c r="AQ58" s="43" t="n">
        <f aca="false">AL58*$Q58/Inputs_General!$C$13*1000*(1+Inputs_General!$C$21*$J58)</f>
        <v>6.39465694365306</v>
      </c>
      <c r="AR58" s="45" t="n">
        <f aca="false">IF(AN58=0,0,AO58/AN58-1)</f>
        <v>-0.0404096677886785</v>
      </c>
      <c r="AS58" s="42" t="n">
        <f aca="false">Parameters!$E$9*IF($N58="V",Parameters!$I$9,IF($N58="F",Parameters!$J$9,Parameters!$K$9))*(1-Parameters!$L$9*$P58)*IF($D58="V1",Parameters!$M$9,IF($D58="V2",Parameters!$N$9,Parameters!$O$9))</f>
        <v>285</v>
      </c>
      <c r="AT58" s="42" t="n">
        <f aca="false">AS58*(1+INDEX(Response_Table!$I$4:$I$21,MATCH($F58&amp;"|mid",Response_Table!$A$4:$A$21,0))*$R58*INDEX(Parameters!$X$9:$AA$9,1,MATCH($E58,Parameters!$X$3:$AA$3,0)))</f>
        <v>293.218057261581</v>
      </c>
      <c r="AU58" s="42" t="n">
        <f aca="false">MAX(0,MIN(AS58*(1+INDEX(Response_Table!$I$4:$I$21,MATCH($F58&amp;"|low",Response_Table!$A$4:$A$21,0))*$R58*INDEX(Parameters!$X$9:$AA$9,1,MATCH($E58,Parameters!$X$3:$AA$3,0))),AS58*(1+INDEX(Response_Table!$I$4:$I$21,MATCH($F58&amp;"|high",Response_Table!$A$4:$A$21,0))*$R58*INDEX(Parameters!$X$9:$AA$9,1,MATCH($E58,Parameters!$X$3:$AA$3,0))))*(1-Inputs_General!$C$22*Parameters!$F$9))</f>
        <v>259.438869274407</v>
      </c>
      <c r="AV58" s="42" t="n">
        <f aca="false">MAX(AS58*(1+INDEX(Response_Table!$I$4:$I$21,MATCH($F58&amp;"|low",Response_Table!$A$4:$A$21,0))*$R58*INDEX(Parameters!$X$9:$AA$9,1,MATCH($E58,Parameters!$X$3:$AA$3,0))),AS58*(1+INDEX(Response_Table!$I$4:$I$21,MATCH($F58&amp;"|high",Response_Table!$A$4:$A$21,0))*$R58*INDEX(Parameters!$X$9:$AA$9,1,MATCH($E58,Parameters!$X$3:$AA$3,0))))*(1+Inputs_General!$C$22*Parameters!$F$9)</f>
        <v>327.603490906787</v>
      </c>
      <c r="AW58" s="45" t="n">
        <f aca="false">IF(AS58=0,0,AT58/AS58-1)</f>
        <v>0.0288352886371248</v>
      </c>
      <c r="AX58" s="43" t="n">
        <f aca="false">INDEX(Context!$AB$4:$AB$51,$K58)</f>
        <v>3.24945780185873</v>
      </c>
      <c r="AY58" s="43" t="n">
        <f aca="false">AX58*(1+INDEX(Response_Table!$J$4:$J$21,MATCH($F58&amp;"|mid",Response_Table!$A$4:$A$21,0))*$R58*INDEX(Parameters!$X$10:$AA$10,1,MATCH($E58,Parameters!$X$3:$AA$3,0)))</f>
        <v>3.1596489086363</v>
      </c>
      <c r="AZ58" s="43" t="n">
        <f aca="false">MAX(0,MIN(AX58*(1+INDEX(Response_Table!$J$4:$J$21,MATCH($F58&amp;"|low",Response_Table!$A$4:$A$21,0))*$R58*INDEX(Parameters!$X$10:$AA$10,1,MATCH($E58,Parameters!$X$3:$AA$3,0))),AX58*(1+INDEX(Response_Table!$J$4:$J$21,MATCH($F58&amp;"|high",Response_Table!$A$4:$A$21,0))*$R58*INDEX(Parameters!$X$10:$AA$10,1,MATCH($E58,Parameters!$X$3:$AA$3,0))))*(1-Inputs_General!$C$22*Parameters!$F$10))</f>
        <v>2.49079777530109</v>
      </c>
      <c r="BA58" s="43" t="n">
        <f aca="false">MAX(AX58*(1+INDEX(Response_Table!$J$4:$J$21,MATCH($F58&amp;"|low",Response_Table!$A$4:$A$21,0))*$R58*INDEX(Parameters!$X$10:$AA$10,1,MATCH($E58,Parameters!$X$3:$AA$3,0))),AX58*(1+INDEX(Response_Table!$J$4:$J$21,MATCH($F58&amp;"|high",Response_Table!$A$4:$A$21,0))*$R58*INDEX(Parameters!$X$10:$AA$10,1,MATCH($E58,Parameters!$X$3:$AA$3,0))))*(1+Inputs_General!$C$22*Parameters!$F$10)</f>
        <v>3.85415526594739</v>
      </c>
      <c r="BB58" s="45" t="n">
        <f aca="false">IF(AX58=0,0,AY58/AX58-1)</f>
        <v>-0.0276381164793285</v>
      </c>
      <c r="BC58" s="46" t="n">
        <f aca="false">Parameters!$E$11*IF($N58="V",Parameters!$I$11,IF($N58="F",Parameters!$J$11,Parameters!$K$11))*(1-Parameters!$L$11*$P58)*IF($D58="V1",Parameters!$M$11,IF($D58="V2",Parameters!$N$11,Parameters!$O$11))</f>
        <v>1.28570669642857</v>
      </c>
      <c r="BD58" s="46" t="n">
        <f aca="false">BC58*(1+INDEX(Response_Table!$K$4:$K$21,MATCH($F58&amp;"|mid",Response_Table!$A$4:$A$21,0))*$R58*INDEX(Parameters!$X$11:$AA$11,1,MATCH($E58,Parameters!$X$3:$AA$3,0)))</f>
        <v>1.22068384023226</v>
      </c>
      <c r="BE58" s="46" t="n">
        <f aca="false">MAX(0,MIN(BC58*(1+INDEX(Response_Table!$K$4:$K$21,MATCH($F58&amp;"|low",Response_Table!$A$4:$A$21,0))*$R58*INDEX(Parameters!$X$11:$AA$11,1,MATCH($E58,Parameters!$X$3:$AA$3,0))),BC58*(1+INDEX(Response_Table!$K$4:$K$21,MATCH($F58&amp;"|high",Response_Table!$A$4:$A$21,0))*$R58*INDEX(Parameters!$X$11:$AA$11,1,MATCH($E58,Parameters!$X$3:$AA$3,0))))*(1-Inputs_General!$C$22*Parameters!$F$11))</f>
        <v>0.986455299949936</v>
      </c>
      <c r="BF58" s="46" t="n">
        <f aca="false">MAX(BC58*(1+INDEX(Response_Table!$K$4:$K$21,MATCH($F58&amp;"|low",Response_Table!$A$4:$A$21,0))*$R58*INDEX(Parameters!$X$11:$AA$11,1,MATCH($E58,Parameters!$X$3:$AA$3,0))),BC58*(1+INDEX(Response_Table!$K$4:$K$21,MATCH($F58&amp;"|high",Response_Table!$A$4:$A$21,0))*$R58*INDEX(Parameters!$X$11:$AA$11,1,MATCH($E58,Parameters!$X$3:$AA$3,0))))*(1+Inputs_General!$C$22*Parameters!$F$11)</f>
        <v>1.47115390341107</v>
      </c>
      <c r="BG58" s="45" t="n">
        <f aca="false">IF(BC58=0,0,BD58/BC58-1)</f>
        <v>-0.0505736311220399</v>
      </c>
      <c r="BH58" s="46" t="n">
        <f aca="false">Parameters!$E$12*IF($N58="V",Parameters!$I$12,IF($N58="F",Parameters!$J$12,Parameters!$K$12))*(1-Parameters!$L$12*$P58)*IF($D58="V1",Parameters!$M$12,IF($D58="V2",Parameters!$N$12,Parameters!$O$12))</f>
        <v>0.462854410714286</v>
      </c>
      <c r="BI58" s="46" t="n">
        <f aca="false">BH58*(1+INDEX(Response_Table!$L$4:$L$21,MATCH($F58&amp;"|mid",Response_Table!$A$4:$A$21,0))*$R58*INDEX(Parameters!$X$12:$AA$12,1,MATCH($E58,Parameters!$X$3:$AA$3,0)))</f>
        <v>0.444230458695175</v>
      </c>
      <c r="BJ58" s="46" t="n">
        <f aca="false">MAX(0,MIN(BH58*(1+INDEX(Response_Table!$L$4:$L$21,MATCH($F58&amp;"|low",Response_Table!$A$4:$A$21,0))*$R58*INDEX(Parameters!$X$12:$AA$12,1,MATCH($E58,Parameters!$X$3:$AA$3,0))),BH58*(1+INDEX(Response_Table!$L$4:$L$21,MATCH($F58&amp;"|high",Response_Table!$A$4:$A$21,0))*$R58*INDEX(Parameters!$X$12:$AA$12,1,MATCH($E58,Parameters!$X$3:$AA$3,0))))*(1-Inputs_General!$C$22*Parameters!$F$12))</f>
        <v>0.347296083530544</v>
      </c>
      <c r="BK58" s="46" t="n">
        <f aca="false">MAX(BH58*(1+INDEX(Response_Table!$L$4:$L$21,MATCH($F58&amp;"|low",Response_Table!$A$4:$A$21,0))*$R58*INDEX(Parameters!$X$12:$AA$12,1,MATCH($E58,Parameters!$X$3:$AA$3,0))),BH58*(1+INDEX(Response_Table!$L$4:$L$21,MATCH($F58&amp;"|high",Response_Table!$A$4:$A$21,0))*$R58*INDEX(Parameters!$X$12:$AA$12,1,MATCH($E58,Parameters!$X$3:$AA$3,0))))*(1+Inputs_General!$C$22*Parameters!$F$12)</f>
        <v>0.546564346817358</v>
      </c>
      <c r="BL58" s="45" t="n">
        <f aca="false">IF(BH58=0,0,BI58/BH58-1)</f>
        <v>-0.0402371708857008</v>
      </c>
      <c r="BM58" s="46" t="n">
        <f aca="false">Parameters!$E$13*IF($N58="V",Parameters!$I$13,IF($N58="F",Parameters!$J$13,Parameters!$K$13))*(1-Parameters!$L$13*$P58)*IF($D58="V1",Parameters!$M$13,IF($D58="V2",Parameters!$N$13,Parameters!$O$13))</f>
        <v>0.308784803571429</v>
      </c>
      <c r="BN58" s="46" t="n">
        <f aca="false">BM58*(1+INDEX(Response_Table!$M$4:$M$21,MATCH($F58&amp;"|mid",Response_Table!$A$4:$A$21,0))*$R58*INDEX(Parameters!$X$13:$AA$13,1,MATCH($E58,Parameters!$X$3:$AA$3,0)))</f>
        <v>0.315605025247099</v>
      </c>
      <c r="BO58" s="46" t="n">
        <f aca="false">MAX(0,MIN(BM58*(1+INDEX(Response_Table!$M$4:$M$21,MATCH($F58&amp;"|low",Response_Table!$A$4:$A$21,0))*$R58*INDEX(Parameters!$X$13:$AA$13,1,MATCH($E58,Parameters!$X$3:$AA$3,0))),BM58*(1+INDEX(Response_Table!$M$4:$M$21,MATCH($F58&amp;"|high",Response_Table!$A$4:$A$21,0))*$R58*INDEX(Parameters!$X$13:$AA$13,1,MATCH($E58,Parameters!$X$3:$AA$3,0))))*(1-Inputs_General!$C$22*Parameters!$F$13))</f>
        <v>0.250521655635072</v>
      </c>
      <c r="BP58" s="46" t="n">
        <f aca="false">MAX(BM58*(1+INDEX(Response_Table!$M$4:$M$21,MATCH($F58&amp;"|low",Response_Table!$A$4:$A$21,0))*$R58*INDEX(Parameters!$X$13:$AA$13,1,MATCH($E58,Parameters!$X$3:$AA$3,0))),BM58*(1+INDEX(Response_Table!$M$4:$M$21,MATCH($F58&amp;"|high",Response_Table!$A$4:$A$21,0))*$R58*INDEX(Parameters!$X$13:$AA$13,1,MATCH($E58,Parameters!$X$3:$AA$3,0))))*(1+Inputs_General!$C$22*Parameters!$F$13)</f>
        <v>0.37813619981525</v>
      </c>
      <c r="BQ58" s="45" t="n">
        <f aca="false">IF(BM58=0,0,BN58/BM58-1)</f>
        <v>0.0220872970327148</v>
      </c>
      <c r="BR58" s="44" t="n">
        <f aca="false">Parameters!$E$14*IF($N58="V",Parameters!$I$14,IF($N58="F",Parameters!$J$14,Parameters!$K$14))*(1-Parameters!$L$14*$P58)*IF($D58="V1",Parameters!$M$14,IF($D58="V2",Parameters!$N$14,Parameters!$O$14))*INDEX(Context!$AC$4:$AC$51,$K58)</f>
        <v>15</v>
      </c>
      <c r="BS58" s="44" t="n">
        <f aca="false">BR58*(1+INDEX(Response_Table!$N$4:$N$21,MATCH($F58&amp;"|mid",Response_Table!$A$4:$A$21,0))*$R58*INDEX(Parameters!$X$14:$AA$14,1,MATCH($E58,Parameters!$X$3:$AA$3,0)))</f>
        <v>15.6584264326751</v>
      </c>
      <c r="BT58" s="44" t="n">
        <f aca="false">MAX(0,MIN(BR58*(1+INDEX(Response_Table!$N$4:$N$21,MATCH($F58&amp;"|low",Response_Table!$A$4:$A$21,0))*$R58*INDEX(Parameters!$X$14:$AA$14,1,MATCH($E58,Parameters!$X$3:$AA$3,0))),BR58*(1+INDEX(Response_Table!$N$4:$N$21,MATCH($F58&amp;"|high",Response_Table!$A$4:$A$21,0))*$R58*INDEX(Parameters!$X$14:$AA$14,1,MATCH($E58,Parameters!$X$3:$AA$3,0))))*(1-Inputs_General!$C$22*Parameters!$F$14))</f>
        <v>7.71201543002126</v>
      </c>
      <c r="BU58" s="44" t="n">
        <f aca="false">MAX(BR58*(1+INDEX(Response_Table!$N$4:$N$21,MATCH($F58&amp;"|low",Response_Table!$A$4:$A$21,0))*$R58*INDEX(Parameters!$X$14:$AA$14,1,MATCH($E58,Parameters!$X$3:$AA$3,0))),BR58*(1+INDEX(Response_Table!$N$4:$N$21,MATCH($F58&amp;"|high",Response_Table!$A$4:$A$21,0))*$R58*INDEX(Parameters!$X$14:$AA$14,1,MATCH($E58,Parameters!$X$3:$AA$3,0))))*(1+Inputs_General!$C$22*Parameters!$F$14)</f>
        <v>23.9939496746502</v>
      </c>
      <c r="BV58" s="45" t="n">
        <f aca="false">IF(BR58=0,0,BS58/BR58-1)</f>
        <v>0.0438950955116737</v>
      </c>
      <c r="BW58" s="43" t="n">
        <f aca="false">Parameters!$E$15*IF($N58="V",Parameters!$I$15,IF($N58="F",Parameters!$J$15,Parameters!$K$15))*(1-Parameters!$L$15*$P58)*IF($D58="V1",Parameters!$M$15,IF($D58="V2",Parameters!$N$15,Parameters!$O$15))</f>
        <v>9.98607142857143</v>
      </c>
      <c r="BX58" s="43" t="n">
        <f aca="false">BW58*(1+INDEX(Response_Table!$O$4:$O$21,MATCH($F58&amp;"|mid",Response_Table!$A$4:$A$21,0))*$R58*INDEX(Parameters!$X$15:$AA$15,1,MATCH($E58,Parameters!$X$3:$AA$3,0)))</f>
        <v>9.87648653878554</v>
      </c>
      <c r="BY58" s="43" t="n">
        <f aca="false">MAX(0,MIN(BW58*(1+INDEX(Response_Table!$O$4:$O$21,MATCH($F58&amp;"|low",Response_Table!$A$4:$A$21,0))*$R58*INDEX(Parameters!$X$15:$AA$15,1,MATCH($E58,Parameters!$X$3:$AA$3,0))),BW58*(1+INDEX(Response_Table!$O$4:$O$21,MATCH($F58&amp;"|high",Response_Table!$A$4:$A$21,0))*$R58*INDEX(Parameters!$X$15:$AA$15,1,MATCH($E58,Parameters!$X$3:$AA$3,0))))*(1-Inputs_General!$C$22*Parameters!$F$15))</f>
        <v>7.87247984879066</v>
      </c>
      <c r="BZ58" s="43" t="n">
        <f aca="false">MAX(BW58*(1+INDEX(Response_Table!$O$4:$O$21,MATCH($F58&amp;"|low",Response_Table!$A$4:$A$21,0))*$R58*INDEX(Parameters!$X$15:$AA$15,1,MATCH($E58,Parameters!$X$3:$AA$3,0))),BW58*(1+INDEX(Response_Table!$O$4:$O$21,MATCH($F58&amp;"|high",Response_Table!$A$4:$A$21,0))*$R58*INDEX(Parameters!$X$15:$AA$15,1,MATCH($E58,Parameters!$X$3:$AA$3,0))))*(1+Inputs_General!$C$22*Parameters!$F$15)</f>
        <v>11.9122644141735</v>
      </c>
      <c r="CA58" s="45" t="n">
        <f aca="false">IF(BW58=0,0,BX58/BW58-1)</f>
        <v>-0.0109737738779183</v>
      </c>
      <c r="CB58" s="46" t="n">
        <f aca="false">BD58+BI58</f>
        <v>1.66491429892743</v>
      </c>
      <c r="CC58" s="43" t="n">
        <f aca="false">BD58/BI58</f>
        <v>2.74786164779816</v>
      </c>
      <c r="CD58" s="46" t="n">
        <f aca="false">BN58/CB58</f>
        <v>0.189562324889886</v>
      </c>
      <c r="CE58" s="43" t="n">
        <f aca="false">AE58/AO58</f>
        <v>3.78179719177195</v>
      </c>
      <c r="CF58" s="44" t="n">
        <f aca="false">AE58/AJ58</f>
        <v>45.849547337763</v>
      </c>
      <c r="CG58" s="44" t="n">
        <f aca="false">INDEX(Context!$V$4:$V$51,$K58)</f>
        <v>25.5785714285714</v>
      </c>
      <c r="CH58" s="44" t="n">
        <f aca="false">INDEX(Context!$Y$4:$Y$51,$K58)</f>
        <v>23.620522619794</v>
      </c>
      <c r="CI58" s="44" t="n">
        <f aca="false">INDEX(Context!$Z$4:$Z$51,$K58)</f>
        <v>29.5785714285714</v>
      </c>
      <c r="CJ58" s="43" t="n">
        <f aca="false">INDEX(Context!$AA$4:$AA$51,$K58)</f>
        <v>0.201160714285714</v>
      </c>
      <c r="CK58" s="43" t="n">
        <f aca="false">MAX(0,MIN(1,1-(1-CJ58)*AO58/AN58))</f>
        <v>0.233441544437974</v>
      </c>
      <c r="CL58" s="44" t="n">
        <f aca="false">CH58+CK58*(CI58-CH58)</f>
        <v>25.0113787355518</v>
      </c>
      <c r="CM58" s="44" t="n">
        <f aca="false">CH58+MAX(0,MIN(1,1-(1-CJ58)*AQ58/AN58))*(CI58-CH58)</f>
        <v>23.620522619794</v>
      </c>
      <c r="CN58" s="44" t="n">
        <f aca="false">CH58+MAX(0,MIN(1,1-(1-CJ58)*AP58/AN58))*(CI58-CH58)</f>
        <v>26.4784415855521</v>
      </c>
      <c r="CO58" s="44" t="n">
        <f aca="false">CL58-CG58</f>
        <v>-0.567192693019592</v>
      </c>
      <c r="CP58" s="44" t="n">
        <f aca="false">CL58-(CH58+CJ58*(CI58-CH58))</f>
        <v>0.192330761635017</v>
      </c>
      <c r="CQ58" s="46" t="n">
        <f aca="false">CL58/CG58</f>
        <v>0.977825474162876</v>
      </c>
      <c r="CR58" s="43" t="n">
        <f aca="false">IF(CL58-CH58&lt;=0,"n/a",(CI58-CL58)/(CL58-CH58))</f>
        <v>3.28372765613579</v>
      </c>
      <c r="CS58" s="43" t="n">
        <f aca="false">IF(CI58-CL58&lt;=0,"n/a",(CL58-CH58)/(CI58-CL58))</f>
        <v>0.304531954144083</v>
      </c>
      <c r="CT58" s="43" t="n">
        <f aca="false">Inputs_General!$C$23+Inputs_General!$C$24*$I58</f>
        <v>0.66</v>
      </c>
      <c r="CU58" s="44" t="n">
        <f aca="false">3.29*CT58</f>
        <v>2.1714</v>
      </c>
    </row>
    <row r="59" customFormat="false" ht="15" hidden="false" customHeight="false" outlineLevel="0" collapsed="false">
      <c r="A59" s="9" t="str">
        <f aca="false">B59&amp;"|"&amp;E59&amp;"|"&amp;F59</f>
        <v>D1V3|24/02/2026|Low</v>
      </c>
      <c r="B59" s="7" t="s">
        <v>345</v>
      </c>
      <c r="C59" s="9" t="s">
        <v>127</v>
      </c>
      <c r="D59" s="9" t="s">
        <v>150</v>
      </c>
      <c r="E59" s="9" t="s">
        <v>160</v>
      </c>
      <c r="F59" s="7" t="s">
        <v>279</v>
      </c>
      <c r="G59" s="9" t="s">
        <v>280</v>
      </c>
      <c r="H59" s="41" t="n">
        <f aca="false">INDEX(Severity_Classes!$C$4:$C$9,MATCH(F59,Severity_Classes!$A$4:$A$9,0))</f>
        <v>0.06</v>
      </c>
      <c r="I59" s="41" t="n">
        <f aca="false">INDEX(Severity_Classes!$D$4:$D$9,MATCH(F59,Severity_Classes!$A$4:$A$9,0))</f>
        <v>0.08</v>
      </c>
      <c r="J59" s="41" t="n">
        <f aca="false">INDEX(Severity_Classes!$E$4:$E$9,MATCH(F59,Severity_Classes!$A$4:$A$9,0))</f>
        <v>0.1</v>
      </c>
      <c r="K59" s="42" t="n">
        <f aca="false">MATCH(B59&amp;"|"&amp;E59,Context!$A$4:$A$51,0)</f>
        <v>10</v>
      </c>
      <c r="L59" s="42" t="n">
        <f aca="false">INDEX(Context!$H$4:$H$51,K59)</f>
        <v>77</v>
      </c>
      <c r="M59" s="42" t="n">
        <f aca="false">INDEX(Context!$I$4:$I$51,K59)</f>
        <v>19</v>
      </c>
      <c r="N59" s="9" t="str">
        <f aca="false">INDEX(Context!$L$4:$L$51,K59)</f>
        <v>F</v>
      </c>
      <c r="O59" s="9" t="str">
        <f aca="false">INDEX(Context!$M$4:$M$51,K59)</f>
        <v>5th fully expanded leaf from top</v>
      </c>
      <c r="P59" s="43" t="n">
        <f aca="false">INDEX(Context!$R$4:$R$51,K59)</f>
        <v>0.0232142857142859</v>
      </c>
      <c r="Q59" s="43" t="n">
        <f aca="false">INDEX(Context!$U$4:$U$51,K59)</f>
        <v>1.19492600027053</v>
      </c>
      <c r="R59" s="43" t="n">
        <f aca="false">INDEX(Context!$AD$4:$AD$51,K59)</f>
        <v>0.85</v>
      </c>
      <c r="S59" s="9" t="str">
        <f aca="false">INDEX(Context!$AI$4:$AN$51,K59,MATCH(F59,Severity_Classes!$A$4:$A$9,0))</f>
        <v>Likely</v>
      </c>
      <c r="T59" s="44" t="n">
        <f aca="false">Parameters!$E$4*IF($N59="V",Parameters!$I$4,IF($N59="F",Parameters!$J$4,Parameters!$K$4))*(1-Parameters!$L$4*$P59)*IF($D59="V1",Parameters!$M$4,IF($D59="V2",Parameters!$N$4,Parameters!$O$4))</f>
        <v>85.0411767857143</v>
      </c>
      <c r="U59" s="44" t="n">
        <f aca="false">MIN(100,T59*(1+INDEX(Response_Table!$E$4:$E$21,MATCH($F59&amp;"|mid",Response_Table!$A$4:$A$21,0))*$R59*INDEX(Parameters!$X$4:$AA$4,1,MATCH($E59,Parameters!$X$3:$AA$3,0))))</f>
        <v>84.0350689594913</v>
      </c>
      <c r="V59" s="44" t="n">
        <f aca="false">MAX(0,MIN(T59*(1+INDEX(Response_Table!$E$4:$E$21,MATCH($F59&amp;"|low",Response_Table!$A$4:$A$21,0))*$R59*INDEX(Parameters!$X$4:$AA$4,1,MATCH($E59,Parameters!$X$3:$AA$3,0))),T59*(1+INDEX(Response_Table!$E$4:$E$21,MATCH($F59&amp;"|high",Response_Table!$A$4:$A$21,0))*$R59*INDEX(Parameters!$X$4:$AA$4,1,MATCH($E59,Parameters!$X$3:$AA$3,0))))*(1-Inputs_General!$C$22*Parameters!$F$4))</f>
        <v>78.1771694762777</v>
      </c>
      <c r="W59" s="44" t="n">
        <f aca="false">MIN(100,MAX(T59*(1+INDEX(Response_Table!$E$4:$E$21,MATCH($F59&amp;"|low",Response_Table!$A$4:$A$21,0))*$R59*INDEX(Parameters!$X$4:$AA$4,1,MATCH($E59,Parameters!$X$3:$AA$3,0))),T59*(1+INDEX(Response_Table!$E$4:$E$21,MATCH($F59&amp;"|high",Response_Table!$A$4:$A$21,0))*$R59*INDEX(Parameters!$X$4:$AA$4,1,MATCH($E59,Parameters!$X$3:$AA$3,0))))*(1+Inputs_General!$C$22*Parameters!$F$4))</f>
        <v>89.8919895345113</v>
      </c>
      <c r="X59" s="45" t="n">
        <f aca="false">IF(T59=0,0,U59/T59-1)</f>
        <v>-0.0118308314189739</v>
      </c>
      <c r="Y59" s="44" t="n">
        <f aca="false">Parameters!$E$5*IF($N59="V",Parameters!$I$5,IF($N59="F",Parameters!$J$5,Parameters!$K$5))*(1-Parameters!$L$5*$P59)*IF($D59="V1",Parameters!$M$5,IF($D59="V2",Parameters!$N$5,Parameters!$O$5))</f>
        <v>70.36344</v>
      </c>
      <c r="Z59" s="44" t="n">
        <f aca="false">MIN(100,Y59*(1+INDEX(Response_Table!$F$4:$F$21,MATCH($F59&amp;"|mid",Response_Table!$A$4:$A$21,0))*$R59*INDEX(Parameters!$X$5:$AA$5,1,MATCH($E59,Parameters!$X$3:$AA$3,0))))</f>
        <v>67.6152727184844</v>
      </c>
      <c r="AA59" s="44" t="n">
        <f aca="false">MAX(0,MIN(Y59*(1+INDEX(Response_Table!$F$4:$F$21,MATCH($F59&amp;"|low",Response_Table!$A$4:$A$21,0))*$R59*INDEX(Parameters!$X$5:$AA$5,1,MATCH($E59,Parameters!$X$3:$AA$3,0))),Y59*(1+INDEX(Response_Table!$F$4:$F$21,MATCH($F59&amp;"|high",Response_Table!$A$4:$A$21,0))*$R59*INDEX(Parameters!$X$5:$AA$5,1,MATCH($E59,Parameters!$X$3:$AA$3,0))))*(1-Inputs_General!$C$22*Parameters!$F$5))</f>
        <v>58.9393455695493</v>
      </c>
      <c r="AB59" s="44" t="n">
        <f aca="false">MIN(100,MAX(Y59*(1+INDEX(Response_Table!$F$4:$F$21,MATCH($F59&amp;"|low",Response_Table!$A$4:$A$21,0))*$R59*INDEX(Parameters!$X$5:$AA$5,1,MATCH($E59,Parameters!$X$3:$AA$3,0))),Y59*(1+INDEX(Response_Table!$F$4:$F$21,MATCH($F59&amp;"|high",Response_Table!$A$4:$A$21,0))*$R59*INDEX(Parameters!$X$5:$AA$5,1,MATCH($E59,Parameters!$X$3:$AA$3,0))))*(1+Inputs_General!$C$22*Parameters!$F$5))</f>
        <v>76.3645763248285</v>
      </c>
      <c r="AC59" s="45" t="n">
        <f aca="false">IF(Y59=0,0,Z59/Y59-1)</f>
        <v>-0.0390567499473532</v>
      </c>
      <c r="AD59" s="44" t="n">
        <f aca="false">Parameters!$E$6*IF($N59="V",Parameters!$I$6,IF($N59="F",Parameters!$J$6,Parameters!$K$6))*(1-Parameters!$L$6*$P59)*IF($D59="V1",Parameters!$M$6,IF($D59="V2",Parameters!$N$6,Parameters!$O$6))</f>
        <v>19.5154835714286</v>
      </c>
      <c r="AE59" s="44" t="n">
        <f aca="false">AD59*(1+INDEX(Response_Table!$G$4:$G$21,MATCH($F59&amp;"|mid",Response_Table!$A$4:$A$21,0))*$R59*INDEX(Parameters!$X$6:$AA$6,1,MATCH($E59,Parameters!$X$3:$AA$3,0)))</f>
        <v>15.8239557320631</v>
      </c>
      <c r="AF59" s="44" t="n">
        <f aca="false">MAX(0,MIN(AD59*(1+INDEX(Response_Table!$G$4:$G$21,MATCH($F59&amp;"|low",Response_Table!$A$4:$A$21,0))*$R59*INDEX(Parameters!$X$6:$AA$6,1,MATCH($E59,Parameters!$X$3:$AA$3,0))),AD59*(1+INDEX(Response_Table!$G$4:$G$21,MATCH($F59&amp;"|high",Response_Table!$A$4:$A$21,0))*$R59*INDEX(Parameters!$X$6:$AA$6,1,MATCH($E59,Parameters!$X$3:$AA$3,0))))*(1-Inputs_General!$C$22*Parameters!$F$6))</f>
        <v>12.108744089194</v>
      </c>
      <c r="AG59" s="44" t="n">
        <f aca="false">MAX(AD59*(1+INDEX(Response_Table!$G$4:$G$21,MATCH($F59&amp;"|low",Response_Table!$A$4:$A$21,0))*$R59*INDEX(Parameters!$X$6:$AA$6,1,MATCH($E59,Parameters!$X$3:$AA$3,0))),AD59*(1+INDEX(Response_Table!$G$4:$G$21,MATCH($F59&amp;"|high",Response_Table!$A$4:$A$21,0))*$R59*INDEX(Parameters!$X$6:$AA$6,1,MATCH($E59,Parameters!$X$3:$AA$3,0))))*(1+Inputs_General!$C$22*Parameters!$F$6)</f>
        <v>19.9113423085424</v>
      </c>
      <c r="AH59" s="45" t="n">
        <f aca="false">IF(AD59=0,0,AE59/AD59-1)</f>
        <v>-0.189158922240083</v>
      </c>
      <c r="AI59" s="46" t="n">
        <f aca="false">Parameters!$E$7*IF($N59="V",Parameters!$I$7,IF($N59="F",Parameters!$J$7,Parameters!$K$7))*(1-Parameters!$L$7*$P59)*IF($D59="V1",Parameters!$M$7,IF($D59="V2",Parameters!$N$7,Parameters!$O$7))*POWER($Q59/Inputs_General!$C$26,-Inputs_General!$C$25)</f>
        <v>0.411663164578586</v>
      </c>
      <c r="AJ59" s="46" t="n">
        <f aca="false">AI59*(1+INDEX(Response_Table!$H$4:$H$21,MATCH($F59&amp;"|mid",Response_Table!$A$4:$A$21,0))*$R59*INDEX(Parameters!$X$7:$AA$7,1,MATCH($E59,Parameters!$X$3:$AA$3,0)))</f>
        <v>0.363132973483286</v>
      </c>
      <c r="AK59" s="46" t="n">
        <f aca="false">MAX(0,MIN(AI59*(1+INDEX(Response_Table!$H$4:$H$21,MATCH($F59&amp;"|low",Response_Table!$A$4:$A$21,0))*$R59*INDEX(Parameters!$X$7:$AA$7,1,MATCH($E59,Parameters!$X$3:$AA$3,0))),AI59*(1+INDEX(Response_Table!$H$4:$H$21,MATCH($F59&amp;"|high",Response_Table!$A$4:$A$21,0))*$R59*INDEX(Parameters!$X$7:$AA$7,1,MATCH($E59,Parameters!$X$3:$AA$3,0))))*(1-Inputs_General!$C$22*Parameters!$F$7))</f>
        <v>0.248275279218074</v>
      </c>
      <c r="AL59" s="46" t="n">
        <f aca="false">MAX(AI59*(1+INDEX(Response_Table!$H$4:$H$21,MATCH($F59&amp;"|low",Response_Table!$A$4:$A$21,0))*$R59*INDEX(Parameters!$X$7:$AA$7,1,MATCH($E59,Parameters!$X$3:$AA$3,0))),AI59*(1+INDEX(Response_Table!$H$4:$H$21,MATCH($F59&amp;"|high",Response_Table!$A$4:$A$21,0))*$R59*INDEX(Parameters!$X$7:$AA$7,1,MATCH($E59,Parameters!$X$3:$AA$3,0))))*(1+Inputs_General!$C$22*Parameters!$F$7)</f>
        <v>0.484995927177642</v>
      </c>
      <c r="AM59" s="45" t="n">
        <f aca="false">IF(AI59=0,0,AJ59/AI59-1)</f>
        <v>-0.117888106760729</v>
      </c>
      <c r="AN59" s="43" t="n">
        <f aca="false">AI59*$Q59/Inputs_General!$C$13*1000</f>
        <v>4.95374641196979</v>
      </c>
      <c r="AO59" s="43" t="n">
        <f aca="false">AJ59*$Q59/Inputs_General!$C$13*1000*(1+Inputs_General!$C$21*$I59)</f>
        <v>4.45715379861171</v>
      </c>
      <c r="AP59" s="43" t="n">
        <f aca="false">AK59*$Q59/Inputs_General!$C$13*1000*(1+Inputs_General!$C$21*$H59)</f>
        <v>3.03243348597718</v>
      </c>
      <c r="AQ59" s="43" t="n">
        <f aca="false">AL59*$Q59/Inputs_General!$C$13*1000*(1+Inputs_General!$C$21*$J59)</f>
        <v>5.98210069985019</v>
      </c>
      <c r="AR59" s="45" t="n">
        <f aca="false">IF(AN59=0,0,AO59/AN59-1)</f>
        <v>-0.100245868895944</v>
      </c>
      <c r="AS59" s="42" t="n">
        <f aca="false">Parameters!$E$9*IF($N59="V",Parameters!$I$9,IF($N59="F",Parameters!$J$9,Parameters!$K$9))*(1-Parameters!$L$9*$P59)*IF($D59="V1",Parameters!$M$9,IF($D59="V2",Parameters!$N$9,Parameters!$O$9))</f>
        <v>285</v>
      </c>
      <c r="AT59" s="42" t="n">
        <f aca="false">AS59*(1+INDEX(Response_Table!$I$4:$I$21,MATCH($F59&amp;"|mid",Response_Table!$A$4:$A$21,0))*$R59*INDEX(Parameters!$X$9:$AA$9,1,MATCH($E59,Parameters!$X$3:$AA$3,0)))</f>
        <v>304.90211873067</v>
      </c>
      <c r="AU59" s="42" t="n">
        <f aca="false">MAX(0,MIN(AS59*(1+INDEX(Response_Table!$I$4:$I$21,MATCH($F59&amp;"|low",Response_Table!$A$4:$A$21,0))*$R59*INDEX(Parameters!$X$9:$AA$9,1,MATCH($E59,Parameters!$X$3:$AA$3,0))),AS59*(1+INDEX(Response_Table!$I$4:$I$21,MATCH($F59&amp;"|high",Response_Table!$A$4:$A$21,0))*$R59*INDEX(Parameters!$X$9:$AA$9,1,MATCH($E59,Parameters!$X$3:$AA$3,0))))*(1-Inputs_General!$C$22*Parameters!$F$9))</f>
        <v>270.846797043545</v>
      </c>
      <c r="AV59" s="42" t="n">
        <f aca="false">MAX(AS59*(1+INDEX(Response_Table!$I$4:$I$21,MATCH($F59&amp;"|low",Response_Table!$A$4:$A$21,0))*$R59*INDEX(Parameters!$X$9:$AA$9,1,MATCH($E59,Parameters!$X$3:$AA$3,0))),AS59*(1+INDEX(Response_Table!$I$4:$I$21,MATCH($F59&amp;"|high",Response_Table!$A$4:$A$21,0))*$R59*INDEX(Parameters!$X$9:$AA$9,1,MATCH($E59,Parameters!$X$3:$AA$3,0))))*(1+Inputs_General!$C$22*Parameters!$F$9)</f>
        <v>339.453792381945</v>
      </c>
      <c r="AW59" s="45" t="n">
        <f aca="false">IF(AS59=0,0,AT59/AS59-1)</f>
        <v>0.0698319955462088</v>
      </c>
      <c r="AX59" s="43" t="n">
        <f aca="false">INDEX(Context!$AB$4:$AB$51,$K59)</f>
        <v>3.24945780185873</v>
      </c>
      <c r="AY59" s="43" t="n">
        <f aca="false">AX59*(1+INDEX(Response_Table!$J$4:$J$21,MATCH($F59&amp;"|mid",Response_Table!$A$4:$A$21,0))*$R59*INDEX(Parameters!$X$10:$AA$10,1,MATCH($E59,Parameters!$X$3:$AA$3,0)))</f>
        <v>3.02415506285094</v>
      </c>
      <c r="AZ59" s="43" t="n">
        <f aca="false">MAX(0,MIN(AX59*(1+INDEX(Response_Table!$J$4:$J$21,MATCH($F59&amp;"|low",Response_Table!$A$4:$A$21,0))*$R59*INDEX(Parameters!$X$10:$AA$10,1,MATCH($E59,Parameters!$X$3:$AA$3,0))),AX59*(1+INDEX(Response_Table!$J$4:$J$21,MATCH($F59&amp;"|high",Response_Table!$A$4:$A$21,0))*$R59*INDEX(Parameters!$X$10:$AA$10,1,MATCH($E59,Parameters!$X$3:$AA$3,0))))*(1-Inputs_General!$C$22*Parameters!$F$10))</f>
        <v>2.38735408603559</v>
      </c>
      <c r="BA59" s="43" t="n">
        <f aca="false">MAX(AX59*(1+INDEX(Response_Table!$J$4:$J$21,MATCH($F59&amp;"|low",Response_Table!$A$4:$A$21,0))*$R59*INDEX(Parameters!$X$10:$AA$10,1,MATCH($E59,Parameters!$X$3:$AA$3,0))),AX59*(1+INDEX(Response_Table!$J$4:$J$21,MATCH($F59&amp;"|high",Response_Table!$A$4:$A$21,0))*$R59*INDEX(Parameters!$X$10:$AA$10,1,MATCH($E59,Parameters!$X$3:$AA$3,0))))*(1+Inputs_General!$C$22*Parameters!$F$10)</f>
        <v>3.68359669536014</v>
      </c>
      <c r="BB59" s="45" t="n">
        <f aca="false">IF(AX59=0,0,AY59/AX59-1)</f>
        <v>-0.069335486947672</v>
      </c>
      <c r="BC59" s="46" t="n">
        <f aca="false">Parameters!$E$11*IF($N59="V",Parameters!$I$11,IF($N59="F",Parameters!$J$11,Parameters!$K$11))*(1-Parameters!$L$11*$P59)*IF($D59="V1",Parameters!$M$11,IF($D59="V2",Parameters!$N$11,Parameters!$O$11))</f>
        <v>1.28570669642857</v>
      </c>
      <c r="BD59" s="46" t="n">
        <f aca="false">BC59*(1+INDEX(Response_Table!$K$4:$K$21,MATCH($F59&amp;"|mid",Response_Table!$A$4:$A$21,0))*$R59*INDEX(Parameters!$X$11:$AA$11,1,MATCH($E59,Parameters!$X$3:$AA$3,0)))</f>
        <v>1.12526777772937</v>
      </c>
      <c r="BE59" s="46" t="n">
        <f aca="false">MAX(0,MIN(BC59*(1+INDEX(Response_Table!$K$4:$K$21,MATCH($F59&amp;"|low",Response_Table!$A$4:$A$21,0))*$R59*INDEX(Parameters!$X$11:$AA$11,1,MATCH($E59,Parameters!$X$3:$AA$3,0))),BC59*(1+INDEX(Response_Table!$K$4:$K$21,MATCH($F59&amp;"|high",Response_Table!$A$4:$A$21,0))*$R59*INDEX(Parameters!$X$11:$AA$11,1,MATCH($E59,Parameters!$X$3:$AA$3,0))))*(1-Inputs_General!$C$22*Parameters!$F$11))</f>
        <v>0.911677428619294</v>
      </c>
      <c r="BF59" s="46" t="n">
        <f aca="false">MAX(BC59*(1+INDEX(Response_Table!$K$4:$K$21,MATCH($F59&amp;"|low",Response_Table!$A$4:$A$21,0))*$R59*INDEX(Parameters!$X$11:$AA$11,1,MATCH($E59,Parameters!$X$3:$AA$3,0))),BC59*(1+INDEX(Response_Table!$K$4:$K$21,MATCH($F59&amp;"|high",Response_Table!$A$4:$A$21,0))*$R59*INDEX(Parameters!$X$11:$AA$11,1,MATCH($E59,Parameters!$X$3:$AA$3,0))))*(1+Inputs_General!$C$22*Parameters!$F$11)</f>
        <v>1.35269823969904</v>
      </c>
      <c r="BG59" s="45" t="n">
        <f aca="false">IF(BC59=0,0,BD59/BC59-1)</f>
        <v>-0.124786562242283</v>
      </c>
      <c r="BH59" s="46" t="n">
        <f aca="false">Parameters!$E$12*IF($N59="V",Parameters!$I$12,IF($N59="F",Parameters!$J$12,Parameters!$K$12))*(1-Parameters!$L$12*$P59)*IF($D59="V1",Parameters!$M$12,IF($D59="V2",Parameters!$N$12,Parameters!$O$12))</f>
        <v>0.462854410714286</v>
      </c>
      <c r="BI59" s="46" t="n">
        <f aca="false">BH59*(1+INDEX(Response_Table!$L$4:$L$21,MATCH($F59&amp;"|mid",Response_Table!$A$4:$A$21,0))*$R59*INDEX(Parameters!$X$12:$AA$12,1,MATCH($E59,Parameters!$X$3:$AA$3,0)))</f>
        <v>0.416684000557781</v>
      </c>
      <c r="BJ59" s="46" t="n">
        <f aca="false">MAX(0,MIN(BH59*(1+INDEX(Response_Table!$L$4:$L$21,MATCH($F59&amp;"|low",Response_Table!$A$4:$A$21,0))*$R59*INDEX(Parameters!$X$12:$AA$12,1,MATCH($E59,Parameters!$X$3:$AA$3,0))),BH59*(1+INDEX(Response_Table!$L$4:$L$21,MATCH($F59&amp;"|high",Response_Table!$A$4:$A$21,0))*$R59*INDEX(Parameters!$X$12:$AA$12,1,MATCH($E59,Parameters!$X$3:$AA$3,0))))*(1-Inputs_General!$C$22*Parameters!$F$12))</f>
        <v>0.326474811769837</v>
      </c>
      <c r="BK59" s="46" t="n">
        <f aca="false">MAX(BH59*(1+INDEX(Response_Table!$L$4:$L$21,MATCH($F59&amp;"|low",Response_Table!$A$4:$A$21,0))*$R59*INDEX(Parameters!$X$12:$AA$12,1,MATCH($E59,Parameters!$X$3:$AA$3,0))),BH59*(1+INDEX(Response_Table!$L$4:$L$21,MATCH($F59&amp;"|high",Response_Table!$A$4:$A$21,0))*$R59*INDEX(Parameters!$X$12:$AA$12,1,MATCH($E59,Parameters!$X$3:$AA$3,0))))*(1+Inputs_General!$C$22*Parameters!$F$12)</f>
        <v>0.511540593217102</v>
      </c>
      <c r="BL59" s="45" t="n">
        <f aca="false">IF(BH59=0,0,BI59/BH59-1)</f>
        <v>-0.0997514749513863</v>
      </c>
      <c r="BM59" s="46" t="n">
        <f aca="false">Parameters!$E$13*IF($N59="V",Parameters!$I$13,IF($N59="F",Parameters!$J$13,Parameters!$K$13))*(1-Parameters!$L$13*$P59)*IF($D59="V1",Parameters!$M$13,IF($D59="V2",Parameters!$N$13,Parameters!$O$13))</f>
        <v>0.308784803571429</v>
      </c>
      <c r="BN59" s="46" t="n">
        <f aca="false">BM59*(1+INDEX(Response_Table!$M$4:$M$21,MATCH($F59&amp;"|mid",Response_Table!$A$4:$A$21,0))*$R59*INDEX(Parameters!$X$13:$AA$13,1,MATCH($E59,Parameters!$X$3:$AA$3,0)))</f>
        <v>0.312029779940333</v>
      </c>
      <c r="BO59" s="46" t="n">
        <f aca="false">MAX(0,MIN(BM59*(1+INDEX(Response_Table!$M$4:$M$21,MATCH($F59&amp;"|low",Response_Table!$A$4:$A$21,0))*$R59*INDEX(Parameters!$X$13:$AA$13,1,MATCH($E59,Parameters!$X$3:$AA$3,0))),BM59*(1+INDEX(Response_Table!$M$4:$M$21,MATCH($F59&amp;"|high",Response_Table!$A$4:$A$21,0))*$R59*INDEX(Parameters!$X$13:$AA$13,1,MATCH($E59,Parameters!$X$3:$AA$3,0))))*(1-Inputs_General!$C$22*Parameters!$F$13))</f>
        <v>0.247057004287881</v>
      </c>
      <c r="BP59" s="46" t="n">
        <f aca="false">MAX(BM59*(1+INDEX(Response_Table!$M$4:$M$21,MATCH($F59&amp;"|low",Response_Table!$A$4:$A$21,0))*$R59*INDEX(Parameters!$X$13:$AA$13,1,MATCH($E59,Parameters!$X$3:$AA$3,0))),BM59*(1+INDEX(Response_Table!$M$4:$M$21,MATCH($F59&amp;"|high",Response_Table!$A$4:$A$21,0))*$R59*INDEX(Parameters!$X$13:$AA$13,1,MATCH($E59,Parameters!$X$3:$AA$3,0))))*(1+Inputs_General!$C$22*Parameters!$F$13)</f>
        <v>0.377161407349565</v>
      </c>
      <c r="BQ59" s="45" t="n">
        <f aca="false">IF(BM59=0,0,BN59/BM59-1)</f>
        <v>0.0105088603175196</v>
      </c>
      <c r="BR59" s="44" t="n">
        <f aca="false">Parameters!$E$14*IF($N59="V",Parameters!$I$14,IF($N59="F",Parameters!$J$14,Parameters!$K$14))*(1-Parameters!$L$14*$P59)*IF($D59="V1",Parameters!$M$14,IF($D59="V2",Parameters!$N$14,Parameters!$O$14))*INDEX(Context!$AC$4:$AC$51,$K59)</f>
        <v>15</v>
      </c>
      <c r="BS59" s="44" t="n">
        <f aca="false">BR59*(1+INDEX(Response_Table!$N$4:$N$21,MATCH($F59&amp;"|mid",Response_Table!$A$4:$A$21,0))*$R59*INDEX(Parameters!$X$14:$AA$14,1,MATCH($E59,Parameters!$X$3:$AA$3,0)))</f>
        <v>16.6322968628409</v>
      </c>
      <c r="BT59" s="44" t="n">
        <f aca="false">MAX(0,MIN(BR59*(1+INDEX(Response_Table!$N$4:$N$21,MATCH($F59&amp;"|low",Response_Table!$A$4:$A$21,0))*$R59*INDEX(Parameters!$X$14:$AA$14,1,MATCH($E59,Parameters!$X$3:$AA$3,0))),BR59*(1+INDEX(Response_Table!$N$4:$N$21,MATCH($F59&amp;"|high",Response_Table!$A$4:$A$21,0))*$R59*INDEX(Parameters!$X$14:$AA$14,1,MATCH($E59,Parameters!$X$3:$AA$3,0))))*(1-Inputs_General!$C$22*Parameters!$F$14))</f>
        <v>8.23578263008946</v>
      </c>
      <c r="BU59" s="44" t="n">
        <f aca="false">MAX(BR59*(1+INDEX(Response_Table!$N$4:$N$21,MATCH($F59&amp;"|low",Response_Table!$A$4:$A$21,0))*$R59*INDEX(Parameters!$X$14:$AA$14,1,MATCH($E59,Parameters!$X$3:$AA$3,0))),BR59*(1+INDEX(Response_Table!$N$4:$N$21,MATCH($F59&amp;"|high",Response_Table!$A$4:$A$21,0))*$R59*INDEX(Parameters!$X$14:$AA$14,1,MATCH($E59,Parameters!$X$3:$AA$3,0))))*(1+Inputs_General!$C$22*Parameters!$F$14)</f>
        <v>25.3637231037007</v>
      </c>
      <c r="BV59" s="45" t="n">
        <f aca="false">IF(BR59=0,0,BS59/BR59-1)</f>
        <v>0.108819790856058</v>
      </c>
      <c r="BW59" s="43" t="n">
        <f aca="false">Parameters!$E$15*IF($N59="V",Parameters!$I$15,IF($N59="F",Parameters!$J$15,Parameters!$K$15))*(1-Parameters!$L$15*$P59)*IF($D59="V1",Parameters!$M$15,IF($D59="V2",Parameters!$N$15,Parameters!$O$15))</f>
        <v>9.98607142857143</v>
      </c>
      <c r="BX59" s="43" t="n">
        <f aca="false">BW59*(1+INDEX(Response_Table!$O$4:$O$21,MATCH($F59&amp;"|mid",Response_Table!$A$4:$A$21,0))*$R59*INDEX(Parameters!$X$15:$AA$15,1,MATCH($E59,Parameters!$X$3:$AA$3,0)))</f>
        <v>9.71440087748873</v>
      </c>
      <c r="BY59" s="43" t="n">
        <f aca="false">MAX(0,MIN(BW59*(1+INDEX(Response_Table!$O$4:$O$21,MATCH($F59&amp;"|low",Response_Table!$A$4:$A$21,0))*$R59*INDEX(Parameters!$X$15:$AA$15,1,MATCH($E59,Parameters!$X$3:$AA$3,0))),BW59*(1+INDEX(Response_Table!$O$4:$O$21,MATCH($F59&amp;"|high",Response_Table!$A$4:$A$21,0))*$R59*INDEX(Parameters!$X$15:$AA$15,1,MATCH($E59,Parameters!$X$3:$AA$3,0))))*(1-Inputs_General!$C$22*Parameters!$F$15))</f>
        <v>7.7499657460504</v>
      </c>
      <c r="BZ59" s="43" t="n">
        <f aca="false">MAX(BW59*(1+INDEX(Response_Table!$O$4:$O$21,MATCH($F59&amp;"|low",Response_Table!$A$4:$A$21,0))*$R59*INDEX(Parameters!$X$15:$AA$15,1,MATCH($E59,Parameters!$X$3:$AA$3,0))),BW59*(1+INDEX(Response_Table!$O$4:$O$21,MATCH($F59&amp;"|high",Response_Table!$A$4:$A$21,0))*$R59*INDEX(Parameters!$X$15:$AA$15,1,MATCH($E59,Parameters!$X$3:$AA$3,0))))*(1+Inputs_General!$C$22*Parameters!$F$15)</f>
        <v>11.7061817216154</v>
      </c>
      <c r="CA59" s="45" t="n">
        <f aca="false">IF(BW59=0,0,BX59/BW59-1)</f>
        <v>-0.0272049477140143</v>
      </c>
      <c r="CB59" s="46" t="n">
        <f aca="false">BD59+BI59</f>
        <v>1.54195177828715</v>
      </c>
      <c r="CC59" s="43" t="n">
        <f aca="false">BD59/BI59</f>
        <v>2.700530320874</v>
      </c>
      <c r="CD59" s="46" t="n">
        <f aca="false">BN59/CB59</f>
        <v>0.20236027114087</v>
      </c>
      <c r="CE59" s="43" t="n">
        <f aca="false">AE59/AO59</f>
        <v>3.55023776316444</v>
      </c>
      <c r="CF59" s="44" t="n">
        <f aca="false">AE59/AJ59</f>
        <v>43.5762017981312</v>
      </c>
      <c r="CG59" s="44" t="n">
        <f aca="false">INDEX(Context!$V$4:$V$51,$K59)</f>
        <v>25.5785714285714</v>
      </c>
      <c r="CH59" s="44" t="n">
        <f aca="false">INDEX(Context!$Y$4:$Y$51,$K59)</f>
        <v>23.620522619794</v>
      </c>
      <c r="CI59" s="44" t="n">
        <f aca="false">INDEX(Context!$Z$4:$Z$51,$K59)</f>
        <v>29.5785714285714</v>
      </c>
      <c r="CJ59" s="43" t="n">
        <f aca="false">INDEX(Context!$AA$4:$AA$51,$K59)</f>
        <v>0.201160714285714</v>
      </c>
      <c r="CK59" s="43" t="n">
        <f aca="false">MAX(0,MIN(1,1-(1-CJ59)*AO59/AN59))</f>
        <v>0.281241052590358</v>
      </c>
      <c r="CL59" s="44" t="n">
        <f aca="false">CH59+CK59*(CI59-CH59)</f>
        <v>25.2961705381593</v>
      </c>
      <c r="CM59" s="44" t="n">
        <f aca="false">CH59+MAX(0,MIN(1,1-(1-CJ59)*AQ59/AN59))*(CI59-CH59)</f>
        <v>23.8310126677423</v>
      </c>
      <c r="CN59" s="44" t="n">
        <f aca="false">CH59+MAX(0,MIN(1,1-(1-CJ59)*AP59/AN59))*(CI59-CH59)</f>
        <v>26.6650314325971</v>
      </c>
      <c r="CO59" s="44" t="n">
        <f aca="false">CL59-CG59</f>
        <v>-0.282400890412134</v>
      </c>
      <c r="CP59" s="44" t="n">
        <f aca="false">CL59-(CH59+CJ59*(CI59-CH59))</f>
        <v>0.477122564242475</v>
      </c>
      <c r="CQ59" s="46" t="n">
        <f aca="false">CL59/CG59</f>
        <v>0.988959473706311</v>
      </c>
      <c r="CR59" s="43" t="n">
        <f aca="false">IF(CL59-CH59&lt;=0,"n/a",(CI59-CL59)/(CL59-CH59))</f>
        <v>2.55566867208591</v>
      </c>
      <c r="CS59" s="43" t="n">
        <f aca="false">IF(CI59-CL59&lt;=0,"n/a",(CL59-CH59)/(CI59-CL59))</f>
        <v>0.391287028292213</v>
      </c>
      <c r="CT59" s="43" t="n">
        <f aca="false">Inputs_General!$C$23+Inputs_General!$C$24*$I59</f>
        <v>0.76</v>
      </c>
      <c r="CU59" s="44" t="n">
        <f aca="false">3.29*CT59</f>
        <v>2.5004</v>
      </c>
    </row>
    <row r="60" customFormat="false" ht="15" hidden="false" customHeight="false" outlineLevel="0" collapsed="false">
      <c r="A60" s="9" t="str">
        <f aca="false">B60&amp;"|"&amp;E60&amp;"|"&amp;F60</f>
        <v>D1V3|24/02/2026|Moderate</v>
      </c>
      <c r="B60" s="7" t="s">
        <v>345</v>
      </c>
      <c r="C60" s="9" t="s">
        <v>127</v>
      </c>
      <c r="D60" s="9" t="s">
        <v>150</v>
      </c>
      <c r="E60" s="9" t="s">
        <v>160</v>
      </c>
      <c r="F60" s="7" t="s">
        <v>281</v>
      </c>
      <c r="G60" s="9" t="s">
        <v>282</v>
      </c>
      <c r="H60" s="41" t="n">
        <f aca="false">INDEX(Severity_Classes!$C$4:$C$9,MATCH(F60,Severity_Classes!$A$4:$A$9,0))</f>
        <v>0.11</v>
      </c>
      <c r="I60" s="41" t="n">
        <f aca="false">INDEX(Severity_Classes!$D$4:$D$9,MATCH(F60,Severity_Classes!$A$4:$A$9,0))</f>
        <v>0.18</v>
      </c>
      <c r="J60" s="41" t="n">
        <f aca="false">INDEX(Severity_Classes!$E$4:$E$9,MATCH(F60,Severity_Classes!$A$4:$A$9,0))</f>
        <v>0.25</v>
      </c>
      <c r="K60" s="42" t="n">
        <f aca="false">MATCH(B60&amp;"|"&amp;E60,Context!$A$4:$A$51,0)</f>
        <v>10</v>
      </c>
      <c r="L60" s="42" t="n">
        <f aca="false">INDEX(Context!$H$4:$H$51,K60)</f>
        <v>77</v>
      </c>
      <c r="M60" s="42" t="n">
        <f aca="false">INDEX(Context!$I$4:$I$51,K60)</f>
        <v>19</v>
      </c>
      <c r="N60" s="9" t="str">
        <f aca="false">INDEX(Context!$L$4:$L$51,K60)</f>
        <v>F</v>
      </c>
      <c r="O60" s="9" t="str">
        <f aca="false">INDEX(Context!$M$4:$M$51,K60)</f>
        <v>5th fully expanded leaf from top</v>
      </c>
      <c r="P60" s="43" t="n">
        <f aca="false">INDEX(Context!$R$4:$R$51,K60)</f>
        <v>0.0232142857142859</v>
      </c>
      <c r="Q60" s="43" t="n">
        <f aca="false">INDEX(Context!$U$4:$U$51,K60)</f>
        <v>1.19492600027053</v>
      </c>
      <c r="R60" s="43" t="n">
        <f aca="false">INDEX(Context!$AD$4:$AD$51,K60)</f>
        <v>0.85</v>
      </c>
      <c r="S60" s="9" t="str">
        <f aca="false">INDEX(Context!$AI$4:$AN$51,K60,MATCH(F60,Severity_Classes!$A$4:$A$9,0))</f>
        <v>Likely</v>
      </c>
      <c r="T60" s="44" t="n">
        <f aca="false">Parameters!$E$4*IF($N60="V",Parameters!$I$4,IF($N60="F",Parameters!$J$4,Parameters!$K$4))*(1-Parameters!$L$4*$P60)*IF($D60="V1",Parameters!$M$4,IF($D60="V2",Parameters!$N$4,Parameters!$O$4))</f>
        <v>85.0411767857143</v>
      </c>
      <c r="U60" s="44" t="n">
        <f aca="false">MIN(100,T60*(1+INDEX(Response_Table!$E$4:$E$21,MATCH($F60&amp;"|mid",Response_Table!$A$4:$A$21,0))*$R60*INDEX(Parameters!$X$4:$AA$4,1,MATCH($E60,Parameters!$X$3:$AA$3,0))))</f>
        <v>81.7529374269378</v>
      </c>
      <c r="V60" s="44" t="n">
        <f aca="false">MAX(0,MIN(T60*(1+INDEX(Response_Table!$E$4:$E$21,MATCH($F60&amp;"|low",Response_Table!$A$4:$A$21,0))*$R60*INDEX(Parameters!$X$4:$AA$4,1,MATCH($E60,Parameters!$X$3:$AA$3,0))),T60*(1+INDEX(Response_Table!$E$4:$E$21,MATCH($F60&amp;"|high",Response_Table!$A$4:$A$21,0))*$R60*INDEX(Parameters!$X$4:$AA$4,1,MATCH($E60,Parameters!$X$3:$AA$3,0))))*(1-Inputs_General!$C$22*Parameters!$F$4))</f>
        <v>74.0724786930751</v>
      </c>
      <c r="W60" s="44" t="n">
        <f aca="false">MIN(100,MAX(T60*(1+INDEX(Response_Table!$E$4:$E$21,MATCH($F60&amp;"|low",Response_Table!$A$4:$A$21,0))*$R60*INDEX(Parameters!$X$4:$AA$4,1,MATCH($E60,Parameters!$X$3:$AA$3,0))),T60*(1+INDEX(Response_Table!$E$4:$E$21,MATCH($F60&amp;"|high",Response_Table!$A$4:$A$21,0))*$R60*INDEX(Parameters!$X$4:$AA$4,1,MATCH($E60,Parameters!$X$3:$AA$3,0))))*(1+Inputs_General!$C$22*Parameters!$F$4))</f>
        <v>88.9834322088919</v>
      </c>
      <c r="X60" s="45" t="n">
        <f aca="false">IF(T60=0,0,U60/T60-1)</f>
        <v>-0.0386664376371718</v>
      </c>
      <c r="Y60" s="44" t="n">
        <f aca="false">Parameters!$E$5*IF($N60="V",Parameters!$I$5,IF($N60="F",Parameters!$J$5,Parameters!$K$5))*(1-Parameters!$L$5*$P60)*IF($D60="V1",Parameters!$M$5,IF($D60="V2",Parameters!$N$5,Parameters!$O$5))</f>
        <v>70.36344</v>
      </c>
      <c r="Z60" s="44" t="n">
        <f aca="false">MIN(100,Y60*(1+INDEX(Response_Table!$F$4:$F$21,MATCH($F60&amp;"|mid",Response_Table!$A$4:$A$21,0))*$R60*INDEX(Parameters!$X$5:$AA$5,1,MATCH($E60,Parameters!$X$3:$AA$3,0))))</f>
        <v>60.9650661375131</v>
      </c>
      <c r="AA60" s="44" t="n">
        <f aca="false">MAX(0,MIN(Y60*(1+INDEX(Response_Table!$F$4:$F$21,MATCH($F60&amp;"|low",Response_Table!$A$4:$A$21,0))*$R60*INDEX(Parameters!$X$5:$AA$5,1,MATCH($E60,Parameters!$X$3:$AA$3,0))),Y60*(1+INDEX(Response_Table!$F$4:$F$21,MATCH($F60&amp;"|high",Response_Table!$A$4:$A$21,0))*$R60*INDEX(Parameters!$X$5:$AA$5,1,MATCH($E60,Parameters!$X$3:$AA$3,0))))*(1-Inputs_General!$C$22*Parameters!$F$5))</f>
        <v>47.7902284891513</v>
      </c>
      <c r="AB60" s="44" t="n">
        <f aca="false">MIN(100,MAX(Y60*(1+INDEX(Response_Table!$F$4:$F$21,MATCH($F60&amp;"|low",Response_Table!$A$4:$A$21,0))*$R60*INDEX(Parameters!$X$5:$AA$5,1,MATCH($E60,Parameters!$X$3:$AA$3,0))),Y60*(1+INDEX(Response_Table!$F$4:$F$21,MATCH($F60&amp;"|high",Response_Table!$A$4:$A$21,0))*$R60*INDEX(Parameters!$X$5:$AA$5,1,MATCH($E60,Parameters!$X$3:$AA$3,0))))*(1+Inputs_General!$C$22*Parameters!$F$5))</f>
        <v>73.6547617520249</v>
      </c>
      <c r="AC60" s="45" t="n">
        <f aca="false">IF(Y60=0,0,Z60/Y60-1)</f>
        <v>-0.133568993535377</v>
      </c>
      <c r="AD60" s="44" t="n">
        <f aca="false">Parameters!$E$6*IF($N60="V",Parameters!$I$6,IF($N60="F",Parameters!$J$6,Parameters!$K$6))*(1-Parameters!$L$6*$P60)*IF($D60="V1",Parameters!$M$6,IF($D60="V2",Parameters!$N$6,Parameters!$O$6))</f>
        <v>19.5154835714286</v>
      </c>
      <c r="AE60" s="44" t="n">
        <f aca="false">AD60*(1+INDEX(Response_Table!$G$4:$G$21,MATCH($F60&amp;"|mid",Response_Table!$A$4:$A$21,0))*$R60*INDEX(Parameters!$X$6:$AA$6,1,MATCH($E60,Parameters!$X$3:$AA$3,0)))</f>
        <v>12.7094193159933</v>
      </c>
      <c r="AF60" s="44" t="n">
        <f aca="false">MAX(0,MIN(AD60*(1+INDEX(Response_Table!$G$4:$G$21,MATCH($F60&amp;"|low",Response_Table!$A$4:$A$21,0))*$R60*INDEX(Parameters!$X$6:$AA$6,1,MATCH($E60,Parameters!$X$3:$AA$3,0))),AD60*(1+INDEX(Response_Table!$G$4:$G$21,MATCH($F60&amp;"|high",Response_Table!$A$4:$A$21,0))*$R60*INDEX(Parameters!$X$6:$AA$6,1,MATCH($E60,Parameters!$X$3:$AA$3,0))))*(1-Inputs_General!$C$22*Parameters!$F$6))</f>
        <v>9.00168241561425</v>
      </c>
      <c r="AG60" s="44" t="n">
        <f aca="false">MAX(AD60*(1+INDEX(Response_Table!$G$4:$G$21,MATCH($F60&amp;"|low",Response_Table!$A$4:$A$21,0))*$R60*INDEX(Parameters!$X$6:$AA$6,1,MATCH($E60,Parameters!$X$3:$AA$3,0))),AD60*(1+INDEX(Response_Table!$G$4:$G$21,MATCH($F60&amp;"|high",Response_Table!$A$4:$A$21,0))*$R60*INDEX(Parameters!$X$6:$AA$6,1,MATCH($E60,Parameters!$X$3:$AA$3,0))))*(1+Inputs_General!$C$22*Parameters!$F$6)</f>
        <v>17.6520585577359</v>
      </c>
      <c r="AH60" s="45" t="n">
        <f aca="false">IF(AD60=0,0,AE60/AD60-1)</f>
        <v>-0.348752016854945</v>
      </c>
      <c r="AI60" s="46" t="n">
        <f aca="false">Parameters!$E$7*IF($N60="V",Parameters!$I$7,IF($N60="F",Parameters!$J$7,Parameters!$K$7))*(1-Parameters!$L$7*$P60)*IF($D60="V1",Parameters!$M$7,IF($D60="V2",Parameters!$N$7,Parameters!$O$7))*POWER($Q60/Inputs_General!$C$26,-Inputs_General!$C$25)</f>
        <v>0.411663164578586</v>
      </c>
      <c r="AJ60" s="46" t="n">
        <f aca="false">AI60*(1+INDEX(Response_Table!$H$4:$H$21,MATCH($F60&amp;"|mid",Response_Table!$A$4:$A$21,0))*$R60*INDEX(Parameters!$X$7:$AA$7,1,MATCH($E60,Parameters!$X$3:$AA$3,0)))</f>
        <v>0.316761800471934</v>
      </c>
      <c r="AK60" s="46" t="n">
        <f aca="false">MAX(0,MIN(AI60*(1+INDEX(Response_Table!$H$4:$H$21,MATCH($F60&amp;"|low",Response_Table!$A$4:$A$21,0))*$R60*INDEX(Parameters!$X$7:$AA$7,1,MATCH($E60,Parameters!$X$3:$AA$3,0))),AI60*(1+INDEX(Response_Table!$H$4:$H$21,MATCH($F60&amp;"|high",Response_Table!$A$4:$A$21,0))*$R60*INDEX(Parameters!$X$7:$AA$7,1,MATCH($E60,Parameters!$X$3:$AA$3,0))))*(1-Inputs_General!$C$22*Parameters!$F$7))</f>
        <v>0.205296768484412</v>
      </c>
      <c r="AL60" s="46" t="n">
        <f aca="false">MAX(AI60*(1+INDEX(Response_Table!$H$4:$H$21,MATCH($F60&amp;"|low",Response_Table!$A$4:$A$21,0))*$R60*INDEX(Parameters!$X$7:$AA$7,1,MATCH($E60,Parameters!$X$3:$AA$3,0))),AI60*(1+INDEX(Response_Table!$H$4:$H$21,MATCH($F60&amp;"|high",Response_Table!$A$4:$A$21,0))*$R60*INDEX(Parameters!$X$7:$AA$7,1,MATCH($E60,Parameters!$X$3:$AA$3,0))))*(1+Inputs_General!$C$22*Parameters!$F$7)</f>
        <v>0.450698144657831</v>
      </c>
      <c r="AM60" s="45" t="n">
        <f aca="false">IF(AI60=0,0,AJ60/AI60-1)</f>
        <v>-0.230531590563371</v>
      </c>
      <c r="AN60" s="43" t="n">
        <f aca="false">AI60*$Q60/Inputs_General!$C$13*1000</f>
        <v>4.95374641196979</v>
      </c>
      <c r="AO60" s="43" t="n">
        <f aca="false">AJ60*$Q60/Inputs_General!$C$13*1000*(1+Inputs_General!$C$21*$I60)</f>
        <v>3.98328018412749</v>
      </c>
      <c r="AP60" s="43" t="n">
        <f aca="false">AK60*$Q60/Inputs_General!$C$13*1000*(1+Inputs_General!$C$21*$H60)</f>
        <v>2.53837455901778</v>
      </c>
      <c r="AQ60" s="43" t="n">
        <f aca="false">AL60*$Q60/Inputs_General!$C$13*1000*(1+Inputs_General!$C$21*$J60)</f>
        <v>5.76244073044476</v>
      </c>
      <c r="AR60" s="45" t="n">
        <f aca="false">IF(AN60=0,0,AO60/AN60-1)</f>
        <v>-0.195905512138722</v>
      </c>
      <c r="AS60" s="42" t="n">
        <f aca="false">Parameters!$E$9*IF($N60="V",Parameters!$I$9,IF($N60="F",Parameters!$J$9,Parameters!$K$9))*(1-Parameters!$L$9*$P60)*IF($D60="V1",Parameters!$M$9,IF($D60="V2",Parameters!$N$9,Parameters!$O$9))</f>
        <v>285</v>
      </c>
      <c r="AT60" s="42" t="n">
        <f aca="false">AS60*(1+INDEX(Response_Table!$I$4:$I$21,MATCH($F60&amp;"|mid",Response_Table!$A$4:$A$21,0))*$R60*INDEX(Parameters!$X$9:$AA$9,1,MATCH($E60,Parameters!$X$3:$AA$3,0)))</f>
        <v>322.300279798109</v>
      </c>
      <c r="AU60" s="42" t="n">
        <f aca="false">MAX(0,MIN(AS60*(1+INDEX(Response_Table!$I$4:$I$21,MATCH($F60&amp;"|low",Response_Table!$A$4:$A$21,0))*$R60*INDEX(Parameters!$X$9:$AA$9,1,MATCH($E60,Parameters!$X$3:$AA$3,0))),AS60*(1+INDEX(Response_Table!$I$4:$I$21,MATCH($F60&amp;"|high",Response_Table!$A$4:$A$21,0))*$R60*INDEX(Parameters!$X$9:$AA$9,1,MATCH($E60,Parameters!$X$3:$AA$3,0))))*(1-Inputs_General!$C$22*Parameters!$F$9))</f>
        <v>280.186818337032</v>
      </c>
      <c r="AV60" s="42" t="n">
        <f aca="false">MAX(AS60*(1+INDEX(Response_Table!$I$4:$I$21,MATCH($F60&amp;"|low",Response_Table!$A$4:$A$21,0))*$R60*INDEX(Parameters!$X$9:$AA$9,1,MATCH($E60,Parameters!$X$3:$AA$3,0))),AS60*(1+INDEX(Response_Table!$I$4:$I$21,MATCH($F60&amp;"|high",Response_Table!$A$4:$A$21,0))*$R60*INDEX(Parameters!$X$9:$AA$9,1,MATCH($E60,Parameters!$X$3:$AA$3,0))))*(1+Inputs_General!$C$22*Parameters!$F$9)</f>
        <v>363.603076604055</v>
      </c>
      <c r="AW60" s="45" t="n">
        <f aca="false">IF(AS60=0,0,AT60/AS60-1)</f>
        <v>0.130878174730207</v>
      </c>
      <c r="AX60" s="43" t="n">
        <f aca="false">INDEX(Context!$AB$4:$AB$51,$K60)</f>
        <v>3.24945780185873</v>
      </c>
      <c r="AY60" s="43" t="n">
        <f aca="false">AX60*(1+INDEX(Response_Table!$J$4:$J$21,MATCH($F60&amp;"|mid",Response_Table!$A$4:$A$21,0))*$R60*INDEX(Parameters!$X$10:$AA$10,1,MATCH($E60,Parameters!$X$3:$AA$3,0)))</f>
        <v>2.79905945042711</v>
      </c>
      <c r="AZ60" s="43" t="n">
        <f aca="false">MAX(0,MIN(AX60*(1+INDEX(Response_Table!$J$4:$J$21,MATCH($F60&amp;"|low",Response_Table!$A$4:$A$21,0))*$R60*INDEX(Parameters!$X$10:$AA$10,1,MATCH($E60,Parameters!$X$3:$AA$3,0))),AX60*(1+INDEX(Response_Table!$J$4:$J$21,MATCH($F60&amp;"|high",Response_Table!$A$4:$A$21,0))*$R60*INDEX(Parameters!$X$10:$AA$10,1,MATCH($E60,Parameters!$X$3:$AA$3,0))))*(1-Inputs_General!$C$22*Parameters!$F$10))</f>
        <v>2.14440758587233</v>
      </c>
      <c r="BA60" s="43" t="n">
        <f aca="false">MAX(AX60*(1+INDEX(Response_Table!$J$4:$J$21,MATCH($F60&amp;"|low",Response_Table!$A$4:$A$21,0))*$R60*INDEX(Parameters!$X$10:$AA$10,1,MATCH($E60,Parameters!$X$3:$AA$3,0))),AX60*(1+INDEX(Response_Table!$J$4:$J$21,MATCH($F60&amp;"|high",Response_Table!$A$4:$A$21,0))*$R60*INDEX(Parameters!$X$10:$AA$10,1,MATCH($E60,Parameters!$X$3:$AA$3,0))))*(1+Inputs_General!$C$22*Parameters!$F$10)</f>
        <v>3.53307928510763</v>
      </c>
      <c r="BB60" s="45" t="n">
        <f aca="false">IF(AX60=0,0,AY60/AX60-1)</f>
        <v>-0.138607232004672</v>
      </c>
      <c r="BC60" s="46" t="n">
        <f aca="false">Parameters!$E$11*IF($N60="V",Parameters!$I$11,IF($N60="F",Parameters!$J$11,Parameters!$K$11))*(1-Parameters!$L$11*$P60)*IF($D60="V1",Parameters!$M$11,IF($D60="V2",Parameters!$N$11,Parameters!$O$11))</f>
        <v>1.28570669642857</v>
      </c>
      <c r="BD60" s="46" t="n">
        <f aca="false">BC60*(1+INDEX(Response_Table!$K$4:$K$21,MATCH($F60&amp;"|mid",Response_Table!$A$4:$A$21,0))*$R60*INDEX(Parameters!$X$11:$AA$11,1,MATCH($E60,Parameters!$X$3:$AA$3,0)))</f>
        <v>0.974673290792084</v>
      </c>
      <c r="BE60" s="46" t="n">
        <f aca="false">MAX(0,MIN(BC60*(1+INDEX(Response_Table!$K$4:$K$21,MATCH($F60&amp;"|low",Response_Table!$A$4:$A$21,0))*$R60*INDEX(Parameters!$X$11:$AA$11,1,MATCH($E60,Parameters!$X$3:$AA$3,0))),BC60*(1+INDEX(Response_Table!$K$4:$K$21,MATCH($F60&amp;"|high",Response_Table!$A$4:$A$21,0))*$R60*INDEX(Parameters!$X$11:$AA$11,1,MATCH($E60,Parameters!$X$3:$AA$3,0))))*(1-Inputs_General!$C$22*Parameters!$F$11))</f>
        <v>0.747384745897589</v>
      </c>
      <c r="BF60" s="46" t="n">
        <f aca="false">MAX(BC60*(1+INDEX(Response_Table!$K$4:$K$21,MATCH($F60&amp;"|low",Response_Table!$A$4:$A$21,0))*$R60*INDEX(Parameters!$X$11:$AA$11,1,MATCH($E60,Parameters!$X$3:$AA$3,0))),BC60*(1+INDEX(Response_Table!$K$4:$K$21,MATCH($F60&amp;"|high",Response_Table!$A$4:$A$21,0))*$R60*INDEX(Parameters!$X$11:$AA$11,1,MATCH($E60,Parameters!$X$3:$AA$3,0))))*(1+Inputs_General!$C$22*Parameters!$F$11)</f>
        <v>1.25175698159896</v>
      </c>
      <c r="BG60" s="45" t="n">
        <f aca="false">IF(BC60=0,0,BD60/BC60-1)</f>
        <v>-0.241916299028756</v>
      </c>
      <c r="BH60" s="46" t="n">
        <f aca="false">Parameters!$E$12*IF($N60="V",Parameters!$I$12,IF($N60="F",Parameters!$J$12,Parameters!$K$12))*(1-Parameters!$L$12*$P60)*IF($D60="V1",Parameters!$M$12,IF($D60="V2",Parameters!$N$12,Parameters!$O$12))</f>
        <v>0.462854410714286</v>
      </c>
      <c r="BI60" s="46" t="n">
        <f aca="false">BH60*(1+INDEX(Response_Table!$L$4:$L$21,MATCH($F60&amp;"|mid",Response_Table!$A$4:$A$21,0))*$R60*INDEX(Parameters!$X$12:$AA$12,1,MATCH($E60,Parameters!$X$3:$AA$3,0)))</f>
        <v>0.37256762621324</v>
      </c>
      <c r="BJ60" s="46" t="n">
        <f aca="false">MAX(0,MIN(BH60*(1+INDEX(Response_Table!$L$4:$L$21,MATCH($F60&amp;"|low",Response_Table!$A$4:$A$21,0))*$R60*INDEX(Parameters!$X$12:$AA$12,1,MATCH($E60,Parameters!$X$3:$AA$3,0))),BH60*(1+INDEX(Response_Table!$L$4:$L$21,MATCH($F60&amp;"|high",Response_Table!$A$4:$A$21,0))*$R60*INDEX(Parameters!$X$12:$AA$12,1,MATCH($E60,Parameters!$X$3:$AA$3,0))))*(1-Inputs_General!$C$22*Parameters!$F$12))</f>
        <v>0.279852770560789</v>
      </c>
      <c r="BK60" s="46" t="n">
        <f aca="false">MAX(BH60*(1+INDEX(Response_Table!$L$4:$L$21,MATCH($F60&amp;"|low",Response_Table!$A$4:$A$21,0))*$R60*INDEX(Parameters!$X$12:$AA$12,1,MATCH($E60,Parameters!$X$3:$AA$3,0))),BH60*(1+INDEX(Response_Table!$L$4:$L$21,MATCH($F60&amp;"|high",Response_Table!$A$4:$A$21,0))*$R60*INDEX(Parameters!$X$12:$AA$12,1,MATCH($E60,Parameters!$X$3:$AA$3,0))))*(1+Inputs_General!$C$22*Parameters!$F$12)</f>
        <v>0.481395369129015</v>
      </c>
      <c r="BL60" s="45" t="n">
        <f aca="false">IF(BH60=0,0,BI60/BH60-1)</f>
        <v>-0.19506519201516</v>
      </c>
      <c r="BM60" s="46" t="n">
        <f aca="false">Parameters!$E$13*IF($N60="V",Parameters!$I$13,IF($N60="F",Parameters!$J$13,Parameters!$K$13))*(1-Parameters!$L$13*$P60)*IF($D60="V1",Parameters!$M$13,IF($D60="V2",Parameters!$N$13,Parameters!$O$13))</f>
        <v>0.308784803571429</v>
      </c>
      <c r="BN60" s="46" t="n">
        <f aca="false">BM60*(1+INDEX(Response_Table!$M$4:$M$21,MATCH($F60&amp;"|mid",Response_Table!$A$4:$A$21,0))*$R60*INDEX(Parameters!$X$13:$AA$13,1,MATCH($E60,Parameters!$X$3:$AA$3,0)))</f>
        <v>0.286206995191403</v>
      </c>
      <c r="BO60" s="46" t="n">
        <f aca="false">MAX(0,MIN(BM60*(1+INDEX(Response_Table!$M$4:$M$21,MATCH($F60&amp;"|low",Response_Table!$A$4:$A$21,0))*$R60*INDEX(Parameters!$X$13:$AA$13,1,MATCH($E60,Parameters!$X$3:$AA$3,0))),BM60*(1+INDEX(Response_Table!$M$4:$M$21,MATCH($F60&amp;"|high",Response_Table!$A$4:$A$21,0))*$R60*INDEX(Parameters!$X$13:$AA$13,1,MATCH($E60,Parameters!$X$3:$AA$3,0))))*(1-Inputs_General!$C$22*Parameters!$F$13))</f>
        <v>0.215121936961382</v>
      </c>
      <c r="BP60" s="46" t="n">
        <f aca="false">MAX(BM60*(1+INDEX(Response_Table!$M$4:$M$21,MATCH($F60&amp;"|low",Response_Table!$A$4:$A$21,0))*$R60*INDEX(Parameters!$X$13:$AA$13,1,MATCH($E60,Parameters!$X$3:$AA$3,0))),BM60*(1+INDEX(Response_Table!$M$4:$M$21,MATCH($F60&amp;"|high",Response_Table!$A$4:$A$21,0))*$R60*INDEX(Parameters!$X$13:$AA$13,1,MATCH($E60,Parameters!$X$3:$AA$3,0))))*(1+Inputs_General!$C$22*Parameters!$F$13)</f>
        <v>0.365685242282551</v>
      </c>
      <c r="BQ60" s="45" t="n">
        <f aca="false">IF(BM60=0,0,BN60/BM60-1)</f>
        <v>-0.0731182626829086</v>
      </c>
      <c r="BR60" s="44" t="n">
        <f aca="false">Parameters!$E$14*IF($N60="V",Parameters!$I$14,IF($N60="F",Parameters!$J$14,Parameters!$K$14))*(1-Parameters!$L$14*$P60)*IF($D60="V1",Parameters!$M$14,IF($D60="V2",Parameters!$N$14,Parameters!$O$14))*INDEX(Context!$AC$4:$AC$51,$K60)</f>
        <v>15</v>
      </c>
      <c r="BS60" s="44" t="n">
        <f aca="false">BR60*(1+INDEX(Response_Table!$N$4:$N$21,MATCH($F60&amp;"|mid",Response_Table!$A$4:$A$21,0))*$R60*INDEX(Parameters!$X$14:$AA$14,1,MATCH($E60,Parameters!$X$3:$AA$3,0)))</f>
        <v>18.191975869339</v>
      </c>
      <c r="BT60" s="44" t="n">
        <f aca="false">MAX(0,MIN(BR60*(1+INDEX(Response_Table!$N$4:$N$21,MATCH($F60&amp;"|low",Response_Table!$A$4:$A$21,0))*$R60*INDEX(Parameters!$X$14:$AA$14,1,MATCH($E60,Parameters!$X$3:$AA$3,0))),BR60*(1+INDEX(Response_Table!$N$4:$N$21,MATCH($F60&amp;"|high",Response_Table!$A$4:$A$21,0))*$R60*INDEX(Parameters!$X$14:$AA$14,1,MATCH($E60,Parameters!$X$3:$AA$3,0))))*(1-Inputs_General!$C$22*Parameters!$F$14))</f>
        <v>8.68659323697798</v>
      </c>
      <c r="BU60" s="44" t="n">
        <f aca="false">MAX(BR60*(1+INDEX(Response_Table!$N$4:$N$21,MATCH($F60&amp;"|low",Response_Table!$A$4:$A$21,0))*$R60*INDEX(Parameters!$X$14:$AA$14,1,MATCH($E60,Parameters!$X$3:$AA$3,0))),BR60*(1+INDEX(Response_Table!$N$4:$N$21,MATCH($F60&amp;"|high",Response_Table!$A$4:$A$21,0))*$R60*INDEX(Parameters!$X$14:$AA$14,1,MATCH($E60,Parameters!$X$3:$AA$3,0))))*(1+Inputs_General!$C$22*Parameters!$F$14)</f>
        <v>28.4308572341319</v>
      </c>
      <c r="BV60" s="45" t="n">
        <f aca="false">IF(BR60=0,0,BS60/BR60-1)</f>
        <v>0.212798391289265</v>
      </c>
      <c r="BW60" s="43" t="n">
        <f aca="false">Parameters!$E$15*IF($N60="V",Parameters!$I$15,IF($N60="F",Parameters!$J$15,Parameters!$K$15))*(1-Parameters!$L$15*$P60)*IF($D60="V1",Parameters!$M$15,IF($D60="V2",Parameters!$N$15,Parameters!$O$15))</f>
        <v>9.98607142857143</v>
      </c>
      <c r="BX60" s="43" t="n">
        <f aca="false">BW60*(1+INDEX(Response_Table!$O$4:$O$21,MATCH($F60&amp;"|mid",Response_Table!$A$4:$A$21,0))*$R60*INDEX(Parameters!$X$15:$AA$15,1,MATCH($E60,Parameters!$X$3:$AA$3,0)))</f>
        <v>9.4548164447465</v>
      </c>
      <c r="BY60" s="43" t="n">
        <f aca="false">MAX(0,MIN(BW60*(1+INDEX(Response_Table!$O$4:$O$21,MATCH($F60&amp;"|low",Response_Table!$A$4:$A$21,0))*$R60*INDEX(Parameters!$X$15:$AA$15,1,MATCH($E60,Parameters!$X$3:$AA$3,0))),BW60*(1+INDEX(Response_Table!$O$4:$O$21,MATCH($F60&amp;"|high",Response_Table!$A$4:$A$21,0))*$R60*INDEX(Parameters!$X$15:$AA$15,1,MATCH($E60,Parameters!$X$3:$AA$3,0))))*(1-Inputs_General!$C$22*Parameters!$F$15))</f>
        <v>7.47563776011896</v>
      </c>
      <c r="BZ60" s="43" t="n">
        <f aca="false">MAX(BW60*(1+INDEX(Response_Table!$O$4:$O$21,MATCH($F60&amp;"|low",Response_Table!$A$4:$A$21,0))*$R60*INDEX(Parameters!$X$15:$AA$15,1,MATCH($E60,Parameters!$X$3:$AA$3,0))),BW60*(1+INDEX(Response_Table!$O$4:$O$21,MATCH($F60&amp;"|high",Response_Table!$A$4:$A$21,0))*$R60*INDEX(Parameters!$X$15:$AA$15,1,MATCH($E60,Parameters!$X$3:$AA$3,0))))*(1+Inputs_General!$C$22*Parameters!$F$15)</f>
        <v>11.5288047043274</v>
      </c>
      <c r="CA60" s="45" t="n">
        <f aca="false">IF(BW60=0,0,BX60/BW60-1)</f>
        <v>-0.0531995978223164</v>
      </c>
      <c r="CB60" s="46" t="n">
        <f aca="false">BD60+BI60</f>
        <v>1.34724091700532</v>
      </c>
      <c r="CC60" s="43" t="n">
        <f aca="false">BD60/BI60</f>
        <v>2.6160976483615</v>
      </c>
      <c r="CD60" s="46" t="n">
        <f aca="false">BN60/CB60</f>
        <v>0.212439357785829</v>
      </c>
      <c r="CE60" s="43" t="n">
        <f aca="false">AE60/AO60</f>
        <v>3.19069177373905</v>
      </c>
      <c r="CF60" s="44" t="n">
        <f aca="false">AE60/AJ60</f>
        <v>40.1229545262653</v>
      </c>
      <c r="CG60" s="44" t="n">
        <f aca="false">INDEX(Context!$V$4:$V$51,$K60)</f>
        <v>25.5785714285714</v>
      </c>
      <c r="CH60" s="44" t="n">
        <f aca="false">INDEX(Context!$Y$4:$Y$51,$K60)</f>
        <v>23.620522619794</v>
      </c>
      <c r="CI60" s="44" t="n">
        <f aca="false">INDEX(Context!$Z$4:$Z$51,$K60)</f>
        <v>29.5785714285714</v>
      </c>
      <c r="CJ60" s="43" t="n">
        <f aca="false">INDEX(Context!$AA$4:$AA$51,$K60)</f>
        <v>0.201160714285714</v>
      </c>
      <c r="CK60" s="43" t="n">
        <f aca="false">MAX(0,MIN(1,1-(1-CJ60)*AO60/AN60))</f>
        <v>0.357657733670103</v>
      </c>
      <c r="CL60" s="44" t="n">
        <f aca="false">CH60+CK60*(CI60-CH60)</f>
        <v>25.7514648538372</v>
      </c>
      <c r="CM60" s="44" t="n">
        <f aca="false">CH60+MAX(0,MIN(1,1-(1-CJ60)*AQ60/AN60))*(CI60-CH60)</f>
        <v>24.0420603656842</v>
      </c>
      <c r="CN60" s="44" t="n">
        <f aca="false">CH60+MAX(0,MIN(1,1-(1-CJ60)*AP60/AN60))*(CI60-CH60)</f>
        <v>27.1397196494107</v>
      </c>
      <c r="CO60" s="44" t="n">
        <f aca="false">CL60-CG60</f>
        <v>0.172893425265766</v>
      </c>
      <c r="CP60" s="44" t="n">
        <f aca="false">CL60-(CH60+CJ60*(CI60-CH60))</f>
        <v>0.932416879920375</v>
      </c>
      <c r="CQ60" s="46" t="n">
        <f aca="false">CL60/CG60</f>
        <v>1.00675930732678</v>
      </c>
      <c r="CR60" s="43" t="n">
        <f aca="false">IF(CL60-CH60&lt;=0,"n/a",(CI60-CL60)/(CL60-CH60))</f>
        <v>1.79596917907661</v>
      </c>
      <c r="CS60" s="43" t="n">
        <f aca="false">IF(CI60-CL60&lt;=0,"n/a",(CL60-CH60)/(CI60-CL60))</f>
        <v>0.55680242826558</v>
      </c>
      <c r="CT60" s="43" t="n">
        <f aca="false">Inputs_General!$C$23+Inputs_General!$C$24*$I60</f>
        <v>0.96</v>
      </c>
      <c r="CU60" s="44" t="n">
        <f aca="false">3.29*CT60</f>
        <v>3.1584</v>
      </c>
    </row>
    <row r="61" customFormat="false" ht="15" hidden="false" customHeight="false" outlineLevel="0" collapsed="false">
      <c r="A61" s="9" t="str">
        <f aca="false">B61&amp;"|"&amp;E61&amp;"|"&amp;F61</f>
        <v>D1V3|24/02/2026|High</v>
      </c>
      <c r="B61" s="7" t="s">
        <v>345</v>
      </c>
      <c r="C61" s="9" t="s">
        <v>127</v>
      </c>
      <c r="D61" s="9" t="s">
        <v>150</v>
      </c>
      <c r="E61" s="9" t="s">
        <v>160</v>
      </c>
      <c r="F61" s="7" t="s">
        <v>283</v>
      </c>
      <c r="G61" s="9" t="s">
        <v>284</v>
      </c>
      <c r="H61" s="41" t="n">
        <f aca="false">INDEX(Severity_Classes!$C$4:$C$9,MATCH(F61,Severity_Classes!$A$4:$A$9,0))</f>
        <v>0.26</v>
      </c>
      <c r="I61" s="41" t="n">
        <f aca="false">INDEX(Severity_Classes!$D$4:$D$9,MATCH(F61,Severity_Classes!$A$4:$A$9,0))</f>
        <v>0.38</v>
      </c>
      <c r="J61" s="41" t="n">
        <f aca="false">INDEX(Severity_Classes!$E$4:$E$9,MATCH(F61,Severity_Classes!$A$4:$A$9,0))</f>
        <v>0.5</v>
      </c>
      <c r="K61" s="42" t="n">
        <f aca="false">MATCH(B61&amp;"|"&amp;E61,Context!$A$4:$A$51,0)</f>
        <v>10</v>
      </c>
      <c r="L61" s="42" t="n">
        <f aca="false">INDEX(Context!$H$4:$H$51,K61)</f>
        <v>77</v>
      </c>
      <c r="M61" s="42" t="n">
        <f aca="false">INDEX(Context!$I$4:$I$51,K61)</f>
        <v>19</v>
      </c>
      <c r="N61" s="9" t="str">
        <f aca="false">INDEX(Context!$L$4:$L$51,K61)</f>
        <v>F</v>
      </c>
      <c r="O61" s="9" t="str">
        <f aca="false">INDEX(Context!$M$4:$M$51,K61)</f>
        <v>5th fully expanded leaf from top</v>
      </c>
      <c r="P61" s="43" t="n">
        <f aca="false">INDEX(Context!$R$4:$R$51,K61)</f>
        <v>0.0232142857142859</v>
      </c>
      <c r="Q61" s="43" t="n">
        <f aca="false">INDEX(Context!$U$4:$U$51,K61)</f>
        <v>1.19492600027053</v>
      </c>
      <c r="R61" s="43" t="n">
        <f aca="false">INDEX(Context!$AD$4:$AD$51,K61)</f>
        <v>0.85</v>
      </c>
      <c r="S61" s="9" t="str">
        <f aca="false">INDEX(Context!$AI$4:$AN$51,K61,MATCH(F61,Severity_Classes!$A$4:$A$9,0))</f>
        <v>Possible</v>
      </c>
      <c r="T61" s="44" t="n">
        <f aca="false">Parameters!$E$4*IF($N61="V",Parameters!$I$4,IF($N61="F",Parameters!$J$4,Parameters!$K$4))*(1-Parameters!$L$4*$P61)*IF($D61="V1",Parameters!$M$4,IF($D61="V2",Parameters!$N$4,Parameters!$O$4))</f>
        <v>85.0411767857143</v>
      </c>
      <c r="U61" s="44" t="n">
        <f aca="false">MIN(100,T61*(1+INDEX(Response_Table!$E$4:$E$21,MATCH($F61&amp;"|mid",Response_Table!$A$4:$A$21,0))*$R61*INDEX(Parameters!$X$4:$AA$4,1,MATCH($E61,Parameters!$X$3:$AA$3,0))))</f>
        <v>73.3638771374173</v>
      </c>
      <c r="V61" s="44" t="n">
        <f aca="false">MAX(0,MIN(T61*(1+INDEX(Response_Table!$E$4:$E$21,MATCH($F61&amp;"|low",Response_Table!$A$4:$A$21,0))*$R61*INDEX(Parameters!$X$4:$AA$4,1,MATCH($E61,Parameters!$X$3:$AA$3,0))),T61*(1+INDEX(Response_Table!$E$4:$E$21,MATCH($F61&amp;"|high",Response_Table!$A$4:$A$21,0))*$R61*INDEX(Parameters!$X$4:$AA$4,1,MATCH($E61,Parameters!$X$3:$AA$3,0))))*(1-Inputs_General!$C$22*Parameters!$F$4))</f>
        <v>63.9426041337893</v>
      </c>
      <c r="W61" s="44" t="n">
        <f aca="false">MIN(100,MAX(T61*(1+INDEX(Response_Table!$E$4:$E$21,MATCH($F61&amp;"|low",Response_Table!$A$4:$A$21,0))*$R61*INDEX(Parameters!$X$4:$AA$4,1,MATCH($E61,Parameters!$X$3:$AA$3,0))),T61*(1+INDEX(Response_Table!$E$4:$E$21,MATCH($F61&amp;"|high",Response_Table!$A$4:$A$21,0))*$R61*INDEX(Parameters!$X$4:$AA$4,1,MATCH($E61,Parameters!$X$3:$AA$3,0))))*(1+Inputs_General!$C$22*Parameters!$F$4))</f>
        <v>84.0713824116795</v>
      </c>
      <c r="X61" s="45" t="n">
        <f aca="false">IF(T61=0,0,U61/T61-1)</f>
        <v>-0.137313476714008</v>
      </c>
      <c r="Y61" s="44" t="n">
        <f aca="false">Parameters!$E$5*IF($N61="V",Parameters!$I$5,IF($N61="F",Parameters!$J$5,Parameters!$K$5))*(1-Parameters!$L$5*$P61)*IF($D61="V1",Parameters!$M$5,IF($D61="V2",Parameters!$N$5,Parameters!$O$5))</f>
        <v>70.36344</v>
      </c>
      <c r="Z61" s="44" t="n">
        <f aca="false">MIN(100,Y61*(1+INDEX(Response_Table!$F$4:$F$21,MATCH($F61&amp;"|mid",Response_Table!$A$4:$A$21,0))*$R61*INDEX(Parameters!$X$5:$AA$5,1,MATCH($E61,Parameters!$X$3:$AA$3,0))))</f>
        <v>40.4414561522777</v>
      </c>
      <c r="AA61" s="44" t="n">
        <f aca="false">MAX(0,MIN(Y61*(1+INDEX(Response_Table!$F$4:$F$21,MATCH($F61&amp;"|low",Response_Table!$A$4:$A$21,0))*$R61*INDEX(Parameters!$X$5:$AA$5,1,MATCH($E61,Parameters!$X$3:$AA$3,0))),Y61*(1+INDEX(Response_Table!$F$4:$F$21,MATCH($F61&amp;"|high",Response_Table!$A$4:$A$21,0))*$R61*INDEX(Parameters!$X$5:$AA$5,1,MATCH($E61,Parameters!$X$3:$AA$3,0))))*(1-Inputs_General!$C$22*Parameters!$F$5))</f>
        <v>29.1357439490814</v>
      </c>
      <c r="AB61" s="44" t="n">
        <f aca="false">MIN(100,MAX(Y61*(1+INDEX(Response_Table!$F$4:$F$21,MATCH($F61&amp;"|low",Response_Table!$A$4:$A$21,0))*$R61*INDEX(Parameters!$X$5:$AA$5,1,MATCH($E61,Parameters!$X$3:$AA$3,0))),Y61*(1+INDEX(Response_Table!$F$4:$F$21,MATCH($F61&amp;"|high",Response_Table!$A$4:$A$21,0))*$R61*INDEX(Parameters!$X$5:$AA$5,1,MATCH($E61,Parameters!$X$3:$AA$3,0))))*(1+Inputs_General!$C$22*Parameters!$F$5))</f>
        <v>59.0098298514084</v>
      </c>
      <c r="AC61" s="45" t="n">
        <f aca="false">IF(Y61=0,0,Z61/Y61-1)</f>
        <v>-0.425249019202618</v>
      </c>
      <c r="AD61" s="44" t="n">
        <f aca="false">Parameters!$E$6*IF($N61="V",Parameters!$I$6,IF($N61="F",Parameters!$J$6,Parameters!$K$6))*(1-Parameters!$L$6*$P61)*IF($D61="V1",Parameters!$M$6,IF($D61="V2",Parameters!$N$6,Parameters!$O$6))</f>
        <v>19.5154835714286</v>
      </c>
      <c r="AE61" s="44" t="n">
        <f aca="false">AD61*(1+INDEX(Response_Table!$G$4:$G$21,MATCH($F61&amp;"|mid",Response_Table!$A$4:$A$21,0))*$R61*INDEX(Parameters!$X$6:$AA$6,1,MATCH($E61,Parameters!$X$3:$AA$3,0)))</f>
        <v>9.41168794605889</v>
      </c>
      <c r="AF61" s="44" t="n">
        <f aca="false">MAX(0,MIN(AD61*(1+INDEX(Response_Table!$G$4:$G$21,MATCH($F61&amp;"|low",Response_Table!$A$4:$A$21,0))*$R61*INDEX(Parameters!$X$6:$AA$6,1,MATCH($E61,Parameters!$X$3:$AA$3,0))),AD61*(1+INDEX(Response_Table!$G$4:$G$21,MATCH($F61&amp;"|high",Response_Table!$A$4:$A$21,0))*$R61*INDEX(Parameters!$X$6:$AA$6,1,MATCH($E61,Parameters!$X$3:$AA$3,0))))*(1-Inputs_General!$C$22*Parameters!$F$6))</f>
        <v>6.7842800997251</v>
      </c>
      <c r="AG61" s="44" t="n">
        <f aca="false">MAX(AD61*(1+INDEX(Response_Table!$G$4:$G$21,MATCH($F61&amp;"|low",Response_Table!$A$4:$A$21,0))*$R61*INDEX(Parameters!$X$6:$AA$6,1,MATCH($E61,Parameters!$X$3:$AA$3,0))),AD61*(1+INDEX(Response_Table!$G$4:$G$21,MATCH($F61&amp;"|high",Response_Table!$A$4:$A$21,0))*$R61*INDEX(Parameters!$X$6:$AA$6,1,MATCH($E61,Parameters!$X$3:$AA$3,0))))*(1+Inputs_General!$C$22*Parameters!$F$6)</f>
        <v>13.2161660351021</v>
      </c>
      <c r="AH61" s="45" t="n">
        <f aca="false">IF(AD61=0,0,AE61/AD61-1)</f>
        <v>-0.51773227080891</v>
      </c>
      <c r="AI61" s="46" t="n">
        <f aca="false">Parameters!$E$7*IF($N61="V",Parameters!$I$7,IF($N61="F",Parameters!$J$7,Parameters!$K$7))*(1-Parameters!$L$7*$P61)*IF($D61="V1",Parameters!$M$7,IF($D61="V2",Parameters!$N$7,Parameters!$O$7))*POWER($Q61/Inputs_General!$C$26,-Inputs_General!$C$25)</f>
        <v>0.411663164578586</v>
      </c>
      <c r="AJ61" s="46" t="n">
        <f aca="false">AI61*(1+INDEX(Response_Table!$H$4:$H$21,MATCH($F61&amp;"|mid",Response_Table!$A$4:$A$21,0))*$R61*INDEX(Parameters!$X$7:$AA$7,1,MATCH($E61,Parameters!$X$3:$AA$3,0)))</f>
        <v>0.256960151262781</v>
      </c>
      <c r="AK61" s="46" t="n">
        <f aca="false">MAX(0,MIN(AI61*(1+INDEX(Response_Table!$H$4:$H$21,MATCH($F61&amp;"|low",Response_Table!$A$4:$A$21,0))*$R61*INDEX(Parameters!$X$7:$AA$7,1,MATCH($E61,Parameters!$X$3:$AA$3,0))),AI61*(1+INDEX(Response_Table!$H$4:$H$21,MATCH($F61&amp;"|high",Response_Table!$A$4:$A$21,0))*$R61*INDEX(Parameters!$X$7:$AA$7,1,MATCH($E61,Parameters!$X$3:$AA$3,0))))*(1-Inputs_General!$C$22*Parameters!$F$7))</f>
        <v>0.165394580293777</v>
      </c>
      <c r="AL61" s="46" t="n">
        <f aca="false">MAX(AI61*(1+INDEX(Response_Table!$H$4:$H$21,MATCH($F61&amp;"|low",Response_Table!$A$4:$A$21,0))*$R61*INDEX(Parameters!$X$7:$AA$7,1,MATCH($E61,Parameters!$X$3:$AA$3,0))),AI61*(1+INDEX(Response_Table!$H$4:$H$21,MATCH($F61&amp;"|high",Response_Table!$A$4:$A$21,0))*$R61*INDEX(Parameters!$X$7:$AA$7,1,MATCH($E61,Parameters!$X$3:$AA$3,0))))*(1+Inputs_General!$C$22*Parameters!$F$7)</f>
        <v>0.373900115776851</v>
      </c>
      <c r="AM61" s="45" t="n">
        <f aca="false">IF(AI61=0,0,AJ61/AI61-1)</f>
        <v>-0.375799990446492</v>
      </c>
      <c r="AN61" s="43" t="n">
        <f aca="false">AI61*$Q61/Inputs_General!$C$13*1000</f>
        <v>4.95374641196979</v>
      </c>
      <c r="AO61" s="43" t="n">
        <f aca="false">AJ61*$Q61/Inputs_General!$C$13*1000*(1+Inputs_General!$C$21*$I61)</f>
        <v>3.38588077065653</v>
      </c>
      <c r="AP61" s="43" t="n">
        <f aca="false">AK61*$Q61/Inputs_General!$C$13*1000*(1+Inputs_General!$C$21*$H61)</f>
        <v>2.11964262614464</v>
      </c>
      <c r="AQ61" s="43" t="n">
        <f aca="false">AL61*$Q61/Inputs_General!$C$13*1000*(1+Inputs_General!$C$21*$J61)</f>
        <v>5.06174059493113</v>
      </c>
      <c r="AR61" s="45" t="n">
        <f aca="false">IF(AN61=0,0,AO61/AN61-1)</f>
        <v>-0.316500989538909</v>
      </c>
      <c r="AS61" s="42" t="n">
        <f aca="false">Parameters!$E$9*IF($N61="V",Parameters!$I$9,IF($N61="F",Parameters!$J$9,Parameters!$K$9))*(1-Parameters!$L$9*$P61)*IF($D61="V1",Parameters!$M$9,IF($D61="V2",Parameters!$N$9,Parameters!$O$9))</f>
        <v>285</v>
      </c>
      <c r="AT61" s="42" t="n">
        <f aca="false">AS61*(1+INDEX(Response_Table!$I$4:$I$21,MATCH($F61&amp;"|mid",Response_Table!$A$4:$A$21,0))*$R61*INDEX(Parameters!$X$9:$AA$9,1,MATCH($E61,Parameters!$X$3:$AA$3,0)))</f>
        <v>341.780113615748</v>
      </c>
      <c r="AU61" s="42" t="n">
        <f aca="false">MAX(0,MIN(AS61*(1+INDEX(Response_Table!$I$4:$I$21,MATCH($F61&amp;"|low",Response_Table!$A$4:$A$21,0))*$R61*INDEX(Parameters!$X$9:$AA$9,1,MATCH($E61,Parameters!$X$3:$AA$3,0))),AS61*(1+INDEX(Response_Table!$I$4:$I$21,MATCH($F61&amp;"|high",Response_Table!$A$4:$A$21,0))*$R61*INDEX(Parameters!$X$9:$AA$9,1,MATCH($E61,Parameters!$X$3:$AA$3,0))))*(1-Inputs_General!$C$22*Parameters!$F$9))</f>
        <v>299.220496875066</v>
      </c>
      <c r="AV61" s="42" t="n">
        <f aca="false">MAX(AS61*(1+INDEX(Response_Table!$I$4:$I$21,MATCH($F61&amp;"|low",Response_Table!$A$4:$A$21,0))*$R61*INDEX(Parameters!$X$9:$AA$9,1,MATCH($E61,Parameters!$X$3:$AA$3,0))),AS61*(1+INDEX(Response_Table!$I$4:$I$21,MATCH($F61&amp;"|high",Response_Table!$A$4:$A$21,0))*$R61*INDEX(Parameters!$X$9:$AA$9,1,MATCH($E61,Parameters!$X$3:$AA$3,0))))*(1+Inputs_General!$C$22*Parameters!$F$9)</f>
        <v>382.171267759079</v>
      </c>
      <c r="AW61" s="45" t="n">
        <f aca="false">IF(AS61=0,0,AT61/AS61-1)</f>
        <v>0.199228468827185</v>
      </c>
      <c r="AX61" s="43" t="n">
        <f aca="false">INDEX(Context!$AB$4:$AB$51,$K61)</f>
        <v>3.24945780185873</v>
      </c>
      <c r="AY61" s="43" t="n">
        <f aca="false">AX61*(1+INDEX(Response_Table!$J$4:$J$21,MATCH($F61&amp;"|mid",Response_Table!$A$4:$A$21,0))*$R61*INDEX(Parameters!$X$10:$AA$10,1,MATCH($E61,Parameters!$X$3:$AA$3,0)))</f>
        <v>2.48722742090364</v>
      </c>
      <c r="AZ61" s="43" t="n">
        <f aca="false">MAX(0,MIN(AX61*(1+INDEX(Response_Table!$J$4:$J$21,MATCH($F61&amp;"|low",Response_Table!$A$4:$A$21,0))*$R61*INDEX(Parameters!$X$10:$AA$10,1,MATCH($E61,Parameters!$X$3:$AA$3,0))),AX61*(1+INDEX(Response_Table!$J$4:$J$21,MATCH($F61&amp;"|high",Response_Table!$A$4:$A$21,0))*$R61*INDEX(Parameters!$X$10:$AA$10,1,MATCH($E61,Parameters!$X$3:$AA$3,0))))*(1-Inputs_General!$C$22*Parameters!$F$10))</f>
        <v>1.89625650916042</v>
      </c>
      <c r="BA61" s="43" t="n">
        <f aca="false">MAX(AX61*(1+INDEX(Response_Table!$J$4:$J$21,MATCH($F61&amp;"|low",Response_Table!$A$4:$A$21,0))*$R61*INDEX(Parameters!$X$10:$AA$10,1,MATCH($E61,Parameters!$X$3:$AA$3,0))),AX61*(1+INDEX(Response_Table!$J$4:$J$21,MATCH($F61&amp;"|high",Response_Table!$A$4:$A$21,0))*$R61*INDEX(Parameters!$X$10:$AA$10,1,MATCH($E61,Parameters!$X$3:$AA$3,0))))*(1+Inputs_General!$C$22*Parameters!$F$10)</f>
        <v>3.17957605746626</v>
      </c>
      <c r="BB61" s="45" t="n">
        <f aca="false">IF(AX61=0,0,AY61/AX61-1)</f>
        <v>-0.234571558528653</v>
      </c>
      <c r="BC61" s="46" t="n">
        <f aca="false">Parameters!$E$11*IF($N61="V",Parameters!$I$11,IF($N61="F",Parameters!$J$11,Parameters!$K$11))*(1-Parameters!$L$11*$P61)*IF($D61="V1",Parameters!$M$11,IF($D61="V2",Parameters!$N$11,Parameters!$O$11))</f>
        <v>1.28570669642857</v>
      </c>
      <c r="BD61" s="46" t="n">
        <f aca="false">BC61*(1+INDEX(Response_Table!$K$4:$K$21,MATCH($F61&amp;"|mid",Response_Table!$A$4:$A$21,0))*$R61*INDEX(Parameters!$X$11:$AA$11,1,MATCH($E61,Parameters!$X$3:$AA$3,0)))</f>
        <v>0.785911917049289</v>
      </c>
      <c r="BE61" s="46" t="n">
        <f aca="false">MAX(0,MIN(BC61*(1+INDEX(Response_Table!$K$4:$K$21,MATCH($F61&amp;"|low",Response_Table!$A$4:$A$21,0))*$R61*INDEX(Parameters!$X$11:$AA$11,1,MATCH($E61,Parameters!$X$3:$AA$3,0))),BC61*(1+INDEX(Response_Table!$K$4:$K$21,MATCH($F61&amp;"|high",Response_Table!$A$4:$A$21,0))*$R61*INDEX(Parameters!$X$11:$AA$11,1,MATCH($E61,Parameters!$X$3:$AA$3,0))))*(1-Inputs_General!$C$22*Parameters!$F$11))</f>
        <v>0.600533616455604</v>
      </c>
      <c r="BF61" s="46" t="n">
        <f aca="false">MAX(BC61*(1+INDEX(Response_Table!$K$4:$K$21,MATCH($F61&amp;"|low",Response_Table!$A$4:$A$21,0))*$R61*INDEX(Parameters!$X$11:$AA$11,1,MATCH($E61,Parameters!$X$3:$AA$3,0))),BC61*(1+INDEX(Response_Table!$K$4:$K$21,MATCH($F61&amp;"|high",Response_Table!$A$4:$A$21,0))*$R61*INDEX(Parameters!$X$11:$AA$11,1,MATCH($E61,Parameters!$X$3:$AA$3,0))))*(1+Inputs_General!$C$22*Parameters!$F$11)</f>
        <v>1.02998134402783</v>
      </c>
      <c r="BG61" s="45" t="n">
        <f aca="false">IF(BC61=0,0,BD61/BC61-1)</f>
        <v>-0.388731567446611</v>
      </c>
      <c r="BH61" s="46" t="n">
        <f aca="false">Parameters!$E$12*IF($N61="V",Parameters!$I$12,IF($N61="F",Parameters!$J$12,Parameters!$K$12))*(1-Parameters!$L$12*$P61)*IF($D61="V1",Parameters!$M$12,IF($D61="V2",Parameters!$N$12,Parameters!$O$12))</f>
        <v>0.462854410714286</v>
      </c>
      <c r="BI61" s="46" t="n">
        <f aca="false">BH61*(1+INDEX(Response_Table!$L$4:$L$21,MATCH($F61&amp;"|mid",Response_Table!$A$4:$A$21,0))*$R61*INDEX(Parameters!$X$12:$AA$12,1,MATCH($E61,Parameters!$X$3:$AA$3,0)))</f>
        <v>0.315673832685824</v>
      </c>
      <c r="BJ61" s="46" t="n">
        <f aca="false">MAX(0,MIN(BH61*(1+INDEX(Response_Table!$L$4:$L$21,MATCH($F61&amp;"|low",Response_Table!$A$4:$A$21,0))*$R61*INDEX(Parameters!$X$12:$AA$12,1,MATCH($E61,Parameters!$X$3:$AA$3,0))),BH61*(1+INDEX(Response_Table!$L$4:$L$21,MATCH($F61&amp;"|high",Response_Table!$A$4:$A$21,0))*$R61*INDEX(Parameters!$X$12:$AA$12,1,MATCH($E61,Parameters!$X$3:$AA$3,0))))*(1-Inputs_General!$C$22*Parameters!$F$12))</f>
        <v>0.236567849087281</v>
      </c>
      <c r="BK61" s="46" t="n">
        <f aca="false">MAX(BH61*(1+INDEX(Response_Table!$L$4:$L$21,MATCH($F61&amp;"|low",Response_Table!$A$4:$A$21,0))*$R61*INDEX(Parameters!$X$12:$AA$12,1,MATCH($E61,Parameters!$X$3:$AA$3,0))),BH61*(1+INDEX(Response_Table!$L$4:$L$21,MATCH($F61&amp;"|high",Response_Table!$A$4:$A$21,0))*$R61*INDEX(Parameters!$X$12:$AA$12,1,MATCH($E61,Parameters!$X$3:$AA$3,0))))*(1+Inputs_General!$C$22*Parameters!$F$12)</f>
        <v>0.41389555951878</v>
      </c>
      <c r="BL61" s="45" t="n">
        <f aca="false">IF(BH61=0,0,BI61/BH61-1)</f>
        <v>-0.317984607300878</v>
      </c>
      <c r="BM61" s="46" t="n">
        <f aca="false">Parameters!$E$13*IF($N61="V",Parameters!$I$13,IF($N61="F",Parameters!$J$13,Parameters!$K$13))*(1-Parameters!$L$13*$P61)*IF($D61="V1",Parameters!$M$13,IF($D61="V2",Parameters!$N$13,Parameters!$O$13))</f>
        <v>0.308784803571429</v>
      </c>
      <c r="BN61" s="46" t="n">
        <f aca="false">BM61*(1+INDEX(Response_Table!$M$4:$M$21,MATCH($F61&amp;"|mid",Response_Table!$A$4:$A$21,0))*$R61*INDEX(Parameters!$X$13:$AA$13,1,MATCH($E61,Parameters!$X$3:$AA$3,0)))</f>
        <v>0.243439799766782</v>
      </c>
      <c r="BO61" s="46" t="n">
        <f aca="false">MAX(0,MIN(BM61*(1+INDEX(Response_Table!$M$4:$M$21,MATCH($F61&amp;"|low",Response_Table!$A$4:$A$21,0))*$R61*INDEX(Parameters!$X$13:$AA$13,1,MATCH($E61,Parameters!$X$3:$AA$3,0))),BM61*(1+INDEX(Response_Table!$M$4:$M$21,MATCH($F61&amp;"|high",Response_Table!$A$4:$A$21,0))*$R61*INDEX(Parameters!$X$13:$AA$13,1,MATCH($E61,Parameters!$X$3:$AA$3,0))))*(1-Inputs_General!$C$22*Parameters!$F$13))</f>
        <v>0.184298891383901</v>
      </c>
      <c r="BP61" s="46" t="n">
        <f aca="false">MAX(BM61*(1+INDEX(Response_Table!$M$4:$M$21,MATCH($F61&amp;"|low",Response_Table!$A$4:$A$21,0))*$R61*INDEX(Parameters!$X$13:$AA$13,1,MATCH($E61,Parameters!$X$3:$AA$3,0))),BM61*(1+INDEX(Response_Table!$M$4:$M$21,MATCH($F61&amp;"|high",Response_Table!$A$4:$A$21,0))*$R61*INDEX(Parameters!$X$13:$AA$13,1,MATCH($E61,Parameters!$X$3:$AA$3,0))))*(1+Inputs_General!$C$22*Parameters!$F$13)</f>
        <v>0.318151904384689</v>
      </c>
      <c r="BQ61" s="45" t="n">
        <f aca="false">IF(BM61=0,0,BN61/BM61-1)</f>
        <v>-0.211619882354511</v>
      </c>
      <c r="BR61" s="44" t="n">
        <f aca="false">Parameters!$E$14*IF($N61="V",Parameters!$I$14,IF($N61="F",Parameters!$J$14,Parameters!$K$14))*(1-Parameters!$L$14*$P61)*IF($D61="V1",Parameters!$M$14,IF($D61="V2",Parameters!$N$14,Parameters!$O$14))*INDEX(Context!$AC$4:$AC$51,$K61)</f>
        <v>15</v>
      </c>
      <c r="BS61" s="44" t="n">
        <f aca="false">BR61*(1+INDEX(Response_Table!$N$4:$N$21,MATCH($F61&amp;"|mid",Response_Table!$A$4:$A$21,0))*$R61*INDEX(Parameters!$X$14:$AA$14,1,MATCH($E61,Parameters!$X$3:$AA$3,0)))</f>
        <v>20.2033844831053</v>
      </c>
      <c r="BT61" s="44" t="n">
        <f aca="false">MAX(0,MIN(BR61*(1+INDEX(Response_Table!$N$4:$N$21,MATCH($F61&amp;"|low",Response_Table!$A$4:$A$21,0))*$R61*INDEX(Parameters!$X$14:$AA$14,1,MATCH($E61,Parameters!$X$3:$AA$3,0))),BR61*(1+INDEX(Response_Table!$N$4:$N$21,MATCH($F61&amp;"|high",Response_Table!$A$4:$A$21,0))*$R61*INDEX(Parameters!$X$14:$AA$14,1,MATCH($E61,Parameters!$X$3:$AA$3,0))))*(1-Inputs_General!$C$22*Parameters!$F$14))</f>
        <v>9.69602776784537</v>
      </c>
      <c r="BU61" s="44" t="n">
        <f aca="false">MAX(BR61*(1+INDEX(Response_Table!$N$4:$N$21,MATCH($F61&amp;"|low",Response_Table!$A$4:$A$21,0))*$R61*INDEX(Parameters!$X$14:$AA$14,1,MATCH($E61,Parameters!$X$3:$AA$3,0))),BR61*(1+INDEX(Response_Table!$N$4:$N$21,MATCH($F61&amp;"|high",Response_Table!$A$4:$A$21,0))*$R61*INDEX(Parameters!$X$14:$AA$14,1,MATCH($E61,Parameters!$X$3:$AA$3,0))))*(1+Inputs_General!$C$22*Parameters!$F$14)</f>
        <v>31.2784515595102</v>
      </c>
      <c r="BV61" s="45" t="n">
        <f aca="false">IF(BR61=0,0,BS61/BR61-1)</f>
        <v>0.346892298873685</v>
      </c>
      <c r="BW61" s="43" t="n">
        <f aca="false">Parameters!$E$15*IF($N61="V",Parameters!$I$15,IF($N61="F",Parameters!$J$15,Parameters!$K$15))*(1-Parameters!$L$15*$P61)*IF($D61="V1",Parameters!$M$15,IF($D61="V2",Parameters!$N$15,Parameters!$O$15))</f>
        <v>9.98607142857143</v>
      </c>
      <c r="BX61" s="43" t="n">
        <f aca="false">BW61*(1+INDEX(Response_Table!$O$4:$O$21,MATCH($F61&amp;"|mid",Response_Table!$A$4:$A$21,0))*$R61*INDEX(Parameters!$X$15:$AA$15,1,MATCH($E61,Parameters!$X$3:$AA$3,0)))</f>
        <v>9.12004860992794</v>
      </c>
      <c r="BY61" s="43" t="n">
        <f aca="false">MAX(0,MIN(BW61*(1+INDEX(Response_Table!$O$4:$O$21,MATCH($F61&amp;"|low",Response_Table!$A$4:$A$21,0))*$R61*INDEX(Parameters!$X$15:$AA$15,1,MATCH($E61,Parameters!$X$3:$AA$3,0))),BW61*(1+INDEX(Response_Table!$O$4:$O$21,MATCH($F61&amp;"|high",Response_Table!$A$4:$A$21,0))*$R61*INDEX(Parameters!$X$15:$AA$15,1,MATCH($E61,Parameters!$X$3:$AA$3,0))))*(1-Inputs_General!$C$22*Parameters!$F$15))</f>
        <v>7.2209456655411</v>
      </c>
      <c r="BZ61" s="43" t="n">
        <f aca="false">MAX(BW61*(1+INDEX(Response_Table!$O$4:$O$21,MATCH($F61&amp;"|low",Response_Table!$A$4:$A$21,0))*$R61*INDEX(Parameters!$X$15:$AA$15,1,MATCH($E61,Parameters!$X$3:$AA$3,0))),BW61*(1+INDEX(Response_Table!$O$4:$O$21,MATCH($F61&amp;"|high",Response_Table!$A$4:$A$21,0))*$R61*INDEX(Parameters!$X$15:$AA$15,1,MATCH($E61,Parameters!$X$3:$AA$3,0))))*(1+Inputs_General!$C$22*Parameters!$F$15)</f>
        <v>11.1316301847026</v>
      </c>
      <c r="CA61" s="45" t="n">
        <f aca="false">IF(BW61=0,0,BX61/BW61-1)</f>
        <v>-0.0867230747184212</v>
      </c>
      <c r="CB61" s="46" t="n">
        <f aca="false">BD61+BI61</f>
        <v>1.10158574973511</v>
      </c>
      <c r="CC61" s="43" t="n">
        <f aca="false">BD61/BI61</f>
        <v>2.48963276544835</v>
      </c>
      <c r="CD61" s="46" t="n">
        <f aca="false">BN61/CB61</f>
        <v>0.220990331279539</v>
      </c>
      <c r="CE61" s="43" t="n">
        <f aca="false">AE61/AO61</f>
        <v>2.77968675909221</v>
      </c>
      <c r="CF61" s="44" t="n">
        <f aca="false">AE61/AJ61</f>
        <v>36.6270330236302</v>
      </c>
      <c r="CG61" s="44" t="n">
        <f aca="false">INDEX(Context!$V$4:$V$51,$K61)</f>
        <v>25.5785714285714</v>
      </c>
      <c r="CH61" s="44" t="n">
        <f aca="false">INDEX(Context!$Y$4:$Y$51,$K61)</f>
        <v>23.620522619794</v>
      </c>
      <c r="CI61" s="44" t="n">
        <f aca="false">INDEX(Context!$Z$4:$Z$51,$K61)</f>
        <v>29.5785714285714</v>
      </c>
      <c r="CJ61" s="43" t="n">
        <f aca="false">INDEX(Context!$AA$4:$AA$51,$K61)</f>
        <v>0.201160714285714</v>
      </c>
      <c r="CK61" s="43" t="n">
        <f aca="false">MAX(0,MIN(1,1-(1-CJ61)*AO61/AN61))</f>
        <v>0.453994138696841</v>
      </c>
      <c r="CL61" s="44" t="n">
        <f aca="false">CH61+CK61*(CI61-CH61)</f>
        <v>26.3254418570487</v>
      </c>
      <c r="CM61" s="44" t="n">
        <f aca="false">CH61+MAX(0,MIN(1,1-(1-CJ61)*AQ61/AN61))*(CI61-CH61)</f>
        <v>24.7152879498815</v>
      </c>
      <c r="CN61" s="44" t="n">
        <f aca="false">CH61+MAX(0,MIN(1,1-(1-CJ61)*AP61/AN61))*(CI61-CH61)</f>
        <v>27.5420342392143</v>
      </c>
      <c r="CO61" s="44" t="n">
        <f aca="false">CL61-CG61</f>
        <v>0.746870428477223</v>
      </c>
      <c r="CP61" s="44" t="n">
        <f aca="false">CL61-(CH61+CJ61*(CI61-CH61))</f>
        <v>1.50639388313183</v>
      </c>
      <c r="CQ61" s="46" t="n">
        <f aca="false">CL61/CG61</f>
        <v>1.02919906729595</v>
      </c>
      <c r="CR61" s="43" t="n">
        <f aca="false">IF(CL61-CH61&lt;=0,"n/a",(CI61-CL61)/(CL61-CH61))</f>
        <v>1.20267160908824</v>
      </c>
      <c r="CS61" s="43" t="n">
        <f aca="false">IF(CI61-CL61&lt;=0,"n/a",(CL61-CH61)/(CI61-CL61))</f>
        <v>0.831482170563678</v>
      </c>
      <c r="CT61" s="43" t="n">
        <f aca="false">Inputs_General!$C$23+Inputs_General!$C$24*$I61</f>
        <v>1.36</v>
      </c>
      <c r="CU61" s="44" t="n">
        <f aca="false">3.29*CT61</f>
        <v>4.4744</v>
      </c>
    </row>
    <row r="62" customFormat="false" ht="15" hidden="false" customHeight="false" outlineLevel="0" collapsed="false">
      <c r="A62" s="9" t="str">
        <f aca="false">B62&amp;"|"&amp;E62&amp;"|"&amp;F62</f>
        <v>D1V3|24/02/2026|Very high</v>
      </c>
      <c r="B62" s="7" t="s">
        <v>345</v>
      </c>
      <c r="C62" s="9" t="s">
        <v>127</v>
      </c>
      <c r="D62" s="9" t="s">
        <v>150</v>
      </c>
      <c r="E62" s="9" t="s">
        <v>160</v>
      </c>
      <c r="F62" s="7" t="s">
        <v>285</v>
      </c>
      <c r="G62" s="9" t="s">
        <v>286</v>
      </c>
      <c r="H62" s="41" t="n">
        <f aca="false">INDEX(Severity_Classes!$C$4:$C$9,MATCH(F62,Severity_Classes!$A$4:$A$9,0))</f>
        <v>0.51</v>
      </c>
      <c r="I62" s="41" t="n">
        <f aca="false">INDEX(Severity_Classes!$D$4:$D$9,MATCH(F62,Severity_Classes!$A$4:$A$9,0))</f>
        <v>0.65</v>
      </c>
      <c r="J62" s="41" t="n">
        <f aca="false">INDEX(Severity_Classes!$E$4:$E$9,MATCH(F62,Severity_Classes!$A$4:$A$9,0))</f>
        <v>0.85</v>
      </c>
      <c r="K62" s="42" t="n">
        <f aca="false">MATCH(B62&amp;"|"&amp;E62,Context!$A$4:$A$51,0)</f>
        <v>10</v>
      </c>
      <c r="L62" s="42" t="n">
        <f aca="false">INDEX(Context!$H$4:$H$51,K62)</f>
        <v>77</v>
      </c>
      <c r="M62" s="42" t="n">
        <f aca="false">INDEX(Context!$I$4:$I$51,K62)</f>
        <v>19</v>
      </c>
      <c r="N62" s="9" t="str">
        <f aca="false">INDEX(Context!$L$4:$L$51,K62)</f>
        <v>F</v>
      </c>
      <c r="O62" s="9" t="str">
        <f aca="false">INDEX(Context!$M$4:$M$51,K62)</f>
        <v>5th fully expanded leaf from top</v>
      </c>
      <c r="P62" s="43" t="n">
        <f aca="false">INDEX(Context!$R$4:$R$51,K62)</f>
        <v>0.0232142857142859</v>
      </c>
      <c r="Q62" s="43" t="n">
        <f aca="false">INDEX(Context!$U$4:$U$51,K62)</f>
        <v>1.19492600027053</v>
      </c>
      <c r="R62" s="43" t="n">
        <f aca="false">INDEX(Context!$AD$4:$AD$51,K62)</f>
        <v>0.85</v>
      </c>
      <c r="S62" s="9" t="str">
        <f aca="false">INDEX(Context!$AI$4:$AN$51,K62,MATCH(F62,Severity_Classes!$A$4:$A$9,0))</f>
        <v>Unlikely</v>
      </c>
      <c r="T62" s="44" t="n">
        <f aca="false">Parameters!$E$4*IF($N62="V",Parameters!$I$4,IF($N62="F",Parameters!$J$4,Parameters!$K$4))*(1-Parameters!$L$4*$P62)*IF($D62="V1",Parameters!$M$4,IF($D62="V2",Parameters!$N$4,Parameters!$O$4))</f>
        <v>85.0411767857143</v>
      </c>
      <c r="U62" s="44" t="n">
        <f aca="false">MIN(100,T62*(1+INDEX(Response_Table!$E$4:$E$21,MATCH($F62&amp;"|mid",Response_Table!$A$4:$A$21,0))*$R62*INDEX(Parameters!$X$4:$AA$4,1,MATCH($E62,Parameters!$X$3:$AA$3,0))))</f>
        <v>65.0897176410308</v>
      </c>
      <c r="V62" s="44" t="n">
        <f aca="false">MAX(0,MIN(T62*(1+INDEX(Response_Table!$E$4:$E$21,MATCH($F62&amp;"|low",Response_Table!$A$4:$A$21,0))*$R62*INDEX(Parameters!$X$4:$AA$4,1,MATCH($E62,Parameters!$X$3:$AA$3,0))),T62*(1+INDEX(Response_Table!$E$4:$E$21,MATCH($F62&amp;"|high",Response_Table!$A$4:$A$21,0))*$R62*INDEX(Parameters!$X$4:$AA$4,1,MATCH($E62,Parameters!$X$3:$AA$3,0))))*(1-Inputs_General!$C$22*Parameters!$F$4))</f>
        <v>59.512901157725</v>
      </c>
      <c r="W62" s="44" t="n">
        <f aca="false">MIN(100,MAX(T62*(1+INDEX(Response_Table!$E$4:$E$21,MATCH($F62&amp;"|low",Response_Table!$A$4:$A$21,0))*$R62*INDEX(Parameters!$X$4:$AA$4,1,MATCH($E62,Parameters!$X$3:$AA$3,0))),T62*(1+INDEX(Response_Table!$E$4:$E$21,MATCH($F62&amp;"|high",Response_Table!$A$4:$A$21,0))*$R62*INDEX(Parameters!$X$4:$AA$4,1,MATCH($E62,Parameters!$X$3:$AA$3,0))))*(1+Inputs_General!$C$22*Parameters!$F$4))</f>
        <v>72.6068317544639</v>
      </c>
      <c r="X62" s="45" t="n">
        <f aca="false">IF(T62=0,0,U62/T62-1)</f>
        <v>-0.234609396280544</v>
      </c>
      <c r="Y62" s="44" t="n">
        <f aca="false">Parameters!$E$5*IF($N62="V",Parameters!$I$5,IF($N62="F",Parameters!$J$5,Parameters!$K$5))*(1-Parameters!$L$5*$P62)*IF($D62="V1",Parameters!$M$5,IF($D62="V2",Parameters!$N$5,Parameters!$O$5))</f>
        <v>70.36344</v>
      </c>
      <c r="Z62" s="44" t="n">
        <f aca="false">MIN(100,Y62*(1+INDEX(Response_Table!$F$4:$F$21,MATCH($F62&amp;"|mid",Response_Table!$A$4:$A$21,0))*$R62*INDEX(Parameters!$X$5:$AA$5,1,MATCH($E62,Parameters!$X$3:$AA$3,0))))</f>
        <v>29.5687257538174</v>
      </c>
      <c r="AA62" s="44" t="n">
        <f aca="false">MAX(0,MIN(Y62*(1+INDEX(Response_Table!$F$4:$F$21,MATCH($F62&amp;"|low",Response_Table!$A$4:$A$21,0))*$R62*INDEX(Parameters!$X$5:$AA$5,1,MATCH($E62,Parameters!$X$3:$AA$3,0))),Y62*(1+INDEX(Response_Table!$F$4:$F$21,MATCH($F62&amp;"|high",Response_Table!$A$4:$A$21,0))*$R62*INDEX(Parameters!$X$5:$AA$5,1,MATCH($E62,Parameters!$X$3:$AA$3,0))))*(1-Inputs_General!$C$22*Parameters!$F$5))</f>
        <v>25.346792922176</v>
      </c>
      <c r="AB62" s="44" t="n">
        <f aca="false">MIN(100,MAX(Y62*(1+INDEX(Response_Table!$F$4:$F$21,MATCH($F62&amp;"|low",Response_Table!$A$4:$A$21,0))*$R62*INDEX(Parameters!$X$5:$AA$5,1,MATCH($E62,Parameters!$X$3:$AA$3,0))),Y62*(1+INDEX(Response_Table!$F$4:$F$21,MATCH($F62&amp;"|high",Response_Table!$A$4:$A$21,0))*$R62*INDEX(Parameters!$X$5:$AA$5,1,MATCH($E62,Parameters!$X$3:$AA$3,0))))*(1+Inputs_General!$C$22*Parameters!$F$5))</f>
        <v>36.2916183816873</v>
      </c>
      <c r="AC62" s="45" t="n">
        <f aca="false">IF(Y62=0,0,Z62/Y62-1)</f>
        <v>-0.579771458674883</v>
      </c>
      <c r="AD62" s="44" t="n">
        <f aca="false">Parameters!$E$6*IF($N62="V",Parameters!$I$6,IF($N62="F",Parameters!$J$6,Parameters!$K$6))*(1-Parameters!$L$6*$P62)*IF($D62="V1",Parameters!$M$6,IF($D62="V2",Parameters!$N$6,Parameters!$O$6))</f>
        <v>19.5154835714286</v>
      </c>
      <c r="AE62" s="44" t="n">
        <f aca="false">AD62*(1+INDEX(Response_Table!$G$4:$G$21,MATCH($F62&amp;"|mid",Response_Table!$A$4:$A$21,0))*$R62*INDEX(Parameters!$X$6:$AA$6,1,MATCH($E62,Parameters!$X$3:$AA$3,0)))</f>
        <v>7.78685035784233</v>
      </c>
      <c r="AF62" s="44" t="n">
        <f aca="false">MAX(0,MIN(AD62*(1+INDEX(Response_Table!$G$4:$G$21,MATCH($F62&amp;"|low",Response_Table!$A$4:$A$21,0))*$R62*INDEX(Parameters!$X$6:$AA$6,1,MATCH($E62,Parameters!$X$3:$AA$3,0))),AD62*(1+INDEX(Response_Table!$G$4:$G$21,MATCH($F62&amp;"|high",Response_Table!$A$4:$A$21,0))*$R62*INDEX(Parameters!$X$6:$AA$6,1,MATCH($E62,Parameters!$X$3:$AA$3,0))))*(1-Inputs_General!$C$22*Parameters!$F$6))</f>
        <v>5.91507408371259</v>
      </c>
      <c r="AG62" s="44" t="n">
        <f aca="false">MAX(AD62*(1+INDEX(Response_Table!$G$4:$G$21,MATCH($F62&amp;"|low",Response_Table!$A$4:$A$21,0))*$R62*INDEX(Parameters!$X$6:$AA$6,1,MATCH($E62,Parameters!$X$3:$AA$3,0))),AD62*(1+INDEX(Response_Table!$G$4:$G$21,MATCH($F62&amp;"|high",Response_Table!$A$4:$A$21,0))*$R62*INDEX(Parameters!$X$6:$AA$6,1,MATCH($E62,Parameters!$X$3:$AA$3,0))))*(1+Inputs_General!$C$22*Parameters!$F$6)</f>
        <v>10.050423160938</v>
      </c>
      <c r="AH62" s="45" t="n">
        <f aca="false">IF(AD62=0,0,AE62/AD62-1)</f>
        <v>-0.600991165330765</v>
      </c>
      <c r="AI62" s="46" t="n">
        <f aca="false">Parameters!$E$7*IF($N62="V",Parameters!$I$7,IF($N62="F",Parameters!$J$7,Parameters!$K$7))*(1-Parameters!$L$7*$P62)*IF($D62="V1",Parameters!$M$7,IF($D62="V2",Parameters!$N$7,Parameters!$O$7))*POWER($Q62/Inputs_General!$C$26,-Inputs_General!$C$25)</f>
        <v>0.411663164578586</v>
      </c>
      <c r="AJ62" s="46" t="n">
        <f aca="false">AI62*(1+INDEX(Response_Table!$H$4:$H$21,MATCH($F62&amp;"|mid",Response_Table!$A$4:$A$21,0))*$R62*INDEX(Parameters!$X$7:$AA$7,1,MATCH($E62,Parameters!$X$3:$AA$3,0)))</f>
        <v>0.216578635636016</v>
      </c>
      <c r="AK62" s="46" t="n">
        <f aca="false">MAX(0,MIN(AI62*(1+INDEX(Response_Table!$H$4:$H$21,MATCH($F62&amp;"|low",Response_Table!$A$4:$A$21,0))*$R62*INDEX(Parameters!$X$7:$AA$7,1,MATCH($E62,Parameters!$X$3:$AA$3,0))),AI62*(1+INDEX(Response_Table!$H$4:$H$21,MATCH($F62&amp;"|high",Response_Table!$A$4:$A$21,0))*$R62*INDEX(Parameters!$X$7:$AA$7,1,MATCH($E62,Parameters!$X$3:$AA$3,0))))*(1-Inputs_General!$C$22*Parameters!$F$7))</f>
        <v>0.142172641274247</v>
      </c>
      <c r="AL62" s="46" t="n">
        <f aca="false">MAX(AI62*(1+INDEX(Response_Table!$H$4:$H$21,MATCH($F62&amp;"|low",Response_Table!$A$4:$A$21,0))*$R62*INDEX(Parameters!$X$7:$AA$7,1,MATCH($E62,Parameters!$X$3:$AA$3,0))),AI62*(1+INDEX(Response_Table!$H$4:$H$21,MATCH($F62&amp;"|high",Response_Table!$A$4:$A$21,0))*$R62*INDEX(Parameters!$X$7:$AA$7,1,MATCH($E62,Parameters!$X$3:$AA$3,0))))*(1+Inputs_General!$C$22*Parameters!$F$7)</f>
        <v>0.3025991481824</v>
      </c>
      <c r="AM62" s="45" t="n">
        <f aca="false">IF(AI62=0,0,AJ62/AI62-1)</f>
        <v>-0.473893575448451</v>
      </c>
      <c r="AN62" s="43" t="n">
        <f aca="false">AI62*$Q62/Inputs_General!$C$13*1000</f>
        <v>4.95374641196979</v>
      </c>
      <c r="AO62" s="43" t="n">
        <f aca="false">AJ62*$Q62/Inputs_General!$C$13*1000*(1+Inputs_General!$C$21*$I62)</f>
        <v>3.02970495753867</v>
      </c>
      <c r="AP62" s="43" t="n">
        <f aca="false">AK62*$Q62/Inputs_General!$C$13*1000*(1+Inputs_General!$C$21*$H62)</f>
        <v>1.92896498739087</v>
      </c>
      <c r="AQ62" s="43" t="n">
        <f aca="false">AL62*$Q62/Inputs_General!$C$13*1000*(1+Inputs_General!$C$21*$J62)</f>
        <v>4.41510677402038</v>
      </c>
      <c r="AR62" s="45" t="n">
        <f aca="false">IF(AN62=0,0,AO62/AN62-1)</f>
        <v>-0.388401281458825</v>
      </c>
      <c r="AS62" s="42" t="n">
        <f aca="false">Parameters!$E$9*IF($N62="V",Parameters!$I$9,IF($N62="F",Parameters!$J$9,Parameters!$K$9))*(1-Parameters!$L$9*$P62)*IF($D62="V1",Parameters!$M$9,IF($D62="V2",Parameters!$N$9,Parameters!$O$9))</f>
        <v>285</v>
      </c>
      <c r="AT62" s="42" t="n">
        <f aca="false">AS62*(1+INDEX(Response_Table!$I$4:$I$21,MATCH($F62&amp;"|mid",Response_Table!$A$4:$A$21,0))*$R62*INDEX(Parameters!$X$9:$AA$9,1,MATCH($E62,Parameters!$X$3:$AA$3,0)))</f>
        <v>352.277167703273</v>
      </c>
      <c r="AU62" s="42" t="n">
        <f aca="false">MAX(0,MIN(AS62*(1+INDEX(Response_Table!$I$4:$I$21,MATCH($F62&amp;"|low",Response_Table!$A$4:$A$21,0))*$R62*INDEX(Parameters!$X$9:$AA$9,1,MATCH($E62,Parameters!$X$3:$AA$3,0))),AS62*(1+INDEX(Response_Table!$I$4:$I$21,MATCH($F62&amp;"|high",Response_Table!$A$4:$A$21,0))*$R62*INDEX(Parameters!$X$9:$AA$9,1,MATCH($E62,Parameters!$X$3:$AA$3,0))))*(1-Inputs_General!$C$22*Parameters!$F$9))</f>
        <v>313.855339805687</v>
      </c>
      <c r="AV62" s="42" t="n">
        <f aca="false">MAX(AS62*(1+INDEX(Response_Table!$I$4:$I$21,MATCH($F62&amp;"|low",Response_Table!$A$4:$A$21,0))*$R62*INDEX(Parameters!$X$9:$AA$9,1,MATCH($E62,Parameters!$X$3:$AA$3,0))),AS62*(1+INDEX(Response_Table!$I$4:$I$21,MATCH($F62&amp;"|high",Response_Table!$A$4:$A$21,0))*$R62*INDEX(Parameters!$X$9:$AA$9,1,MATCH($E62,Parameters!$X$3:$AA$3,0))))*(1+Inputs_General!$C$22*Parameters!$F$9)</f>
        <v>390.312732889309</v>
      </c>
      <c r="AW62" s="45" t="n">
        <f aca="false">IF(AS62=0,0,AT62/AS62-1)</f>
        <v>0.236060237555345</v>
      </c>
      <c r="AX62" s="43" t="n">
        <f aca="false">INDEX(Context!$AB$4:$AB$51,$K62)</f>
        <v>3.24945780185873</v>
      </c>
      <c r="AY62" s="43" t="n">
        <f aca="false">AX62*(1+INDEX(Response_Table!$J$4:$J$21,MATCH($F62&amp;"|mid",Response_Table!$A$4:$A$21,0))*$R62*INDEX(Parameters!$X$10:$AA$10,1,MATCH($E62,Parameters!$X$3:$AA$3,0)))</f>
        <v>2.25128518121829</v>
      </c>
      <c r="AZ62" s="43" t="n">
        <f aca="false">MAX(0,MIN(AX62*(1+INDEX(Response_Table!$J$4:$J$21,MATCH($F62&amp;"|low",Response_Table!$A$4:$A$21,0))*$R62*INDEX(Parameters!$X$10:$AA$10,1,MATCH($E62,Parameters!$X$3:$AA$3,0))),AX62*(1+INDEX(Response_Table!$J$4:$J$21,MATCH($F62&amp;"|high",Response_Table!$A$4:$A$21,0))*$R62*INDEX(Parameters!$X$10:$AA$10,1,MATCH($E62,Parameters!$X$3:$AA$3,0))))*(1-Inputs_General!$C$22*Parameters!$F$10))</f>
        <v>1.72959138800471</v>
      </c>
      <c r="BA62" s="43" t="n">
        <f aca="false">MAX(AX62*(1+INDEX(Response_Table!$J$4:$J$21,MATCH($F62&amp;"|low",Response_Table!$A$4:$A$21,0))*$R62*INDEX(Parameters!$X$10:$AA$10,1,MATCH($E62,Parameters!$X$3:$AA$3,0))),AX62*(1+INDEX(Response_Table!$J$4:$J$21,MATCH($F62&amp;"|high",Response_Table!$A$4:$A$21,0))*$R62*INDEX(Parameters!$X$10:$AA$10,1,MATCH($E62,Parameters!$X$3:$AA$3,0))))*(1+Inputs_General!$C$22*Parameters!$F$10)</f>
        <v>2.81849982668544</v>
      </c>
      <c r="BB62" s="45" t="n">
        <f aca="false">IF(AX62=0,0,AY62/AX62-1)</f>
        <v>-0.307181284234396</v>
      </c>
      <c r="BC62" s="46" t="n">
        <f aca="false">Parameters!$E$11*IF($N62="V",Parameters!$I$11,IF($N62="F",Parameters!$J$11,Parameters!$K$11))*(1-Parameters!$L$11*$P62)*IF($D62="V1",Parameters!$M$11,IF($D62="V2",Parameters!$N$11,Parameters!$O$11))</f>
        <v>1.28570669642857</v>
      </c>
      <c r="BD62" s="46" t="n">
        <f aca="false">BC62*(1+INDEX(Response_Table!$K$4:$K$21,MATCH($F62&amp;"|mid",Response_Table!$A$4:$A$21,0))*$R62*INDEX(Parameters!$X$11:$AA$11,1,MATCH($E62,Parameters!$X$3:$AA$3,0)))</f>
        <v>0.664098291403289</v>
      </c>
      <c r="BE62" s="46" t="n">
        <f aca="false">MAX(0,MIN(BC62*(1+INDEX(Response_Table!$K$4:$K$21,MATCH($F62&amp;"|low",Response_Table!$A$4:$A$21,0))*$R62*INDEX(Parameters!$X$11:$AA$11,1,MATCH($E62,Parameters!$X$3:$AA$3,0))),BC62*(1+INDEX(Response_Table!$K$4:$K$21,MATCH($F62&amp;"|high",Response_Table!$A$4:$A$21,0))*$R62*INDEX(Parameters!$X$11:$AA$11,1,MATCH($E62,Parameters!$X$3:$AA$3,0))))*(1-Inputs_General!$C$22*Parameters!$F$11))</f>
        <v>0.519804714803013</v>
      </c>
      <c r="BF62" s="46" t="n">
        <f aca="false">MAX(BC62*(1+INDEX(Response_Table!$K$4:$K$21,MATCH($F62&amp;"|low",Response_Table!$A$4:$A$21,0))*$R62*INDEX(Parameters!$X$11:$AA$11,1,MATCH($E62,Parameters!$X$3:$AA$3,0))),BC62*(1+INDEX(Response_Table!$K$4:$K$21,MATCH($F62&amp;"|high",Response_Table!$A$4:$A$21,0))*$R62*INDEX(Parameters!$X$11:$AA$11,1,MATCH($E62,Parameters!$X$3:$AA$3,0))))*(1+Inputs_General!$C$22*Parameters!$F$11)</f>
        <v>0.831749734923213</v>
      </c>
      <c r="BG62" s="45" t="n">
        <f aca="false">IF(BC62=0,0,BD62/BC62-1)</f>
        <v>-0.483476057760283</v>
      </c>
      <c r="BH62" s="46" t="n">
        <f aca="false">Parameters!$E$12*IF($N62="V",Parameters!$I$12,IF($N62="F",Parameters!$J$12,Parameters!$K$12))*(1-Parameters!$L$12*$P62)*IF($D62="V1",Parameters!$M$12,IF($D62="V2",Parameters!$N$12,Parameters!$O$12))</f>
        <v>0.462854410714286</v>
      </c>
      <c r="BI62" s="46" t="n">
        <f aca="false">BH62*(1+INDEX(Response_Table!$L$4:$L$21,MATCH($F62&amp;"|mid",Response_Table!$A$4:$A$21,0))*$R62*INDEX(Parameters!$X$12:$AA$12,1,MATCH($E62,Parameters!$X$3:$AA$3,0)))</f>
        <v>0.277255868586573</v>
      </c>
      <c r="BJ62" s="46" t="n">
        <f aca="false">MAX(0,MIN(BH62*(1+INDEX(Response_Table!$L$4:$L$21,MATCH($F62&amp;"|low",Response_Table!$A$4:$A$21,0))*$R62*INDEX(Parameters!$X$12:$AA$12,1,MATCH($E62,Parameters!$X$3:$AA$3,0))),BH62*(1+INDEX(Response_Table!$L$4:$L$21,MATCH($F62&amp;"|high",Response_Table!$A$4:$A$21,0))*$R62*INDEX(Parameters!$X$12:$AA$12,1,MATCH($E62,Parameters!$X$3:$AA$3,0))))*(1-Inputs_General!$C$22*Parameters!$F$12))</f>
        <v>0.211377255475702</v>
      </c>
      <c r="BK62" s="46" t="n">
        <f aca="false">MAX(BH62*(1+INDEX(Response_Table!$L$4:$L$21,MATCH($F62&amp;"|low",Response_Table!$A$4:$A$21,0))*$R62*INDEX(Parameters!$X$12:$AA$12,1,MATCH($E62,Parameters!$X$3:$AA$3,0))),BH62*(1+INDEX(Response_Table!$L$4:$L$21,MATCH($F62&amp;"|high",Response_Table!$A$4:$A$21,0))*$R62*INDEX(Parameters!$X$12:$AA$12,1,MATCH($E62,Parameters!$X$3:$AA$3,0))))*(1+Inputs_General!$C$22*Parameters!$F$12)</f>
        <v>0.351227261806219</v>
      </c>
      <c r="BL62" s="45" t="n">
        <f aca="false">IF(BH62=0,0,BI62/BH62-1)</f>
        <v>-0.400986871533305</v>
      </c>
      <c r="BM62" s="46" t="n">
        <f aca="false">Parameters!$E$13*IF($N62="V",Parameters!$I$13,IF($N62="F",Parameters!$J$13,Parameters!$K$13))*(1-Parameters!$L$13*$P62)*IF($D62="V1",Parameters!$M$13,IF($D62="V2",Parameters!$N$13,Parameters!$O$13))</f>
        <v>0.308784803571429</v>
      </c>
      <c r="BN62" s="46" t="n">
        <f aca="false">BM62*(1+INDEX(Response_Table!$M$4:$M$21,MATCH($F62&amp;"|mid",Response_Table!$A$4:$A$21,0))*$R62*INDEX(Parameters!$X$13:$AA$13,1,MATCH($E62,Parameters!$X$3:$AA$3,0)))</f>
        <v>0.21943209251753</v>
      </c>
      <c r="BO62" s="46" t="n">
        <f aca="false">MAX(0,MIN(BM62*(1+INDEX(Response_Table!$M$4:$M$21,MATCH($F62&amp;"|low",Response_Table!$A$4:$A$21,0))*$R62*INDEX(Parameters!$X$13:$AA$13,1,MATCH($E62,Parameters!$X$3:$AA$3,0))),BM62*(1+INDEX(Response_Table!$M$4:$M$21,MATCH($F62&amp;"|high",Response_Table!$A$4:$A$21,0))*$R62*INDEX(Parameters!$X$13:$AA$13,1,MATCH($E62,Parameters!$X$3:$AA$3,0))))*(1-Inputs_General!$C$22*Parameters!$F$13))</f>
        <v>0.17024663610481</v>
      </c>
      <c r="BP62" s="46" t="n">
        <f aca="false">MAX(BM62*(1+INDEX(Response_Table!$M$4:$M$21,MATCH($F62&amp;"|low",Response_Table!$A$4:$A$21,0))*$R62*INDEX(Parameters!$X$13:$AA$13,1,MATCH($E62,Parameters!$X$3:$AA$3,0))),BM62*(1+INDEX(Response_Table!$M$4:$M$21,MATCH($F62&amp;"|high",Response_Table!$A$4:$A$21,0))*$R62*INDEX(Parameters!$X$13:$AA$13,1,MATCH($E62,Parameters!$X$3:$AA$3,0))))*(1+Inputs_General!$C$22*Parameters!$F$13)</f>
        <v>0.27390495430171</v>
      </c>
      <c r="BQ62" s="45" t="n">
        <f aca="false">IF(BM62=0,0,BN62/BM62-1)</f>
        <v>-0.289368874440834</v>
      </c>
      <c r="BR62" s="44" t="n">
        <f aca="false">Parameters!$E$14*IF($N62="V",Parameters!$I$14,IF($N62="F",Parameters!$J$14,Parameters!$K$14))*(1-Parameters!$L$14*$P62)*IF($D62="V1",Parameters!$M$14,IF($D62="V2",Parameters!$N$14,Parameters!$O$14))*INDEX(Context!$AC$4:$AC$51,$K62)</f>
        <v>15</v>
      </c>
      <c r="BS62" s="44" t="n">
        <f aca="false">BR62*(1+INDEX(Response_Table!$N$4:$N$21,MATCH($F62&amp;"|mid",Response_Table!$A$4:$A$21,0))*$R62*INDEX(Parameters!$X$14:$AA$14,1,MATCH($E62,Parameters!$X$3:$AA$3,0)))</f>
        <v>21.5616033523632</v>
      </c>
      <c r="BT62" s="44" t="n">
        <f aca="false">MAX(0,MIN(BR62*(1+INDEX(Response_Table!$N$4:$N$21,MATCH($F62&amp;"|low",Response_Table!$A$4:$A$21,0))*$R62*INDEX(Parameters!$X$14:$AA$14,1,MATCH($E62,Parameters!$X$3:$AA$3,0))),BR62*(1+INDEX(Response_Table!$N$4:$N$21,MATCH($F62&amp;"|high",Response_Table!$A$4:$A$21,0))*$R62*INDEX(Parameters!$X$14:$AA$14,1,MATCH($E62,Parameters!$X$3:$AA$3,0))))*(1-Inputs_General!$C$22*Parameters!$F$14))</f>
        <v>10.633208836459</v>
      </c>
      <c r="BU62" s="44" t="n">
        <f aca="false">MAX(BR62*(1+INDEX(Response_Table!$N$4:$N$21,MATCH($F62&amp;"|low",Response_Table!$A$4:$A$21,0))*$R62*INDEX(Parameters!$X$14:$AA$14,1,MATCH($E62,Parameters!$X$3:$AA$3,0))),BR62*(1+INDEX(Response_Table!$N$4:$N$21,MATCH($F62&amp;"|high",Response_Table!$A$4:$A$21,0))*$R62*INDEX(Parameters!$X$14:$AA$14,1,MATCH($E62,Parameters!$X$3:$AA$3,0))))*(1+Inputs_General!$C$22*Parameters!$F$14)</f>
        <v>32.9356704934787</v>
      </c>
      <c r="BV62" s="45" t="n">
        <f aca="false">IF(BR62=0,0,BS62/BR62-1)</f>
        <v>0.437440223490878</v>
      </c>
      <c r="BW62" s="43" t="n">
        <f aca="false">Parameters!$E$15*IF($N62="V",Parameters!$I$15,IF($N62="F",Parameters!$J$15,Parameters!$K$15))*(1-Parameters!$L$15*$P62)*IF($D62="V1",Parameters!$M$15,IF($D62="V2",Parameters!$N$15,Parameters!$O$15))</f>
        <v>9.98607142857143</v>
      </c>
      <c r="BX62" s="43" t="n">
        <f aca="false">BW62*(1+INDEX(Response_Table!$O$4:$O$21,MATCH($F62&amp;"|mid",Response_Table!$A$4:$A$21,0))*$R62*INDEX(Parameters!$X$15:$AA$15,1,MATCH($E62,Parameters!$X$3:$AA$3,0)))</f>
        <v>8.89399409919389</v>
      </c>
      <c r="BY62" s="43" t="n">
        <f aca="false">MAX(0,MIN(BW62*(1+INDEX(Response_Table!$O$4:$O$21,MATCH($F62&amp;"|low",Response_Table!$A$4:$A$21,0))*$R62*INDEX(Parameters!$X$15:$AA$15,1,MATCH($E62,Parameters!$X$3:$AA$3,0))),BW62*(1+INDEX(Response_Table!$O$4:$O$21,MATCH($F62&amp;"|high",Response_Table!$A$4:$A$21,0))*$R62*INDEX(Parameters!$X$15:$AA$15,1,MATCH($E62,Parameters!$X$3:$AA$3,0))))*(1-Inputs_General!$C$22*Parameters!$F$15))</f>
        <v>7.07272210795605</v>
      </c>
      <c r="BZ62" s="43" t="n">
        <f aca="false">MAX(BW62*(1+INDEX(Response_Table!$O$4:$O$21,MATCH($F62&amp;"|low",Response_Table!$A$4:$A$21,0))*$R62*INDEX(Parameters!$X$15:$AA$15,1,MATCH($E62,Parameters!$X$3:$AA$3,0))),BW62*(1+INDEX(Response_Table!$O$4:$O$21,MATCH($F62&amp;"|high",Response_Table!$A$4:$A$21,0))*$R62*INDEX(Parameters!$X$15:$AA$15,1,MATCH($E62,Parameters!$X$3:$AA$3,0))))*(1+Inputs_General!$C$22*Parameters!$F$15)</f>
        <v>10.7628846847758</v>
      </c>
      <c r="CA62" s="45" t="n">
        <f aca="false">IF(BW62=0,0,BX62/BW62-1)</f>
        <v>-0.109360055872719</v>
      </c>
      <c r="CB62" s="46" t="n">
        <f aca="false">BD62+BI62</f>
        <v>0.941354159989861</v>
      </c>
      <c r="CC62" s="43" t="n">
        <f aca="false">BD62/BI62</f>
        <v>2.3952542277601</v>
      </c>
      <c r="CD62" s="46" t="n">
        <f aca="false">BN62/CB62</f>
        <v>0.233102589698965</v>
      </c>
      <c r="CE62" s="43" t="n">
        <f aca="false">AE62/AO62</f>
        <v>2.57016787673225</v>
      </c>
      <c r="CF62" s="44" t="n">
        <f aca="false">AE62/AJ62</f>
        <v>35.9539173149515</v>
      </c>
      <c r="CG62" s="44" t="n">
        <f aca="false">INDEX(Context!$V$4:$V$51,$K62)</f>
        <v>25.5785714285714</v>
      </c>
      <c r="CH62" s="44" t="n">
        <f aca="false">INDEX(Context!$Y$4:$Y$51,$K62)</f>
        <v>23.620522619794</v>
      </c>
      <c r="CI62" s="44" t="n">
        <f aca="false">INDEX(Context!$Z$4:$Z$51,$K62)</f>
        <v>29.5785714285714</v>
      </c>
      <c r="CJ62" s="43" t="n">
        <f aca="false">INDEX(Context!$AA$4:$AA$51,$K62)</f>
        <v>0.201160714285714</v>
      </c>
      <c r="CK62" s="43" t="n">
        <f aca="false">MAX(0,MIN(1,1-(1-CJ62)*AO62/AN62))</f>
        <v>0.511430916536795</v>
      </c>
      <c r="CL62" s="44" t="n">
        <f aca="false">CH62+CK62*(CI62-CH62)</f>
        <v>26.667652982838</v>
      </c>
      <c r="CM62" s="44" t="n">
        <f aca="false">CH62+MAX(0,MIN(1,1-(1-CJ62)*AQ62/AN62))*(CI62-CH62)</f>
        <v>25.3365690129898</v>
      </c>
      <c r="CN62" s="44" t="n">
        <f aca="false">CH62+MAX(0,MIN(1,1-(1-CJ62)*AP62/AN62))*(CI62-CH62)</f>
        <v>27.7252359250603</v>
      </c>
      <c r="CO62" s="44" t="n">
        <f aca="false">CL62-CG62</f>
        <v>1.08908155426657</v>
      </c>
      <c r="CP62" s="44" t="n">
        <f aca="false">CL62-(CH62+CJ62*(CI62-CH62))</f>
        <v>1.84860500892118</v>
      </c>
      <c r="CQ62" s="46" t="n">
        <f aca="false">CL62/CG62</f>
        <v>1.04257788818691</v>
      </c>
      <c r="CR62" s="43" t="n">
        <f aca="false">IF(CL62-CH62&lt;=0,"n/a",(CI62-CL62)/(CL62-CH62))</f>
        <v>0.95529829673106</v>
      </c>
      <c r="CS62" s="43" t="n">
        <f aca="false">IF(CI62-CL62&lt;=0,"n/a",(CL62-CH62)/(CI62-CL62))</f>
        <v>1.04679345019446</v>
      </c>
      <c r="CT62" s="43" t="n">
        <f aca="false">Inputs_General!$C$23+Inputs_General!$C$24*$I62</f>
        <v>1.9</v>
      </c>
      <c r="CU62" s="44" t="n">
        <f aca="false">3.29*CT62</f>
        <v>6.251</v>
      </c>
    </row>
    <row r="63" customFormat="false" ht="15" hidden="false" customHeight="false" outlineLevel="0" collapsed="false">
      <c r="A63" s="33" t="str">
        <f aca="false">B63&amp;"|"&amp;E63&amp;"|"&amp;F63</f>
        <v>D1V3|03/03/2026|Healthy</v>
      </c>
      <c r="B63" s="34" t="s">
        <v>345</v>
      </c>
      <c r="C63" s="33" t="s">
        <v>127</v>
      </c>
      <c r="D63" s="33" t="s">
        <v>150</v>
      </c>
      <c r="E63" s="33" t="s">
        <v>162</v>
      </c>
      <c r="F63" s="34" t="s">
        <v>275</v>
      </c>
      <c r="G63" s="33" t="s">
        <v>276</v>
      </c>
      <c r="H63" s="35" t="n">
        <f aca="false">INDEX(Severity_Classes!$C$4:$C$9,MATCH(F63,Severity_Classes!$A$4:$A$9,0))</f>
        <v>0</v>
      </c>
      <c r="I63" s="35" t="n">
        <f aca="false">INDEX(Severity_Classes!$D$4:$D$9,MATCH(F63,Severity_Classes!$A$4:$A$9,0))</f>
        <v>0</v>
      </c>
      <c r="J63" s="35" t="n">
        <f aca="false">INDEX(Severity_Classes!$E$4:$E$9,MATCH(F63,Severity_Classes!$A$4:$A$9,0))</f>
        <v>0</v>
      </c>
      <c r="K63" s="36" t="n">
        <f aca="false">MATCH(B63&amp;"|"&amp;E63,Context!$A$4:$A$51,0)</f>
        <v>11</v>
      </c>
      <c r="L63" s="36" t="n">
        <f aca="false">INDEX(Context!$H$4:$H$51,K63)</f>
        <v>84</v>
      </c>
      <c r="M63" s="36" t="n">
        <f aca="false">INDEX(Context!$I$4:$I$51,K63)</f>
        <v>26</v>
      </c>
      <c r="N63" s="33" t="str">
        <f aca="false">INDEX(Context!$L$4:$L$51,K63)</f>
        <v>F</v>
      </c>
      <c r="O63" s="33" t="str">
        <f aca="false">INDEX(Context!$M$4:$M$51,K63)</f>
        <v>5th fully expanded leaf from top</v>
      </c>
      <c r="P63" s="37" t="n">
        <f aca="false">INDEX(Context!$R$4:$R$51,K63)</f>
        <v>0.433928571428571</v>
      </c>
      <c r="Q63" s="37" t="n">
        <f aca="false">INDEX(Context!$U$4:$U$51,K63)</f>
        <v>1.73951545534029</v>
      </c>
      <c r="R63" s="37" t="n">
        <f aca="false">INDEX(Context!$AD$4:$AD$51,K63)</f>
        <v>0.85</v>
      </c>
      <c r="S63" s="33" t="str">
        <f aca="false">INDEX(Context!$AI$4:$AN$51,K63,MATCH(F63,Severity_Classes!$A$4:$A$9,0))</f>
        <v>Reference: healthy (uninoculated) control plot</v>
      </c>
      <c r="T63" s="38" t="n">
        <f aca="false">Parameters!$E$4*IF($N63="V",Parameters!$I$4,IF($N63="F",Parameters!$J$4,Parameters!$K$4))*(1-Parameters!$L$4*$P63)*IF($D63="V1",Parameters!$M$4,IF($D63="V2",Parameters!$N$4,Parameters!$O$4))</f>
        <v>83.2927660714286</v>
      </c>
      <c r="U63" s="38" t="n">
        <f aca="false">MIN(100,T63*(1+INDEX(Response_Table!$E$4:$E$21,MATCH($F63&amp;"|mid",Response_Table!$A$4:$A$21,0))*$R63*INDEX(Parameters!$X$4:$AA$4,1,MATCH($E63,Parameters!$X$3:$AA$3,0))))</f>
        <v>83.2927660714286</v>
      </c>
      <c r="V63" s="38" t="n">
        <f aca="false">MAX(0,MIN(T63*(1+INDEX(Response_Table!$E$4:$E$21,MATCH($F63&amp;"|low",Response_Table!$A$4:$A$21,0))*$R63*INDEX(Parameters!$X$4:$AA$4,1,MATCH($E63,Parameters!$X$3:$AA$3,0))),T63*(1+INDEX(Response_Table!$E$4:$E$21,MATCH($F63&amp;"|high",Response_Table!$A$4:$A$21,0))*$R63*INDEX(Parameters!$X$4:$AA$4,1,MATCH($E63,Parameters!$X$3:$AA$3,0))))*(1-Inputs_General!$C$22*Parameters!$F$4))</f>
        <v>77.8121020639286</v>
      </c>
      <c r="W63" s="38" t="n">
        <f aca="false">MIN(100,MAX(T63*(1+INDEX(Response_Table!$E$4:$E$21,MATCH($F63&amp;"|low",Response_Table!$A$4:$A$21,0))*$R63*INDEX(Parameters!$X$4:$AA$4,1,MATCH($E63,Parameters!$X$3:$AA$3,0))),T63*(1+INDEX(Response_Table!$E$4:$E$21,MATCH($F63&amp;"|high",Response_Table!$A$4:$A$21,0))*$R63*INDEX(Parameters!$X$4:$AA$4,1,MATCH($E63,Parameters!$X$3:$AA$3,0))))*(1+Inputs_General!$C$22*Parameters!$F$4))</f>
        <v>88.7734300789286</v>
      </c>
      <c r="X63" s="39" t="n">
        <f aca="false">IF(T63=0,0,U63/T63-1)</f>
        <v>0</v>
      </c>
      <c r="Y63" s="38" t="n">
        <f aca="false">Parameters!$E$5*IF($N63="V",Parameters!$I$5,IF($N63="F",Parameters!$J$5,Parameters!$K$5))*(1-Parameters!$L$5*$P63)*IF($D63="V1",Parameters!$M$5,IF($D63="V2",Parameters!$N$5,Parameters!$O$5))</f>
        <v>66.88584</v>
      </c>
      <c r="Z63" s="38" t="n">
        <f aca="false">MIN(100,Y63*(1+INDEX(Response_Table!$F$4:$F$21,MATCH($F63&amp;"|mid",Response_Table!$A$4:$A$21,0))*$R63*INDEX(Parameters!$X$5:$AA$5,1,MATCH($E63,Parameters!$X$3:$AA$3,0))))</f>
        <v>66.88584</v>
      </c>
      <c r="AA63" s="38" t="n">
        <f aca="false">MAX(0,MIN(Y63*(1+INDEX(Response_Table!$F$4:$F$21,MATCH($F63&amp;"|low",Response_Table!$A$4:$A$21,0))*$R63*INDEX(Parameters!$X$5:$AA$5,1,MATCH($E63,Parameters!$X$3:$AA$3,0))),Y63*(1+INDEX(Response_Table!$F$4:$F$21,MATCH($F63&amp;"|high",Response_Table!$A$4:$A$21,0))*$R63*INDEX(Parameters!$X$5:$AA$5,1,MATCH($E63,Parameters!$X$3:$AA$3,0))))*(1-Inputs_General!$C$22*Parameters!$F$5))</f>
        <v>59.183935524</v>
      </c>
      <c r="AB63" s="38" t="n">
        <f aca="false">MIN(100,MAX(Y63*(1+INDEX(Response_Table!$F$4:$F$21,MATCH($F63&amp;"|low",Response_Table!$A$4:$A$21,0))*$R63*INDEX(Parameters!$X$5:$AA$5,1,MATCH($E63,Parameters!$X$3:$AA$3,0))),Y63*(1+INDEX(Response_Table!$F$4:$F$21,MATCH($F63&amp;"|high",Response_Table!$A$4:$A$21,0))*$R63*INDEX(Parameters!$X$5:$AA$5,1,MATCH($E63,Parameters!$X$3:$AA$3,0))))*(1+Inputs_General!$C$22*Parameters!$F$5))</f>
        <v>74.587744476</v>
      </c>
      <c r="AC63" s="39" t="n">
        <f aca="false">IF(Y63=0,0,Z63/Y63-1)</f>
        <v>0</v>
      </c>
      <c r="AD63" s="38" t="n">
        <f aca="false">Parameters!$E$6*IF($N63="V",Parameters!$I$6,IF($N63="F",Parameters!$J$6,Parameters!$K$6))*(1-Parameters!$L$6*$P63)*IF($D63="V1",Parameters!$M$6,IF($D63="V2",Parameters!$N$6,Parameters!$O$6))</f>
        <v>18.5509621428571</v>
      </c>
      <c r="AE63" s="38" t="n">
        <f aca="false">AD63*(1+INDEX(Response_Table!$G$4:$G$21,MATCH($F63&amp;"|mid",Response_Table!$A$4:$A$21,0))*$R63*INDEX(Parameters!$X$6:$AA$6,1,MATCH($E63,Parameters!$X$3:$AA$3,0)))</f>
        <v>18.5509621428571</v>
      </c>
      <c r="AF63" s="38" t="n">
        <f aca="false">MAX(0,MIN(AD63*(1+INDEX(Response_Table!$G$4:$G$21,MATCH($F63&amp;"|low",Response_Table!$A$4:$A$21,0))*$R63*INDEX(Parameters!$X$6:$AA$6,1,MATCH($E63,Parameters!$X$3:$AA$3,0))),AD63*(1+INDEX(Response_Table!$G$4:$G$21,MATCH($F63&amp;"|high",Response_Table!$A$4:$A$21,0))*$R63*INDEX(Parameters!$X$6:$AA$6,1,MATCH($E63,Parameters!$X$3:$AA$3,0))))*(1-Inputs_General!$C$22*Parameters!$F$6))</f>
        <v>14.8890022158571</v>
      </c>
      <c r="AG63" s="38" t="n">
        <f aca="false">MAX(AD63*(1+INDEX(Response_Table!$G$4:$G$21,MATCH($F63&amp;"|low",Response_Table!$A$4:$A$21,0))*$R63*INDEX(Parameters!$X$6:$AA$6,1,MATCH($E63,Parameters!$X$3:$AA$3,0))),AD63*(1+INDEX(Response_Table!$G$4:$G$21,MATCH($F63&amp;"|high",Response_Table!$A$4:$A$21,0))*$R63*INDEX(Parameters!$X$6:$AA$6,1,MATCH($E63,Parameters!$X$3:$AA$3,0))))*(1+Inputs_General!$C$22*Parameters!$F$6)</f>
        <v>22.2129220698571</v>
      </c>
      <c r="AH63" s="39" t="n">
        <f aca="false">IF(AD63=0,0,AE63/AD63-1)</f>
        <v>0</v>
      </c>
      <c r="AI63" s="40" t="n">
        <f aca="false">Parameters!$E$7*IF($N63="V",Parameters!$I$7,IF($N63="F",Parameters!$J$7,Parameters!$K$7))*(1-Parameters!$L$7*$P63)*IF($D63="V1",Parameters!$M$7,IF($D63="V2",Parameters!$N$7,Parameters!$O$7))*POWER($Q63/Inputs_General!$C$26,-Inputs_General!$C$25)</f>
        <v>0.341191629407368</v>
      </c>
      <c r="AJ63" s="40" t="n">
        <f aca="false">AI63*(1+INDEX(Response_Table!$H$4:$H$21,MATCH($F63&amp;"|mid",Response_Table!$A$4:$A$21,0))*$R63*INDEX(Parameters!$X$7:$AA$7,1,MATCH($E63,Parameters!$X$3:$AA$3,0)))</f>
        <v>0.341191629407368</v>
      </c>
      <c r="AK63" s="40" t="n">
        <f aca="false">MAX(0,MIN(AI63*(1+INDEX(Response_Table!$H$4:$H$21,MATCH($F63&amp;"|low",Response_Table!$A$4:$A$21,0))*$R63*INDEX(Parameters!$X$7:$AA$7,1,MATCH($E63,Parameters!$X$3:$AA$3,0))),AI63*(1+INDEX(Response_Table!$H$4:$H$21,MATCH($F63&amp;"|high",Response_Table!$A$4:$A$21,0))*$R63*INDEX(Parameters!$X$7:$AA$7,1,MATCH($E63,Parameters!$X$3:$AA$3,0))))*(1-Inputs_General!$C$22*Parameters!$F$7))</f>
        <v>0.240164787939846</v>
      </c>
      <c r="AL63" s="40" t="n">
        <f aca="false">MAX(AI63*(1+INDEX(Response_Table!$H$4:$H$21,MATCH($F63&amp;"|low",Response_Table!$A$4:$A$21,0))*$R63*INDEX(Parameters!$X$7:$AA$7,1,MATCH($E63,Parameters!$X$3:$AA$3,0))),AI63*(1+INDEX(Response_Table!$H$4:$H$21,MATCH($F63&amp;"|high",Response_Table!$A$4:$A$21,0))*$R63*INDEX(Parameters!$X$7:$AA$7,1,MATCH($E63,Parameters!$X$3:$AA$3,0))))*(1+Inputs_General!$C$22*Parameters!$F$7)</f>
        <v>0.44221847087489</v>
      </c>
      <c r="AM63" s="39" t="n">
        <f aca="false">IF(AI63=0,0,AJ63/AI63-1)</f>
        <v>0</v>
      </c>
      <c r="AN63" s="37" t="n">
        <f aca="false">AI63*$Q63/Inputs_General!$C$13*1000</f>
        <v>5.97691956280819</v>
      </c>
      <c r="AO63" s="37" t="n">
        <f aca="false">AJ63*$Q63/Inputs_General!$C$13*1000*(1+Inputs_General!$C$21*$I63)</f>
        <v>5.97691956280819</v>
      </c>
      <c r="AP63" s="37" t="n">
        <f aca="false">AK63*$Q63/Inputs_General!$C$13*1000*(1+Inputs_General!$C$21*$H63)</f>
        <v>4.20715368026068</v>
      </c>
      <c r="AQ63" s="37" t="n">
        <f aca="false">AL63*$Q63/Inputs_General!$C$13*1000*(1+Inputs_General!$C$21*$J63)</f>
        <v>7.74668544535569</v>
      </c>
      <c r="AR63" s="39" t="n">
        <f aca="false">IF(AN63=0,0,AO63/AN63-1)</f>
        <v>0</v>
      </c>
      <c r="AS63" s="36" t="n">
        <f aca="false">Parameters!$E$9*IF($N63="V",Parameters!$I$9,IF($N63="F",Parameters!$J$9,Parameters!$K$9))*(1-Parameters!$L$9*$P63)*IF($D63="V1",Parameters!$M$9,IF($D63="V2",Parameters!$N$9,Parameters!$O$9))</f>
        <v>285</v>
      </c>
      <c r="AT63" s="36" t="n">
        <f aca="false">AS63*(1+INDEX(Response_Table!$I$4:$I$21,MATCH($F63&amp;"|mid",Response_Table!$A$4:$A$21,0))*$R63*INDEX(Parameters!$X$9:$AA$9,1,MATCH($E63,Parameters!$X$3:$AA$3,0)))</f>
        <v>285</v>
      </c>
      <c r="AU63" s="36" t="n">
        <f aca="false">MAX(0,MIN(AS63*(1+INDEX(Response_Table!$I$4:$I$21,MATCH($F63&amp;"|low",Response_Table!$A$4:$A$21,0))*$R63*INDEX(Parameters!$X$9:$AA$9,1,MATCH($E63,Parameters!$X$3:$AA$3,0))),AS63*(1+INDEX(Response_Table!$I$4:$I$21,MATCH($F63&amp;"|high",Response_Table!$A$4:$A$21,0))*$R63*INDEX(Parameters!$X$9:$AA$9,1,MATCH($E63,Parameters!$X$3:$AA$3,0))))*(1-Inputs_General!$C$22*Parameters!$F$9))</f>
        <v>256.8705</v>
      </c>
      <c r="AV63" s="36" t="n">
        <f aca="false">MAX(AS63*(1+INDEX(Response_Table!$I$4:$I$21,MATCH($F63&amp;"|low",Response_Table!$A$4:$A$21,0))*$R63*INDEX(Parameters!$X$9:$AA$9,1,MATCH($E63,Parameters!$X$3:$AA$3,0))),AS63*(1+INDEX(Response_Table!$I$4:$I$21,MATCH($F63&amp;"|high",Response_Table!$A$4:$A$21,0))*$R63*INDEX(Parameters!$X$9:$AA$9,1,MATCH($E63,Parameters!$X$3:$AA$3,0))))*(1+Inputs_General!$C$22*Parameters!$F$9)</f>
        <v>313.1295</v>
      </c>
      <c r="AW63" s="39" t="n">
        <f aca="false">IF(AS63=0,0,AT63/AS63-1)</f>
        <v>0</v>
      </c>
      <c r="AX63" s="37" t="n">
        <f aca="false">INDEX(Context!$AB$4:$AB$51,$K63)</f>
        <v>3.35011354523348</v>
      </c>
      <c r="AY63" s="37" t="n">
        <f aca="false">AX63*(1+INDEX(Response_Table!$J$4:$J$21,MATCH($F63&amp;"|mid",Response_Table!$A$4:$A$21,0))*$R63*INDEX(Parameters!$X$10:$AA$10,1,MATCH($E63,Parameters!$X$3:$AA$3,0)))</f>
        <v>3.35011354523348</v>
      </c>
      <c r="AZ63" s="37" t="n">
        <f aca="false">MAX(0,MIN(AX63*(1+INDEX(Response_Table!$J$4:$J$21,MATCH($F63&amp;"|low",Response_Table!$A$4:$A$21,0))*$R63*INDEX(Parameters!$X$10:$AA$10,1,MATCH($E63,Parameters!$X$3:$AA$3,0))),AX63*(1+INDEX(Response_Table!$J$4:$J$21,MATCH($F63&amp;"|high",Response_Table!$A$4:$A$21,0))*$R63*INDEX(Parameters!$X$10:$AA$10,1,MATCH($E63,Parameters!$X$3:$AA$3,0))))*(1-Inputs_General!$C$22*Parameters!$F$10))</f>
        <v>2.68880113140439</v>
      </c>
      <c r="BA63" s="37" t="n">
        <f aca="false">MAX(AX63*(1+INDEX(Response_Table!$J$4:$J$21,MATCH($F63&amp;"|low",Response_Table!$A$4:$A$21,0))*$R63*INDEX(Parameters!$X$10:$AA$10,1,MATCH($E63,Parameters!$X$3:$AA$3,0))),AX63*(1+INDEX(Response_Table!$J$4:$J$21,MATCH($F63&amp;"|high",Response_Table!$A$4:$A$21,0))*$R63*INDEX(Parameters!$X$10:$AA$10,1,MATCH($E63,Parameters!$X$3:$AA$3,0))))*(1+Inputs_General!$C$22*Parameters!$F$10)</f>
        <v>4.01142595906256</v>
      </c>
      <c r="BB63" s="39" t="n">
        <f aca="false">IF(AX63=0,0,AY63/AX63-1)</f>
        <v>0</v>
      </c>
      <c r="BC63" s="40" t="n">
        <f aca="false">Parameters!$E$11*IF($N63="V",Parameters!$I$11,IF($N63="F",Parameters!$J$11,Parameters!$K$11))*(1-Parameters!$L$11*$P63)*IF($D63="V1",Parameters!$M$11,IF($D63="V2",Parameters!$N$11,Parameters!$O$11))</f>
        <v>1.25397901785714</v>
      </c>
      <c r="BD63" s="40" t="n">
        <f aca="false">BC63*(1+INDEX(Response_Table!$K$4:$K$21,MATCH($F63&amp;"|mid",Response_Table!$A$4:$A$21,0))*$R63*INDEX(Parameters!$X$11:$AA$11,1,MATCH($E63,Parameters!$X$3:$AA$3,0)))</f>
        <v>1.25397901785714</v>
      </c>
      <c r="BE63" s="40" t="n">
        <f aca="false">MAX(0,MIN(BC63*(1+INDEX(Response_Table!$K$4:$K$21,MATCH($F63&amp;"|low",Response_Table!$A$4:$A$21,0))*$R63*INDEX(Parameters!$X$11:$AA$11,1,MATCH($E63,Parameters!$X$3:$AA$3,0))),BC63*(1+INDEX(Response_Table!$K$4:$K$21,MATCH($F63&amp;"|high",Response_Table!$A$4:$A$21,0))*$R63*INDEX(Parameters!$X$11:$AA$11,1,MATCH($E63,Parameters!$X$3:$AA$3,0))))*(1-Inputs_General!$C$22*Parameters!$F$11))</f>
        <v>1.04769946941964</v>
      </c>
      <c r="BF63" s="40" t="n">
        <f aca="false">MAX(BC63*(1+INDEX(Response_Table!$K$4:$K$21,MATCH($F63&amp;"|low",Response_Table!$A$4:$A$21,0))*$R63*INDEX(Parameters!$X$11:$AA$11,1,MATCH($E63,Parameters!$X$3:$AA$3,0))),BC63*(1+INDEX(Response_Table!$K$4:$K$21,MATCH($F63&amp;"|high",Response_Table!$A$4:$A$21,0))*$R63*INDEX(Parameters!$X$11:$AA$11,1,MATCH($E63,Parameters!$X$3:$AA$3,0))))*(1+Inputs_General!$C$22*Parameters!$F$11)</f>
        <v>1.46025856629464</v>
      </c>
      <c r="BG63" s="39" t="n">
        <f aca="false">IF(BC63=0,0,BD63/BC63-1)</f>
        <v>0</v>
      </c>
      <c r="BH63" s="40" t="n">
        <f aca="false">Parameters!$E$12*IF($N63="V",Parameters!$I$12,IF($N63="F",Parameters!$J$12,Parameters!$K$12))*(1-Parameters!$L$12*$P63)*IF($D63="V1",Parameters!$M$12,IF($D63="V2",Parameters!$N$12,Parameters!$O$12))</f>
        <v>0.451432446428571</v>
      </c>
      <c r="BI63" s="40" t="n">
        <f aca="false">BH63*(1+INDEX(Response_Table!$L$4:$L$21,MATCH($F63&amp;"|mid",Response_Table!$A$4:$A$21,0))*$R63*INDEX(Parameters!$X$12:$AA$12,1,MATCH($E63,Parameters!$X$3:$AA$3,0)))</f>
        <v>0.451432446428571</v>
      </c>
      <c r="BJ63" s="40" t="n">
        <f aca="false">MAX(0,MIN(BH63*(1+INDEX(Response_Table!$L$4:$L$21,MATCH($F63&amp;"|low",Response_Table!$A$4:$A$21,0))*$R63*INDEX(Parameters!$X$12:$AA$12,1,MATCH($E63,Parameters!$X$3:$AA$3,0))),BH63*(1+INDEX(Response_Table!$L$4:$L$21,MATCH($F63&amp;"|high",Response_Table!$A$4:$A$21,0))*$R63*INDEX(Parameters!$X$12:$AA$12,1,MATCH($E63,Parameters!$X$3:$AA$3,0))))*(1-Inputs_General!$C$22*Parameters!$F$12))</f>
        <v>0.362319681503571</v>
      </c>
      <c r="BK63" s="40" t="n">
        <f aca="false">MAX(BH63*(1+INDEX(Response_Table!$L$4:$L$21,MATCH($F63&amp;"|low",Response_Table!$A$4:$A$21,0))*$R63*INDEX(Parameters!$X$12:$AA$12,1,MATCH($E63,Parameters!$X$3:$AA$3,0))),BH63*(1+INDEX(Response_Table!$L$4:$L$21,MATCH($F63&amp;"|high",Response_Table!$A$4:$A$21,0))*$R63*INDEX(Parameters!$X$12:$AA$12,1,MATCH($E63,Parameters!$X$3:$AA$3,0))))*(1+Inputs_General!$C$22*Parameters!$F$12)</f>
        <v>0.540545211353572</v>
      </c>
      <c r="BL63" s="39" t="n">
        <f aca="false">IF(BH63=0,0,BI63/BH63-1)</f>
        <v>0</v>
      </c>
      <c r="BM63" s="40" t="n">
        <f aca="false">Parameters!$E$13*IF($N63="V",Parameters!$I$13,IF($N63="F",Parameters!$J$13,Parameters!$K$13))*(1-Parameters!$L$13*$P63)*IF($D63="V1",Parameters!$M$13,IF($D63="V2",Parameters!$N$13,Parameters!$O$13))</f>
        <v>0.304977482142857</v>
      </c>
      <c r="BN63" s="40" t="n">
        <f aca="false">BM63*(1+INDEX(Response_Table!$M$4:$M$21,MATCH($F63&amp;"|mid",Response_Table!$A$4:$A$21,0))*$R63*INDEX(Parameters!$X$13:$AA$13,1,MATCH($E63,Parameters!$X$3:$AA$3,0)))</f>
        <v>0.304977482142857</v>
      </c>
      <c r="BO63" s="40" t="n">
        <f aca="false">MAX(0,MIN(BM63*(1+INDEX(Response_Table!$M$4:$M$21,MATCH($F63&amp;"|low",Response_Table!$A$4:$A$21,0))*$R63*INDEX(Parameters!$X$13:$AA$13,1,MATCH($E63,Parameters!$X$3:$AA$3,0))),BM63*(1+INDEX(Response_Table!$M$4:$M$21,MATCH($F63&amp;"|high",Response_Table!$A$4:$A$21,0))*$R63*INDEX(Parameters!$X$13:$AA$13,1,MATCH($E63,Parameters!$X$3:$AA$3,0))))*(1-Inputs_General!$C$22*Parameters!$F$13))</f>
        <v>0.244774927167857</v>
      </c>
      <c r="BP63" s="40" t="n">
        <f aca="false">MAX(BM63*(1+INDEX(Response_Table!$M$4:$M$21,MATCH($F63&amp;"|low",Response_Table!$A$4:$A$21,0))*$R63*INDEX(Parameters!$X$13:$AA$13,1,MATCH($E63,Parameters!$X$3:$AA$3,0))),BM63*(1+INDEX(Response_Table!$M$4:$M$21,MATCH($F63&amp;"|high",Response_Table!$A$4:$A$21,0))*$R63*INDEX(Parameters!$X$13:$AA$13,1,MATCH($E63,Parameters!$X$3:$AA$3,0))))*(1+Inputs_General!$C$22*Parameters!$F$13)</f>
        <v>0.365180037117857</v>
      </c>
      <c r="BQ63" s="39" t="n">
        <f aca="false">IF(BM63=0,0,BN63/BM63-1)</f>
        <v>0</v>
      </c>
      <c r="BR63" s="38" t="n">
        <f aca="false">Parameters!$E$14*IF($N63="V",Parameters!$I$14,IF($N63="F",Parameters!$J$14,Parameters!$K$14))*(1-Parameters!$L$14*$P63)*IF($D63="V1",Parameters!$M$14,IF($D63="V2",Parameters!$N$14,Parameters!$O$14))*INDEX(Context!$AC$4:$AC$51,$K63)</f>
        <v>15</v>
      </c>
      <c r="BS63" s="38" t="n">
        <f aca="false">BR63*(1+INDEX(Response_Table!$N$4:$N$21,MATCH($F63&amp;"|mid",Response_Table!$A$4:$A$21,0))*$R63*INDEX(Parameters!$X$14:$AA$14,1,MATCH($E63,Parameters!$X$3:$AA$3,0)))</f>
        <v>15</v>
      </c>
      <c r="BT63" s="38" t="n">
        <f aca="false">MAX(0,MIN(BR63*(1+INDEX(Response_Table!$N$4:$N$21,MATCH($F63&amp;"|low",Response_Table!$A$4:$A$21,0))*$R63*INDEX(Parameters!$X$14:$AA$14,1,MATCH($E63,Parameters!$X$3:$AA$3,0))),BR63*(1+INDEX(Response_Table!$N$4:$N$21,MATCH($F63&amp;"|high",Response_Table!$A$4:$A$21,0))*$R63*INDEX(Parameters!$X$14:$AA$14,1,MATCH($E63,Parameters!$X$3:$AA$3,0))))*(1-Inputs_General!$C$22*Parameters!$F$14))</f>
        <v>7.5975</v>
      </c>
      <c r="BU63" s="38" t="n">
        <f aca="false">MAX(BR63*(1+INDEX(Response_Table!$N$4:$N$21,MATCH($F63&amp;"|low",Response_Table!$A$4:$A$21,0))*$R63*INDEX(Parameters!$X$14:$AA$14,1,MATCH($E63,Parameters!$X$3:$AA$3,0))),BR63*(1+INDEX(Response_Table!$N$4:$N$21,MATCH($F63&amp;"|high",Response_Table!$A$4:$A$21,0))*$R63*INDEX(Parameters!$X$14:$AA$14,1,MATCH($E63,Parameters!$X$3:$AA$3,0))))*(1+Inputs_General!$C$22*Parameters!$F$14)</f>
        <v>22.4025</v>
      </c>
      <c r="BV63" s="39" t="n">
        <f aca="false">IF(BR63=0,0,BS63/BR63-1)</f>
        <v>0</v>
      </c>
      <c r="BW63" s="37" t="n">
        <f aca="false">Parameters!$E$15*IF($N63="V",Parameters!$I$15,IF($N63="F",Parameters!$J$15,Parameters!$K$15))*(1-Parameters!$L$15*$P63)*IF($D63="V1",Parameters!$M$15,IF($D63="V2",Parameters!$N$15,Parameters!$O$15))</f>
        <v>9.73964285714286</v>
      </c>
      <c r="BX63" s="37" t="n">
        <f aca="false">BW63*(1+INDEX(Response_Table!$O$4:$O$21,MATCH($F63&amp;"|mid",Response_Table!$A$4:$A$21,0))*$R63*INDEX(Parameters!$X$15:$AA$15,1,MATCH($E63,Parameters!$X$3:$AA$3,0)))</f>
        <v>9.73964285714286</v>
      </c>
      <c r="BY63" s="37" t="n">
        <f aca="false">MAX(0,MIN(BW63*(1+INDEX(Response_Table!$O$4:$O$21,MATCH($F63&amp;"|low",Response_Table!$A$4:$A$21,0))*$R63*INDEX(Parameters!$X$15:$AA$15,1,MATCH($E63,Parameters!$X$3:$AA$3,0))),BW63*(1+INDEX(Response_Table!$O$4:$O$21,MATCH($F63&amp;"|high",Response_Table!$A$4:$A$21,0))*$R63*INDEX(Parameters!$X$15:$AA$15,1,MATCH($E63,Parameters!$X$3:$AA$3,0))))*(1-Inputs_General!$C$22*Parameters!$F$15))</f>
        <v>7.81703735714286</v>
      </c>
      <c r="BZ63" s="37" t="n">
        <f aca="false">MAX(BW63*(1+INDEX(Response_Table!$O$4:$O$21,MATCH($F63&amp;"|low",Response_Table!$A$4:$A$21,0))*$R63*INDEX(Parameters!$X$15:$AA$15,1,MATCH($E63,Parameters!$X$3:$AA$3,0))),BW63*(1+INDEX(Response_Table!$O$4:$O$21,MATCH($F63&amp;"|high",Response_Table!$A$4:$A$21,0))*$R63*INDEX(Parameters!$X$15:$AA$15,1,MATCH($E63,Parameters!$X$3:$AA$3,0))))*(1+Inputs_General!$C$22*Parameters!$F$15)</f>
        <v>11.6622483571429</v>
      </c>
      <c r="CA63" s="39" t="n">
        <f aca="false">IF(BW63=0,0,BX63/BW63-1)</f>
        <v>0</v>
      </c>
      <c r="CB63" s="40" t="n">
        <f aca="false">BD63+BI63</f>
        <v>1.70541146428571</v>
      </c>
      <c r="CC63" s="37" t="n">
        <f aca="false">BD63/BI63</f>
        <v>2.77777777777778</v>
      </c>
      <c r="CD63" s="40" t="n">
        <f aca="false">BN63/CB63</f>
        <v>0.178829267030049</v>
      </c>
      <c r="CE63" s="37" t="n">
        <f aca="false">AE63/AO63</f>
        <v>3.10376640473662</v>
      </c>
      <c r="CF63" s="38" t="n">
        <f aca="false">AE63/AJ63</f>
        <v>54.3710939658139</v>
      </c>
      <c r="CG63" s="38" t="n">
        <f aca="false">INDEX(Context!$V$4:$V$51,$K63)</f>
        <v>28.62</v>
      </c>
      <c r="CH63" s="38" t="n">
        <f aca="false">INDEX(Context!$Y$4:$Y$51,$K63)</f>
        <v>25.3060134606718</v>
      </c>
      <c r="CI63" s="38" t="n">
        <f aca="false">INDEX(Context!$Z$4:$Z$51,$K63)</f>
        <v>32.62</v>
      </c>
      <c r="CJ63" s="37" t="n">
        <f aca="false">INDEX(Context!$AA$4:$AA$51,$K63)</f>
        <v>0.221696428571429</v>
      </c>
      <c r="CK63" s="37" t="n">
        <f aca="false">MAX(0,MIN(1,1-(1-CJ63)*AO63/AN63))</f>
        <v>0.221696428571429</v>
      </c>
      <c r="CL63" s="38" t="n">
        <f aca="false">CH63+CK63*(CI63-CH63)</f>
        <v>26.9274981550603</v>
      </c>
      <c r="CM63" s="38" t="n">
        <f aca="false">CH63+MAX(0,MIN(1,1-(1-CJ63)*AQ63/AN63))*(CI63-CH63)</f>
        <v>25.3060134606718</v>
      </c>
      <c r="CN63" s="38" t="n">
        <f aca="false">CH63+MAX(0,MIN(1,1-(1-CJ63)*AP63/AN63))*(CI63-CH63)</f>
        <v>28.613047951347</v>
      </c>
      <c r="CO63" s="38" t="n">
        <f aca="false">CL63-CG63</f>
        <v>-1.69250184493966</v>
      </c>
      <c r="CP63" s="38" t="n">
        <f aca="false">CL63-(CH63+CJ63*(CI63-CH63))</f>
        <v>0</v>
      </c>
      <c r="CQ63" s="40" t="n">
        <f aca="false">CL63/CG63</f>
        <v>0.940862968380864</v>
      </c>
      <c r="CR63" s="37" t="n">
        <f aca="false">IF(CL63-CH63&lt;=0,"n/a",(CI63-CL63)/(CL63-CH63))</f>
        <v>3.5106725734998</v>
      </c>
      <c r="CS63" s="37" t="n">
        <f aca="false">IF(CI63-CL63&lt;=0,"n/a",(CL63-CH63)/(CI63-CL63))</f>
        <v>0.284845703797178</v>
      </c>
      <c r="CT63" s="37" t="n">
        <f aca="false">Inputs_General!$C$23+Inputs_General!$C$24*$I63</f>
        <v>0.6</v>
      </c>
      <c r="CU63" s="38" t="n">
        <f aca="false">3.29*CT63</f>
        <v>1.974</v>
      </c>
    </row>
    <row r="64" customFormat="false" ht="15" hidden="false" customHeight="false" outlineLevel="0" collapsed="false">
      <c r="A64" s="9" t="str">
        <f aca="false">B64&amp;"|"&amp;E64&amp;"|"&amp;F64</f>
        <v>D1V3|03/03/2026|Very low</v>
      </c>
      <c r="B64" s="7" t="s">
        <v>345</v>
      </c>
      <c r="C64" s="9" t="s">
        <v>127</v>
      </c>
      <c r="D64" s="9" t="s">
        <v>150</v>
      </c>
      <c r="E64" s="9" t="s">
        <v>162</v>
      </c>
      <c r="F64" s="7" t="s">
        <v>277</v>
      </c>
      <c r="G64" s="9" t="s">
        <v>278</v>
      </c>
      <c r="H64" s="41" t="n">
        <f aca="false">INDEX(Severity_Classes!$C$4:$C$9,MATCH(F64,Severity_Classes!$A$4:$A$9,0))</f>
        <v>0.01</v>
      </c>
      <c r="I64" s="41" t="n">
        <f aca="false">INDEX(Severity_Classes!$D$4:$D$9,MATCH(F64,Severity_Classes!$A$4:$A$9,0))</f>
        <v>0.03</v>
      </c>
      <c r="J64" s="41" t="n">
        <f aca="false">INDEX(Severity_Classes!$E$4:$E$9,MATCH(F64,Severity_Classes!$A$4:$A$9,0))</f>
        <v>0.05</v>
      </c>
      <c r="K64" s="42" t="n">
        <f aca="false">MATCH(B64&amp;"|"&amp;E64,Context!$A$4:$A$51,0)</f>
        <v>11</v>
      </c>
      <c r="L64" s="42" t="n">
        <f aca="false">INDEX(Context!$H$4:$H$51,K64)</f>
        <v>84</v>
      </c>
      <c r="M64" s="42" t="n">
        <f aca="false">INDEX(Context!$I$4:$I$51,K64)</f>
        <v>26</v>
      </c>
      <c r="N64" s="9" t="str">
        <f aca="false">INDEX(Context!$L$4:$L$51,K64)</f>
        <v>F</v>
      </c>
      <c r="O64" s="9" t="str">
        <f aca="false">INDEX(Context!$M$4:$M$51,K64)</f>
        <v>5th fully expanded leaf from top</v>
      </c>
      <c r="P64" s="43" t="n">
        <f aca="false">INDEX(Context!$R$4:$R$51,K64)</f>
        <v>0.433928571428571</v>
      </c>
      <c r="Q64" s="43" t="n">
        <f aca="false">INDEX(Context!$U$4:$U$51,K64)</f>
        <v>1.73951545534029</v>
      </c>
      <c r="R64" s="43" t="n">
        <f aca="false">INDEX(Context!$AD$4:$AD$51,K64)</f>
        <v>0.85</v>
      </c>
      <c r="S64" s="9" t="str">
        <f aca="false">INDEX(Context!$AI$4:$AN$51,K64,MATCH(F64,Severity_Classes!$A$4:$A$9,0))</f>
        <v>Possible</v>
      </c>
      <c r="T64" s="44" t="n">
        <f aca="false">Parameters!$E$4*IF($N64="V",Parameters!$I$4,IF($N64="F",Parameters!$J$4,Parameters!$K$4))*(1-Parameters!$L$4*$P64)*IF($D64="V1",Parameters!$M$4,IF($D64="V2",Parameters!$N$4,Parameters!$O$4))</f>
        <v>83.2927660714286</v>
      </c>
      <c r="U64" s="44" t="n">
        <f aca="false">MIN(100,T64*(1+INDEX(Response_Table!$E$4:$E$21,MATCH($F64&amp;"|mid",Response_Table!$A$4:$A$21,0))*$R64*INDEX(Parameters!$X$4:$AA$4,1,MATCH($E64,Parameters!$X$3:$AA$3,0))))</f>
        <v>82.9875282373724</v>
      </c>
      <c r="V64" s="44" t="n">
        <f aca="false">MAX(0,MIN(T64*(1+INDEX(Response_Table!$E$4:$E$21,MATCH($F64&amp;"|low",Response_Table!$A$4:$A$21,0))*$R64*INDEX(Parameters!$X$4:$AA$4,1,MATCH($E64,Parameters!$X$3:$AA$3,0))),T64*(1+INDEX(Response_Table!$E$4:$E$21,MATCH($F64&amp;"|high",Response_Table!$A$4:$A$21,0))*$R64*INDEX(Parameters!$X$4:$AA$4,1,MATCH($E64,Parameters!$X$3:$AA$3,0))))*(1-Inputs_General!$C$22*Parameters!$F$4))</f>
        <v>77.2991963307656</v>
      </c>
      <c r="W64" s="44" t="n">
        <f aca="false">MIN(100,MAX(T64*(1+INDEX(Response_Table!$E$4:$E$21,MATCH($F64&amp;"|low",Response_Table!$A$4:$A$21,0))*$R64*INDEX(Parameters!$X$4:$AA$4,1,MATCH($E64,Parameters!$X$3:$AA$3,0))),T64*(1+INDEX(Response_Table!$E$4:$E$21,MATCH($F64&amp;"|high",Response_Table!$A$4:$A$21,0))*$R64*INDEX(Parameters!$X$4:$AA$4,1,MATCH($E64,Parameters!$X$3:$AA$3,0))))*(1+Inputs_General!$C$22*Parameters!$F$4))</f>
        <v>88.672887442889</v>
      </c>
      <c r="X64" s="45" t="n">
        <f aca="false">IF(T64=0,0,U64/T64-1)</f>
        <v>-0.00366463798061933</v>
      </c>
      <c r="Y64" s="44" t="n">
        <f aca="false">Parameters!$E$5*IF($N64="V",Parameters!$I$5,IF($N64="F",Parameters!$J$5,Parameters!$K$5))*(1-Parameters!$L$5*$P64)*IF($D64="V1",Parameters!$M$5,IF($D64="V2",Parameters!$N$5,Parameters!$O$5))</f>
        <v>66.88584</v>
      </c>
      <c r="Z64" s="44" t="n">
        <f aca="false">MIN(100,Y64*(1+INDEX(Response_Table!$F$4:$F$21,MATCH($F64&amp;"|mid",Response_Table!$A$4:$A$21,0))*$R64*INDEX(Parameters!$X$5:$AA$5,1,MATCH($E64,Parameters!$X$3:$AA$3,0))))</f>
        <v>66.1033874011917</v>
      </c>
      <c r="AA64" s="44" t="n">
        <f aca="false">MAX(0,MIN(Y64*(1+INDEX(Response_Table!$F$4:$F$21,MATCH($F64&amp;"|low",Response_Table!$A$4:$A$21,0))*$R64*INDEX(Parameters!$X$5:$AA$5,1,MATCH($E64,Parameters!$X$3:$AA$3,0))),Y64*(1+INDEX(Response_Table!$F$4:$F$21,MATCH($F64&amp;"|high",Response_Table!$A$4:$A$21,0))*$R64*INDEX(Parameters!$X$5:$AA$5,1,MATCH($E64,Parameters!$X$3:$AA$3,0))))*(1-Inputs_General!$C$22*Parameters!$F$5))</f>
        <v>57.9213537165203</v>
      </c>
      <c r="AB64" s="44" t="n">
        <f aca="false">MIN(100,MAX(Y64*(1+INDEX(Response_Table!$F$4:$F$21,MATCH($F64&amp;"|low",Response_Table!$A$4:$A$21,0))*$R64*INDEX(Parameters!$X$5:$AA$5,1,MATCH($E64,Parameters!$X$3:$AA$3,0))),Y64*(1+INDEX(Response_Table!$F$4:$F$21,MATCH($F64&amp;"|high",Response_Table!$A$4:$A$21,0))*$R64*INDEX(Parameters!$X$5:$AA$5,1,MATCH($E64,Parameters!$X$3:$AA$3,0))))*(1+Inputs_General!$C$22*Parameters!$F$5))</f>
        <v>74.3217898824488</v>
      </c>
      <c r="AC64" s="45" t="n">
        <f aca="false">IF(Y64=0,0,Z64/Y64-1)</f>
        <v>-0.0116983295538828</v>
      </c>
      <c r="AD64" s="44" t="n">
        <f aca="false">Parameters!$E$6*IF($N64="V",Parameters!$I$6,IF($N64="F",Parameters!$J$6,Parameters!$K$6))*(1-Parameters!$L$6*$P64)*IF($D64="V1",Parameters!$M$6,IF($D64="V2",Parameters!$N$6,Parameters!$O$6))</f>
        <v>18.5509621428571</v>
      </c>
      <c r="AE64" s="44" t="n">
        <f aca="false">AD64*(1+INDEX(Response_Table!$G$4:$G$21,MATCH($F64&amp;"|mid",Response_Table!$A$4:$A$21,0))*$R64*INDEX(Parameters!$X$6:$AA$6,1,MATCH($E64,Parameters!$X$3:$AA$3,0)))</f>
        <v>17.0885412745546</v>
      </c>
      <c r="AF64" s="44" t="n">
        <f aca="false">MAX(0,MIN(AD64*(1+INDEX(Response_Table!$G$4:$G$21,MATCH($F64&amp;"|low",Response_Table!$A$4:$A$21,0))*$R64*INDEX(Parameters!$X$6:$AA$6,1,MATCH($E64,Parameters!$X$3:$AA$3,0))),AD64*(1+INDEX(Response_Table!$G$4:$G$21,MATCH($F64&amp;"|high",Response_Table!$A$4:$A$21,0))*$R64*INDEX(Parameters!$X$6:$AA$6,1,MATCH($E64,Parameters!$X$3:$AA$3,0))))*(1-Inputs_General!$C$22*Parameters!$F$6))</f>
        <v>13.0145622059688</v>
      </c>
      <c r="AG64" s="44" t="n">
        <f aca="false">MAX(AD64*(1+INDEX(Response_Table!$G$4:$G$21,MATCH($F64&amp;"|low",Response_Table!$A$4:$A$21,0))*$R64*INDEX(Parameters!$X$6:$AA$6,1,MATCH($E64,Parameters!$X$3:$AA$3,0))),AD64*(1+INDEX(Response_Table!$G$4:$G$21,MATCH($F64&amp;"|high",Response_Table!$A$4:$A$21,0))*$R64*INDEX(Parameters!$X$6:$AA$6,1,MATCH($E64,Parameters!$X$3:$AA$3,0))))*(1+Inputs_General!$C$22*Parameters!$F$6)</f>
        <v>21.6033583474645</v>
      </c>
      <c r="AH64" s="45" t="n">
        <f aca="false">IF(AD64=0,0,AE64/AD64-1)</f>
        <v>-0.0788326156368997</v>
      </c>
      <c r="AI64" s="46" t="n">
        <f aca="false">Parameters!$E$7*IF($N64="V",Parameters!$I$7,IF($N64="F",Parameters!$J$7,Parameters!$K$7))*(1-Parameters!$L$7*$P64)*IF($D64="V1",Parameters!$M$7,IF($D64="V2",Parameters!$N$7,Parameters!$O$7))*POWER($Q64/Inputs_General!$C$26,-Inputs_General!$C$25)</f>
        <v>0.341191629407368</v>
      </c>
      <c r="AJ64" s="46" t="n">
        <f aca="false">AI64*(1+INDEX(Response_Table!$H$4:$H$21,MATCH($F64&amp;"|mid",Response_Table!$A$4:$A$21,0))*$R64*INDEX(Parameters!$X$7:$AA$7,1,MATCH($E64,Parameters!$X$3:$AA$3,0)))</f>
        <v>0.324966936983363</v>
      </c>
      <c r="AK64" s="46" t="n">
        <f aca="false">MAX(0,MIN(AI64*(1+INDEX(Response_Table!$H$4:$H$21,MATCH($F64&amp;"|low",Response_Table!$A$4:$A$21,0))*$R64*INDEX(Parameters!$X$7:$AA$7,1,MATCH($E64,Parameters!$X$3:$AA$3,0))),AI64*(1+INDEX(Response_Table!$H$4:$H$21,MATCH($F64&amp;"|high",Response_Table!$A$4:$A$21,0))*$R64*INDEX(Parameters!$X$7:$AA$7,1,MATCH($E64,Parameters!$X$3:$AA$3,0))))*(1-Inputs_General!$C$22*Parameters!$F$7))</f>
        <v>0.221681983724614</v>
      </c>
      <c r="AL64" s="46" t="n">
        <f aca="false">MAX(AI64*(1+INDEX(Response_Table!$H$4:$H$21,MATCH($F64&amp;"|low",Response_Table!$A$4:$A$21,0))*$R64*INDEX(Parameters!$X$7:$AA$7,1,MATCH($E64,Parameters!$X$3:$AA$3,0))),AI64*(1+INDEX(Response_Table!$H$4:$H$21,MATCH($F64&amp;"|high",Response_Table!$A$4:$A$21,0))*$R64*INDEX(Parameters!$X$7:$AA$7,1,MATCH($E64,Parameters!$X$3:$AA$3,0))))*(1+Inputs_General!$C$22*Parameters!$F$7)</f>
        <v>0.434997555018549</v>
      </c>
      <c r="AM64" s="45" t="n">
        <f aca="false">IF(AI64=0,0,AJ64/AI64-1)</f>
        <v>-0.0475530201376465</v>
      </c>
      <c r="AN64" s="43" t="n">
        <f aca="false">AI64*$Q64/Inputs_General!$C$13*1000</f>
        <v>5.97691956280819</v>
      </c>
      <c r="AO64" s="43" t="n">
        <f aca="false">AJ64*$Q64/Inputs_General!$C$13*1000*(1+Inputs_General!$C$21*$I64)</f>
        <v>5.73539422887546</v>
      </c>
      <c r="AP64" s="43" t="n">
        <f aca="false">AK64*$Q64/Inputs_General!$C$13*1000*(1+Inputs_General!$C$21*$H64)</f>
        <v>3.89308444060029</v>
      </c>
      <c r="AQ64" s="43" t="n">
        <f aca="false">AL64*$Q64/Inputs_General!$C$13*1000*(1+Inputs_General!$C$21*$J64)</f>
        <v>7.71544342512467</v>
      </c>
      <c r="AR64" s="45" t="n">
        <f aca="false">IF(AN64=0,0,AO64/AN64-1)</f>
        <v>-0.0404096677886788</v>
      </c>
      <c r="AS64" s="42" t="n">
        <f aca="false">Parameters!$E$9*IF($N64="V",Parameters!$I$9,IF($N64="F",Parameters!$J$9,Parameters!$K$9))*(1-Parameters!$L$9*$P64)*IF($D64="V1",Parameters!$M$9,IF($D64="V2",Parameters!$N$9,Parameters!$O$9))</f>
        <v>285</v>
      </c>
      <c r="AT64" s="42" t="n">
        <f aca="false">AS64*(1+INDEX(Response_Table!$I$4:$I$21,MATCH($F64&amp;"|mid",Response_Table!$A$4:$A$21,0))*$R64*INDEX(Parameters!$X$9:$AA$9,1,MATCH($E64,Parameters!$X$3:$AA$3,0)))</f>
        <v>293.218057261581</v>
      </c>
      <c r="AU64" s="42" t="n">
        <f aca="false">MAX(0,MIN(AS64*(1+INDEX(Response_Table!$I$4:$I$21,MATCH($F64&amp;"|low",Response_Table!$A$4:$A$21,0))*$R64*INDEX(Parameters!$X$9:$AA$9,1,MATCH($E64,Parameters!$X$3:$AA$3,0))),AS64*(1+INDEX(Response_Table!$I$4:$I$21,MATCH($F64&amp;"|high",Response_Table!$A$4:$A$21,0))*$R64*INDEX(Parameters!$X$9:$AA$9,1,MATCH($E64,Parameters!$X$3:$AA$3,0))))*(1-Inputs_General!$C$22*Parameters!$F$9))</f>
        <v>259.438869274407</v>
      </c>
      <c r="AV64" s="42" t="n">
        <f aca="false">MAX(AS64*(1+INDEX(Response_Table!$I$4:$I$21,MATCH($F64&amp;"|low",Response_Table!$A$4:$A$21,0))*$R64*INDEX(Parameters!$X$9:$AA$9,1,MATCH($E64,Parameters!$X$3:$AA$3,0))),AS64*(1+INDEX(Response_Table!$I$4:$I$21,MATCH($F64&amp;"|high",Response_Table!$A$4:$A$21,0))*$R64*INDEX(Parameters!$X$9:$AA$9,1,MATCH($E64,Parameters!$X$3:$AA$3,0))))*(1+Inputs_General!$C$22*Parameters!$F$9)</f>
        <v>327.603490906787</v>
      </c>
      <c r="AW64" s="45" t="n">
        <f aca="false">IF(AS64=0,0,AT64/AS64-1)</f>
        <v>0.0288352886371248</v>
      </c>
      <c r="AX64" s="43" t="n">
        <f aca="false">INDEX(Context!$AB$4:$AB$51,$K64)</f>
        <v>3.35011354523348</v>
      </c>
      <c r="AY64" s="43" t="n">
        <f aca="false">AX64*(1+INDEX(Response_Table!$J$4:$J$21,MATCH($F64&amp;"|mid",Response_Table!$A$4:$A$21,0))*$R64*INDEX(Parameters!$X$10:$AA$10,1,MATCH($E64,Parameters!$X$3:$AA$3,0)))</f>
        <v>3.25752271685134</v>
      </c>
      <c r="AZ64" s="43" t="n">
        <f aca="false">MAX(0,MIN(AX64*(1+INDEX(Response_Table!$J$4:$J$21,MATCH($F64&amp;"|low",Response_Table!$A$4:$A$21,0))*$R64*INDEX(Parameters!$X$10:$AA$10,1,MATCH($E64,Parameters!$X$3:$AA$3,0))),AX64*(1+INDEX(Response_Table!$J$4:$J$21,MATCH($F64&amp;"|high",Response_Table!$A$4:$A$21,0))*$R64*INDEX(Parameters!$X$10:$AA$10,1,MATCH($E64,Parameters!$X$3:$AA$3,0))))*(1-Inputs_General!$C$22*Parameters!$F$10))</f>
        <v>2.56795313996706</v>
      </c>
      <c r="BA64" s="43" t="n">
        <f aca="false">MAX(AX64*(1+INDEX(Response_Table!$J$4:$J$21,MATCH($F64&amp;"|low",Response_Table!$A$4:$A$21,0))*$R64*INDEX(Parameters!$X$10:$AA$10,1,MATCH($E64,Parameters!$X$3:$AA$3,0))),AX64*(1+INDEX(Response_Table!$J$4:$J$21,MATCH($F64&amp;"|high",Response_Table!$A$4:$A$21,0))*$R64*INDEX(Parameters!$X$10:$AA$10,1,MATCH($E64,Parameters!$X$3:$AA$3,0))))*(1+Inputs_General!$C$22*Parameters!$F$10)</f>
        <v>3.973542218181</v>
      </c>
      <c r="BB64" s="45" t="n">
        <f aca="false">IF(AX64=0,0,AY64/AX64-1)</f>
        <v>-0.0276381164793286</v>
      </c>
      <c r="BC64" s="46" t="n">
        <f aca="false">Parameters!$E$11*IF($N64="V",Parameters!$I$11,IF($N64="F",Parameters!$J$11,Parameters!$K$11))*(1-Parameters!$L$11*$P64)*IF($D64="V1",Parameters!$M$11,IF($D64="V2",Parameters!$N$11,Parameters!$O$11))</f>
        <v>1.25397901785714</v>
      </c>
      <c r="BD64" s="46" t="n">
        <f aca="false">BC64*(1+INDEX(Response_Table!$K$4:$K$21,MATCH($F64&amp;"|mid",Response_Table!$A$4:$A$21,0))*$R64*INDEX(Parameters!$X$11:$AA$11,1,MATCH($E64,Parameters!$X$3:$AA$3,0)))</f>
        <v>1.19056074557326</v>
      </c>
      <c r="BE64" s="46" t="n">
        <f aca="false">MAX(0,MIN(BC64*(1+INDEX(Response_Table!$K$4:$K$21,MATCH($F64&amp;"|low",Response_Table!$A$4:$A$21,0))*$R64*INDEX(Parameters!$X$11:$AA$11,1,MATCH($E64,Parameters!$X$3:$AA$3,0))),BC64*(1+INDEX(Response_Table!$K$4:$K$21,MATCH($F64&amp;"|high",Response_Table!$A$4:$A$21,0))*$R64*INDEX(Parameters!$X$11:$AA$11,1,MATCH($E64,Parameters!$X$3:$AA$3,0))))*(1-Inputs_General!$C$22*Parameters!$F$11))</f>
        <v>0.962112316617242</v>
      </c>
      <c r="BF64" s="46" t="n">
        <f aca="false">MAX(BC64*(1+INDEX(Response_Table!$K$4:$K$21,MATCH($F64&amp;"|low",Response_Table!$A$4:$A$21,0))*$R64*INDEX(Parameters!$X$11:$AA$11,1,MATCH($E64,Parameters!$X$3:$AA$3,0))),BC64*(1+INDEX(Response_Table!$K$4:$K$21,MATCH($F64&amp;"|high",Response_Table!$A$4:$A$21,0))*$R64*INDEX(Parameters!$X$11:$AA$11,1,MATCH($E64,Parameters!$X$3:$AA$3,0))))*(1+Inputs_General!$C$22*Parameters!$F$11)</f>
        <v>1.43484990164598</v>
      </c>
      <c r="BG64" s="45" t="n">
        <f aca="false">IF(BC64=0,0,BD64/BC64-1)</f>
        <v>-0.0505736311220398</v>
      </c>
      <c r="BH64" s="46" t="n">
        <f aca="false">Parameters!$E$12*IF($N64="V",Parameters!$I$12,IF($N64="F",Parameters!$J$12,Parameters!$K$12))*(1-Parameters!$L$12*$P64)*IF($D64="V1",Parameters!$M$12,IF($D64="V2",Parameters!$N$12,Parameters!$O$12))</f>
        <v>0.451432446428571</v>
      </c>
      <c r="BI64" s="46" t="n">
        <f aca="false">BH64*(1+INDEX(Response_Table!$L$4:$L$21,MATCH($F64&amp;"|mid",Response_Table!$A$4:$A$21,0))*$R64*INDEX(Parameters!$X$12:$AA$12,1,MATCH($E64,Parameters!$X$3:$AA$3,0)))</f>
        <v>0.433268081938275</v>
      </c>
      <c r="BJ64" s="46" t="n">
        <f aca="false">MAX(0,MIN(BH64*(1+INDEX(Response_Table!$L$4:$L$21,MATCH($F64&amp;"|low",Response_Table!$A$4:$A$21,0))*$R64*INDEX(Parameters!$X$12:$AA$12,1,MATCH($E64,Parameters!$X$3:$AA$3,0))),BH64*(1+INDEX(Response_Table!$L$4:$L$21,MATCH($F64&amp;"|high",Response_Table!$A$4:$A$21,0))*$R64*INDEX(Parameters!$X$12:$AA$12,1,MATCH($E64,Parameters!$X$3:$AA$3,0))))*(1-Inputs_General!$C$22*Parameters!$F$12))</f>
        <v>0.338725778547315</v>
      </c>
      <c r="BK64" s="46" t="n">
        <f aca="false">MAX(BH64*(1+INDEX(Response_Table!$L$4:$L$21,MATCH($F64&amp;"|low",Response_Table!$A$4:$A$21,0))*$R64*INDEX(Parameters!$X$12:$AA$12,1,MATCH($E64,Parameters!$X$3:$AA$3,0))),BH64*(1+INDEX(Response_Table!$L$4:$L$21,MATCH($F64&amp;"|high",Response_Table!$A$4:$A$21,0))*$R64*INDEX(Parameters!$X$12:$AA$12,1,MATCH($E64,Parameters!$X$3:$AA$3,0))))*(1+Inputs_General!$C$22*Parameters!$F$12)</f>
        <v>0.53307665326906</v>
      </c>
      <c r="BL64" s="45" t="n">
        <f aca="false">IF(BH64=0,0,BI64/BH64-1)</f>
        <v>-0.0402371708857008</v>
      </c>
      <c r="BM64" s="46" t="n">
        <f aca="false">Parameters!$E$13*IF($N64="V",Parameters!$I$13,IF($N64="F",Parameters!$J$13,Parameters!$K$13))*(1-Parameters!$L$13*$P64)*IF($D64="V1",Parameters!$M$13,IF($D64="V2",Parameters!$N$13,Parameters!$O$13))</f>
        <v>0.304977482142857</v>
      </c>
      <c r="BN64" s="46" t="n">
        <f aca="false">BM64*(1+INDEX(Response_Table!$M$4:$M$21,MATCH($F64&amp;"|mid",Response_Table!$A$4:$A$21,0))*$R64*INDEX(Parameters!$X$13:$AA$13,1,MATCH($E64,Parameters!$X$3:$AA$3,0)))</f>
        <v>0.311713610379236</v>
      </c>
      <c r="BO64" s="46" t="n">
        <f aca="false">MAX(0,MIN(BM64*(1+INDEX(Response_Table!$M$4:$M$21,MATCH($F64&amp;"|low",Response_Table!$A$4:$A$21,0))*$R64*INDEX(Parameters!$X$13:$AA$13,1,MATCH($E64,Parameters!$X$3:$AA$3,0))),BM64*(1+INDEX(Response_Table!$M$4:$M$21,MATCH($F64&amp;"|high",Response_Table!$A$4:$A$21,0))*$R64*INDEX(Parameters!$X$13:$AA$13,1,MATCH($E64,Parameters!$X$3:$AA$3,0))))*(1-Inputs_General!$C$22*Parameters!$F$13))</f>
        <v>0.247432719726346</v>
      </c>
      <c r="BP64" s="46" t="n">
        <f aca="false">MAX(BM64*(1+INDEX(Response_Table!$M$4:$M$21,MATCH($F64&amp;"|low",Response_Table!$A$4:$A$21,0))*$R64*INDEX(Parameters!$X$13:$AA$13,1,MATCH($E64,Parameters!$X$3:$AA$3,0))),BM64*(1+INDEX(Response_Table!$M$4:$M$21,MATCH($F64&amp;"|high",Response_Table!$A$4:$A$21,0))*$R64*INDEX(Parameters!$X$13:$AA$13,1,MATCH($E64,Parameters!$X$3:$AA$3,0))))*(1+Inputs_General!$C$22*Parameters!$F$13)</f>
        <v>0.373473774592818</v>
      </c>
      <c r="BQ64" s="45" t="n">
        <f aca="false">IF(BM64=0,0,BN64/BM64-1)</f>
        <v>0.0220872970327148</v>
      </c>
      <c r="BR64" s="44" t="n">
        <f aca="false">Parameters!$E$14*IF($N64="V",Parameters!$I$14,IF($N64="F",Parameters!$J$14,Parameters!$K$14))*(1-Parameters!$L$14*$P64)*IF($D64="V1",Parameters!$M$14,IF($D64="V2",Parameters!$N$14,Parameters!$O$14))*INDEX(Context!$AC$4:$AC$51,$K64)</f>
        <v>15</v>
      </c>
      <c r="BS64" s="44" t="n">
        <f aca="false">BR64*(1+INDEX(Response_Table!$N$4:$N$21,MATCH($F64&amp;"|mid",Response_Table!$A$4:$A$21,0))*$R64*INDEX(Parameters!$X$14:$AA$14,1,MATCH($E64,Parameters!$X$3:$AA$3,0)))</f>
        <v>15.6584264326751</v>
      </c>
      <c r="BT64" s="44" t="n">
        <f aca="false">MAX(0,MIN(BR64*(1+INDEX(Response_Table!$N$4:$N$21,MATCH($F64&amp;"|low",Response_Table!$A$4:$A$21,0))*$R64*INDEX(Parameters!$X$14:$AA$14,1,MATCH($E64,Parameters!$X$3:$AA$3,0))),BR64*(1+INDEX(Response_Table!$N$4:$N$21,MATCH($F64&amp;"|high",Response_Table!$A$4:$A$21,0))*$R64*INDEX(Parameters!$X$14:$AA$14,1,MATCH($E64,Parameters!$X$3:$AA$3,0))))*(1-Inputs_General!$C$22*Parameters!$F$14))</f>
        <v>7.71201543002126</v>
      </c>
      <c r="BU64" s="44" t="n">
        <f aca="false">MAX(BR64*(1+INDEX(Response_Table!$N$4:$N$21,MATCH($F64&amp;"|low",Response_Table!$A$4:$A$21,0))*$R64*INDEX(Parameters!$X$14:$AA$14,1,MATCH($E64,Parameters!$X$3:$AA$3,0))),BR64*(1+INDEX(Response_Table!$N$4:$N$21,MATCH($F64&amp;"|high",Response_Table!$A$4:$A$21,0))*$R64*INDEX(Parameters!$X$14:$AA$14,1,MATCH($E64,Parameters!$X$3:$AA$3,0))))*(1+Inputs_General!$C$22*Parameters!$F$14)</f>
        <v>23.9939496746502</v>
      </c>
      <c r="BV64" s="45" t="n">
        <f aca="false">IF(BR64=0,0,BS64/BR64-1)</f>
        <v>0.0438950955116737</v>
      </c>
      <c r="BW64" s="43" t="n">
        <f aca="false">Parameters!$E$15*IF($N64="V",Parameters!$I$15,IF($N64="F",Parameters!$J$15,Parameters!$K$15))*(1-Parameters!$L$15*$P64)*IF($D64="V1",Parameters!$M$15,IF($D64="V2",Parameters!$N$15,Parameters!$O$15))</f>
        <v>9.73964285714286</v>
      </c>
      <c r="BX64" s="43" t="n">
        <f aca="false">BW64*(1+INDEX(Response_Table!$O$4:$O$21,MATCH($F64&amp;"|mid",Response_Table!$A$4:$A$21,0))*$R64*INDEX(Parameters!$X$15:$AA$15,1,MATCH($E64,Parameters!$X$3:$AA$3,0)))</f>
        <v>9.63276221877689</v>
      </c>
      <c r="BY64" s="43" t="n">
        <f aca="false">MAX(0,MIN(BW64*(1+INDEX(Response_Table!$O$4:$O$21,MATCH($F64&amp;"|low",Response_Table!$A$4:$A$21,0))*$R64*INDEX(Parameters!$X$15:$AA$15,1,MATCH($E64,Parameters!$X$3:$AA$3,0))),BW64*(1+INDEX(Response_Table!$O$4:$O$21,MATCH($F64&amp;"|high",Response_Table!$A$4:$A$21,0))*$R64*INDEX(Parameters!$X$15:$AA$15,1,MATCH($E64,Parameters!$X$3:$AA$3,0))))*(1-Inputs_General!$C$22*Parameters!$F$15))</f>
        <v>7.6782088607836</v>
      </c>
      <c r="BZ64" s="43" t="n">
        <f aca="false">MAX(BW64*(1+INDEX(Response_Table!$O$4:$O$21,MATCH($F64&amp;"|low",Response_Table!$A$4:$A$21,0))*$R64*INDEX(Parameters!$X$15:$AA$15,1,MATCH($E64,Parameters!$X$3:$AA$3,0))),BW64*(1+INDEX(Response_Table!$O$4:$O$21,MATCH($F64&amp;"|high",Response_Table!$A$4:$A$21,0))*$R64*INDEX(Parameters!$X$15:$AA$15,1,MATCH($E64,Parameters!$X$3:$AA$3,0))))*(1+Inputs_General!$C$22*Parameters!$F$15)</f>
        <v>11.6183027373458</v>
      </c>
      <c r="CA64" s="45" t="n">
        <f aca="false">IF(BW64=0,0,BX64/BW64-1)</f>
        <v>-0.0109737738779183</v>
      </c>
      <c r="CB64" s="46" t="n">
        <f aca="false">BD64+BI64</f>
        <v>1.62382882751153</v>
      </c>
      <c r="CC64" s="43" t="n">
        <f aca="false">BD64/BI64</f>
        <v>2.74786164779816</v>
      </c>
      <c r="CD64" s="46" t="n">
        <f aca="false">BN64/CB64</f>
        <v>0.191962111460312</v>
      </c>
      <c r="CE64" s="43" t="n">
        <f aca="false">AE64/AO64</f>
        <v>2.97948852208285</v>
      </c>
      <c r="CF64" s="44" t="n">
        <f aca="false">AE64/AJ64</f>
        <v>52.5854766432115</v>
      </c>
      <c r="CG64" s="44" t="n">
        <f aca="false">INDEX(Context!$V$4:$V$51,$K64)</f>
        <v>28.62</v>
      </c>
      <c r="CH64" s="44" t="n">
        <f aca="false">INDEX(Context!$Y$4:$Y$51,$K64)</f>
        <v>25.3060134606718</v>
      </c>
      <c r="CI64" s="44" t="n">
        <f aca="false">INDEX(Context!$Z$4:$Z$51,$K64)</f>
        <v>32.62</v>
      </c>
      <c r="CJ64" s="43" t="n">
        <f aca="false">INDEX(Context!$AA$4:$AA$51,$K64)</f>
        <v>0.221696428571429</v>
      </c>
      <c r="CK64" s="43" t="n">
        <f aca="false">MAX(0,MIN(1,1-(1-CJ64)*AO64/AN64))</f>
        <v>0.253147417331599</v>
      </c>
      <c r="CL64" s="44" t="n">
        <f aca="false">CH64+CK64*(CI64-CH64)</f>
        <v>27.1575302635008</v>
      </c>
      <c r="CM64" s="44" t="n">
        <f aca="false">CH64+MAX(0,MIN(1,1-(1-CJ64)*AQ64/AN64))*(CI64-CH64)</f>
        <v>25.3060134606718</v>
      </c>
      <c r="CN64" s="44" t="n">
        <f aca="false">CH64+MAX(0,MIN(1,1-(1-CJ64)*AP64/AN64))*(CI64-CH64)</f>
        <v>28.9121718909313</v>
      </c>
      <c r="CO64" s="44" t="n">
        <f aca="false">CL64-CG64</f>
        <v>-1.46246973649921</v>
      </c>
      <c r="CP64" s="44" t="n">
        <f aca="false">CL64-(CH64+CJ64*(CI64-CH64))</f>
        <v>0.230032108440454</v>
      </c>
      <c r="CQ64" s="46" t="n">
        <f aca="false">CL64/CG64</f>
        <v>0.948900428494088</v>
      </c>
      <c r="CR64" s="43" t="n">
        <f aca="false">IF(CL64-CH64&lt;=0,"n/a",(CI64-CL64)/(CL64-CH64))</f>
        <v>2.95026743918977</v>
      </c>
      <c r="CS64" s="43" t="n">
        <f aca="false">IF(CI64-CL64&lt;=0,"n/a",(CL64-CH64)/(CI64-CL64))</f>
        <v>0.338952322327304</v>
      </c>
      <c r="CT64" s="43" t="n">
        <f aca="false">Inputs_General!$C$23+Inputs_General!$C$24*$I64</f>
        <v>0.66</v>
      </c>
      <c r="CU64" s="44" t="n">
        <f aca="false">3.29*CT64</f>
        <v>2.1714</v>
      </c>
    </row>
    <row r="65" customFormat="false" ht="15" hidden="false" customHeight="false" outlineLevel="0" collapsed="false">
      <c r="A65" s="9" t="str">
        <f aca="false">B65&amp;"|"&amp;E65&amp;"|"&amp;F65</f>
        <v>D1V3|03/03/2026|Low</v>
      </c>
      <c r="B65" s="7" t="s">
        <v>345</v>
      </c>
      <c r="C65" s="9" t="s">
        <v>127</v>
      </c>
      <c r="D65" s="9" t="s">
        <v>150</v>
      </c>
      <c r="E65" s="9" t="s">
        <v>162</v>
      </c>
      <c r="F65" s="7" t="s">
        <v>279</v>
      </c>
      <c r="G65" s="9" t="s">
        <v>280</v>
      </c>
      <c r="H65" s="41" t="n">
        <f aca="false">INDEX(Severity_Classes!$C$4:$C$9,MATCH(F65,Severity_Classes!$A$4:$A$9,0))</f>
        <v>0.06</v>
      </c>
      <c r="I65" s="41" t="n">
        <f aca="false">INDEX(Severity_Classes!$D$4:$D$9,MATCH(F65,Severity_Classes!$A$4:$A$9,0))</f>
        <v>0.08</v>
      </c>
      <c r="J65" s="41" t="n">
        <f aca="false">INDEX(Severity_Classes!$E$4:$E$9,MATCH(F65,Severity_Classes!$A$4:$A$9,0))</f>
        <v>0.1</v>
      </c>
      <c r="K65" s="42" t="n">
        <f aca="false">MATCH(B65&amp;"|"&amp;E65,Context!$A$4:$A$51,0)</f>
        <v>11</v>
      </c>
      <c r="L65" s="42" t="n">
        <f aca="false">INDEX(Context!$H$4:$H$51,K65)</f>
        <v>84</v>
      </c>
      <c r="M65" s="42" t="n">
        <f aca="false">INDEX(Context!$I$4:$I$51,K65)</f>
        <v>26</v>
      </c>
      <c r="N65" s="9" t="str">
        <f aca="false">INDEX(Context!$L$4:$L$51,K65)</f>
        <v>F</v>
      </c>
      <c r="O65" s="9" t="str">
        <f aca="false">INDEX(Context!$M$4:$M$51,K65)</f>
        <v>5th fully expanded leaf from top</v>
      </c>
      <c r="P65" s="43" t="n">
        <f aca="false">INDEX(Context!$R$4:$R$51,K65)</f>
        <v>0.433928571428571</v>
      </c>
      <c r="Q65" s="43" t="n">
        <f aca="false">INDEX(Context!$U$4:$U$51,K65)</f>
        <v>1.73951545534029</v>
      </c>
      <c r="R65" s="43" t="n">
        <f aca="false">INDEX(Context!$AD$4:$AD$51,K65)</f>
        <v>0.85</v>
      </c>
      <c r="S65" s="9" t="str">
        <f aca="false">INDEX(Context!$AI$4:$AN$51,K65,MATCH(F65,Severity_Classes!$A$4:$A$9,0))</f>
        <v>Likely</v>
      </c>
      <c r="T65" s="44" t="n">
        <f aca="false">Parameters!$E$4*IF($N65="V",Parameters!$I$4,IF($N65="F",Parameters!$J$4,Parameters!$K$4))*(1-Parameters!$L$4*$P65)*IF($D65="V1",Parameters!$M$4,IF($D65="V2",Parameters!$N$4,Parameters!$O$4))</f>
        <v>83.2927660714286</v>
      </c>
      <c r="U65" s="44" t="n">
        <f aca="false">MIN(100,T65*(1+INDEX(Response_Table!$E$4:$E$21,MATCH($F65&amp;"|mid",Response_Table!$A$4:$A$21,0))*$R65*INDEX(Parameters!$X$4:$AA$4,1,MATCH($E65,Parameters!$X$3:$AA$3,0))))</f>
        <v>82.3073433976175</v>
      </c>
      <c r="V65" s="44" t="n">
        <f aca="false">MAX(0,MIN(T65*(1+INDEX(Response_Table!$E$4:$E$21,MATCH($F65&amp;"|low",Response_Table!$A$4:$A$21,0))*$R65*INDEX(Parameters!$X$4:$AA$4,1,MATCH($E65,Parameters!$X$3:$AA$3,0))),T65*(1+INDEX(Response_Table!$E$4:$E$21,MATCH($F65&amp;"|high",Response_Table!$A$4:$A$21,0))*$R65*INDEX(Parameters!$X$4:$AA$4,1,MATCH($E65,Parameters!$X$3:$AA$3,0))))*(1-Inputs_General!$C$22*Parameters!$F$4))</f>
        <v>76.5698798562237</v>
      </c>
      <c r="W65" s="44" t="n">
        <f aca="false">MIN(100,MAX(T65*(1+INDEX(Response_Table!$E$4:$E$21,MATCH($F65&amp;"|low",Response_Table!$A$4:$A$21,0))*$R65*INDEX(Parameters!$X$4:$AA$4,1,MATCH($E65,Parameters!$X$3:$AA$3,0))),T65*(1+INDEX(Response_Table!$E$4:$E$21,MATCH($F65&amp;"|high",Response_Table!$A$4:$A$21,0))*$R65*INDEX(Parameters!$X$4:$AA$4,1,MATCH($E65,Parameters!$X$3:$AA$3,0))))*(1+Inputs_General!$C$22*Parameters!$F$4))</f>
        <v>88.043848156757</v>
      </c>
      <c r="X65" s="45" t="n">
        <f aca="false">IF(T65=0,0,U65/T65-1)</f>
        <v>-0.0118308314189739</v>
      </c>
      <c r="Y65" s="44" t="n">
        <f aca="false">Parameters!$E$5*IF($N65="V",Parameters!$I$5,IF($N65="F",Parameters!$J$5,Parameters!$K$5))*(1-Parameters!$L$5*$P65)*IF($D65="V1",Parameters!$M$5,IF($D65="V2",Parameters!$N$5,Parameters!$O$5))</f>
        <v>66.88584</v>
      </c>
      <c r="Z65" s="44" t="n">
        <f aca="false">MIN(100,Y65*(1+INDEX(Response_Table!$F$4:$F$21,MATCH($F65&amp;"|mid",Response_Table!$A$4:$A$21,0))*$R65*INDEX(Parameters!$X$5:$AA$5,1,MATCH($E65,Parameters!$X$3:$AA$3,0))))</f>
        <v>64.2734964721013</v>
      </c>
      <c r="AA65" s="44" t="n">
        <f aca="false">MAX(0,MIN(Y65*(1+INDEX(Response_Table!$F$4:$F$21,MATCH($F65&amp;"|low",Response_Table!$A$4:$A$21,0))*$R65*INDEX(Parameters!$X$5:$AA$5,1,MATCH($E65,Parameters!$X$3:$AA$3,0))),Y65*(1+INDEX(Response_Table!$F$4:$F$21,MATCH($F65&amp;"|high",Response_Table!$A$4:$A$21,0))*$R65*INDEX(Parameters!$X$5:$AA$5,1,MATCH($E65,Parameters!$X$3:$AA$3,0))))*(1-Inputs_General!$C$22*Parameters!$F$5))</f>
        <v>56.026363086705</v>
      </c>
      <c r="AB65" s="44" t="n">
        <f aca="false">MIN(100,MAX(Y65*(1+INDEX(Response_Table!$F$4:$F$21,MATCH($F65&amp;"|low",Response_Table!$A$4:$A$21,0))*$R65*INDEX(Parameters!$X$5:$AA$5,1,MATCH($E65,Parameters!$X$3:$AA$3,0))),Y65*(1+INDEX(Response_Table!$F$4:$F$21,MATCH($F65&amp;"|high",Response_Table!$A$4:$A$21,0))*$R65*INDEX(Parameters!$X$5:$AA$5,1,MATCH($E65,Parameters!$X$3:$AA$3,0))))*(1+Inputs_General!$C$22*Parameters!$F$5))</f>
        <v>72.5903798013609</v>
      </c>
      <c r="AC65" s="45" t="n">
        <f aca="false">IF(Y65=0,0,Z65/Y65-1)</f>
        <v>-0.0390567499473534</v>
      </c>
      <c r="AD65" s="44" t="n">
        <f aca="false">Parameters!$E$6*IF($N65="V",Parameters!$I$6,IF($N65="F",Parameters!$J$6,Parameters!$K$6))*(1-Parameters!$L$6*$P65)*IF($D65="V1",Parameters!$M$6,IF($D65="V2",Parameters!$N$6,Parameters!$O$6))</f>
        <v>18.5509621428571</v>
      </c>
      <c r="AE65" s="44" t="n">
        <f aca="false">AD65*(1+INDEX(Response_Table!$G$4:$G$21,MATCH($F65&amp;"|mid",Response_Table!$A$4:$A$21,0))*$R65*INDEX(Parameters!$X$6:$AA$6,1,MATCH($E65,Parameters!$X$3:$AA$3,0)))</f>
        <v>15.0418821373977</v>
      </c>
      <c r="AF65" s="44" t="n">
        <f aca="false">MAX(0,MIN(AD65*(1+INDEX(Response_Table!$G$4:$G$21,MATCH($F65&amp;"|low",Response_Table!$A$4:$A$21,0))*$R65*INDEX(Parameters!$X$6:$AA$6,1,MATCH($E65,Parameters!$X$3:$AA$3,0))),AD65*(1+INDEX(Response_Table!$G$4:$G$21,MATCH($F65&amp;"|high",Response_Table!$A$4:$A$21,0))*$R65*INDEX(Parameters!$X$6:$AA$6,1,MATCH($E65,Parameters!$X$3:$AA$3,0))))*(1-Inputs_General!$C$22*Parameters!$F$6))</f>
        <v>11.5102888623805</v>
      </c>
      <c r="AG65" s="44" t="n">
        <f aca="false">MAX(AD65*(1+INDEX(Response_Table!$G$4:$G$21,MATCH($F65&amp;"|low",Response_Table!$A$4:$A$21,0))*$R65*INDEX(Parameters!$X$6:$AA$6,1,MATCH($E65,Parameters!$X$3:$AA$3,0))),AD65*(1+INDEX(Response_Table!$G$4:$G$21,MATCH($F65&amp;"|high",Response_Table!$A$4:$A$21,0))*$R65*INDEX(Parameters!$X$6:$AA$6,1,MATCH($E65,Parameters!$X$3:$AA$3,0))))*(1+Inputs_General!$C$22*Parameters!$F$6)</f>
        <v>18.9272561977413</v>
      </c>
      <c r="AH65" s="45" t="n">
        <f aca="false">IF(AD65=0,0,AE65/AD65-1)</f>
        <v>-0.189158922240083</v>
      </c>
      <c r="AI65" s="46" t="n">
        <f aca="false">Parameters!$E$7*IF($N65="V",Parameters!$I$7,IF($N65="F",Parameters!$J$7,Parameters!$K$7))*(1-Parameters!$L$7*$P65)*IF($D65="V1",Parameters!$M$7,IF($D65="V2",Parameters!$N$7,Parameters!$O$7))*POWER($Q65/Inputs_General!$C$26,-Inputs_General!$C$25)</f>
        <v>0.341191629407368</v>
      </c>
      <c r="AJ65" s="46" t="n">
        <f aca="false">AI65*(1+INDEX(Response_Table!$H$4:$H$21,MATCH($F65&amp;"|mid",Response_Table!$A$4:$A$21,0))*$R65*INDEX(Parameters!$X$7:$AA$7,1,MATCH($E65,Parameters!$X$3:$AA$3,0)))</f>
        <v>0.300969194173925</v>
      </c>
      <c r="AK65" s="46" t="n">
        <f aca="false">MAX(0,MIN(AI65*(1+INDEX(Response_Table!$H$4:$H$21,MATCH($F65&amp;"|low",Response_Table!$A$4:$A$21,0))*$R65*INDEX(Parameters!$X$7:$AA$7,1,MATCH($E65,Parameters!$X$3:$AA$3,0))),AI65*(1+INDEX(Response_Table!$H$4:$H$21,MATCH($F65&amp;"|high",Response_Table!$A$4:$A$21,0))*$R65*INDEX(Parameters!$X$7:$AA$7,1,MATCH($E65,Parameters!$X$3:$AA$3,0))))*(1-Inputs_General!$C$22*Parameters!$F$7))</f>
        <v>0.205773686709861</v>
      </c>
      <c r="AL65" s="46" t="n">
        <f aca="false">MAX(AI65*(1+INDEX(Response_Table!$H$4:$H$21,MATCH($F65&amp;"|low",Response_Table!$A$4:$A$21,0))*$R65*INDEX(Parameters!$X$7:$AA$7,1,MATCH($E65,Parameters!$X$3:$AA$3,0))),AI65*(1+INDEX(Response_Table!$H$4:$H$21,MATCH($F65&amp;"|high",Response_Table!$A$4:$A$21,0))*$R65*INDEX(Parameters!$X$7:$AA$7,1,MATCH($E65,Parameters!$X$3:$AA$3,0))))*(1+Inputs_General!$C$22*Parameters!$F$7)</f>
        <v>0.401970749117358</v>
      </c>
      <c r="AM65" s="45" t="n">
        <f aca="false">IF(AI65=0,0,AJ65/AI65-1)</f>
        <v>-0.117888106760729</v>
      </c>
      <c r="AN65" s="43" t="n">
        <f aca="false">AI65*$Q65/Inputs_General!$C$13*1000</f>
        <v>5.97691956280819</v>
      </c>
      <c r="AO65" s="43" t="n">
        <f aca="false">AJ65*$Q65/Inputs_General!$C$13*1000*(1+Inputs_General!$C$21*$I65)</f>
        <v>5.37775806791332</v>
      </c>
      <c r="AP65" s="43" t="n">
        <f aca="false">AK65*$Q65/Inputs_General!$C$13*1000*(1+Inputs_General!$C$21*$H65)</f>
        <v>3.65876843866229</v>
      </c>
      <c r="AQ65" s="43" t="n">
        <f aca="false">AL65*$Q65/Inputs_General!$C$13*1000*(1+Inputs_General!$C$21*$J65)</f>
        <v>7.21767561884661</v>
      </c>
      <c r="AR65" s="45" t="n">
        <f aca="false">IF(AN65=0,0,AO65/AN65-1)</f>
        <v>-0.100245868895944</v>
      </c>
      <c r="AS65" s="42" t="n">
        <f aca="false">Parameters!$E$9*IF($N65="V",Parameters!$I$9,IF($N65="F",Parameters!$J$9,Parameters!$K$9))*(1-Parameters!$L$9*$P65)*IF($D65="V1",Parameters!$M$9,IF($D65="V2",Parameters!$N$9,Parameters!$O$9))</f>
        <v>285</v>
      </c>
      <c r="AT65" s="42" t="n">
        <f aca="false">AS65*(1+INDEX(Response_Table!$I$4:$I$21,MATCH($F65&amp;"|mid",Response_Table!$A$4:$A$21,0))*$R65*INDEX(Parameters!$X$9:$AA$9,1,MATCH($E65,Parameters!$X$3:$AA$3,0)))</f>
        <v>304.90211873067</v>
      </c>
      <c r="AU65" s="42" t="n">
        <f aca="false">MAX(0,MIN(AS65*(1+INDEX(Response_Table!$I$4:$I$21,MATCH($F65&amp;"|low",Response_Table!$A$4:$A$21,0))*$R65*INDEX(Parameters!$X$9:$AA$9,1,MATCH($E65,Parameters!$X$3:$AA$3,0))),AS65*(1+INDEX(Response_Table!$I$4:$I$21,MATCH($F65&amp;"|high",Response_Table!$A$4:$A$21,0))*$R65*INDEX(Parameters!$X$9:$AA$9,1,MATCH($E65,Parameters!$X$3:$AA$3,0))))*(1-Inputs_General!$C$22*Parameters!$F$9))</f>
        <v>270.846797043545</v>
      </c>
      <c r="AV65" s="42" t="n">
        <f aca="false">MAX(AS65*(1+INDEX(Response_Table!$I$4:$I$21,MATCH($F65&amp;"|low",Response_Table!$A$4:$A$21,0))*$R65*INDEX(Parameters!$X$9:$AA$9,1,MATCH($E65,Parameters!$X$3:$AA$3,0))),AS65*(1+INDEX(Response_Table!$I$4:$I$21,MATCH($F65&amp;"|high",Response_Table!$A$4:$A$21,0))*$R65*INDEX(Parameters!$X$9:$AA$9,1,MATCH($E65,Parameters!$X$3:$AA$3,0))))*(1+Inputs_General!$C$22*Parameters!$F$9)</f>
        <v>339.453792381945</v>
      </c>
      <c r="AW65" s="45" t="n">
        <f aca="false">IF(AS65=0,0,AT65/AS65-1)</f>
        <v>0.0698319955462088</v>
      </c>
      <c r="AX65" s="43" t="n">
        <f aca="false">INDEX(Context!$AB$4:$AB$51,$K65)</f>
        <v>3.35011354523348</v>
      </c>
      <c r="AY65" s="43" t="n">
        <f aca="false">AX65*(1+INDEX(Response_Table!$J$4:$J$21,MATCH($F65&amp;"|mid",Response_Table!$A$4:$A$21,0))*$R65*INDEX(Parameters!$X$10:$AA$10,1,MATCH($E65,Parameters!$X$3:$AA$3,0)))</f>
        <v>3.11783179124472</v>
      </c>
      <c r="AZ65" s="43" t="n">
        <f aca="false">MAX(0,MIN(AX65*(1+INDEX(Response_Table!$J$4:$J$21,MATCH($F65&amp;"|low",Response_Table!$A$4:$A$21,0))*$R65*INDEX(Parameters!$X$10:$AA$10,1,MATCH($E65,Parameters!$X$3:$AA$3,0))),AX65*(1+INDEX(Response_Table!$J$4:$J$21,MATCH($F65&amp;"|high",Response_Table!$A$4:$A$21,0))*$R65*INDEX(Parameters!$X$10:$AA$10,1,MATCH($E65,Parameters!$X$3:$AA$3,0))))*(1-Inputs_General!$C$22*Parameters!$F$10))</f>
        <v>2.46130516184005</v>
      </c>
      <c r="BA65" s="43" t="n">
        <f aca="false">MAX(AX65*(1+INDEX(Response_Table!$J$4:$J$21,MATCH($F65&amp;"|low",Response_Table!$A$4:$A$21,0))*$R65*INDEX(Parameters!$X$10:$AA$10,1,MATCH($E65,Parameters!$X$3:$AA$3,0))),AX65*(1+INDEX(Response_Table!$J$4:$J$21,MATCH($F65&amp;"|high",Response_Table!$A$4:$A$21,0))*$R65*INDEX(Parameters!$X$10:$AA$10,1,MATCH($E65,Parameters!$X$3:$AA$3,0))))*(1+Inputs_General!$C$22*Parameters!$F$10)</f>
        <v>3.79770039704604</v>
      </c>
      <c r="BB65" s="45" t="n">
        <f aca="false">IF(AX65=0,0,AY65/AX65-1)</f>
        <v>-0.069335486947672</v>
      </c>
      <c r="BC65" s="46" t="n">
        <f aca="false">Parameters!$E$11*IF($N65="V",Parameters!$I$11,IF($N65="F",Parameters!$J$11,Parameters!$K$11))*(1-Parameters!$L$11*$P65)*IF($D65="V1",Parameters!$M$11,IF($D65="V2",Parameters!$N$11,Parameters!$O$11))</f>
        <v>1.25397901785714</v>
      </c>
      <c r="BD65" s="46" t="n">
        <f aca="false">BC65*(1+INDEX(Response_Table!$K$4:$K$21,MATCH($F65&amp;"|mid",Response_Table!$A$4:$A$21,0))*$R65*INDEX(Parameters!$X$11:$AA$11,1,MATCH($E65,Parameters!$X$3:$AA$3,0)))</f>
        <v>1.0974992870948</v>
      </c>
      <c r="BE65" s="46" t="n">
        <f aca="false">MAX(0,MIN(BC65*(1+INDEX(Response_Table!$K$4:$K$21,MATCH($F65&amp;"|low",Response_Table!$A$4:$A$21,0))*$R65*INDEX(Parameters!$X$11:$AA$11,1,MATCH($E65,Parameters!$X$3:$AA$3,0))),BC65*(1+INDEX(Response_Table!$K$4:$K$21,MATCH($F65&amp;"|high",Response_Table!$A$4:$A$21,0))*$R65*INDEX(Parameters!$X$11:$AA$11,1,MATCH($E65,Parameters!$X$3:$AA$3,0))))*(1-Inputs_General!$C$22*Parameters!$F$11))</f>
        <v>0.889179755941374</v>
      </c>
      <c r="BF65" s="46" t="n">
        <f aca="false">MAX(BC65*(1+INDEX(Response_Table!$K$4:$K$21,MATCH($F65&amp;"|low",Response_Table!$A$4:$A$21,0))*$R65*INDEX(Parameters!$X$11:$AA$11,1,MATCH($E65,Parameters!$X$3:$AA$3,0))),BC65*(1+INDEX(Response_Table!$K$4:$K$21,MATCH($F65&amp;"|high",Response_Table!$A$4:$A$21,0))*$R65*INDEX(Parameters!$X$11:$AA$11,1,MATCH($E65,Parameters!$X$3:$AA$3,0))))*(1+Inputs_General!$C$22*Parameters!$F$11)</f>
        <v>1.31931739547343</v>
      </c>
      <c r="BG65" s="45" t="n">
        <f aca="false">IF(BC65=0,0,BD65/BC65-1)</f>
        <v>-0.124786562242283</v>
      </c>
      <c r="BH65" s="46" t="n">
        <f aca="false">Parameters!$E$12*IF($N65="V",Parameters!$I$12,IF($N65="F",Parameters!$J$12,Parameters!$K$12))*(1-Parameters!$L$12*$P65)*IF($D65="V1",Parameters!$M$12,IF($D65="V2",Parameters!$N$12,Parameters!$O$12))</f>
        <v>0.451432446428571</v>
      </c>
      <c r="BI65" s="46" t="n">
        <f aca="false">BH65*(1+INDEX(Response_Table!$L$4:$L$21,MATCH($F65&amp;"|mid",Response_Table!$A$4:$A$21,0))*$R65*INDEX(Parameters!$X$12:$AA$12,1,MATCH($E65,Parameters!$X$3:$AA$3,0)))</f>
        <v>0.406401394056409</v>
      </c>
      <c r="BJ65" s="46" t="n">
        <f aca="false">MAX(0,MIN(BH65*(1+INDEX(Response_Table!$L$4:$L$21,MATCH($F65&amp;"|low",Response_Table!$A$4:$A$21,0))*$R65*INDEX(Parameters!$X$12:$AA$12,1,MATCH($E65,Parameters!$X$3:$AA$3,0))),BH65*(1+INDEX(Response_Table!$L$4:$L$21,MATCH($F65&amp;"|high",Response_Table!$A$4:$A$21,0))*$R65*INDEX(Parameters!$X$12:$AA$12,1,MATCH($E65,Parameters!$X$3:$AA$3,0))))*(1-Inputs_General!$C$22*Parameters!$F$12))</f>
        <v>0.318418318077866</v>
      </c>
      <c r="BK65" s="46" t="n">
        <f aca="false">MAX(BH65*(1+INDEX(Response_Table!$L$4:$L$21,MATCH($F65&amp;"|low",Response_Table!$A$4:$A$21,0))*$R65*INDEX(Parameters!$X$12:$AA$12,1,MATCH($E65,Parameters!$X$3:$AA$3,0))),BH65*(1+INDEX(Response_Table!$L$4:$L$21,MATCH($F65&amp;"|high",Response_Table!$A$4:$A$21,0))*$R65*INDEX(Parameters!$X$12:$AA$12,1,MATCH($E65,Parameters!$X$3:$AA$3,0))))*(1+Inputs_General!$C$22*Parameters!$F$12)</f>
        <v>0.49891718885675</v>
      </c>
      <c r="BL65" s="45" t="n">
        <f aca="false">IF(BH65=0,0,BI65/BH65-1)</f>
        <v>-0.0997514749513863</v>
      </c>
      <c r="BM65" s="46" t="n">
        <f aca="false">Parameters!$E$13*IF($N65="V",Parameters!$I$13,IF($N65="F",Parameters!$J$13,Parameters!$K$13))*(1-Parameters!$L$13*$P65)*IF($D65="V1",Parameters!$M$13,IF($D65="V2",Parameters!$N$13,Parameters!$O$13))</f>
        <v>0.304977482142857</v>
      </c>
      <c r="BN65" s="46" t="n">
        <f aca="false">BM65*(1+INDEX(Response_Table!$M$4:$M$21,MATCH($F65&amp;"|mid",Response_Table!$A$4:$A$21,0))*$R65*INDEX(Parameters!$X$13:$AA$13,1,MATCH($E65,Parameters!$X$3:$AA$3,0)))</f>
        <v>0.308182447902685</v>
      </c>
      <c r="BO65" s="46" t="n">
        <f aca="false">MAX(0,MIN(BM65*(1+INDEX(Response_Table!$M$4:$M$21,MATCH($F65&amp;"|low",Response_Table!$A$4:$A$21,0))*$R65*INDEX(Parameters!$X$13:$AA$13,1,MATCH($E65,Parameters!$X$3:$AA$3,0))),BM65*(1+INDEX(Response_Table!$M$4:$M$21,MATCH($F65&amp;"|high",Response_Table!$A$4:$A$21,0))*$R65*INDEX(Parameters!$X$13:$AA$13,1,MATCH($E65,Parameters!$X$3:$AA$3,0))))*(1-Inputs_General!$C$22*Parameters!$F$13))</f>
        <v>0.24401078758413</v>
      </c>
      <c r="BP65" s="46" t="n">
        <f aca="false">MAX(BM65*(1+INDEX(Response_Table!$M$4:$M$21,MATCH($F65&amp;"|low",Response_Table!$A$4:$A$21,0))*$R65*INDEX(Parameters!$X$13:$AA$13,1,MATCH($E65,Parameters!$X$3:$AA$3,0))),BM65*(1+INDEX(Response_Table!$M$4:$M$21,MATCH($F65&amp;"|high",Response_Table!$A$4:$A$21,0))*$R65*INDEX(Parameters!$X$13:$AA$13,1,MATCH($E65,Parameters!$X$3:$AA$3,0))))*(1+Inputs_General!$C$22*Parameters!$F$13)</f>
        <v>0.372511001333389</v>
      </c>
      <c r="BQ65" s="45" t="n">
        <f aca="false">IF(BM65=0,0,BN65/BM65-1)</f>
        <v>0.0105088603175196</v>
      </c>
      <c r="BR65" s="44" t="n">
        <f aca="false">Parameters!$E$14*IF($N65="V",Parameters!$I$14,IF($N65="F",Parameters!$J$14,Parameters!$K$14))*(1-Parameters!$L$14*$P65)*IF($D65="V1",Parameters!$M$14,IF($D65="V2",Parameters!$N$14,Parameters!$O$14))*INDEX(Context!$AC$4:$AC$51,$K65)</f>
        <v>15</v>
      </c>
      <c r="BS65" s="44" t="n">
        <f aca="false">BR65*(1+INDEX(Response_Table!$N$4:$N$21,MATCH($F65&amp;"|mid",Response_Table!$A$4:$A$21,0))*$R65*INDEX(Parameters!$X$14:$AA$14,1,MATCH($E65,Parameters!$X$3:$AA$3,0)))</f>
        <v>16.6322968628409</v>
      </c>
      <c r="BT65" s="44" t="n">
        <f aca="false">MAX(0,MIN(BR65*(1+INDEX(Response_Table!$N$4:$N$21,MATCH($F65&amp;"|low",Response_Table!$A$4:$A$21,0))*$R65*INDEX(Parameters!$X$14:$AA$14,1,MATCH($E65,Parameters!$X$3:$AA$3,0))),BR65*(1+INDEX(Response_Table!$N$4:$N$21,MATCH($F65&amp;"|high",Response_Table!$A$4:$A$21,0))*$R65*INDEX(Parameters!$X$14:$AA$14,1,MATCH($E65,Parameters!$X$3:$AA$3,0))))*(1-Inputs_General!$C$22*Parameters!$F$14))</f>
        <v>8.23578263008946</v>
      </c>
      <c r="BU65" s="44" t="n">
        <f aca="false">MAX(BR65*(1+INDEX(Response_Table!$N$4:$N$21,MATCH($F65&amp;"|low",Response_Table!$A$4:$A$21,0))*$R65*INDEX(Parameters!$X$14:$AA$14,1,MATCH($E65,Parameters!$X$3:$AA$3,0))),BR65*(1+INDEX(Response_Table!$N$4:$N$21,MATCH($F65&amp;"|high",Response_Table!$A$4:$A$21,0))*$R65*INDEX(Parameters!$X$14:$AA$14,1,MATCH($E65,Parameters!$X$3:$AA$3,0))))*(1+Inputs_General!$C$22*Parameters!$F$14)</f>
        <v>25.3637231037007</v>
      </c>
      <c r="BV65" s="45" t="n">
        <f aca="false">IF(BR65=0,0,BS65/BR65-1)</f>
        <v>0.108819790856058</v>
      </c>
      <c r="BW65" s="43" t="n">
        <f aca="false">Parameters!$E$15*IF($N65="V",Parameters!$I$15,IF($N65="F",Parameters!$J$15,Parameters!$K$15))*(1-Parameters!$L$15*$P65)*IF($D65="V1",Parameters!$M$15,IF($D65="V2",Parameters!$N$15,Parameters!$O$15))</f>
        <v>9.73964285714286</v>
      </c>
      <c r="BX65" s="43" t="n">
        <f aca="false">BW65*(1+INDEX(Response_Table!$O$4:$O$21,MATCH($F65&amp;"|mid",Response_Table!$A$4:$A$21,0))*$R65*INDEX(Parameters!$X$15:$AA$15,1,MATCH($E65,Parameters!$X$3:$AA$3,0)))</f>
        <v>9.47467638246111</v>
      </c>
      <c r="BY65" s="43" t="n">
        <f aca="false">MAX(0,MIN(BW65*(1+INDEX(Response_Table!$O$4:$O$21,MATCH($F65&amp;"|low",Response_Table!$A$4:$A$21,0))*$R65*INDEX(Parameters!$X$15:$AA$15,1,MATCH($E65,Parameters!$X$3:$AA$3,0))),BW65*(1+INDEX(Response_Table!$O$4:$O$21,MATCH($F65&amp;"|high",Response_Table!$A$4:$A$21,0))*$R65*INDEX(Parameters!$X$15:$AA$15,1,MATCH($E65,Parameters!$X$3:$AA$3,0))))*(1-Inputs_General!$C$22*Parameters!$F$15))</f>
        <v>7.55871806661208</v>
      </c>
      <c r="BZ65" s="43" t="n">
        <f aca="false">MAX(BW65*(1+INDEX(Response_Table!$O$4:$O$21,MATCH($F65&amp;"|low",Response_Table!$A$4:$A$21,0))*$R65*INDEX(Parameters!$X$15:$AA$15,1,MATCH($E65,Parameters!$X$3:$AA$3,0))),BW65*(1+INDEX(Response_Table!$O$4:$O$21,MATCH($F65&amp;"|high",Response_Table!$A$4:$A$21,0))*$R65*INDEX(Parameters!$X$15:$AA$15,1,MATCH($E65,Parameters!$X$3:$AA$3,0))))*(1+Inputs_General!$C$22*Parameters!$F$15)</f>
        <v>11.4173055945843</v>
      </c>
      <c r="CA65" s="45" t="n">
        <f aca="false">IF(BW65=0,0,BX65/BW65-1)</f>
        <v>-0.0272049477140145</v>
      </c>
      <c r="CB65" s="46" t="n">
        <f aca="false">BD65+BI65</f>
        <v>1.5039006811512</v>
      </c>
      <c r="CC65" s="43" t="n">
        <f aca="false">BD65/BI65</f>
        <v>2.700530320874</v>
      </c>
      <c r="CD65" s="46" t="n">
        <f aca="false">BN65/CB65</f>
        <v>0.20492207481865</v>
      </c>
      <c r="CE65" s="43" t="n">
        <f aca="false">AE65/AO65</f>
        <v>2.79705445046811</v>
      </c>
      <c r="CF65" s="44" t="n">
        <f aca="false">AE65/AJ65</f>
        <v>49.9781453669483</v>
      </c>
      <c r="CG65" s="44" t="n">
        <f aca="false">INDEX(Context!$V$4:$V$51,$K65)</f>
        <v>28.62</v>
      </c>
      <c r="CH65" s="44" t="n">
        <f aca="false">INDEX(Context!$Y$4:$Y$51,$K65)</f>
        <v>25.3060134606718</v>
      </c>
      <c r="CI65" s="44" t="n">
        <f aca="false">INDEX(Context!$Z$4:$Z$51,$K65)</f>
        <v>32.62</v>
      </c>
      <c r="CJ65" s="43" t="n">
        <f aca="false">INDEX(Context!$AA$4:$AA$51,$K65)</f>
        <v>0.221696428571429</v>
      </c>
      <c r="CK65" s="43" t="n">
        <f aca="false">MAX(0,MIN(1,1-(1-CJ65)*AO65/AN65))</f>
        <v>0.299718146354102</v>
      </c>
      <c r="CL65" s="44" t="n">
        <f aca="false">CH65+CK65*(CI65-CH65)</f>
        <v>27.4981479486981</v>
      </c>
      <c r="CM65" s="44" t="n">
        <f aca="false">CH65+MAX(0,MIN(1,1-(1-CJ65)*AQ65/AN65))*(CI65-CH65)</f>
        <v>25.7457847215939</v>
      </c>
      <c r="CN65" s="44" t="n">
        <f aca="false">CH65+MAX(0,MIN(1,1-(1-CJ65)*AP65/AN65))*(CI65-CH65)</f>
        <v>29.1353377306777</v>
      </c>
      <c r="CO65" s="44" t="n">
        <f aca="false">CL65-CG65</f>
        <v>-1.12185205130192</v>
      </c>
      <c r="CP65" s="44" t="n">
        <f aca="false">CL65-(CH65+CJ65*(CI65-CH65))</f>
        <v>0.570649793637742</v>
      </c>
      <c r="CQ65" s="46" t="n">
        <f aca="false">CL65/CG65</f>
        <v>0.960801815118731</v>
      </c>
      <c r="CR65" s="43" t="n">
        <f aca="false">IF(CL65-CH65&lt;=0,"n/a",(CI65-CL65)/(CL65-CH65))</f>
        <v>2.33646798555383</v>
      </c>
      <c r="CS65" s="43" t="n">
        <f aca="false">IF(CI65-CL65&lt;=0,"n/a",(CL65-CH65)/(CI65-CL65))</f>
        <v>0.427996448563776</v>
      </c>
      <c r="CT65" s="43" t="n">
        <f aca="false">Inputs_General!$C$23+Inputs_General!$C$24*$I65</f>
        <v>0.76</v>
      </c>
      <c r="CU65" s="44" t="n">
        <f aca="false">3.29*CT65</f>
        <v>2.5004</v>
      </c>
    </row>
    <row r="66" customFormat="false" ht="15" hidden="false" customHeight="false" outlineLevel="0" collapsed="false">
      <c r="A66" s="9" t="str">
        <f aca="false">B66&amp;"|"&amp;E66&amp;"|"&amp;F66</f>
        <v>D1V3|03/03/2026|Moderate</v>
      </c>
      <c r="B66" s="7" t="s">
        <v>345</v>
      </c>
      <c r="C66" s="9" t="s">
        <v>127</v>
      </c>
      <c r="D66" s="9" t="s">
        <v>150</v>
      </c>
      <c r="E66" s="9" t="s">
        <v>162</v>
      </c>
      <c r="F66" s="7" t="s">
        <v>281</v>
      </c>
      <c r="G66" s="9" t="s">
        <v>282</v>
      </c>
      <c r="H66" s="41" t="n">
        <f aca="false">INDEX(Severity_Classes!$C$4:$C$9,MATCH(F66,Severity_Classes!$A$4:$A$9,0))</f>
        <v>0.11</v>
      </c>
      <c r="I66" s="41" t="n">
        <f aca="false">INDEX(Severity_Classes!$D$4:$D$9,MATCH(F66,Severity_Classes!$A$4:$A$9,0))</f>
        <v>0.18</v>
      </c>
      <c r="J66" s="41" t="n">
        <f aca="false">INDEX(Severity_Classes!$E$4:$E$9,MATCH(F66,Severity_Classes!$A$4:$A$9,0))</f>
        <v>0.25</v>
      </c>
      <c r="K66" s="42" t="n">
        <f aca="false">MATCH(B66&amp;"|"&amp;E66,Context!$A$4:$A$51,0)</f>
        <v>11</v>
      </c>
      <c r="L66" s="42" t="n">
        <f aca="false">INDEX(Context!$H$4:$H$51,K66)</f>
        <v>84</v>
      </c>
      <c r="M66" s="42" t="n">
        <f aca="false">INDEX(Context!$I$4:$I$51,K66)</f>
        <v>26</v>
      </c>
      <c r="N66" s="9" t="str">
        <f aca="false">INDEX(Context!$L$4:$L$51,K66)</f>
        <v>F</v>
      </c>
      <c r="O66" s="9" t="str">
        <f aca="false">INDEX(Context!$M$4:$M$51,K66)</f>
        <v>5th fully expanded leaf from top</v>
      </c>
      <c r="P66" s="43" t="n">
        <f aca="false">INDEX(Context!$R$4:$R$51,K66)</f>
        <v>0.433928571428571</v>
      </c>
      <c r="Q66" s="43" t="n">
        <f aca="false">INDEX(Context!$U$4:$U$51,K66)</f>
        <v>1.73951545534029</v>
      </c>
      <c r="R66" s="43" t="n">
        <f aca="false">INDEX(Context!$AD$4:$AD$51,K66)</f>
        <v>0.85</v>
      </c>
      <c r="S66" s="9" t="str">
        <f aca="false">INDEX(Context!$AI$4:$AN$51,K66,MATCH(F66,Severity_Classes!$A$4:$A$9,0))</f>
        <v>Likely</v>
      </c>
      <c r="T66" s="44" t="n">
        <f aca="false">Parameters!$E$4*IF($N66="V",Parameters!$I$4,IF($N66="F",Parameters!$J$4,Parameters!$K$4))*(1-Parameters!$L$4*$P66)*IF($D66="V1",Parameters!$M$4,IF($D66="V2",Parameters!$N$4,Parameters!$O$4))</f>
        <v>83.2927660714286</v>
      </c>
      <c r="U66" s="44" t="n">
        <f aca="false">MIN(100,T66*(1+INDEX(Response_Table!$E$4:$E$21,MATCH($F66&amp;"|mid",Response_Table!$A$4:$A$21,0))*$R66*INDEX(Parameters!$X$4:$AA$4,1,MATCH($E66,Parameters!$X$3:$AA$3,0))))</f>
        <v>80.0721315265001</v>
      </c>
      <c r="V66" s="44" t="n">
        <f aca="false">MAX(0,MIN(T66*(1+INDEX(Response_Table!$E$4:$E$21,MATCH($F66&amp;"|low",Response_Table!$A$4:$A$21,0))*$R66*INDEX(Parameters!$X$4:$AA$4,1,MATCH($E66,Parameters!$X$3:$AA$3,0))),T66*(1+INDEX(Response_Table!$E$4:$E$21,MATCH($F66&amp;"|high",Response_Table!$A$4:$A$21,0))*$R66*INDEX(Parameters!$X$4:$AA$4,1,MATCH($E66,Parameters!$X$3:$AA$3,0))))*(1-Inputs_General!$C$22*Parameters!$F$4))</f>
        <v>72.5495797836797</v>
      </c>
      <c r="W66" s="44" t="n">
        <f aca="false">MIN(100,MAX(T66*(1+INDEX(Response_Table!$E$4:$E$21,MATCH($F66&amp;"|low",Response_Table!$A$4:$A$21,0))*$R66*INDEX(Parameters!$X$4:$AA$4,1,MATCH($E66,Parameters!$X$3:$AA$3,0))),T66*(1+INDEX(Response_Table!$E$4:$E$21,MATCH($F66&amp;"|high",Response_Table!$A$4:$A$21,0))*$R66*INDEX(Parameters!$X$4:$AA$4,1,MATCH($E66,Parameters!$X$3:$AA$3,0))))*(1+Inputs_General!$C$22*Parameters!$F$4))</f>
        <v>87.1539703864154</v>
      </c>
      <c r="X66" s="45" t="n">
        <f aca="false">IF(T66=0,0,U66/T66-1)</f>
        <v>-0.0386664376371718</v>
      </c>
      <c r="Y66" s="44" t="n">
        <f aca="false">Parameters!$E$5*IF($N66="V",Parameters!$I$5,IF($N66="F",Parameters!$J$5,Parameters!$K$5))*(1-Parameters!$L$5*$P66)*IF($D66="V1",Parameters!$M$5,IF($D66="V2",Parameters!$N$5,Parameters!$O$5))</f>
        <v>66.88584</v>
      </c>
      <c r="Z66" s="44" t="n">
        <f aca="false">MIN(100,Y66*(1+INDEX(Response_Table!$F$4:$F$21,MATCH($F66&amp;"|mid",Response_Table!$A$4:$A$21,0))*$R66*INDEX(Parameters!$X$5:$AA$5,1,MATCH($E66,Parameters!$X$3:$AA$3,0))))</f>
        <v>57.9519656694317</v>
      </c>
      <c r="AA66" s="44" t="n">
        <f aca="false">MAX(0,MIN(Y66*(1+INDEX(Response_Table!$F$4:$F$21,MATCH($F66&amp;"|low",Response_Table!$A$4:$A$21,0))*$R66*INDEX(Parameters!$X$5:$AA$5,1,MATCH($E66,Parameters!$X$3:$AA$3,0))),Y66*(1+INDEX(Response_Table!$F$4:$F$21,MATCH($F66&amp;"|high",Response_Table!$A$4:$A$21,0))*$R66*INDEX(Parameters!$X$5:$AA$5,1,MATCH($E66,Parameters!$X$3:$AA$3,0))))*(1-Inputs_General!$C$22*Parameters!$F$5))</f>
        <v>45.4282732096215</v>
      </c>
      <c r="AB66" s="44" t="n">
        <f aca="false">MIN(100,MAX(Y66*(1+INDEX(Response_Table!$F$4:$F$21,MATCH($F66&amp;"|low",Response_Table!$A$4:$A$21,0))*$R66*INDEX(Parameters!$X$5:$AA$5,1,MATCH($E66,Parameters!$X$3:$AA$3,0))),Y66*(1+INDEX(Response_Table!$F$4:$F$21,MATCH($F66&amp;"|high",Response_Table!$A$4:$A$21,0))*$R66*INDEX(Parameters!$X$5:$AA$5,1,MATCH($E66,Parameters!$X$3:$AA$3,0))))*(1+Inputs_General!$C$22*Parameters!$F$5))</f>
        <v>70.0144934611505</v>
      </c>
      <c r="AC66" s="45" t="n">
        <f aca="false">IF(Y66=0,0,Z66/Y66-1)</f>
        <v>-0.133568993535377</v>
      </c>
      <c r="AD66" s="44" t="n">
        <f aca="false">Parameters!$E$6*IF($N66="V",Parameters!$I$6,IF($N66="F",Parameters!$J$6,Parameters!$K$6))*(1-Parameters!$L$6*$P66)*IF($D66="V1",Parameters!$M$6,IF($D66="V2",Parameters!$N$6,Parameters!$O$6))</f>
        <v>18.5509621428571</v>
      </c>
      <c r="AE66" s="44" t="n">
        <f aca="false">AD66*(1+INDEX(Response_Table!$G$4:$G$21,MATCH($F66&amp;"|mid",Response_Table!$A$4:$A$21,0))*$R66*INDEX(Parameters!$X$6:$AA$6,1,MATCH($E66,Parameters!$X$3:$AA$3,0)))</f>
        <v>12.081276680936</v>
      </c>
      <c r="AF66" s="44" t="n">
        <f aca="false">MAX(0,MIN(AD66*(1+INDEX(Response_Table!$G$4:$G$21,MATCH($F66&amp;"|low",Response_Table!$A$4:$A$21,0))*$R66*INDEX(Parameters!$X$6:$AA$6,1,MATCH($E66,Parameters!$X$3:$AA$3,0))),AD66*(1+INDEX(Response_Table!$G$4:$G$21,MATCH($F66&amp;"|high",Response_Table!$A$4:$A$21,0))*$R66*INDEX(Parameters!$X$6:$AA$6,1,MATCH($E66,Parameters!$X$3:$AA$3,0))))*(1-Inputs_General!$C$22*Parameters!$F$6))</f>
        <v>8.55678872126758</v>
      </c>
      <c r="AG66" s="44" t="n">
        <f aca="false">MAX(AD66*(1+INDEX(Response_Table!$G$4:$G$21,MATCH($F66&amp;"|low",Response_Table!$A$4:$A$21,0))*$R66*INDEX(Parameters!$X$6:$AA$6,1,MATCH($E66,Parameters!$X$3:$AA$3,0))),AD66*(1+INDEX(Response_Table!$G$4:$G$21,MATCH($F66&amp;"|high",Response_Table!$A$4:$A$21,0))*$R66*INDEX(Parameters!$X$6:$AA$6,1,MATCH($E66,Parameters!$X$3:$AA$3,0))))*(1+Inputs_General!$C$22*Parameters!$F$6)</f>
        <v>16.7796339173206</v>
      </c>
      <c r="AH66" s="45" t="n">
        <f aca="false">IF(AD66=0,0,AE66/AD66-1)</f>
        <v>-0.348752016854945</v>
      </c>
      <c r="AI66" s="46" t="n">
        <f aca="false">Parameters!$E$7*IF($N66="V",Parameters!$I$7,IF($N66="F",Parameters!$J$7,Parameters!$K$7))*(1-Parameters!$L$7*$P66)*IF($D66="V1",Parameters!$M$7,IF($D66="V2",Parameters!$N$7,Parameters!$O$7))*POWER($Q66/Inputs_General!$C$26,-Inputs_General!$C$25)</f>
        <v>0.341191629407368</v>
      </c>
      <c r="AJ66" s="46" t="n">
        <f aca="false">AI66*(1+INDEX(Response_Table!$H$4:$H$21,MATCH($F66&amp;"|mid",Response_Table!$A$4:$A$21,0))*$R66*INDEX(Parameters!$X$7:$AA$7,1,MATCH($E66,Parameters!$X$3:$AA$3,0)))</f>
        <v>0.262536180393179</v>
      </c>
      <c r="AK66" s="46" t="n">
        <f aca="false">MAX(0,MIN(AI66*(1+INDEX(Response_Table!$H$4:$H$21,MATCH($F66&amp;"|low",Response_Table!$A$4:$A$21,0))*$R66*INDEX(Parameters!$X$7:$AA$7,1,MATCH($E66,Parameters!$X$3:$AA$3,0))),AI66*(1+INDEX(Response_Table!$H$4:$H$21,MATCH($F66&amp;"|high",Response_Table!$A$4:$A$21,0))*$R66*INDEX(Parameters!$X$7:$AA$7,1,MATCH($E66,Parameters!$X$3:$AA$3,0))))*(1-Inputs_General!$C$22*Parameters!$F$7))</f>
        <v>0.170152554268411</v>
      </c>
      <c r="AL66" s="46" t="n">
        <f aca="false">MAX(AI66*(1+INDEX(Response_Table!$H$4:$H$21,MATCH($F66&amp;"|low",Response_Table!$A$4:$A$21,0))*$R66*INDEX(Parameters!$X$7:$AA$7,1,MATCH($E66,Parameters!$X$3:$AA$3,0))),AI66*(1+INDEX(Response_Table!$H$4:$H$21,MATCH($F66&amp;"|high",Response_Table!$A$4:$A$21,0))*$R66*INDEX(Parameters!$X$7:$AA$7,1,MATCH($E66,Parameters!$X$3:$AA$3,0))))*(1+Inputs_General!$C$22*Parameters!$F$7)</f>
        <v>0.373544313842361</v>
      </c>
      <c r="AM66" s="45" t="n">
        <f aca="false">IF(AI66=0,0,AJ66/AI66-1)</f>
        <v>-0.230531590563371</v>
      </c>
      <c r="AN66" s="43" t="n">
        <f aca="false">AI66*$Q66/Inputs_General!$C$13*1000</f>
        <v>5.97691956280819</v>
      </c>
      <c r="AO66" s="43" t="n">
        <f aca="false">AJ66*$Q66/Inputs_General!$C$13*1000*(1+Inputs_General!$C$21*$I66)</f>
        <v>4.8060080748443</v>
      </c>
      <c r="AP66" s="43" t="n">
        <f aca="false">AK66*$Q66/Inputs_General!$C$13*1000*(1+Inputs_General!$C$21*$H66)</f>
        <v>3.06266395124073</v>
      </c>
      <c r="AQ66" s="43" t="n">
        <f aca="false">AL66*$Q66/Inputs_General!$C$13*1000*(1+Inputs_General!$C$21*$J66)</f>
        <v>6.95264591019361</v>
      </c>
      <c r="AR66" s="45" t="n">
        <f aca="false">IF(AN66=0,0,AO66/AN66-1)</f>
        <v>-0.195905512138722</v>
      </c>
      <c r="AS66" s="42" t="n">
        <f aca="false">Parameters!$E$9*IF($N66="V",Parameters!$I$9,IF($N66="F",Parameters!$J$9,Parameters!$K$9))*(1-Parameters!$L$9*$P66)*IF($D66="V1",Parameters!$M$9,IF($D66="V2",Parameters!$N$9,Parameters!$O$9))</f>
        <v>285</v>
      </c>
      <c r="AT66" s="42" t="n">
        <f aca="false">AS66*(1+INDEX(Response_Table!$I$4:$I$21,MATCH($F66&amp;"|mid",Response_Table!$A$4:$A$21,0))*$R66*INDEX(Parameters!$X$9:$AA$9,1,MATCH($E66,Parameters!$X$3:$AA$3,0)))</f>
        <v>322.300279798109</v>
      </c>
      <c r="AU66" s="42" t="n">
        <f aca="false">MAX(0,MIN(AS66*(1+INDEX(Response_Table!$I$4:$I$21,MATCH($F66&amp;"|low",Response_Table!$A$4:$A$21,0))*$R66*INDEX(Parameters!$X$9:$AA$9,1,MATCH($E66,Parameters!$X$3:$AA$3,0))),AS66*(1+INDEX(Response_Table!$I$4:$I$21,MATCH($F66&amp;"|high",Response_Table!$A$4:$A$21,0))*$R66*INDEX(Parameters!$X$9:$AA$9,1,MATCH($E66,Parameters!$X$3:$AA$3,0))))*(1-Inputs_General!$C$22*Parameters!$F$9))</f>
        <v>280.186818337032</v>
      </c>
      <c r="AV66" s="42" t="n">
        <f aca="false">MAX(AS66*(1+INDEX(Response_Table!$I$4:$I$21,MATCH($F66&amp;"|low",Response_Table!$A$4:$A$21,0))*$R66*INDEX(Parameters!$X$9:$AA$9,1,MATCH($E66,Parameters!$X$3:$AA$3,0))),AS66*(1+INDEX(Response_Table!$I$4:$I$21,MATCH($F66&amp;"|high",Response_Table!$A$4:$A$21,0))*$R66*INDEX(Parameters!$X$9:$AA$9,1,MATCH($E66,Parameters!$X$3:$AA$3,0))))*(1+Inputs_General!$C$22*Parameters!$F$9)</f>
        <v>363.603076604055</v>
      </c>
      <c r="AW66" s="45" t="n">
        <f aca="false">IF(AS66=0,0,AT66/AS66-1)</f>
        <v>0.130878174730207</v>
      </c>
      <c r="AX66" s="43" t="n">
        <f aca="false">INDEX(Context!$AB$4:$AB$51,$K66)</f>
        <v>3.35011354523348</v>
      </c>
      <c r="AY66" s="43" t="n">
        <f aca="false">AX66*(1+INDEX(Response_Table!$J$4:$J$21,MATCH($F66&amp;"|mid",Response_Table!$A$4:$A$21,0))*$R66*INDEX(Parameters!$X$10:$AA$10,1,MATCH($E66,Parameters!$X$3:$AA$3,0)))</f>
        <v>2.88576357982731</v>
      </c>
      <c r="AZ66" s="43" t="n">
        <f aca="false">MAX(0,MIN(AX66*(1+INDEX(Response_Table!$J$4:$J$21,MATCH($F66&amp;"|low",Response_Table!$A$4:$A$21,0))*$R66*INDEX(Parameters!$X$10:$AA$10,1,MATCH($E66,Parameters!$X$3:$AA$3,0))),AX66*(1+INDEX(Response_Table!$J$4:$J$21,MATCH($F66&amp;"|high",Response_Table!$A$4:$A$21,0))*$R66*INDEX(Parameters!$X$10:$AA$10,1,MATCH($E66,Parameters!$X$3:$AA$3,0))))*(1-Inputs_General!$C$22*Parameters!$F$10))</f>
        <v>2.21083311062632</v>
      </c>
      <c r="BA66" s="43" t="n">
        <f aca="false">MAX(AX66*(1+INDEX(Response_Table!$J$4:$J$21,MATCH($F66&amp;"|low",Response_Table!$A$4:$A$21,0))*$R66*INDEX(Parameters!$X$10:$AA$10,1,MATCH($E66,Parameters!$X$3:$AA$3,0))),AX66*(1+INDEX(Response_Table!$J$4:$J$21,MATCH($F66&amp;"|high",Response_Table!$A$4:$A$21,0))*$R66*INDEX(Parameters!$X$10:$AA$10,1,MATCH($E66,Parameters!$X$3:$AA$3,0))))*(1+Inputs_General!$C$22*Parameters!$F$10)</f>
        <v>3.64252053454961</v>
      </c>
      <c r="BB66" s="45" t="n">
        <f aca="false">IF(AX66=0,0,AY66/AX66-1)</f>
        <v>-0.138607232004672</v>
      </c>
      <c r="BC66" s="46" t="n">
        <f aca="false">Parameters!$E$11*IF($N66="V",Parameters!$I$11,IF($N66="F",Parameters!$J$11,Parameters!$K$11))*(1-Parameters!$L$11*$P66)*IF($D66="V1",Parameters!$M$11,IF($D66="V2",Parameters!$N$11,Parameters!$O$11))</f>
        <v>1.25397901785714</v>
      </c>
      <c r="BD66" s="46" t="n">
        <f aca="false">BC66*(1+INDEX(Response_Table!$K$4:$K$21,MATCH($F66&amp;"|mid",Response_Table!$A$4:$A$21,0))*$R66*INDEX(Parameters!$X$11:$AA$11,1,MATCH($E66,Parameters!$X$3:$AA$3,0)))</f>
        <v>0.950621054797429</v>
      </c>
      <c r="BE66" s="46" t="n">
        <f aca="false">MAX(0,MIN(BC66*(1+INDEX(Response_Table!$K$4:$K$21,MATCH($F66&amp;"|low",Response_Table!$A$4:$A$21,0))*$R66*INDEX(Parameters!$X$11:$AA$11,1,MATCH($E66,Parameters!$X$3:$AA$3,0))),BC66*(1+INDEX(Response_Table!$K$4:$K$21,MATCH($F66&amp;"|high",Response_Table!$A$4:$A$21,0))*$R66*INDEX(Parameters!$X$11:$AA$11,1,MATCH($E66,Parameters!$X$3:$AA$3,0))))*(1-Inputs_General!$C$22*Parameters!$F$11))</f>
        <v>0.728941361373812</v>
      </c>
      <c r="BF66" s="46" t="n">
        <f aca="false">MAX(BC66*(1+INDEX(Response_Table!$K$4:$K$21,MATCH($F66&amp;"|low",Response_Table!$A$4:$A$21,0))*$R66*INDEX(Parameters!$X$11:$AA$11,1,MATCH($E66,Parameters!$X$3:$AA$3,0))),BC66*(1+INDEX(Response_Table!$K$4:$K$21,MATCH($F66&amp;"|high",Response_Table!$A$4:$A$21,0))*$R66*INDEX(Parameters!$X$11:$AA$11,1,MATCH($E66,Parameters!$X$3:$AA$3,0))))*(1+Inputs_General!$C$22*Parameters!$F$11)</f>
        <v>1.22086708791479</v>
      </c>
      <c r="BG66" s="45" t="n">
        <f aca="false">IF(BC66=0,0,BD66/BC66-1)</f>
        <v>-0.241916299028756</v>
      </c>
      <c r="BH66" s="46" t="n">
        <f aca="false">Parameters!$E$12*IF($N66="V",Parameters!$I$12,IF($N66="F",Parameters!$J$12,Parameters!$K$12))*(1-Parameters!$L$12*$P66)*IF($D66="V1",Parameters!$M$12,IF($D66="V2",Parameters!$N$12,Parameters!$O$12))</f>
        <v>0.451432446428571</v>
      </c>
      <c r="BI66" s="46" t="n">
        <f aca="false">BH66*(1+INDEX(Response_Table!$L$4:$L$21,MATCH($F66&amp;"|mid",Response_Table!$A$4:$A$21,0))*$R66*INDEX(Parameters!$X$12:$AA$12,1,MATCH($E66,Parameters!$X$3:$AA$3,0)))</f>
        <v>0.363373689584109</v>
      </c>
      <c r="BJ66" s="46" t="n">
        <f aca="false">MAX(0,MIN(BH66*(1+INDEX(Response_Table!$L$4:$L$21,MATCH($F66&amp;"|low",Response_Table!$A$4:$A$21,0))*$R66*INDEX(Parameters!$X$12:$AA$12,1,MATCH($E66,Parameters!$X$3:$AA$3,0))),BH66*(1+INDEX(Response_Table!$L$4:$L$21,MATCH($F66&amp;"|high",Response_Table!$A$4:$A$21,0))*$R66*INDEX(Parameters!$X$12:$AA$12,1,MATCH($E66,Parameters!$X$3:$AA$3,0))))*(1-Inputs_General!$C$22*Parameters!$F$12))</f>
        <v>0.272946779656067</v>
      </c>
      <c r="BK66" s="46" t="n">
        <f aca="false">MAX(BH66*(1+INDEX(Response_Table!$L$4:$L$21,MATCH($F66&amp;"|low",Response_Table!$A$4:$A$21,0))*$R66*INDEX(Parameters!$X$12:$AA$12,1,MATCH($E66,Parameters!$X$3:$AA$3,0))),BH66*(1+INDEX(Response_Table!$L$4:$L$21,MATCH($F66&amp;"|high",Response_Table!$A$4:$A$21,0))*$R66*INDEX(Parameters!$X$12:$AA$12,1,MATCH($E66,Parameters!$X$3:$AA$3,0))))*(1+Inputs_General!$C$22*Parameters!$F$12)</f>
        <v>0.469515865366667</v>
      </c>
      <c r="BL66" s="45" t="n">
        <f aca="false">IF(BH66=0,0,BI66/BH66-1)</f>
        <v>-0.19506519201516</v>
      </c>
      <c r="BM66" s="46" t="n">
        <f aca="false">Parameters!$E$13*IF($N66="V",Parameters!$I$13,IF($N66="F",Parameters!$J$13,Parameters!$K$13))*(1-Parameters!$L$13*$P66)*IF($D66="V1",Parameters!$M$13,IF($D66="V2",Parameters!$N$13,Parameters!$O$13))</f>
        <v>0.304977482142857</v>
      </c>
      <c r="BN66" s="46" t="n">
        <f aca="false">BM66*(1+INDEX(Response_Table!$M$4:$M$21,MATCH($F66&amp;"|mid",Response_Table!$A$4:$A$21,0))*$R66*INDEX(Parameters!$X$13:$AA$13,1,MATCH($E66,Parameters!$X$3:$AA$3,0)))</f>
        <v>0.282678058491164</v>
      </c>
      <c r="BO66" s="46" t="n">
        <f aca="false">MAX(0,MIN(BM66*(1+INDEX(Response_Table!$M$4:$M$21,MATCH($F66&amp;"|low",Response_Table!$A$4:$A$21,0))*$R66*INDEX(Parameters!$X$13:$AA$13,1,MATCH($E66,Parameters!$X$3:$AA$3,0))),BM66*(1+INDEX(Response_Table!$M$4:$M$21,MATCH($F66&amp;"|high",Response_Table!$A$4:$A$21,0))*$R66*INDEX(Parameters!$X$13:$AA$13,1,MATCH($E66,Parameters!$X$3:$AA$3,0))))*(1-Inputs_General!$C$22*Parameters!$F$13))</f>
        <v>0.212469480134246</v>
      </c>
      <c r="BP66" s="46" t="n">
        <f aca="false">MAX(BM66*(1+INDEX(Response_Table!$M$4:$M$21,MATCH($F66&amp;"|low",Response_Table!$A$4:$A$21,0))*$R66*INDEX(Parameters!$X$13:$AA$13,1,MATCH($E66,Parameters!$X$3:$AA$3,0))),BM66*(1+INDEX(Response_Table!$M$4:$M$21,MATCH($F66&amp;"|high",Response_Table!$A$4:$A$21,0))*$R66*INDEX(Parameters!$X$13:$AA$13,1,MATCH($E66,Parameters!$X$3:$AA$3,0))))*(1+Inputs_General!$C$22*Parameters!$F$13)</f>
        <v>0.361176337560067</v>
      </c>
      <c r="BQ66" s="45" t="n">
        <f aca="false">IF(BM66=0,0,BN66/BM66-1)</f>
        <v>-0.0731182626829087</v>
      </c>
      <c r="BR66" s="44" t="n">
        <f aca="false">Parameters!$E$14*IF($N66="V",Parameters!$I$14,IF($N66="F",Parameters!$J$14,Parameters!$K$14))*(1-Parameters!$L$14*$P66)*IF($D66="V1",Parameters!$M$14,IF($D66="V2",Parameters!$N$14,Parameters!$O$14))*INDEX(Context!$AC$4:$AC$51,$K66)</f>
        <v>15</v>
      </c>
      <c r="BS66" s="44" t="n">
        <f aca="false">BR66*(1+INDEX(Response_Table!$N$4:$N$21,MATCH($F66&amp;"|mid",Response_Table!$A$4:$A$21,0))*$R66*INDEX(Parameters!$X$14:$AA$14,1,MATCH($E66,Parameters!$X$3:$AA$3,0)))</f>
        <v>18.191975869339</v>
      </c>
      <c r="BT66" s="44" t="n">
        <f aca="false">MAX(0,MIN(BR66*(1+INDEX(Response_Table!$N$4:$N$21,MATCH($F66&amp;"|low",Response_Table!$A$4:$A$21,0))*$R66*INDEX(Parameters!$X$14:$AA$14,1,MATCH($E66,Parameters!$X$3:$AA$3,0))),BR66*(1+INDEX(Response_Table!$N$4:$N$21,MATCH($F66&amp;"|high",Response_Table!$A$4:$A$21,0))*$R66*INDEX(Parameters!$X$14:$AA$14,1,MATCH($E66,Parameters!$X$3:$AA$3,0))))*(1-Inputs_General!$C$22*Parameters!$F$14))</f>
        <v>8.68659323697798</v>
      </c>
      <c r="BU66" s="44" t="n">
        <f aca="false">MAX(BR66*(1+INDEX(Response_Table!$N$4:$N$21,MATCH($F66&amp;"|low",Response_Table!$A$4:$A$21,0))*$R66*INDEX(Parameters!$X$14:$AA$14,1,MATCH($E66,Parameters!$X$3:$AA$3,0))),BR66*(1+INDEX(Response_Table!$N$4:$N$21,MATCH($F66&amp;"|high",Response_Table!$A$4:$A$21,0))*$R66*INDEX(Parameters!$X$14:$AA$14,1,MATCH($E66,Parameters!$X$3:$AA$3,0))))*(1+Inputs_General!$C$22*Parameters!$F$14)</f>
        <v>28.4308572341319</v>
      </c>
      <c r="BV66" s="45" t="n">
        <f aca="false">IF(BR66=0,0,BS66/BR66-1)</f>
        <v>0.212798391289265</v>
      </c>
      <c r="BW66" s="43" t="n">
        <f aca="false">Parameters!$E$15*IF($N66="V",Parameters!$I$15,IF($N66="F",Parameters!$J$15,Parameters!$K$15))*(1-Parameters!$L$15*$P66)*IF($D66="V1",Parameters!$M$15,IF($D66="V2",Parameters!$N$15,Parameters!$O$15))</f>
        <v>9.73964285714286</v>
      </c>
      <c r="BX66" s="43" t="n">
        <f aca="false">BW66*(1+INDEX(Response_Table!$O$4:$O$21,MATCH($F66&amp;"|mid",Response_Table!$A$4:$A$21,0))*$R66*INDEX(Parameters!$X$15:$AA$15,1,MATCH($E66,Parameters!$X$3:$AA$3,0)))</f>
        <v>9.22149777420986</v>
      </c>
      <c r="BY66" s="43" t="n">
        <f aca="false">MAX(0,MIN(BW66*(1+INDEX(Response_Table!$O$4:$O$21,MATCH($F66&amp;"|low",Response_Table!$A$4:$A$21,0))*$R66*INDEX(Parameters!$X$15:$AA$15,1,MATCH($E66,Parameters!$X$3:$AA$3,0))),BW66*(1+INDEX(Response_Table!$O$4:$O$21,MATCH($F66&amp;"|high",Response_Table!$A$4:$A$21,0))*$R66*INDEX(Parameters!$X$15:$AA$15,1,MATCH($E66,Parameters!$X$3:$AA$3,0))))*(1-Inputs_General!$C$22*Parameters!$F$15))</f>
        <v>7.29115973520991</v>
      </c>
      <c r="BZ66" s="43" t="n">
        <f aca="false">MAX(BW66*(1+INDEX(Response_Table!$O$4:$O$21,MATCH($F66&amp;"|low",Response_Table!$A$4:$A$21,0))*$R66*INDEX(Parameters!$X$15:$AA$15,1,MATCH($E66,Parameters!$X$3:$AA$3,0))),BW66*(1+INDEX(Response_Table!$O$4:$O$21,MATCH($F66&amp;"|high",Response_Table!$A$4:$A$21,0))*$R66*INDEX(Parameters!$X$15:$AA$15,1,MATCH($E66,Parameters!$X$3:$AA$3,0))))*(1+Inputs_General!$C$22*Parameters!$F$15)</f>
        <v>11.2443057505709</v>
      </c>
      <c r="CA66" s="45" t="n">
        <f aca="false">IF(BW66=0,0,BX66/BW66-1)</f>
        <v>-0.0531995978223163</v>
      </c>
      <c r="CB66" s="46" t="n">
        <f aca="false">BD66+BI66</f>
        <v>1.31399474438154</v>
      </c>
      <c r="CC66" s="43" t="n">
        <f aca="false">BD66/BI66</f>
        <v>2.6160976483615</v>
      </c>
      <c r="CD66" s="46" t="n">
        <f aca="false">BN66/CB66</f>
        <v>0.215128758847672</v>
      </c>
      <c r="CE66" s="43" t="n">
        <f aca="false">AE66/AO66</f>
        <v>2.51378618029629</v>
      </c>
      <c r="CF66" s="44" t="n">
        <f aca="false">AE66/AJ66</f>
        <v>46.0175685608088</v>
      </c>
      <c r="CG66" s="44" t="n">
        <f aca="false">INDEX(Context!$V$4:$V$51,$K66)</f>
        <v>28.62</v>
      </c>
      <c r="CH66" s="44" t="n">
        <f aca="false">INDEX(Context!$Y$4:$Y$51,$K66)</f>
        <v>25.3060134606718</v>
      </c>
      <c r="CI66" s="44" t="n">
        <f aca="false">INDEX(Context!$Z$4:$Z$51,$K66)</f>
        <v>32.62</v>
      </c>
      <c r="CJ66" s="43" t="n">
        <f aca="false">INDEX(Context!$AA$4:$AA$51,$K66)</f>
        <v>0.221696428571429</v>
      </c>
      <c r="CK66" s="43" t="n">
        <f aca="false">MAX(0,MIN(1,1-(1-CJ66)*AO66/AN66))</f>
        <v>0.37417038833154</v>
      </c>
      <c r="CL66" s="44" t="n">
        <f aca="false">CH66+CK66*(CI66-CH66)</f>
        <v>28.0426906443439</v>
      </c>
      <c r="CM66" s="44" t="n">
        <f aca="false">CH66+MAX(0,MIN(1,1-(1-CJ66)*AQ66/AN66))*(CI66-CH66)</f>
        <v>25.9982027254866</v>
      </c>
      <c r="CN66" s="44" t="n">
        <f aca="false">CH66+MAX(0,MIN(1,1-(1-CJ66)*AP66/AN66))*(CI66-CH66)</f>
        <v>29.7030759876118</v>
      </c>
      <c r="CO66" s="44" t="n">
        <f aca="false">CL66-CG66</f>
        <v>-0.577309355656134</v>
      </c>
      <c r="CP66" s="44" t="n">
        <f aca="false">CL66-(CH66+CJ66*(CI66-CH66))</f>
        <v>1.11519248928353</v>
      </c>
      <c r="CQ66" s="46" t="n">
        <f aca="false">CL66/CG66</f>
        <v>0.979828464162958</v>
      </c>
      <c r="CR66" s="43" t="n">
        <f aca="false">IF(CL66-CH66&lt;=0,"n/a",(CI66-CL66)/(CL66-CH66))</f>
        <v>1.67257920772163</v>
      </c>
      <c r="CS66" s="43" t="n">
        <f aca="false">IF(CI66-CL66&lt;=0,"n/a",(CL66-CH66)/(CI66-CL66))</f>
        <v>0.597879009486308</v>
      </c>
      <c r="CT66" s="43" t="n">
        <f aca="false">Inputs_General!$C$23+Inputs_General!$C$24*$I66</f>
        <v>0.96</v>
      </c>
      <c r="CU66" s="44" t="n">
        <f aca="false">3.29*CT66</f>
        <v>3.1584</v>
      </c>
    </row>
    <row r="67" customFormat="false" ht="15" hidden="false" customHeight="false" outlineLevel="0" collapsed="false">
      <c r="A67" s="9" t="str">
        <f aca="false">B67&amp;"|"&amp;E67&amp;"|"&amp;F67</f>
        <v>D1V3|03/03/2026|High</v>
      </c>
      <c r="B67" s="7" t="s">
        <v>345</v>
      </c>
      <c r="C67" s="9" t="s">
        <v>127</v>
      </c>
      <c r="D67" s="9" t="s">
        <v>150</v>
      </c>
      <c r="E67" s="9" t="s">
        <v>162</v>
      </c>
      <c r="F67" s="7" t="s">
        <v>283</v>
      </c>
      <c r="G67" s="9" t="s">
        <v>284</v>
      </c>
      <c r="H67" s="41" t="n">
        <f aca="false">INDEX(Severity_Classes!$C$4:$C$9,MATCH(F67,Severity_Classes!$A$4:$A$9,0))</f>
        <v>0.26</v>
      </c>
      <c r="I67" s="41" t="n">
        <f aca="false">INDEX(Severity_Classes!$D$4:$D$9,MATCH(F67,Severity_Classes!$A$4:$A$9,0))</f>
        <v>0.38</v>
      </c>
      <c r="J67" s="41" t="n">
        <f aca="false">INDEX(Severity_Classes!$E$4:$E$9,MATCH(F67,Severity_Classes!$A$4:$A$9,0))</f>
        <v>0.5</v>
      </c>
      <c r="K67" s="42" t="n">
        <f aca="false">MATCH(B67&amp;"|"&amp;E67,Context!$A$4:$A$51,0)</f>
        <v>11</v>
      </c>
      <c r="L67" s="42" t="n">
        <f aca="false">INDEX(Context!$H$4:$H$51,K67)</f>
        <v>84</v>
      </c>
      <c r="M67" s="42" t="n">
        <f aca="false">INDEX(Context!$I$4:$I$51,K67)</f>
        <v>26</v>
      </c>
      <c r="N67" s="9" t="str">
        <f aca="false">INDEX(Context!$L$4:$L$51,K67)</f>
        <v>F</v>
      </c>
      <c r="O67" s="9" t="str">
        <f aca="false">INDEX(Context!$M$4:$M$51,K67)</f>
        <v>5th fully expanded leaf from top</v>
      </c>
      <c r="P67" s="43" t="n">
        <f aca="false">INDEX(Context!$R$4:$R$51,K67)</f>
        <v>0.433928571428571</v>
      </c>
      <c r="Q67" s="43" t="n">
        <f aca="false">INDEX(Context!$U$4:$U$51,K67)</f>
        <v>1.73951545534029</v>
      </c>
      <c r="R67" s="43" t="n">
        <f aca="false">INDEX(Context!$AD$4:$AD$51,K67)</f>
        <v>0.85</v>
      </c>
      <c r="S67" s="9" t="str">
        <f aca="false">INDEX(Context!$AI$4:$AN$51,K67,MATCH(F67,Severity_Classes!$A$4:$A$9,0))</f>
        <v>Likely</v>
      </c>
      <c r="T67" s="44" t="n">
        <f aca="false">Parameters!$E$4*IF($N67="V",Parameters!$I$4,IF($N67="F",Parameters!$J$4,Parameters!$K$4))*(1-Parameters!$L$4*$P67)*IF($D67="V1",Parameters!$M$4,IF($D67="V2",Parameters!$N$4,Parameters!$O$4))</f>
        <v>83.2927660714286</v>
      </c>
      <c r="U67" s="44" t="n">
        <f aca="false">MIN(100,T67*(1+INDEX(Response_Table!$E$4:$E$21,MATCH($F67&amp;"|mid",Response_Table!$A$4:$A$21,0))*$R67*INDEX(Parameters!$X$4:$AA$4,1,MATCH($E67,Parameters!$X$3:$AA$3,0))))</f>
        <v>71.8555467770342</v>
      </c>
      <c r="V67" s="44" t="n">
        <f aca="false">MAX(0,MIN(T67*(1+INDEX(Response_Table!$E$4:$E$21,MATCH($F67&amp;"|low",Response_Table!$A$4:$A$21,0))*$R67*INDEX(Parameters!$X$4:$AA$4,1,MATCH($E67,Parameters!$X$3:$AA$3,0))),T67*(1+INDEX(Response_Table!$E$4:$E$21,MATCH($F67&amp;"|high",Response_Table!$A$4:$A$21,0))*$R67*INDEX(Parameters!$X$4:$AA$4,1,MATCH($E67,Parameters!$X$3:$AA$3,0))))*(1-Inputs_General!$C$22*Parameters!$F$4))</f>
        <v>62.6279711713533</v>
      </c>
      <c r="W67" s="44" t="n">
        <f aca="false">MIN(100,MAX(T67*(1+INDEX(Response_Table!$E$4:$E$21,MATCH($F67&amp;"|low",Response_Table!$A$4:$A$21,0))*$R67*INDEX(Parameters!$X$4:$AA$4,1,MATCH($E67,Parameters!$X$3:$AA$3,0))),T67*(1+INDEX(Response_Table!$E$4:$E$21,MATCH($F67&amp;"|high",Response_Table!$A$4:$A$21,0))*$R67*INDEX(Parameters!$X$4:$AA$4,1,MATCH($E67,Parameters!$X$3:$AA$3,0))))*(1+Inputs_General!$C$22*Parameters!$F$4))</f>
        <v>82.34291026055</v>
      </c>
      <c r="X67" s="45" t="n">
        <f aca="false">IF(T67=0,0,U67/T67-1)</f>
        <v>-0.137313476714008</v>
      </c>
      <c r="Y67" s="44" t="n">
        <f aca="false">Parameters!$E$5*IF($N67="V",Parameters!$I$5,IF($N67="F",Parameters!$J$5,Parameters!$K$5))*(1-Parameters!$L$5*$P67)*IF($D67="V1",Parameters!$M$5,IF($D67="V2",Parameters!$N$5,Parameters!$O$5))</f>
        <v>66.88584</v>
      </c>
      <c r="Z67" s="44" t="n">
        <f aca="false">MIN(100,Y67*(1+INDEX(Response_Table!$F$4:$F$21,MATCH($F67&amp;"|mid",Response_Table!$A$4:$A$21,0))*$R67*INDEX(Parameters!$X$5:$AA$5,1,MATCH($E67,Parameters!$X$3:$AA$3,0))))</f>
        <v>38.4427021414568</v>
      </c>
      <c r="AA67" s="44" t="n">
        <f aca="false">MAX(0,MIN(Y67*(1+INDEX(Response_Table!$F$4:$F$21,MATCH($F67&amp;"|low",Response_Table!$A$4:$A$21,0))*$R67*INDEX(Parameters!$X$5:$AA$5,1,MATCH($E67,Parameters!$X$3:$AA$3,0))),Y67*(1+INDEX(Response_Table!$F$4:$F$21,MATCH($F67&amp;"|high",Response_Table!$A$4:$A$21,0))*$R67*INDEX(Parameters!$X$5:$AA$5,1,MATCH($E67,Parameters!$X$3:$AA$3,0))))*(1-Inputs_General!$C$22*Parameters!$F$5))</f>
        <v>27.6957566039868</v>
      </c>
      <c r="AB67" s="44" t="n">
        <f aca="false">MIN(100,MAX(Y67*(1+INDEX(Response_Table!$F$4:$F$21,MATCH($F67&amp;"|low",Response_Table!$A$4:$A$21,0))*$R67*INDEX(Parameters!$X$5:$AA$5,1,MATCH($E67,Parameters!$X$3:$AA$3,0))),Y67*(1+INDEX(Response_Table!$F$4:$F$21,MATCH($F67&amp;"|high",Response_Table!$A$4:$A$21,0))*$R67*INDEX(Parameters!$X$5:$AA$5,1,MATCH($E67,Parameters!$X$3:$AA$3,0))))*(1+Inputs_General!$C$22*Parameters!$F$5))</f>
        <v>56.0933637961493</v>
      </c>
      <c r="AC67" s="45" t="n">
        <f aca="false">IF(Y67=0,0,Z67/Y67-1)</f>
        <v>-0.425249019202618</v>
      </c>
      <c r="AD67" s="44" t="n">
        <f aca="false">Parameters!$E$6*IF($N67="V",Parameters!$I$6,IF($N67="F",Parameters!$J$6,Parameters!$K$6))*(1-Parameters!$L$6*$P67)*IF($D67="V1",Parameters!$M$6,IF($D67="V2",Parameters!$N$6,Parameters!$O$6))</f>
        <v>18.5509621428571</v>
      </c>
      <c r="AE67" s="44" t="n">
        <f aca="false">AD67*(1+INDEX(Response_Table!$G$4:$G$21,MATCH($F67&amp;"|mid",Response_Table!$A$4:$A$21,0))*$R67*INDEX(Parameters!$X$6:$AA$6,1,MATCH($E67,Parameters!$X$3:$AA$3,0)))</f>
        <v>8.9465303869456</v>
      </c>
      <c r="AF67" s="44" t="n">
        <f aca="false">MAX(0,MIN(AD67*(1+INDEX(Response_Table!$G$4:$G$21,MATCH($F67&amp;"|low",Response_Table!$A$4:$A$21,0))*$R67*INDEX(Parameters!$X$6:$AA$6,1,MATCH($E67,Parameters!$X$3:$AA$3,0))),AD67*(1+INDEX(Response_Table!$G$4:$G$21,MATCH($F67&amp;"|high",Response_Table!$A$4:$A$21,0))*$R67*INDEX(Parameters!$X$6:$AA$6,1,MATCH($E67,Parameters!$X$3:$AA$3,0))))*(1-Inputs_General!$C$22*Parameters!$F$6))</f>
        <v>6.44897795311595</v>
      </c>
      <c r="AG67" s="44" t="n">
        <f aca="false">MAX(AD67*(1+INDEX(Response_Table!$G$4:$G$21,MATCH($F67&amp;"|low",Response_Table!$A$4:$A$21,0))*$R67*INDEX(Parameters!$X$6:$AA$6,1,MATCH($E67,Parameters!$X$3:$AA$3,0))),AD67*(1+INDEX(Response_Table!$G$4:$G$21,MATCH($F67&amp;"|high",Response_Table!$A$4:$A$21,0))*$R67*INDEX(Parameters!$X$6:$AA$6,1,MATCH($E67,Parameters!$X$3:$AA$3,0))))*(1+Inputs_General!$C$22*Parameters!$F$6)</f>
        <v>12.56297825742</v>
      </c>
      <c r="AH67" s="45" t="n">
        <f aca="false">IF(AD67=0,0,AE67/AD67-1)</f>
        <v>-0.51773227080891</v>
      </c>
      <c r="AI67" s="46" t="n">
        <f aca="false">Parameters!$E$7*IF($N67="V",Parameters!$I$7,IF($N67="F",Parameters!$J$7,Parameters!$K$7))*(1-Parameters!$L$7*$P67)*IF($D67="V1",Parameters!$M$7,IF($D67="V2",Parameters!$N$7,Parameters!$O$7))*POWER($Q67/Inputs_General!$C$26,-Inputs_General!$C$25)</f>
        <v>0.341191629407368</v>
      </c>
      <c r="AJ67" s="46" t="n">
        <f aca="false">AI67*(1+INDEX(Response_Table!$H$4:$H$21,MATCH($F67&amp;"|mid",Response_Table!$A$4:$A$21,0))*$R67*INDEX(Parameters!$X$7:$AA$7,1,MATCH($E67,Parameters!$X$3:$AA$3,0)))</f>
        <v>0.212971818335656</v>
      </c>
      <c r="AK67" s="46" t="n">
        <f aca="false">MAX(0,MIN(AI67*(1+INDEX(Response_Table!$H$4:$H$21,MATCH($F67&amp;"|low",Response_Table!$A$4:$A$21,0))*$R67*INDEX(Parameters!$X$7:$AA$7,1,MATCH($E67,Parameters!$X$3:$AA$3,0))),AI67*(1+INDEX(Response_Table!$H$4:$H$21,MATCH($F67&amp;"|high",Response_Table!$A$4:$A$21,0))*$R67*INDEX(Parameters!$X$7:$AA$7,1,MATCH($E67,Parameters!$X$3:$AA$3,0))))*(1-Inputs_General!$C$22*Parameters!$F$7))</f>
        <v>0.137081116799336</v>
      </c>
      <c r="AL67" s="46" t="n">
        <f aca="false">MAX(AI67*(1+INDEX(Response_Table!$H$4:$H$21,MATCH($F67&amp;"|low",Response_Table!$A$4:$A$21,0))*$R67*INDEX(Parameters!$X$7:$AA$7,1,MATCH($E67,Parameters!$X$3:$AA$3,0))),AI67*(1+INDEX(Response_Table!$H$4:$H$21,MATCH($F67&amp;"|high",Response_Table!$A$4:$A$21,0))*$R67*INDEX(Parameters!$X$7:$AA$7,1,MATCH($E67,Parameters!$X$3:$AA$3,0))))*(1+Inputs_General!$C$22*Parameters!$F$7)</f>
        <v>0.309893137677501</v>
      </c>
      <c r="AM67" s="45" t="n">
        <f aca="false">IF(AI67=0,0,AJ67/AI67-1)</f>
        <v>-0.375799990446492</v>
      </c>
      <c r="AN67" s="43" t="n">
        <f aca="false">AI67*$Q67/Inputs_General!$C$13*1000</f>
        <v>5.97691956280819</v>
      </c>
      <c r="AO67" s="43" t="n">
        <f aca="false">AJ67*$Q67/Inputs_General!$C$13*1000*(1+Inputs_General!$C$21*$I67)</f>
        <v>4.08521860678493</v>
      </c>
      <c r="AP67" s="43" t="n">
        <f aca="false">AK67*$Q67/Inputs_General!$C$13*1000*(1+Inputs_General!$C$21*$H67)</f>
        <v>2.55744489620097</v>
      </c>
      <c r="AQ67" s="43" t="n">
        <f aca="false">AL67*$Q67/Inputs_General!$C$13*1000*(1+Inputs_General!$C$21*$J67)</f>
        <v>6.10721943913038</v>
      </c>
      <c r="AR67" s="45" t="n">
        <f aca="false">IF(AN67=0,0,AO67/AN67-1)</f>
        <v>-0.316500989538909</v>
      </c>
      <c r="AS67" s="42" t="n">
        <f aca="false">Parameters!$E$9*IF($N67="V",Parameters!$I$9,IF($N67="F",Parameters!$J$9,Parameters!$K$9))*(1-Parameters!$L$9*$P67)*IF($D67="V1",Parameters!$M$9,IF($D67="V2",Parameters!$N$9,Parameters!$O$9))</f>
        <v>285</v>
      </c>
      <c r="AT67" s="42" t="n">
        <f aca="false">AS67*(1+INDEX(Response_Table!$I$4:$I$21,MATCH($F67&amp;"|mid",Response_Table!$A$4:$A$21,0))*$R67*INDEX(Parameters!$X$9:$AA$9,1,MATCH($E67,Parameters!$X$3:$AA$3,0)))</f>
        <v>341.780113615748</v>
      </c>
      <c r="AU67" s="42" t="n">
        <f aca="false">MAX(0,MIN(AS67*(1+INDEX(Response_Table!$I$4:$I$21,MATCH($F67&amp;"|low",Response_Table!$A$4:$A$21,0))*$R67*INDEX(Parameters!$X$9:$AA$9,1,MATCH($E67,Parameters!$X$3:$AA$3,0))),AS67*(1+INDEX(Response_Table!$I$4:$I$21,MATCH($F67&amp;"|high",Response_Table!$A$4:$A$21,0))*$R67*INDEX(Parameters!$X$9:$AA$9,1,MATCH($E67,Parameters!$X$3:$AA$3,0))))*(1-Inputs_General!$C$22*Parameters!$F$9))</f>
        <v>299.220496875066</v>
      </c>
      <c r="AV67" s="42" t="n">
        <f aca="false">MAX(AS67*(1+INDEX(Response_Table!$I$4:$I$21,MATCH($F67&amp;"|low",Response_Table!$A$4:$A$21,0))*$R67*INDEX(Parameters!$X$9:$AA$9,1,MATCH($E67,Parameters!$X$3:$AA$3,0))),AS67*(1+INDEX(Response_Table!$I$4:$I$21,MATCH($F67&amp;"|high",Response_Table!$A$4:$A$21,0))*$R67*INDEX(Parameters!$X$9:$AA$9,1,MATCH($E67,Parameters!$X$3:$AA$3,0))))*(1+Inputs_General!$C$22*Parameters!$F$9)</f>
        <v>382.171267759079</v>
      </c>
      <c r="AW67" s="45" t="n">
        <f aca="false">IF(AS67=0,0,AT67/AS67-1)</f>
        <v>0.199228468827185</v>
      </c>
      <c r="AX67" s="43" t="n">
        <f aca="false">INDEX(Context!$AB$4:$AB$51,$K67)</f>
        <v>3.35011354523348</v>
      </c>
      <c r="AY67" s="43" t="n">
        <f aca="false">AX67*(1+INDEX(Response_Table!$J$4:$J$21,MATCH($F67&amp;"|mid",Response_Table!$A$4:$A$21,0))*$R67*INDEX(Parameters!$X$10:$AA$10,1,MATCH($E67,Parameters!$X$3:$AA$3,0)))</f>
        <v>2.56427218968011</v>
      </c>
      <c r="AZ67" s="43" t="n">
        <f aca="false">MAX(0,MIN(AX67*(1+INDEX(Response_Table!$J$4:$J$21,MATCH($F67&amp;"|low",Response_Table!$A$4:$A$21,0))*$R67*INDEX(Parameters!$X$10:$AA$10,1,MATCH($E67,Parameters!$X$3:$AA$3,0))),AX67*(1+INDEX(Response_Table!$J$4:$J$21,MATCH($F67&amp;"|high",Response_Table!$A$4:$A$21,0))*$R67*INDEX(Parameters!$X$10:$AA$10,1,MATCH($E67,Parameters!$X$3:$AA$3,0))))*(1-Inputs_General!$C$22*Parameters!$F$10))</f>
        <v>1.95499526503826</v>
      </c>
      <c r="BA67" s="43" t="n">
        <f aca="false">MAX(AX67*(1+INDEX(Response_Table!$J$4:$J$21,MATCH($F67&amp;"|low",Response_Table!$A$4:$A$21,0))*$R67*INDEX(Parameters!$X$10:$AA$10,1,MATCH($E67,Parameters!$X$3:$AA$3,0))),AX67*(1+INDEX(Response_Table!$J$4:$J$21,MATCH($F67&amp;"|high",Response_Table!$A$4:$A$21,0))*$R67*INDEX(Parameters!$X$10:$AA$10,1,MATCH($E67,Parameters!$X$3:$AA$3,0))))*(1+Inputs_General!$C$22*Parameters!$F$10)</f>
        <v>3.27806713234581</v>
      </c>
      <c r="BB67" s="45" t="n">
        <f aca="false">IF(AX67=0,0,AY67/AX67-1)</f>
        <v>-0.234571558528653</v>
      </c>
      <c r="BC67" s="46" t="n">
        <f aca="false">Parameters!$E$11*IF($N67="V",Parameters!$I$11,IF($N67="F",Parameters!$J$11,Parameters!$K$11))*(1-Parameters!$L$11*$P67)*IF($D67="V1",Parameters!$M$11,IF($D67="V2",Parameters!$N$11,Parameters!$O$11))</f>
        <v>1.25397901785714</v>
      </c>
      <c r="BD67" s="46" t="n">
        <f aca="false">BC67*(1+INDEX(Response_Table!$K$4:$K$21,MATCH($F67&amp;"|mid",Response_Table!$A$4:$A$21,0))*$R67*INDEX(Parameters!$X$11:$AA$11,1,MATCH($E67,Parameters!$X$3:$AA$3,0)))</f>
        <v>0.766517788700374</v>
      </c>
      <c r="BE67" s="46" t="n">
        <f aca="false">MAX(0,MIN(BC67*(1+INDEX(Response_Table!$K$4:$K$21,MATCH($F67&amp;"|low",Response_Table!$A$4:$A$21,0))*$R67*INDEX(Parameters!$X$11:$AA$11,1,MATCH($E67,Parameters!$X$3:$AA$3,0))),BC67*(1+INDEX(Response_Table!$K$4:$K$21,MATCH($F67&amp;"|high",Response_Table!$A$4:$A$21,0))*$R67*INDEX(Parameters!$X$11:$AA$11,1,MATCH($E67,Parameters!$X$3:$AA$3,0))))*(1-Inputs_General!$C$22*Parameters!$F$11))</f>
        <v>0.585714110881613</v>
      </c>
      <c r="BF67" s="46" t="n">
        <f aca="false">MAX(BC67*(1+INDEX(Response_Table!$K$4:$K$21,MATCH($F67&amp;"|low",Response_Table!$A$4:$A$21,0))*$R67*INDEX(Parameters!$X$11:$AA$11,1,MATCH($E67,Parameters!$X$3:$AA$3,0))),BC67*(1+INDEX(Response_Table!$K$4:$K$21,MATCH($F67&amp;"|high",Response_Table!$A$4:$A$21,0))*$R67*INDEX(Parameters!$X$11:$AA$11,1,MATCH($E67,Parameters!$X$3:$AA$3,0))))*(1+Inputs_General!$C$22*Parameters!$F$11)</f>
        <v>1.00456425853807</v>
      </c>
      <c r="BG67" s="45" t="n">
        <f aca="false">IF(BC67=0,0,BD67/BC67-1)</f>
        <v>-0.388731567446611</v>
      </c>
      <c r="BH67" s="46" t="n">
        <f aca="false">Parameters!$E$12*IF($N67="V",Parameters!$I$12,IF($N67="F",Parameters!$J$12,Parameters!$K$12))*(1-Parameters!$L$12*$P67)*IF($D67="V1",Parameters!$M$12,IF($D67="V2",Parameters!$N$12,Parameters!$O$12))</f>
        <v>0.451432446428571</v>
      </c>
      <c r="BI67" s="46" t="n">
        <f aca="false">BH67*(1+INDEX(Response_Table!$L$4:$L$21,MATCH($F67&amp;"|mid",Response_Table!$A$4:$A$21,0))*$R67*INDEX(Parameters!$X$12:$AA$12,1,MATCH($E67,Parameters!$X$3:$AA$3,0)))</f>
        <v>0.307883877228108</v>
      </c>
      <c r="BJ67" s="46" t="n">
        <f aca="false">MAX(0,MIN(BH67*(1+INDEX(Response_Table!$L$4:$L$21,MATCH($F67&amp;"|low",Response_Table!$A$4:$A$21,0))*$R67*INDEX(Parameters!$X$12:$AA$12,1,MATCH($E67,Parameters!$X$3:$AA$3,0))),BH67*(1+INDEX(Response_Table!$L$4:$L$21,MATCH($F67&amp;"|high",Response_Table!$A$4:$A$21,0))*$R67*INDEX(Parameters!$X$12:$AA$12,1,MATCH($E67,Parameters!$X$3:$AA$3,0))))*(1-Inputs_General!$C$22*Parameters!$F$12))</f>
        <v>0.2307300101019</v>
      </c>
      <c r="BK67" s="46" t="n">
        <f aca="false">MAX(BH67*(1+INDEX(Response_Table!$L$4:$L$21,MATCH($F67&amp;"|low",Response_Table!$A$4:$A$21,0))*$R67*INDEX(Parameters!$X$12:$AA$12,1,MATCH($E67,Parameters!$X$3:$AA$3,0))),BH67*(1+INDEX(Response_Table!$L$4:$L$21,MATCH($F67&amp;"|high",Response_Table!$A$4:$A$21,0))*$R67*INDEX(Parameters!$X$12:$AA$12,1,MATCH($E67,Parameters!$X$3:$AA$3,0))))*(1+Inputs_General!$C$22*Parameters!$F$12)</f>
        <v>0.403681764015473</v>
      </c>
      <c r="BL67" s="45" t="n">
        <f aca="false">IF(BH67=0,0,BI67/BH67-1)</f>
        <v>-0.317984607300878</v>
      </c>
      <c r="BM67" s="46" t="n">
        <f aca="false">Parameters!$E$13*IF($N67="V",Parameters!$I$13,IF($N67="F",Parameters!$J$13,Parameters!$K$13))*(1-Parameters!$L$13*$P67)*IF($D67="V1",Parameters!$M$13,IF($D67="V2",Parameters!$N$13,Parameters!$O$13))</f>
        <v>0.304977482142857</v>
      </c>
      <c r="BN67" s="46" t="n">
        <f aca="false">BM67*(1+INDEX(Response_Table!$M$4:$M$21,MATCH($F67&amp;"|mid",Response_Table!$A$4:$A$21,0))*$R67*INDEX(Parameters!$X$13:$AA$13,1,MATCH($E67,Parameters!$X$3:$AA$3,0)))</f>
        <v>0.240438183251011</v>
      </c>
      <c r="BO67" s="46" t="n">
        <f aca="false">MAX(0,MIN(BM67*(1+INDEX(Response_Table!$M$4:$M$21,MATCH($F67&amp;"|low",Response_Table!$A$4:$A$21,0))*$R67*INDEX(Parameters!$X$13:$AA$13,1,MATCH($E67,Parameters!$X$3:$AA$3,0))),BM67*(1+INDEX(Response_Table!$M$4:$M$21,MATCH($F67&amp;"|high",Response_Table!$A$4:$A$21,0))*$R67*INDEX(Parameters!$X$13:$AA$13,1,MATCH($E67,Parameters!$X$3:$AA$3,0))))*(1-Inputs_General!$C$22*Parameters!$F$13))</f>
        <v>0.182026483187927</v>
      </c>
      <c r="BP67" s="46" t="n">
        <f aca="false">MAX(BM67*(1+INDEX(Response_Table!$M$4:$M$21,MATCH($F67&amp;"|low",Response_Table!$A$4:$A$21,0))*$R67*INDEX(Parameters!$X$13:$AA$13,1,MATCH($E67,Parameters!$X$3:$AA$3,0))),BM67*(1+INDEX(Response_Table!$M$4:$M$21,MATCH($F67&amp;"|high",Response_Table!$A$4:$A$21,0))*$R67*INDEX(Parameters!$X$13:$AA$13,1,MATCH($E67,Parameters!$X$3:$AA$3,0))))*(1+Inputs_General!$C$22*Parameters!$F$13)</f>
        <v>0.314229086457464</v>
      </c>
      <c r="BQ67" s="45" t="n">
        <f aca="false">IF(BM67=0,0,BN67/BM67-1)</f>
        <v>-0.211619882354511</v>
      </c>
      <c r="BR67" s="44" t="n">
        <f aca="false">Parameters!$E$14*IF($N67="V",Parameters!$I$14,IF($N67="F",Parameters!$J$14,Parameters!$K$14))*(1-Parameters!$L$14*$P67)*IF($D67="V1",Parameters!$M$14,IF($D67="V2",Parameters!$N$14,Parameters!$O$14))*INDEX(Context!$AC$4:$AC$51,$K67)</f>
        <v>15</v>
      </c>
      <c r="BS67" s="44" t="n">
        <f aca="false">BR67*(1+INDEX(Response_Table!$N$4:$N$21,MATCH($F67&amp;"|mid",Response_Table!$A$4:$A$21,0))*$R67*INDEX(Parameters!$X$14:$AA$14,1,MATCH($E67,Parameters!$X$3:$AA$3,0)))</f>
        <v>20.2033844831053</v>
      </c>
      <c r="BT67" s="44" t="n">
        <f aca="false">MAX(0,MIN(BR67*(1+INDEX(Response_Table!$N$4:$N$21,MATCH($F67&amp;"|low",Response_Table!$A$4:$A$21,0))*$R67*INDEX(Parameters!$X$14:$AA$14,1,MATCH($E67,Parameters!$X$3:$AA$3,0))),BR67*(1+INDEX(Response_Table!$N$4:$N$21,MATCH($F67&amp;"|high",Response_Table!$A$4:$A$21,0))*$R67*INDEX(Parameters!$X$14:$AA$14,1,MATCH($E67,Parameters!$X$3:$AA$3,0))))*(1-Inputs_General!$C$22*Parameters!$F$14))</f>
        <v>9.69602776784537</v>
      </c>
      <c r="BU67" s="44" t="n">
        <f aca="false">MAX(BR67*(1+INDEX(Response_Table!$N$4:$N$21,MATCH($F67&amp;"|low",Response_Table!$A$4:$A$21,0))*$R67*INDEX(Parameters!$X$14:$AA$14,1,MATCH($E67,Parameters!$X$3:$AA$3,0))),BR67*(1+INDEX(Response_Table!$N$4:$N$21,MATCH($F67&amp;"|high",Response_Table!$A$4:$A$21,0))*$R67*INDEX(Parameters!$X$14:$AA$14,1,MATCH($E67,Parameters!$X$3:$AA$3,0))))*(1+Inputs_General!$C$22*Parameters!$F$14)</f>
        <v>31.2784515595102</v>
      </c>
      <c r="BV67" s="45" t="n">
        <f aca="false">IF(BR67=0,0,BS67/BR67-1)</f>
        <v>0.346892298873685</v>
      </c>
      <c r="BW67" s="43" t="n">
        <f aca="false">Parameters!$E$15*IF($N67="V",Parameters!$I$15,IF($N67="F",Parameters!$J$15,Parameters!$K$15))*(1-Parameters!$L$15*$P67)*IF($D67="V1",Parameters!$M$15,IF($D67="V2",Parameters!$N$15,Parameters!$O$15))</f>
        <v>9.73964285714286</v>
      </c>
      <c r="BX67" s="43" t="n">
        <f aca="false">BW67*(1+INDEX(Response_Table!$O$4:$O$21,MATCH($F67&amp;"|mid",Response_Table!$A$4:$A$21,0))*$R67*INDEX(Parameters!$X$15:$AA$15,1,MATCH($E67,Parameters!$X$3:$AA$3,0)))</f>
        <v>8.89499108191212</v>
      </c>
      <c r="BY67" s="43" t="n">
        <f aca="false">MAX(0,MIN(BW67*(1+INDEX(Response_Table!$O$4:$O$21,MATCH($F67&amp;"|low",Response_Table!$A$4:$A$21,0))*$R67*INDEX(Parameters!$X$15:$AA$15,1,MATCH($E67,Parameters!$X$3:$AA$3,0))),BW67*(1+INDEX(Response_Table!$O$4:$O$21,MATCH($F67&amp;"|high",Response_Table!$A$4:$A$21,0))*$R67*INDEX(Parameters!$X$15:$AA$15,1,MATCH($E67,Parameters!$X$3:$AA$3,0))))*(1-Inputs_General!$C$22*Parameters!$F$15))</f>
        <v>7.0427527357738</v>
      </c>
      <c r="BZ67" s="43" t="n">
        <f aca="false">MAX(BW67*(1+INDEX(Response_Table!$O$4:$O$21,MATCH($F67&amp;"|low",Response_Table!$A$4:$A$21,0))*$R67*INDEX(Parameters!$X$15:$AA$15,1,MATCH($E67,Parameters!$X$3:$AA$3,0))),BW67*(1+INDEX(Response_Table!$O$4:$O$21,MATCH($F67&amp;"|high",Response_Table!$A$4:$A$21,0))*$R67*INDEX(Parameters!$X$15:$AA$15,1,MATCH($E67,Parameters!$X$3:$AA$3,0))))*(1+Inputs_General!$C$22*Parameters!$F$15)</f>
        <v>10.8569323975189</v>
      </c>
      <c r="CA67" s="45" t="n">
        <f aca="false">IF(BW67=0,0,BX67/BW67-1)</f>
        <v>-0.0867230747184212</v>
      </c>
      <c r="CB67" s="46" t="n">
        <f aca="false">BD67+BI67</f>
        <v>1.07440166592848</v>
      </c>
      <c r="CC67" s="43" t="n">
        <f aca="false">BD67/BI67</f>
        <v>2.48963276544835</v>
      </c>
      <c r="CD67" s="46" t="n">
        <f aca="false">BN67/CB67</f>
        <v>0.22378798439709</v>
      </c>
      <c r="CE67" s="43" t="n">
        <f aca="false">AE67/AO67</f>
        <v>2.18997592248473</v>
      </c>
      <c r="CF67" s="44" t="n">
        <f aca="false">AE67/AJ67</f>
        <v>42.0080480922849</v>
      </c>
      <c r="CG67" s="44" t="n">
        <f aca="false">INDEX(Context!$V$4:$V$51,$K67)</f>
        <v>28.62</v>
      </c>
      <c r="CH67" s="44" t="n">
        <f aca="false">INDEX(Context!$Y$4:$Y$51,$K67)</f>
        <v>25.3060134606718</v>
      </c>
      <c r="CI67" s="44" t="n">
        <f aca="false">INDEX(Context!$Z$4:$Z$51,$K67)</f>
        <v>32.62</v>
      </c>
      <c r="CJ67" s="43" t="n">
        <f aca="false">INDEX(Context!$AA$4:$AA$51,$K67)</f>
        <v>0.221696428571429</v>
      </c>
      <c r="CK67" s="43" t="n">
        <f aca="false">MAX(0,MIN(1,1-(1-CJ67)*AO67/AN67))</f>
        <v>0.468030279090238</v>
      </c>
      <c r="CL67" s="44" t="n">
        <f aca="false">CH67+CK67*(CI67-CH67)</f>
        <v>28.7291806219358</v>
      </c>
      <c r="CM67" s="44" t="n">
        <f aca="false">CH67+MAX(0,MIN(1,1-(1-CJ67)*AQ67/AN67))*(CI67-CH67)</f>
        <v>26.8033987291663</v>
      </c>
      <c r="CN67" s="44" t="n">
        <f aca="false">CH67+MAX(0,MIN(1,1-(1-CJ67)*AP67/AN67))*(CI67-CH67)</f>
        <v>30.1842536867076</v>
      </c>
      <c r="CO67" s="44" t="n">
        <f aca="false">CL67-CG67</f>
        <v>0.109180621935806</v>
      </c>
      <c r="CP67" s="44" t="n">
        <f aca="false">CL67-(CH67+CJ67*(CI67-CH67))</f>
        <v>1.80168246687547</v>
      </c>
      <c r="CQ67" s="46" t="n">
        <f aca="false">CL67/CG67</f>
        <v>1.00381483654563</v>
      </c>
      <c r="CR67" s="43" t="n">
        <f aca="false">IF(CL67-CH67&lt;=0,"n/a",(CI67-CL67)/(CL67-CH67))</f>
        <v>1.13661390016007</v>
      </c>
      <c r="CS67" s="43" t="n">
        <f aca="false">IF(CI67-CL67&lt;=0,"n/a",(CL67-CH67)/(CI67-CL67))</f>
        <v>0.879806238388577</v>
      </c>
      <c r="CT67" s="43" t="n">
        <f aca="false">Inputs_General!$C$23+Inputs_General!$C$24*$I67</f>
        <v>1.36</v>
      </c>
      <c r="CU67" s="44" t="n">
        <f aca="false">3.29*CT67</f>
        <v>4.4744</v>
      </c>
    </row>
    <row r="68" customFormat="false" ht="15" hidden="false" customHeight="false" outlineLevel="0" collapsed="false">
      <c r="A68" s="9" t="str">
        <f aca="false">B68&amp;"|"&amp;E68&amp;"|"&amp;F68</f>
        <v>D1V3|03/03/2026|Very high</v>
      </c>
      <c r="B68" s="7" t="s">
        <v>345</v>
      </c>
      <c r="C68" s="9" t="s">
        <v>127</v>
      </c>
      <c r="D68" s="9" t="s">
        <v>150</v>
      </c>
      <c r="E68" s="9" t="s">
        <v>162</v>
      </c>
      <c r="F68" s="7" t="s">
        <v>285</v>
      </c>
      <c r="G68" s="9" t="s">
        <v>286</v>
      </c>
      <c r="H68" s="41" t="n">
        <f aca="false">INDEX(Severity_Classes!$C$4:$C$9,MATCH(F68,Severity_Classes!$A$4:$A$9,0))</f>
        <v>0.51</v>
      </c>
      <c r="I68" s="41" t="n">
        <f aca="false">INDEX(Severity_Classes!$D$4:$D$9,MATCH(F68,Severity_Classes!$A$4:$A$9,0))</f>
        <v>0.65</v>
      </c>
      <c r="J68" s="41" t="n">
        <f aca="false">INDEX(Severity_Classes!$E$4:$E$9,MATCH(F68,Severity_Classes!$A$4:$A$9,0))</f>
        <v>0.85</v>
      </c>
      <c r="K68" s="42" t="n">
        <f aca="false">MATCH(B68&amp;"|"&amp;E68,Context!$A$4:$A$51,0)</f>
        <v>11</v>
      </c>
      <c r="L68" s="42" t="n">
        <f aca="false">INDEX(Context!$H$4:$H$51,K68)</f>
        <v>84</v>
      </c>
      <c r="M68" s="42" t="n">
        <f aca="false">INDEX(Context!$I$4:$I$51,K68)</f>
        <v>26</v>
      </c>
      <c r="N68" s="9" t="str">
        <f aca="false">INDEX(Context!$L$4:$L$51,K68)</f>
        <v>F</v>
      </c>
      <c r="O68" s="9" t="str">
        <f aca="false">INDEX(Context!$M$4:$M$51,K68)</f>
        <v>5th fully expanded leaf from top</v>
      </c>
      <c r="P68" s="43" t="n">
        <f aca="false">INDEX(Context!$R$4:$R$51,K68)</f>
        <v>0.433928571428571</v>
      </c>
      <c r="Q68" s="43" t="n">
        <f aca="false">INDEX(Context!$U$4:$U$51,K68)</f>
        <v>1.73951545534029</v>
      </c>
      <c r="R68" s="43" t="n">
        <f aca="false">INDEX(Context!$AD$4:$AD$51,K68)</f>
        <v>0.85</v>
      </c>
      <c r="S68" s="9" t="str">
        <f aca="false">INDEX(Context!$AI$4:$AN$51,K68,MATCH(F68,Severity_Classes!$A$4:$A$9,0))</f>
        <v>Possible</v>
      </c>
      <c r="T68" s="44" t="n">
        <f aca="false">Parameters!$E$4*IF($N68="V",Parameters!$I$4,IF($N68="F",Parameters!$J$4,Parameters!$K$4))*(1-Parameters!$L$4*$P68)*IF($D68="V1",Parameters!$M$4,IF($D68="V2",Parameters!$N$4,Parameters!$O$4))</f>
        <v>83.2927660714286</v>
      </c>
      <c r="U68" s="44" t="n">
        <f aca="false">MIN(100,T68*(1+INDEX(Response_Table!$E$4:$E$21,MATCH($F68&amp;"|mid",Response_Table!$A$4:$A$21,0))*$R68*INDEX(Parameters!$X$4:$AA$4,1,MATCH($E68,Parameters!$X$3:$AA$3,0))))</f>
        <v>63.7515005088741</v>
      </c>
      <c r="V68" s="44" t="n">
        <f aca="false">MAX(0,MIN(T68*(1+INDEX(Response_Table!$E$4:$E$21,MATCH($F68&amp;"|low",Response_Table!$A$4:$A$21,0))*$R68*INDEX(Parameters!$X$4:$AA$4,1,MATCH($E68,Parameters!$X$3:$AA$3,0))),T68*(1+INDEX(Response_Table!$E$4:$E$21,MATCH($F68&amp;"|high",Response_Table!$A$4:$A$21,0))*$R68*INDEX(Parameters!$X$4:$AA$4,1,MATCH($E68,Parameters!$X$3:$AA$3,0))))*(1-Inputs_General!$C$22*Parameters!$F$4))</f>
        <v>58.2893410195042</v>
      </c>
      <c r="W68" s="44" t="n">
        <f aca="false">MIN(100,MAX(T68*(1+INDEX(Response_Table!$E$4:$E$21,MATCH($F68&amp;"|low",Response_Table!$A$4:$A$21,0))*$R68*INDEX(Parameters!$X$4:$AA$4,1,MATCH($E68,Parameters!$X$3:$AA$3,0))),T68*(1+INDEX(Response_Table!$E$4:$E$21,MATCH($F68&amp;"|high",Response_Table!$A$4:$A$21,0))*$R68*INDEX(Parameters!$X$4:$AA$4,1,MATCH($E68,Parameters!$X$3:$AA$3,0))))*(1+Inputs_General!$C$22*Parameters!$F$4))</f>
        <v>71.114065927743</v>
      </c>
      <c r="X68" s="45" t="n">
        <f aca="false">IF(T68=0,0,U68/T68-1)</f>
        <v>-0.234609396280545</v>
      </c>
      <c r="Y68" s="44" t="n">
        <f aca="false">Parameters!$E$5*IF($N68="V",Parameters!$I$5,IF($N68="F",Parameters!$J$5,Parameters!$K$5))*(1-Parameters!$L$5*$P68)*IF($D68="V1",Parameters!$M$5,IF($D68="V2",Parameters!$N$5,Parameters!$O$5))</f>
        <v>66.88584</v>
      </c>
      <c r="Z68" s="44" t="n">
        <f aca="false">MIN(100,Y68*(1+INDEX(Response_Table!$F$4:$F$21,MATCH($F68&amp;"|mid",Response_Table!$A$4:$A$21,0))*$R68*INDEX(Parameters!$X$5:$AA$5,1,MATCH($E68,Parameters!$X$3:$AA$3,0))))</f>
        <v>28.1073389785052</v>
      </c>
      <c r="AA68" s="44" t="n">
        <f aca="false">MAX(0,MIN(Y68*(1+INDEX(Response_Table!$F$4:$F$21,MATCH($F68&amp;"|low",Response_Table!$A$4:$A$21,0))*$R68*INDEX(Parameters!$X$5:$AA$5,1,MATCH($E68,Parameters!$X$3:$AA$3,0))),Y68*(1+INDEX(Response_Table!$F$4:$F$21,MATCH($F68&amp;"|high",Response_Table!$A$4:$A$21,0))*$R68*INDEX(Parameters!$X$5:$AA$5,1,MATCH($E68,Parameters!$X$3:$AA$3,0))))*(1-Inputs_General!$C$22*Parameters!$F$5))</f>
        <v>24.0940683955445</v>
      </c>
      <c r="AB68" s="44" t="n">
        <f aca="false">MIN(100,MAX(Y68*(1+INDEX(Response_Table!$F$4:$F$21,MATCH($F68&amp;"|low",Response_Table!$A$4:$A$21,0))*$R68*INDEX(Parameters!$X$5:$AA$5,1,MATCH($E68,Parameters!$X$3:$AA$3,0))),Y68*(1+INDEX(Response_Table!$F$4:$F$21,MATCH($F68&amp;"|high",Response_Table!$A$4:$A$21,0))*$R68*INDEX(Parameters!$X$5:$AA$5,1,MATCH($E68,Parameters!$X$3:$AA$3,0))))*(1+Inputs_General!$C$22*Parameters!$F$5))</f>
        <v>34.4979634369581</v>
      </c>
      <c r="AC68" s="45" t="n">
        <f aca="false">IF(Y68=0,0,Z68/Y68-1)</f>
        <v>-0.579771458674883</v>
      </c>
      <c r="AD68" s="44" t="n">
        <f aca="false">Parameters!$E$6*IF($N68="V",Parameters!$I$6,IF($N68="F",Parameters!$J$6,Parameters!$K$6))*(1-Parameters!$L$6*$P68)*IF($D68="V1",Parameters!$M$6,IF($D68="V2",Parameters!$N$6,Parameters!$O$6))</f>
        <v>18.5509621428571</v>
      </c>
      <c r="AE68" s="44" t="n">
        <f aca="false">AD68*(1+INDEX(Response_Table!$G$4:$G$21,MATCH($F68&amp;"|mid",Response_Table!$A$4:$A$21,0))*$R68*INDEX(Parameters!$X$6:$AA$6,1,MATCH($E68,Parameters!$X$3:$AA$3,0)))</f>
        <v>7.40199778661453</v>
      </c>
      <c r="AF68" s="44" t="n">
        <f aca="false">MAX(0,MIN(AD68*(1+INDEX(Response_Table!$G$4:$G$21,MATCH($F68&amp;"|low",Response_Table!$A$4:$A$21,0))*$R68*INDEX(Parameters!$X$6:$AA$6,1,MATCH($E68,Parameters!$X$3:$AA$3,0))),AD68*(1+INDEX(Response_Table!$G$4:$G$21,MATCH($F68&amp;"|high",Response_Table!$A$4:$A$21,0))*$R68*INDEX(Parameters!$X$6:$AA$6,1,MATCH($E68,Parameters!$X$3:$AA$3,0))))*(1-Inputs_General!$C$22*Parameters!$F$6))</f>
        <v>5.62273104827375</v>
      </c>
      <c r="AG68" s="44" t="n">
        <f aca="false">MAX(AD68*(1+INDEX(Response_Table!$G$4:$G$21,MATCH($F68&amp;"|low",Response_Table!$A$4:$A$21,0))*$R68*INDEX(Parameters!$X$6:$AA$6,1,MATCH($E68,Parameters!$X$3:$AA$3,0))),AD68*(1+INDEX(Response_Table!$G$4:$G$21,MATCH($F68&amp;"|high",Response_Table!$A$4:$A$21,0))*$R68*INDEX(Parameters!$X$6:$AA$6,1,MATCH($E68,Parameters!$X$3:$AA$3,0))))*(1+Inputs_General!$C$22*Parameters!$F$6)</f>
        <v>9.55369713980431</v>
      </c>
      <c r="AH68" s="45" t="n">
        <f aca="false">IF(AD68=0,0,AE68/AD68-1)</f>
        <v>-0.600991165330765</v>
      </c>
      <c r="AI68" s="46" t="n">
        <f aca="false">Parameters!$E$7*IF($N68="V",Parameters!$I$7,IF($N68="F",Parameters!$J$7,Parameters!$K$7))*(1-Parameters!$L$7*$P68)*IF($D68="V1",Parameters!$M$7,IF($D68="V2",Parameters!$N$7,Parameters!$O$7))*POWER($Q68/Inputs_General!$C$26,-Inputs_General!$C$25)</f>
        <v>0.341191629407368</v>
      </c>
      <c r="AJ68" s="46" t="n">
        <f aca="false">AI68*(1+INDEX(Response_Table!$H$4:$H$21,MATCH($F68&amp;"|mid",Response_Table!$A$4:$A$21,0))*$R68*INDEX(Parameters!$X$7:$AA$7,1,MATCH($E68,Parameters!$X$3:$AA$3,0)))</f>
        <v>0.179503108234427</v>
      </c>
      <c r="AK68" s="46" t="n">
        <f aca="false">MAX(0,MIN(AI68*(1+INDEX(Response_Table!$H$4:$H$21,MATCH($F68&amp;"|low",Response_Table!$A$4:$A$21,0))*$R68*INDEX(Parameters!$X$7:$AA$7,1,MATCH($E68,Parameters!$X$3:$AA$3,0))),AI68*(1+INDEX(Response_Table!$H$4:$H$21,MATCH($F68&amp;"|high",Response_Table!$A$4:$A$21,0))*$R68*INDEX(Parameters!$X$7:$AA$7,1,MATCH($E68,Parameters!$X$3:$AA$3,0))))*(1-Inputs_General!$C$22*Parameters!$F$7))</f>
        <v>0.11783448048641</v>
      </c>
      <c r="AL68" s="46" t="n">
        <f aca="false">MAX(AI68*(1+INDEX(Response_Table!$H$4:$H$21,MATCH($F68&amp;"|low",Response_Table!$A$4:$A$21,0))*$R68*INDEX(Parameters!$X$7:$AA$7,1,MATCH($E68,Parameters!$X$3:$AA$3,0))),AI68*(1+INDEX(Response_Table!$H$4:$H$21,MATCH($F68&amp;"|high",Response_Table!$A$4:$A$21,0))*$R68*INDEX(Parameters!$X$7:$AA$7,1,MATCH($E68,Parameters!$X$3:$AA$3,0))))*(1+Inputs_General!$C$22*Parameters!$F$7)</f>
        <v>0.250797995325436</v>
      </c>
      <c r="AM68" s="45" t="n">
        <f aca="false">IF(AI68=0,0,AJ68/AI68-1)</f>
        <v>-0.473893575448451</v>
      </c>
      <c r="AN68" s="43" t="n">
        <f aca="false">AI68*$Q68/Inputs_General!$C$13*1000</f>
        <v>5.97691956280819</v>
      </c>
      <c r="AO68" s="43" t="n">
        <f aca="false">AJ68*$Q68/Inputs_General!$C$13*1000*(1+Inputs_General!$C$21*$I68)</f>
        <v>3.65547634543717</v>
      </c>
      <c r="AP68" s="43" t="n">
        <f aca="false">AK68*$Q68/Inputs_General!$C$13*1000*(1+Inputs_General!$C$21*$H68)</f>
        <v>2.32738368303437</v>
      </c>
      <c r="AQ68" s="43" t="n">
        <f aca="false">AL68*$Q68/Inputs_General!$C$13*1000*(1+Inputs_General!$C$21*$J68)</f>
        <v>5.32702642706255</v>
      </c>
      <c r="AR68" s="45" t="n">
        <f aca="false">IF(AN68=0,0,AO68/AN68-1)</f>
        <v>-0.388401281458825</v>
      </c>
      <c r="AS68" s="42" t="n">
        <f aca="false">Parameters!$E$9*IF($N68="V",Parameters!$I$9,IF($N68="F",Parameters!$J$9,Parameters!$K$9))*(1-Parameters!$L$9*$P68)*IF($D68="V1",Parameters!$M$9,IF($D68="V2",Parameters!$N$9,Parameters!$O$9))</f>
        <v>285</v>
      </c>
      <c r="AT68" s="42" t="n">
        <f aca="false">AS68*(1+INDEX(Response_Table!$I$4:$I$21,MATCH($F68&amp;"|mid",Response_Table!$A$4:$A$21,0))*$R68*INDEX(Parameters!$X$9:$AA$9,1,MATCH($E68,Parameters!$X$3:$AA$3,0)))</f>
        <v>352.277167703273</v>
      </c>
      <c r="AU68" s="42" t="n">
        <f aca="false">MAX(0,MIN(AS68*(1+INDEX(Response_Table!$I$4:$I$21,MATCH($F68&amp;"|low",Response_Table!$A$4:$A$21,0))*$R68*INDEX(Parameters!$X$9:$AA$9,1,MATCH($E68,Parameters!$X$3:$AA$3,0))),AS68*(1+INDEX(Response_Table!$I$4:$I$21,MATCH($F68&amp;"|high",Response_Table!$A$4:$A$21,0))*$R68*INDEX(Parameters!$X$9:$AA$9,1,MATCH($E68,Parameters!$X$3:$AA$3,0))))*(1-Inputs_General!$C$22*Parameters!$F$9))</f>
        <v>313.855339805687</v>
      </c>
      <c r="AV68" s="42" t="n">
        <f aca="false">MAX(AS68*(1+INDEX(Response_Table!$I$4:$I$21,MATCH($F68&amp;"|low",Response_Table!$A$4:$A$21,0))*$R68*INDEX(Parameters!$X$9:$AA$9,1,MATCH($E68,Parameters!$X$3:$AA$3,0))),AS68*(1+INDEX(Response_Table!$I$4:$I$21,MATCH($F68&amp;"|high",Response_Table!$A$4:$A$21,0))*$R68*INDEX(Parameters!$X$9:$AA$9,1,MATCH($E68,Parameters!$X$3:$AA$3,0))))*(1+Inputs_General!$C$22*Parameters!$F$9)</f>
        <v>390.312732889309</v>
      </c>
      <c r="AW68" s="45" t="n">
        <f aca="false">IF(AS68=0,0,AT68/AS68-1)</f>
        <v>0.236060237555345</v>
      </c>
      <c r="AX68" s="43" t="n">
        <f aca="false">INDEX(Context!$AB$4:$AB$51,$K68)</f>
        <v>3.35011354523348</v>
      </c>
      <c r="AY68" s="43" t="n">
        <f aca="false">AX68*(1+INDEX(Response_Table!$J$4:$J$21,MATCH($F68&amp;"|mid",Response_Table!$A$4:$A$21,0))*$R68*INDEX(Parameters!$X$10:$AA$10,1,MATCH($E68,Parameters!$X$3:$AA$3,0)))</f>
        <v>2.32102136407761</v>
      </c>
      <c r="AZ68" s="43" t="n">
        <f aca="false">MAX(0,MIN(AX68*(1+INDEX(Response_Table!$J$4:$J$21,MATCH($F68&amp;"|low",Response_Table!$A$4:$A$21,0))*$R68*INDEX(Parameters!$X$10:$AA$10,1,MATCH($E68,Parameters!$X$3:$AA$3,0))),AX68*(1+INDEX(Response_Table!$J$4:$J$21,MATCH($F68&amp;"|high",Response_Table!$A$4:$A$21,0))*$R68*INDEX(Parameters!$X$10:$AA$10,1,MATCH($E68,Parameters!$X$3:$AA$3,0))))*(1-Inputs_General!$C$22*Parameters!$F$10))</f>
        <v>1.78316749746968</v>
      </c>
      <c r="BA68" s="43" t="n">
        <f aca="false">MAX(AX68*(1+INDEX(Response_Table!$J$4:$J$21,MATCH($F68&amp;"|low",Response_Table!$A$4:$A$21,0))*$R68*INDEX(Parameters!$X$10:$AA$10,1,MATCH($E68,Parameters!$X$3:$AA$3,0))),AX68*(1+INDEX(Response_Table!$J$4:$J$21,MATCH($F68&amp;"|high",Response_Table!$A$4:$A$21,0))*$R68*INDEX(Parameters!$X$10:$AA$10,1,MATCH($E68,Parameters!$X$3:$AA$3,0))))*(1+Inputs_General!$C$22*Parameters!$F$10)</f>
        <v>2.90580614440231</v>
      </c>
      <c r="BB68" s="45" t="n">
        <f aca="false">IF(AX68=0,0,AY68/AX68-1)</f>
        <v>-0.307181284234396</v>
      </c>
      <c r="BC68" s="46" t="n">
        <f aca="false">Parameters!$E$11*IF($N68="V",Parameters!$I$11,IF($N68="F",Parameters!$J$11,Parameters!$K$11))*(1-Parameters!$L$11*$P68)*IF($D68="V1",Parameters!$M$11,IF($D68="V2",Parameters!$N$11,Parameters!$O$11))</f>
        <v>1.25397901785714</v>
      </c>
      <c r="BD68" s="46" t="n">
        <f aca="false">BC68*(1+INDEX(Response_Table!$K$4:$K$21,MATCH($F68&amp;"|mid",Response_Table!$A$4:$A$21,0))*$R68*INDEX(Parameters!$X$11:$AA$11,1,MATCH($E68,Parameters!$X$3:$AA$3,0)))</f>
        <v>0.64771018578946</v>
      </c>
      <c r="BE68" s="46" t="n">
        <f aca="false">MAX(0,MIN(BC68*(1+INDEX(Response_Table!$K$4:$K$21,MATCH($F68&amp;"|low",Response_Table!$A$4:$A$21,0))*$R68*INDEX(Parameters!$X$11:$AA$11,1,MATCH($E68,Parameters!$X$3:$AA$3,0))),BC68*(1+INDEX(Response_Table!$K$4:$K$21,MATCH($F68&amp;"|high",Response_Table!$A$4:$A$21,0))*$R68*INDEX(Parameters!$X$11:$AA$11,1,MATCH($E68,Parameters!$X$3:$AA$3,0))))*(1-Inputs_General!$C$22*Parameters!$F$11))</f>
        <v>0.506977374821822</v>
      </c>
      <c r="BF68" s="46" t="n">
        <f aca="false">MAX(BC68*(1+INDEX(Response_Table!$K$4:$K$21,MATCH($F68&amp;"|low",Response_Table!$A$4:$A$21,0))*$R68*INDEX(Parameters!$X$11:$AA$11,1,MATCH($E68,Parameters!$X$3:$AA$3,0))),BC68*(1+INDEX(Response_Table!$K$4:$K$21,MATCH($F68&amp;"|high",Response_Table!$A$4:$A$21,0))*$R68*INDEX(Parameters!$X$11:$AA$11,1,MATCH($E68,Parameters!$X$3:$AA$3,0))))*(1+Inputs_General!$C$22*Parameters!$F$11)</f>
        <v>0.811224456245876</v>
      </c>
      <c r="BG68" s="45" t="n">
        <f aca="false">IF(BC68=0,0,BD68/BC68-1)</f>
        <v>-0.483476057760283</v>
      </c>
      <c r="BH68" s="46" t="n">
        <f aca="false">Parameters!$E$12*IF($N68="V",Parameters!$I$12,IF($N68="F",Parameters!$J$12,Parameters!$K$12))*(1-Parameters!$L$12*$P68)*IF($D68="V1",Parameters!$M$12,IF($D68="V2",Parameters!$N$12,Parameters!$O$12))</f>
        <v>0.451432446428571</v>
      </c>
      <c r="BI68" s="46" t="n">
        <f aca="false">BH68*(1+INDEX(Response_Table!$L$4:$L$21,MATCH($F68&amp;"|mid",Response_Table!$A$4:$A$21,0))*$R68*INDEX(Parameters!$X$12:$AA$12,1,MATCH($E68,Parameters!$X$3:$AA$3,0)))</f>
        <v>0.270413962026552</v>
      </c>
      <c r="BJ68" s="46" t="n">
        <f aca="false">MAX(0,MIN(BH68*(1+INDEX(Response_Table!$L$4:$L$21,MATCH($F68&amp;"|low",Response_Table!$A$4:$A$21,0))*$R68*INDEX(Parameters!$X$12:$AA$12,1,MATCH($E68,Parameters!$X$3:$AA$3,0))),BH68*(1+INDEX(Response_Table!$L$4:$L$21,MATCH($F68&amp;"|high",Response_Table!$A$4:$A$21,0))*$R68*INDEX(Parameters!$X$12:$AA$12,1,MATCH($E68,Parameters!$X$3:$AA$3,0))))*(1-Inputs_General!$C$22*Parameters!$F$12))</f>
        <v>0.206161050537459</v>
      </c>
      <c r="BK68" s="46" t="n">
        <f aca="false">MAX(BH68*(1+INDEX(Response_Table!$L$4:$L$21,MATCH($F68&amp;"|low",Response_Table!$A$4:$A$21,0))*$R68*INDEX(Parameters!$X$12:$AA$12,1,MATCH($E68,Parameters!$X$3:$AA$3,0))),BH68*(1+INDEX(Response_Table!$L$4:$L$21,MATCH($F68&amp;"|high",Response_Table!$A$4:$A$21,0))*$R68*INDEX(Parameters!$X$12:$AA$12,1,MATCH($E68,Parameters!$X$3:$AA$3,0))))*(1+Inputs_General!$C$22*Parameters!$F$12)</f>
        <v>0.342559946236451</v>
      </c>
      <c r="BL68" s="45" t="n">
        <f aca="false">IF(BH68=0,0,BI68/BH68-1)</f>
        <v>-0.400986871533305</v>
      </c>
      <c r="BM68" s="46" t="n">
        <f aca="false">Parameters!$E$13*IF($N68="V",Parameters!$I$13,IF($N68="F",Parameters!$J$13,Parameters!$K$13))*(1-Parameters!$L$13*$P68)*IF($D68="V1",Parameters!$M$13,IF($D68="V2",Parameters!$N$13,Parameters!$O$13))</f>
        <v>0.304977482142857</v>
      </c>
      <c r="BN68" s="46" t="n">
        <f aca="false">BM68*(1+INDEX(Response_Table!$M$4:$M$21,MATCH($F68&amp;"|mid",Response_Table!$A$4:$A$21,0))*$R68*INDEX(Parameters!$X$13:$AA$13,1,MATCH($E68,Parameters!$X$3:$AA$3,0)))</f>
        <v>0.216726491405379</v>
      </c>
      <c r="BO68" s="46" t="n">
        <f aca="false">MAX(0,MIN(BM68*(1+INDEX(Response_Table!$M$4:$M$21,MATCH($F68&amp;"|low",Response_Table!$A$4:$A$21,0))*$R68*INDEX(Parameters!$X$13:$AA$13,1,MATCH($E68,Parameters!$X$3:$AA$3,0))),BM68*(1+INDEX(Response_Table!$M$4:$M$21,MATCH($F68&amp;"|high",Response_Table!$A$4:$A$21,0))*$R68*INDEX(Parameters!$X$13:$AA$13,1,MATCH($E68,Parameters!$X$3:$AA$3,0))))*(1-Inputs_General!$C$22*Parameters!$F$13))</f>
        <v>0.168147492434891</v>
      </c>
      <c r="BP68" s="46" t="n">
        <f aca="false">MAX(BM68*(1+INDEX(Response_Table!$M$4:$M$21,MATCH($F68&amp;"|low",Response_Table!$A$4:$A$21,0))*$R68*INDEX(Parameters!$X$13:$AA$13,1,MATCH($E68,Parameters!$X$3:$AA$3,0))),BM68*(1+INDEX(Response_Table!$M$4:$M$21,MATCH($F68&amp;"|high",Response_Table!$A$4:$A$21,0))*$R68*INDEX(Parameters!$X$13:$AA$13,1,MATCH($E68,Parameters!$X$3:$AA$3,0))))*(1+Inputs_General!$C$22*Parameters!$F$13)</f>
        <v>0.270527701956896</v>
      </c>
      <c r="BQ68" s="45" t="n">
        <f aca="false">IF(BM68=0,0,BN68/BM68-1)</f>
        <v>-0.289368874440834</v>
      </c>
      <c r="BR68" s="44" t="n">
        <f aca="false">Parameters!$E$14*IF($N68="V",Parameters!$I$14,IF($N68="F",Parameters!$J$14,Parameters!$K$14))*(1-Parameters!$L$14*$P68)*IF($D68="V1",Parameters!$M$14,IF($D68="V2",Parameters!$N$14,Parameters!$O$14))*INDEX(Context!$AC$4:$AC$51,$K68)</f>
        <v>15</v>
      </c>
      <c r="BS68" s="44" t="n">
        <f aca="false">BR68*(1+INDEX(Response_Table!$N$4:$N$21,MATCH($F68&amp;"|mid",Response_Table!$A$4:$A$21,0))*$R68*INDEX(Parameters!$X$14:$AA$14,1,MATCH($E68,Parameters!$X$3:$AA$3,0)))</f>
        <v>21.5616033523632</v>
      </c>
      <c r="BT68" s="44" t="n">
        <f aca="false">MAX(0,MIN(BR68*(1+INDEX(Response_Table!$N$4:$N$21,MATCH($F68&amp;"|low",Response_Table!$A$4:$A$21,0))*$R68*INDEX(Parameters!$X$14:$AA$14,1,MATCH($E68,Parameters!$X$3:$AA$3,0))),BR68*(1+INDEX(Response_Table!$N$4:$N$21,MATCH($F68&amp;"|high",Response_Table!$A$4:$A$21,0))*$R68*INDEX(Parameters!$X$14:$AA$14,1,MATCH($E68,Parameters!$X$3:$AA$3,0))))*(1-Inputs_General!$C$22*Parameters!$F$14))</f>
        <v>10.633208836459</v>
      </c>
      <c r="BU68" s="44" t="n">
        <f aca="false">MAX(BR68*(1+INDEX(Response_Table!$N$4:$N$21,MATCH($F68&amp;"|low",Response_Table!$A$4:$A$21,0))*$R68*INDEX(Parameters!$X$14:$AA$14,1,MATCH($E68,Parameters!$X$3:$AA$3,0))),BR68*(1+INDEX(Response_Table!$N$4:$N$21,MATCH($F68&amp;"|high",Response_Table!$A$4:$A$21,0))*$R68*INDEX(Parameters!$X$14:$AA$14,1,MATCH($E68,Parameters!$X$3:$AA$3,0))))*(1+Inputs_General!$C$22*Parameters!$F$14)</f>
        <v>32.9356704934787</v>
      </c>
      <c r="BV68" s="45" t="n">
        <f aca="false">IF(BR68=0,0,BS68/BR68-1)</f>
        <v>0.437440223490878</v>
      </c>
      <c r="BW68" s="43" t="n">
        <f aca="false">Parameters!$E$15*IF($N68="V",Parameters!$I$15,IF($N68="F",Parameters!$J$15,Parameters!$K$15))*(1-Parameters!$L$15*$P68)*IF($D68="V1",Parameters!$M$15,IF($D68="V2",Parameters!$N$15,Parameters!$O$15))</f>
        <v>9.73964285714286</v>
      </c>
      <c r="BX68" s="43" t="n">
        <f aca="false">BW68*(1+INDEX(Response_Table!$O$4:$O$21,MATCH($F68&amp;"|mid",Response_Table!$A$4:$A$21,0))*$R68*INDEX(Parameters!$X$15:$AA$15,1,MATCH($E68,Parameters!$X$3:$AA$3,0)))</f>
        <v>8.67451497010538</v>
      </c>
      <c r="BY68" s="43" t="n">
        <f aca="false">MAX(0,MIN(BW68*(1+INDEX(Response_Table!$O$4:$O$21,MATCH($F68&amp;"|low",Response_Table!$A$4:$A$21,0))*$R68*INDEX(Parameters!$X$15:$AA$15,1,MATCH($E68,Parameters!$X$3:$AA$3,0))),BW68*(1+INDEX(Response_Table!$O$4:$O$21,MATCH($F68&amp;"|high",Response_Table!$A$4:$A$21,0))*$R68*INDEX(Parameters!$X$15:$AA$15,1,MATCH($E68,Parameters!$X$3:$AA$3,0))))*(1-Inputs_General!$C$22*Parameters!$F$15))</f>
        <v>6.89818692486211</v>
      </c>
      <c r="BZ68" s="43" t="n">
        <f aca="false">MAX(BW68*(1+INDEX(Response_Table!$O$4:$O$21,MATCH($F68&amp;"|low",Response_Table!$A$4:$A$21,0))*$R68*INDEX(Parameters!$X$15:$AA$15,1,MATCH($E68,Parameters!$X$3:$AA$3,0))),BW68*(1+INDEX(Response_Table!$O$4:$O$21,MATCH($F68&amp;"|high",Response_Table!$A$4:$A$21,0))*$R68*INDEX(Parameters!$X$15:$AA$15,1,MATCH($E68,Parameters!$X$3:$AA$3,0))))*(1+Inputs_General!$C$22*Parameters!$F$15)</f>
        <v>10.4972865147356</v>
      </c>
      <c r="CA68" s="45" t="n">
        <f aca="false">IF(BW68=0,0,BX68/BW68-1)</f>
        <v>-0.10936005587272</v>
      </c>
      <c r="CB68" s="46" t="n">
        <f aca="false">BD68+BI68</f>
        <v>0.918124147816012</v>
      </c>
      <c r="CC68" s="43" t="n">
        <f aca="false">BD68/BI68</f>
        <v>2.3952542277601</v>
      </c>
      <c r="CD68" s="46" t="n">
        <f aca="false">BN68/CB68</f>
        <v>0.236053579378036</v>
      </c>
      <c r="CE68" s="43" t="n">
        <f aca="false">AE68/AO68</f>
        <v>2.02490649292638</v>
      </c>
      <c r="CF68" s="44" t="n">
        <f aca="false">AE68/AJ68</f>
        <v>41.2360424252246</v>
      </c>
      <c r="CG68" s="44" t="n">
        <f aca="false">INDEX(Context!$V$4:$V$51,$K68)</f>
        <v>28.62</v>
      </c>
      <c r="CH68" s="44" t="n">
        <f aca="false">INDEX(Context!$Y$4:$Y$51,$K68)</f>
        <v>25.3060134606718</v>
      </c>
      <c r="CI68" s="44" t="n">
        <f aca="false">INDEX(Context!$Z$4:$Z$51,$K68)</f>
        <v>32.62</v>
      </c>
      <c r="CJ68" s="43" t="n">
        <f aca="false">INDEX(Context!$AA$4:$AA$51,$K68)</f>
        <v>0.221696428571429</v>
      </c>
      <c r="CK68" s="43" t="n">
        <f aca="false">MAX(0,MIN(1,1-(1-CJ68)*AO68/AN68))</f>
        <v>0.523990533078266</v>
      </c>
      <c r="CL68" s="44" t="n">
        <f aca="false">CH68+CK68*(CI68-CH68)</f>
        <v>29.1384731663416</v>
      </c>
      <c r="CM68" s="44" t="n">
        <f aca="false">CH68+MAX(0,MIN(1,1-(1-CJ68)*AQ68/AN68))*(CI68-CH68)</f>
        <v>27.5464654734874</v>
      </c>
      <c r="CN68" s="44" t="n">
        <f aca="false">CH68+MAX(0,MIN(1,1-(1-CJ68)*AP68/AN68))*(CI68-CH68)</f>
        <v>30.4033672060778</v>
      </c>
      <c r="CO68" s="44" t="n">
        <f aca="false">CL68-CG68</f>
        <v>0.518473166341625</v>
      </c>
      <c r="CP68" s="44" t="n">
        <f aca="false">CL68-(CH68+CJ68*(CI68-CH68))</f>
        <v>2.21097501128129</v>
      </c>
      <c r="CQ68" s="46" t="n">
        <f aca="false">CL68/CG68</f>
        <v>1.01811576402312</v>
      </c>
      <c r="CR68" s="43" t="n">
        <f aca="false">IF(CL68-CH68&lt;=0,"n/a",(CI68-CL68)/(CL68-CH68))</f>
        <v>0.908431425517063</v>
      </c>
      <c r="CS68" s="43" t="n">
        <f aca="false">IF(CI68-CL68&lt;=0,"n/a",(CL68-CH68)/(CI68-CL68))</f>
        <v>1.10079855442123</v>
      </c>
      <c r="CT68" s="43" t="n">
        <f aca="false">Inputs_General!$C$23+Inputs_General!$C$24*$I68</f>
        <v>1.9</v>
      </c>
      <c r="CU68" s="44" t="n">
        <f aca="false">3.29*CT68</f>
        <v>6.251</v>
      </c>
    </row>
    <row r="69" customFormat="false" ht="15" hidden="false" customHeight="false" outlineLevel="0" collapsed="false">
      <c r="A69" s="33" t="str">
        <f aca="false">B69&amp;"|"&amp;E69&amp;"|"&amp;F69</f>
        <v>D1V3|13/03/2026|Healthy</v>
      </c>
      <c r="B69" s="34" t="s">
        <v>345</v>
      </c>
      <c r="C69" s="33" t="s">
        <v>127</v>
      </c>
      <c r="D69" s="33" t="s">
        <v>150</v>
      </c>
      <c r="E69" s="33" t="s">
        <v>164</v>
      </c>
      <c r="F69" s="34" t="s">
        <v>275</v>
      </c>
      <c r="G69" s="33" t="s">
        <v>276</v>
      </c>
      <c r="H69" s="35" t="n">
        <f aca="false">INDEX(Severity_Classes!$C$4:$C$9,MATCH(F69,Severity_Classes!$A$4:$A$9,0))</f>
        <v>0</v>
      </c>
      <c r="I69" s="35" t="n">
        <f aca="false">INDEX(Severity_Classes!$D$4:$D$9,MATCH(F69,Severity_Classes!$A$4:$A$9,0))</f>
        <v>0</v>
      </c>
      <c r="J69" s="35" t="n">
        <f aca="false">INDEX(Severity_Classes!$E$4:$E$9,MATCH(F69,Severity_Classes!$A$4:$A$9,0))</f>
        <v>0</v>
      </c>
      <c r="K69" s="36" t="n">
        <f aca="false">MATCH(B69&amp;"|"&amp;E69,Context!$A$4:$A$51,0)</f>
        <v>12</v>
      </c>
      <c r="L69" s="36" t="n">
        <f aca="false">INDEX(Context!$H$4:$H$51,K69)</f>
        <v>94</v>
      </c>
      <c r="M69" s="36" t="n">
        <f aca="false">INDEX(Context!$I$4:$I$51,K69)</f>
        <v>36</v>
      </c>
      <c r="N69" s="33" t="str">
        <f aca="false">INDEX(Context!$L$4:$L$51,K69)</f>
        <v>P</v>
      </c>
      <c r="O69" s="33" t="str">
        <f aca="false">INDEX(Context!$M$4:$M$51,K69)</f>
        <v>5th fully expanded leaf from top</v>
      </c>
      <c r="P69" s="37" t="n">
        <f aca="false">INDEX(Context!$R$4:$R$51,K69)</f>
        <v>0.953571428571428</v>
      </c>
      <c r="Q69" s="37" t="n">
        <f aca="false">INDEX(Context!$U$4:$U$51,K69)</f>
        <v>2.18945736698217</v>
      </c>
      <c r="R69" s="37" t="n">
        <f aca="false">INDEX(Context!$AD$4:$AD$51,K69)</f>
        <v>0.85</v>
      </c>
      <c r="S69" s="33" t="str">
        <f aca="false">INDEX(Context!$AI$4:$AN$51,K69,MATCH(F69,Severity_Classes!$A$4:$A$9,0))</f>
        <v>Reference: healthy (uninoculated) control plot</v>
      </c>
      <c r="T69" s="38" t="n">
        <f aca="false">Parameters!$E$4*IF($N69="V",Parameters!$I$4,IF($N69="F",Parameters!$J$4,Parameters!$K$4))*(1-Parameters!$L$4*$P69)*IF($D69="V1",Parameters!$M$4,IF($D69="V2",Parameters!$N$4,Parameters!$O$4))</f>
        <v>77.8046607142857</v>
      </c>
      <c r="U69" s="38" t="n">
        <f aca="false">MIN(100,T69*(1+INDEX(Response_Table!$E$4:$E$21,MATCH($F69&amp;"|mid",Response_Table!$A$4:$A$21,0))*$R69*INDEX(Parameters!$X$4:$AA$4,1,MATCH($E69,Parameters!$X$3:$AA$3,0))))</f>
        <v>77.8046607142857</v>
      </c>
      <c r="V69" s="38" t="n">
        <f aca="false">MAX(0,MIN(T69*(1+INDEX(Response_Table!$E$4:$E$21,MATCH($F69&amp;"|low",Response_Table!$A$4:$A$21,0))*$R69*INDEX(Parameters!$X$4:$AA$4,1,MATCH($E69,Parameters!$X$3:$AA$3,0))),T69*(1+INDEX(Response_Table!$E$4:$E$21,MATCH($F69&amp;"|high",Response_Table!$A$4:$A$21,0))*$R69*INDEX(Parameters!$X$4:$AA$4,1,MATCH($E69,Parameters!$X$3:$AA$3,0))))*(1-Inputs_General!$C$22*Parameters!$F$4))</f>
        <v>72.6851140392857</v>
      </c>
      <c r="W69" s="38" t="n">
        <f aca="false">MIN(100,MAX(T69*(1+INDEX(Response_Table!$E$4:$E$21,MATCH($F69&amp;"|low",Response_Table!$A$4:$A$21,0))*$R69*INDEX(Parameters!$X$4:$AA$4,1,MATCH($E69,Parameters!$X$3:$AA$3,0))),T69*(1+INDEX(Response_Table!$E$4:$E$21,MATCH($F69&amp;"|high",Response_Table!$A$4:$A$21,0))*$R69*INDEX(Parameters!$X$4:$AA$4,1,MATCH($E69,Parameters!$X$3:$AA$3,0))))*(1+Inputs_General!$C$22*Parameters!$F$4))</f>
        <v>82.9242073892857</v>
      </c>
      <c r="X69" s="39" t="n">
        <f aca="false">IF(T69=0,0,U69/T69-1)</f>
        <v>0</v>
      </c>
      <c r="Y69" s="38" t="n">
        <f aca="false">Parameters!$E$5*IF($N69="V",Parameters!$I$5,IF($N69="F",Parameters!$J$5,Parameters!$K$5))*(1-Parameters!$L$5*$P69)*IF($D69="V1",Parameters!$M$5,IF($D69="V2",Parameters!$N$5,Parameters!$O$5))</f>
        <v>58.6602514285714</v>
      </c>
      <c r="Z69" s="38" t="n">
        <f aca="false">MIN(100,Y69*(1+INDEX(Response_Table!$F$4:$F$21,MATCH($F69&amp;"|mid",Response_Table!$A$4:$A$21,0))*$R69*INDEX(Parameters!$X$5:$AA$5,1,MATCH($E69,Parameters!$X$3:$AA$3,0))))</f>
        <v>58.6602514285714</v>
      </c>
      <c r="AA69" s="38" t="n">
        <f aca="false">MAX(0,MIN(Y69*(1+INDEX(Response_Table!$F$4:$F$21,MATCH($F69&amp;"|low",Response_Table!$A$4:$A$21,0))*$R69*INDEX(Parameters!$X$5:$AA$5,1,MATCH($E69,Parameters!$X$3:$AA$3,0))),Y69*(1+INDEX(Response_Table!$F$4:$F$21,MATCH($F69&amp;"|high",Response_Table!$A$4:$A$21,0))*$R69*INDEX(Parameters!$X$5:$AA$5,1,MATCH($E69,Parameters!$X$3:$AA$3,0))))*(1-Inputs_General!$C$22*Parameters!$F$5))</f>
        <v>51.9055234765714</v>
      </c>
      <c r="AB69" s="38" t="n">
        <f aca="false">MIN(100,MAX(Y69*(1+INDEX(Response_Table!$F$4:$F$21,MATCH($F69&amp;"|low",Response_Table!$A$4:$A$21,0))*$R69*INDEX(Parameters!$X$5:$AA$5,1,MATCH($E69,Parameters!$X$3:$AA$3,0))),Y69*(1+INDEX(Response_Table!$F$4:$F$21,MATCH($F69&amp;"|high",Response_Table!$A$4:$A$21,0))*$R69*INDEX(Parameters!$X$5:$AA$5,1,MATCH($E69,Parameters!$X$3:$AA$3,0))))*(1+Inputs_General!$C$22*Parameters!$F$5))</f>
        <v>65.4149793805714</v>
      </c>
      <c r="AC69" s="39" t="n">
        <f aca="false">IF(Y69=0,0,Z69/Y69-1)</f>
        <v>0</v>
      </c>
      <c r="AD69" s="38" t="n">
        <f aca="false">Parameters!$E$6*IF($N69="V",Parameters!$I$6,IF($N69="F",Parameters!$J$6,Parameters!$K$6))*(1-Parameters!$L$6*$P69)*IF($D69="V1",Parameters!$M$6,IF($D69="V2",Parameters!$N$6,Parameters!$O$6))</f>
        <v>14.7310379285714</v>
      </c>
      <c r="AE69" s="38" t="n">
        <f aca="false">AD69*(1+INDEX(Response_Table!$G$4:$G$21,MATCH($F69&amp;"|mid",Response_Table!$A$4:$A$21,0))*$R69*INDEX(Parameters!$X$6:$AA$6,1,MATCH($E69,Parameters!$X$3:$AA$3,0)))</f>
        <v>14.7310379285714</v>
      </c>
      <c r="AF69" s="38" t="n">
        <f aca="false">MAX(0,MIN(AD69*(1+INDEX(Response_Table!$G$4:$G$21,MATCH($F69&amp;"|low",Response_Table!$A$4:$A$21,0))*$R69*INDEX(Parameters!$X$6:$AA$6,1,MATCH($E69,Parameters!$X$3:$AA$3,0))),AD69*(1+INDEX(Response_Table!$G$4:$G$21,MATCH($F69&amp;"|high",Response_Table!$A$4:$A$21,0))*$R69*INDEX(Parameters!$X$6:$AA$6,1,MATCH($E69,Parameters!$X$3:$AA$3,0))))*(1-Inputs_General!$C$22*Parameters!$F$6))</f>
        <v>11.8231310414714</v>
      </c>
      <c r="AG69" s="38" t="n">
        <f aca="false">MAX(AD69*(1+INDEX(Response_Table!$G$4:$G$21,MATCH($F69&amp;"|low",Response_Table!$A$4:$A$21,0))*$R69*INDEX(Parameters!$X$6:$AA$6,1,MATCH($E69,Parameters!$X$3:$AA$3,0))),AD69*(1+INDEX(Response_Table!$G$4:$G$21,MATCH($F69&amp;"|high",Response_Table!$A$4:$A$21,0))*$R69*INDEX(Parameters!$X$6:$AA$6,1,MATCH($E69,Parameters!$X$3:$AA$3,0))))*(1+Inputs_General!$C$22*Parameters!$F$6)</f>
        <v>17.6389448156714</v>
      </c>
      <c r="AH69" s="39" t="n">
        <f aca="false">IF(AD69=0,0,AE69/AD69-1)</f>
        <v>0</v>
      </c>
      <c r="AI69" s="40" t="n">
        <f aca="false">Parameters!$E$7*IF($N69="V",Parameters!$I$7,IF($N69="F",Parameters!$J$7,Parameters!$K$7))*(1-Parameters!$L$7*$P69)*IF($D69="V1",Parameters!$M$7,IF($D69="V2",Parameters!$N$7,Parameters!$O$7))*POWER($Q69/Inputs_General!$C$26,-Inputs_General!$C$25)</f>
        <v>0.258501574676089</v>
      </c>
      <c r="AJ69" s="40" t="n">
        <f aca="false">AI69*(1+INDEX(Response_Table!$H$4:$H$21,MATCH($F69&amp;"|mid",Response_Table!$A$4:$A$21,0))*$R69*INDEX(Parameters!$X$7:$AA$7,1,MATCH($E69,Parameters!$X$3:$AA$3,0)))</f>
        <v>0.258501574676089</v>
      </c>
      <c r="AK69" s="40" t="n">
        <f aca="false">MAX(0,MIN(AI69*(1+INDEX(Response_Table!$H$4:$H$21,MATCH($F69&amp;"|low",Response_Table!$A$4:$A$21,0))*$R69*INDEX(Parameters!$X$7:$AA$7,1,MATCH($E69,Parameters!$X$3:$AA$3,0))),AI69*(1+INDEX(Response_Table!$H$4:$H$21,MATCH($F69&amp;"|high",Response_Table!$A$4:$A$21,0))*$R69*INDEX(Parameters!$X$7:$AA$7,1,MATCH($E69,Parameters!$X$3:$AA$3,0))))*(1-Inputs_General!$C$22*Parameters!$F$7))</f>
        <v>0.181959258414499</v>
      </c>
      <c r="AL69" s="40" t="n">
        <f aca="false">MAX(AI69*(1+INDEX(Response_Table!$H$4:$H$21,MATCH($F69&amp;"|low",Response_Table!$A$4:$A$21,0))*$R69*INDEX(Parameters!$X$7:$AA$7,1,MATCH($E69,Parameters!$X$3:$AA$3,0))),AI69*(1+INDEX(Response_Table!$H$4:$H$21,MATCH($F69&amp;"|high",Response_Table!$A$4:$A$21,0))*$R69*INDEX(Parameters!$X$7:$AA$7,1,MATCH($E69,Parameters!$X$3:$AA$3,0))))*(1+Inputs_General!$C$22*Parameters!$F$7)</f>
        <v>0.335043890937679</v>
      </c>
      <c r="AM69" s="39" t="n">
        <f aca="false">IF(AI69=0,0,AJ69/AI69-1)</f>
        <v>0</v>
      </c>
      <c r="AN69" s="37" t="n">
        <f aca="false">AI69*$Q69/Inputs_General!$C$13*1000</f>
        <v>5.69967952720096</v>
      </c>
      <c r="AO69" s="37" t="n">
        <f aca="false">AJ69*$Q69/Inputs_General!$C$13*1000*(1+Inputs_General!$C$21*$I69)</f>
        <v>5.69967952720096</v>
      </c>
      <c r="AP69" s="37" t="n">
        <f aca="false">AK69*$Q69/Inputs_General!$C$13*1000*(1+Inputs_General!$C$21*$H69)</f>
        <v>4.01200441919675</v>
      </c>
      <c r="AQ69" s="37" t="n">
        <f aca="false">AL69*$Q69/Inputs_General!$C$13*1000*(1+Inputs_General!$C$21*$J69)</f>
        <v>7.38735463520516</v>
      </c>
      <c r="AR69" s="39" t="n">
        <f aca="false">IF(AN69=0,0,AO69/AN69-1)</f>
        <v>0</v>
      </c>
      <c r="AS69" s="36" t="n">
        <f aca="false">Parameters!$E$9*IF($N69="V",Parameters!$I$9,IF($N69="F",Parameters!$J$9,Parameters!$K$9))*(1-Parameters!$L$9*$P69)*IF($D69="V1",Parameters!$M$9,IF($D69="V2",Parameters!$N$9,Parameters!$O$9))</f>
        <v>293.55</v>
      </c>
      <c r="AT69" s="36" t="n">
        <f aca="false">AS69*(1+INDEX(Response_Table!$I$4:$I$21,MATCH($F69&amp;"|mid",Response_Table!$A$4:$A$21,0))*$R69*INDEX(Parameters!$X$9:$AA$9,1,MATCH($E69,Parameters!$X$3:$AA$3,0)))</f>
        <v>293.55</v>
      </c>
      <c r="AU69" s="36" t="n">
        <f aca="false">MAX(0,MIN(AS69*(1+INDEX(Response_Table!$I$4:$I$21,MATCH($F69&amp;"|low",Response_Table!$A$4:$A$21,0))*$R69*INDEX(Parameters!$X$9:$AA$9,1,MATCH($E69,Parameters!$X$3:$AA$3,0))),AS69*(1+INDEX(Response_Table!$I$4:$I$21,MATCH($F69&amp;"|high",Response_Table!$A$4:$A$21,0))*$R69*INDEX(Parameters!$X$9:$AA$9,1,MATCH($E69,Parameters!$X$3:$AA$3,0))))*(1-Inputs_General!$C$22*Parameters!$F$9))</f>
        <v>264.576615</v>
      </c>
      <c r="AV69" s="36" t="n">
        <f aca="false">MAX(AS69*(1+INDEX(Response_Table!$I$4:$I$21,MATCH($F69&amp;"|low",Response_Table!$A$4:$A$21,0))*$R69*INDEX(Parameters!$X$9:$AA$9,1,MATCH($E69,Parameters!$X$3:$AA$3,0))),AS69*(1+INDEX(Response_Table!$I$4:$I$21,MATCH($F69&amp;"|high",Response_Table!$A$4:$A$21,0))*$R69*INDEX(Parameters!$X$9:$AA$9,1,MATCH($E69,Parameters!$X$3:$AA$3,0))))*(1+Inputs_General!$C$22*Parameters!$F$9)</f>
        <v>322.523385</v>
      </c>
      <c r="AW69" s="39" t="n">
        <f aca="false">IF(AS69=0,0,AT69/AS69-1)</f>
        <v>0</v>
      </c>
      <c r="AX69" s="37" t="n">
        <f aca="false">INDEX(Context!$AB$4:$AB$51,$K69)</f>
        <v>2.6539155416324</v>
      </c>
      <c r="AY69" s="37" t="n">
        <f aca="false">AX69*(1+INDEX(Response_Table!$J$4:$J$21,MATCH($F69&amp;"|mid",Response_Table!$A$4:$A$21,0))*$R69*INDEX(Parameters!$X$10:$AA$10,1,MATCH($E69,Parameters!$X$3:$AA$3,0)))</f>
        <v>2.6539155416324</v>
      </c>
      <c r="AZ69" s="37" t="n">
        <f aca="false">MAX(0,MIN(AX69*(1+INDEX(Response_Table!$J$4:$J$21,MATCH($F69&amp;"|low",Response_Table!$A$4:$A$21,0))*$R69*INDEX(Parameters!$X$10:$AA$10,1,MATCH($E69,Parameters!$X$3:$AA$3,0))),AX69*(1+INDEX(Response_Table!$J$4:$J$21,MATCH($F69&amp;"|high",Response_Table!$A$4:$A$21,0))*$R69*INDEX(Parameters!$X$10:$AA$10,1,MATCH($E69,Parameters!$X$3:$AA$3,0))))*(1-Inputs_General!$C$22*Parameters!$F$10))</f>
        <v>2.13003261371417</v>
      </c>
      <c r="BA69" s="37" t="n">
        <f aca="false">MAX(AX69*(1+INDEX(Response_Table!$J$4:$J$21,MATCH($F69&amp;"|low",Response_Table!$A$4:$A$21,0))*$R69*INDEX(Parameters!$X$10:$AA$10,1,MATCH($E69,Parameters!$X$3:$AA$3,0))),AX69*(1+INDEX(Response_Table!$J$4:$J$21,MATCH($F69&amp;"|high",Response_Table!$A$4:$A$21,0))*$R69*INDEX(Parameters!$X$10:$AA$10,1,MATCH($E69,Parameters!$X$3:$AA$3,0))))*(1+Inputs_General!$C$22*Parameters!$F$10)</f>
        <v>3.17779846955064</v>
      </c>
      <c r="BB69" s="39" t="n">
        <f aca="false">IF(AX69=0,0,AY69/AX69-1)</f>
        <v>0</v>
      </c>
      <c r="BC69" s="40" t="n">
        <f aca="false">Parameters!$E$11*IF($N69="V",Parameters!$I$11,IF($N69="F",Parameters!$J$11,Parameters!$K$11))*(1-Parameters!$L$11*$P69)*IF($D69="V1",Parameters!$M$11,IF($D69="V2",Parameters!$N$11,Parameters!$O$11))</f>
        <v>1.03176111607143</v>
      </c>
      <c r="BD69" s="40" t="n">
        <f aca="false">BC69*(1+INDEX(Response_Table!$K$4:$K$21,MATCH($F69&amp;"|mid",Response_Table!$A$4:$A$21,0))*$R69*INDEX(Parameters!$X$11:$AA$11,1,MATCH($E69,Parameters!$X$3:$AA$3,0)))</f>
        <v>1.03176111607143</v>
      </c>
      <c r="BE69" s="40" t="n">
        <f aca="false">MAX(0,MIN(BC69*(1+INDEX(Response_Table!$K$4:$K$21,MATCH($F69&amp;"|low",Response_Table!$A$4:$A$21,0))*$R69*INDEX(Parameters!$X$11:$AA$11,1,MATCH($E69,Parameters!$X$3:$AA$3,0))),BC69*(1+INDEX(Response_Table!$K$4:$K$21,MATCH($F69&amp;"|high",Response_Table!$A$4:$A$21,0))*$R69*INDEX(Parameters!$X$11:$AA$11,1,MATCH($E69,Parameters!$X$3:$AA$3,0))))*(1-Inputs_General!$C$22*Parameters!$F$11))</f>
        <v>0.862036412477679</v>
      </c>
      <c r="BF69" s="40" t="n">
        <f aca="false">MAX(BC69*(1+INDEX(Response_Table!$K$4:$K$21,MATCH($F69&amp;"|low",Response_Table!$A$4:$A$21,0))*$R69*INDEX(Parameters!$X$11:$AA$11,1,MATCH($E69,Parameters!$X$3:$AA$3,0))),BC69*(1+INDEX(Response_Table!$K$4:$K$21,MATCH($F69&amp;"|high",Response_Table!$A$4:$A$21,0))*$R69*INDEX(Parameters!$X$11:$AA$11,1,MATCH($E69,Parameters!$X$3:$AA$3,0))))*(1+Inputs_General!$C$22*Parameters!$F$11)</f>
        <v>1.20148581966518</v>
      </c>
      <c r="BG69" s="39" t="n">
        <f aca="false">IF(BC69=0,0,BD69/BC69-1)</f>
        <v>0</v>
      </c>
      <c r="BH69" s="40" t="n">
        <f aca="false">Parameters!$E$12*IF($N69="V",Parameters!$I$12,IF($N69="F",Parameters!$J$12,Parameters!$K$12))*(1-Parameters!$L$12*$P69)*IF($D69="V1",Parameters!$M$12,IF($D69="V2",Parameters!$N$12,Parameters!$O$12))</f>
        <v>0.384543437142857</v>
      </c>
      <c r="BI69" s="40" t="n">
        <f aca="false">BH69*(1+INDEX(Response_Table!$L$4:$L$21,MATCH($F69&amp;"|mid",Response_Table!$A$4:$A$21,0))*$R69*INDEX(Parameters!$X$12:$AA$12,1,MATCH($E69,Parameters!$X$3:$AA$3,0)))</f>
        <v>0.384543437142857</v>
      </c>
      <c r="BJ69" s="40" t="n">
        <f aca="false">MAX(0,MIN(BH69*(1+INDEX(Response_Table!$L$4:$L$21,MATCH($F69&amp;"|low",Response_Table!$A$4:$A$21,0))*$R69*INDEX(Parameters!$X$12:$AA$12,1,MATCH($E69,Parameters!$X$3:$AA$3,0))),BH69*(1+INDEX(Response_Table!$L$4:$L$21,MATCH($F69&amp;"|high",Response_Table!$A$4:$A$21,0))*$R69*INDEX(Parameters!$X$12:$AA$12,1,MATCH($E69,Parameters!$X$3:$AA$3,0))))*(1-Inputs_General!$C$22*Parameters!$F$12))</f>
        <v>0.308634562650857</v>
      </c>
      <c r="BK69" s="40" t="n">
        <f aca="false">MAX(BH69*(1+INDEX(Response_Table!$L$4:$L$21,MATCH($F69&amp;"|low",Response_Table!$A$4:$A$21,0))*$R69*INDEX(Parameters!$X$12:$AA$12,1,MATCH($E69,Parameters!$X$3:$AA$3,0))),BH69*(1+INDEX(Response_Table!$L$4:$L$21,MATCH($F69&amp;"|high",Response_Table!$A$4:$A$21,0))*$R69*INDEX(Parameters!$X$12:$AA$12,1,MATCH($E69,Parameters!$X$3:$AA$3,0))))*(1+Inputs_General!$C$22*Parameters!$F$12)</f>
        <v>0.460452311634857</v>
      </c>
      <c r="BL69" s="39" t="n">
        <f aca="false">IF(BH69=0,0,BI69/BH69-1)</f>
        <v>0</v>
      </c>
      <c r="BM69" s="40" t="n">
        <f aca="false">Parameters!$E$13*IF($N69="V",Parameters!$I$13,IF($N69="F",Parameters!$J$13,Parameters!$K$13))*(1-Parameters!$L$13*$P69)*IF($D69="V1",Parameters!$M$13,IF($D69="V2",Parameters!$N$13,Parameters!$O$13))</f>
        <v>0.270144353571429</v>
      </c>
      <c r="BN69" s="40" t="n">
        <f aca="false">BM69*(1+INDEX(Response_Table!$M$4:$M$21,MATCH($F69&amp;"|mid",Response_Table!$A$4:$A$21,0))*$R69*INDEX(Parameters!$X$13:$AA$13,1,MATCH($E69,Parameters!$X$3:$AA$3,0)))</f>
        <v>0.270144353571429</v>
      </c>
      <c r="BO69" s="40" t="n">
        <f aca="false">MAX(0,MIN(BM69*(1+INDEX(Response_Table!$M$4:$M$21,MATCH($F69&amp;"|low",Response_Table!$A$4:$A$21,0))*$R69*INDEX(Parameters!$X$13:$AA$13,1,MATCH($E69,Parameters!$X$3:$AA$3,0))),BM69*(1+INDEX(Response_Table!$M$4:$M$21,MATCH($F69&amp;"|high",Response_Table!$A$4:$A$21,0))*$R69*INDEX(Parameters!$X$13:$AA$13,1,MATCH($E69,Parameters!$X$3:$AA$3,0))))*(1-Inputs_General!$C$22*Parameters!$F$13))</f>
        <v>0.216817858176429</v>
      </c>
      <c r="BP69" s="40" t="n">
        <f aca="false">MAX(BM69*(1+INDEX(Response_Table!$M$4:$M$21,MATCH($F69&amp;"|low",Response_Table!$A$4:$A$21,0))*$R69*INDEX(Parameters!$X$13:$AA$13,1,MATCH($E69,Parameters!$X$3:$AA$3,0))),BM69*(1+INDEX(Response_Table!$M$4:$M$21,MATCH($F69&amp;"|high",Response_Table!$A$4:$A$21,0))*$R69*INDEX(Parameters!$X$13:$AA$13,1,MATCH($E69,Parameters!$X$3:$AA$3,0))))*(1+Inputs_General!$C$22*Parameters!$F$13)</f>
        <v>0.323470848966429</v>
      </c>
      <c r="BQ69" s="39" t="n">
        <f aca="false">IF(BM69=0,0,BN69/BM69-1)</f>
        <v>0</v>
      </c>
      <c r="BR69" s="38" t="n">
        <f aca="false">Parameters!$E$14*IF($N69="V",Parameters!$I$14,IF($N69="F",Parameters!$J$14,Parameters!$K$14))*(1-Parameters!$L$14*$P69)*IF($D69="V1",Parameters!$M$14,IF($D69="V2",Parameters!$N$14,Parameters!$O$14))*INDEX(Context!$AC$4:$AC$51,$K69)</f>
        <v>17.25</v>
      </c>
      <c r="BS69" s="38" t="n">
        <f aca="false">BR69*(1+INDEX(Response_Table!$N$4:$N$21,MATCH($F69&amp;"|mid",Response_Table!$A$4:$A$21,0))*$R69*INDEX(Parameters!$X$14:$AA$14,1,MATCH($E69,Parameters!$X$3:$AA$3,0)))</f>
        <v>17.25</v>
      </c>
      <c r="BT69" s="38" t="n">
        <f aca="false">MAX(0,MIN(BR69*(1+INDEX(Response_Table!$N$4:$N$21,MATCH($F69&amp;"|low",Response_Table!$A$4:$A$21,0))*$R69*INDEX(Parameters!$X$14:$AA$14,1,MATCH($E69,Parameters!$X$3:$AA$3,0))),BR69*(1+INDEX(Response_Table!$N$4:$N$21,MATCH($F69&amp;"|high",Response_Table!$A$4:$A$21,0))*$R69*INDEX(Parameters!$X$14:$AA$14,1,MATCH($E69,Parameters!$X$3:$AA$3,0))))*(1-Inputs_General!$C$22*Parameters!$F$14))</f>
        <v>8.737125</v>
      </c>
      <c r="BU69" s="38" t="n">
        <f aca="false">MAX(BR69*(1+INDEX(Response_Table!$N$4:$N$21,MATCH($F69&amp;"|low",Response_Table!$A$4:$A$21,0))*$R69*INDEX(Parameters!$X$14:$AA$14,1,MATCH($E69,Parameters!$X$3:$AA$3,0))),BR69*(1+INDEX(Response_Table!$N$4:$N$21,MATCH($F69&amp;"|high",Response_Table!$A$4:$A$21,0))*$R69*INDEX(Parameters!$X$14:$AA$14,1,MATCH($E69,Parameters!$X$3:$AA$3,0))))*(1+Inputs_General!$C$22*Parameters!$F$14)</f>
        <v>25.762875</v>
      </c>
      <c r="BV69" s="39" t="n">
        <f aca="false">IF(BR69=0,0,BS69/BR69-1)</f>
        <v>0</v>
      </c>
      <c r="BW69" s="37" t="n">
        <f aca="false">Parameters!$E$15*IF($N69="V",Parameters!$I$15,IF($N69="F",Parameters!$J$15,Parameters!$K$15))*(1-Parameters!$L$15*$P69)*IF($D69="V1",Parameters!$M$15,IF($D69="V2",Parameters!$N$15,Parameters!$O$15))</f>
        <v>7.73084285714286</v>
      </c>
      <c r="BX69" s="37" t="n">
        <f aca="false">BW69*(1+INDEX(Response_Table!$O$4:$O$21,MATCH($F69&amp;"|mid",Response_Table!$A$4:$A$21,0))*$R69*INDEX(Parameters!$X$15:$AA$15,1,MATCH($E69,Parameters!$X$3:$AA$3,0)))</f>
        <v>7.73084285714286</v>
      </c>
      <c r="BY69" s="37" t="n">
        <f aca="false">MAX(0,MIN(BW69*(1+INDEX(Response_Table!$O$4:$O$21,MATCH($F69&amp;"|low",Response_Table!$A$4:$A$21,0))*$R69*INDEX(Parameters!$X$15:$AA$15,1,MATCH($E69,Parameters!$X$3:$AA$3,0))),BW69*(1+INDEX(Response_Table!$O$4:$O$21,MATCH($F69&amp;"|high",Response_Table!$A$4:$A$21,0))*$R69*INDEX(Parameters!$X$15:$AA$15,1,MATCH($E69,Parameters!$X$3:$AA$3,0))))*(1-Inputs_General!$C$22*Parameters!$F$15))</f>
        <v>6.20477447714286</v>
      </c>
      <c r="BZ69" s="37" t="n">
        <f aca="false">MAX(BW69*(1+INDEX(Response_Table!$O$4:$O$21,MATCH($F69&amp;"|low",Response_Table!$A$4:$A$21,0))*$R69*INDEX(Parameters!$X$15:$AA$15,1,MATCH($E69,Parameters!$X$3:$AA$3,0))),BW69*(1+INDEX(Response_Table!$O$4:$O$21,MATCH($F69&amp;"|high",Response_Table!$A$4:$A$21,0))*$R69*INDEX(Parameters!$X$15:$AA$15,1,MATCH($E69,Parameters!$X$3:$AA$3,0))))*(1+Inputs_General!$C$22*Parameters!$F$15)</f>
        <v>9.25691123714286</v>
      </c>
      <c r="CA69" s="39" t="n">
        <f aca="false">IF(BW69=0,0,BX69/BW69-1)</f>
        <v>0</v>
      </c>
      <c r="CB69" s="40" t="n">
        <f aca="false">BD69+BI69</f>
        <v>1.41630455321429</v>
      </c>
      <c r="CC69" s="37" t="n">
        <f aca="false">BD69/BI69</f>
        <v>2.68308080808081</v>
      </c>
      <c r="CD69" s="40" t="n">
        <f aca="false">BN69/CB69</f>
        <v>0.190738886603407</v>
      </c>
      <c r="CE69" s="37" t="n">
        <f aca="false">AE69/AO69</f>
        <v>2.58453793029407</v>
      </c>
      <c r="CF69" s="38" t="n">
        <f aca="false">AE69/AJ69</f>
        <v>56.9862599368298</v>
      </c>
      <c r="CG69" s="38" t="n">
        <f aca="false">INDEX(Context!$V$4:$V$51,$K69)</f>
        <v>32.7871428571429</v>
      </c>
      <c r="CH69" s="38" t="n">
        <f aca="false">INDEX(Context!$Y$4:$Y$51,$K69)</f>
        <v>28.36912210206</v>
      </c>
      <c r="CI69" s="38" t="n">
        <f aca="false">INDEX(Context!$Z$4:$Z$51,$K69)</f>
        <v>36.7871428571429</v>
      </c>
      <c r="CJ69" s="37" t="n">
        <f aca="false">INDEX(Context!$AA$4:$AA$51,$K69)</f>
        <v>0.347678571428571</v>
      </c>
      <c r="CK69" s="37" t="n">
        <f aca="false">MAX(0,MIN(1,1-(1-CJ69)*AO69/AN69))</f>
        <v>0.347678571428571</v>
      </c>
      <c r="CL69" s="38" t="n">
        <f aca="false">CH69+CK69*(CI69-CH69)</f>
        <v>31.2958875324433</v>
      </c>
      <c r="CM69" s="38" t="n">
        <f aca="false">CH69+MAX(0,MIN(1,1-(1-CJ69)*AQ69/AN69))*(CI69-CH69)</f>
        <v>29.6699268307998</v>
      </c>
      <c r="CN69" s="38" t="n">
        <f aca="false">CH69+MAX(0,MIN(1,1-(1-CJ69)*AP69/AN69))*(CI69-CH69)</f>
        <v>32.9218482340868</v>
      </c>
      <c r="CO69" s="38" t="n">
        <f aca="false">CL69-CG69</f>
        <v>-1.49125532469956</v>
      </c>
      <c r="CP69" s="38" t="n">
        <f aca="false">CL69-(CH69+CJ69*(CI69-CH69))</f>
        <v>0</v>
      </c>
      <c r="CQ69" s="40" t="n">
        <f aca="false">CL69/CG69</f>
        <v>0.954517069962542</v>
      </c>
      <c r="CR69" s="37" t="n">
        <f aca="false">IF(CL69-CH69&lt;=0,"n/a",(CI69-CL69)/(CL69-CH69))</f>
        <v>1.87621982537237</v>
      </c>
      <c r="CS69" s="37" t="n">
        <f aca="false">IF(CI69-CL69&lt;=0,"n/a",(CL69-CH69)/(CI69-CL69))</f>
        <v>0.53298658636737</v>
      </c>
      <c r="CT69" s="37" t="n">
        <f aca="false">Inputs_General!$C$23+Inputs_General!$C$24*$I69</f>
        <v>0.6</v>
      </c>
      <c r="CU69" s="38" t="n">
        <f aca="false">3.29*CT69</f>
        <v>1.974</v>
      </c>
    </row>
    <row r="70" customFormat="false" ht="15" hidden="false" customHeight="false" outlineLevel="0" collapsed="false">
      <c r="A70" s="9" t="str">
        <f aca="false">B70&amp;"|"&amp;E70&amp;"|"&amp;F70</f>
        <v>D1V3|13/03/2026|Very low</v>
      </c>
      <c r="B70" s="7" t="s">
        <v>345</v>
      </c>
      <c r="C70" s="9" t="s">
        <v>127</v>
      </c>
      <c r="D70" s="9" t="s">
        <v>150</v>
      </c>
      <c r="E70" s="9" t="s">
        <v>164</v>
      </c>
      <c r="F70" s="7" t="s">
        <v>277</v>
      </c>
      <c r="G70" s="9" t="s">
        <v>278</v>
      </c>
      <c r="H70" s="41" t="n">
        <f aca="false">INDEX(Severity_Classes!$C$4:$C$9,MATCH(F70,Severity_Classes!$A$4:$A$9,0))</f>
        <v>0.01</v>
      </c>
      <c r="I70" s="41" t="n">
        <f aca="false">INDEX(Severity_Classes!$D$4:$D$9,MATCH(F70,Severity_Classes!$A$4:$A$9,0))</f>
        <v>0.03</v>
      </c>
      <c r="J70" s="41" t="n">
        <f aca="false">INDEX(Severity_Classes!$E$4:$E$9,MATCH(F70,Severity_Classes!$A$4:$A$9,0))</f>
        <v>0.05</v>
      </c>
      <c r="K70" s="42" t="n">
        <f aca="false">MATCH(B70&amp;"|"&amp;E70,Context!$A$4:$A$51,0)</f>
        <v>12</v>
      </c>
      <c r="L70" s="42" t="n">
        <f aca="false">INDEX(Context!$H$4:$H$51,K70)</f>
        <v>94</v>
      </c>
      <c r="M70" s="42" t="n">
        <f aca="false">INDEX(Context!$I$4:$I$51,K70)</f>
        <v>36</v>
      </c>
      <c r="N70" s="9" t="str">
        <f aca="false">INDEX(Context!$L$4:$L$51,K70)</f>
        <v>P</v>
      </c>
      <c r="O70" s="9" t="str">
        <f aca="false">INDEX(Context!$M$4:$M$51,K70)</f>
        <v>5th fully expanded leaf from top</v>
      </c>
      <c r="P70" s="43" t="n">
        <f aca="false">INDEX(Context!$R$4:$R$51,K70)</f>
        <v>0.953571428571428</v>
      </c>
      <c r="Q70" s="43" t="n">
        <f aca="false">INDEX(Context!$U$4:$U$51,K70)</f>
        <v>2.18945736698217</v>
      </c>
      <c r="R70" s="43" t="n">
        <f aca="false">INDEX(Context!$AD$4:$AD$51,K70)</f>
        <v>0.85</v>
      </c>
      <c r="S70" s="9" t="str">
        <f aca="false">INDEX(Context!$AI$4:$AN$51,K70,MATCH(F70,Severity_Classes!$A$4:$A$9,0))</f>
        <v>Possible</v>
      </c>
      <c r="T70" s="44" t="n">
        <f aca="false">Parameters!$E$4*IF($N70="V",Parameters!$I$4,IF($N70="F",Parameters!$J$4,Parameters!$K$4))*(1-Parameters!$L$4*$P70)*IF($D70="V1",Parameters!$M$4,IF($D70="V2",Parameters!$N$4,Parameters!$O$4))</f>
        <v>77.8046607142857</v>
      </c>
      <c r="U70" s="44" t="n">
        <f aca="false">MIN(100,T70*(1+INDEX(Response_Table!$E$4:$E$21,MATCH($F70&amp;"|mid",Response_Table!$A$4:$A$21,0))*$R70*INDEX(Parameters!$X$4:$AA$4,1,MATCH($E70,Parameters!$X$3:$AA$3,0))))</f>
        <v>77.519534799563</v>
      </c>
      <c r="V70" s="44" t="n">
        <f aca="false">MAX(0,MIN(T70*(1+INDEX(Response_Table!$E$4:$E$21,MATCH($F70&amp;"|low",Response_Table!$A$4:$A$21,0))*$R70*INDEX(Parameters!$X$4:$AA$4,1,MATCH($E70,Parameters!$X$3:$AA$3,0))),T70*(1+INDEX(Response_Table!$E$4:$E$21,MATCH($F70&amp;"|high",Response_Table!$A$4:$A$21,0))*$R70*INDEX(Parameters!$X$4:$AA$4,1,MATCH($E70,Parameters!$X$3:$AA$3,0))))*(1-Inputs_General!$C$22*Parameters!$F$4))</f>
        <v>72.2060033262025</v>
      </c>
      <c r="W70" s="44" t="n">
        <f aca="false">MIN(100,MAX(T70*(1+INDEX(Response_Table!$E$4:$E$21,MATCH($F70&amp;"|low",Response_Table!$A$4:$A$21,0))*$R70*INDEX(Parameters!$X$4:$AA$4,1,MATCH($E70,Parameters!$X$3:$AA$3,0))),T70*(1+INDEX(Response_Table!$E$4:$E$21,MATCH($F70&amp;"|high",Response_Table!$A$4:$A$21,0))*$R70*INDEX(Parameters!$X$4:$AA$4,1,MATCH($E70,Parameters!$X$3:$AA$3,0))))*(1+Inputs_General!$C$22*Parameters!$F$4))</f>
        <v>82.8302894411452</v>
      </c>
      <c r="X70" s="45" t="n">
        <f aca="false">IF(T70=0,0,U70/T70-1)</f>
        <v>-0.00366463798061933</v>
      </c>
      <c r="Y70" s="44" t="n">
        <f aca="false">Parameters!$E$5*IF($N70="V",Parameters!$I$5,IF($N70="F",Parameters!$J$5,Parameters!$K$5))*(1-Parameters!$L$5*$P70)*IF($D70="V1",Parameters!$M$5,IF($D70="V2",Parameters!$N$5,Parameters!$O$5))</f>
        <v>58.6602514285714</v>
      </c>
      <c r="Z70" s="44" t="n">
        <f aca="false">MIN(100,Y70*(1+INDEX(Response_Table!$F$4:$F$21,MATCH($F70&amp;"|mid",Response_Table!$A$4:$A$21,0))*$R70*INDEX(Parameters!$X$5:$AA$5,1,MATCH($E70,Parameters!$X$3:$AA$3,0))))</f>
        <v>57.9740244756464</v>
      </c>
      <c r="AA70" s="44" t="n">
        <f aca="false">MAX(0,MIN(Y70*(1+INDEX(Response_Table!$F$4:$F$21,MATCH($F70&amp;"|low",Response_Table!$A$4:$A$21,0))*$R70*INDEX(Parameters!$X$5:$AA$5,1,MATCH($E70,Parameters!$X$3:$AA$3,0))),Y70*(1+INDEX(Response_Table!$F$4:$F$21,MATCH($F70&amp;"|high",Response_Table!$A$4:$A$21,0))*$R70*INDEX(Parameters!$X$5:$AA$5,1,MATCH($E70,Parameters!$X$3:$AA$3,0))))*(1-Inputs_General!$C$22*Parameters!$F$5))</f>
        <v>50.7982133751225</v>
      </c>
      <c r="AB70" s="44" t="n">
        <f aca="false">MIN(100,MAX(Y70*(1+INDEX(Response_Table!$F$4:$F$21,MATCH($F70&amp;"|low",Response_Table!$A$4:$A$21,0))*$R70*INDEX(Parameters!$X$5:$AA$5,1,MATCH($E70,Parameters!$X$3:$AA$3,0))),Y70*(1+INDEX(Response_Table!$F$4:$F$21,MATCH($F70&amp;"|high",Response_Table!$A$4:$A$21,0))*$R70*INDEX(Parameters!$X$5:$AA$5,1,MATCH($E70,Parameters!$X$3:$AA$3,0))))*(1+Inputs_General!$C$22*Parameters!$F$5))</f>
        <v>65.181731755569</v>
      </c>
      <c r="AC70" s="45" t="n">
        <f aca="false">IF(Y70=0,0,Z70/Y70-1)</f>
        <v>-0.0116983295538827</v>
      </c>
      <c r="AD70" s="44" t="n">
        <f aca="false">Parameters!$E$6*IF($N70="V",Parameters!$I$6,IF($N70="F",Parameters!$J$6,Parameters!$K$6))*(1-Parameters!$L$6*$P70)*IF($D70="V1",Parameters!$M$6,IF($D70="V2",Parameters!$N$6,Parameters!$O$6))</f>
        <v>14.7310379285714</v>
      </c>
      <c r="AE70" s="44" t="n">
        <f aca="false">AD70*(1+INDEX(Response_Table!$G$4:$G$21,MATCH($F70&amp;"|mid",Response_Table!$A$4:$A$21,0))*$R70*INDEX(Parameters!$X$6:$AA$6,1,MATCH($E70,Parameters!$X$3:$AA$3,0)))</f>
        <v>13.5697516776158</v>
      </c>
      <c r="AF70" s="44" t="n">
        <f aca="false">MAX(0,MIN(AD70*(1+INDEX(Response_Table!$G$4:$G$21,MATCH($F70&amp;"|low",Response_Table!$A$4:$A$21,0))*$R70*INDEX(Parameters!$X$6:$AA$6,1,MATCH($E70,Parameters!$X$3:$AA$3,0))),AD70*(1+INDEX(Response_Table!$G$4:$G$21,MATCH($F70&amp;"|high",Response_Table!$A$4:$A$21,0))*$R70*INDEX(Parameters!$X$6:$AA$6,1,MATCH($E70,Parameters!$X$3:$AA$3,0))))*(1-Inputs_General!$C$22*Parameters!$F$6))</f>
        <v>10.3346666336494</v>
      </c>
      <c r="AG70" s="44" t="n">
        <f aca="false">MAX(AD70*(1+INDEX(Response_Table!$G$4:$G$21,MATCH($F70&amp;"|low",Response_Table!$A$4:$A$21,0))*$R70*INDEX(Parameters!$X$6:$AA$6,1,MATCH($E70,Parameters!$X$3:$AA$3,0))),AD70*(1+INDEX(Response_Table!$G$4:$G$21,MATCH($F70&amp;"|high",Response_Table!$A$4:$A$21,0))*$R70*INDEX(Parameters!$X$6:$AA$6,1,MATCH($E70,Parameters!$X$3:$AA$3,0))))*(1+Inputs_General!$C$22*Parameters!$F$6)</f>
        <v>17.1548995006469</v>
      </c>
      <c r="AH70" s="45" t="n">
        <f aca="false">IF(AD70=0,0,AE70/AD70-1)</f>
        <v>-0.0788326156368996</v>
      </c>
      <c r="AI70" s="46" t="n">
        <f aca="false">Parameters!$E$7*IF($N70="V",Parameters!$I$7,IF($N70="F",Parameters!$J$7,Parameters!$K$7))*(1-Parameters!$L$7*$P70)*IF($D70="V1",Parameters!$M$7,IF($D70="V2",Parameters!$N$7,Parameters!$O$7))*POWER($Q70/Inputs_General!$C$26,-Inputs_General!$C$25)</f>
        <v>0.258501574676089</v>
      </c>
      <c r="AJ70" s="46" t="n">
        <f aca="false">AI70*(1+INDEX(Response_Table!$H$4:$H$21,MATCH($F70&amp;"|mid",Response_Table!$A$4:$A$21,0))*$R70*INDEX(Parameters!$X$7:$AA$7,1,MATCH($E70,Parameters!$X$3:$AA$3,0)))</f>
        <v>0.246209044089904</v>
      </c>
      <c r="AK70" s="46" t="n">
        <f aca="false">MAX(0,MIN(AI70*(1+INDEX(Response_Table!$H$4:$H$21,MATCH($F70&amp;"|low",Response_Table!$A$4:$A$21,0))*$R70*INDEX(Parameters!$X$7:$AA$7,1,MATCH($E70,Parameters!$X$3:$AA$3,0))),AI70*(1+INDEX(Response_Table!$H$4:$H$21,MATCH($F70&amp;"|high",Response_Table!$A$4:$A$21,0))*$R70*INDEX(Parameters!$X$7:$AA$7,1,MATCH($E70,Parameters!$X$3:$AA$3,0))))*(1-Inputs_General!$C$22*Parameters!$F$7))</f>
        <v>0.167955884409204</v>
      </c>
      <c r="AL70" s="46" t="n">
        <f aca="false">MAX(AI70*(1+INDEX(Response_Table!$H$4:$H$21,MATCH($F70&amp;"|low",Response_Table!$A$4:$A$21,0))*$R70*INDEX(Parameters!$X$7:$AA$7,1,MATCH($E70,Parameters!$X$3:$AA$3,0))),AI70*(1+INDEX(Response_Table!$H$4:$H$21,MATCH($F70&amp;"|high",Response_Table!$A$4:$A$21,0))*$R70*INDEX(Parameters!$X$7:$AA$7,1,MATCH($E70,Parameters!$X$3:$AA$3,0))))*(1+Inputs_General!$C$22*Parameters!$F$7)</f>
        <v>0.329573011940121</v>
      </c>
      <c r="AM70" s="45" t="n">
        <f aca="false">IF(AI70=0,0,AJ70/AI70-1)</f>
        <v>-0.0475530201376464</v>
      </c>
      <c r="AN70" s="43" t="n">
        <f aca="false">AI70*$Q70/Inputs_General!$C$13*1000</f>
        <v>5.69967952720096</v>
      </c>
      <c r="AO70" s="43" t="n">
        <f aca="false">AJ70*$Q70/Inputs_General!$C$13*1000*(1+Inputs_General!$C$21*$I70)</f>
        <v>5.46935737100483</v>
      </c>
      <c r="AP70" s="43" t="n">
        <f aca="false">AK70*$Q70/Inputs_General!$C$13*1000*(1+Inputs_General!$C$21*$H70)</f>
        <v>3.71250331388577</v>
      </c>
      <c r="AQ70" s="43" t="n">
        <f aca="false">AL70*$Q70/Inputs_General!$C$13*1000*(1+Inputs_General!$C$21*$J70)</f>
        <v>7.35756177933217</v>
      </c>
      <c r="AR70" s="45" t="n">
        <f aca="false">IF(AN70=0,0,AO70/AN70-1)</f>
        <v>-0.0404096677886787</v>
      </c>
      <c r="AS70" s="42" t="n">
        <f aca="false">Parameters!$E$9*IF($N70="V",Parameters!$I$9,IF($N70="F",Parameters!$J$9,Parameters!$K$9))*(1-Parameters!$L$9*$P70)*IF($D70="V1",Parameters!$M$9,IF($D70="V2",Parameters!$N$9,Parameters!$O$9))</f>
        <v>293.55</v>
      </c>
      <c r="AT70" s="42" t="n">
        <f aca="false">AS70*(1+INDEX(Response_Table!$I$4:$I$21,MATCH($F70&amp;"|mid",Response_Table!$A$4:$A$21,0))*$R70*INDEX(Parameters!$X$9:$AA$9,1,MATCH($E70,Parameters!$X$3:$AA$3,0)))</f>
        <v>302.014598979428</v>
      </c>
      <c r="AU70" s="42" t="n">
        <f aca="false">MAX(0,MIN(AS70*(1+INDEX(Response_Table!$I$4:$I$21,MATCH($F70&amp;"|low",Response_Table!$A$4:$A$21,0))*$R70*INDEX(Parameters!$X$9:$AA$9,1,MATCH($E70,Parameters!$X$3:$AA$3,0))),AS70*(1+INDEX(Response_Table!$I$4:$I$21,MATCH($F70&amp;"|high",Response_Table!$A$4:$A$21,0))*$R70*INDEX(Parameters!$X$9:$AA$9,1,MATCH($E70,Parameters!$X$3:$AA$3,0))))*(1-Inputs_General!$C$22*Parameters!$F$9))</f>
        <v>267.222035352639</v>
      </c>
      <c r="AV70" s="42" t="n">
        <f aca="false">MAX(AS70*(1+INDEX(Response_Table!$I$4:$I$21,MATCH($F70&amp;"|low",Response_Table!$A$4:$A$21,0))*$R70*INDEX(Parameters!$X$9:$AA$9,1,MATCH($E70,Parameters!$X$3:$AA$3,0))),AS70*(1+INDEX(Response_Table!$I$4:$I$21,MATCH($F70&amp;"|high",Response_Table!$A$4:$A$21,0))*$R70*INDEX(Parameters!$X$9:$AA$9,1,MATCH($E70,Parameters!$X$3:$AA$3,0))))*(1+Inputs_General!$C$22*Parameters!$F$9)</f>
        <v>337.431595633991</v>
      </c>
      <c r="AW70" s="45" t="n">
        <f aca="false">IF(AS70=0,0,AT70/AS70-1)</f>
        <v>0.0288352886371248</v>
      </c>
      <c r="AX70" s="43" t="n">
        <f aca="false">INDEX(Context!$AB$4:$AB$51,$K70)</f>
        <v>2.6539155416324</v>
      </c>
      <c r="AY70" s="43" t="n">
        <f aca="false">AX70*(1+INDEX(Response_Table!$J$4:$J$21,MATCH($F70&amp;"|mid",Response_Table!$A$4:$A$21,0))*$R70*INDEX(Parameters!$X$10:$AA$10,1,MATCH($E70,Parameters!$X$3:$AA$3,0)))</f>
        <v>2.58056631476647</v>
      </c>
      <c r="AZ70" s="43" t="n">
        <f aca="false">MAX(0,MIN(AX70*(1+INDEX(Response_Table!$J$4:$J$21,MATCH($F70&amp;"|low",Response_Table!$A$4:$A$21,0))*$R70*INDEX(Parameters!$X$10:$AA$10,1,MATCH($E70,Parameters!$X$3:$AA$3,0))),AX70*(1+INDEX(Response_Table!$J$4:$J$21,MATCH($F70&amp;"|high",Response_Table!$A$4:$A$21,0))*$R70*INDEX(Parameters!$X$10:$AA$10,1,MATCH($E70,Parameters!$X$3:$AA$3,0))))*(1-Inputs_General!$C$22*Parameters!$F$10))</f>
        <v>2.03429843685114</v>
      </c>
      <c r="BA70" s="43" t="n">
        <f aca="false">MAX(AX70*(1+INDEX(Response_Table!$J$4:$J$21,MATCH($F70&amp;"|low",Response_Table!$A$4:$A$21,0))*$R70*INDEX(Parameters!$X$10:$AA$10,1,MATCH($E70,Parameters!$X$3:$AA$3,0))),AX70*(1+INDEX(Response_Table!$J$4:$J$21,MATCH($F70&amp;"|high",Response_Table!$A$4:$A$21,0))*$R70*INDEX(Parameters!$X$10:$AA$10,1,MATCH($E70,Parameters!$X$3:$AA$3,0))))*(1+Inputs_General!$C$22*Parameters!$F$10)</f>
        <v>3.14778747220883</v>
      </c>
      <c r="BB70" s="45" t="n">
        <f aca="false">IF(AX70=0,0,AY70/AX70-1)</f>
        <v>-0.0276381164793286</v>
      </c>
      <c r="BC70" s="46" t="n">
        <f aca="false">Parameters!$E$11*IF($N70="V",Parameters!$I$11,IF($N70="F",Parameters!$J$11,Parameters!$K$11))*(1-Parameters!$L$11*$P70)*IF($D70="V1",Parameters!$M$11,IF($D70="V2",Parameters!$N$11,Parameters!$O$11))</f>
        <v>1.03176111607143</v>
      </c>
      <c r="BD70" s="46" t="n">
        <f aca="false">BC70*(1+INDEX(Response_Table!$K$4:$K$21,MATCH($F70&amp;"|mid",Response_Table!$A$4:$A$21,0))*$R70*INDEX(Parameters!$X$11:$AA$11,1,MATCH($E70,Parameters!$X$3:$AA$3,0)))</f>
        <v>0.979581209981168</v>
      </c>
      <c r="BE70" s="46" t="n">
        <f aca="false">MAX(0,MIN(BC70*(1+INDEX(Response_Table!$K$4:$K$21,MATCH($F70&amp;"|low",Response_Table!$A$4:$A$21,0))*$R70*INDEX(Parameters!$X$11:$AA$11,1,MATCH($E70,Parameters!$X$3:$AA$3,0))),BC70*(1+INDEX(Response_Table!$K$4:$K$21,MATCH($F70&amp;"|high",Response_Table!$A$4:$A$21,0))*$R70*INDEX(Parameters!$X$11:$AA$11,1,MATCH($E70,Parameters!$X$3:$AA$3,0))))*(1-Inputs_General!$C$22*Parameters!$F$11))</f>
        <v>0.791616178136213</v>
      </c>
      <c r="BF70" s="46" t="n">
        <f aca="false">MAX(BC70*(1+INDEX(Response_Table!$K$4:$K$21,MATCH($F70&amp;"|low",Response_Table!$A$4:$A$21,0))*$R70*INDEX(Parameters!$X$11:$AA$11,1,MATCH($E70,Parameters!$X$3:$AA$3,0))),BC70*(1+INDEX(Response_Table!$K$4:$K$21,MATCH($F70&amp;"|high",Response_Table!$A$4:$A$21,0))*$R70*INDEX(Parameters!$X$11:$AA$11,1,MATCH($E70,Parameters!$X$3:$AA$3,0))))*(1+Inputs_General!$C$22*Parameters!$F$11)</f>
        <v>1.18057983015302</v>
      </c>
      <c r="BG70" s="45" t="n">
        <f aca="false">IF(BC70=0,0,BD70/BC70-1)</f>
        <v>-0.0505736311220398</v>
      </c>
      <c r="BH70" s="46" t="n">
        <f aca="false">Parameters!$E$12*IF($N70="V",Parameters!$I$12,IF($N70="F",Parameters!$J$12,Parameters!$K$12))*(1-Parameters!$L$12*$P70)*IF($D70="V1",Parameters!$M$12,IF($D70="V2",Parameters!$N$12,Parameters!$O$12))</f>
        <v>0.384543437142857</v>
      </c>
      <c r="BI70" s="46" t="n">
        <f aca="false">BH70*(1+INDEX(Response_Table!$L$4:$L$21,MATCH($F70&amp;"|mid",Response_Table!$A$4:$A$21,0))*$R70*INDEX(Parameters!$X$12:$AA$12,1,MATCH($E70,Parameters!$X$3:$AA$3,0)))</f>
        <v>0.369070497149565</v>
      </c>
      <c r="BJ70" s="46" t="n">
        <f aca="false">MAX(0,MIN(BH70*(1+INDEX(Response_Table!$L$4:$L$21,MATCH($F70&amp;"|low",Response_Table!$A$4:$A$21,0))*$R70*INDEX(Parameters!$X$12:$AA$12,1,MATCH($E70,Parameters!$X$3:$AA$3,0))),BH70*(1+INDEX(Response_Table!$L$4:$L$21,MATCH($F70&amp;"|high",Response_Table!$A$4:$A$21,0))*$R70*INDEX(Parameters!$X$12:$AA$12,1,MATCH($E70,Parameters!$X$3:$AA$3,0))))*(1-Inputs_General!$C$22*Parameters!$F$12))</f>
        <v>0.288536582077701</v>
      </c>
      <c r="BK70" s="46" t="n">
        <f aca="false">MAX(BH70*(1+INDEX(Response_Table!$L$4:$L$21,MATCH($F70&amp;"|low",Response_Table!$A$4:$A$21,0))*$R70*INDEX(Parameters!$X$12:$AA$12,1,MATCH($E70,Parameters!$X$3:$AA$3,0))),BH70*(1+INDEX(Response_Table!$L$4:$L$21,MATCH($F70&amp;"|high",Response_Table!$A$4:$A$21,0))*$R70*INDEX(Parameters!$X$12:$AA$12,1,MATCH($E70,Parameters!$X$3:$AA$3,0))))*(1+Inputs_General!$C$22*Parameters!$F$12)</f>
        <v>0.454090374164389</v>
      </c>
      <c r="BL70" s="45" t="n">
        <f aca="false">IF(BH70=0,0,BI70/BH70-1)</f>
        <v>-0.0402371708857007</v>
      </c>
      <c r="BM70" s="46" t="n">
        <f aca="false">Parameters!$E$13*IF($N70="V",Parameters!$I$13,IF($N70="F",Parameters!$J$13,Parameters!$K$13))*(1-Parameters!$L$13*$P70)*IF($D70="V1",Parameters!$M$13,IF($D70="V2",Parameters!$N$13,Parameters!$O$13))</f>
        <v>0.270144353571429</v>
      </c>
      <c r="BN70" s="46" t="n">
        <f aca="false">BM70*(1+INDEX(Response_Table!$M$4:$M$21,MATCH($F70&amp;"|mid",Response_Table!$A$4:$A$21,0))*$R70*INDEX(Parameters!$X$13:$AA$13,1,MATCH($E70,Parameters!$X$3:$AA$3,0)))</f>
        <v>0.276111112150472</v>
      </c>
      <c r="BO70" s="46" t="n">
        <f aca="false">MAX(0,MIN(BM70*(1+INDEX(Response_Table!$M$4:$M$21,MATCH($F70&amp;"|low",Response_Table!$A$4:$A$21,0))*$R70*INDEX(Parameters!$X$13:$AA$13,1,MATCH($E70,Parameters!$X$3:$AA$3,0))),BM70*(1+INDEX(Response_Table!$M$4:$M$21,MATCH($F70&amp;"|high",Response_Table!$A$4:$A$21,0))*$R70*INDEX(Parameters!$X$13:$AA$13,1,MATCH($E70,Parameters!$X$3:$AA$3,0))))*(1-Inputs_General!$C$22*Parameters!$F$13))</f>
        <v>0.219172089864602</v>
      </c>
      <c r="BP70" s="46" t="n">
        <f aca="false">MAX(BM70*(1+INDEX(Response_Table!$M$4:$M$21,MATCH($F70&amp;"|low",Response_Table!$A$4:$A$21,0))*$R70*INDEX(Parameters!$X$13:$AA$13,1,MATCH($E70,Parameters!$X$3:$AA$3,0))),BM70*(1+INDEX(Response_Table!$M$4:$M$21,MATCH($F70&amp;"|high",Response_Table!$A$4:$A$21,0))*$R70*INDEX(Parameters!$X$13:$AA$13,1,MATCH($E70,Parameters!$X$3:$AA$3,0))))*(1+Inputs_General!$C$22*Parameters!$F$13)</f>
        <v>0.330817313804167</v>
      </c>
      <c r="BQ70" s="45" t="n">
        <f aca="false">IF(BM70=0,0,BN70/BM70-1)</f>
        <v>0.0220872970327148</v>
      </c>
      <c r="BR70" s="44" t="n">
        <f aca="false">Parameters!$E$14*IF($N70="V",Parameters!$I$14,IF($N70="F",Parameters!$J$14,Parameters!$K$14))*(1-Parameters!$L$14*$P70)*IF($D70="V1",Parameters!$M$14,IF($D70="V2",Parameters!$N$14,Parameters!$O$14))*INDEX(Context!$AC$4:$AC$51,$K70)</f>
        <v>17.25</v>
      </c>
      <c r="BS70" s="44" t="n">
        <f aca="false">BR70*(1+INDEX(Response_Table!$N$4:$N$21,MATCH($F70&amp;"|mid",Response_Table!$A$4:$A$21,0))*$R70*INDEX(Parameters!$X$14:$AA$14,1,MATCH($E70,Parameters!$X$3:$AA$3,0)))</f>
        <v>18.0071903975764</v>
      </c>
      <c r="BT70" s="44" t="n">
        <f aca="false">MAX(0,MIN(BR70*(1+INDEX(Response_Table!$N$4:$N$21,MATCH($F70&amp;"|low",Response_Table!$A$4:$A$21,0))*$R70*INDEX(Parameters!$X$14:$AA$14,1,MATCH($E70,Parameters!$X$3:$AA$3,0))),BR70*(1+INDEX(Response_Table!$N$4:$N$21,MATCH($F70&amp;"|high",Response_Table!$A$4:$A$21,0))*$R70*INDEX(Parameters!$X$14:$AA$14,1,MATCH($E70,Parameters!$X$3:$AA$3,0))))*(1-Inputs_General!$C$22*Parameters!$F$14))</f>
        <v>8.86881774452445</v>
      </c>
      <c r="BU70" s="44" t="n">
        <f aca="false">MAX(BR70*(1+INDEX(Response_Table!$N$4:$N$21,MATCH($F70&amp;"|low",Response_Table!$A$4:$A$21,0))*$R70*INDEX(Parameters!$X$14:$AA$14,1,MATCH($E70,Parameters!$X$3:$AA$3,0))),BR70*(1+INDEX(Response_Table!$N$4:$N$21,MATCH($F70&amp;"|high",Response_Table!$A$4:$A$21,0))*$R70*INDEX(Parameters!$X$14:$AA$14,1,MATCH($E70,Parameters!$X$3:$AA$3,0))))*(1+Inputs_General!$C$22*Parameters!$F$14)</f>
        <v>27.5930421258477</v>
      </c>
      <c r="BV70" s="45" t="n">
        <f aca="false">IF(BR70=0,0,BS70/BR70-1)</f>
        <v>0.0438950955116737</v>
      </c>
      <c r="BW70" s="43" t="n">
        <f aca="false">Parameters!$E$15*IF($N70="V",Parameters!$I$15,IF($N70="F",Parameters!$J$15,Parameters!$K$15))*(1-Parameters!$L$15*$P70)*IF($D70="V1",Parameters!$M$15,IF($D70="V2",Parameters!$N$15,Parameters!$O$15))</f>
        <v>7.73084285714286</v>
      </c>
      <c r="BX70" s="43" t="n">
        <f aca="false">BW70*(1+INDEX(Response_Table!$O$4:$O$21,MATCH($F70&amp;"|mid",Response_Table!$A$4:$A$21,0))*$R70*INDEX(Parameters!$X$15:$AA$15,1,MATCH($E70,Parameters!$X$3:$AA$3,0)))</f>
        <v>7.64600633574285</v>
      </c>
      <c r="BY70" s="43" t="n">
        <f aca="false">MAX(0,MIN(BW70*(1+INDEX(Response_Table!$O$4:$O$21,MATCH($F70&amp;"|low",Response_Table!$A$4:$A$21,0))*$R70*INDEX(Parameters!$X$15:$AA$15,1,MATCH($E70,Parameters!$X$3:$AA$3,0))),BW70*(1+INDEX(Response_Table!$O$4:$O$21,MATCH($F70&amp;"|high",Response_Table!$A$4:$A$21,0))*$R70*INDEX(Parameters!$X$15:$AA$15,1,MATCH($E70,Parameters!$X$3:$AA$3,0))))*(1-Inputs_General!$C$22*Parameters!$F$15))</f>
        <v>6.09457933906757</v>
      </c>
      <c r="BZ70" s="43" t="n">
        <f aca="false">MAX(BW70*(1+INDEX(Response_Table!$O$4:$O$21,MATCH($F70&amp;"|low",Response_Table!$A$4:$A$21,0))*$R70*INDEX(Parameters!$X$15:$AA$15,1,MATCH($E70,Parameters!$X$3:$AA$3,0))),BW70*(1+INDEX(Response_Table!$O$4:$O$21,MATCH($F70&amp;"|high",Response_Table!$A$4:$A$21,0))*$R70*INDEX(Parameters!$X$15:$AA$15,1,MATCH($E70,Parameters!$X$3:$AA$3,0))))*(1+Inputs_General!$C$22*Parameters!$F$15)</f>
        <v>9.22202939538603</v>
      </c>
      <c r="CA70" s="45" t="n">
        <f aca="false">IF(BW70=0,0,BX70/BW70-1)</f>
        <v>-0.0109737738779184</v>
      </c>
      <c r="CB70" s="46" t="n">
        <f aca="false">BD70+BI70</f>
        <v>1.34865170713073</v>
      </c>
      <c r="CC70" s="43" t="n">
        <f aca="false">BD70/BI70</f>
        <v>2.65418454616868</v>
      </c>
      <c r="CD70" s="46" t="n">
        <f aca="false">BN70/CB70</f>
        <v>0.20473122207208</v>
      </c>
      <c r="CE70" s="43" t="n">
        <f aca="false">AE70/AO70</f>
        <v>2.48105047030831</v>
      </c>
      <c r="CF70" s="44" t="n">
        <f aca="false">AE70/AJ70</f>
        <v>55.1147571681435</v>
      </c>
      <c r="CG70" s="44" t="n">
        <f aca="false">INDEX(Context!$V$4:$V$51,$K70)</f>
        <v>32.7871428571429</v>
      </c>
      <c r="CH70" s="44" t="n">
        <f aca="false">INDEX(Context!$Y$4:$Y$51,$K70)</f>
        <v>28.36912210206</v>
      </c>
      <c r="CI70" s="44" t="n">
        <f aca="false">INDEX(Context!$Z$4:$Z$51,$K70)</f>
        <v>36.7871428571429</v>
      </c>
      <c r="CJ70" s="43" t="n">
        <f aca="false">INDEX(Context!$AA$4:$AA$51,$K70)</f>
        <v>0.347678571428571</v>
      </c>
      <c r="CK70" s="43" t="n">
        <f aca="false">MAX(0,MIN(1,1-(1-CJ70)*AO70/AN70))</f>
        <v>0.374038663648579</v>
      </c>
      <c r="CL70" s="44" t="n">
        <f aca="false">CH70+CK70*(CI70-CH70)</f>
        <v>31.5177873358572</v>
      </c>
      <c r="CM70" s="44" t="n">
        <f aca="false">CH70+MAX(0,MIN(1,1-(1-CJ70)*AQ70/AN70))*(CI70-CH70)</f>
        <v>29.6986302302926</v>
      </c>
      <c r="CN70" s="44" t="n">
        <f aca="false">CH70+MAX(0,MIN(1,1-(1-CJ70)*AP70/AN70))*(CI70-CH70)</f>
        <v>33.2103972711763</v>
      </c>
      <c r="CO70" s="44" t="n">
        <f aca="false">CL70-CG70</f>
        <v>-1.26935552128564</v>
      </c>
      <c r="CP70" s="44" t="n">
        <f aca="false">CL70-(CH70+CJ70*(CI70-CH70))</f>
        <v>0.221899803413923</v>
      </c>
      <c r="CQ70" s="46" t="n">
        <f aca="false">CL70/CG70</f>
        <v>0.961284960790382</v>
      </c>
      <c r="CR70" s="43" t="n">
        <f aca="false">IF(CL70-CH70&lt;=0,"n/a",(CI70-CL70)/(CL70-CH70))</f>
        <v>1.67352040627418</v>
      </c>
      <c r="CS70" s="43" t="n">
        <f aca="false">IF(CI70-CL70&lt;=0,"n/a",(CL70-CH70)/(CI70-CL70))</f>
        <v>0.597542758517262</v>
      </c>
      <c r="CT70" s="43" t="n">
        <f aca="false">Inputs_General!$C$23+Inputs_General!$C$24*$I70</f>
        <v>0.66</v>
      </c>
      <c r="CU70" s="44" t="n">
        <f aca="false">3.29*CT70</f>
        <v>2.1714</v>
      </c>
    </row>
    <row r="71" customFormat="false" ht="15" hidden="false" customHeight="false" outlineLevel="0" collapsed="false">
      <c r="A71" s="9" t="str">
        <f aca="false">B71&amp;"|"&amp;E71&amp;"|"&amp;F71</f>
        <v>D1V3|13/03/2026|Low</v>
      </c>
      <c r="B71" s="7" t="s">
        <v>345</v>
      </c>
      <c r="C71" s="9" t="s">
        <v>127</v>
      </c>
      <c r="D71" s="9" t="s">
        <v>150</v>
      </c>
      <c r="E71" s="9" t="s">
        <v>164</v>
      </c>
      <c r="F71" s="7" t="s">
        <v>279</v>
      </c>
      <c r="G71" s="9" t="s">
        <v>280</v>
      </c>
      <c r="H71" s="41" t="n">
        <f aca="false">INDEX(Severity_Classes!$C$4:$C$9,MATCH(F71,Severity_Classes!$A$4:$A$9,0))</f>
        <v>0.06</v>
      </c>
      <c r="I71" s="41" t="n">
        <f aca="false">INDEX(Severity_Classes!$D$4:$D$9,MATCH(F71,Severity_Classes!$A$4:$A$9,0))</f>
        <v>0.08</v>
      </c>
      <c r="J71" s="41" t="n">
        <f aca="false">INDEX(Severity_Classes!$E$4:$E$9,MATCH(F71,Severity_Classes!$A$4:$A$9,0))</f>
        <v>0.1</v>
      </c>
      <c r="K71" s="42" t="n">
        <f aca="false">MATCH(B71&amp;"|"&amp;E71,Context!$A$4:$A$51,0)</f>
        <v>12</v>
      </c>
      <c r="L71" s="42" t="n">
        <f aca="false">INDEX(Context!$H$4:$H$51,K71)</f>
        <v>94</v>
      </c>
      <c r="M71" s="42" t="n">
        <f aca="false">INDEX(Context!$I$4:$I$51,K71)</f>
        <v>36</v>
      </c>
      <c r="N71" s="9" t="str">
        <f aca="false">INDEX(Context!$L$4:$L$51,K71)</f>
        <v>P</v>
      </c>
      <c r="O71" s="9" t="str">
        <f aca="false">INDEX(Context!$M$4:$M$51,K71)</f>
        <v>5th fully expanded leaf from top</v>
      </c>
      <c r="P71" s="43" t="n">
        <f aca="false">INDEX(Context!$R$4:$R$51,K71)</f>
        <v>0.953571428571428</v>
      </c>
      <c r="Q71" s="43" t="n">
        <f aca="false">INDEX(Context!$U$4:$U$51,K71)</f>
        <v>2.18945736698217</v>
      </c>
      <c r="R71" s="43" t="n">
        <f aca="false">INDEX(Context!$AD$4:$AD$51,K71)</f>
        <v>0.85</v>
      </c>
      <c r="S71" s="9" t="str">
        <f aca="false">INDEX(Context!$AI$4:$AN$51,K71,MATCH(F71,Severity_Classes!$A$4:$A$9,0))</f>
        <v>Likely</v>
      </c>
      <c r="T71" s="44" t="n">
        <f aca="false">Parameters!$E$4*IF($N71="V",Parameters!$I$4,IF($N71="F",Parameters!$J$4,Parameters!$K$4))*(1-Parameters!$L$4*$P71)*IF($D71="V1",Parameters!$M$4,IF($D71="V2",Parameters!$N$4,Parameters!$O$4))</f>
        <v>77.8046607142857</v>
      </c>
      <c r="U71" s="44" t="n">
        <f aca="false">MIN(100,T71*(1+INDEX(Response_Table!$E$4:$E$21,MATCH($F71&amp;"|mid",Response_Table!$A$4:$A$21,0))*$R71*INDEX(Parameters!$X$4:$AA$4,1,MATCH($E71,Parameters!$X$3:$AA$3,0))))</f>
        <v>76.8841668897645</v>
      </c>
      <c r="V71" s="44" t="n">
        <f aca="false">MAX(0,MIN(T71*(1+INDEX(Response_Table!$E$4:$E$21,MATCH($F71&amp;"|low",Response_Table!$A$4:$A$21,0))*$R71*INDEX(Parameters!$X$4:$AA$4,1,MATCH($E71,Parameters!$X$3:$AA$3,0))),T71*(1+INDEX(Response_Table!$E$4:$E$21,MATCH($F71&amp;"|high",Response_Table!$A$4:$A$21,0))*$R71*INDEX(Parameters!$X$4:$AA$4,1,MATCH($E71,Parameters!$X$3:$AA$3,0))))*(1-Inputs_General!$C$22*Parameters!$F$4))</f>
        <v>71.524741032591</v>
      </c>
      <c r="W71" s="44" t="n">
        <f aca="false">MIN(100,MAX(T71*(1+INDEX(Response_Table!$E$4:$E$21,MATCH($F71&amp;"|low",Response_Table!$A$4:$A$21,0))*$R71*INDEX(Parameters!$X$4:$AA$4,1,MATCH($E71,Parameters!$X$3:$AA$3,0))),T71*(1+INDEX(Response_Table!$E$4:$E$21,MATCH($F71&amp;"|high",Response_Table!$A$4:$A$21,0))*$R71*INDEX(Parameters!$X$4:$AA$4,1,MATCH($E71,Parameters!$X$3:$AA$3,0))))*(1+Inputs_General!$C$22*Parameters!$F$4))</f>
        <v>82.2426971382136</v>
      </c>
      <c r="X71" s="45" t="n">
        <f aca="false">IF(T71=0,0,U71/T71-1)</f>
        <v>-0.0118308314189739</v>
      </c>
      <c r="Y71" s="44" t="n">
        <f aca="false">Parameters!$E$5*IF($N71="V",Parameters!$I$5,IF($N71="F",Parameters!$J$5,Parameters!$K$5))*(1-Parameters!$L$5*$P71)*IF($D71="V1",Parameters!$M$5,IF($D71="V2",Parameters!$N$5,Parameters!$O$5))</f>
        <v>58.6602514285714</v>
      </c>
      <c r="Z71" s="44" t="n">
        <f aca="false">MIN(100,Y71*(1+INDEX(Response_Table!$F$4:$F$21,MATCH($F71&amp;"|mid",Response_Table!$A$4:$A$21,0))*$R71*INDEX(Parameters!$X$5:$AA$5,1,MATCH($E71,Parameters!$X$3:$AA$3,0))))</f>
        <v>56.3691726566768</v>
      </c>
      <c r="AA71" s="44" t="n">
        <f aca="false">MAX(0,MIN(Y71*(1+INDEX(Response_Table!$F$4:$F$21,MATCH($F71&amp;"|low",Response_Table!$A$4:$A$21,0))*$R71*INDEX(Parameters!$X$5:$AA$5,1,MATCH($E71,Parameters!$X$3:$AA$3,0))),Y71*(1+INDEX(Response_Table!$F$4:$F$21,MATCH($F71&amp;"|high",Response_Table!$A$4:$A$21,0))*$R71*INDEX(Parameters!$X$5:$AA$5,1,MATCH($E71,Parameters!$X$3:$AA$3,0))))*(1-Inputs_General!$C$22*Parameters!$F$5))</f>
        <v>49.1362677854468</v>
      </c>
      <c r="AB71" s="44" t="n">
        <f aca="false">MIN(100,MAX(Y71*(1+INDEX(Response_Table!$F$4:$F$21,MATCH($F71&amp;"|low",Response_Table!$A$4:$A$21,0))*$R71*INDEX(Parameters!$X$5:$AA$5,1,MATCH($E71,Parameters!$X$3:$AA$3,0))),Y71*(1+INDEX(Response_Table!$F$4:$F$21,MATCH($F71&amp;"|high",Response_Table!$A$4:$A$21,0))*$R71*INDEX(Parameters!$X$5:$AA$5,1,MATCH($E71,Parameters!$X$3:$AA$3,0))))*(1+Inputs_General!$C$22*Parameters!$F$5))</f>
        <v>63.6632496570772</v>
      </c>
      <c r="AC71" s="45" t="n">
        <f aca="false">IF(Y71=0,0,Z71/Y71-1)</f>
        <v>-0.0390567499473533</v>
      </c>
      <c r="AD71" s="44" t="n">
        <f aca="false">Parameters!$E$6*IF($N71="V",Parameters!$I$6,IF($N71="F",Parameters!$J$6,Parameters!$K$6))*(1-Parameters!$L$6*$P71)*IF($D71="V1",Parameters!$M$6,IF($D71="V2",Parameters!$N$6,Parameters!$O$6))</f>
        <v>14.7310379285714</v>
      </c>
      <c r="AE71" s="44" t="n">
        <f aca="false">AD71*(1+INDEX(Response_Table!$G$4:$G$21,MATCH($F71&amp;"|mid",Response_Table!$A$4:$A$21,0))*$R71*INDEX(Parameters!$X$6:$AA$6,1,MATCH($E71,Parameters!$X$3:$AA$3,0)))</f>
        <v>11.9445306705251</v>
      </c>
      <c r="AF71" s="44" t="n">
        <f aca="false">MAX(0,MIN(AD71*(1+INDEX(Response_Table!$G$4:$G$21,MATCH($F71&amp;"|low",Response_Table!$A$4:$A$21,0))*$R71*INDEX(Parameters!$X$6:$AA$6,1,MATCH($E71,Parameters!$X$3:$AA$3,0))),AD71*(1+INDEX(Response_Table!$G$4:$G$21,MATCH($F71&amp;"|high",Response_Table!$A$4:$A$21,0))*$R71*INDEX(Parameters!$X$6:$AA$6,1,MATCH($E71,Parameters!$X$3:$AA$3,0))))*(1-Inputs_General!$C$22*Parameters!$F$6))</f>
        <v>9.14014596627413</v>
      </c>
      <c r="AG71" s="44" t="n">
        <f aca="false">MAX(AD71*(1+INDEX(Response_Table!$G$4:$G$21,MATCH($F71&amp;"|low",Response_Table!$A$4:$A$21,0))*$R71*INDEX(Parameters!$X$6:$AA$6,1,MATCH($E71,Parameters!$X$3:$AA$3,0))),AD71*(1+INDEX(Response_Table!$G$4:$G$21,MATCH($F71&amp;"|high",Response_Table!$A$4:$A$21,0))*$R71*INDEX(Parameters!$X$6:$AA$6,1,MATCH($E71,Parameters!$X$3:$AA$3,0))))*(1+Inputs_General!$C$22*Parameters!$F$6)</f>
        <v>15.0298473354425</v>
      </c>
      <c r="AH71" s="45" t="n">
        <f aca="false">IF(AD71=0,0,AE71/AD71-1)</f>
        <v>-0.189158922240083</v>
      </c>
      <c r="AI71" s="46" t="n">
        <f aca="false">Parameters!$E$7*IF($N71="V",Parameters!$I$7,IF($N71="F",Parameters!$J$7,Parameters!$K$7))*(1-Parameters!$L$7*$P71)*IF($D71="V1",Parameters!$M$7,IF($D71="V2",Parameters!$N$7,Parameters!$O$7))*POWER($Q71/Inputs_General!$C$26,-Inputs_General!$C$25)</f>
        <v>0.258501574676089</v>
      </c>
      <c r="AJ71" s="46" t="n">
        <f aca="false">AI71*(1+INDEX(Response_Table!$H$4:$H$21,MATCH($F71&amp;"|mid",Response_Table!$A$4:$A$21,0))*$R71*INDEX(Parameters!$X$7:$AA$7,1,MATCH($E71,Parameters!$X$3:$AA$3,0)))</f>
        <v>0.228027313442858</v>
      </c>
      <c r="AK71" s="46" t="n">
        <f aca="false">MAX(0,MIN(AI71*(1+INDEX(Response_Table!$H$4:$H$21,MATCH($F71&amp;"|low",Response_Table!$A$4:$A$21,0))*$R71*INDEX(Parameters!$X$7:$AA$7,1,MATCH($E71,Parameters!$X$3:$AA$3,0))),AI71*(1+INDEX(Response_Table!$H$4:$H$21,MATCH($F71&amp;"|high",Response_Table!$A$4:$A$21,0))*$R71*INDEX(Parameters!$X$7:$AA$7,1,MATCH($E71,Parameters!$X$3:$AA$3,0))))*(1-Inputs_General!$C$22*Parameters!$F$7))</f>
        <v>0.155903068705983</v>
      </c>
      <c r="AL71" s="46" t="n">
        <f aca="false">MAX(AI71*(1+INDEX(Response_Table!$H$4:$H$21,MATCH($F71&amp;"|low",Response_Table!$A$4:$A$21,0))*$R71*INDEX(Parameters!$X$7:$AA$7,1,MATCH($E71,Parameters!$X$3:$AA$3,0))),AI71*(1+INDEX(Response_Table!$H$4:$H$21,MATCH($F71&amp;"|high",Response_Table!$A$4:$A$21,0))*$R71*INDEX(Parameters!$X$7:$AA$7,1,MATCH($E71,Parameters!$X$3:$AA$3,0))))*(1+Inputs_General!$C$22*Parameters!$F$7)</f>
        <v>0.304550471537214</v>
      </c>
      <c r="AM71" s="45" t="n">
        <f aca="false">IF(AI71=0,0,AJ71/AI71-1)</f>
        <v>-0.117888106760729</v>
      </c>
      <c r="AN71" s="43" t="n">
        <f aca="false">AI71*$Q71/Inputs_General!$C$13*1000</f>
        <v>5.69967952720096</v>
      </c>
      <c r="AO71" s="43" t="n">
        <f aca="false">AJ71*$Q71/Inputs_General!$C$13*1000*(1+Inputs_General!$C$21*$I71)</f>
        <v>5.12831020056827</v>
      </c>
      <c r="AP71" s="43" t="n">
        <f aca="false">AK71*$Q71/Inputs_General!$C$13*1000*(1+Inputs_General!$C$21*$H71)</f>
        <v>3.48905608406993</v>
      </c>
      <c r="AQ71" s="43" t="n">
        <f aca="false">AL71*$Q71/Inputs_General!$C$13*1000*(1+Inputs_General!$C$21*$J71)</f>
        <v>6.88288298452339</v>
      </c>
      <c r="AR71" s="45" t="n">
        <f aca="false">IF(AN71=0,0,AO71/AN71-1)</f>
        <v>-0.100245868895944</v>
      </c>
      <c r="AS71" s="42" t="n">
        <f aca="false">Parameters!$E$9*IF($N71="V",Parameters!$I$9,IF($N71="F",Parameters!$J$9,Parameters!$K$9))*(1-Parameters!$L$9*$P71)*IF($D71="V1",Parameters!$M$9,IF($D71="V2",Parameters!$N$9,Parameters!$O$9))</f>
        <v>293.55</v>
      </c>
      <c r="AT71" s="42" t="n">
        <f aca="false">AS71*(1+INDEX(Response_Table!$I$4:$I$21,MATCH($F71&amp;"|mid",Response_Table!$A$4:$A$21,0))*$R71*INDEX(Parameters!$X$9:$AA$9,1,MATCH($E71,Parameters!$X$3:$AA$3,0)))</f>
        <v>314.04918229259</v>
      </c>
      <c r="AU71" s="42" t="n">
        <f aca="false">MAX(0,MIN(AS71*(1+INDEX(Response_Table!$I$4:$I$21,MATCH($F71&amp;"|low",Response_Table!$A$4:$A$21,0))*$R71*INDEX(Parameters!$X$9:$AA$9,1,MATCH($E71,Parameters!$X$3:$AA$3,0))),AS71*(1+INDEX(Response_Table!$I$4:$I$21,MATCH($F71&amp;"|high",Response_Table!$A$4:$A$21,0))*$R71*INDEX(Parameters!$X$9:$AA$9,1,MATCH($E71,Parameters!$X$3:$AA$3,0))))*(1-Inputs_General!$C$22*Parameters!$F$9))</f>
        <v>278.972200954852</v>
      </c>
      <c r="AV71" s="42" t="n">
        <f aca="false">MAX(AS71*(1+INDEX(Response_Table!$I$4:$I$21,MATCH($F71&amp;"|low",Response_Table!$A$4:$A$21,0))*$R71*INDEX(Parameters!$X$9:$AA$9,1,MATCH($E71,Parameters!$X$3:$AA$3,0))),AS71*(1+INDEX(Response_Table!$I$4:$I$21,MATCH($F71&amp;"|high",Response_Table!$A$4:$A$21,0))*$R71*INDEX(Parameters!$X$9:$AA$9,1,MATCH($E71,Parameters!$X$3:$AA$3,0))))*(1+Inputs_General!$C$22*Parameters!$F$9)</f>
        <v>349.637406153404</v>
      </c>
      <c r="AW71" s="45" t="n">
        <f aca="false">IF(AS71=0,0,AT71/AS71-1)</f>
        <v>0.0698319955462088</v>
      </c>
      <c r="AX71" s="43" t="n">
        <f aca="false">INDEX(Context!$AB$4:$AB$51,$K71)</f>
        <v>2.6539155416324</v>
      </c>
      <c r="AY71" s="43" t="n">
        <f aca="false">AX71*(1+INDEX(Response_Table!$J$4:$J$21,MATCH($F71&amp;"|mid",Response_Table!$A$4:$A$21,0))*$R71*INDEX(Parameters!$X$10:$AA$10,1,MATCH($E71,Parameters!$X$3:$AA$3,0)))</f>
        <v>2.46990501523533</v>
      </c>
      <c r="AZ71" s="43" t="n">
        <f aca="false">MAX(0,MIN(AX71*(1+INDEX(Response_Table!$J$4:$J$21,MATCH($F71&amp;"|low",Response_Table!$A$4:$A$21,0))*$R71*INDEX(Parameters!$X$10:$AA$10,1,MATCH($E71,Parameters!$X$3:$AA$3,0))),AX71*(1+INDEX(Response_Table!$J$4:$J$21,MATCH($F71&amp;"|high",Response_Table!$A$4:$A$21,0))*$R71*INDEX(Parameters!$X$10:$AA$10,1,MATCH($E71,Parameters!$X$3:$AA$3,0))))*(1-Inputs_General!$C$22*Parameters!$F$10))</f>
        <v>1.94981332229804</v>
      </c>
      <c r="BA71" s="43" t="n">
        <f aca="false">MAX(AX71*(1+INDEX(Response_Table!$J$4:$J$21,MATCH($F71&amp;"|low",Response_Table!$A$4:$A$21,0))*$R71*INDEX(Parameters!$X$10:$AA$10,1,MATCH($E71,Parameters!$X$3:$AA$3,0))),AX71*(1+INDEX(Response_Table!$J$4:$J$21,MATCH($F71&amp;"|high",Response_Table!$A$4:$A$21,0))*$R71*INDEX(Parameters!$X$10:$AA$10,1,MATCH($E71,Parameters!$X$3:$AA$3,0))))*(1+Inputs_General!$C$22*Parameters!$F$10)</f>
        <v>3.00848791245421</v>
      </c>
      <c r="BB71" s="45" t="n">
        <f aca="false">IF(AX71=0,0,AY71/AX71-1)</f>
        <v>-0.069335486947672</v>
      </c>
      <c r="BC71" s="46" t="n">
        <f aca="false">Parameters!$E$11*IF($N71="V",Parameters!$I$11,IF($N71="F",Parameters!$J$11,Parameters!$K$11))*(1-Parameters!$L$11*$P71)*IF($D71="V1",Parameters!$M$11,IF($D71="V2",Parameters!$N$11,Parameters!$O$11))</f>
        <v>1.03176111607143</v>
      </c>
      <c r="BD71" s="46" t="n">
        <f aca="false">BC71*(1+INDEX(Response_Table!$K$4:$K$21,MATCH($F71&amp;"|mid",Response_Table!$A$4:$A$21,0))*$R71*INDEX(Parameters!$X$11:$AA$11,1,MATCH($E71,Parameters!$X$3:$AA$3,0)))</f>
        <v>0.903011193341614</v>
      </c>
      <c r="BE71" s="46" t="n">
        <f aca="false">MAX(0,MIN(BC71*(1+INDEX(Response_Table!$K$4:$K$21,MATCH($F71&amp;"|low",Response_Table!$A$4:$A$21,0))*$R71*INDEX(Parameters!$X$11:$AA$11,1,MATCH($E71,Parameters!$X$3:$AA$3,0))),BC71*(1+INDEX(Response_Table!$K$4:$K$21,MATCH($F71&amp;"|high",Response_Table!$A$4:$A$21,0))*$R71*INDEX(Parameters!$X$11:$AA$11,1,MATCH($E71,Parameters!$X$3:$AA$3,0))))*(1-Inputs_General!$C$22*Parameters!$F$11))</f>
        <v>0.731608012824588</v>
      </c>
      <c r="BF71" s="46" t="n">
        <f aca="false">MAX(BC71*(1+INDEX(Response_Table!$K$4:$K$21,MATCH($F71&amp;"|low",Response_Table!$A$4:$A$21,0))*$R71*INDEX(Parameters!$X$11:$AA$11,1,MATCH($E71,Parameters!$X$3:$AA$3,0))),BC71*(1+INDEX(Response_Table!$K$4:$K$21,MATCH($F71&amp;"|high",Response_Table!$A$4:$A$21,0))*$R71*INDEX(Parameters!$X$11:$AA$11,1,MATCH($E71,Parameters!$X$3:$AA$3,0))))*(1+Inputs_General!$C$22*Parameters!$F$11)</f>
        <v>1.08552086519935</v>
      </c>
      <c r="BG71" s="45" t="n">
        <f aca="false">IF(BC71=0,0,BD71/BC71-1)</f>
        <v>-0.124786562242283</v>
      </c>
      <c r="BH71" s="46" t="n">
        <f aca="false">Parameters!$E$12*IF($N71="V",Parameters!$I$12,IF($N71="F",Parameters!$J$12,Parameters!$K$12))*(1-Parameters!$L$12*$P71)*IF($D71="V1",Parameters!$M$12,IF($D71="V2",Parameters!$N$12,Parameters!$O$12))</f>
        <v>0.384543437142857</v>
      </c>
      <c r="BI71" s="46" t="n">
        <f aca="false">BH71*(1+INDEX(Response_Table!$L$4:$L$21,MATCH($F71&amp;"|mid",Response_Table!$A$4:$A$21,0))*$R71*INDEX(Parameters!$X$12:$AA$12,1,MATCH($E71,Parameters!$X$3:$AA$3,0)))</f>
        <v>0.346184662104981</v>
      </c>
      <c r="BJ71" s="46" t="n">
        <f aca="false">MAX(0,MIN(BH71*(1+INDEX(Response_Table!$L$4:$L$21,MATCH($F71&amp;"|low",Response_Table!$A$4:$A$21,0))*$R71*INDEX(Parameters!$X$12:$AA$12,1,MATCH($E71,Parameters!$X$3:$AA$3,0))),BH71*(1+INDEX(Response_Table!$L$4:$L$21,MATCH($F71&amp;"|high",Response_Table!$A$4:$A$21,0))*$R71*INDEX(Parameters!$X$12:$AA$12,1,MATCH($E71,Parameters!$X$3:$AA$3,0))))*(1-Inputs_General!$C$22*Parameters!$F$12))</f>
        <v>0.271238089888349</v>
      </c>
      <c r="BK71" s="46" t="n">
        <f aca="false">MAX(BH71*(1+INDEX(Response_Table!$L$4:$L$21,MATCH($F71&amp;"|low",Response_Table!$A$4:$A$21,0))*$R71*INDEX(Parameters!$X$12:$AA$12,1,MATCH($E71,Parameters!$X$3:$AA$3,0))),BH71*(1+INDEX(Response_Table!$L$4:$L$21,MATCH($F71&amp;"|high",Response_Table!$A$4:$A$21,0))*$R71*INDEX(Parameters!$X$12:$AA$12,1,MATCH($E71,Parameters!$X$3:$AA$3,0))))*(1+Inputs_General!$C$22*Parameters!$F$12)</f>
        <v>0.424992337547858</v>
      </c>
      <c r="BL71" s="45" t="n">
        <f aca="false">IF(BH71=0,0,BI71/BH71-1)</f>
        <v>-0.0997514749513864</v>
      </c>
      <c r="BM71" s="46" t="n">
        <f aca="false">Parameters!$E$13*IF($N71="V",Parameters!$I$13,IF($N71="F",Parameters!$J$13,Parameters!$K$13))*(1-Parameters!$L$13*$P71)*IF($D71="V1",Parameters!$M$13,IF($D71="V2",Parameters!$N$13,Parameters!$O$13))</f>
        <v>0.270144353571429</v>
      </c>
      <c r="BN71" s="46" t="n">
        <f aca="false">BM71*(1+INDEX(Response_Table!$M$4:$M$21,MATCH($F71&amp;"|mid",Response_Table!$A$4:$A$21,0))*$R71*INDEX(Parameters!$X$13:$AA$13,1,MATCH($E71,Parameters!$X$3:$AA$3,0)))</f>
        <v>0.272983262848677</v>
      </c>
      <c r="BO71" s="46" t="n">
        <f aca="false">MAX(0,MIN(BM71*(1+INDEX(Response_Table!$M$4:$M$21,MATCH($F71&amp;"|low",Response_Table!$A$4:$A$21,0))*$R71*INDEX(Parameters!$X$13:$AA$13,1,MATCH($E71,Parameters!$X$3:$AA$3,0))),BM71*(1+INDEX(Response_Table!$M$4:$M$21,MATCH($F71&amp;"|high",Response_Table!$A$4:$A$21,0))*$R71*INDEX(Parameters!$X$13:$AA$13,1,MATCH($E71,Parameters!$X$3:$AA$3,0))))*(1-Inputs_General!$C$22*Parameters!$F$13))</f>
        <v>0.216140995109576</v>
      </c>
      <c r="BP71" s="46" t="n">
        <f aca="false">MAX(BM71*(1+INDEX(Response_Table!$M$4:$M$21,MATCH($F71&amp;"|low",Response_Table!$A$4:$A$21,0))*$R71*INDEX(Parameters!$X$13:$AA$13,1,MATCH($E71,Parameters!$X$3:$AA$3,0))),BM71*(1+INDEX(Response_Table!$M$4:$M$21,MATCH($F71&amp;"|high",Response_Table!$A$4:$A$21,0))*$R71*INDEX(Parameters!$X$13:$AA$13,1,MATCH($E71,Parameters!$X$3:$AA$3,0))))*(1+Inputs_General!$C$22*Parameters!$F$13)</f>
        <v>0.329964504088588</v>
      </c>
      <c r="BQ71" s="45" t="n">
        <f aca="false">IF(BM71=0,0,BN71/BM71-1)</f>
        <v>0.0105088603175196</v>
      </c>
      <c r="BR71" s="44" t="n">
        <f aca="false">Parameters!$E$14*IF($N71="V",Parameters!$I$14,IF($N71="F",Parameters!$J$14,Parameters!$K$14))*(1-Parameters!$L$14*$P71)*IF($D71="V1",Parameters!$M$14,IF($D71="V2",Parameters!$N$14,Parameters!$O$14))*INDEX(Context!$AC$4:$AC$51,$K71)</f>
        <v>17.25</v>
      </c>
      <c r="BS71" s="44" t="n">
        <f aca="false">BR71*(1+INDEX(Response_Table!$N$4:$N$21,MATCH($F71&amp;"|mid",Response_Table!$A$4:$A$21,0))*$R71*INDEX(Parameters!$X$14:$AA$14,1,MATCH($E71,Parameters!$X$3:$AA$3,0)))</f>
        <v>19.127141392267</v>
      </c>
      <c r="BT71" s="44" t="n">
        <f aca="false">MAX(0,MIN(BR71*(1+INDEX(Response_Table!$N$4:$N$21,MATCH($F71&amp;"|low",Response_Table!$A$4:$A$21,0))*$R71*INDEX(Parameters!$X$14:$AA$14,1,MATCH($E71,Parameters!$X$3:$AA$3,0))),BR71*(1+INDEX(Response_Table!$N$4:$N$21,MATCH($F71&amp;"|high",Response_Table!$A$4:$A$21,0))*$R71*INDEX(Parameters!$X$14:$AA$14,1,MATCH($E71,Parameters!$X$3:$AA$3,0))))*(1-Inputs_General!$C$22*Parameters!$F$14))</f>
        <v>9.47115002460288</v>
      </c>
      <c r="BU71" s="44" t="n">
        <f aca="false">MAX(BR71*(1+INDEX(Response_Table!$N$4:$N$21,MATCH($F71&amp;"|low",Response_Table!$A$4:$A$21,0))*$R71*INDEX(Parameters!$X$14:$AA$14,1,MATCH($E71,Parameters!$X$3:$AA$3,0))),BR71*(1+INDEX(Response_Table!$N$4:$N$21,MATCH($F71&amp;"|high",Response_Table!$A$4:$A$21,0))*$R71*INDEX(Parameters!$X$14:$AA$14,1,MATCH($E71,Parameters!$X$3:$AA$3,0))))*(1+Inputs_General!$C$22*Parameters!$F$14)</f>
        <v>29.1682815692558</v>
      </c>
      <c r="BV71" s="45" t="n">
        <f aca="false">IF(BR71=0,0,BS71/BR71-1)</f>
        <v>0.108819790856058</v>
      </c>
      <c r="BW71" s="43" t="n">
        <f aca="false">Parameters!$E$15*IF($N71="V",Parameters!$I$15,IF($N71="F",Parameters!$J$15,Parameters!$K$15))*(1-Parameters!$L$15*$P71)*IF($D71="V1",Parameters!$M$15,IF($D71="V2",Parameters!$N$15,Parameters!$O$15))</f>
        <v>7.73084285714286</v>
      </c>
      <c r="BX71" s="43" t="n">
        <f aca="false">BW71*(1+INDEX(Response_Table!$O$4:$O$21,MATCH($F71&amp;"|mid",Response_Table!$A$4:$A$21,0))*$R71*INDEX(Parameters!$X$15:$AA$15,1,MATCH($E71,Parameters!$X$3:$AA$3,0)))</f>
        <v>7.52052568142902</v>
      </c>
      <c r="BY71" s="43" t="n">
        <f aca="false">MAX(0,MIN(BW71*(1+INDEX(Response_Table!$O$4:$O$21,MATCH($F71&amp;"|low",Response_Table!$A$4:$A$21,0))*$R71*INDEX(Parameters!$X$15:$AA$15,1,MATCH($E71,Parameters!$X$3:$AA$3,0))),BW71*(1+INDEX(Response_Table!$O$4:$O$21,MATCH($F71&amp;"|high",Response_Table!$A$4:$A$21,0))*$R71*INDEX(Parameters!$X$15:$AA$15,1,MATCH($E71,Parameters!$X$3:$AA$3,0))))*(1-Inputs_General!$C$22*Parameters!$F$15))</f>
        <v>5.9997335047629</v>
      </c>
      <c r="BZ71" s="43" t="n">
        <f aca="false">MAX(BW71*(1+INDEX(Response_Table!$O$4:$O$21,MATCH($F71&amp;"|low",Response_Table!$A$4:$A$21,0))*$R71*INDEX(Parameters!$X$15:$AA$15,1,MATCH($E71,Parameters!$X$3:$AA$3,0))),BW71*(1+INDEX(Response_Table!$O$4:$O$21,MATCH($F71&amp;"|high",Response_Table!$A$4:$A$21,0))*$R71*INDEX(Parameters!$X$15:$AA$15,1,MATCH($E71,Parameters!$X$3:$AA$3,0))))*(1+Inputs_General!$C$22*Parameters!$F$15)</f>
        <v>9.06248788568026</v>
      </c>
      <c r="CA71" s="45" t="n">
        <f aca="false">IF(BW71=0,0,BX71/BW71-1)</f>
        <v>-0.0272049477140144</v>
      </c>
      <c r="CB71" s="46" t="n">
        <f aca="false">BD71+BI71</f>
        <v>1.2491958554466</v>
      </c>
      <c r="CC71" s="43" t="n">
        <f aca="false">BD71/BI71</f>
        <v>2.60846678720784</v>
      </c>
      <c r="CD71" s="46" t="n">
        <f aca="false">BN71/CB71</f>
        <v>0.21852719224007</v>
      </c>
      <c r="CE71" s="43" t="n">
        <f aca="false">AE71/AO71</f>
        <v>2.32913575883173</v>
      </c>
      <c r="CF71" s="44" t="n">
        <f aca="false">AE71/AJ71</f>
        <v>52.3820172688142</v>
      </c>
      <c r="CG71" s="44" t="n">
        <f aca="false">INDEX(Context!$V$4:$V$51,$K71)</f>
        <v>32.7871428571429</v>
      </c>
      <c r="CH71" s="44" t="n">
        <f aca="false">INDEX(Context!$Y$4:$Y$51,$K71)</f>
        <v>28.36912210206</v>
      </c>
      <c r="CI71" s="44" t="n">
        <f aca="false">INDEX(Context!$Z$4:$Z$51,$K71)</f>
        <v>36.7871428571429</v>
      </c>
      <c r="CJ71" s="43" t="n">
        <f aca="false">INDEX(Context!$AA$4:$AA$51,$K71)</f>
        <v>0.347678571428571</v>
      </c>
      <c r="CK71" s="43" t="n">
        <f aca="false">MAX(0,MIN(1,1-(1-CJ71)*AO71/AN71))</f>
        <v>0.413071099835158</v>
      </c>
      <c r="CL71" s="44" t="n">
        <f aca="false">CH71+CK71*(CI71-CH71)</f>
        <v>31.8463631937973</v>
      </c>
      <c r="CM71" s="44" t="n">
        <f aca="false">CH71+MAX(0,MIN(1,1-(1-CJ71)*AQ71/AN71))*(CI71-CH71)</f>
        <v>30.1559511107169</v>
      </c>
      <c r="CN71" s="44" t="n">
        <f aca="false">CH71+MAX(0,MIN(1,1-(1-CJ71)*AP71/AN71))*(CI71-CH71)</f>
        <v>33.4256735484933</v>
      </c>
      <c r="CO71" s="44" t="n">
        <f aca="false">CL71-CG71</f>
        <v>-0.940779663345573</v>
      </c>
      <c r="CP71" s="44" t="n">
        <f aca="false">CL71-(CH71+CJ71*(CI71-CH71))</f>
        <v>0.550475661353985</v>
      </c>
      <c r="CQ71" s="46" t="n">
        <f aca="false">CL71/CG71</f>
        <v>0.971306445717315</v>
      </c>
      <c r="CR71" s="43" t="n">
        <f aca="false">IF(CL71-CH71&lt;=0,"n/a",(CI71-CL71)/(CL71-CH71))</f>
        <v>1.42089073866234</v>
      </c>
      <c r="CS71" s="43" t="n">
        <f aca="false">IF(CI71-CL71&lt;=0,"n/a",(CL71-CH71)/(CI71-CL71))</f>
        <v>0.703783882032635</v>
      </c>
      <c r="CT71" s="43" t="n">
        <f aca="false">Inputs_General!$C$23+Inputs_General!$C$24*$I71</f>
        <v>0.76</v>
      </c>
      <c r="CU71" s="44" t="n">
        <f aca="false">3.29*CT71</f>
        <v>2.5004</v>
      </c>
    </row>
    <row r="72" customFormat="false" ht="15" hidden="false" customHeight="false" outlineLevel="0" collapsed="false">
      <c r="A72" s="9" t="str">
        <f aca="false">B72&amp;"|"&amp;E72&amp;"|"&amp;F72</f>
        <v>D1V3|13/03/2026|Moderate</v>
      </c>
      <c r="B72" s="7" t="s">
        <v>345</v>
      </c>
      <c r="C72" s="9" t="s">
        <v>127</v>
      </c>
      <c r="D72" s="9" t="s">
        <v>150</v>
      </c>
      <c r="E72" s="9" t="s">
        <v>164</v>
      </c>
      <c r="F72" s="7" t="s">
        <v>281</v>
      </c>
      <c r="G72" s="9" t="s">
        <v>282</v>
      </c>
      <c r="H72" s="41" t="n">
        <f aca="false">INDEX(Severity_Classes!$C$4:$C$9,MATCH(F72,Severity_Classes!$A$4:$A$9,0))</f>
        <v>0.11</v>
      </c>
      <c r="I72" s="41" t="n">
        <f aca="false">INDEX(Severity_Classes!$D$4:$D$9,MATCH(F72,Severity_Classes!$A$4:$A$9,0))</f>
        <v>0.18</v>
      </c>
      <c r="J72" s="41" t="n">
        <f aca="false">INDEX(Severity_Classes!$E$4:$E$9,MATCH(F72,Severity_Classes!$A$4:$A$9,0))</f>
        <v>0.25</v>
      </c>
      <c r="K72" s="42" t="n">
        <f aca="false">MATCH(B72&amp;"|"&amp;E72,Context!$A$4:$A$51,0)</f>
        <v>12</v>
      </c>
      <c r="L72" s="42" t="n">
        <f aca="false">INDEX(Context!$H$4:$H$51,K72)</f>
        <v>94</v>
      </c>
      <c r="M72" s="42" t="n">
        <f aca="false">INDEX(Context!$I$4:$I$51,K72)</f>
        <v>36</v>
      </c>
      <c r="N72" s="9" t="str">
        <f aca="false">INDEX(Context!$L$4:$L$51,K72)</f>
        <v>P</v>
      </c>
      <c r="O72" s="9" t="str">
        <f aca="false">INDEX(Context!$M$4:$M$51,K72)</f>
        <v>5th fully expanded leaf from top</v>
      </c>
      <c r="P72" s="43" t="n">
        <f aca="false">INDEX(Context!$R$4:$R$51,K72)</f>
        <v>0.953571428571428</v>
      </c>
      <c r="Q72" s="43" t="n">
        <f aca="false">INDEX(Context!$U$4:$U$51,K72)</f>
        <v>2.18945736698217</v>
      </c>
      <c r="R72" s="43" t="n">
        <f aca="false">INDEX(Context!$AD$4:$AD$51,K72)</f>
        <v>0.85</v>
      </c>
      <c r="S72" s="9" t="str">
        <f aca="false">INDEX(Context!$AI$4:$AN$51,K72,MATCH(F72,Severity_Classes!$A$4:$A$9,0))</f>
        <v>Likely</v>
      </c>
      <c r="T72" s="44" t="n">
        <f aca="false">Parameters!$E$4*IF($N72="V",Parameters!$I$4,IF($N72="F",Parameters!$J$4,Parameters!$K$4))*(1-Parameters!$L$4*$P72)*IF($D72="V1",Parameters!$M$4,IF($D72="V2",Parameters!$N$4,Parameters!$O$4))</f>
        <v>77.8046607142857</v>
      </c>
      <c r="U72" s="44" t="n">
        <f aca="false">MIN(100,T72*(1+INDEX(Response_Table!$E$4:$E$21,MATCH($F72&amp;"|mid",Response_Table!$A$4:$A$21,0))*$R72*INDEX(Parameters!$X$4:$AA$4,1,MATCH($E72,Parameters!$X$3:$AA$3,0))))</f>
        <v>74.7962316528955</v>
      </c>
      <c r="V72" s="44" t="n">
        <f aca="false">MAX(0,MIN(T72*(1+INDEX(Response_Table!$E$4:$E$21,MATCH($F72&amp;"|low",Response_Table!$A$4:$A$21,0))*$R72*INDEX(Parameters!$X$4:$AA$4,1,MATCH($E72,Parameters!$X$3:$AA$3,0))),T72*(1+INDEX(Response_Table!$E$4:$E$21,MATCH($F72&amp;"|high",Response_Table!$A$4:$A$21,0))*$R72*INDEX(Parameters!$X$4:$AA$4,1,MATCH($E72,Parameters!$X$3:$AA$3,0))))*(1-Inputs_General!$C$22*Parameters!$F$4))</f>
        <v>67.7693358771701</v>
      </c>
      <c r="W72" s="44" t="n">
        <f aca="false">MIN(100,MAX(T72*(1+INDEX(Response_Table!$E$4:$E$21,MATCH($F72&amp;"|low",Response_Table!$A$4:$A$21,0))*$R72*INDEX(Parameters!$X$4:$AA$4,1,MATCH($E72,Parameters!$X$3:$AA$3,0))),T72*(1+INDEX(Response_Table!$E$4:$E$21,MATCH($F72&amp;"|high",Response_Table!$A$4:$A$21,0))*$R72*INDEX(Parameters!$X$4:$AA$4,1,MATCH($E72,Parameters!$X$3:$AA$3,0))))*(1+Inputs_General!$C$22*Parameters!$F$4))</f>
        <v>81.4114528265618</v>
      </c>
      <c r="X72" s="45" t="n">
        <f aca="false">IF(T72=0,0,U72/T72-1)</f>
        <v>-0.0386664376371717</v>
      </c>
      <c r="Y72" s="44" t="n">
        <f aca="false">Parameters!$E$5*IF($N72="V",Parameters!$I$5,IF($N72="F",Parameters!$J$5,Parameters!$K$5))*(1-Parameters!$L$5*$P72)*IF($D72="V1",Parameters!$M$5,IF($D72="V2",Parameters!$N$5,Parameters!$O$5))</f>
        <v>58.6602514285714</v>
      </c>
      <c r="Z72" s="44" t="n">
        <f aca="false">MIN(100,Y72*(1+INDEX(Response_Table!$F$4:$F$21,MATCH($F72&amp;"|mid",Response_Table!$A$4:$A$21,0))*$R72*INDEX(Parameters!$X$5:$AA$5,1,MATCH($E72,Parameters!$X$3:$AA$3,0))))</f>
        <v>50.825060684725</v>
      </c>
      <c r="AA72" s="44" t="n">
        <f aca="false">MAX(0,MIN(Y72*(1+INDEX(Response_Table!$F$4:$F$21,MATCH($F72&amp;"|low",Response_Table!$A$4:$A$21,0))*$R72*INDEX(Parameters!$X$5:$AA$5,1,MATCH($E72,Parameters!$X$3:$AA$3,0))),Y72*(1+INDEX(Response_Table!$F$4:$F$21,MATCH($F72&amp;"|high",Response_Table!$A$4:$A$21,0))*$R72*INDEX(Parameters!$X$5:$AA$5,1,MATCH($E72,Parameters!$X$3:$AA$3,0))))*(1-Inputs_General!$C$22*Parameters!$F$5))</f>
        <v>39.8415259259992</v>
      </c>
      <c r="AB72" s="44" t="n">
        <f aca="false">MIN(100,MAX(Y72*(1+INDEX(Response_Table!$F$4:$F$21,MATCH($F72&amp;"|low",Response_Table!$A$4:$A$21,0))*$R72*INDEX(Parameters!$X$5:$AA$5,1,MATCH($E72,Parameters!$X$3:$AA$3,0))),Y72*(1+INDEX(Response_Table!$F$4:$F$21,MATCH($F72&amp;"|high",Response_Table!$A$4:$A$21,0))*$R72*INDEX(Parameters!$X$5:$AA$5,1,MATCH($E72,Parameters!$X$3:$AA$3,0))))*(1+Inputs_General!$C$22*Parameters!$F$5))</f>
        <v>61.4041445853885</v>
      </c>
      <c r="AC72" s="45" t="n">
        <f aca="false">IF(Y72=0,0,Z72/Y72-1)</f>
        <v>-0.133568993535377</v>
      </c>
      <c r="AD72" s="44" t="n">
        <f aca="false">Parameters!$E$6*IF($N72="V",Parameters!$I$6,IF($N72="F",Parameters!$J$6,Parameters!$K$6))*(1-Parameters!$L$6*$P72)*IF($D72="V1",Parameters!$M$6,IF($D72="V2",Parameters!$N$6,Parameters!$O$6))</f>
        <v>14.7310379285714</v>
      </c>
      <c r="AE72" s="44" t="n">
        <f aca="false">AD72*(1+INDEX(Response_Table!$G$4:$G$21,MATCH($F72&amp;"|mid",Response_Table!$A$4:$A$21,0))*$R72*INDEX(Parameters!$X$6:$AA$6,1,MATCH($E72,Parameters!$X$3:$AA$3,0)))</f>
        <v>9.59355874061546</v>
      </c>
      <c r="AF72" s="44" t="n">
        <f aca="false">MAX(0,MIN(AD72*(1+INDEX(Response_Table!$G$4:$G$21,MATCH($F72&amp;"|low",Response_Table!$A$4:$A$21,0))*$R72*INDEX(Parameters!$X$6:$AA$6,1,MATCH($E72,Parameters!$X$3:$AA$3,0))),AD72*(1+INDEX(Response_Table!$G$4:$G$21,MATCH($F72&amp;"|high",Response_Table!$A$4:$A$21,0))*$R72*INDEX(Parameters!$X$6:$AA$6,1,MATCH($E72,Parameters!$X$3:$AA$3,0))))*(1-Inputs_General!$C$22*Parameters!$F$6))</f>
        <v>6.79481625961375</v>
      </c>
      <c r="AG72" s="44" t="n">
        <f aca="false">MAX(AD72*(1+INDEX(Response_Table!$G$4:$G$21,MATCH($F72&amp;"|low",Response_Table!$A$4:$A$21,0))*$R72*INDEX(Parameters!$X$6:$AA$6,1,MATCH($E72,Parameters!$X$3:$AA$3,0))),AD72*(1+INDEX(Response_Table!$G$4:$G$21,MATCH($F72&amp;"|high",Response_Table!$A$4:$A$21,0))*$R72*INDEX(Parameters!$X$6:$AA$6,1,MATCH($E72,Parameters!$X$3:$AA$3,0))))*(1+Inputs_General!$C$22*Parameters!$F$6)</f>
        <v>13.3244530262151</v>
      </c>
      <c r="AH72" s="45" t="n">
        <f aca="false">IF(AD72=0,0,AE72/AD72-1)</f>
        <v>-0.348752016854945</v>
      </c>
      <c r="AI72" s="46" t="n">
        <f aca="false">Parameters!$E$7*IF($N72="V",Parameters!$I$7,IF($N72="F",Parameters!$J$7,Parameters!$K$7))*(1-Parameters!$L$7*$P72)*IF($D72="V1",Parameters!$M$7,IF($D72="V2",Parameters!$N$7,Parameters!$O$7))*POWER($Q72/Inputs_General!$C$26,-Inputs_General!$C$25)</f>
        <v>0.258501574676089</v>
      </c>
      <c r="AJ72" s="46" t="n">
        <f aca="false">AI72*(1+INDEX(Response_Table!$H$4:$H$21,MATCH($F72&amp;"|mid",Response_Table!$A$4:$A$21,0))*$R72*INDEX(Parameters!$X$7:$AA$7,1,MATCH($E72,Parameters!$X$3:$AA$3,0)))</f>
        <v>0.198908795502874</v>
      </c>
      <c r="AK72" s="46" t="n">
        <f aca="false">MAX(0,MIN(AI72*(1+INDEX(Response_Table!$H$4:$H$21,MATCH($F72&amp;"|low",Response_Table!$A$4:$A$21,0))*$R72*INDEX(Parameters!$X$7:$AA$7,1,MATCH($E72,Parameters!$X$3:$AA$3,0))),AI72*(1+INDEX(Response_Table!$H$4:$H$21,MATCH($F72&amp;"|high",Response_Table!$A$4:$A$21,0))*$R72*INDEX(Parameters!$X$7:$AA$7,1,MATCH($E72,Parameters!$X$3:$AA$3,0))))*(1-Inputs_General!$C$22*Parameters!$F$7))</f>
        <v>0.128914954009692</v>
      </c>
      <c r="AL72" s="46" t="n">
        <f aca="false">MAX(AI72*(1+INDEX(Response_Table!$H$4:$H$21,MATCH($F72&amp;"|low",Response_Table!$A$4:$A$21,0))*$R72*INDEX(Parameters!$X$7:$AA$7,1,MATCH($E72,Parameters!$X$3:$AA$3,0))),AI72*(1+INDEX(Response_Table!$H$4:$H$21,MATCH($F72&amp;"|high",Response_Table!$A$4:$A$21,0))*$R72*INDEX(Parameters!$X$7:$AA$7,1,MATCH($E72,Parameters!$X$3:$AA$3,0))))*(1+Inputs_General!$C$22*Parameters!$F$7)</f>
        <v>0.283013371422014</v>
      </c>
      <c r="AM72" s="45" t="n">
        <f aca="false">IF(AI72=0,0,AJ72/AI72-1)</f>
        <v>-0.230531590563371</v>
      </c>
      <c r="AN72" s="43" t="n">
        <f aca="false">AI72*$Q72/Inputs_General!$C$13*1000</f>
        <v>5.69967952720096</v>
      </c>
      <c r="AO72" s="43" t="n">
        <f aca="false">AJ72*$Q72/Inputs_General!$C$13*1000*(1+Inputs_General!$C$21*$I72)</f>
        <v>4.58308089039806</v>
      </c>
      <c r="AP72" s="43" t="n">
        <f aca="false">AK72*$Q72/Inputs_General!$C$13*1000*(1+Inputs_General!$C$21*$H72)</f>
        <v>2.92060196530093</v>
      </c>
      <c r="AQ72" s="43" t="n">
        <f aca="false">AL72*$Q72/Inputs_General!$C$13*1000*(1+Inputs_General!$C$21*$J72)</f>
        <v>6.6301467064732</v>
      </c>
      <c r="AR72" s="45" t="n">
        <f aca="false">IF(AN72=0,0,AO72/AN72-1)</f>
        <v>-0.195905512138722</v>
      </c>
      <c r="AS72" s="42" t="n">
        <f aca="false">Parameters!$E$9*IF($N72="V",Parameters!$I$9,IF($N72="F",Parameters!$J$9,Parameters!$K$9))*(1-Parameters!$L$9*$P72)*IF($D72="V1",Parameters!$M$9,IF($D72="V2",Parameters!$N$9,Parameters!$O$9))</f>
        <v>293.55</v>
      </c>
      <c r="AT72" s="42" t="n">
        <f aca="false">AS72*(1+INDEX(Response_Table!$I$4:$I$21,MATCH($F72&amp;"|mid",Response_Table!$A$4:$A$21,0))*$R72*INDEX(Parameters!$X$9:$AA$9,1,MATCH($E72,Parameters!$X$3:$AA$3,0)))</f>
        <v>331.969288192052</v>
      </c>
      <c r="AU72" s="42" t="n">
        <f aca="false">MAX(0,MIN(AS72*(1+INDEX(Response_Table!$I$4:$I$21,MATCH($F72&amp;"|low",Response_Table!$A$4:$A$21,0))*$R72*INDEX(Parameters!$X$9:$AA$9,1,MATCH($E72,Parameters!$X$3:$AA$3,0))),AS72*(1+INDEX(Response_Table!$I$4:$I$21,MATCH($F72&amp;"|high",Response_Table!$A$4:$A$21,0))*$R72*INDEX(Parameters!$X$9:$AA$9,1,MATCH($E72,Parameters!$X$3:$AA$3,0))))*(1-Inputs_General!$C$22*Parameters!$F$9))</f>
        <v>288.592422887142</v>
      </c>
      <c r="AV72" s="42" t="n">
        <f aca="false">MAX(AS72*(1+INDEX(Response_Table!$I$4:$I$21,MATCH($F72&amp;"|low",Response_Table!$A$4:$A$21,0))*$R72*INDEX(Parameters!$X$9:$AA$9,1,MATCH($E72,Parameters!$X$3:$AA$3,0))),AS72*(1+INDEX(Response_Table!$I$4:$I$21,MATCH($F72&amp;"|high",Response_Table!$A$4:$A$21,0))*$R72*INDEX(Parameters!$X$9:$AA$9,1,MATCH($E72,Parameters!$X$3:$AA$3,0))))*(1+Inputs_General!$C$22*Parameters!$F$9)</f>
        <v>374.511168902177</v>
      </c>
      <c r="AW72" s="45" t="n">
        <f aca="false">IF(AS72=0,0,AT72/AS72-1)</f>
        <v>0.130878174730207</v>
      </c>
      <c r="AX72" s="43" t="n">
        <f aca="false">INDEX(Context!$AB$4:$AB$51,$K72)</f>
        <v>2.6539155416324</v>
      </c>
      <c r="AY72" s="43" t="n">
        <f aca="false">AX72*(1+INDEX(Response_Table!$J$4:$J$21,MATCH($F72&amp;"|mid",Response_Table!$A$4:$A$21,0))*$R72*INDEX(Parameters!$X$10:$AA$10,1,MATCH($E72,Parameters!$X$3:$AA$3,0)))</f>
        <v>2.28606365443256</v>
      </c>
      <c r="AZ72" s="43" t="n">
        <f aca="false">MAX(0,MIN(AX72*(1+INDEX(Response_Table!$J$4:$J$21,MATCH($F72&amp;"|low",Response_Table!$A$4:$A$21,0))*$R72*INDEX(Parameters!$X$10:$AA$10,1,MATCH($E72,Parameters!$X$3:$AA$3,0))),AX72*(1+INDEX(Response_Table!$J$4:$J$21,MATCH($F72&amp;"|high",Response_Table!$A$4:$A$21,0))*$R72*INDEX(Parameters!$X$10:$AA$10,1,MATCH($E72,Parameters!$X$3:$AA$3,0))))*(1-Inputs_General!$C$22*Parameters!$F$10))</f>
        <v>1.75139268356882</v>
      </c>
      <c r="BA72" s="43" t="n">
        <f aca="false">MAX(AX72*(1+INDEX(Response_Table!$J$4:$J$21,MATCH($F72&amp;"|low",Response_Table!$A$4:$A$21,0))*$R72*INDEX(Parameters!$X$10:$AA$10,1,MATCH($E72,Parameters!$X$3:$AA$3,0))),AX72*(1+INDEX(Response_Table!$J$4:$J$21,MATCH($F72&amp;"|high",Response_Table!$A$4:$A$21,0))*$R72*INDEX(Parameters!$X$10:$AA$10,1,MATCH($E72,Parameters!$X$3:$AA$3,0))))*(1+Inputs_General!$C$22*Parameters!$F$10)</f>
        <v>2.88555648243936</v>
      </c>
      <c r="BB72" s="45" t="n">
        <f aca="false">IF(AX72=0,0,AY72/AX72-1)</f>
        <v>-0.138607232004672</v>
      </c>
      <c r="BC72" s="46" t="n">
        <f aca="false">Parameters!$E$11*IF($N72="V",Parameters!$I$11,IF($N72="F",Parameters!$J$11,Parameters!$K$11))*(1-Parameters!$L$11*$P72)*IF($D72="V1",Parameters!$M$11,IF($D72="V2",Parameters!$N$11,Parameters!$O$11))</f>
        <v>1.03176111607143</v>
      </c>
      <c r="BD72" s="46" t="n">
        <f aca="false">BC72*(1+INDEX(Response_Table!$K$4:$K$21,MATCH($F72&amp;"|mid",Response_Table!$A$4:$A$21,0))*$R72*INDEX(Parameters!$X$11:$AA$11,1,MATCH($E72,Parameters!$X$3:$AA$3,0)))</f>
        <v>0.782161285389651</v>
      </c>
      <c r="BE72" s="46" t="n">
        <f aca="false">MAX(0,MIN(BC72*(1+INDEX(Response_Table!$K$4:$K$21,MATCH($F72&amp;"|low",Response_Table!$A$4:$A$21,0))*$R72*INDEX(Parameters!$X$11:$AA$11,1,MATCH($E72,Parameters!$X$3:$AA$3,0))),BC72*(1+INDEX(Response_Table!$K$4:$K$21,MATCH($F72&amp;"|high",Response_Table!$A$4:$A$21,0))*$R72*INDEX(Parameters!$X$11:$AA$11,1,MATCH($E72,Parameters!$X$3:$AA$3,0))))*(1-Inputs_General!$C$22*Parameters!$F$11))</f>
        <v>0.599765499941843</v>
      </c>
      <c r="BF72" s="46" t="n">
        <f aca="false">MAX(BC72*(1+INDEX(Response_Table!$K$4:$K$21,MATCH($F72&amp;"|low",Response_Table!$A$4:$A$21,0))*$R72*INDEX(Parameters!$X$11:$AA$11,1,MATCH($E72,Parameters!$X$3:$AA$3,0))),BC72*(1+INDEX(Response_Table!$K$4:$K$21,MATCH($F72&amp;"|high",Response_Table!$A$4:$A$21,0))*$R72*INDEX(Parameters!$X$11:$AA$11,1,MATCH($E72,Parameters!$X$3:$AA$3,0))))*(1+Inputs_General!$C$22*Parameters!$F$11)</f>
        <v>1.00451695862852</v>
      </c>
      <c r="BG72" s="45" t="n">
        <f aca="false">IF(BC72=0,0,BD72/BC72-1)</f>
        <v>-0.241916299028756</v>
      </c>
      <c r="BH72" s="46" t="n">
        <f aca="false">Parameters!$E$12*IF($N72="V",Parameters!$I$12,IF($N72="F",Parameters!$J$12,Parameters!$K$12))*(1-Parameters!$L$12*$P72)*IF($D72="V1",Parameters!$M$12,IF($D72="V2",Parameters!$N$12,Parameters!$O$12))</f>
        <v>0.384543437142857</v>
      </c>
      <c r="BI72" s="46" t="n">
        <f aca="false">BH72*(1+INDEX(Response_Table!$L$4:$L$21,MATCH($F72&amp;"|mid",Response_Table!$A$4:$A$21,0))*$R72*INDEX(Parameters!$X$12:$AA$12,1,MATCH($E72,Parameters!$X$3:$AA$3,0)))</f>
        <v>0.309532397738416</v>
      </c>
      <c r="BJ72" s="46" t="n">
        <f aca="false">MAX(0,MIN(BH72*(1+INDEX(Response_Table!$L$4:$L$21,MATCH($F72&amp;"|low",Response_Table!$A$4:$A$21,0))*$R72*INDEX(Parameters!$X$12:$AA$12,1,MATCH($E72,Parameters!$X$3:$AA$3,0))),BH72*(1+INDEX(Response_Table!$L$4:$L$21,MATCH($F72&amp;"|high",Response_Table!$A$4:$A$21,0))*$R72*INDEX(Parameters!$X$12:$AA$12,1,MATCH($E72,Parameters!$X$3:$AA$3,0))))*(1-Inputs_General!$C$22*Parameters!$F$12))</f>
        <v>0.232504095876116</v>
      </c>
      <c r="BK72" s="46" t="n">
        <f aca="false">MAX(BH72*(1+INDEX(Response_Table!$L$4:$L$21,MATCH($F72&amp;"|low",Response_Table!$A$4:$A$21,0))*$R72*INDEX(Parameters!$X$12:$AA$12,1,MATCH($E72,Parameters!$X$3:$AA$3,0))),BH72*(1+INDEX(Response_Table!$L$4:$L$21,MATCH($F72&amp;"|high",Response_Table!$A$4:$A$21,0))*$R72*INDEX(Parameters!$X$12:$AA$12,1,MATCH($E72,Parameters!$X$3:$AA$3,0))))*(1+Inputs_General!$C$22*Parameters!$F$12)</f>
        <v>0.399947425333701</v>
      </c>
      <c r="BL72" s="45" t="n">
        <f aca="false">IF(BH72=0,0,BI72/BH72-1)</f>
        <v>-0.19506519201516</v>
      </c>
      <c r="BM72" s="46" t="n">
        <f aca="false">Parameters!$E$13*IF($N72="V",Parameters!$I$13,IF($N72="F",Parameters!$J$13,Parameters!$K$13))*(1-Parameters!$L$13*$P72)*IF($D72="V1",Parameters!$M$13,IF($D72="V2",Parameters!$N$13,Parameters!$O$13))</f>
        <v>0.270144353571429</v>
      </c>
      <c r="BN72" s="46" t="n">
        <f aca="false">BM72*(1+INDEX(Response_Table!$M$4:$M$21,MATCH($F72&amp;"|mid",Response_Table!$A$4:$A$21,0))*$R72*INDEX(Parameters!$X$13:$AA$13,1,MATCH($E72,Parameters!$X$3:$AA$3,0)))</f>
        <v>0.250391867764688</v>
      </c>
      <c r="BO72" s="46" t="n">
        <f aca="false">MAX(0,MIN(BM72*(1+INDEX(Response_Table!$M$4:$M$21,MATCH($F72&amp;"|low",Response_Table!$A$4:$A$21,0))*$R72*INDEX(Parameters!$X$13:$AA$13,1,MATCH($E72,Parameters!$X$3:$AA$3,0))),BM72*(1+INDEX(Response_Table!$M$4:$M$21,MATCH($F72&amp;"|high",Response_Table!$A$4:$A$21,0))*$R72*INDEX(Parameters!$X$13:$AA$13,1,MATCH($E72,Parameters!$X$3:$AA$3,0))))*(1-Inputs_General!$C$22*Parameters!$F$13))</f>
        <v>0.188202191064183</v>
      </c>
      <c r="BP72" s="46" t="n">
        <f aca="false">MAX(BM72*(1+INDEX(Response_Table!$M$4:$M$21,MATCH($F72&amp;"|low",Response_Table!$A$4:$A$21,0))*$R72*INDEX(Parameters!$X$13:$AA$13,1,MATCH($E72,Parameters!$X$3:$AA$3,0))),BM72*(1+INDEX(Response_Table!$M$4:$M$21,MATCH($F72&amp;"|high",Response_Table!$A$4:$A$21,0))*$R72*INDEX(Parameters!$X$13:$AA$13,1,MATCH($E72,Parameters!$X$3:$AA$3,0))))*(1+Inputs_General!$C$22*Parameters!$F$13)</f>
        <v>0.3199244336005</v>
      </c>
      <c r="BQ72" s="45" t="n">
        <f aca="false">IF(BM72=0,0,BN72/BM72-1)</f>
        <v>-0.0731182626829087</v>
      </c>
      <c r="BR72" s="44" t="n">
        <f aca="false">Parameters!$E$14*IF($N72="V",Parameters!$I$14,IF($N72="F",Parameters!$J$14,Parameters!$K$14))*(1-Parameters!$L$14*$P72)*IF($D72="V1",Parameters!$M$14,IF($D72="V2",Parameters!$N$14,Parameters!$O$14))*INDEX(Context!$AC$4:$AC$51,$K72)</f>
        <v>17.25</v>
      </c>
      <c r="BS72" s="44" t="n">
        <f aca="false">BR72*(1+INDEX(Response_Table!$N$4:$N$21,MATCH($F72&amp;"|mid",Response_Table!$A$4:$A$21,0))*$R72*INDEX(Parameters!$X$14:$AA$14,1,MATCH($E72,Parameters!$X$3:$AA$3,0)))</f>
        <v>20.9207722497398</v>
      </c>
      <c r="BT72" s="44" t="n">
        <f aca="false">MAX(0,MIN(BR72*(1+INDEX(Response_Table!$N$4:$N$21,MATCH($F72&amp;"|low",Response_Table!$A$4:$A$21,0))*$R72*INDEX(Parameters!$X$14:$AA$14,1,MATCH($E72,Parameters!$X$3:$AA$3,0))),BR72*(1+INDEX(Response_Table!$N$4:$N$21,MATCH($F72&amp;"|high",Response_Table!$A$4:$A$21,0))*$R72*INDEX(Parameters!$X$14:$AA$14,1,MATCH($E72,Parameters!$X$3:$AA$3,0))))*(1-Inputs_General!$C$22*Parameters!$F$14))</f>
        <v>9.98958222252468</v>
      </c>
      <c r="BU72" s="44" t="n">
        <f aca="false">MAX(BR72*(1+INDEX(Response_Table!$N$4:$N$21,MATCH($F72&amp;"|low",Response_Table!$A$4:$A$21,0))*$R72*INDEX(Parameters!$X$14:$AA$14,1,MATCH($E72,Parameters!$X$3:$AA$3,0))),BR72*(1+INDEX(Response_Table!$N$4:$N$21,MATCH($F72&amp;"|high",Response_Table!$A$4:$A$21,0))*$R72*INDEX(Parameters!$X$14:$AA$14,1,MATCH($E72,Parameters!$X$3:$AA$3,0))))*(1+Inputs_General!$C$22*Parameters!$F$14)</f>
        <v>32.6954858192517</v>
      </c>
      <c r="BV72" s="45" t="n">
        <f aca="false">IF(BR72=0,0,BS72/BR72-1)</f>
        <v>0.212798391289265</v>
      </c>
      <c r="BW72" s="43" t="n">
        <f aca="false">Parameters!$E$15*IF($N72="V",Parameters!$I$15,IF($N72="F",Parameters!$J$15,Parameters!$K$15))*(1-Parameters!$L$15*$P72)*IF($D72="V1",Parameters!$M$15,IF($D72="V2",Parameters!$N$15,Parameters!$O$15))</f>
        <v>7.73084285714286</v>
      </c>
      <c r="BX72" s="43" t="n">
        <f aca="false">BW72*(1+INDEX(Response_Table!$O$4:$O$21,MATCH($F72&amp;"|mid",Response_Table!$A$4:$A$21,0))*$R72*INDEX(Parameters!$X$15:$AA$15,1,MATCH($E72,Parameters!$X$3:$AA$3,0)))</f>
        <v>7.31956512631533</v>
      </c>
      <c r="BY72" s="43" t="n">
        <f aca="false">MAX(0,MIN(BW72*(1+INDEX(Response_Table!$O$4:$O$21,MATCH($F72&amp;"|low",Response_Table!$A$4:$A$21,0))*$R72*INDEX(Parameters!$X$15:$AA$15,1,MATCH($E72,Parameters!$X$3:$AA$3,0))),BW72*(1+INDEX(Response_Table!$O$4:$O$21,MATCH($F72&amp;"|high",Response_Table!$A$4:$A$21,0))*$R72*INDEX(Parameters!$X$15:$AA$15,1,MATCH($E72,Parameters!$X$3:$AA$3,0))))*(1-Inputs_General!$C$22*Parameters!$F$15))</f>
        <v>5.78735904242083</v>
      </c>
      <c r="BZ72" s="43" t="n">
        <f aca="false">MAX(BW72*(1+INDEX(Response_Table!$O$4:$O$21,MATCH($F72&amp;"|low",Response_Table!$A$4:$A$21,0))*$R72*INDEX(Parameters!$X$15:$AA$15,1,MATCH($E72,Parameters!$X$3:$AA$3,0))),BW72*(1+INDEX(Response_Table!$O$4:$O$21,MATCH($F72&amp;"|high",Response_Table!$A$4:$A$21,0))*$R72*INDEX(Parameters!$X$15:$AA$15,1,MATCH($E72,Parameters!$X$3:$AA$3,0))))*(1+Inputs_General!$C$22*Parameters!$F$15)</f>
        <v>8.92516923570562</v>
      </c>
      <c r="CA72" s="45" t="n">
        <f aca="false">IF(BW72=0,0,BX72/BW72-1)</f>
        <v>-0.0531995978223163</v>
      </c>
      <c r="CB72" s="46" t="n">
        <f aca="false">BD72+BI72</f>
        <v>1.09169368312807</v>
      </c>
      <c r="CC72" s="43" t="n">
        <f aca="false">BD72/BI72</f>
        <v>2.52691250125827</v>
      </c>
      <c r="CD72" s="46" t="n">
        <f aca="false">BN72/CB72</f>
        <v>0.229360920223732</v>
      </c>
      <c r="CE72" s="43" t="n">
        <f aca="false">AE72/AO72</f>
        <v>2.09325538214147</v>
      </c>
      <c r="CF72" s="44" t="n">
        <f aca="false">AE72/AJ72</f>
        <v>48.2309428115602</v>
      </c>
      <c r="CG72" s="44" t="n">
        <f aca="false">INDEX(Context!$V$4:$V$51,$K72)</f>
        <v>32.7871428571429</v>
      </c>
      <c r="CH72" s="44" t="n">
        <f aca="false">INDEX(Context!$Y$4:$Y$51,$K72)</f>
        <v>28.36912210206</v>
      </c>
      <c r="CI72" s="44" t="n">
        <f aca="false">INDEX(Context!$Z$4:$Z$51,$K72)</f>
        <v>36.7871428571429</v>
      </c>
      <c r="CJ72" s="43" t="n">
        <f aca="false">INDEX(Context!$AA$4:$AA$51,$K72)</f>
        <v>0.347678571428571</v>
      </c>
      <c r="CK72" s="43" t="n">
        <f aca="false">MAX(0,MIN(1,1-(1-CJ72)*AO72/AN72))</f>
        <v>0.47547193497192</v>
      </c>
      <c r="CL72" s="44" t="n">
        <f aca="false">CH72+CK72*(CI72-CH72)</f>
        <v>32.371654719113</v>
      </c>
      <c r="CM72" s="44" t="n">
        <f aca="false">CH72+MAX(0,MIN(1,1-(1-CJ72)*AQ72/AN72))*(CI72-CH72)</f>
        <v>30.3994454029774</v>
      </c>
      <c r="CN72" s="44" t="n">
        <f aca="false">CH72+MAX(0,MIN(1,1-(1-CJ72)*AP72/AN72))*(CI72-CH72)</f>
        <v>33.9733406044463</v>
      </c>
      <c r="CO72" s="44" t="n">
        <f aca="false">CL72-CG72</f>
        <v>-0.415488138029808</v>
      </c>
      <c r="CP72" s="44" t="n">
        <f aca="false">CL72-(CH72+CJ72*(CI72-CH72))</f>
        <v>1.07576718666975</v>
      </c>
      <c r="CQ72" s="46" t="n">
        <f aca="false">CL72/CG72</f>
        <v>0.987327711358073</v>
      </c>
      <c r="CR72" s="43" t="n">
        <f aca="false">IF(CL72-CH72&lt;=0,"n/a",(CI72-CL72)/(CL72-CH72))</f>
        <v>1.1031735554677</v>
      </c>
      <c r="CS72" s="43" t="n">
        <f aca="false">IF(CI72-CL72&lt;=0,"n/a",(CL72-CH72)/(CI72-CL72))</f>
        <v>0.906475681041902</v>
      </c>
      <c r="CT72" s="43" t="n">
        <f aca="false">Inputs_General!$C$23+Inputs_General!$C$24*$I72</f>
        <v>0.96</v>
      </c>
      <c r="CU72" s="44" t="n">
        <f aca="false">3.29*CT72</f>
        <v>3.1584</v>
      </c>
    </row>
    <row r="73" customFormat="false" ht="15" hidden="false" customHeight="false" outlineLevel="0" collapsed="false">
      <c r="A73" s="9" t="str">
        <f aca="false">B73&amp;"|"&amp;E73&amp;"|"&amp;F73</f>
        <v>D1V3|13/03/2026|High</v>
      </c>
      <c r="B73" s="7" t="s">
        <v>345</v>
      </c>
      <c r="C73" s="9" t="s">
        <v>127</v>
      </c>
      <c r="D73" s="9" t="s">
        <v>150</v>
      </c>
      <c r="E73" s="9" t="s">
        <v>164</v>
      </c>
      <c r="F73" s="7" t="s">
        <v>283</v>
      </c>
      <c r="G73" s="9" t="s">
        <v>284</v>
      </c>
      <c r="H73" s="41" t="n">
        <f aca="false">INDEX(Severity_Classes!$C$4:$C$9,MATCH(F73,Severity_Classes!$A$4:$A$9,0))</f>
        <v>0.26</v>
      </c>
      <c r="I73" s="41" t="n">
        <f aca="false">INDEX(Severity_Classes!$D$4:$D$9,MATCH(F73,Severity_Classes!$A$4:$A$9,0))</f>
        <v>0.38</v>
      </c>
      <c r="J73" s="41" t="n">
        <f aca="false">INDEX(Severity_Classes!$E$4:$E$9,MATCH(F73,Severity_Classes!$A$4:$A$9,0))</f>
        <v>0.5</v>
      </c>
      <c r="K73" s="42" t="n">
        <f aca="false">MATCH(B73&amp;"|"&amp;E73,Context!$A$4:$A$51,0)</f>
        <v>12</v>
      </c>
      <c r="L73" s="42" t="n">
        <f aca="false">INDEX(Context!$H$4:$H$51,K73)</f>
        <v>94</v>
      </c>
      <c r="M73" s="42" t="n">
        <f aca="false">INDEX(Context!$I$4:$I$51,K73)</f>
        <v>36</v>
      </c>
      <c r="N73" s="9" t="str">
        <f aca="false">INDEX(Context!$L$4:$L$51,K73)</f>
        <v>P</v>
      </c>
      <c r="O73" s="9" t="str">
        <f aca="false">INDEX(Context!$M$4:$M$51,K73)</f>
        <v>5th fully expanded leaf from top</v>
      </c>
      <c r="P73" s="43" t="n">
        <f aca="false">INDEX(Context!$R$4:$R$51,K73)</f>
        <v>0.953571428571428</v>
      </c>
      <c r="Q73" s="43" t="n">
        <f aca="false">INDEX(Context!$U$4:$U$51,K73)</f>
        <v>2.18945736698217</v>
      </c>
      <c r="R73" s="43" t="n">
        <f aca="false">INDEX(Context!$AD$4:$AD$51,K73)</f>
        <v>0.85</v>
      </c>
      <c r="S73" s="9" t="str">
        <f aca="false">INDEX(Context!$AI$4:$AN$51,K73,MATCH(F73,Severity_Classes!$A$4:$A$9,0))</f>
        <v>Likely</v>
      </c>
      <c r="T73" s="44" t="n">
        <f aca="false">Parameters!$E$4*IF($N73="V",Parameters!$I$4,IF($N73="F",Parameters!$J$4,Parameters!$K$4))*(1-Parameters!$L$4*$P73)*IF($D73="V1",Parameters!$M$4,IF($D73="V2",Parameters!$N$4,Parameters!$O$4))</f>
        <v>77.8046607142857</v>
      </c>
      <c r="U73" s="44" t="n">
        <f aca="false">MIN(100,T73*(1+INDEX(Response_Table!$E$4:$E$21,MATCH($F73&amp;"|mid",Response_Table!$A$4:$A$21,0))*$R73*INDEX(Parameters!$X$4:$AA$4,1,MATCH($E73,Parameters!$X$3:$AA$3,0))))</f>
        <v>67.1210322470534</v>
      </c>
      <c r="V73" s="44" t="n">
        <f aca="false">MAX(0,MIN(T73*(1+INDEX(Response_Table!$E$4:$E$21,MATCH($F73&amp;"|low",Response_Table!$A$4:$A$21,0))*$R73*INDEX(Parameters!$X$4:$AA$4,1,MATCH($E73,Parameters!$X$3:$AA$3,0))),T73*(1+INDEX(Response_Table!$E$4:$E$21,MATCH($F73&amp;"|high",Response_Table!$A$4:$A$21,0))*$R73*INDEX(Parameters!$X$4:$AA$4,1,MATCH($E73,Parameters!$X$3:$AA$3,0))))*(1-Inputs_General!$C$22*Parameters!$F$4))</f>
        <v>58.5014555049419</v>
      </c>
      <c r="W73" s="44" t="n">
        <f aca="false">MIN(100,MAX(T73*(1+INDEX(Response_Table!$E$4:$E$21,MATCH($F73&amp;"|low",Response_Table!$A$4:$A$21,0))*$R73*INDEX(Parameters!$X$4:$AA$4,1,MATCH($E73,Parameters!$X$3:$AA$3,0))),T73*(1+INDEX(Response_Table!$E$4:$E$21,MATCH($F73&amp;"|high",Response_Table!$A$4:$A$21,0))*$R73*INDEX(Parameters!$X$4:$AA$4,1,MATCH($E73,Parameters!$X$3:$AA$3,0))))*(1+Inputs_General!$C$22*Parameters!$F$4))</f>
        <v>76.9173902755837</v>
      </c>
      <c r="X73" s="45" t="n">
        <f aca="false">IF(T73=0,0,U73/T73-1)</f>
        <v>-0.137313476714008</v>
      </c>
      <c r="Y73" s="44" t="n">
        <f aca="false">Parameters!$E$5*IF($N73="V",Parameters!$I$5,IF($N73="F",Parameters!$J$5,Parameters!$K$5))*(1-Parameters!$L$5*$P73)*IF($D73="V1",Parameters!$M$5,IF($D73="V2",Parameters!$N$5,Parameters!$O$5))</f>
        <v>58.6602514285714</v>
      </c>
      <c r="Z73" s="44" t="n">
        <f aca="false">MIN(100,Y73*(1+INDEX(Response_Table!$F$4:$F$21,MATCH($F73&amp;"|mid",Response_Table!$A$4:$A$21,0))*$R73*INDEX(Parameters!$X$5:$AA$5,1,MATCH($E73,Parameters!$X$3:$AA$3,0))))</f>
        <v>33.7150370423924</v>
      </c>
      <c r="AA73" s="44" t="n">
        <f aca="false">MAX(0,MIN(Y73*(1+INDEX(Response_Table!$F$4:$F$21,MATCH($F73&amp;"|low",Response_Table!$A$4:$A$21,0))*$R73*INDEX(Parameters!$X$5:$AA$5,1,MATCH($E73,Parameters!$X$3:$AA$3,0))),Y73*(1+INDEX(Response_Table!$F$4:$F$21,MATCH($F73&amp;"|high",Response_Table!$A$4:$A$21,0))*$R73*INDEX(Parameters!$X$5:$AA$5,1,MATCH($E73,Parameters!$X$3:$AA$3,0))))*(1-Inputs_General!$C$22*Parameters!$F$5))</f>
        <v>24.2897457203854</v>
      </c>
      <c r="AB73" s="44" t="n">
        <f aca="false">MIN(100,MAX(Y73*(1+INDEX(Response_Table!$F$4:$F$21,MATCH($F73&amp;"|low",Response_Table!$A$4:$A$21,0))*$R73*INDEX(Parameters!$X$5:$AA$5,1,MATCH($E73,Parameters!$X$3:$AA$3,0))),Y73*(1+INDEX(Response_Table!$F$4:$F$21,MATCH($F73&amp;"|high",Response_Table!$A$4:$A$21,0))*$R73*INDEX(Parameters!$X$5:$AA$5,1,MATCH($E73,Parameters!$X$3:$AA$3,0))))*(1+Inputs_General!$C$22*Parameters!$F$5))</f>
        <v>49.1950287797304</v>
      </c>
      <c r="AC73" s="45" t="n">
        <f aca="false">IF(Y73=0,0,Z73/Y73-1)</f>
        <v>-0.425249019202618</v>
      </c>
      <c r="AD73" s="44" t="n">
        <f aca="false">Parameters!$E$6*IF($N73="V",Parameters!$I$6,IF($N73="F",Parameters!$J$6,Parameters!$K$6))*(1-Parameters!$L$6*$P73)*IF($D73="V1",Parameters!$M$6,IF($D73="V2",Parameters!$N$6,Parameters!$O$6))</f>
        <v>14.7310379285714</v>
      </c>
      <c r="AE73" s="44" t="n">
        <f aca="false">AD73*(1+INDEX(Response_Table!$G$4:$G$21,MATCH($F73&amp;"|mid",Response_Table!$A$4:$A$21,0))*$R73*INDEX(Parameters!$X$6:$AA$6,1,MATCH($E73,Parameters!$X$3:$AA$3,0)))</f>
        <v>7.10430421043997</v>
      </c>
      <c r="AF73" s="44" t="n">
        <f aca="false">MAX(0,MIN(AD73*(1+INDEX(Response_Table!$G$4:$G$21,MATCH($F73&amp;"|low",Response_Table!$A$4:$A$21,0))*$R73*INDEX(Parameters!$X$6:$AA$6,1,MATCH($E73,Parameters!$X$3:$AA$3,0))),AD73*(1+INDEX(Response_Table!$G$4:$G$21,MATCH($F73&amp;"|high",Response_Table!$A$4:$A$21,0))*$R73*INDEX(Parameters!$X$6:$AA$6,1,MATCH($E73,Parameters!$X$3:$AA$3,0))))*(1-Inputs_General!$C$22*Parameters!$F$6))</f>
        <v>5.12103566900172</v>
      </c>
      <c r="AG73" s="44" t="n">
        <f aca="false">MAX(AD73*(1+INDEX(Response_Table!$G$4:$G$21,MATCH($F73&amp;"|low",Response_Table!$A$4:$A$21,0))*$R73*INDEX(Parameters!$X$6:$AA$6,1,MATCH($E73,Parameters!$X$3:$AA$3,0))),AD73*(1+INDEX(Response_Table!$G$4:$G$21,MATCH($F73&amp;"|high",Response_Table!$A$4:$A$21,0))*$R73*INDEX(Parameters!$X$6:$AA$6,1,MATCH($E73,Parameters!$X$3:$AA$3,0))))*(1+Inputs_General!$C$22*Parameters!$F$6)</f>
        <v>9.97607066311271</v>
      </c>
      <c r="AH73" s="45" t="n">
        <f aca="false">IF(AD73=0,0,AE73/AD73-1)</f>
        <v>-0.51773227080891</v>
      </c>
      <c r="AI73" s="46" t="n">
        <f aca="false">Parameters!$E$7*IF($N73="V",Parameters!$I$7,IF($N73="F",Parameters!$J$7,Parameters!$K$7))*(1-Parameters!$L$7*$P73)*IF($D73="V1",Parameters!$M$7,IF($D73="V2",Parameters!$N$7,Parameters!$O$7))*POWER($Q73/Inputs_General!$C$26,-Inputs_General!$C$25)</f>
        <v>0.258501574676089</v>
      </c>
      <c r="AJ73" s="46" t="n">
        <f aca="false">AI73*(1+INDEX(Response_Table!$H$4:$H$21,MATCH($F73&amp;"|mid",Response_Table!$A$4:$A$21,0))*$R73*INDEX(Parameters!$X$7:$AA$7,1,MATCH($E73,Parameters!$X$3:$AA$3,0)))</f>
        <v>0.161356685382412</v>
      </c>
      <c r="AK73" s="46" t="n">
        <f aca="false">MAX(0,MIN(AI73*(1+INDEX(Response_Table!$H$4:$H$21,MATCH($F73&amp;"|low",Response_Table!$A$4:$A$21,0))*$R73*INDEX(Parameters!$X$7:$AA$7,1,MATCH($E73,Parameters!$X$3:$AA$3,0))),AI73*(1+INDEX(Response_Table!$H$4:$H$21,MATCH($F73&amp;"|high",Response_Table!$A$4:$A$21,0))*$R73*INDEX(Parameters!$X$7:$AA$7,1,MATCH($E73,Parameters!$X$3:$AA$3,0))))*(1-Inputs_General!$C$22*Parameters!$F$7))</f>
        <v>0.103858598795449</v>
      </c>
      <c r="AL73" s="46" t="n">
        <f aca="false">MAX(AI73*(1+INDEX(Response_Table!$H$4:$H$21,MATCH($F73&amp;"|low",Response_Table!$A$4:$A$21,0))*$R73*INDEX(Parameters!$X$7:$AA$7,1,MATCH($E73,Parameters!$X$3:$AA$3,0))),AI73*(1+INDEX(Response_Table!$H$4:$H$21,MATCH($F73&amp;"|high",Response_Table!$A$4:$A$21,0))*$R73*INDEX(Parameters!$X$7:$AA$7,1,MATCH($E73,Parameters!$X$3:$AA$3,0))))*(1+Inputs_General!$C$22*Parameters!$F$7)</f>
        <v>0.234788480040062</v>
      </c>
      <c r="AM73" s="45" t="n">
        <f aca="false">IF(AI73=0,0,AJ73/AI73-1)</f>
        <v>-0.375799990446492</v>
      </c>
      <c r="AN73" s="43" t="n">
        <f aca="false">AI73*$Q73/Inputs_General!$C$13*1000</f>
        <v>5.69967952720096</v>
      </c>
      <c r="AO73" s="43" t="n">
        <f aca="false">AJ73*$Q73/Inputs_General!$C$13*1000*(1+Inputs_General!$C$21*$I73)</f>
        <v>3.89572531678719</v>
      </c>
      <c r="AP73" s="43" t="n">
        <f aca="false">AK73*$Q73/Inputs_General!$C$13*1000*(1+Inputs_General!$C$21*$H73)</f>
        <v>2.43881754867931</v>
      </c>
      <c r="AQ73" s="43" t="n">
        <f aca="false">AL73*$Q73/Inputs_General!$C$13*1000*(1+Inputs_General!$C$21*$J73)</f>
        <v>5.82393543020687</v>
      </c>
      <c r="AR73" s="45" t="n">
        <f aca="false">IF(AN73=0,0,AO73/AN73-1)</f>
        <v>-0.316500989538909</v>
      </c>
      <c r="AS73" s="42" t="n">
        <f aca="false">Parameters!$E$9*IF($N73="V",Parameters!$I$9,IF($N73="F",Parameters!$J$9,Parameters!$K$9))*(1-Parameters!$L$9*$P73)*IF($D73="V1",Parameters!$M$9,IF($D73="V2",Parameters!$N$9,Parameters!$O$9))</f>
        <v>293.55</v>
      </c>
      <c r="AT73" s="42" t="n">
        <f aca="false">AS73*(1+INDEX(Response_Table!$I$4:$I$21,MATCH($F73&amp;"|mid",Response_Table!$A$4:$A$21,0))*$R73*INDEX(Parameters!$X$9:$AA$9,1,MATCH($E73,Parameters!$X$3:$AA$3,0)))</f>
        <v>352.03351702422</v>
      </c>
      <c r="AU73" s="42" t="n">
        <f aca="false">MAX(0,MIN(AS73*(1+INDEX(Response_Table!$I$4:$I$21,MATCH($F73&amp;"|low",Response_Table!$A$4:$A$21,0))*$R73*INDEX(Parameters!$X$9:$AA$9,1,MATCH($E73,Parameters!$X$3:$AA$3,0))),AS73*(1+INDEX(Response_Table!$I$4:$I$21,MATCH($F73&amp;"|high",Response_Table!$A$4:$A$21,0))*$R73*INDEX(Parameters!$X$9:$AA$9,1,MATCH($E73,Parameters!$X$3:$AA$3,0))))*(1-Inputs_General!$C$22*Parameters!$F$9))</f>
        <v>308.197111781318</v>
      </c>
      <c r="AV73" s="42" t="n">
        <f aca="false">MAX(AS73*(1+INDEX(Response_Table!$I$4:$I$21,MATCH($F73&amp;"|low",Response_Table!$A$4:$A$21,0))*$R73*INDEX(Parameters!$X$9:$AA$9,1,MATCH($E73,Parameters!$X$3:$AA$3,0))),AS73*(1+INDEX(Response_Table!$I$4:$I$21,MATCH($F73&amp;"|high",Response_Table!$A$4:$A$21,0))*$R73*INDEX(Parameters!$X$9:$AA$9,1,MATCH($E73,Parameters!$X$3:$AA$3,0))))*(1+Inputs_General!$C$22*Parameters!$F$9)</f>
        <v>393.636405791852</v>
      </c>
      <c r="AW73" s="45" t="n">
        <f aca="false">IF(AS73=0,0,AT73/AS73-1)</f>
        <v>0.199228468827185</v>
      </c>
      <c r="AX73" s="43" t="n">
        <f aca="false">INDEX(Context!$AB$4:$AB$51,$K73)</f>
        <v>2.6539155416324</v>
      </c>
      <c r="AY73" s="43" t="n">
        <f aca="false">AX73*(1+INDEX(Response_Table!$J$4:$J$21,MATCH($F73&amp;"|mid",Response_Table!$A$4:$A$21,0))*$R73*INDEX(Parameters!$X$10:$AA$10,1,MATCH($E73,Parameters!$X$3:$AA$3,0)))</f>
        <v>2.03138243682827</v>
      </c>
      <c r="AZ73" s="43" t="n">
        <f aca="false">MAX(0,MIN(AX73*(1+INDEX(Response_Table!$J$4:$J$21,MATCH($F73&amp;"|low",Response_Table!$A$4:$A$21,0))*$R73*INDEX(Parameters!$X$10:$AA$10,1,MATCH($E73,Parameters!$X$3:$AA$3,0))),AX73*(1+INDEX(Response_Table!$J$4:$J$21,MATCH($F73&amp;"|high",Response_Table!$A$4:$A$21,0))*$R73*INDEX(Parameters!$X$10:$AA$10,1,MATCH($E73,Parameters!$X$3:$AA$3,0))))*(1-Inputs_General!$C$22*Parameters!$F$10))</f>
        <v>1.54872133366489</v>
      </c>
      <c r="BA73" s="43" t="n">
        <f aca="false">MAX(AX73*(1+INDEX(Response_Table!$J$4:$J$21,MATCH($F73&amp;"|low",Response_Table!$A$4:$A$21,0))*$R73*INDEX(Parameters!$X$10:$AA$10,1,MATCH($E73,Parameters!$X$3:$AA$3,0))),AX73*(1+INDEX(Response_Table!$J$4:$J$21,MATCH($F73&amp;"|high",Response_Table!$A$4:$A$21,0))*$R73*INDEX(Parameters!$X$10:$AA$10,1,MATCH($E73,Parameters!$X$3:$AA$3,0))))*(1+Inputs_General!$C$22*Parameters!$F$10)</f>
        <v>2.59684132838567</v>
      </c>
      <c r="BB73" s="45" t="n">
        <f aca="false">IF(AX73=0,0,AY73/AX73-1)</f>
        <v>-0.234571558528653</v>
      </c>
      <c r="BC73" s="46" t="n">
        <f aca="false">Parameters!$E$11*IF($N73="V",Parameters!$I$11,IF($N73="F",Parameters!$J$11,Parameters!$K$11))*(1-Parameters!$L$11*$P73)*IF($D73="V1",Parameters!$M$11,IF($D73="V2",Parameters!$N$11,Parameters!$O$11))</f>
        <v>1.03176111607143</v>
      </c>
      <c r="BD73" s="46" t="n">
        <f aca="false">BC73*(1+INDEX(Response_Table!$K$4:$K$21,MATCH($F73&amp;"|mid",Response_Table!$A$4:$A$21,0))*$R73*INDEX(Parameters!$X$11:$AA$11,1,MATCH($E73,Parameters!$X$3:$AA$3,0)))</f>
        <v>0.630683000190517</v>
      </c>
      <c r="BE73" s="46" t="n">
        <f aca="false">MAX(0,MIN(BC73*(1+INDEX(Response_Table!$K$4:$K$21,MATCH($F73&amp;"|low",Response_Table!$A$4:$A$21,0))*$R73*INDEX(Parameters!$X$11:$AA$11,1,MATCH($E73,Parameters!$X$3:$AA$3,0))),BC73*(1+INDEX(Response_Table!$K$4:$K$21,MATCH($F73&amp;"|high",Response_Table!$A$4:$A$21,0))*$R73*INDEX(Parameters!$X$11:$AA$11,1,MATCH($E73,Parameters!$X$3:$AA$3,0))))*(1-Inputs_General!$C$22*Parameters!$F$11))</f>
        <v>0.481919582494037</v>
      </c>
      <c r="BF73" s="46" t="n">
        <f aca="false">MAX(BC73*(1+INDEX(Response_Table!$K$4:$K$21,MATCH($F73&amp;"|low",Response_Table!$A$4:$A$21,0))*$R73*INDEX(Parameters!$X$11:$AA$11,1,MATCH($E73,Parameters!$X$3:$AA$3,0))),BC73*(1+INDEX(Response_Table!$K$4:$K$21,MATCH($F73&amp;"|high",Response_Table!$A$4:$A$21,0))*$R73*INDEX(Parameters!$X$11:$AA$11,1,MATCH($E73,Parameters!$X$3:$AA$3,0))))*(1+Inputs_General!$C$22*Parameters!$F$11)</f>
        <v>0.82654520194913</v>
      </c>
      <c r="BG73" s="45" t="n">
        <f aca="false">IF(BC73=0,0,BD73/BC73-1)</f>
        <v>-0.388731567446611</v>
      </c>
      <c r="BH73" s="46" t="n">
        <f aca="false">Parameters!$E$12*IF($N73="V",Parameters!$I$12,IF($N73="F",Parameters!$J$12,Parameters!$K$12))*(1-Parameters!$L$12*$P73)*IF($D73="V1",Parameters!$M$12,IF($D73="V2",Parameters!$N$12,Parameters!$O$12))</f>
        <v>0.384543437142857</v>
      </c>
      <c r="BI73" s="46" t="n">
        <f aca="false">BH73*(1+INDEX(Response_Table!$L$4:$L$21,MATCH($F73&amp;"|mid",Response_Table!$A$4:$A$21,0))*$R73*INDEX(Parameters!$X$12:$AA$12,1,MATCH($E73,Parameters!$X$3:$AA$3,0)))</f>
        <v>0.262264543292856</v>
      </c>
      <c r="BJ73" s="46" t="n">
        <f aca="false">MAX(0,MIN(BH73*(1+INDEX(Response_Table!$L$4:$L$21,MATCH($F73&amp;"|low",Response_Table!$A$4:$A$21,0))*$R73*INDEX(Parameters!$X$12:$AA$12,1,MATCH($E73,Parameters!$X$3:$AA$3,0))),BH73*(1+INDEX(Response_Table!$L$4:$L$21,MATCH($F73&amp;"|high",Response_Table!$A$4:$A$21,0))*$R73*INDEX(Parameters!$X$12:$AA$12,1,MATCH($E73,Parameters!$X$3:$AA$3,0))))*(1-Inputs_General!$C$22*Parameters!$F$12))</f>
        <v>0.196542609727167</v>
      </c>
      <c r="BK73" s="46" t="n">
        <f aca="false">MAX(BH73*(1+INDEX(Response_Table!$L$4:$L$21,MATCH($F73&amp;"|low",Response_Table!$A$4:$A$21,0))*$R73*INDEX(Parameters!$X$12:$AA$12,1,MATCH($E73,Parameters!$X$3:$AA$3,0))),BH73*(1+INDEX(Response_Table!$L$4:$L$21,MATCH($F73&amp;"|high",Response_Table!$A$4:$A$21,0))*$R73*INDEX(Parameters!$X$12:$AA$12,1,MATCH($E73,Parameters!$X$3:$AA$3,0))))*(1+Inputs_General!$C$22*Parameters!$F$12)</f>
        <v>0.343868001235848</v>
      </c>
      <c r="BL73" s="45" t="n">
        <f aca="false">IF(BH73=0,0,BI73/BH73-1)</f>
        <v>-0.317984607300878</v>
      </c>
      <c r="BM73" s="46" t="n">
        <f aca="false">Parameters!$E$13*IF($N73="V",Parameters!$I$13,IF($N73="F",Parameters!$J$13,Parameters!$K$13))*(1-Parameters!$L$13*$P73)*IF($D73="V1",Parameters!$M$13,IF($D73="V2",Parameters!$N$13,Parameters!$O$13))</f>
        <v>0.270144353571429</v>
      </c>
      <c r="BN73" s="46" t="n">
        <f aca="false">BM73*(1+INDEX(Response_Table!$M$4:$M$21,MATCH($F73&amp;"|mid",Response_Table!$A$4:$A$21,0))*$R73*INDEX(Parameters!$X$13:$AA$13,1,MATCH($E73,Parameters!$X$3:$AA$3,0)))</f>
        <v>0.212976437249907</v>
      </c>
      <c r="BO73" s="46" t="n">
        <f aca="false">MAX(0,MIN(BM73*(1+INDEX(Response_Table!$M$4:$M$21,MATCH($F73&amp;"|low",Response_Table!$A$4:$A$21,0))*$R73*INDEX(Parameters!$X$13:$AA$13,1,MATCH($E73,Parameters!$X$3:$AA$3,0))),BM73*(1+INDEX(Response_Table!$M$4:$M$21,MATCH($F73&amp;"|high",Response_Table!$A$4:$A$21,0))*$R73*INDEX(Parameters!$X$13:$AA$13,1,MATCH($E73,Parameters!$X$3:$AA$3,0))))*(1-Inputs_General!$C$22*Parameters!$F$13))</f>
        <v>0.161236253536415</v>
      </c>
      <c r="BP73" s="46" t="n">
        <f aca="false">MAX(BM73*(1+INDEX(Response_Table!$M$4:$M$21,MATCH($F73&amp;"|low",Response_Table!$A$4:$A$21,0))*$R73*INDEX(Parameters!$X$13:$AA$13,1,MATCH($E73,Parameters!$X$3:$AA$3,0))),BM73*(1+INDEX(Response_Table!$M$4:$M$21,MATCH($F73&amp;"|high",Response_Table!$A$4:$A$21,0))*$R73*INDEX(Parameters!$X$13:$AA$13,1,MATCH($E73,Parameters!$X$3:$AA$3,0))))*(1+Inputs_General!$C$22*Parameters!$F$13)</f>
        <v>0.278339282093716</v>
      </c>
      <c r="BQ73" s="45" t="n">
        <f aca="false">IF(BM73=0,0,BN73/BM73-1)</f>
        <v>-0.211619882354511</v>
      </c>
      <c r="BR73" s="44" t="n">
        <f aca="false">Parameters!$E$14*IF($N73="V",Parameters!$I$14,IF($N73="F",Parameters!$J$14,Parameters!$K$14))*(1-Parameters!$L$14*$P73)*IF($D73="V1",Parameters!$M$14,IF($D73="V2",Parameters!$N$14,Parameters!$O$14))*INDEX(Context!$AC$4:$AC$51,$K73)</f>
        <v>17.25</v>
      </c>
      <c r="BS73" s="44" t="n">
        <f aca="false">BR73*(1+INDEX(Response_Table!$N$4:$N$21,MATCH($F73&amp;"|mid",Response_Table!$A$4:$A$21,0))*$R73*INDEX(Parameters!$X$14:$AA$14,1,MATCH($E73,Parameters!$X$3:$AA$3,0)))</f>
        <v>23.2338921555711</v>
      </c>
      <c r="BT73" s="44" t="n">
        <f aca="false">MAX(0,MIN(BR73*(1+INDEX(Response_Table!$N$4:$N$21,MATCH($F73&amp;"|low",Response_Table!$A$4:$A$21,0))*$R73*INDEX(Parameters!$X$14:$AA$14,1,MATCH($E73,Parameters!$X$3:$AA$3,0))),BR73*(1+INDEX(Response_Table!$N$4:$N$21,MATCH($F73&amp;"|high",Response_Table!$A$4:$A$21,0))*$R73*INDEX(Parameters!$X$14:$AA$14,1,MATCH($E73,Parameters!$X$3:$AA$3,0))))*(1-Inputs_General!$C$22*Parameters!$F$14))</f>
        <v>11.1504319330222</v>
      </c>
      <c r="BU73" s="44" t="n">
        <f aca="false">MAX(BR73*(1+INDEX(Response_Table!$N$4:$N$21,MATCH($F73&amp;"|low",Response_Table!$A$4:$A$21,0))*$R73*INDEX(Parameters!$X$14:$AA$14,1,MATCH($E73,Parameters!$X$3:$AA$3,0))),BR73*(1+INDEX(Response_Table!$N$4:$N$21,MATCH($F73&amp;"|high",Response_Table!$A$4:$A$21,0))*$R73*INDEX(Parameters!$X$14:$AA$14,1,MATCH($E73,Parameters!$X$3:$AA$3,0))))*(1+Inputs_General!$C$22*Parameters!$F$14)</f>
        <v>35.9702192934367</v>
      </c>
      <c r="BV73" s="45" t="n">
        <f aca="false">IF(BR73=0,0,BS73/BR73-1)</f>
        <v>0.346892298873685</v>
      </c>
      <c r="BW73" s="43" t="n">
        <f aca="false">Parameters!$E$15*IF($N73="V",Parameters!$I$15,IF($N73="F",Parameters!$J$15,Parameters!$K$15))*(1-Parameters!$L$15*$P73)*IF($D73="V1",Parameters!$M$15,IF($D73="V2",Parameters!$N$15,Parameters!$O$15))</f>
        <v>7.73084285714286</v>
      </c>
      <c r="BX73" s="43" t="n">
        <f aca="false">BW73*(1+INDEX(Response_Table!$O$4:$O$21,MATCH($F73&amp;"|mid",Response_Table!$A$4:$A$21,0))*$R73*INDEX(Parameters!$X$15:$AA$15,1,MATCH($E73,Parameters!$X$3:$AA$3,0)))</f>
        <v>7.06040039440648</v>
      </c>
      <c r="BY73" s="43" t="n">
        <f aca="false">MAX(0,MIN(BW73*(1+INDEX(Response_Table!$O$4:$O$21,MATCH($F73&amp;"|low",Response_Table!$A$4:$A$21,0))*$R73*INDEX(Parameters!$X$15:$AA$15,1,MATCH($E73,Parameters!$X$3:$AA$3,0))),BW73*(1+INDEX(Response_Table!$O$4:$O$21,MATCH($F73&amp;"|high",Response_Table!$A$4:$A$21,0))*$R73*INDEX(Parameters!$X$15:$AA$15,1,MATCH($E73,Parameters!$X$3:$AA$3,0))))*(1-Inputs_General!$C$22*Parameters!$F$15))</f>
        <v>5.59018595246029</v>
      </c>
      <c r="BZ73" s="43" t="n">
        <f aca="false">MAX(BW73*(1+INDEX(Response_Table!$O$4:$O$21,MATCH($F73&amp;"|low",Response_Table!$A$4:$A$21,0))*$R73*INDEX(Parameters!$X$15:$AA$15,1,MATCH($E73,Parameters!$X$3:$AA$3,0))),BW73*(1+INDEX(Response_Table!$O$4:$O$21,MATCH($F73&amp;"|high",Response_Table!$A$4:$A$21,0))*$R73*INDEX(Parameters!$X$15:$AA$15,1,MATCH($E73,Parameters!$X$3:$AA$3,0))))*(1+Inputs_General!$C$22*Parameters!$F$15)</f>
        <v>8.61769158345335</v>
      </c>
      <c r="CA73" s="45" t="n">
        <f aca="false">IF(BW73=0,0,BX73/BW73-1)</f>
        <v>-0.0867230747184212</v>
      </c>
      <c r="CB73" s="46" t="n">
        <f aca="false">BD73+BI73</f>
        <v>0.892947543483373</v>
      </c>
      <c r="CC73" s="43" t="n">
        <f aca="false">BD73/BI73</f>
        <v>2.4047589211717</v>
      </c>
      <c r="CD73" s="46" t="n">
        <f aca="false">BN73/CB73</f>
        <v>0.238509460946709</v>
      </c>
      <c r="CE73" s="43" t="n">
        <f aca="false">AE73/AO73</f>
        <v>1.82361527898966</v>
      </c>
      <c r="CF73" s="44" t="n">
        <f aca="false">AE73/AJ73</f>
        <v>44.0285705770599</v>
      </c>
      <c r="CG73" s="44" t="n">
        <f aca="false">INDEX(Context!$V$4:$V$51,$K73)</f>
        <v>32.7871428571429</v>
      </c>
      <c r="CH73" s="44" t="n">
        <f aca="false">INDEX(Context!$Y$4:$Y$51,$K73)</f>
        <v>28.36912210206</v>
      </c>
      <c r="CI73" s="44" t="n">
        <f aca="false">INDEX(Context!$Z$4:$Z$51,$K73)</f>
        <v>36.7871428571429</v>
      </c>
      <c r="CJ73" s="43" t="n">
        <f aca="false">INDEX(Context!$AA$4:$AA$51,$K73)</f>
        <v>0.347678571428571</v>
      </c>
      <c r="CK73" s="43" t="n">
        <f aca="false">MAX(0,MIN(1,1-(1-CJ73)*AO73/AN73))</f>
        <v>0.554138949068863</v>
      </c>
      <c r="CL73" s="44" t="n">
        <f aca="false">CH73+CK73*(CI73-CH73)</f>
        <v>33.0338752765215</v>
      </c>
      <c r="CM73" s="44" t="n">
        <f aca="false">CH73+MAX(0,MIN(1,1-(1-CJ73)*AQ73/AN73))*(CI73-CH73)</f>
        <v>31.1761753827075</v>
      </c>
      <c r="CN73" s="44" t="n">
        <f aca="false">CH73+MAX(0,MIN(1,1-(1-CJ73)*AP73/AN73))*(CI73-CH73)</f>
        <v>34.4375072703974</v>
      </c>
      <c r="CO73" s="44" t="n">
        <f aca="false">CL73-CG73</f>
        <v>0.246732419378652</v>
      </c>
      <c r="CP73" s="44" t="n">
        <f aca="false">CL73-(CH73+CJ73*(CI73-CH73))</f>
        <v>1.73798774407821</v>
      </c>
      <c r="CQ73" s="46" t="n">
        <f aca="false">CL73/CG73</f>
        <v>1.00752527966385</v>
      </c>
      <c r="CR73" s="43" t="n">
        <f aca="false">IF(CL73-CH73&lt;=0,"n/a",(CI73-CL73)/(CL73-CH73))</f>
        <v>0.804601538441452</v>
      </c>
      <c r="CS73" s="43" t="n">
        <f aca="false">IF(CI73-CL73&lt;=0,"n/a",(CL73-CH73)/(CI73-CL73))</f>
        <v>1.24285121544391</v>
      </c>
      <c r="CT73" s="43" t="n">
        <f aca="false">Inputs_General!$C$23+Inputs_General!$C$24*$I73</f>
        <v>1.36</v>
      </c>
      <c r="CU73" s="44" t="n">
        <f aca="false">3.29*CT73</f>
        <v>4.4744</v>
      </c>
    </row>
    <row r="74" customFormat="false" ht="15" hidden="false" customHeight="false" outlineLevel="0" collapsed="false">
      <c r="A74" s="9" t="str">
        <f aca="false">B74&amp;"|"&amp;E74&amp;"|"&amp;F74</f>
        <v>D1V3|13/03/2026|Very high</v>
      </c>
      <c r="B74" s="7" t="s">
        <v>345</v>
      </c>
      <c r="C74" s="9" t="s">
        <v>127</v>
      </c>
      <c r="D74" s="9" t="s">
        <v>150</v>
      </c>
      <c r="E74" s="9" t="s">
        <v>164</v>
      </c>
      <c r="F74" s="7" t="s">
        <v>285</v>
      </c>
      <c r="G74" s="9" t="s">
        <v>286</v>
      </c>
      <c r="H74" s="41" t="n">
        <f aca="false">INDEX(Severity_Classes!$C$4:$C$9,MATCH(F74,Severity_Classes!$A$4:$A$9,0))</f>
        <v>0.51</v>
      </c>
      <c r="I74" s="41" t="n">
        <f aca="false">INDEX(Severity_Classes!$D$4:$D$9,MATCH(F74,Severity_Classes!$A$4:$A$9,0))</f>
        <v>0.65</v>
      </c>
      <c r="J74" s="41" t="n">
        <f aca="false">INDEX(Severity_Classes!$E$4:$E$9,MATCH(F74,Severity_Classes!$A$4:$A$9,0))</f>
        <v>0.85</v>
      </c>
      <c r="K74" s="42" t="n">
        <f aca="false">MATCH(B74&amp;"|"&amp;E74,Context!$A$4:$A$51,0)</f>
        <v>12</v>
      </c>
      <c r="L74" s="42" t="n">
        <f aca="false">INDEX(Context!$H$4:$H$51,K74)</f>
        <v>94</v>
      </c>
      <c r="M74" s="42" t="n">
        <f aca="false">INDEX(Context!$I$4:$I$51,K74)</f>
        <v>36</v>
      </c>
      <c r="N74" s="9" t="str">
        <f aca="false">INDEX(Context!$L$4:$L$51,K74)</f>
        <v>P</v>
      </c>
      <c r="O74" s="9" t="str">
        <f aca="false">INDEX(Context!$M$4:$M$51,K74)</f>
        <v>5th fully expanded leaf from top</v>
      </c>
      <c r="P74" s="43" t="n">
        <f aca="false">INDEX(Context!$R$4:$R$51,K74)</f>
        <v>0.953571428571428</v>
      </c>
      <c r="Q74" s="43" t="n">
        <f aca="false">INDEX(Context!$U$4:$U$51,K74)</f>
        <v>2.18945736698217</v>
      </c>
      <c r="R74" s="43" t="n">
        <f aca="false">INDEX(Context!$AD$4:$AD$51,K74)</f>
        <v>0.85</v>
      </c>
      <c r="S74" s="9" t="str">
        <f aca="false">INDEX(Context!$AI$4:$AN$51,K74,MATCH(F74,Severity_Classes!$A$4:$A$9,0))</f>
        <v>Possible</v>
      </c>
      <c r="T74" s="44" t="n">
        <f aca="false">Parameters!$E$4*IF($N74="V",Parameters!$I$4,IF($N74="F",Parameters!$J$4,Parameters!$K$4))*(1-Parameters!$L$4*$P74)*IF($D74="V1",Parameters!$M$4,IF($D74="V2",Parameters!$N$4,Parameters!$O$4))</f>
        <v>77.8046607142857</v>
      </c>
      <c r="U74" s="44" t="n">
        <f aca="false">MIN(100,T74*(1+INDEX(Response_Table!$E$4:$E$21,MATCH($F74&amp;"|mid",Response_Table!$A$4:$A$21,0))*$R74*INDEX(Parameters!$X$4:$AA$4,1,MATCH($E74,Parameters!$X$3:$AA$3,0))))</f>
        <v>59.5509562362945</v>
      </c>
      <c r="V74" s="44" t="n">
        <f aca="false">MAX(0,MIN(T74*(1+INDEX(Response_Table!$E$4:$E$21,MATCH($F74&amp;"|low",Response_Table!$A$4:$A$21,0))*$R74*INDEX(Parameters!$X$4:$AA$4,1,MATCH($E74,Parameters!$X$3:$AA$3,0))),T74*(1+INDEX(Response_Table!$E$4:$E$21,MATCH($F74&amp;"|high",Response_Table!$A$4:$A$21,0))*$R74*INDEX(Parameters!$X$4:$AA$4,1,MATCH($E74,Parameters!$X$3:$AA$3,0))))*(1-Inputs_General!$C$22*Parameters!$F$4))</f>
        <v>54.4486948289438</v>
      </c>
      <c r="W74" s="44" t="n">
        <f aca="false">MIN(100,MAX(T74*(1+INDEX(Response_Table!$E$4:$E$21,MATCH($F74&amp;"|low",Response_Table!$A$4:$A$21,0))*$R74*INDEX(Parameters!$X$4:$AA$4,1,MATCH($E74,Parameters!$X$3:$AA$3,0))),T74*(1+INDEX(Response_Table!$E$4:$E$21,MATCH($F74&amp;"|high",Response_Table!$A$4:$A$21,0))*$R74*INDEX(Parameters!$X$4:$AA$4,1,MATCH($E74,Parameters!$X$3:$AA$3,0))))*(1+Inputs_General!$C$22*Parameters!$F$4))</f>
        <v>66.4284070813125</v>
      </c>
      <c r="X74" s="45" t="n">
        <f aca="false">IF(T74=0,0,U74/T74-1)</f>
        <v>-0.234609396280545</v>
      </c>
      <c r="Y74" s="44" t="n">
        <f aca="false">Parameters!$E$5*IF($N74="V",Parameters!$I$5,IF($N74="F",Parameters!$J$5,Parameters!$K$5))*(1-Parameters!$L$5*$P74)*IF($D74="V1",Parameters!$M$5,IF($D74="V2",Parameters!$N$5,Parameters!$O$5))</f>
        <v>58.6602514285714</v>
      </c>
      <c r="Z74" s="44" t="n">
        <f aca="false">MIN(100,Y74*(1+INDEX(Response_Table!$F$4:$F$21,MATCH($F74&amp;"|mid",Response_Table!$A$4:$A$21,0))*$R74*INDEX(Parameters!$X$5:$AA$5,1,MATCH($E74,Parameters!$X$3:$AA$3,0))))</f>
        <v>24.6507118915932</v>
      </c>
      <c r="AA74" s="44" t="n">
        <f aca="false">MAX(0,MIN(Y74*(1+INDEX(Response_Table!$F$4:$F$21,MATCH($F74&amp;"|low",Response_Table!$A$4:$A$21,0))*$R74*INDEX(Parameters!$X$5:$AA$5,1,MATCH($E74,Parameters!$X$3:$AA$3,0))),Y74*(1+INDEX(Response_Table!$F$4:$F$21,MATCH($F74&amp;"|high",Response_Table!$A$4:$A$21,0))*$R74*INDEX(Parameters!$X$5:$AA$5,1,MATCH($E74,Parameters!$X$3:$AA$3,0))))*(1-Inputs_General!$C$22*Parameters!$F$5))</f>
        <v>21.1309914029612</v>
      </c>
      <c r="AB74" s="44" t="n">
        <f aca="false">MIN(100,MAX(Y74*(1+INDEX(Response_Table!$F$4:$F$21,MATCH($F74&amp;"|low",Response_Table!$A$4:$A$21,0))*$R74*INDEX(Parameters!$X$5:$AA$5,1,MATCH($E74,Parameters!$X$3:$AA$3,0))),Y74*(1+INDEX(Response_Table!$F$4:$F$21,MATCH($F74&amp;"|high",Response_Table!$A$4:$A$21,0))*$R74*INDEX(Parameters!$X$5:$AA$5,1,MATCH($E74,Parameters!$X$3:$AA$3,0))))*(1+Inputs_General!$C$22*Parameters!$F$5))</f>
        <v>30.2554204146292</v>
      </c>
      <c r="AC74" s="45" t="n">
        <f aca="false">IF(Y74=0,0,Z74/Y74-1)</f>
        <v>-0.579771458674883</v>
      </c>
      <c r="AD74" s="44" t="n">
        <f aca="false">Parameters!$E$6*IF($N74="V",Parameters!$I$6,IF($N74="F",Parameters!$J$6,Parameters!$K$6))*(1-Parameters!$L$6*$P74)*IF($D74="V1",Parameters!$M$6,IF($D74="V2",Parameters!$N$6,Parameters!$O$6))</f>
        <v>14.7310379285714</v>
      </c>
      <c r="AE74" s="44" t="n">
        <f aca="false">AD74*(1+INDEX(Response_Table!$G$4:$G$21,MATCH($F74&amp;"|mid",Response_Table!$A$4:$A$21,0))*$R74*INDEX(Parameters!$X$6:$AA$6,1,MATCH($E74,Parameters!$X$3:$AA$3,0)))</f>
        <v>5.87781427734759</v>
      </c>
      <c r="AF74" s="44" t="n">
        <f aca="false">MAX(0,MIN(AD74*(1+INDEX(Response_Table!$G$4:$G$21,MATCH($F74&amp;"|low",Response_Table!$A$4:$A$21,0))*$R74*INDEX(Parameters!$X$6:$AA$6,1,MATCH($E74,Parameters!$X$3:$AA$3,0))),AD74*(1+INDEX(Response_Table!$G$4:$G$21,MATCH($F74&amp;"|high",Response_Table!$A$4:$A$21,0))*$R74*INDEX(Parameters!$X$6:$AA$6,1,MATCH($E74,Parameters!$X$3:$AA$3,0))))*(1-Inputs_General!$C$22*Parameters!$F$6))</f>
        <v>4.46492552226835</v>
      </c>
      <c r="AG74" s="44" t="n">
        <f aca="false">MAX(AD74*(1+INDEX(Response_Table!$G$4:$G$21,MATCH($F74&amp;"|low",Response_Table!$A$4:$A$21,0))*$R74*INDEX(Parameters!$X$6:$AA$6,1,MATCH($E74,Parameters!$X$3:$AA$3,0))),AD74*(1+INDEX(Response_Table!$G$4:$G$21,MATCH($F74&amp;"|high",Response_Table!$A$4:$A$21,0))*$R74*INDEX(Parameters!$X$6:$AA$6,1,MATCH($E74,Parameters!$X$3:$AA$3,0))))*(1+Inputs_General!$C$22*Parameters!$F$6)</f>
        <v>7.58644612827969</v>
      </c>
      <c r="AH74" s="45" t="n">
        <f aca="false">IF(AD74=0,0,AE74/AD74-1)</f>
        <v>-0.600991165330765</v>
      </c>
      <c r="AI74" s="46" t="n">
        <f aca="false">Parameters!$E$7*IF($N74="V",Parameters!$I$7,IF($N74="F",Parameters!$J$7,Parameters!$K$7))*(1-Parameters!$L$7*$P74)*IF($D74="V1",Parameters!$M$7,IF($D74="V2",Parameters!$N$7,Parameters!$O$7))*POWER($Q74/Inputs_General!$C$26,-Inputs_General!$C$25)</f>
        <v>0.258501574676089</v>
      </c>
      <c r="AJ74" s="46" t="n">
        <f aca="false">AI74*(1+INDEX(Response_Table!$H$4:$H$21,MATCH($F74&amp;"|mid",Response_Table!$A$4:$A$21,0))*$R74*INDEX(Parameters!$X$7:$AA$7,1,MATCH($E74,Parameters!$X$3:$AA$3,0)))</f>
        <v>0.135999339193782</v>
      </c>
      <c r="AK74" s="46" t="n">
        <f aca="false">MAX(0,MIN(AI74*(1+INDEX(Response_Table!$H$4:$H$21,MATCH($F74&amp;"|low",Response_Table!$A$4:$A$21,0))*$R74*INDEX(Parameters!$X$7:$AA$7,1,MATCH($E74,Parameters!$X$3:$AA$3,0))),AI74*(1+INDEX(Response_Table!$H$4:$H$21,MATCH($F74&amp;"|high",Response_Table!$A$4:$A$21,0))*$R74*INDEX(Parameters!$X$7:$AA$7,1,MATCH($E74,Parameters!$X$3:$AA$3,0))))*(1-Inputs_General!$C$22*Parameters!$F$7))</f>
        <v>0.0892765124683278</v>
      </c>
      <c r="AL74" s="46" t="n">
        <f aca="false">MAX(AI74*(1+INDEX(Response_Table!$H$4:$H$21,MATCH($F74&amp;"|low",Response_Table!$A$4:$A$21,0))*$R74*INDEX(Parameters!$X$7:$AA$7,1,MATCH($E74,Parameters!$X$3:$AA$3,0))),AI74*(1+INDEX(Response_Table!$H$4:$H$21,MATCH($F74&amp;"|high",Response_Table!$A$4:$A$21,0))*$R74*INDEX(Parameters!$X$7:$AA$7,1,MATCH($E74,Parameters!$X$3:$AA$3,0))))*(1+Inputs_General!$C$22*Parameters!$F$7)</f>
        <v>0.19001543745326</v>
      </c>
      <c r="AM74" s="45" t="n">
        <f aca="false">IF(AI74=0,0,AJ74/AI74-1)</f>
        <v>-0.473893575448451</v>
      </c>
      <c r="AN74" s="43" t="n">
        <f aca="false">AI74*$Q74/Inputs_General!$C$13*1000</f>
        <v>5.69967952720096</v>
      </c>
      <c r="AO74" s="43" t="n">
        <f aca="false">AJ74*$Q74/Inputs_General!$C$13*1000*(1+Inputs_General!$C$21*$I74)</f>
        <v>3.48591669493148</v>
      </c>
      <c r="AP74" s="43" t="n">
        <f aca="false">AK74*$Q74/Inputs_General!$C$13*1000*(1+Inputs_General!$C$21*$H74)</f>
        <v>2.21942774881514</v>
      </c>
      <c r="AQ74" s="43" t="n">
        <f aca="false">AL74*$Q74/Inputs_General!$C$13*1000*(1+Inputs_General!$C$21*$J74)</f>
        <v>5.0799317521552</v>
      </c>
      <c r="AR74" s="45" t="n">
        <f aca="false">IF(AN74=0,0,AO74/AN74-1)</f>
        <v>-0.388401281458824</v>
      </c>
      <c r="AS74" s="42" t="n">
        <f aca="false">Parameters!$E$9*IF($N74="V",Parameters!$I$9,IF($N74="F",Parameters!$J$9,Parameters!$K$9))*(1-Parameters!$L$9*$P74)*IF($D74="V1",Parameters!$M$9,IF($D74="V2",Parameters!$N$9,Parameters!$O$9))</f>
        <v>293.55</v>
      </c>
      <c r="AT74" s="42" t="n">
        <f aca="false">AS74*(1+INDEX(Response_Table!$I$4:$I$21,MATCH($F74&amp;"|mid",Response_Table!$A$4:$A$21,0))*$R74*INDEX(Parameters!$X$9:$AA$9,1,MATCH($E74,Parameters!$X$3:$AA$3,0)))</f>
        <v>362.845482734372</v>
      </c>
      <c r="AU74" s="42" t="n">
        <f aca="false">MAX(0,MIN(AS74*(1+INDEX(Response_Table!$I$4:$I$21,MATCH($F74&amp;"|low",Response_Table!$A$4:$A$21,0))*$R74*INDEX(Parameters!$X$9:$AA$9,1,MATCH($E74,Parameters!$X$3:$AA$3,0))),AS74*(1+INDEX(Response_Table!$I$4:$I$21,MATCH($F74&amp;"|high",Response_Table!$A$4:$A$21,0))*$R74*INDEX(Parameters!$X$9:$AA$9,1,MATCH($E74,Parameters!$X$3:$AA$3,0))))*(1-Inputs_General!$C$22*Parameters!$F$9))</f>
        <v>323.270999999858</v>
      </c>
      <c r="AV74" s="42" t="n">
        <f aca="false">MAX(AS74*(1+INDEX(Response_Table!$I$4:$I$21,MATCH($F74&amp;"|low",Response_Table!$A$4:$A$21,0))*$R74*INDEX(Parameters!$X$9:$AA$9,1,MATCH($E74,Parameters!$X$3:$AA$3,0))),AS74*(1+INDEX(Response_Table!$I$4:$I$21,MATCH($F74&amp;"|high",Response_Table!$A$4:$A$21,0))*$R74*INDEX(Parameters!$X$9:$AA$9,1,MATCH($E74,Parameters!$X$3:$AA$3,0))))*(1+Inputs_General!$C$22*Parameters!$F$9)</f>
        <v>402.022114875989</v>
      </c>
      <c r="AW74" s="45" t="n">
        <f aca="false">IF(AS74=0,0,AT74/AS74-1)</f>
        <v>0.236060237555345</v>
      </c>
      <c r="AX74" s="43" t="n">
        <f aca="false">INDEX(Context!$AB$4:$AB$51,$K74)</f>
        <v>2.6539155416324</v>
      </c>
      <c r="AY74" s="43" t="n">
        <f aca="false">AX74*(1+INDEX(Response_Table!$J$4:$J$21,MATCH($F74&amp;"|mid",Response_Table!$A$4:$A$21,0))*$R74*INDEX(Parameters!$X$10:$AA$10,1,MATCH($E74,Parameters!$X$3:$AA$3,0)))</f>
        <v>1.83868235730414</v>
      </c>
      <c r="AZ74" s="43" t="n">
        <f aca="false">MAX(0,MIN(AX74*(1+INDEX(Response_Table!$J$4:$J$21,MATCH($F74&amp;"|low",Response_Table!$A$4:$A$21,0))*$R74*INDEX(Parameters!$X$10:$AA$10,1,MATCH($E74,Parameters!$X$3:$AA$3,0))),AX74*(1+INDEX(Response_Table!$J$4:$J$21,MATCH($F74&amp;"|high",Response_Table!$A$4:$A$21,0))*$R74*INDEX(Parameters!$X$10:$AA$10,1,MATCH($E74,Parameters!$X$3:$AA$3,0))))*(1-Inputs_General!$C$22*Parameters!$F$10))</f>
        <v>1.4126016539355</v>
      </c>
      <c r="BA74" s="43" t="n">
        <f aca="false">MAX(AX74*(1+INDEX(Response_Table!$J$4:$J$21,MATCH($F74&amp;"|low",Response_Table!$A$4:$A$21,0))*$R74*INDEX(Parameters!$X$10:$AA$10,1,MATCH($E74,Parameters!$X$3:$AA$3,0))),AX74*(1+INDEX(Response_Table!$J$4:$J$21,MATCH($F74&amp;"|high",Response_Table!$A$4:$A$21,0))*$R74*INDEX(Parameters!$X$10:$AA$10,1,MATCH($E74,Parameters!$X$3:$AA$3,0))))*(1+Inputs_General!$C$22*Parameters!$F$10)</f>
        <v>2.30194110840585</v>
      </c>
      <c r="BB74" s="45" t="n">
        <f aca="false">IF(AX74=0,0,AY74/AX74-1)</f>
        <v>-0.307181284234396</v>
      </c>
      <c r="BC74" s="46" t="n">
        <f aca="false">Parameters!$E$11*IF($N74="V",Parameters!$I$11,IF($N74="F",Parameters!$J$11,Parameters!$K$11))*(1-Parameters!$L$11*$P74)*IF($D74="V1",Parameters!$M$11,IF($D74="V2",Parameters!$N$11,Parameters!$O$11))</f>
        <v>1.03176111607143</v>
      </c>
      <c r="BD74" s="46" t="n">
        <f aca="false">BC74*(1+INDEX(Response_Table!$K$4:$K$21,MATCH($F74&amp;"|mid",Response_Table!$A$4:$A$21,0))*$R74*INDEX(Parameters!$X$11:$AA$11,1,MATCH($E74,Parameters!$X$3:$AA$3,0)))</f>
        <v>0.532929319122865</v>
      </c>
      <c r="BE74" s="46" t="n">
        <f aca="false">MAX(0,MIN(BC74*(1+INDEX(Response_Table!$K$4:$K$21,MATCH($F74&amp;"|low",Response_Table!$A$4:$A$21,0))*$R74*INDEX(Parameters!$X$11:$AA$11,1,MATCH($E74,Parameters!$X$3:$AA$3,0))),BC74*(1+INDEX(Response_Table!$K$4:$K$21,MATCH($F74&amp;"|high",Response_Table!$A$4:$A$21,0))*$R74*INDEX(Parameters!$X$11:$AA$11,1,MATCH($E74,Parameters!$X$3:$AA$3,0))))*(1-Inputs_General!$C$22*Parameters!$F$11))</f>
        <v>0.417135801014429</v>
      </c>
      <c r="BF74" s="46" t="n">
        <f aca="false">MAX(BC74*(1+INDEX(Response_Table!$K$4:$K$21,MATCH($F74&amp;"|low",Response_Table!$A$4:$A$21,0))*$R74*INDEX(Parameters!$X$11:$AA$11,1,MATCH($E74,Parameters!$X$3:$AA$3,0))),BC74*(1+INDEX(Response_Table!$K$4:$K$21,MATCH($F74&amp;"|high",Response_Table!$A$4:$A$21,0))*$R74*INDEX(Parameters!$X$11:$AA$11,1,MATCH($E74,Parameters!$X$3:$AA$3,0))))*(1+Inputs_General!$C$22*Parameters!$F$11)</f>
        <v>0.66746718919665</v>
      </c>
      <c r="BG74" s="45" t="n">
        <f aca="false">IF(BC74=0,0,BD74/BC74-1)</f>
        <v>-0.483476057760283</v>
      </c>
      <c r="BH74" s="46" t="n">
        <f aca="false">Parameters!$E$12*IF($N74="V",Parameters!$I$12,IF($N74="F",Parameters!$J$12,Parameters!$K$12))*(1-Parameters!$L$12*$P74)*IF($D74="V1",Parameters!$M$12,IF($D74="V2",Parameters!$N$12,Parameters!$O$12))</f>
        <v>0.384543437142857</v>
      </c>
      <c r="BI74" s="46" t="n">
        <f aca="false">BH74*(1+INDEX(Response_Table!$L$4:$L$21,MATCH($F74&amp;"|mid",Response_Table!$A$4:$A$21,0))*$R74*INDEX(Parameters!$X$12:$AA$12,1,MATCH($E74,Parameters!$X$3:$AA$3,0)))</f>
        <v>0.230346567314279</v>
      </c>
      <c r="BJ74" s="46" t="n">
        <f aca="false">MAX(0,MIN(BH74*(1+INDEX(Response_Table!$L$4:$L$21,MATCH($F74&amp;"|low",Response_Table!$A$4:$A$21,0))*$R74*INDEX(Parameters!$X$12:$AA$12,1,MATCH($E74,Parameters!$X$3:$AA$3,0))),BH74*(1+INDEX(Response_Table!$L$4:$L$21,MATCH($F74&amp;"|high",Response_Table!$A$4:$A$21,0))*$R74*INDEX(Parameters!$X$12:$AA$12,1,MATCH($E74,Parameters!$X$3:$AA$3,0))))*(1-Inputs_General!$C$22*Parameters!$F$12))</f>
        <v>0.175614047253027</v>
      </c>
      <c r="BK74" s="46" t="n">
        <f aca="false">MAX(BH74*(1+INDEX(Response_Table!$L$4:$L$21,MATCH($F74&amp;"|low",Response_Table!$A$4:$A$21,0))*$R74*INDEX(Parameters!$X$12:$AA$12,1,MATCH($E74,Parameters!$X$3:$AA$3,0))),BH74*(1+INDEX(Response_Table!$L$4:$L$21,MATCH($F74&amp;"|high",Response_Table!$A$4:$A$21,0))*$R74*INDEX(Parameters!$X$12:$AA$12,1,MATCH($E74,Parameters!$X$3:$AA$3,0))))*(1+Inputs_General!$C$22*Parameters!$F$12)</f>
        <v>0.291802638900658</v>
      </c>
      <c r="BL74" s="45" t="n">
        <f aca="false">IF(BH74=0,0,BI74/BH74-1)</f>
        <v>-0.400986871533305</v>
      </c>
      <c r="BM74" s="46" t="n">
        <f aca="false">Parameters!$E$13*IF($N74="V",Parameters!$I$13,IF($N74="F",Parameters!$J$13,Parameters!$K$13))*(1-Parameters!$L$13*$P74)*IF($D74="V1",Parameters!$M$13,IF($D74="V2",Parameters!$N$13,Parameters!$O$13))</f>
        <v>0.270144353571429</v>
      </c>
      <c r="BN74" s="46" t="n">
        <f aca="false">BM74*(1+INDEX(Response_Table!$M$4:$M$21,MATCH($F74&amp;"|mid",Response_Table!$A$4:$A$21,0))*$R74*INDEX(Parameters!$X$13:$AA$13,1,MATCH($E74,Parameters!$X$3:$AA$3,0)))</f>
        <v>0.191972986041918</v>
      </c>
      <c r="BO74" s="46" t="n">
        <f aca="false">MAX(0,MIN(BM74*(1+INDEX(Response_Table!$M$4:$M$21,MATCH($F74&amp;"|low",Response_Table!$A$4:$A$21,0))*$R74*INDEX(Parameters!$X$13:$AA$13,1,MATCH($E74,Parameters!$X$3:$AA$3,0))),BM74*(1+INDEX(Response_Table!$M$4:$M$21,MATCH($F74&amp;"|high",Response_Table!$A$4:$A$21,0))*$R74*INDEX(Parameters!$X$13:$AA$13,1,MATCH($E74,Parameters!$X$3:$AA$3,0))))*(1-Inputs_General!$C$22*Parameters!$F$13))</f>
        <v>0.148942457421177</v>
      </c>
      <c r="BP74" s="46" t="n">
        <f aca="false">MAX(BM74*(1+INDEX(Response_Table!$M$4:$M$21,MATCH($F74&amp;"|low",Response_Table!$A$4:$A$21,0))*$R74*INDEX(Parameters!$X$13:$AA$13,1,MATCH($E74,Parameters!$X$3:$AA$3,0))),BM74*(1+INDEX(Response_Table!$M$4:$M$21,MATCH($F74&amp;"|high",Response_Table!$A$4:$A$21,0))*$R74*INDEX(Parameters!$X$13:$AA$13,1,MATCH($E74,Parameters!$X$3:$AA$3,0))))*(1+Inputs_General!$C$22*Parameters!$F$13)</f>
        <v>0.239629269199871</v>
      </c>
      <c r="BQ74" s="45" t="n">
        <f aca="false">IF(BM74=0,0,BN74/BM74-1)</f>
        <v>-0.289368874440834</v>
      </c>
      <c r="BR74" s="44" t="n">
        <f aca="false">Parameters!$E$14*IF($N74="V",Parameters!$I$14,IF($N74="F",Parameters!$J$14,Parameters!$K$14))*(1-Parameters!$L$14*$P74)*IF($D74="V1",Parameters!$M$14,IF($D74="V2",Parameters!$N$14,Parameters!$O$14))*INDEX(Context!$AC$4:$AC$51,$K74)</f>
        <v>17.25</v>
      </c>
      <c r="BS74" s="44" t="n">
        <f aca="false">BR74*(1+INDEX(Response_Table!$N$4:$N$21,MATCH($F74&amp;"|mid",Response_Table!$A$4:$A$21,0))*$R74*INDEX(Parameters!$X$14:$AA$14,1,MATCH($E74,Parameters!$X$3:$AA$3,0)))</f>
        <v>24.7958438552176</v>
      </c>
      <c r="BT74" s="44" t="n">
        <f aca="false">MAX(0,MIN(BR74*(1+INDEX(Response_Table!$N$4:$N$21,MATCH($F74&amp;"|low",Response_Table!$A$4:$A$21,0))*$R74*INDEX(Parameters!$X$14:$AA$14,1,MATCH($E74,Parameters!$X$3:$AA$3,0))),BR74*(1+INDEX(Response_Table!$N$4:$N$21,MATCH($F74&amp;"|high",Response_Table!$A$4:$A$21,0))*$R74*INDEX(Parameters!$X$14:$AA$14,1,MATCH($E74,Parameters!$X$3:$AA$3,0))))*(1-Inputs_General!$C$22*Parameters!$F$14))</f>
        <v>12.2281901619278</v>
      </c>
      <c r="BU74" s="44" t="n">
        <f aca="false">MAX(BR74*(1+INDEX(Response_Table!$N$4:$N$21,MATCH($F74&amp;"|low",Response_Table!$A$4:$A$21,0))*$R74*INDEX(Parameters!$X$14:$AA$14,1,MATCH($E74,Parameters!$X$3:$AA$3,0))),BR74*(1+INDEX(Response_Table!$N$4:$N$21,MATCH($F74&amp;"|high",Response_Table!$A$4:$A$21,0))*$R74*INDEX(Parameters!$X$14:$AA$14,1,MATCH($E74,Parameters!$X$3:$AA$3,0))))*(1+Inputs_General!$C$22*Parameters!$F$14)</f>
        <v>37.8760210675005</v>
      </c>
      <c r="BV74" s="45" t="n">
        <f aca="false">IF(BR74=0,0,BS74/BR74-1)</f>
        <v>0.437440223490878</v>
      </c>
      <c r="BW74" s="43" t="n">
        <f aca="false">Parameters!$E$15*IF($N74="V",Parameters!$I$15,IF($N74="F",Parameters!$J$15,Parameters!$K$15))*(1-Parameters!$L$15*$P74)*IF($D74="V1",Parameters!$M$15,IF($D74="V2",Parameters!$N$15,Parameters!$O$15))</f>
        <v>7.73084285714286</v>
      </c>
      <c r="BX74" s="43" t="n">
        <f aca="false">BW74*(1+INDEX(Response_Table!$O$4:$O$21,MATCH($F74&amp;"|mid",Response_Table!$A$4:$A$21,0))*$R74*INDEX(Parameters!$X$15:$AA$15,1,MATCH($E74,Parameters!$X$3:$AA$3,0)))</f>
        <v>6.8853974503425</v>
      </c>
      <c r="BY74" s="43" t="n">
        <f aca="false">MAX(0,MIN(BW74*(1+INDEX(Response_Table!$O$4:$O$21,MATCH($F74&amp;"|low",Response_Table!$A$4:$A$21,0))*$R74*INDEX(Parameters!$X$15:$AA$15,1,MATCH($E74,Parameters!$X$3:$AA$3,0))),BW74*(1+INDEX(Response_Table!$O$4:$O$21,MATCH($F74&amp;"|high",Response_Table!$A$4:$A$21,0))*$R74*INDEX(Parameters!$X$15:$AA$15,1,MATCH($E74,Parameters!$X$3:$AA$3,0))))*(1-Inputs_General!$C$22*Parameters!$F$15))</f>
        <v>5.47543682017008</v>
      </c>
      <c r="BZ74" s="43" t="n">
        <f aca="false">MAX(BW74*(1+INDEX(Response_Table!$O$4:$O$21,MATCH($F74&amp;"|low",Response_Table!$A$4:$A$21,0))*$R74*INDEX(Parameters!$X$15:$AA$15,1,MATCH($E74,Parameters!$X$3:$AA$3,0))),BW74*(1+INDEX(Response_Table!$O$4:$O$21,MATCH($F74&amp;"|high",Response_Table!$A$4:$A$21,0))*$R74*INDEX(Parameters!$X$15:$AA$15,1,MATCH($E74,Parameters!$X$3:$AA$3,0))))*(1+Inputs_General!$C$22*Parameters!$F$15)</f>
        <v>8.33222261453966</v>
      </c>
      <c r="CA74" s="45" t="n">
        <f aca="false">IF(BW74=0,0,BX74/BW74-1)</f>
        <v>-0.109360055872719</v>
      </c>
      <c r="CB74" s="46" t="n">
        <f aca="false">BD74+BI74</f>
        <v>0.763275886437143</v>
      </c>
      <c r="CC74" s="43" t="n">
        <f aca="false">BD74/BI74</f>
        <v>2.31359783363192</v>
      </c>
      <c r="CD74" s="46" t="n">
        <f aca="false">BN74/CB74</f>
        <v>0.251511923084612</v>
      </c>
      <c r="CE74" s="43" t="n">
        <f aca="false">AE74/AO74</f>
        <v>1.68616028199811</v>
      </c>
      <c r="CF74" s="44" t="n">
        <f aca="false">AE74/AJ74</f>
        <v>43.2194326251279</v>
      </c>
      <c r="CG74" s="44" t="n">
        <f aca="false">INDEX(Context!$V$4:$V$51,$K74)</f>
        <v>32.7871428571429</v>
      </c>
      <c r="CH74" s="44" t="n">
        <f aca="false">INDEX(Context!$Y$4:$Y$51,$K74)</f>
        <v>28.36912210206</v>
      </c>
      <c r="CI74" s="44" t="n">
        <f aca="false">INDEX(Context!$Z$4:$Z$51,$K74)</f>
        <v>36.7871428571429</v>
      </c>
      <c r="CJ74" s="43" t="n">
        <f aca="false">INDEX(Context!$AA$4:$AA$51,$K74)</f>
        <v>0.347678571428571</v>
      </c>
      <c r="CK74" s="43" t="n">
        <f aca="false">MAX(0,MIN(1,1-(1-CJ74)*AO74/AN74))</f>
        <v>0.601041050208765</v>
      </c>
      <c r="CL74" s="44" t="n">
        <f aca="false">CH74+CK74*(CI74-CH74)</f>
        <v>33.4286981373742</v>
      </c>
      <c r="CM74" s="44" t="n">
        <f aca="false">CH74+MAX(0,MIN(1,1-(1-CJ74)*AQ74/AN74))*(CI74-CH74)</f>
        <v>31.8929725533553</v>
      </c>
      <c r="CN74" s="44" t="n">
        <f aca="false">CH74+MAX(0,MIN(1,1-(1-CJ74)*AP74/AN74))*(CI74-CH74)</f>
        <v>34.6488744886663</v>
      </c>
      <c r="CO74" s="44" t="n">
        <f aca="false">CL74-CG74</f>
        <v>0.641555280231344</v>
      </c>
      <c r="CP74" s="44" t="n">
        <f aca="false">CL74-(CH74+CJ74*(CI74-CH74))</f>
        <v>2.1328106049309</v>
      </c>
      <c r="CQ74" s="46" t="n">
        <f aca="false">CL74/CG74</f>
        <v>1.01956728230412</v>
      </c>
      <c r="CR74" s="43" t="n">
        <f aca="false">IF(CL74-CH74&lt;=0,"n/a",(CI74-CL74)/(CL74-CH74))</f>
        <v>0.663779869366094</v>
      </c>
      <c r="CS74" s="43" t="n">
        <f aca="false">IF(CI74-CL74&lt;=0,"n/a",(CL74-CH74)/(CI74-CL74))</f>
        <v>1.50652354214206</v>
      </c>
      <c r="CT74" s="43" t="n">
        <f aca="false">Inputs_General!$C$23+Inputs_General!$C$24*$I74</f>
        <v>1.9</v>
      </c>
      <c r="CU74" s="44" t="n">
        <f aca="false">3.29*CT74</f>
        <v>6.251</v>
      </c>
    </row>
    <row r="75" customFormat="false" ht="15" hidden="false" customHeight="false" outlineLevel="0" collapsed="false">
      <c r="A75" s="33" t="str">
        <f aca="false">B75&amp;"|"&amp;E75&amp;"|"&amp;F75</f>
        <v>D2V1|11/02/2026|Healthy</v>
      </c>
      <c r="B75" s="34" t="s">
        <v>346</v>
      </c>
      <c r="C75" s="33" t="s">
        <v>129</v>
      </c>
      <c r="D75" s="33" t="s">
        <v>142</v>
      </c>
      <c r="E75" s="33" t="s">
        <v>158</v>
      </c>
      <c r="F75" s="34" t="s">
        <v>275</v>
      </c>
      <c r="G75" s="33" t="s">
        <v>276</v>
      </c>
      <c r="H75" s="35" t="n">
        <f aca="false">INDEX(Severity_Classes!$C$4:$C$9,MATCH(F75,Severity_Classes!$A$4:$A$9,0))</f>
        <v>0</v>
      </c>
      <c r="I75" s="35" t="n">
        <f aca="false">INDEX(Severity_Classes!$D$4:$D$9,MATCH(F75,Severity_Classes!$A$4:$A$9,0))</f>
        <v>0</v>
      </c>
      <c r="J75" s="35" t="n">
        <f aca="false">INDEX(Severity_Classes!$E$4:$E$9,MATCH(F75,Severity_Classes!$A$4:$A$9,0))</f>
        <v>0</v>
      </c>
      <c r="K75" s="36" t="n">
        <f aca="false">MATCH(B75&amp;"|"&amp;E75,Context!$A$4:$A$51,0)</f>
        <v>13</v>
      </c>
      <c r="L75" s="36" t="n">
        <f aca="false">INDEX(Context!$H$4:$H$51,K75)</f>
        <v>55</v>
      </c>
      <c r="M75" s="36" t="n">
        <f aca="false">INDEX(Context!$I$4:$I$51,K75)</f>
        <v>6</v>
      </c>
      <c r="N75" s="33" t="str">
        <f aca="false">INDEX(Context!$L$4:$L$51,K75)</f>
        <v>V</v>
      </c>
      <c r="O75" s="33" t="str">
        <f aca="false">INDEX(Context!$M$4:$M$51,K75)</f>
        <v>3rd fully expanded leaf from top</v>
      </c>
      <c r="P75" s="37" t="n">
        <f aca="false">INDEX(Context!$R$4:$R$51,K75)</f>
        <v>0</v>
      </c>
      <c r="Q75" s="37" t="n">
        <f aca="false">INDEX(Context!$U$4:$U$51,K75)</f>
        <v>0.937791824040773</v>
      </c>
      <c r="R75" s="37" t="n">
        <f aca="false">INDEX(Context!$AD$4:$AD$51,K75)</f>
        <v>1</v>
      </c>
      <c r="S75" s="33" t="str">
        <f aca="false">INDEX(Context!$AI$4:$AN$51,K75,MATCH(F75,Severity_Classes!$A$4:$A$9,0))</f>
        <v>Reference: healthy (uninoculated) control plot</v>
      </c>
      <c r="T75" s="38" t="n">
        <f aca="false">Parameters!$E$4*IF($N75="V",Parameters!$I$4,IF($N75="F",Parameters!$J$4,Parameters!$K$4))*(1-Parameters!$L$4*$P75)*IF($D75="V1",Parameters!$M$4,IF($D75="V2",Parameters!$N$4,Parameters!$O$4))</f>
        <v>86</v>
      </c>
      <c r="U75" s="38" t="n">
        <f aca="false">MIN(100,T75*(1+INDEX(Response_Table!$E$4:$E$21,MATCH($F75&amp;"|mid",Response_Table!$A$4:$A$21,0))*$R75*INDEX(Parameters!$X$4:$AA$4,1,MATCH($E75,Parameters!$X$3:$AA$3,0))))</f>
        <v>86</v>
      </c>
      <c r="V75" s="38" t="n">
        <f aca="false">MAX(0,MIN(T75*(1+INDEX(Response_Table!$E$4:$E$21,MATCH($F75&amp;"|low",Response_Table!$A$4:$A$21,0))*$R75*INDEX(Parameters!$X$4:$AA$4,1,MATCH($E75,Parameters!$X$3:$AA$3,0))),T75*(1+INDEX(Response_Table!$E$4:$E$21,MATCH($F75&amp;"|high",Response_Table!$A$4:$A$21,0))*$R75*INDEX(Parameters!$X$4:$AA$4,1,MATCH($E75,Parameters!$X$3:$AA$3,0))))*(1-Inputs_General!$C$22*Parameters!$F$4))</f>
        <v>80.3412</v>
      </c>
      <c r="W75" s="38" t="n">
        <f aca="false">MIN(100,MAX(T75*(1+INDEX(Response_Table!$E$4:$E$21,MATCH($F75&amp;"|low",Response_Table!$A$4:$A$21,0))*$R75*INDEX(Parameters!$X$4:$AA$4,1,MATCH($E75,Parameters!$X$3:$AA$3,0))),T75*(1+INDEX(Response_Table!$E$4:$E$21,MATCH($F75&amp;"|high",Response_Table!$A$4:$A$21,0))*$R75*INDEX(Parameters!$X$4:$AA$4,1,MATCH($E75,Parameters!$X$3:$AA$3,0))))*(1+Inputs_General!$C$22*Parameters!$F$4))</f>
        <v>91.6588</v>
      </c>
      <c r="X75" s="39" t="n">
        <f aca="false">IF(T75=0,0,U75/T75-1)</f>
        <v>0</v>
      </c>
      <c r="Y75" s="38" t="n">
        <f aca="false">Parameters!$E$5*IF($N75="V",Parameters!$I$5,IF($N75="F",Parameters!$J$5,Parameters!$K$5))*(1-Parameters!$L$5*$P75)*IF($D75="V1",Parameters!$M$5,IF($D75="V2",Parameters!$N$5,Parameters!$O$5))</f>
        <v>72</v>
      </c>
      <c r="Z75" s="38" t="n">
        <f aca="false">MIN(100,Y75*(1+INDEX(Response_Table!$F$4:$F$21,MATCH($F75&amp;"|mid",Response_Table!$A$4:$A$21,0))*$R75*INDEX(Parameters!$X$5:$AA$5,1,MATCH($E75,Parameters!$X$3:$AA$3,0))))</f>
        <v>72</v>
      </c>
      <c r="AA75" s="38" t="n">
        <f aca="false">MAX(0,MIN(Y75*(1+INDEX(Response_Table!$F$4:$F$21,MATCH($F75&amp;"|low",Response_Table!$A$4:$A$21,0))*$R75*INDEX(Parameters!$X$5:$AA$5,1,MATCH($E75,Parameters!$X$3:$AA$3,0))),Y75*(1+INDEX(Response_Table!$F$4:$F$21,MATCH($F75&amp;"|high",Response_Table!$A$4:$A$21,0))*$R75*INDEX(Parameters!$X$5:$AA$5,1,MATCH($E75,Parameters!$X$3:$AA$3,0))))*(1-Inputs_General!$C$22*Parameters!$F$5))</f>
        <v>63.7092</v>
      </c>
      <c r="AB75" s="38" t="n">
        <f aca="false">MIN(100,MAX(Y75*(1+INDEX(Response_Table!$F$4:$F$21,MATCH($F75&amp;"|low",Response_Table!$A$4:$A$21,0))*$R75*INDEX(Parameters!$X$5:$AA$5,1,MATCH($E75,Parameters!$X$3:$AA$3,0))),Y75*(1+INDEX(Response_Table!$F$4:$F$21,MATCH($F75&amp;"|high",Response_Table!$A$4:$A$21,0))*$R75*INDEX(Parameters!$X$5:$AA$5,1,MATCH($E75,Parameters!$X$3:$AA$3,0))))*(1+Inputs_General!$C$22*Parameters!$F$5))</f>
        <v>80.2908</v>
      </c>
      <c r="AC75" s="39" t="n">
        <f aca="false">IF(Y75=0,0,Z75/Y75-1)</f>
        <v>0</v>
      </c>
      <c r="AD75" s="38" t="n">
        <f aca="false">Parameters!$E$6*IF($N75="V",Parameters!$I$6,IF($N75="F",Parameters!$J$6,Parameters!$K$6))*(1-Parameters!$L$6*$P75)*IF($D75="V1",Parameters!$M$6,IF($D75="V2",Parameters!$N$6,Parameters!$O$6))</f>
        <v>19</v>
      </c>
      <c r="AE75" s="38" t="n">
        <f aca="false">AD75*(1+INDEX(Response_Table!$G$4:$G$21,MATCH($F75&amp;"|mid",Response_Table!$A$4:$A$21,0))*$R75*INDEX(Parameters!$X$6:$AA$6,1,MATCH($E75,Parameters!$X$3:$AA$3,0)))</f>
        <v>19</v>
      </c>
      <c r="AF75" s="38" t="n">
        <f aca="false">MAX(0,MIN(AD75*(1+INDEX(Response_Table!$G$4:$G$21,MATCH($F75&amp;"|low",Response_Table!$A$4:$A$21,0))*$R75*INDEX(Parameters!$X$6:$AA$6,1,MATCH($E75,Parameters!$X$3:$AA$3,0))),AD75*(1+INDEX(Response_Table!$G$4:$G$21,MATCH($F75&amp;"|high",Response_Table!$A$4:$A$21,0))*$R75*INDEX(Parameters!$X$6:$AA$6,1,MATCH($E75,Parameters!$X$3:$AA$3,0))))*(1-Inputs_General!$C$22*Parameters!$F$6))</f>
        <v>15.2494</v>
      </c>
      <c r="AG75" s="38" t="n">
        <f aca="false">MAX(AD75*(1+INDEX(Response_Table!$G$4:$G$21,MATCH($F75&amp;"|low",Response_Table!$A$4:$A$21,0))*$R75*INDEX(Parameters!$X$6:$AA$6,1,MATCH($E75,Parameters!$X$3:$AA$3,0))),AD75*(1+INDEX(Response_Table!$G$4:$G$21,MATCH($F75&amp;"|high",Response_Table!$A$4:$A$21,0))*$R75*INDEX(Parameters!$X$6:$AA$6,1,MATCH($E75,Parameters!$X$3:$AA$3,0))))*(1+Inputs_General!$C$22*Parameters!$F$6)</f>
        <v>22.7506</v>
      </c>
      <c r="AH75" s="39" t="n">
        <f aca="false">IF(AD75=0,0,AE75/AD75-1)</f>
        <v>0</v>
      </c>
      <c r="AI75" s="40" t="n">
        <f aca="false">Parameters!$E$7*IF($N75="V",Parameters!$I$7,IF($N75="F",Parameters!$J$7,Parameters!$K$7))*(1-Parameters!$L$7*$P75)*IF($D75="V1",Parameters!$M$7,IF($D75="V2",Parameters!$N$7,Parameters!$O$7))*POWER($Q75/Inputs_General!$C$26,-Inputs_General!$C$25)</f>
        <v>0.464685683730118</v>
      </c>
      <c r="AJ75" s="40" t="n">
        <f aca="false">AI75*(1+INDEX(Response_Table!$H$4:$H$21,MATCH($F75&amp;"|mid",Response_Table!$A$4:$A$21,0))*$R75*INDEX(Parameters!$X$7:$AA$7,1,MATCH($E75,Parameters!$X$3:$AA$3,0)))</f>
        <v>0.464685683730118</v>
      </c>
      <c r="AK75" s="40" t="n">
        <f aca="false">MAX(0,MIN(AI75*(1+INDEX(Response_Table!$H$4:$H$21,MATCH($F75&amp;"|low",Response_Table!$A$4:$A$21,0))*$R75*INDEX(Parameters!$X$7:$AA$7,1,MATCH($E75,Parameters!$X$3:$AA$3,0))),AI75*(1+INDEX(Response_Table!$H$4:$H$21,MATCH($F75&amp;"|high",Response_Table!$A$4:$A$21,0))*$R75*INDEX(Parameters!$X$7:$AA$7,1,MATCH($E75,Parameters!$X$3:$AA$3,0))))*(1-Inputs_General!$C$22*Parameters!$F$7))</f>
        <v>0.32709225277763</v>
      </c>
      <c r="AL75" s="40" t="n">
        <f aca="false">MAX(AI75*(1+INDEX(Response_Table!$H$4:$H$21,MATCH($F75&amp;"|low",Response_Table!$A$4:$A$21,0))*$R75*INDEX(Parameters!$X$7:$AA$7,1,MATCH($E75,Parameters!$X$3:$AA$3,0))),AI75*(1+INDEX(Response_Table!$H$4:$H$21,MATCH($F75&amp;"|high",Response_Table!$A$4:$A$21,0))*$R75*INDEX(Parameters!$X$7:$AA$7,1,MATCH($E75,Parameters!$X$3:$AA$3,0))))*(1+Inputs_General!$C$22*Parameters!$F$7)</f>
        <v>0.602279114682606</v>
      </c>
      <c r="AM75" s="39" t="n">
        <f aca="false">IF(AI75=0,0,AJ75/AI75-1)</f>
        <v>0</v>
      </c>
      <c r="AN75" s="37" t="n">
        <f aca="false">AI75*$Q75/Inputs_General!$C$13*1000</f>
        <v>4.38850387664553</v>
      </c>
      <c r="AO75" s="37" t="n">
        <f aca="false">AJ75*$Q75/Inputs_General!$C$13*1000*(1+Inputs_General!$C$21*$I75)</f>
        <v>4.38850387664553</v>
      </c>
      <c r="AP75" s="37" t="n">
        <f aca="false">AK75*$Q75/Inputs_General!$C$13*1000*(1+Inputs_General!$C$21*$H75)</f>
        <v>3.08906787877079</v>
      </c>
      <c r="AQ75" s="37" t="n">
        <f aca="false">AL75*$Q75/Inputs_General!$C$13*1000*(1+Inputs_General!$C$21*$J75)</f>
        <v>5.68793987452027</v>
      </c>
      <c r="AR75" s="39" t="n">
        <f aca="false">IF(AN75=0,0,AO75/AN75-1)</f>
        <v>0</v>
      </c>
      <c r="AS75" s="36" t="n">
        <f aca="false">Parameters!$E$9*IF($N75="V",Parameters!$I$9,IF($N75="F",Parameters!$J$9,Parameters!$K$9))*(1-Parameters!$L$9*$P75)*IF($D75="V1",Parameters!$M$9,IF($D75="V2",Parameters!$N$9,Parameters!$O$9))</f>
        <v>285</v>
      </c>
      <c r="AT75" s="36" t="n">
        <f aca="false">AS75*(1+INDEX(Response_Table!$I$4:$I$21,MATCH($F75&amp;"|mid",Response_Table!$A$4:$A$21,0))*$R75*INDEX(Parameters!$X$9:$AA$9,1,MATCH($E75,Parameters!$X$3:$AA$3,0)))</f>
        <v>285</v>
      </c>
      <c r="AU75" s="36" t="n">
        <f aca="false">MAX(0,MIN(AS75*(1+INDEX(Response_Table!$I$4:$I$21,MATCH($F75&amp;"|low",Response_Table!$A$4:$A$21,0))*$R75*INDEX(Parameters!$X$9:$AA$9,1,MATCH($E75,Parameters!$X$3:$AA$3,0))),AS75*(1+INDEX(Response_Table!$I$4:$I$21,MATCH($F75&amp;"|high",Response_Table!$A$4:$A$21,0))*$R75*INDEX(Parameters!$X$9:$AA$9,1,MATCH($E75,Parameters!$X$3:$AA$3,0))))*(1-Inputs_General!$C$22*Parameters!$F$9))</f>
        <v>256.8705</v>
      </c>
      <c r="AV75" s="36" t="n">
        <f aca="false">MAX(AS75*(1+INDEX(Response_Table!$I$4:$I$21,MATCH($F75&amp;"|low",Response_Table!$A$4:$A$21,0))*$R75*INDEX(Parameters!$X$9:$AA$9,1,MATCH($E75,Parameters!$X$3:$AA$3,0))),AS75*(1+INDEX(Response_Table!$I$4:$I$21,MATCH($F75&amp;"|high",Response_Table!$A$4:$A$21,0))*$R75*INDEX(Parameters!$X$9:$AA$9,1,MATCH($E75,Parameters!$X$3:$AA$3,0))))*(1+Inputs_General!$C$22*Parameters!$F$9)</f>
        <v>313.1295</v>
      </c>
      <c r="AW75" s="39" t="n">
        <f aca="false">IF(AS75=0,0,AT75/AS75-1)</f>
        <v>0</v>
      </c>
      <c r="AX75" s="37" t="n">
        <f aca="false">INDEX(Context!$AB$4:$AB$51,$K75)</f>
        <v>1.78847463648905</v>
      </c>
      <c r="AY75" s="37" t="n">
        <f aca="false">AX75*(1+INDEX(Response_Table!$J$4:$J$21,MATCH($F75&amp;"|mid",Response_Table!$A$4:$A$21,0))*$R75*INDEX(Parameters!$X$10:$AA$10,1,MATCH($E75,Parameters!$X$3:$AA$3,0)))</f>
        <v>1.78847463648905</v>
      </c>
      <c r="AZ75" s="37" t="n">
        <f aca="false">MAX(0,MIN(AX75*(1+INDEX(Response_Table!$J$4:$J$21,MATCH($F75&amp;"|low",Response_Table!$A$4:$A$21,0))*$R75*INDEX(Parameters!$X$10:$AA$10,1,MATCH($E75,Parameters!$X$3:$AA$3,0))),AX75*(1+INDEX(Response_Table!$J$4:$J$21,MATCH($F75&amp;"|high",Response_Table!$A$4:$A$21,0))*$R75*INDEX(Parameters!$X$10:$AA$10,1,MATCH($E75,Parameters!$X$3:$AA$3,0))))*(1-Inputs_General!$C$22*Parameters!$F$10))</f>
        <v>1.43542974324611</v>
      </c>
      <c r="BA75" s="37" t="n">
        <f aca="false">MAX(AX75*(1+INDEX(Response_Table!$J$4:$J$21,MATCH($F75&amp;"|low",Response_Table!$A$4:$A$21,0))*$R75*INDEX(Parameters!$X$10:$AA$10,1,MATCH($E75,Parameters!$X$3:$AA$3,0))),AX75*(1+INDEX(Response_Table!$J$4:$J$21,MATCH($F75&amp;"|high",Response_Table!$A$4:$A$21,0))*$R75*INDEX(Parameters!$X$10:$AA$10,1,MATCH($E75,Parameters!$X$3:$AA$3,0))))*(1+Inputs_General!$C$22*Parameters!$F$10)</f>
        <v>2.14151952973199</v>
      </c>
      <c r="BB75" s="39" t="n">
        <f aca="false">IF(AX75=0,0,AY75/AX75-1)</f>
        <v>0</v>
      </c>
      <c r="BC75" s="40" t="n">
        <f aca="false">Parameters!$E$11*IF($N75="V",Parameters!$I$11,IF($N75="F",Parameters!$J$11,Parameters!$K$11))*(1-Parameters!$L$11*$P75)*IF($D75="V1",Parameters!$M$11,IF($D75="V2",Parameters!$N$11,Parameters!$O$11))</f>
        <v>1.1875</v>
      </c>
      <c r="BD75" s="40" t="n">
        <f aca="false">BC75*(1+INDEX(Response_Table!$K$4:$K$21,MATCH($F75&amp;"|mid",Response_Table!$A$4:$A$21,0))*$R75*INDEX(Parameters!$X$11:$AA$11,1,MATCH($E75,Parameters!$X$3:$AA$3,0)))</f>
        <v>1.1875</v>
      </c>
      <c r="BE75" s="40" t="n">
        <f aca="false">MAX(0,MIN(BC75*(1+INDEX(Response_Table!$K$4:$K$21,MATCH($F75&amp;"|low",Response_Table!$A$4:$A$21,0))*$R75*INDEX(Parameters!$X$11:$AA$11,1,MATCH($E75,Parameters!$X$3:$AA$3,0))),BC75*(1+INDEX(Response_Table!$K$4:$K$21,MATCH($F75&amp;"|high",Response_Table!$A$4:$A$21,0))*$R75*INDEX(Parameters!$X$11:$AA$11,1,MATCH($E75,Parameters!$X$3:$AA$3,0))))*(1-Inputs_General!$C$22*Parameters!$F$11))</f>
        <v>0.99215625</v>
      </c>
      <c r="BF75" s="40" t="n">
        <f aca="false">MAX(BC75*(1+INDEX(Response_Table!$K$4:$K$21,MATCH($F75&amp;"|low",Response_Table!$A$4:$A$21,0))*$R75*INDEX(Parameters!$X$11:$AA$11,1,MATCH($E75,Parameters!$X$3:$AA$3,0))),BC75*(1+INDEX(Response_Table!$K$4:$K$21,MATCH($F75&amp;"|high",Response_Table!$A$4:$A$21,0))*$R75*INDEX(Parameters!$X$11:$AA$11,1,MATCH($E75,Parameters!$X$3:$AA$3,0))))*(1+Inputs_General!$C$22*Parameters!$F$11)</f>
        <v>1.38284375</v>
      </c>
      <c r="BG75" s="39" t="n">
        <f aca="false">IF(BC75=0,0,BD75/BC75-1)</f>
        <v>0</v>
      </c>
      <c r="BH75" s="40" t="n">
        <f aca="false">Parameters!$E$12*IF($N75="V",Parameters!$I$12,IF($N75="F",Parameters!$J$12,Parameters!$K$12))*(1-Parameters!$L$12*$P75)*IF($D75="V1",Parameters!$M$12,IF($D75="V2",Parameters!$N$12,Parameters!$O$12))</f>
        <v>0.4275</v>
      </c>
      <c r="BI75" s="40" t="n">
        <f aca="false">BH75*(1+INDEX(Response_Table!$L$4:$L$21,MATCH($F75&amp;"|mid",Response_Table!$A$4:$A$21,0))*$R75*INDEX(Parameters!$X$12:$AA$12,1,MATCH($E75,Parameters!$X$3:$AA$3,0)))</f>
        <v>0.4275</v>
      </c>
      <c r="BJ75" s="40" t="n">
        <f aca="false">MAX(0,MIN(BH75*(1+INDEX(Response_Table!$L$4:$L$21,MATCH($F75&amp;"|low",Response_Table!$A$4:$A$21,0))*$R75*INDEX(Parameters!$X$12:$AA$12,1,MATCH($E75,Parameters!$X$3:$AA$3,0))),BH75*(1+INDEX(Response_Table!$L$4:$L$21,MATCH($F75&amp;"|high",Response_Table!$A$4:$A$21,0))*$R75*INDEX(Parameters!$X$12:$AA$12,1,MATCH($E75,Parameters!$X$3:$AA$3,0))))*(1-Inputs_General!$C$22*Parameters!$F$12))</f>
        <v>0.3431115</v>
      </c>
      <c r="BK75" s="40" t="n">
        <f aca="false">MAX(BH75*(1+INDEX(Response_Table!$L$4:$L$21,MATCH($F75&amp;"|low",Response_Table!$A$4:$A$21,0))*$R75*INDEX(Parameters!$X$12:$AA$12,1,MATCH($E75,Parameters!$X$3:$AA$3,0))),BH75*(1+INDEX(Response_Table!$L$4:$L$21,MATCH($F75&amp;"|high",Response_Table!$A$4:$A$21,0))*$R75*INDEX(Parameters!$X$12:$AA$12,1,MATCH($E75,Parameters!$X$3:$AA$3,0))))*(1+Inputs_General!$C$22*Parameters!$F$12)</f>
        <v>0.5118885</v>
      </c>
      <c r="BL75" s="39" t="n">
        <f aca="false">IF(BH75=0,0,BI75/BH75-1)</f>
        <v>0</v>
      </c>
      <c r="BM75" s="40" t="n">
        <f aca="false">Parameters!$E$13*IF($N75="V",Parameters!$I$13,IF($N75="F",Parameters!$J$13,Parameters!$K$13))*(1-Parameters!$L$13*$P75)*IF($D75="V1",Parameters!$M$13,IF($D75="V2",Parameters!$N$13,Parameters!$O$13))</f>
        <v>0.285</v>
      </c>
      <c r="BN75" s="40" t="n">
        <f aca="false">BM75*(1+INDEX(Response_Table!$M$4:$M$21,MATCH($F75&amp;"|mid",Response_Table!$A$4:$A$21,0))*$R75*INDEX(Parameters!$X$13:$AA$13,1,MATCH($E75,Parameters!$X$3:$AA$3,0)))</f>
        <v>0.285</v>
      </c>
      <c r="BO75" s="40" t="n">
        <f aca="false">MAX(0,MIN(BM75*(1+INDEX(Response_Table!$M$4:$M$21,MATCH($F75&amp;"|low",Response_Table!$A$4:$A$21,0))*$R75*INDEX(Parameters!$X$13:$AA$13,1,MATCH($E75,Parameters!$X$3:$AA$3,0))),BM75*(1+INDEX(Response_Table!$M$4:$M$21,MATCH($F75&amp;"|high",Response_Table!$A$4:$A$21,0))*$R75*INDEX(Parameters!$X$13:$AA$13,1,MATCH($E75,Parameters!$X$3:$AA$3,0))))*(1-Inputs_General!$C$22*Parameters!$F$13))</f>
        <v>0.228741</v>
      </c>
      <c r="BP75" s="40" t="n">
        <f aca="false">MAX(BM75*(1+INDEX(Response_Table!$M$4:$M$21,MATCH($F75&amp;"|low",Response_Table!$A$4:$A$21,0))*$R75*INDEX(Parameters!$X$13:$AA$13,1,MATCH($E75,Parameters!$X$3:$AA$3,0))),BM75*(1+INDEX(Response_Table!$M$4:$M$21,MATCH($F75&amp;"|high",Response_Table!$A$4:$A$21,0))*$R75*INDEX(Parameters!$X$13:$AA$13,1,MATCH($E75,Parameters!$X$3:$AA$3,0))))*(1+Inputs_General!$C$22*Parameters!$F$13)</f>
        <v>0.341259</v>
      </c>
      <c r="BQ75" s="39" t="n">
        <f aca="false">IF(BM75=0,0,BN75/BM75-1)</f>
        <v>0</v>
      </c>
      <c r="BR75" s="38" t="n">
        <f aca="false">Parameters!$E$14*IF($N75="V",Parameters!$I$14,IF($N75="F",Parameters!$J$14,Parameters!$K$14))*(1-Parameters!$L$14*$P75)*IF($D75="V1",Parameters!$M$14,IF($D75="V2",Parameters!$N$14,Parameters!$O$14))*INDEX(Context!$AC$4:$AC$51,$K75)</f>
        <v>17.325</v>
      </c>
      <c r="BS75" s="38" t="n">
        <f aca="false">BR75*(1+INDEX(Response_Table!$N$4:$N$21,MATCH($F75&amp;"|mid",Response_Table!$A$4:$A$21,0))*$R75*INDEX(Parameters!$X$14:$AA$14,1,MATCH($E75,Parameters!$X$3:$AA$3,0)))</f>
        <v>17.325</v>
      </c>
      <c r="BT75" s="38" t="n">
        <f aca="false">MAX(0,MIN(BR75*(1+INDEX(Response_Table!$N$4:$N$21,MATCH($F75&amp;"|low",Response_Table!$A$4:$A$21,0))*$R75*INDEX(Parameters!$X$14:$AA$14,1,MATCH($E75,Parameters!$X$3:$AA$3,0))),BR75*(1+INDEX(Response_Table!$N$4:$N$21,MATCH($F75&amp;"|high",Response_Table!$A$4:$A$21,0))*$R75*INDEX(Parameters!$X$14:$AA$14,1,MATCH($E75,Parameters!$X$3:$AA$3,0))))*(1-Inputs_General!$C$22*Parameters!$F$14))</f>
        <v>8.7751125</v>
      </c>
      <c r="BU75" s="38" t="n">
        <f aca="false">MAX(BR75*(1+INDEX(Response_Table!$N$4:$N$21,MATCH($F75&amp;"|low",Response_Table!$A$4:$A$21,0))*$R75*INDEX(Parameters!$X$14:$AA$14,1,MATCH($E75,Parameters!$X$3:$AA$3,0))),BR75*(1+INDEX(Response_Table!$N$4:$N$21,MATCH($F75&amp;"|high",Response_Table!$A$4:$A$21,0))*$R75*INDEX(Parameters!$X$14:$AA$14,1,MATCH($E75,Parameters!$X$3:$AA$3,0))))*(1+Inputs_General!$C$22*Parameters!$F$14)</f>
        <v>25.8748875</v>
      </c>
      <c r="BV75" s="39" t="n">
        <f aca="false">IF(BR75=0,0,BS75/BR75-1)</f>
        <v>0</v>
      </c>
      <c r="BW75" s="37" t="n">
        <f aca="false">Parameters!$E$15*IF($N75="V",Parameters!$I$15,IF($N75="F",Parameters!$J$15,Parameters!$K$15))*(1-Parameters!$L$15*$P75)*IF($D75="V1",Parameters!$M$15,IF($D75="V2",Parameters!$N$15,Parameters!$O$15))</f>
        <v>11.232</v>
      </c>
      <c r="BX75" s="37" t="n">
        <f aca="false">BW75*(1+INDEX(Response_Table!$O$4:$O$21,MATCH($F75&amp;"|mid",Response_Table!$A$4:$A$21,0))*$R75*INDEX(Parameters!$X$15:$AA$15,1,MATCH($E75,Parameters!$X$3:$AA$3,0)))</f>
        <v>11.232</v>
      </c>
      <c r="BY75" s="37" t="n">
        <f aca="false">MAX(0,MIN(BW75*(1+INDEX(Response_Table!$O$4:$O$21,MATCH($F75&amp;"|low",Response_Table!$A$4:$A$21,0))*$R75*INDEX(Parameters!$X$15:$AA$15,1,MATCH($E75,Parameters!$X$3:$AA$3,0))),BW75*(1+INDEX(Response_Table!$O$4:$O$21,MATCH($F75&amp;"|high",Response_Table!$A$4:$A$21,0))*$R75*INDEX(Parameters!$X$15:$AA$15,1,MATCH($E75,Parameters!$X$3:$AA$3,0))))*(1-Inputs_General!$C$22*Parameters!$F$15))</f>
        <v>9.0148032</v>
      </c>
      <c r="BZ75" s="37" t="n">
        <f aca="false">MAX(BW75*(1+INDEX(Response_Table!$O$4:$O$21,MATCH($F75&amp;"|low",Response_Table!$A$4:$A$21,0))*$R75*INDEX(Parameters!$X$15:$AA$15,1,MATCH($E75,Parameters!$X$3:$AA$3,0))),BW75*(1+INDEX(Response_Table!$O$4:$O$21,MATCH($F75&amp;"|high",Response_Table!$A$4:$A$21,0))*$R75*INDEX(Parameters!$X$15:$AA$15,1,MATCH($E75,Parameters!$X$3:$AA$3,0))))*(1+Inputs_General!$C$22*Parameters!$F$15)</f>
        <v>13.4491968</v>
      </c>
      <c r="CA75" s="39" t="n">
        <f aca="false">IF(BW75=0,0,BX75/BW75-1)</f>
        <v>0</v>
      </c>
      <c r="CB75" s="40" t="n">
        <f aca="false">BD75+BI75</f>
        <v>1.615</v>
      </c>
      <c r="CC75" s="37" t="n">
        <f aca="false">BD75/BI75</f>
        <v>2.77777777777778</v>
      </c>
      <c r="CD75" s="40" t="n">
        <f aca="false">BN75/CB75</f>
        <v>0.176470588235294</v>
      </c>
      <c r="CE75" s="37" t="n">
        <f aca="false">AE75/AO75</f>
        <v>4.32949372589439</v>
      </c>
      <c r="CF75" s="38" t="n">
        <f aca="false">AE75/AJ75</f>
        <v>40.887853155887</v>
      </c>
      <c r="CG75" s="38" t="n">
        <f aca="false">INDEX(Context!$V$4:$V$51,$K75)</f>
        <v>22.6257142857143</v>
      </c>
      <c r="CH75" s="38" t="n">
        <f aca="false">INDEX(Context!$Y$4:$Y$51,$K75)</f>
        <v>21.3177449518561</v>
      </c>
      <c r="CI75" s="38" t="n">
        <f aca="false">INDEX(Context!$Z$4:$Z$51,$K75)</f>
        <v>26.6257142857143</v>
      </c>
      <c r="CJ75" s="37" t="n">
        <f aca="false">INDEX(Context!$AA$4:$AA$51,$K75)</f>
        <v>0.12</v>
      </c>
      <c r="CK75" s="37" t="n">
        <f aca="false">MAX(0,MIN(1,1-(1-CJ75)*AO75/AN75))</f>
        <v>0.12</v>
      </c>
      <c r="CL75" s="38" t="n">
        <f aca="false">CH75+CK75*(CI75-CH75)</f>
        <v>21.954701271919</v>
      </c>
      <c r="CM75" s="38" t="n">
        <f aca="false">CH75+MAX(0,MIN(1,1-(1-CJ75)*AQ75/AN75))*(CI75-CH75)</f>
        <v>21.3177449518561</v>
      </c>
      <c r="CN75" s="38" t="n">
        <f aca="false">CH75+MAX(0,MIN(1,1-(1-CJ75)*AP75/AN75))*(CI75-CH75)</f>
        <v>23.3377882253038</v>
      </c>
      <c r="CO75" s="38" t="n">
        <f aca="false">CL75-CG75</f>
        <v>-0.67101301379525</v>
      </c>
      <c r="CP75" s="38" t="n">
        <f aca="false">CL75-(CH75+CJ75*(CI75-CH75))</f>
        <v>0</v>
      </c>
      <c r="CQ75" s="40" t="n">
        <f aca="false">CL75/CG75</f>
        <v>0.970342902534621</v>
      </c>
      <c r="CR75" s="37" t="n">
        <f aca="false">IF(CL75-CH75&lt;=0,"n/a",(CI75-CL75)/(CL75-CH75))</f>
        <v>7.33333333333333</v>
      </c>
      <c r="CS75" s="37" t="n">
        <f aca="false">IF(CI75-CL75&lt;=0,"n/a",(CL75-CH75)/(CI75-CL75))</f>
        <v>0.136363636363636</v>
      </c>
      <c r="CT75" s="37" t="n">
        <f aca="false">Inputs_General!$C$23+Inputs_General!$C$24*$I75</f>
        <v>0.6</v>
      </c>
      <c r="CU75" s="38" t="n">
        <f aca="false">3.29*CT75</f>
        <v>1.974</v>
      </c>
    </row>
    <row r="76" customFormat="false" ht="15" hidden="false" customHeight="false" outlineLevel="0" collapsed="false">
      <c r="A76" s="9" t="str">
        <f aca="false">B76&amp;"|"&amp;E76&amp;"|"&amp;F76</f>
        <v>D2V1|11/02/2026|Very low</v>
      </c>
      <c r="B76" s="7" t="s">
        <v>346</v>
      </c>
      <c r="C76" s="9" t="s">
        <v>129</v>
      </c>
      <c r="D76" s="9" t="s">
        <v>142</v>
      </c>
      <c r="E76" s="9" t="s">
        <v>158</v>
      </c>
      <c r="F76" s="7" t="s">
        <v>277</v>
      </c>
      <c r="G76" s="9" t="s">
        <v>278</v>
      </c>
      <c r="H76" s="41" t="n">
        <f aca="false">INDEX(Severity_Classes!$C$4:$C$9,MATCH(F76,Severity_Classes!$A$4:$A$9,0))</f>
        <v>0.01</v>
      </c>
      <c r="I76" s="41" t="n">
        <f aca="false">INDEX(Severity_Classes!$D$4:$D$9,MATCH(F76,Severity_Classes!$A$4:$A$9,0))</f>
        <v>0.03</v>
      </c>
      <c r="J76" s="41" t="n">
        <f aca="false">INDEX(Severity_Classes!$E$4:$E$9,MATCH(F76,Severity_Classes!$A$4:$A$9,0))</f>
        <v>0.05</v>
      </c>
      <c r="K76" s="42" t="n">
        <f aca="false">MATCH(B76&amp;"|"&amp;E76,Context!$A$4:$A$51,0)</f>
        <v>13</v>
      </c>
      <c r="L76" s="42" t="n">
        <f aca="false">INDEX(Context!$H$4:$H$51,K76)</f>
        <v>55</v>
      </c>
      <c r="M76" s="42" t="n">
        <f aca="false">INDEX(Context!$I$4:$I$51,K76)</f>
        <v>6</v>
      </c>
      <c r="N76" s="9" t="str">
        <f aca="false">INDEX(Context!$L$4:$L$51,K76)</f>
        <v>V</v>
      </c>
      <c r="O76" s="9" t="str">
        <f aca="false">INDEX(Context!$M$4:$M$51,K76)</f>
        <v>3rd fully expanded leaf from top</v>
      </c>
      <c r="P76" s="43" t="n">
        <f aca="false">INDEX(Context!$R$4:$R$51,K76)</f>
        <v>0</v>
      </c>
      <c r="Q76" s="43" t="n">
        <f aca="false">INDEX(Context!$U$4:$U$51,K76)</f>
        <v>0.937791824040773</v>
      </c>
      <c r="R76" s="43" t="n">
        <f aca="false">INDEX(Context!$AD$4:$AD$51,K76)</f>
        <v>1</v>
      </c>
      <c r="S76" s="9" t="str">
        <f aca="false">INDEX(Context!$AI$4:$AN$51,K76,MATCH(F76,Severity_Classes!$A$4:$A$9,0))</f>
        <v>Likely</v>
      </c>
      <c r="T76" s="44" t="n">
        <f aca="false">Parameters!$E$4*IF($N76="V",Parameters!$I$4,IF($N76="F",Parameters!$J$4,Parameters!$K$4))*(1-Parameters!$L$4*$P76)*IF($D76="V1",Parameters!$M$4,IF($D76="V2",Parameters!$N$4,Parameters!$O$4))</f>
        <v>86</v>
      </c>
      <c r="U76" s="44" t="n">
        <f aca="false">MIN(100,T76*(1+INDEX(Response_Table!$E$4:$E$21,MATCH($F76&amp;"|mid",Response_Table!$A$4:$A$21,0))*$R76*INDEX(Parameters!$X$4:$AA$4,1,MATCH($E76,Parameters!$X$3:$AA$3,0))))</f>
        <v>85.8146124315687</v>
      </c>
      <c r="V76" s="44" t="n">
        <f aca="false">MAX(0,MIN(T76*(1+INDEX(Response_Table!$E$4:$E$21,MATCH($F76&amp;"|low",Response_Table!$A$4:$A$21,0))*$R76*INDEX(Parameters!$X$4:$AA$4,1,MATCH($E76,Parameters!$X$3:$AA$3,0))),T76*(1+INDEX(Response_Table!$E$4:$E$21,MATCH($F76&amp;"|high",Response_Table!$A$4:$A$21,0))*$R76*INDEX(Parameters!$X$4:$AA$4,1,MATCH($E76,Parameters!$X$3:$AA$3,0))))*(1-Inputs_General!$C$22*Parameters!$F$4))</f>
        <v>80.0296844010259</v>
      </c>
      <c r="W76" s="44" t="n">
        <f aca="false">MIN(100,MAX(T76*(1+INDEX(Response_Table!$E$4:$E$21,MATCH($F76&amp;"|low",Response_Table!$A$4:$A$21,0))*$R76*INDEX(Parameters!$X$4:$AA$4,1,MATCH($E76,Parameters!$X$3:$AA$3,0))),T76*(1+INDEX(Response_Table!$E$4:$E$21,MATCH($F76&amp;"|high",Response_Table!$A$4:$A$21,0))*$R76*INDEX(Parameters!$X$4:$AA$4,1,MATCH($E76,Parameters!$X$3:$AA$3,0))))*(1+Inputs_General!$C$22*Parameters!$F$4))</f>
        <v>91.5977349787627</v>
      </c>
      <c r="X76" s="45" t="n">
        <f aca="false">IF(T76=0,0,U76/T76-1)</f>
        <v>-0.00215566940036427</v>
      </c>
      <c r="Y76" s="44" t="n">
        <f aca="false">Parameters!$E$5*IF($N76="V",Parameters!$I$5,IF($N76="F",Parameters!$J$5,Parameters!$K$5))*(1-Parameters!$L$5*$P76)*IF($D76="V1",Parameters!$M$5,IF($D76="V2",Parameters!$N$5,Parameters!$O$5))</f>
        <v>72</v>
      </c>
      <c r="Z76" s="44" t="n">
        <f aca="false">MIN(100,Y76*(1+INDEX(Response_Table!$F$4:$F$21,MATCH($F76&amp;"|mid",Response_Table!$A$4:$A$21,0))*$R76*INDEX(Parameters!$X$5:$AA$5,1,MATCH($E76,Parameters!$X$3:$AA$3,0))))</f>
        <v>71.5045413365414</v>
      </c>
      <c r="AA76" s="44" t="n">
        <f aca="false">MAX(0,MIN(Y76*(1+INDEX(Response_Table!$F$4:$F$21,MATCH($F76&amp;"|low",Response_Table!$A$4:$A$21,0))*$R76*INDEX(Parameters!$X$5:$AA$5,1,MATCH($E76,Parameters!$X$3:$AA$3,0))),Y76*(1+INDEX(Response_Table!$F$4:$F$21,MATCH($F76&amp;"|high",Response_Table!$A$4:$A$21,0))*$R76*INDEX(Parameters!$X$5:$AA$5,1,MATCH($E76,Parameters!$X$3:$AA$3,0))))*(1-Inputs_General!$C$22*Parameters!$F$5))</f>
        <v>62.9097175830539</v>
      </c>
      <c r="AB76" s="44" t="n">
        <f aca="false">MIN(100,MAX(Y76*(1+INDEX(Response_Table!$F$4:$F$21,MATCH($F76&amp;"|low",Response_Table!$A$4:$A$21,0))*$R76*INDEX(Parameters!$X$5:$AA$5,1,MATCH($E76,Parameters!$X$3:$AA$3,0))),Y76*(1+INDEX(Response_Table!$F$4:$F$21,MATCH($F76&amp;"|high",Response_Table!$A$4:$A$21,0))*$R76*INDEX(Parameters!$X$5:$AA$5,1,MATCH($E76,Parameters!$X$3:$AA$3,0))))*(1+Inputs_General!$C$22*Parameters!$F$5))</f>
        <v>80.1223942618605</v>
      </c>
      <c r="AC76" s="45" t="n">
        <f aca="false">IF(Y76=0,0,Z76/Y76-1)</f>
        <v>-0.00688137032581337</v>
      </c>
      <c r="AD76" s="44" t="n">
        <f aca="false">Parameters!$E$6*IF($N76="V",Parameters!$I$6,IF($N76="F",Parameters!$J$6,Parameters!$K$6))*(1-Parameters!$L$6*$P76)*IF($D76="V1",Parameters!$M$6,IF($D76="V2",Parameters!$N$6,Parameters!$O$6))</f>
        <v>19</v>
      </c>
      <c r="AE76" s="44" t="n">
        <f aca="false">AD76*(1+INDEX(Response_Table!$G$4:$G$21,MATCH($F76&amp;"|mid",Response_Table!$A$4:$A$21,0))*$R76*INDEX(Parameters!$X$6:$AA$6,1,MATCH($E76,Parameters!$X$3:$AA$3,0)))</f>
        <v>17.5902873439049</v>
      </c>
      <c r="AF76" s="44" t="n">
        <f aca="false">MAX(0,MIN(AD76*(1+INDEX(Response_Table!$G$4:$G$21,MATCH($F76&amp;"|low",Response_Table!$A$4:$A$21,0))*$R76*INDEX(Parameters!$X$6:$AA$6,1,MATCH($E76,Parameters!$X$3:$AA$3,0))),AD76*(1+INDEX(Response_Table!$G$4:$G$21,MATCH($F76&amp;"|high",Response_Table!$A$4:$A$21,0))*$R76*INDEX(Parameters!$X$6:$AA$6,1,MATCH($E76,Parameters!$X$3:$AA$3,0))))*(1-Inputs_General!$C$22*Parameters!$F$6))</f>
        <v>13.4425180945894</v>
      </c>
      <c r="AG76" s="44" t="n">
        <f aca="false">MAX(AD76*(1+INDEX(Response_Table!$G$4:$G$21,MATCH($F76&amp;"|low",Response_Table!$A$4:$A$21,0))*$R76*INDEX(Parameters!$X$6:$AA$6,1,MATCH($E76,Parameters!$X$3:$AA$3,0))),AD76*(1+INDEX(Response_Table!$G$4:$G$21,MATCH($F76&amp;"|high",Response_Table!$A$4:$A$21,0))*$R76*INDEX(Parameters!$X$6:$AA$6,1,MATCH($E76,Parameters!$X$3:$AA$3,0))))*(1+Inputs_General!$C$22*Parameters!$F$6)</f>
        <v>22.1630060229318</v>
      </c>
      <c r="AH76" s="45" t="n">
        <f aca="false">IF(AD76=0,0,AE76/AD76-1)</f>
        <v>-0.074195402952376</v>
      </c>
      <c r="AI76" s="46" t="n">
        <f aca="false">Parameters!$E$7*IF($N76="V",Parameters!$I$7,IF($N76="F",Parameters!$J$7,Parameters!$K$7))*(1-Parameters!$L$7*$P76)*IF($D76="V1",Parameters!$M$7,IF($D76="V2",Parameters!$N$7,Parameters!$O$7))*POWER($Q76/Inputs_General!$C$26,-Inputs_General!$C$25)</f>
        <v>0.464685683730118</v>
      </c>
      <c r="AJ76" s="46" t="n">
        <f aca="false">AI76*(1+INDEX(Response_Table!$H$4:$H$21,MATCH($F76&amp;"|mid",Response_Table!$A$4:$A$21,0))*$R76*INDEX(Parameters!$X$7:$AA$7,1,MATCH($E76,Parameters!$X$3:$AA$3,0)))</f>
        <v>0.443888311799676</v>
      </c>
      <c r="AK76" s="46" t="n">
        <f aca="false">MAX(0,MIN(AI76*(1+INDEX(Response_Table!$H$4:$H$21,MATCH($F76&amp;"|low",Response_Table!$A$4:$A$21,0))*$R76*INDEX(Parameters!$X$7:$AA$7,1,MATCH($E76,Parameters!$X$3:$AA$3,0))),AI76*(1+INDEX(Response_Table!$H$4:$H$21,MATCH($F76&amp;"|high",Response_Table!$A$4:$A$21,0))*$R76*INDEX(Parameters!$X$7:$AA$7,1,MATCH($E76,Parameters!$X$3:$AA$3,0))))*(1-Inputs_General!$C$22*Parameters!$F$7))</f>
        <v>0.303400355049387</v>
      </c>
      <c r="AL76" s="46" t="n">
        <f aca="false">MAX(AI76*(1+INDEX(Response_Table!$H$4:$H$21,MATCH($F76&amp;"|low",Response_Table!$A$4:$A$21,0))*$R76*INDEX(Parameters!$X$7:$AA$7,1,MATCH($E76,Parameters!$X$3:$AA$3,0))),AI76*(1+INDEX(Response_Table!$H$4:$H$21,MATCH($F76&amp;"|high",Response_Table!$A$4:$A$21,0))*$R76*INDEX(Parameters!$X$7:$AA$7,1,MATCH($E76,Parameters!$X$3:$AA$3,0))))*(1+Inputs_General!$C$22*Parameters!$F$7)</f>
        <v>0.593023094980159</v>
      </c>
      <c r="AM76" s="45" t="n">
        <f aca="false">IF(AI76=0,0,AJ76/AI76-1)</f>
        <v>-0.0447557836589614</v>
      </c>
      <c r="AN76" s="43" t="n">
        <f aca="false">AI76*$Q76/Inputs_General!$C$13*1000</f>
        <v>4.38850387664553</v>
      </c>
      <c r="AO76" s="43" t="n">
        <f aca="false">AJ76*$Q76/Inputs_General!$C$13*1000*(1+Inputs_General!$C$21*$I76)</f>
        <v>4.22353364365504</v>
      </c>
      <c r="AP76" s="43" t="n">
        <f aca="false">AK76*$Q76/Inputs_General!$C$13*1000*(1+Inputs_General!$C$21*$H76)</f>
        <v>2.87248427298412</v>
      </c>
      <c r="AQ76" s="43" t="n">
        <f aca="false">AL76*$Q76/Inputs_General!$C$13*1000*(1+Inputs_General!$C$21*$J76)</f>
        <v>5.67053235210467</v>
      </c>
      <c r="AR76" s="45" t="n">
        <f aca="false">IF(AN76=0,0,AO76/AN76-1)</f>
        <v>-0.0375914520364035</v>
      </c>
      <c r="AS76" s="42" t="n">
        <f aca="false">Parameters!$E$9*IF($N76="V",Parameters!$I$9,IF($N76="F",Parameters!$J$9,Parameters!$K$9))*(1-Parameters!$L$9*$P76)*IF($D76="V1",Parameters!$M$9,IF($D76="V2",Parameters!$N$9,Parameters!$O$9))</f>
        <v>285</v>
      </c>
      <c r="AT76" s="42" t="n">
        <f aca="false">AS76*(1+INDEX(Response_Table!$I$4:$I$21,MATCH($F76&amp;"|mid",Response_Table!$A$4:$A$21,0))*$R76*INDEX(Parameters!$X$9:$AA$9,1,MATCH($E76,Parameters!$X$3:$AA$3,0)))</f>
        <v>292.734642128546</v>
      </c>
      <c r="AU76" s="42" t="n">
        <f aca="false">MAX(0,MIN(AS76*(1+INDEX(Response_Table!$I$4:$I$21,MATCH($F76&amp;"|low",Response_Table!$A$4:$A$21,0))*$R76*INDEX(Parameters!$X$9:$AA$9,1,MATCH($E76,Parameters!$X$3:$AA$3,0))),AS76*(1+INDEX(Response_Table!$I$4:$I$21,MATCH($F76&amp;"|high",Response_Table!$A$4:$A$21,0))*$R76*INDEX(Parameters!$X$9:$AA$9,1,MATCH($E76,Parameters!$X$3:$AA$3,0))))*(1-Inputs_General!$C$22*Parameters!$F$9))</f>
        <v>259.287788728854</v>
      </c>
      <c r="AV76" s="42" t="n">
        <f aca="false">MAX(AS76*(1+INDEX(Response_Table!$I$4:$I$21,MATCH($F76&amp;"|low",Response_Table!$A$4:$A$21,0))*$R76*INDEX(Parameters!$X$9:$AA$9,1,MATCH($E76,Parameters!$X$3:$AA$3,0))),AS76*(1+INDEX(Response_Table!$I$4:$I$21,MATCH($F76&amp;"|high",Response_Table!$A$4:$A$21,0))*$R76*INDEX(Parameters!$X$9:$AA$9,1,MATCH($E76,Parameters!$X$3:$AA$3,0))))*(1+Inputs_General!$C$22*Parameters!$F$9)</f>
        <v>326.752079676976</v>
      </c>
      <c r="AW76" s="45" t="n">
        <f aca="false">IF(AS76=0,0,AT76/AS76-1)</f>
        <v>0.0271390951878823</v>
      </c>
      <c r="AX76" s="43" t="n">
        <f aca="false">INDEX(Context!$AB$4:$AB$51,$K76)</f>
        <v>1.78847463648905</v>
      </c>
      <c r="AY76" s="43" t="n">
        <f aca="false">AX76*(1+INDEX(Response_Table!$J$4:$J$21,MATCH($F76&amp;"|mid",Response_Table!$A$4:$A$21,0))*$R76*INDEX(Parameters!$X$10:$AA$10,1,MATCH($E76,Parameters!$X$3:$AA$3,0)))</f>
        <v>1.75939812453399</v>
      </c>
      <c r="AZ76" s="43" t="n">
        <f aca="false">MAX(0,MIN(AX76*(1+INDEX(Response_Table!$J$4:$J$21,MATCH($F76&amp;"|low",Response_Table!$A$4:$A$21,0))*$R76*INDEX(Parameters!$X$10:$AA$10,1,MATCH($E76,Parameters!$X$3:$AA$3,0))),AX76*(1+INDEX(Response_Table!$J$4:$J$21,MATCH($F76&amp;"|high",Response_Table!$A$4:$A$21,0))*$R76*INDEX(Parameters!$X$10:$AA$10,1,MATCH($E76,Parameters!$X$3:$AA$3,0))))*(1-Inputs_General!$C$22*Parameters!$F$10))</f>
        <v>1.39747956903155</v>
      </c>
      <c r="BA76" s="43" t="n">
        <f aca="false">MAX(AX76*(1+INDEX(Response_Table!$J$4:$J$21,MATCH($F76&amp;"|low",Response_Table!$A$4:$A$21,0))*$R76*INDEX(Parameters!$X$10:$AA$10,1,MATCH($E76,Parameters!$X$3:$AA$3,0))),AX76*(1+INDEX(Response_Table!$J$4:$J$21,MATCH($F76&amp;"|high",Response_Table!$A$4:$A$21,0))*$R76*INDEX(Parameters!$X$10:$AA$10,1,MATCH($E76,Parameters!$X$3:$AA$3,0))))*(1+Inputs_General!$C$22*Parameters!$F$10)</f>
        <v>2.12962281097601</v>
      </c>
      <c r="BB76" s="45" t="n">
        <f aca="false">IF(AX76=0,0,AY76/AX76-1)</f>
        <v>-0.0162577155760756</v>
      </c>
      <c r="BC76" s="46" t="n">
        <f aca="false">Parameters!$E$11*IF($N76="V",Parameters!$I$11,IF($N76="F",Parameters!$J$11,Parameters!$K$11))*(1-Parameters!$L$11*$P76)*IF($D76="V1",Parameters!$M$11,IF($D76="V2",Parameters!$N$11,Parameters!$O$11))</f>
        <v>1.1875</v>
      </c>
      <c r="BD76" s="46" t="n">
        <f aca="false">BC76*(1+INDEX(Response_Table!$K$4:$K$21,MATCH($F76&amp;"|mid",Response_Table!$A$4:$A$21,0))*$R76*INDEX(Parameters!$X$11:$AA$11,1,MATCH($E76,Parameters!$X$3:$AA$3,0)))</f>
        <v>1.15217283120152</v>
      </c>
      <c r="BE76" s="46" t="n">
        <f aca="false">MAX(0,MIN(BC76*(1+INDEX(Response_Table!$K$4:$K$21,MATCH($F76&amp;"|low",Response_Table!$A$4:$A$21,0))*$R76*INDEX(Parameters!$X$11:$AA$11,1,MATCH($E76,Parameters!$X$3:$AA$3,0))),BC76*(1+INDEX(Response_Table!$K$4:$K$21,MATCH($F76&amp;"|high",Response_Table!$A$4:$A$21,0))*$R76*INDEX(Parameters!$X$11:$AA$11,1,MATCH($E76,Parameters!$X$3:$AA$3,0))))*(1-Inputs_General!$C$22*Parameters!$F$11))</f>
        <v>0.94447989923949</v>
      </c>
      <c r="BF76" s="46" t="n">
        <f aca="false">MAX(BC76*(1+INDEX(Response_Table!$K$4:$K$21,MATCH($F76&amp;"|low",Response_Table!$A$4:$A$21,0))*$R76*INDEX(Parameters!$X$11:$AA$11,1,MATCH($E76,Parameters!$X$3:$AA$3,0))),BC76*(1+INDEX(Response_Table!$K$4:$K$21,MATCH($F76&amp;"|high",Response_Table!$A$4:$A$21,0))*$R76*INDEX(Parameters!$X$11:$AA$11,1,MATCH($E76,Parameters!$X$3:$AA$3,0))))*(1+Inputs_General!$C$22*Parameters!$F$11)</f>
        <v>1.36868984525518</v>
      </c>
      <c r="BG76" s="45" t="n">
        <f aca="false">IF(BC76=0,0,BD76/BC76-1)</f>
        <v>-0.0297491947776706</v>
      </c>
      <c r="BH76" s="46" t="n">
        <f aca="false">Parameters!$E$12*IF($N76="V",Parameters!$I$12,IF($N76="F",Parameters!$J$12,Parameters!$K$12))*(1-Parameters!$L$12*$P76)*IF($D76="V1",Parameters!$M$12,IF($D76="V2",Parameters!$N$12,Parameters!$O$12))</f>
        <v>0.4275</v>
      </c>
      <c r="BI76" s="46" t="n">
        <f aca="false">BH76*(1+INDEX(Response_Table!$L$4:$L$21,MATCH($F76&amp;"|mid",Response_Table!$A$4:$A$21,0))*$R76*INDEX(Parameters!$X$12:$AA$12,1,MATCH($E76,Parameters!$X$3:$AA$3,0)))</f>
        <v>0.417381534968449</v>
      </c>
      <c r="BJ76" s="46" t="n">
        <f aca="false">MAX(0,MIN(BH76*(1+INDEX(Response_Table!$L$4:$L$21,MATCH($F76&amp;"|low",Response_Table!$A$4:$A$21,0))*$R76*INDEX(Parameters!$X$12:$AA$12,1,MATCH($E76,Parameters!$X$3:$AA$3,0))),BH76*(1+INDEX(Response_Table!$L$4:$L$21,MATCH($F76&amp;"|high",Response_Table!$A$4:$A$21,0))*$R76*INDEX(Parameters!$X$12:$AA$12,1,MATCH($E76,Parameters!$X$3:$AA$3,0))))*(1-Inputs_General!$C$22*Parameters!$F$12))</f>
        <v>0.329968508834621</v>
      </c>
      <c r="BK76" s="46" t="n">
        <f aca="false">MAX(BH76*(1+INDEX(Response_Table!$L$4:$L$21,MATCH($F76&amp;"|low",Response_Table!$A$4:$A$21,0))*$R76*INDEX(Parameters!$X$12:$AA$12,1,MATCH($E76,Parameters!$X$3:$AA$3,0))),BH76*(1+INDEX(Response_Table!$L$4:$L$21,MATCH($F76&amp;"|high",Response_Table!$A$4:$A$21,0))*$R76*INDEX(Parameters!$X$12:$AA$12,1,MATCH($E76,Parameters!$X$3:$AA$3,0))))*(1+Inputs_General!$C$22*Parameters!$F$12)</f>
        <v>0.507728137337458</v>
      </c>
      <c r="BL76" s="45" t="n">
        <f aca="false">IF(BH76=0,0,BI76/BH76-1)</f>
        <v>-0.0236689240504122</v>
      </c>
      <c r="BM76" s="46" t="n">
        <f aca="false">Parameters!$E$13*IF($N76="V",Parameters!$I$13,IF($N76="F",Parameters!$J$13,Parameters!$K$13))*(1-Parameters!$L$13*$P76)*IF($D76="V1",Parameters!$M$13,IF($D76="V2",Parameters!$N$13,Parameters!$O$13))</f>
        <v>0.285</v>
      </c>
      <c r="BN76" s="46" t="n">
        <f aca="false">BM76*(1+INDEX(Response_Table!$M$4:$M$21,MATCH($F76&amp;"|mid",Response_Table!$A$4:$A$21,0))*$R76*INDEX(Parameters!$X$13:$AA$13,1,MATCH($E76,Parameters!$X$3:$AA$3,0)))</f>
        <v>0.288702870384896</v>
      </c>
      <c r="BO76" s="46" t="n">
        <f aca="false">MAX(0,MIN(BM76*(1+INDEX(Response_Table!$M$4:$M$21,MATCH($F76&amp;"|low",Response_Table!$A$4:$A$21,0))*$R76*INDEX(Parameters!$X$13:$AA$13,1,MATCH($E76,Parameters!$X$3:$AA$3,0))),BM76*(1+INDEX(Response_Table!$M$4:$M$21,MATCH($F76&amp;"|high",Response_Table!$A$4:$A$21,0))*$R76*INDEX(Parameters!$X$13:$AA$13,1,MATCH($E76,Parameters!$X$3:$AA$3,0))))*(1-Inputs_General!$C$22*Parameters!$F$13))</f>
        <v>0.23020199673413</v>
      </c>
      <c r="BP76" s="46" t="n">
        <f aca="false">MAX(BM76*(1+INDEX(Response_Table!$M$4:$M$21,MATCH($F76&amp;"|low",Response_Table!$A$4:$A$21,0))*$R76*INDEX(Parameters!$X$13:$AA$13,1,MATCH($E76,Parameters!$X$3:$AA$3,0))),BM76*(1+INDEX(Response_Table!$M$4:$M$21,MATCH($F76&amp;"|high",Response_Table!$A$4:$A$21,0))*$R76*INDEX(Parameters!$X$13:$AA$13,1,MATCH($E76,Parameters!$X$3:$AA$3,0))))*(1+Inputs_General!$C$22*Parameters!$F$13)</f>
        <v>0.345818092968314</v>
      </c>
      <c r="BQ76" s="45" t="n">
        <f aca="false">IF(BM76=0,0,BN76/BM76-1)</f>
        <v>0.0129925276663028</v>
      </c>
      <c r="BR76" s="44" t="n">
        <f aca="false">Parameters!$E$14*IF($N76="V",Parameters!$I$14,IF($N76="F",Parameters!$J$14,Parameters!$K$14))*(1-Parameters!$L$14*$P76)*IF($D76="V1",Parameters!$M$14,IF($D76="V2",Parameters!$N$14,Parameters!$O$14))*INDEX(Context!$AC$4:$AC$51,$K76)</f>
        <v>17.325</v>
      </c>
      <c r="BS76" s="44" t="n">
        <f aca="false">BR76*(1+INDEX(Response_Table!$N$4:$N$21,MATCH($F76&amp;"|mid",Response_Table!$A$4:$A$21,0))*$R76*INDEX(Parameters!$X$14:$AA$14,1,MATCH($E76,Parameters!$X$3:$AA$3,0)))</f>
        <v>17.7723426645528</v>
      </c>
      <c r="BT76" s="44" t="n">
        <f aca="false">MAX(0,MIN(BR76*(1+INDEX(Response_Table!$N$4:$N$21,MATCH($F76&amp;"|low",Response_Table!$A$4:$A$21,0))*$R76*INDEX(Parameters!$X$14:$AA$14,1,MATCH($E76,Parameters!$X$3:$AA$3,0))),BR76*(1+INDEX(Response_Table!$N$4:$N$21,MATCH($F76&amp;"|high",Response_Table!$A$4:$A$21,0))*$R76*INDEX(Parameters!$X$14:$AA$14,1,MATCH($E76,Parameters!$X$3:$AA$3,0))))*(1-Inputs_General!$C$22*Parameters!$F$14))</f>
        <v>8.8529156303968</v>
      </c>
      <c r="BU76" s="44" t="n">
        <f aca="false">MAX(BR76*(1+INDEX(Response_Table!$N$4:$N$21,MATCH($F76&amp;"|low",Response_Table!$A$4:$A$21,0))*$R76*INDEX(Parameters!$X$14:$AA$14,1,MATCH($E76,Parameters!$X$3:$AA$3,0))),BR76*(1+INDEX(Response_Table!$N$4:$N$21,MATCH($F76&amp;"|high",Response_Table!$A$4:$A$21,0))*$R76*INDEX(Parameters!$X$14:$AA$14,1,MATCH($E76,Parameters!$X$3:$AA$3,0))))*(1+Inputs_General!$C$22*Parameters!$F$14)</f>
        <v>26.9561371318947</v>
      </c>
      <c r="BV76" s="45" t="n">
        <f aca="false">IF(BR76=0,0,BS76/BR76-1)</f>
        <v>0.0258206444186315</v>
      </c>
      <c r="BW76" s="43" t="n">
        <f aca="false">Parameters!$E$15*IF($N76="V",Parameters!$I$15,IF($N76="F",Parameters!$J$15,Parameters!$K$15))*(1-Parameters!$L$15*$P76)*IF($D76="V1",Parameters!$M$15,IF($D76="V2",Parameters!$N$15,Parameters!$O$15))</f>
        <v>11.232</v>
      </c>
      <c r="BX76" s="43" t="n">
        <f aca="false">BW76*(1+INDEX(Response_Table!$O$4:$O$21,MATCH($F76&amp;"|mid",Response_Table!$A$4:$A$21,0))*$R76*INDEX(Parameters!$X$15:$AA$15,1,MATCH($E76,Parameters!$X$3:$AA$3,0)))</f>
        <v>11.1594956304725</v>
      </c>
      <c r="BY76" s="43" t="n">
        <f aca="false">MAX(0,MIN(BW76*(1+INDEX(Response_Table!$O$4:$O$21,MATCH($F76&amp;"|low",Response_Table!$A$4:$A$21,0))*$R76*INDEX(Parameters!$X$15:$AA$15,1,MATCH($E76,Parameters!$X$3:$AA$3,0))),BW76*(1+INDEX(Response_Table!$O$4:$O$21,MATCH($F76&amp;"|high",Response_Table!$A$4:$A$21,0))*$R76*INDEX(Parameters!$X$15:$AA$15,1,MATCH($E76,Parameters!$X$3:$AA$3,0))))*(1-Inputs_General!$C$22*Parameters!$F$15))</f>
        <v>8.92062643651066</v>
      </c>
      <c r="BZ76" s="43" t="n">
        <f aca="false">MAX(BW76*(1+INDEX(Response_Table!$O$4:$O$21,MATCH($F76&amp;"|low",Response_Table!$A$4:$A$21,0))*$R76*INDEX(Parameters!$X$15:$AA$15,1,MATCH($E76,Parameters!$X$3:$AA$3,0))),BW76*(1+INDEX(Response_Table!$O$4:$O$21,MATCH($F76&amp;"|high",Response_Table!$A$4:$A$21,0))*$R76*INDEX(Parameters!$X$15:$AA$15,1,MATCH($E76,Parameters!$X$3:$AA$3,0))))*(1+Inputs_General!$C$22*Parameters!$F$15)</f>
        <v>13.4193855123281</v>
      </c>
      <c r="CA76" s="45" t="n">
        <f aca="false">IF(BW76=0,0,BX76/BW76-1)</f>
        <v>-0.00645516110465794</v>
      </c>
      <c r="CB76" s="46" t="n">
        <f aca="false">BD76+BI76</f>
        <v>1.56955436616997</v>
      </c>
      <c r="CC76" s="43" t="n">
        <f aca="false">BD76/BI76</f>
        <v>2.7604786859788</v>
      </c>
      <c r="CD76" s="46" t="n">
        <f aca="false">BN76/CB76</f>
        <v>0.183939388534461</v>
      </c>
      <c r="CE76" s="43" t="n">
        <f aca="false">AE76/AO76</f>
        <v>4.16482709219815</v>
      </c>
      <c r="CF76" s="44" t="n">
        <f aca="false">AE76/AJ76</f>
        <v>39.6277326442496</v>
      </c>
      <c r="CG76" s="44" t="n">
        <f aca="false">INDEX(Context!$V$4:$V$51,$K76)</f>
        <v>22.6257142857143</v>
      </c>
      <c r="CH76" s="44" t="n">
        <f aca="false">INDEX(Context!$Y$4:$Y$51,$K76)</f>
        <v>21.3177449518561</v>
      </c>
      <c r="CI76" s="44" t="n">
        <f aca="false">INDEX(Context!$Z$4:$Z$51,$K76)</f>
        <v>26.6257142857143</v>
      </c>
      <c r="CJ76" s="43" t="n">
        <f aca="false">INDEX(Context!$AA$4:$AA$51,$K76)</f>
        <v>0.12</v>
      </c>
      <c r="CK76" s="43" t="n">
        <f aca="false">MAX(0,MIN(1,1-(1-CJ76)*AO76/AN76))</f>
        <v>0.153080477792035</v>
      </c>
      <c r="CL76" s="44" t="n">
        <f aca="false">CH76+CK76*(CI76-CH76)</f>
        <v>22.1302914335885</v>
      </c>
      <c r="CM76" s="44" t="n">
        <f aca="false">CH76+MAX(0,MIN(1,1-(1-CJ76)*AQ76/AN76))*(CI76-CH76)</f>
        <v>21.3177449518561</v>
      </c>
      <c r="CN76" s="44" t="n">
        <f aca="false">CH76+MAX(0,MIN(1,1-(1-CJ76)*AP76/AN76))*(CI76-CH76)</f>
        <v>23.5683143612355</v>
      </c>
      <c r="CO76" s="44" t="n">
        <f aca="false">CL76-CG76</f>
        <v>-0.495422852125749</v>
      </c>
      <c r="CP76" s="44" t="n">
        <f aca="false">CL76-(CH76+CJ76*(CI76-CH76))</f>
        <v>0.175590161669501</v>
      </c>
      <c r="CQ76" s="46" t="n">
        <f aca="false">CL76/CG76</f>
        <v>0.978103548649575</v>
      </c>
      <c r="CR76" s="43" t="n">
        <f aca="false">IF(CL76-CH76&lt;=0,"n/a",(CI76-CL76)/(CL76-CH76))</f>
        <v>5.53251162018538</v>
      </c>
      <c r="CS76" s="43" t="n">
        <f aca="false">IF(CI76-CL76&lt;=0,"n/a",(CL76-CH76)/(CI76-CL76))</f>
        <v>0.180749733331151</v>
      </c>
      <c r="CT76" s="43" t="n">
        <f aca="false">Inputs_General!$C$23+Inputs_General!$C$24*$I76</f>
        <v>0.66</v>
      </c>
      <c r="CU76" s="44" t="n">
        <f aca="false">3.29*CT76</f>
        <v>2.1714</v>
      </c>
    </row>
    <row r="77" customFormat="false" ht="15" hidden="false" customHeight="false" outlineLevel="0" collapsed="false">
      <c r="A77" s="9" t="str">
        <f aca="false">B77&amp;"|"&amp;E77&amp;"|"&amp;F77</f>
        <v>D2V1|11/02/2026|Low</v>
      </c>
      <c r="B77" s="7" t="s">
        <v>346</v>
      </c>
      <c r="C77" s="9" t="s">
        <v>129</v>
      </c>
      <c r="D77" s="9" t="s">
        <v>142</v>
      </c>
      <c r="E77" s="9" t="s">
        <v>158</v>
      </c>
      <c r="F77" s="7" t="s">
        <v>279</v>
      </c>
      <c r="G77" s="9" t="s">
        <v>280</v>
      </c>
      <c r="H77" s="41" t="n">
        <f aca="false">INDEX(Severity_Classes!$C$4:$C$9,MATCH(F77,Severity_Classes!$A$4:$A$9,0))</f>
        <v>0.06</v>
      </c>
      <c r="I77" s="41" t="n">
        <f aca="false">INDEX(Severity_Classes!$D$4:$D$9,MATCH(F77,Severity_Classes!$A$4:$A$9,0))</f>
        <v>0.08</v>
      </c>
      <c r="J77" s="41" t="n">
        <f aca="false">INDEX(Severity_Classes!$E$4:$E$9,MATCH(F77,Severity_Classes!$A$4:$A$9,0))</f>
        <v>0.1</v>
      </c>
      <c r="K77" s="42" t="n">
        <f aca="false">MATCH(B77&amp;"|"&amp;E77,Context!$A$4:$A$51,0)</f>
        <v>13</v>
      </c>
      <c r="L77" s="42" t="n">
        <f aca="false">INDEX(Context!$H$4:$H$51,K77)</f>
        <v>55</v>
      </c>
      <c r="M77" s="42" t="n">
        <f aca="false">INDEX(Context!$I$4:$I$51,K77)</f>
        <v>6</v>
      </c>
      <c r="N77" s="9" t="str">
        <f aca="false">INDEX(Context!$L$4:$L$51,K77)</f>
        <v>V</v>
      </c>
      <c r="O77" s="9" t="str">
        <f aca="false">INDEX(Context!$M$4:$M$51,K77)</f>
        <v>3rd fully expanded leaf from top</v>
      </c>
      <c r="P77" s="43" t="n">
        <f aca="false">INDEX(Context!$R$4:$R$51,K77)</f>
        <v>0</v>
      </c>
      <c r="Q77" s="43" t="n">
        <f aca="false">INDEX(Context!$U$4:$U$51,K77)</f>
        <v>0.937791824040773</v>
      </c>
      <c r="R77" s="43" t="n">
        <f aca="false">INDEX(Context!$AD$4:$AD$51,K77)</f>
        <v>1</v>
      </c>
      <c r="S77" s="9" t="str">
        <f aca="false">INDEX(Context!$AI$4:$AN$51,K77,MATCH(F77,Severity_Classes!$A$4:$A$9,0))</f>
        <v>Likely</v>
      </c>
      <c r="T77" s="44" t="n">
        <f aca="false">Parameters!$E$4*IF($N77="V",Parameters!$I$4,IF($N77="F",Parameters!$J$4,Parameters!$K$4))*(1-Parameters!$L$4*$P77)*IF($D77="V1",Parameters!$M$4,IF($D77="V2",Parameters!$N$4,Parameters!$O$4))</f>
        <v>86</v>
      </c>
      <c r="U77" s="44" t="n">
        <f aca="false">MIN(100,T77*(1+INDEX(Response_Table!$E$4:$E$21,MATCH($F77&amp;"|mid",Response_Table!$A$4:$A$21,0))*$R77*INDEX(Parameters!$X$4:$AA$4,1,MATCH($E77,Parameters!$X$3:$AA$3,0))))</f>
        <v>85.4014991164519</v>
      </c>
      <c r="V77" s="44" t="n">
        <f aca="false">MAX(0,MIN(T77*(1+INDEX(Response_Table!$E$4:$E$21,MATCH($F77&amp;"|low",Response_Table!$A$4:$A$21,0))*$R77*INDEX(Parameters!$X$4:$AA$4,1,MATCH($E77,Parameters!$X$3:$AA$3,0))),T77*(1+INDEX(Response_Table!$E$4:$E$21,MATCH($F77&amp;"|high",Response_Table!$A$4:$A$21,0))*$R77*INDEX(Parameters!$X$4:$AA$4,1,MATCH($E77,Parameters!$X$3:$AA$3,0))))*(1-Inputs_General!$C$22*Parameters!$F$4))</f>
        <v>79.5867307670169</v>
      </c>
      <c r="W77" s="44" t="n">
        <f aca="false">MIN(100,MAX(T77*(1+INDEX(Response_Table!$E$4:$E$21,MATCH($F77&amp;"|low",Response_Table!$A$4:$A$21,0))*$R77*INDEX(Parameters!$X$4:$AA$4,1,MATCH($E77,Parameters!$X$3:$AA$3,0))),T77*(1+INDEX(Response_Table!$E$4:$E$21,MATCH($F77&amp;"|high",Response_Table!$A$4:$A$21,0))*$R77*INDEX(Parameters!$X$4:$AA$4,1,MATCH($E77,Parameters!$X$3:$AA$3,0))))*(1+Inputs_General!$C$22*Parameters!$F$4))</f>
        <v>91.2156851451818</v>
      </c>
      <c r="X77" s="45" t="n">
        <f aca="false">IF(T77=0,0,U77/T77-1)</f>
        <v>-0.00695931259939653</v>
      </c>
      <c r="Y77" s="44" t="n">
        <f aca="false">Parameters!$E$5*IF($N77="V",Parameters!$I$5,IF($N77="F",Parameters!$J$5,Parameters!$K$5))*(1-Parameters!$L$5*$P77)*IF($D77="V1",Parameters!$M$5,IF($D77="V2",Parameters!$N$5,Parameters!$O$5))</f>
        <v>72</v>
      </c>
      <c r="Z77" s="44" t="n">
        <f aca="false">MIN(100,Y77*(1+INDEX(Response_Table!$F$4:$F$21,MATCH($F77&amp;"|mid",Response_Table!$A$4:$A$21,0))*$R77*INDEX(Parameters!$X$5:$AA$5,1,MATCH($E77,Parameters!$X$3:$AA$3,0))))</f>
        <v>70.3458317669356</v>
      </c>
      <c r="AA77" s="44" t="n">
        <f aca="false">MAX(0,MIN(Y77*(1+INDEX(Response_Table!$F$4:$F$21,MATCH($F77&amp;"|low",Response_Table!$A$4:$A$21,0))*$R77*INDEX(Parameters!$X$5:$AA$5,1,MATCH($E77,Parameters!$X$3:$AA$3,0))),Y77*(1+INDEX(Response_Table!$F$4:$F$21,MATCH($F77&amp;"|high",Response_Table!$A$4:$A$21,0))*$R77*INDEX(Parameters!$X$5:$AA$5,1,MATCH($E77,Parameters!$X$3:$AA$3,0))))*(1-Inputs_General!$C$22*Parameters!$F$5))</f>
        <v>61.7097860777528</v>
      </c>
      <c r="AB77" s="44" t="n">
        <f aca="false">MIN(100,MAX(Y77*(1+INDEX(Response_Table!$F$4:$F$21,MATCH($F77&amp;"|low",Response_Table!$A$4:$A$21,0))*$R77*INDEX(Parameters!$X$5:$AA$5,1,MATCH($E77,Parameters!$X$3:$AA$3,0))),Y77*(1+INDEX(Response_Table!$F$4:$F$21,MATCH($F77&amp;"|high",Response_Table!$A$4:$A$21,0))*$R77*INDEX(Parameters!$X$5:$AA$5,1,MATCH($E77,Parameters!$X$3:$AA$3,0))))*(1+Inputs_General!$C$22*Parameters!$F$5))</f>
        <v>79.0260439832863</v>
      </c>
      <c r="AC77" s="45" t="n">
        <f aca="false">IF(Y77=0,0,Z77/Y77-1)</f>
        <v>-0.0229745587925607</v>
      </c>
      <c r="AD77" s="44" t="n">
        <f aca="false">Parameters!$E$6*IF($N77="V",Parameters!$I$6,IF($N77="F",Parameters!$J$6,Parameters!$K$6))*(1-Parameters!$L$6*$P77)*IF($D77="V1",Parameters!$M$6,IF($D77="V2",Parameters!$N$6,Parameters!$O$6))</f>
        <v>19</v>
      </c>
      <c r="AE77" s="44" t="n">
        <f aca="false">AD77*(1+INDEX(Response_Table!$G$4:$G$21,MATCH($F77&amp;"|mid",Response_Table!$A$4:$A$21,0))*$R77*INDEX(Parameters!$X$6:$AA$6,1,MATCH($E77,Parameters!$X$3:$AA$3,0)))</f>
        <v>15.6173933905303</v>
      </c>
      <c r="AF77" s="44" t="n">
        <f aca="false">MAX(0,MIN(AD77*(1+INDEX(Response_Table!$G$4:$G$21,MATCH($F77&amp;"|low",Response_Table!$A$4:$A$21,0))*$R77*INDEX(Parameters!$X$6:$AA$6,1,MATCH($E77,Parameters!$X$3:$AA$3,0))),AD77*(1+INDEX(Response_Table!$G$4:$G$21,MATCH($F77&amp;"|high",Response_Table!$A$4:$A$21,0))*$R77*INDEX(Parameters!$X$6:$AA$6,1,MATCH($E77,Parameters!$X$3:$AA$3,0))))*(1-Inputs_General!$C$22*Parameters!$F$6))</f>
        <v>11.9924613997992</v>
      </c>
      <c r="AG77" s="44" t="n">
        <f aca="false">MAX(AD77*(1+INDEX(Response_Table!$G$4:$G$21,MATCH($F77&amp;"|low",Response_Table!$A$4:$A$21,0))*$R77*INDEX(Parameters!$X$6:$AA$6,1,MATCH($E77,Parameters!$X$3:$AA$3,0))),AD77*(1+INDEX(Response_Table!$G$4:$G$21,MATCH($F77&amp;"|high",Response_Table!$A$4:$A$21,0))*$R77*INDEX(Parameters!$X$6:$AA$6,1,MATCH($E77,Parameters!$X$3:$AA$3,0))))*(1+Inputs_General!$C$22*Parameters!$F$6)</f>
        <v>19.5833552867883</v>
      </c>
      <c r="AH77" s="45" t="n">
        <f aca="false">IF(AD77=0,0,AE77/AD77-1)</f>
        <v>-0.178031926814195</v>
      </c>
      <c r="AI77" s="46" t="n">
        <f aca="false">Parameters!$E$7*IF($N77="V",Parameters!$I$7,IF($N77="F",Parameters!$J$7,Parameters!$K$7))*(1-Parameters!$L$7*$P77)*IF($D77="V1",Parameters!$M$7,IF($D77="V2",Parameters!$N$7,Parameters!$O$7))*POWER($Q77/Inputs_General!$C$26,-Inputs_General!$C$25)</f>
        <v>0.464685683730118</v>
      </c>
      <c r="AJ77" s="46" t="n">
        <f aca="false">AI77*(1+INDEX(Response_Table!$H$4:$H$21,MATCH($F77&amp;"|mid",Response_Table!$A$4:$A$21,0))*$R77*INDEX(Parameters!$X$7:$AA$7,1,MATCH($E77,Parameters!$X$3:$AA$3,0)))</f>
        <v>0.41312717503011</v>
      </c>
      <c r="AK77" s="46" t="n">
        <f aca="false">MAX(0,MIN(AI77*(1+INDEX(Response_Table!$H$4:$H$21,MATCH($F77&amp;"|low",Response_Table!$A$4:$A$21,0))*$R77*INDEX(Parameters!$X$7:$AA$7,1,MATCH($E77,Parameters!$X$3:$AA$3,0))),AI77*(1+INDEX(Response_Table!$H$4:$H$21,MATCH($F77&amp;"|high",Response_Table!$A$4:$A$21,0))*$R77*INDEX(Parameters!$X$7:$AA$7,1,MATCH($E77,Parameters!$X$3:$AA$3,0))))*(1-Inputs_General!$C$22*Parameters!$F$7))</f>
        <v>0.283008549698042</v>
      </c>
      <c r="AL77" s="46" t="n">
        <f aca="false">MAX(AI77*(1+INDEX(Response_Table!$H$4:$H$21,MATCH($F77&amp;"|low",Response_Table!$A$4:$A$21,0))*$R77*INDEX(Parameters!$X$7:$AA$7,1,MATCH($E77,Parameters!$X$3:$AA$3,0))),AI77*(1+INDEX(Response_Table!$H$4:$H$21,MATCH($F77&amp;"|high",Response_Table!$A$4:$A$21,0))*$R77*INDEX(Parameters!$X$7:$AA$7,1,MATCH($E77,Parameters!$X$3:$AA$3,0))))*(1+Inputs_General!$C$22*Parameters!$F$7)</f>
        <v>0.550688192841408</v>
      </c>
      <c r="AM77" s="45" t="n">
        <f aca="false">IF(AI77=0,0,AJ77/AI77-1)</f>
        <v>-0.110953512245392</v>
      </c>
      <c r="AN77" s="43" t="n">
        <f aca="false">AI77*$Q77/Inputs_General!$C$13*1000</f>
        <v>4.38850387664553</v>
      </c>
      <c r="AO77" s="43" t="n">
        <f aca="false">AJ77*$Q77/Inputs_General!$C$13*1000*(1+Inputs_General!$C$21*$I77)</f>
        <v>3.97961563718977</v>
      </c>
      <c r="AP77" s="43" t="n">
        <f aca="false">AK77*$Q77/Inputs_General!$C$13*1000*(1+Inputs_General!$C$21*$H77)</f>
        <v>2.71283132528768</v>
      </c>
      <c r="AQ77" s="43" t="n">
        <f aca="false">AL77*$Q77/Inputs_General!$C$13*1000*(1+Inputs_General!$C$21*$J77)</f>
        <v>5.33073169147555</v>
      </c>
      <c r="AR77" s="45" t="n">
        <f aca="false">IF(AN77=0,0,AO77/AN77-1)</f>
        <v>-0.0931725824902999</v>
      </c>
      <c r="AS77" s="42" t="n">
        <f aca="false">Parameters!$E$9*IF($N77="V",Parameters!$I$9,IF($N77="F",Parameters!$J$9,Parameters!$K$9))*(1-Parameters!$L$9*$P77)*IF($D77="V1",Parameters!$M$9,IF($D77="V2",Parameters!$N$9,Parameters!$O$9))</f>
        <v>285</v>
      </c>
      <c r="AT77" s="42" t="n">
        <f aca="false">AS77*(1+INDEX(Response_Table!$I$4:$I$21,MATCH($F77&amp;"|mid",Response_Table!$A$4:$A$21,0))*$R77*INDEX(Parameters!$X$9:$AA$9,1,MATCH($E77,Parameters!$X$3:$AA$3,0)))</f>
        <v>303.73140586416</v>
      </c>
      <c r="AU77" s="42" t="n">
        <f aca="false">MAX(0,MIN(AS77*(1+INDEX(Response_Table!$I$4:$I$21,MATCH($F77&amp;"|low",Response_Table!$A$4:$A$21,0))*$R77*INDEX(Parameters!$X$9:$AA$9,1,MATCH($E77,Parameters!$X$3:$AA$3,0))),AS77*(1+INDEX(Response_Table!$I$4:$I$21,MATCH($F77&amp;"|high",Response_Table!$A$4:$A$21,0))*$R77*INDEX(Parameters!$X$9:$AA$9,1,MATCH($E77,Parameters!$X$3:$AA$3,0))))*(1-Inputs_General!$C$22*Parameters!$F$9))</f>
        <v>270.024661923337</v>
      </c>
      <c r="AV77" s="42" t="n">
        <f aca="false">MAX(AS77*(1+INDEX(Response_Table!$I$4:$I$21,MATCH($F77&amp;"|low",Response_Table!$A$4:$A$21,0))*$R77*INDEX(Parameters!$X$9:$AA$9,1,MATCH($E77,Parameters!$X$3:$AA$3,0))),AS77*(1+INDEX(Response_Table!$I$4:$I$21,MATCH($F77&amp;"|high",Response_Table!$A$4:$A$21,0))*$R77*INDEX(Parameters!$X$9:$AA$9,1,MATCH($E77,Parameters!$X$3:$AA$3,0))))*(1+Inputs_General!$C$22*Parameters!$F$9)</f>
        <v>337.905304594772</v>
      </c>
      <c r="AW77" s="45" t="n">
        <f aca="false">IF(AS77=0,0,AT77/AS77-1)</f>
        <v>0.0657242311023141</v>
      </c>
      <c r="AX77" s="43" t="n">
        <f aca="false">INDEX(Context!$AB$4:$AB$51,$K77)</f>
        <v>1.78847463648905</v>
      </c>
      <c r="AY77" s="43" t="n">
        <f aca="false">AX77*(1+INDEX(Response_Table!$J$4:$J$21,MATCH($F77&amp;"|mid",Response_Table!$A$4:$A$21,0))*$R77*INDEX(Parameters!$X$10:$AA$10,1,MATCH($E77,Parameters!$X$3:$AA$3,0)))</f>
        <v>1.71553066012757</v>
      </c>
      <c r="AZ77" s="43" t="n">
        <f aca="false">MAX(0,MIN(AX77*(1+INDEX(Response_Table!$J$4:$J$21,MATCH($F77&amp;"|low",Response_Table!$A$4:$A$21,0))*$R77*INDEX(Parameters!$X$10:$AA$10,1,MATCH($E77,Parameters!$X$3:$AA$3,0))),AX77*(1+INDEX(Response_Table!$J$4:$J$21,MATCH($F77&amp;"|high",Response_Table!$A$4:$A$21,0))*$R77*INDEX(Parameters!$X$10:$AA$10,1,MATCH($E77,Parameters!$X$3:$AA$3,0))))*(1-Inputs_General!$C$22*Parameters!$F$10))</f>
        <v>1.36398865783465</v>
      </c>
      <c r="BA77" s="43" t="n">
        <f aca="false">MAX(AX77*(1+INDEX(Response_Table!$J$4:$J$21,MATCH($F77&amp;"|low",Response_Table!$A$4:$A$21,0))*$R77*INDEX(Parameters!$X$10:$AA$10,1,MATCH($E77,Parameters!$X$3:$AA$3,0))),AX77*(1+INDEX(Response_Table!$J$4:$J$21,MATCH($F77&amp;"|high",Response_Table!$A$4:$A$21,0))*$R77*INDEX(Parameters!$X$10:$AA$10,1,MATCH($E77,Parameters!$X$3:$AA$3,0))))*(1+Inputs_General!$C$22*Parameters!$F$10)</f>
        <v>2.07440279724713</v>
      </c>
      <c r="BB77" s="45" t="n">
        <f aca="false">IF(AX77=0,0,AY77/AX77-1)</f>
        <v>-0.0407855805574541</v>
      </c>
      <c r="BC77" s="46" t="n">
        <f aca="false">Parameters!$E$11*IF($N77="V",Parameters!$I$11,IF($N77="F",Parameters!$J$11,Parameters!$K$11))*(1-Parameters!$L$11*$P77)*IF($D77="V1",Parameters!$M$11,IF($D77="V2",Parameters!$N$11,Parameters!$O$11))</f>
        <v>1.1875</v>
      </c>
      <c r="BD77" s="46" t="n">
        <f aca="false">BC77*(1+INDEX(Response_Table!$K$4:$K$21,MATCH($F77&amp;"|mid",Response_Table!$A$4:$A$21,0))*$R77*INDEX(Parameters!$X$11:$AA$11,1,MATCH($E77,Parameters!$X$3:$AA$3,0)))</f>
        <v>1.10033291608076</v>
      </c>
      <c r="BE77" s="46" t="n">
        <f aca="false">MAX(0,MIN(BC77*(1+INDEX(Response_Table!$K$4:$K$21,MATCH($F77&amp;"|low",Response_Table!$A$4:$A$21,0))*$R77*INDEX(Parameters!$X$11:$AA$11,1,MATCH($E77,Parameters!$X$3:$AA$3,0))),BC77*(1+INDEX(Response_Table!$K$4:$K$21,MATCH($F77&amp;"|high",Response_Table!$A$4:$A$21,0))*$R77*INDEX(Parameters!$X$11:$AA$11,1,MATCH($E77,Parameters!$X$3:$AA$3,0))))*(1-Inputs_General!$C$22*Parameters!$F$11))</f>
        <v>0.903852793058347</v>
      </c>
      <c r="BF77" s="46" t="n">
        <f aca="false">MAX(BC77*(1+INDEX(Response_Table!$K$4:$K$21,MATCH($F77&amp;"|low",Response_Table!$A$4:$A$21,0))*$R77*INDEX(Parameters!$X$11:$AA$11,1,MATCH($E77,Parameters!$X$3:$AA$3,0))),BC77*(1+INDEX(Response_Table!$K$4:$K$21,MATCH($F77&amp;"|high",Response_Table!$A$4:$A$21,0))*$R77*INDEX(Parameters!$X$11:$AA$11,1,MATCH($E77,Parameters!$X$3:$AA$3,0))))*(1+Inputs_General!$C$22*Parameters!$F$11)</f>
        <v>1.30433242585088</v>
      </c>
      <c r="BG77" s="45" t="n">
        <f aca="false">IF(BC77=0,0,BD77/BC77-1)</f>
        <v>-0.0734038601425194</v>
      </c>
      <c r="BH77" s="46" t="n">
        <f aca="false">Parameters!$E$12*IF($N77="V",Parameters!$I$12,IF($N77="F",Parameters!$J$12,Parameters!$K$12))*(1-Parameters!$L$12*$P77)*IF($D77="V1",Parameters!$M$12,IF($D77="V2",Parameters!$N$12,Parameters!$O$12))</f>
        <v>0.4275</v>
      </c>
      <c r="BI77" s="46" t="n">
        <f aca="false">BH77*(1+INDEX(Response_Table!$L$4:$L$21,MATCH($F77&amp;"|mid",Response_Table!$A$4:$A$21,0))*$R77*INDEX(Parameters!$X$12:$AA$12,1,MATCH($E77,Parameters!$X$3:$AA$3,0)))</f>
        <v>0.402415437916637</v>
      </c>
      <c r="BJ77" s="46" t="n">
        <f aca="false">MAX(0,MIN(BH77*(1+INDEX(Response_Table!$L$4:$L$21,MATCH($F77&amp;"|low",Response_Table!$A$4:$A$21,0))*$R77*INDEX(Parameters!$X$12:$AA$12,1,MATCH($E77,Parameters!$X$3:$AA$3,0))),BH77*(1+INDEX(Response_Table!$L$4:$L$21,MATCH($F77&amp;"|high",Response_Table!$A$4:$A$21,0))*$R77*INDEX(Parameters!$X$12:$AA$12,1,MATCH($E77,Parameters!$X$3:$AA$3,0))))*(1-Inputs_General!$C$22*Parameters!$F$12))</f>
        <v>0.318656231504495</v>
      </c>
      <c r="BK77" s="46" t="n">
        <f aca="false">MAX(BH77*(1+INDEX(Response_Table!$L$4:$L$21,MATCH($F77&amp;"|low",Response_Table!$A$4:$A$21,0))*$R77*INDEX(Parameters!$X$12:$AA$12,1,MATCH($E77,Parameters!$X$3:$AA$3,0))),BH77*(1+INDEX(Response_Table!$L$4:$L$21,MATCH($F77&amp;"|high",Response_Table!$A$4:$A$21,0))*$R77*INDEX(Parameters!$X$12:$AA$12,1,MATCH($E77,Parameters!$X$3:$AA$3,0))))*(1+Inputs_General!$C$22*Parameters!$F$12)</f>
        <v>0.48869959679385</v>
      </c>
      <c r="BL77" s="45" t="n">
        <f aca="false">IF(BH77=0,0,BI77/BH77-1)</f>
        <v>-0.0586773382066979</v>
      </c>
      <c r="BM77" s="46" t="n">
        <f aca="false">Parameters!$E$13*IF($N77="V",Parameters!$I$13,IF($N77="F",Parameters!$J$13,Parameters!$K$13))*(1-Parameters!$L$13*$P77)*IF($D77="V1",Parameters!$M$13,IF($D77="V2",Parameters!$N$13,Parameters!$O$13))</f>
        <v>0.285</v>
      </c>
      <c r="BN77" s="46" t="n">
        <f aca="false">BM77*(1+INDEX(Response_Table!$M$4:$M$21,MATCH($F77&amp;"|mid",Response_Table!$A$4:$A$21,0))*$R77*INDEX(Parameters!$X$13:$AA$13,1,MATCH($E77,Parameters!$X$3:$AA$3,0)))</f>
        <v>0.286761779523819</v>
      </c>
      <c r="BO77" s="46" t="n">
        <f aca="false">MAX(0,MIN(BM77*(1+INDEX(Response_Table!$M$4:$M$21,MATCH($F77&amp;"|low",Response_Table!$A$4:$A$21,0))*$R77*INDEX(Parameters!$X$13:$AA$13,1,MATCH($E77,Parameters!$X$3:$AA$3,0))),BM77*(1+INDEX(Response_Table!$M$4:$M$21,MATCH($F77&amp;"|high",Response_Table!$A$4:$A$21,0))*$R77*INDEX(Parameters!$X$13:$AA$13,1,MATCH($E77,Parameters!$X$3:$AA$3,0))))*(1-Inputs_General!$C$22*Parameters!$F$13))</f>
        <v>0.228320950123391</v>
      </c>
      <c r="BP77" s="46" t="n">
        <f aca="false">MAX(BM77*(1+INDEX(Response_Table!$M$4:$M$21,MATCH($F77&amp;"|low",Response_Table!$A$4:$A$21,0))*$R77*INDEX(Parameters!$X$13:$AA$13,1,MATCH($E77,Parameters!$X$3:$AA$3,0))),BM77*(1+INDEX(Response_Table!$M$4:$M$21,MATCH($F77&amp;"|high",Response_Table!$A$4:$A$21,0))*$R77*INDEX(Parameters!$X$13:$AA$13,1,MATCH($E77,Parameters!$X$3:$AA$3,0))))*(1+Inputs_General!$C$22*Parameters!$F$13)</f>
        <v>0.345288853549971</v>
      </c>
      <c r="BQ77" s="45" t="n">
        <f aca="false">IF(BM77=0,0,BN77/BM77-1)</f>
        <v>0.0061816825397174</v>
      </c>
      <c r="BR77" s="44" t="n">
        <f aca="false">Parameters!$E$14*IF($N77="V",Parameters!$I$14,IF($N77="F",Parameters!$J$14,Parameters!$K$14))*(1-Parameters!$L$14*$P77)*IF($D77="V1",Parameters!$M$14,IF($D77="V2",Parameters!$N$14,Parameters!$O$14))*INDEX(Context!$AC$4:$AC$51,$K77)</f>
        <v>17.325</v>
      </c>
      <c r="BS77" s="44" t="n">
        <f aca="false">BR77*(1+INDEX(Response_Table!$N$4:$N$21,MATCH($F77&amp;"|mid",Response_Table!$A$4:$A$21,0))*$R77*INDEX(Parameters!$X$14:$AA$14,1,MATCH($E77,Parameters!$X$3:$AA$3,0)))</f>
        <v>18.4340016921066</v>
      </c>
      <c r="BT77" s="44" t="n">
        <f aca="false">MAX(0,MIN(BR77*(1+INDEX(Response_Table!$N$4:$N$21,MATCH($F77&amp;"|low",Response_Table!$A$4:$A$21,0))*$R77*INDEX(Parameters!$X$14:$AA$14,1,MATCH($E77,Parameters!$X$3:$AA$3,0))),BR77*(1+INDEX(Response_Table!$N$4:$N$21,MATCH($F77&amp;"|high",Response_Table!$A$4:$A$21,0))*$R77*INDEX(Parameters!$X$14:$AA$14,1,MATCH($E77,Parameters!$X$3:$AA$3,0))))*(1-Inputs_General!$C$22*Parameters!$F$14))</f>
        <v>9.20876922809019</v>
      </c>
      <c r="BU77" s="44" t="n">
        <f aca="false">MAX(BR77*(1+INDEX(Response_Table!$N$4:$N$21,MATCH($F77&amp;"|low",Response_Table!$A$4:$A$21,0))*$R77*INDEX(Parameters!$X$14:$AA$14,1,MATCH($E77,Parameters!$X$3:$AA$3,0))),BR77*(1+INDEX(Response_Table!$N$4:$N$21,MATCH($F77&amp;"|high",Response_Table!$A$4:$A$21,0))*$R77*INDEX(Parameters!$X$14:$AA$14,1,MATCH($E77,Parameters!$X$3:$AA$3,0))))*(1+Inputs_General!$C$22*Parameters!$F$14)</f>
        <v>27.8867773145731</v>
      </c>
      <c r="BV77" s="45" t="n">
        <f aca="false">IF(BR77=0,0,BS77/BR77-1)</f>
        <v>0.064011641680034</v>
      </c>
      <c r="BW77" s="43" t="n">
        <f aca="false">Parameters!$E$15*IF($N77="V",Parameters!$I$15,IF($N77="F",Parameters!$J$15,Parameters!$K$15))*(1-Parameters!$L$15*$P77)*IF($D77="V1",Parameters!$M$15,IF($D77="V2",Parameters!$N$15,Parameters!$O$15))</f>
        <v>11.232</v>
      </c>
      <c r="BX77" s="43" t="n">
        <f aca="false">BW77*(1+INDEX(Response_Table!$O$4:$O$21,MATCH($F77&amp;"|mid",Response_Table!$A$4:$A$21,0))*$R77*INDEX(Parameters!$X$15:$AA$15,1,MATCH($E77,Parameters!$X$3:$AA$3,0)))</f>
        <v>11.0522553101625</v>
      </c>
      <c r="BY77" s="43" t="n">
        <f aca="false">MAX(0,MIN(BW77*(1+INDEX(Response_Table!$O$4:$O$21,MATCH($F77&amp;"|low",Response_Table!$A$4:$A$21,0))*$R77*INDEX(Parameters!$X$15:$AA$15,1,MATCH($E77,Parameters!$X$3:$AA$3,0))),BW77*(1+INDEX(Response_Table!$O$4:$O$21,MATCH($F77&amp;"|high",Response_Table!$A$4:$A$21,0))*$R77*INDEX(Parameters!$X$15:$AA$15,1,MATCH($E77,Parameters!$X$3:$AA$3,0))))*(1-Inputs_General!$C$22*Parameters!$F$15))</f>
        <v>8.83956774498149</v>
      </c>
      <c r="BZ77" s="43" t="n">
        <f aca="false">MAX(BW77*(1+INDEX(Response_Table!$O$4:$O$21,MATCH($F77&amp;"|low",Response_Table!$A$4:$A$21,0))*$R77*INDEX(Parameters!$X$15:$AA$15,1,MATCH($E77,Parameters!$X$3:$AA$3,0))),BW77*(1+INDEX(Response_Table!$O$4:$O$21,MATCH($F77&amp;"|high",Response_Table!$A$4:$A$21,0))*$R77*INDEX(Parameters!$X$15:$AA$15,1,MATCH($E77,Parameters!$X$3:$AA$3,0))))*(1+Inputs_General!$C$22*Parameters!$F$15)</f>
        <v>13.2830355490836</v>
      </c>
      <c r="CA77" s="45" t="n">
        <f aca="false">IF(BW77=0,0,BX77/BW77-1)</f>
        <v>-0.0160029104200083</v>
      </c>
      <c r="CB77" s="46" t="n">
        <f aca="false">BD77+BI77</f>
        <v>1.5027483539974</v>
      </c>
      <c r="CC77" s="43" t="n">
        <f aca="false">BD77/BI77</f>
        <v>2.73432083465123</v>
      </c>
      <c r="CD77" s="46" t="n">
        <f aca="false">BN77/CB77</f>
        <v>0.190824883461703</v>
      </c>
      <c r="CE77" s="43" t="n">
        <f aca="false">AE77/AO77</f>
        <v>3.92434717679384</v>
      </c>
      <c r="CF77" s="44" t="n">
        <f aca="false">AE77/AJ77</f>
        <v>37.8028712088283</v>
      </c>
      <c r="CG77" s="44" t="n">
        <f aca="false">INDEX(Context!$V$4:$V$51,$K77)</f>
        <v>22.6257142857143</v>
      </c>
      <c r="CH77" s="44" t="n">
        <f aca="false">INDEX(Context!$Y$4:$Y$51,$K77)</f>
        <v>21.3177449518561</v>
      </c>
      <c r="CI77" s="44" t="n">
        <f aca="false">INDEX(Context!$Z$4:$Z$51,$K77)</f>
        <v>26.6257142857143</v>
      </c>
      <c r="CJ77" s="43" t="n">
        <f aca="false">INDEX(Context!$AA$4:$AA$51,$K77)</f>
        <v>0.12</v>
      </c>
      <c r="CK77" s="43" t="n">
        <f aca="false">MAX(0,MIN(1,1-(1-CJ77)*AO77/AN77))</f>
        <v>0.201991872591464</v>
      </c>
      <c r="CL77" s="44" t="n">
        <f aca="false">CH77+CK77*(CI77-CH77)</f>
        <v>22.3899116172601</v>
      </c>
      <c r="CM77" s="44" t="n">
        <f aca="false">CH77+MAX(0,MIN(1,1-(1-CJ77)*AQ77/AN77))*(CI77-CH77)</f>
        <v>21.3177449518561</v>
      </c>
      <c r="CN77" s="44" t="n">
        <f aca="false">CH77+MAX(0,MIN(1,1-(1-CJ77)*AP77/AN77))*(CI77-CH77)</f>
        <v>23.7382449383393</v>
      </c>
      <c r="CO77" s="44" t="n">
        <f aca="false">CL77-CG77</f>
        <v>-0.235802668454149</v>
      </c>
      <c r="CP77" s="44" t="n">
        <f aca="false">CL77-(CH77+CJ77*(CI77-CH77))</f>
        <v>0.435210345341101</v>
      </c>
      <c r="CQ77" s="46" t="n">
        <f aca="false">CL77/CG77</f>
        <v>0.98957811163544</v>
      </c>
      <c r="CR77" s="43" t="n">
        <f aca="false">IF(CL77-CH77&lt;=0,"n/a",(CI77-CL77)/(CL77-CH77))</f>
        <v>3.95069423918129</v>
      </c>
      <c r="CS77" s="43" t="n">
        <f aca="false">IF(CI77-CL77&lt;=0,"n/a",(CL77-CH77)/(CI77-CL77))</f>
        <v>0.253120069400064</v>
      </c>
      <c r="CT77" s="43" t="n">
        <f aca="false">Inputs_General!$C$23+Inputs_General!$C$24*$I77</f>
        <v>0.76</v>
      </c>
      <c r="CU77" s="44" t="n">
        <f aca="false">3.29*CT77</f>
        <v>2.5004</v>
      </c>
    </row>
    <row r="78" customFormat="false" ht="15" hidden="false" customHeight="false" outlineLevel="0" collapsed="false">
      <c r="A78" s="9" t="str">
        <f aca="false">B78&amp;"|"&amp;E78&amp;"|"&amp;F78</f>
        <v>D2V1|11/02/2026|Moderate</v>
      </c>
      <c r="B78" s="7" t="s">
        <v>346</v>
      </c>
      <c r="C78" s="9" t="s">
        <v>129</v>
      </c>
      <c r="D78" s="9" t="s">
        <v>142</v>
      </c>
      <c r="E78" s="9" t="s">
        <v>158</v>
      </c>
      <c r="F78" s="7" t="s">
        <v>281</v>
      </c>
      <c r="G78" s="9" t="s">
        <v>282</v>
      </c>
      <c r="H78" s="41" t="n">
        <f aca="false">INDEX(Severity_Classes!$C$4:$C$9,MATCH(F78,Severity_Classes!$A$4:$A$9,0))</f>
        <v>0.11</v>
      </c>
      <c r="I78" s="41" t="n">
        <f aca="false">INDEX(Severity_Classes!$D$4:$D$9,MATCH(F78,Severity_Classes!$A$4:$A$9,0))</f>
        <v>0.18</v>
      </c>
      <c r="J78" s="41" t="n">
        <f aca="false">INDEX(Severity_Classes!$E$4:$E$9,MATCH(F78,Severity_Classes!$A$4:$A$9,0))</f>
        <v>0.25</v>
      </c>
      <c r="K78" s="42" t="n">
        <f aca="false">MATCH(B78&amp;"|"&amp;E78,Context!$A$4:$A$51,0)</f>
        <v>13</v>
      </c>
      <c r="L78" s="42" t="n">
        <f aca="false">INDEX(Context!$H$4:$H$51,K78)</f>
        <v>55</v>
      </c>
      <c r="M78" s="42" t="n">
        <f aca="false">INDEX(Context!$I$4:$I$51,K78)</f>
        <v>6</v>
      </c>
      <c r="N78" s="9" t="str">
        <f aca="false">INDEX(Context!$L$4:$L$51,K78)</f>
        <v>V</v>
      </c>
      <c r="O78" s="9" t="str">
        <f aca="false">INDEX(Context!$M$4:$M$51,K78)</f>
        <v>3rd fully expanded leaf from top</v>
      </c>
      <c r="P78" s="43" t="n">
        <f aca="false">INDEX(Context!$R$4:$R$51,K78)</f>
        <v>0</v>
      </c>
      <c r="Q78" s="43" t="n">
        <f aca="false">INDEX(Context!$U$4:$U$51,K78)</f>
        <v>0.937791824040773</v>
      </c>
      <c r="R78" s="43" t="n">
        <f aca="false">INDEX(Context!$AD$4:$AD$51,K78)</f>
        <v>1</v>
      </c>
      <c r="S78" s="9" t="str">
        <f aca="false">INDEX(Context!$AI$4:$AN$51,K78,MATCH(F78,Severity_Classes!$A$4:$A$9,0))</f>
        <v>Unlikely (only via pre-inoculation natural infection)</v>
      </c>
      <c r="T78" s="44" t="n">
        <f aca="false">Parameters!$E$4*IF($N78="V",Parameters!$I$4,IF($N78="F",Parameters!$J$4,Parameters!$K$4))*(1-Parameters!$L$4*$P78)*IF($D78="V1",Parameters!$M$4,IF($D78="V2",Parameters!$N$4,Parameters!$O$4))</f>
        <v>86</v>
      </c>
      <c r="U78" s="44" t="n">
        <f aca="false">MIN(100,T78*(1+INDEX(Response_Table!$E$4:$E$21,MATCH($F78&amp;"|mid",Response_Table!$A$4:$A$21,0))*$R78*INDEX(Parameters!$X$4:$AA$4,1,MATCH($E78,Parameters!$X$3:$AA$3,0))))</f>
        <v>84.0439331548254</v>
      </c>
      <c r="V78" s="44" t="n">
        <f aca="false">MAX(0,MIN(T78*(1+INDEX(Response_Table!$E$4:$E$21,MATCH($F78&amp;"|low",Response_Table!$A$4:$A$21,0))*$R78*INDEX(Parameters!$X$4:$AA$4,1,MATCH($E78,Parameters!$X$3:$AA$3,0))),T78*(1+INDEX(Response_Table!$E$4:$E$21,MATCH($F78&amp;"|high",Response_Table!$A$4:$A$21,0))*$R78*INDEX(Parameters!$X$4:$AA$4,1,MATCH($E78,Parameters!$X$3:$AA$3,0))))*(1-Inputs_General!$C$22*Parameters!$F$4))</f>
        <v>77.1449834747202</v>
      </c>
      <c r="W78" s="44" t="n">
        <f aca="false">MIN(100,MAX(T78*(1+INDEX(Response_Table!$E$4:$E$21,MATCH($F78&amp;"|low",Response_Table!$A$4:$A$21,0))*$R78*INDEX(Parameters!$X$4:$AA$4,1,MATCH($E78,Parameters!$X$3:$AA$3,0))),T78*(1+INDEX(Response_Table!$E$4:$E$21,MATCH($F78&amp;"|high",Response_Table!$A$4:$A$21,0))*$R78*INDEX(Parameters!$X$4:$AA$4,1,MATCH($E78,Parameters!$X$3:$AA$3,0))))*(1+Inputs_General!$C$22*Parameters!$F$4))</f>
        <v>90.6752138875645</v>
      </c>
      <c r="X78" s="45" t="n">
        <f aca="false">IF(T78=0,0,U78/T78-1)</f>
        <v>-0.0227449633159834</v>
      </c>
      <c r="Y78" s="44" t="n">
        <f aca="false">Parameters!$E$5*IF($N78="V",Parameters!$I$5,IF($N78="F",Parameters!$J$5,Parameters!$K$5))*(1-Parameters!$L$5*$P78)*IF($D78="V1",Parameters!$M$5,IF($D78="V2",Parameters!$N$5,Parameters!$O$5))</f>
        <v>72</v>
      </c>
      <c r="Z78" s="44" t="n">
        <f aca="false">MIN(100,Y78*(1+INDEX(Response_Table!$F$4:$F$21,MATCH($F78&amp;"|mid",Response_Table!$A$4:$A$21,0))*$R78*INDEX(Parameters!$X$5:$AA$5,1,MATCH($E78,Parameters!$X$3:$AA$3,0))))</f>
        <v>66.3429602737958</v>
      </c>
      <c r="AA78" s="44" t="n">
        <f aca="false">MAX(0,MIN(Y78*(1+INDEX(Response_Table!$F$4:$F$21,MATCH($F78&amp;"|low",Response_Table!$A$4:$A$21,0))*$R78*INDEX(Parameters!$X$5:$AA$5,1,MATCH($E78,Parameters!$X$3:$AA$3,0))),Y78*(1+INDEX(Response_Table!$F$4:$F$21,MATCH($F78&amp;"|high",Response_Table!$A$4:$A$21,0))*$R78*INDEX(Parameters!$X$5:$AA$5,1,MATCH($E78,Parameters!$X$3:$AA$3,0))))*(1-Inputs_General!$C$22*Parameters!$F$5))</f>
        <v>54.9989444833725</v>
      </c>
      <c r="AB78" s="44" t="n">
        <f aca="false">MIN(100,MAX(Y78*(1+INDEX(Response_Table!$F$4:$F$21,MATCH($F78&amp;"|low",Response_Table!$A$4:$A$21,0))*$R78*INDEX(Parameters!$X$5:$AA$5,1,MATCH($E78,Parameters!$X$3:$AA$3,0))),Y78*(1+INDEX(Response_Table!$F$4:$F$21,MATCH($F78&amp;"|high",Response_Table!$A$4:$A$21,0))*$R78*INDEX(Parameters!$X$5:$AA$5,1,MATCH($E78,Parameters!$X$3:$AA$3,0))))*(1+Inputs_General!$C$22*Parameters!$F$5))</f>
        <v>77.3949608923929</v>
      </c>
      <c r="AC78" s="45" t="n">
        <f aca="false">IF(Y78=0,0,Z78/Y78-1)</f>
        <v>-0.0785699961972806</v>
      </c>
      <c r="AD78" s="44" t="n">
        <f aca="false">Parameters!$E$6*IF($N78="V",Parameters!$I$6,IF($N78="F",Parameters!$J$6,Parameters!$K$6))*(1-Parameters!$L$6*$P78)*IF($D78="V1",Parameters!$M$6,IF($D78="V2",Parameters!$N$6,Parameters!$O$6))</f>
        <v>19</v>
      </c>
      <c r="AE78" s="44" t="n">
        <f aca="false">AD78*(1+INDEX(Response_Table!$G$4:$G$21,MATCH($F78&amp;"|mid",Response_Table!$A$4:$A$21,0))*$R78*INDEX(Parameters!$X$6:$AA$6,1,MATCH($E78,Parameters!$X$3:$AA$3,0)))</f>
        <v>12.7634933456528</v>
      </c>
      <c r="AF78" s="44" t="n">
        <f aca="false">MAX(0,MIN(AD78*(1+INDEX(Response_Table!$G$4:$G$21,MATCH($F78&amp;"|low",Response_Table!$A$4:$A$21,0))*$R78*INDEX(Parameters!$X$6:$AA$6,1,MATCH($E78,Parameters!$X$3:$AA$3,0))),AD78*(1+INDEX(Response_Table!$G$4:$G$21,MATCH($F78&amp;"|high",Response_Table!$A$4:$A$21,0))*$R78*INDEX(Parameters!$X$6:$AA$6,1,MATCH($E78,Parameters!$X$3:$AA$3,0))))*(1-Inputs_General!$C$22*Parameters!$F$6))</f>
        <v>9.1454105822473</v>
      </c>
      <c r="AG78" s="44" t="n">
        <f aca="false">MAX(AD78*(1+INDEX(Response_Table!$G$4:$G$21,MATCH($F78&amp;"|low",Response_Table!$A$4:$A$21,0))*$R78*INDEX(Parameters!$X$6:$AA$6,1,MATCH($E78,Parameters!$X$3:$AA$3,0))),AD78*(1+INDEX(Response_Table!$G$4:$G$21,MATCH($F78&amp;"|high",Response_Table!$A$4:$A$21,0))*$R78*INDEX(Parameters!$X$6:$AA$6,1,MATCH($E78,Parameters!$X$3:$AA$3,0))))*(1+Inputs_General!$C$22*Parameters!$F$6)</f>
        <v>17.5131370788554</v>
      </c>
      <c r="AH78" s="45" t="n">
        <f aca="false">IF(AD78=0,0,AE78/AD78-1)</f>
        <v>-0.328237192334065</v>
      </c>
      <c r="AI78" s="46" t="n">
        <f aca="false">Parameters!$E$7*IF($N78="V",Parameters!$I$7,IF($N78="F",Parameters!$J$7,Parameters!$K$7))*(1-Parameters!$L$7*$P78)*IF($D78="V1",Parameters!$M$7,IF($D78="V2",Parameters!$N$7,Parameters!$O$7))*POWER($Q78/Inputs_General!$C$26,-Inputs_General!$C$25)</f>
        <v>0.464685683730118</v>
      </c>
      <c r="AJ78" s="46" t="n">
        <f aca="false">AI78*(1+INDEX(Response_Table!$H$4:$H$21,MATCH($F78&amp;"|mid",Response_Table!$A$4:$A$21,0))*$R78*INDEX(Parameters!$X$7:$AA$7,1,MATCH($E78,Parameters!$X$3:$AA$3,0)))</f>
        <v>0.363862408640865</v>
      </c>
      <c r="AK78" s="46" t="n">
        <f aca="false">MAX(0,MIN(AI78*(1+INDEX(Response_Table!$H$4:$H$21,MATCH($F78&amp;"|low",Response_Table!$A$4:$A$21,0))*$R78*INDEX(Parameters!$X$7:$AA$7,1,MATCH($E78,Parameters!$X$3:$AA$3,0))),AI78*(1+INDEX(Response_Table!$H$4:$H$21,MATCH($F78&amp;"|high",Response_Table!$A$4:$A$21,0))*$R78*INDEX(Parameters!$X$7:$AA$7,1,MATCH($E78,Parameters!$X$3:$AA$3,0))))*(1-Inputs_General!$C$22*Parameters!$F$7))</f>
        <v>0.23734815006715</v>
      </c>
      <c r="AL78" s="46" t="n">
        <f aca="false">MAX(AI78*(1+INDEX(Response_Table!$H$4:$H$21,MATCH($F78&amp;"|low",Response_Table!$A$4:$A$21,0))*$R78*INDEX(Parameters!$X$7:$AA$7,1,MATCH($E78,Parameters!$X$3:$AA$3,0))),AI78*(1+INDEX(Response_Table!$H$4:$H$21,MATCH($F78&amp;"|high",Response_Table!$A$4:$A$21,0))*$R78*INDEX(Parameters!$X$7:$AA$7,1,MATCH($E78,Parameters!$X$3:$AA$3,0))))*(1+Inputs_General!$C$22*Parameters!$F$7)</f>
        <v>0.514250204889412</v>
      </c>
      <c r="AM78" s="45" t="n">
        <f aca="false">IF(AI78=0,0,AJ78/AI78-1)</f>
        <v>-0.216970908765525</v>
      </c>
      <c r="AN78" s="43" t="n">
        <f aca="false">AI78*$Q78/Inputs_General!$C$13*1000</f>
        <v>4.38850387664553</v>
      </c>
      <c r="AO78" s="43" t="n">
        <f aca="false">AJ78*$Q78/Inputs_General!$C$13*1000*(1+Inputs_General!$C$21*$I78)</f>
        <v>3.59096088151711</v>
      </c>
      <c r="AP78" s="43" t="n">
        <f aca="false">AK78*$Q78/Inputs_General!$C$13*1000*(1+Inputs_General!$C$21*$H78)</f>
        <v>2.3031640617849</v>
      </c>
      <c r="AQ78" s="43" t="n">
        <f aca="false">AL78*$Q78/Inputs_General!$C$13*1000*(1+Inputs_General!$C$21*$J78)</f>
        <v>5.16012955700019</v>
      </c>
      <c r="AR78" s="45" t="n">
        <f aca="false">IF(AN78=0,0,AO78/AN78-1)</f>
        <v>-0.181734599659974</v>
      </c>
      <c r="AS78" s="42" t="n">
        <f aca="false">Parameters!$E$9*IF($N78="V",Parameters!$I$9,IF($N78="F",Parameters!$J$9,Parameters!$K$9))*(1-Parameters!$L$9*$P78)*IF($D78="V1",Parameters!$M$9,IF($D78="V2",Parameters!$N$9,Parameters!$O$9))</f>
        <v>285</v>
      </c>
      <c r="AT78" s="42" t="n">
        <f aca="false">AS78*(1+INDEX(Response_Table!$I$4:$I$21,MATCH($F78&amp;"|mid",Response_Table!$A$4:$A$21,0))*$R78*INDEX(Parameters!$X$9:$AA$9,1,MATCH($E78,Parameters!$X$3:$AA$3,0)))</f>
        <v>320.106145692338</v>
      </c>
      <c r="AU78" s="42" t="n">
        <f aca="false">MAX(0,MIN(AS78*(1+INDEX(Response_Table!$I$4:$I$21,MATCH($F78&amp;"|low",Response_Table!$A$4:$A$21,0))*$R78*INDEX(Parameters!$X$9:$AA$9,1,MATCH($E78,Parameters!$X$3:$AA$3,0))),AS78*(1+INDEX(Response_Table!$I$4:$I$21,MATCH($F78&amp;"|high",Response_Table!$A$4:$A$21,0))*$R78*INDEX(Parameters!$X$9:$AA$9,1,MATCH($E78,Parameters!$X$3:$AA$3,0))))*(1-Inputs_General!$C$22*Parameters!$F$9))</f>
        <v>278.815270199559</v>
      </c>
      <c r="AV78" s="42" t="n">
        <f aca="false">MAX(AS78*(1+INDEX(Response_Table!$I$4:$I$21,MATCH($F78&amp;"|low",Response_Table!$A$4:$A$21,0))*$R78*INDEX(Parameters!$X$9:$AA$9,1,MATCH($E78,Parameters!$X$3:$AA$3,0))),AS78*(1+INDEX(Response_Table!$I$4:$I$21,MATCH($F78&amp;"|high",Response_Table!$A$4:$A$21,0))*$R78*INDEX(Parameters!$X$9:$AA$9,1,MATCH($E78,Parameters!$X$3:$AA$3,0))))*(1+Inputs_General!$C$22*Parameters!$F$9)</f>
        <v>360.63404268617</v>
      </c>
      <c r="AW78" s="45" t="n">
        <f aca="false">IF(AS78=0,0,AT78/AS78-1)</f>
        <v>0.123179458569607</v>
      </c>
      <c r="AX78" s="43" t="n">
        <f aca="false">INDEX(Context!$AB$4:$AB$51,$K78)</f>
        <v>1.78847463648905</v>
      </c>
      <c r="AY78" s="43" t="n">
        <f aca="false">AX78*(1+INDEX(Response_Table!$J$4:$J$21,MATCH($F78&amp;"|mid",Response_Table!$A$4:$A$21,0))*$R78*INDEX(Parameters!$X$10:$AA$10,1,MATCH($E78,Parameters!$X$3:$AA$3,0)))</f>
        <v>1.64265374303358</v>
      </c>
      <c r="AZ78" s="43" t="n">
        <f aca="false">MAX(0,MIN(AX78*(1+INDEX(Response_Table!$J$4:$J$21,MATCH($F78&amp;"|low",Response_Table!$A$4:$A$21,0))*$R78*INDEX(Parameters!$X$10:$AA$10,1,MATCH($E78,Parameters!$X$3:$AA$3,0))),AX78*(1+INDEX(Response_Table!$J$4:$J$21,MATCH($F78&amp;"|high",Response_Table!$A$4:$A$21,0))*$R78*INDEX(Parameters!$X$10:$AA$10,1,MATCH($E78,Parameters!$X$3:$AA$3,0))))*(1-Inputs_General!$C$22*Parameters!$F$10))</f>
        <v>1.28533234037017</v>
      </c>
      <c r="BA78" s="43" t="n">
        <f aca="false">MAX(AX78*(1+INDEX(Response_Table!$J$4:$J$21,MATCH($F78&amp;"|low",Response_Table!$A$4:$A$21,0))*$R78*INDEX(Parameters!$X$10:$AA$10,1,MATCH($E78,Parameters!$X$3:$AA$3,0))),AX78*(1+INDEX(Response_Table!$J$4:$J$21,MATCH($F78&amp;"|high",Response_Table!$A$4:$A$21,0))*$R78*INDEX(Parameters!$X$10:$AA$10,1,MATCH($E78,Parameters!$X$3:$AA$3,0))))*(1+Inputs_General!$C$22*Parameters!$F$10)</f>
        <v>2.02567130617071</v>
      </c>
      <c r="BB78" s="45" t="n">
        <f aca="false">IF(AX78=0,0,AY78/AX78-1)</f>
        <v>-0.081533665885101</v>
      </c>
      <c r="BC78" s="46" t="n">
        <f aca="false">Parameters!$E$11*IF($N78="V",Parameters!$I$11,IF($N78="F",Parameters!$J$11,Parameters!$K$11))*(1-Parameters!$L$11*$P78)*IF($D78="V1",Parameters!$M$11,IF($D78="V2",Parameters!$N$11,Parameters!$O$11))</f>
        <v>1.1875</v>
      </c>
      <c r="BD78" s="46" t="n">
        <f aca="false">BC78*(1+INDEX(Response_Table!$K$4:$K$21,MATCH($F78&amp;"|mid",Response_Table!$A$4:$A$21,0))*$R78*INDEX(Parameters!$X$11:$AA$11,1,MATCH($E78,Parameters!$X$3:$AA$3,0)))</f>
        <v>1.01851434994315</v>
      </c>
      <c r="BE78" s="46" t="n">
        <f aca="false">MAX(0,MIN(BC78*(1+INDEX(Response_Table!$K$4:$K$21,MATCH($F78&amp;"|low",Response_Table!$A$4:$A$21,0))*$R78*INDEX(Parameters!$X$11:$AA$11,1,MATCH($E78,Parameters!$X$3:$AA$3,0))),BC78*(1+INDEX(Response_Table!$K$4:$K$21,MATCH($F78&amp;"|high",Response_Table!$A$4:$A$21,0))*$R78*INDEX(Parameters!$X$11:$AA$11,1,MATCH($E78,Parameters!$X$3:$AA$3,0))))*(1-Inputs_General!$C$22*Parameters!$F$11))</f>
        <v>0.814591944267851</v>
      </c>
      <c r="BF78" s="46" t="n">
        <f aca="false">MAX(BC78*(1+INDEX(Response_Table!$K$4:$K$21,MATCH($F78&amp;"|low",Response_Table!$A$4:$A$21,0))*$R78*INDEX(Parameters!$X$11:$AA$11,1,MATCH($E78,Parameters!$X$3:$AA$3,0))),BC78*(1+INDEX(Response_Table!$K$4:$K$21,MATCH($F78&amp;"|high",Response_Table!$A$4:$A$21,0))*$R78*INDEX(Parameters!$X$11:$AA$11,1,MATCH($E78,Parameters!$X$3:$AA$3,0))))*(1+Inputs_General!$C$22*Parameters!$F$11)</f>
        <v>1.24949065063162</v>
      </c>
      <c r="BG78" s="45" t="n">
        <f aca="false">IF(BC78=0,0,BD78/BC78-1)</f>
        <v>-0.142303705311033</v>
      </c>
      <c r="BH78" s="46" t="n">
        <f aca="false">Parameters!$E$12*IF($N78="V",Parameters!$I$12,IF($N78="F",Parameters!$J$12,Parameters!$K$12))*(1-Parameters!$L$12*$P78)*IF($D78="V1",Parameters!$M$12,IF($D78="V2",Parameters!$N$12,Parameters!$O$12))</f>
        <v>0.4275</v>
      </c>
      <c r="BI78" s="46" t="n">
        <f aca="false">BH78*(1+INDEX(Response_Table!$L$4:$L$21,MATCH($F78&amp;"|mid",Response_Table!$A$4:$A$21,0))*$R78*INDEX(Parameters!$X$12:$AA$12,1,MATCH($E78,Parameters!$X$3:$AA$3,0)))</f>
        <v>0.378446841419717</v>
      </c>
      <c r="BJ78" s="46" t="n">
        <f aca="false">MAX(0,MIN(BH78*(1+INDEX(Response_Table!$L$4:$L$21,MATCH($F78&amp;"|low",Response_Table!$A$4:$A$21,0))*$R78*INDEX(Parameters!$X$12:$AA$12,1,MATCH($E78,Parameters!$X$3:$AA$3,0))),BH78*(1+INDEX(Response_Table!$L$4:$L$21,MATCH($F78&amp;"|high",Response_Table!$A$4:$A$21,0))*$R78*INDEX(Parameters!$X$12:$AA$12,1,MATCH($E78,Parameters!$X$3:$AA$3,0))))*(1-Inputs_General!$C$22*Parameters!$F$12))</f>
        <v>0.29332629652672</v>
      </c>
      <c r="BK78" s="46" t="n">
        <f aca="false">MAX(BH78*(1+INDEX(Response_Table!$L$4:$L$21,MATCH($F78&amp;"|low",Response_Table!$A$4:$A$21,0))*$R78*INDEX(Parameters!$X$12:$AA$12,1,MATCH($E78,Parameters!$X$3:$AA$3,0))),BH78*(1+INDEX(Response_Table!$L$4:$L$21,MATCH($F78&amp;"|high",Response_Table!$A$4:$A$21,0))*$R78*INDEX(Parameters!$X$12:$AA$12,1,MATCH($E78,Parameters!$X$3:$AA$3,0))))*(1+Inputs_General!$C$22*Parameters!$F$12)</f>
        <v>0.472321580168239</v>
      </c>
      <c r="BL78" s="45" t="n">
        <f aca="false">IF(BH78=0,0,BI78/BH78-1)</f>
        <v>-0.114744230597153</v>
      </c>
      <c r="BM78" s="46" t="n">
        <f aca="false">Parameters!$E$13*IF($N78="V",Parameters!$I$13,IF($N78="F",Parameters!$J$13,Parameters!$K$13))*(1-Parameters!$L$13*$P78)*IF($D78="V1",Parameters!$M$13,IF($D78="V2",Parameters!$N$13,Parameters!$O$13))</f>
        <v>0.285</v>
      </c>
      <c r="BN78" s="46" t="n">
        <f aca="false">BM78*(1+INDEX(Response_Table!$M$4:$M$21,MATCH($F78&amp;"|mid",Response_Table!$A$4:$A$21,0))*$R78*INDEX(Parameters!$X$13:$AA$13,1,MATCH($E78,Parameters!$X$3:$AA$3,0)))</f>
        <v>0.272741938314924</v>
      </c>
      <c r="BO78" s="46" t="n">
        <f aca="false">MAX(0,MIN(BM78*(1+INDEX(Response_Table!$M$4:$M$21,MATCH($F78&amp;"|low",Response_Table!$A$4:$A$21,0))*$R78*INDEX(Parameters!$X$13:$AA$13,1,MATCH($E78,Parameters!$X$3:$AA$3,0))),BM78*(1+INDEX(Response_Table!$M$4:$M$21,MATCH($F78&amp;"|high",Response_Table!$A$4:$A$21,0))*$R78*INDEX(Parameters!$X$13:$AA$13,1,MATCH($E78,Parameters!$X$3:$AA$3,0))))*(1-Inputs_General!$C$22*Parameters!$F$13))</f>
        <v>0.21098259652342</v>
      </c>
      <c r="BP78" s="46" t="n">
        <f aca="false">MAX(BM78*(1+INDEX(Response_Table!$M$4:$M$21,MATCH($F78&amp;"|low",Response_Table!$A$4:$A$21,0))*$R78*INDEX(Parameters!$X$13:$AA$13,1,MATCH($E78,Parameters!$X$3:$AA$3,0))),BM78*(1+INDEX(Response_Table!$M$4:$M$21,MATCH($F78&amp;"|high",Response_Table!$A$4:$A$21,0))*$R78*INDEX(Parameters!$X$13:$AA$13,1,MATCH($E78,Parameters!$X$3:$AA$3,0))))*(1+Inputs_General!$C$22*Parameters!$F$13)</f>
        <v>0.339058154053733</v>
      </c>
      <c r="BQ78" s="45" t="n">
        <f aca="false">IF(BM78=0,0,BN78/BM78-1)</f>
        <v>-0.0430107427546522</v>
      </c>
      <c r="BR78" s="44" t="n">
        <f aca="false">Parameters!$E$14*IF($N78="V",Parameters!$I$14,IF($N78="F",Parameters!$J$14,Parameters!$K$14))*(1-Parameters!$L$14*$P78)*IF($D78="V1",Parameters!$M$14,IF($D78="V2",Parameters!$N$14,Parameters!$O$14))*INDEX(Context!$AC$4:$AC$51,$K78)</f>
        <v>17.325</v>
      </c>
      <c r="BS78" s="44" t="n">
        <f aca="false">BR78*(1+INDEX(Response_Table!$N$4:$N$21,MATCH($F78&amp;"|mid",Response_Table!$A$4:$A$21,0))*$R78*INDEX(Parameters!$X$14:$AA$14,1,MATCH($E78,Parameters!$X$3:$AA$3,0)))</f>
        <v>19.4936659582862</v>
      </c>
      <c r="BT78" s="44" t="n">
        <f aca="false">MAX(0,MIN(BR78*(1+INDEX(Response_Table!$N$4:$N$21,MATCH($F78&amp;"|low",Response_Table!$A$4:$A$21,0))*$R78*INDEX(Parameters!$X$14:$AA$14,1,MATCH($E78,Parameters!$X$3:$AA$3,0))),BR78*(1+INDEX(Response_Table!$N$4:$N$21,MATCH($F78&amp;"|high",Response_Table!$A$4:$A$21,0))*$R78*INDEX(Parameters!$X$14:$AA$14,1,MATCH($E78,Parameters!$X$3:$AA$3,0))))*(1-Inputs_General!$C$22*Parameters!$F$14))</f>
        <v>9.51505525806445</v>
      </c>
      <c r="BU78" s="44" t="n">
        <f aca="false">MAX(BR78*(1+INDEX(Response_Table!$N$4:$N$21,MATCH($F78&amp;"|low",Response_Table!$A$4:$A$21,0))*$R78*INDEX(Parameters!$X$14:$AA$14,1,MATCH($E78,Parameters!$X$3:$AA$3,0))),BR78*(1+INDEX(Response_Table!$N$4:$N$21,MATCH($F78&amp;"|high",Response_Table!$A$4:$A$21,0))*$R78*INDEX(Parameters!$X$14:$AA$14,1,MATCH($E78,Parameters!$X$3:$AA$3,0))))*(1+Inputs_General!$C$22*Parameters!$F$14)</f>
        <v>29.970624326719</v>
      </c>
      <c r="BV78" s="45" t="n">
        <f aca="false">IF(BR78=0,0,BS78/BR78-1)</f>
        <v>0.125175524287803</v>
      </c>
      <c r="BW78" s="43" t="n">
        <f aca="false">Parameters!$E$15*IF($N78="V",Parameters!$I$15,IF($N78="F",Parameters!$J$15,Parameters!$K$15))*(1-Parameters!$L$15*$P78)*IF($D78="V1",Parameters!$M$15,IF($D78="V2",Parameters!$N$15,Parameters!$O$15))</f>
        <v>11.232</v>
      </c>
      <c r="BX78" s="43" t="n">
        <f aca="false">BW78*(1+INDEX(Response_Table!$O$4:$O$21,MATCH($F78&amp;"|mid",Response_Table!$A$4:$A$21,0))*$R78*INDEX(Parameters!$X$15:$AA$15,1,MATCH($E78,Parameters!$X$3:$AA$3,0)))</f>
        <v>10.8805071277999</v>
      </c>
      <c r="BY78" s="43" t="n">
        <f aca="false">MAX(0,MIN(BW78*(1+INDEX(Response_Table!$O$4:$O$21,MATCH($F78&amp;"|low",Response_Table!$A$4:$A$21,0))*$R78*INDEX(Parameters!$X$15:$AA$15,1,MATCH($E78,Parameters!$X$3:$AA$3,0))),BW78*(1+INDEX(Response_Table!$O$4:$O$21,MATCH($F78&amp;"|high",Response_Table!$A$4:$A$21,0))*$R78*INDEX(Parameters!$X$15:$AA$15,1,MATCH($E78,Parameters!$X$3:$AA$3,0))))*(1-Inputs_General!$C$22*Parameters!$F$15))</f>
        <v>8.6580648233417</v>
      </c>
      <c r="BZ78" s="43" t="n">
        <f aca="false">MAX(BW78*(1+INDEX(Response_Table!$O$4:$O$21,MATCH($F78&amp;"|low",Response_Table!$A$4:$A$21,0))*$R78*INDEX(Parameters!$X$15:$AA$15,1,MATCH($E78,Parameters!$X$3:$AA$3,0))),BW78*(1+INDEX(Response_Table!$O$4:$O$21,MATCH($F78&amp;"|high",Response_Table!$A$4:$A$21,0))*$R78*INDEX(Parameters!$X$15:$AA$15,1,MATCH($E78,Parameters!$X$3:$AA$3,0))))*(1+Inputs_General!$C$22*Parameters!$F$15)</f>
        <v>13.1656780481338</v>
      </c>
      <c r="CA78" s="45" t="n">
        <f aca="false">IF(BW78=0,0,BX78/BW78-1)</f>
        <v>-0.0312938810719508</v>
      </c>
      <c r="CB78" s="46" t="n">
        <f aca="false">BD78+BI78</f>
        <v>1.39696119136287</v>
      </c>
      <c r="CC78" s="43" t="n">
        <f aca="false">BD78/BI78</f>
        <v>2.69130096613374</v>
      </c>
      <c r="CD78" s="46" t="n">
        <f aca="false">BN78/CB78</f>
        <v>0.195239452607011</v>
      </c>
      <c r="CE78" s="43" t="n">
        <f aca="false">AE78/AO78</f>
        <v>3.55433928878124</v>
      </c>
      <c r="CF78" s="44" t="n">
        <f aca="false">AE78/AJ78</f>
        <v>35.0778015055972</v>
      </c>
      <c r="CG78" s="44" t="n">
        <f aca="false">INDEX(Context!$V$4:$V$51,$K78)</f>
        <v>22.6257142857143</v>
      </c>
      <c r="CH78" s="44" t="n">
        <f aca="false">INDEX(Context!$Y$4:$Y$51,$K78)</f>
        <v>21.3177449518561</v>
      </c>
      <c r="CI78" s="44" t="n">
        <f aca="false">INDEX(Context!$Z$4:$Z$51,$K78)</f>
        <v>26.6257142857143</v>
      </c>
      <c r="CJ78" s="43" t="n">
        <f aca="false">INDEX(Context!$AA$4:$AA$51,$K78)</f>
        <v>0.12</v>
      </c>
      <c r="CK78" s="43" t="n">
        <f aca="false">MAX(0,MIN(1,1-(1-CJ78)*AO78/AN78))</f>
        <v>0.279926447700777</v>
      </c>
      <c r="CL78" s="44" t="n">
        <f aca="false">CH78+CK78*(CI78-CH78)</f>
        <v>22.8035859519876</v>
      </c>
      <c r="CM78" s="44" t="n">
        <f aca="false">CH78+MAX(0,MIN(1,1-(1-CJ78)*AQ78/AN78))*(CI78-CH78)</f>
        <v>21.3177449518561</v>
      </c>
      <c r="CN78" s="44" t="n">
        <f aca="false">CH78+MAX(0,MIN(1,1-(1-CJ78)*AP78/AN78))*(CI78-CH78)</f>
        <v>24.1742844572585</v>
      </c>
      <c r="CO78" s="44" t="n">
        <f aca="false">CL78-CG78</f>
        <v>0.177871666273358</v>
      </c>
      <c r="CP78" s="44" t="n">
        <f aca="false">CL78-(CH78+CJ78*(CI78-CH78))</f>
        <v>0.848884680068608</v>
      </c>
      <c r="CQ78" s="46" t="n">
        <f aca="false">CL78/CG78</f>
        <v>1.00786148291396</v>
      </c>
      <c r="CR78" s="43" t="n">
        <f aca="false">IF(CL78-CH78&lt;=0,"n/a",(CI78-CL78)/(CL78-CH78))</f>
        <v>2.57236698501934</v>
      </c>
      <c r="CS78" s="43" t="n">
        <f aca="false">IF(CI78-CL78&lt;=0,"n/a",(CL78-CH78)/(CI78-CL78))</f>
        <v>0.38874702008838</v>
      </c>
      <c r="CT78" s="43" t="n">
        <f aca="false">Inputs_General!$C$23+Inputs_General!$C$24*$I78</f>
        <v>0.96</v>
      </c>
      <c r="CU78" s="44" t="n">
        <f aca="false">3.29*CT78</f>
        <v>3.1584</v>
      </c>
    </row>
    <row r="79" customFormat="false" ht="15" hidden="false" customHeight="false" outlineLevel="0" collapsed="false">
      <c r="A79" s="9" t="str">
        <f aca="false">B79&amp;"|"&amp;E79&amp;"|"&amp;F79</f>
        <v>D2V1|11/02/2026|High</v>
      </c>
      <c r="B79" s="7" t="s">
        <v>346</v>
      </c>
      <c r="C79" s="9" t="s">
        <v>129</v>
      </c>
      <c r="D79" s="9" t="s">
        <v>142</v>
      </c>
      <c r="E79" s="9" t="s">
        <v>158</v>
      </c>
      <c r="F79" s="7" t="s">
        <v>283</v>
      </c>
      <c r="G79" s="9" t="s">
        <v>284</v>
      </c>
      <c r="H79" s="41" t="n">
        <f aca="false">INDEX(Severity_Classes!$C$4:$C$9,MATCH(F79,Severity_Classes!$A$4:$A$9,0))</f>
        <v>0.26</v>
      </c>
      <c r="I79" s="41" t="n">
        <f aca="false">INDEX(Severity_Classes!$D$4:$D$9,MATCH(F79,Severity_Classes!$A$4:$A$9,0))</f>
        <v>0.38</v>
      </c>
      <c r="J79" s="41" t="n">
        <f aca="false">INDEX(Severity_Classes!$E$4:$E$9,MATCH(F79,Severity_Classes!$A$4:$A$9,0))</f>
        <v>0.5</v>
      </c>
      <c r="K79" s="42" t="n">
        <f aca="false">MATCH(B79&amp;"|"&amp;E79,Context!$A$4:$A$51,0)</f>
        <v>13</v>
      </c>
      <c r="L79" s="42" t="n">
        <f aca="false">INDEX(Context!$H$4:$H$51,K79)</f>
        <v>55</v>
      </c>
      <c r="M79" s="42" t="n">
        <f aca="false">INDEX(Context!$I$4:$I$51,K79)</f>
        <v>6</v>
      </c>
      <c r="N79" s="9" t="str">
        <f aca="false">INDEX(Context!$L$4:$L$51,K79)</f>
        <v>V</v>
      </c>
      <c r="O79" s="9" t="str">
        <f aca="false">INDEX(Context!$M$4:$M$51,K79)</f>
        <v>3rd fully expanded leaf from top</v>
      </c>
      <c r="P79" s="43" t="n">
        <f aca="false">INDEX(Context!$R$4:$R$51,K79)</f>
        <v>0</v>
      </c>
      <c r="Q79" s="43" t="n">
        <f aca="false">INDEX(Context!$U$4:$U$51,K79)</f>
        <v>0.937791824040773</v>
      </c>
      <c r="R79" s="43" t="n">
        <f aca="false">INDEX(Context!$AD$4:$AD$51,K79)</f>
        <v>1</v>
      </c>
      <c r="S79" s="9" t="str">
        <f aca="false">INDEX(Context!$AI$4:$AN$51,K79,MATCH(F79,Severity_Classes!$A$4:$A$9,0))</f>
        <v>Unlikely (only via pre-inoculation natural infection)</v>
      </c>
      <c r="T79" s="44" t="n">
        <f aca="false">Parameters!$E$4*IF($N79="V",Parameters!$I$4,IF($N79="F",Parameters!$J$4,Parameters!$K$4))*(1-Parameters!$L$4*$P79)*IF($D79="V1",Parameters!$M$4,IF($D79="V2",Parameters!$N$4,Parameters!$O$4))</f>
        <v>86</v>
      </c>
      <c r="U79" s="44" t="n">
        <f aca="false">MIN(100,T79*(1+INDEX(Response_Table!$E$4:$E$21,MATCH($F79&amp;"|mid",Response_Table!$A$4:$A$21,0))*$R79*INDEX(Parameters!$X$4:$AA$4,1,MATCH($E79,Parameters!$X$3:$AA$3,0))))</f>
        <v>79.0535535309384</v>
      </c>
      <c r="V79" s="44" t="n">
        <f aca="false">MAX(0,MIN(T79*(1+INDEX(Response_Table!$E$4:$E$21,MATCH($F79&amp;"|low",Response_Table!$A$4:$A$21,0))*$R79*INDEX(Parameters!$X$4:$AA$4,1,MATCH($E79,Parameters!$X$3:$AA$3,0))),T79*(1+INDEX(Response_Table!$E$4:$E$21,MATCH($F79&amp;"|high",Response_Table!$A$4:$A$21,0))*$R79*INDEX(Parameters!$X$4:$AA$4,1,MATCH($E79,Parameters!$X$3:$AA$3,0))))*(1-Inputs_General!$C$22*Parameters!$F$4))</f>
        <v>71.1190499555225</v>
      </c>
      <c r="W79" s="44" t="n">
        <f aca="false">MIN(100,MAX(T79*(1+INDEX(Response_Table!$E$4:$E$21,MATCH($F79&amp;"|low",Response_Table!$A$4:$A$21,0))*$R79*INDEX(Parameters!$X$4:$AA$4,1,MATCH($E79,Parameters!$X$3:$AA$3,0))),T79*(1+INDEX(Response_Table!$E$4:$E$21,MATCH($F79&amp;"|high",Response_Table!$A$4:$A$21,0))*$R79*INDEX(Parameters!$X$4:$AA$4,1,MATCH($E79,Parameters!$X$3:$AA$3,0))))*(1+Inputs_General!$C$22*Parameters!$F$4))</f>
        <v>87.7531949279262</v>
      </c>
      <c r="X79" s="45" t="n">
        <f aca="false">IF(T79=0,0,U79/T79-1)</f>
        <v>-0.080772633361181</v>
      </c>
      <c r="Y79" s="44" t="n">
        <f aca="false">Parameters!$E$5*IF($N79="V",Parameters!$I$5,IF($N79="F",Parameters!$J$5,Parameters!$K$5))*(1-Parameters!$L$5*$P79)*IF($D79="V1",Parameters!$M$5,IF($D79="V2",Parameters!$N$5,Parameters!$O$5))</f>
        <v>72</v>
      </c>
      <c r="Z79" s="44" t="n">
        <f aca="false">MIN(100,Y79*(1+INDEX(Response_Table!$F$4:$F$21,MATCH($F79&amp;"|mid",Response_Table!$A$4:$A$21,0))*$R79*INDEX(Parameters!$X$5:$AA$5,1,MATCH($E79,Parameters!$X$3:$AA$3,0))))</f>
        <v>53.9894533043597</v>
      </c>
      <c r="AA79" s="44" t="n">
        <f aca="false">MAX(0,MIN(Y79*(1+INDEX(Response_Table!$F$4:$F$21,MATCH($F79&amp;"|low",Response_Table!$A$4:$A$21,0))*$R79*INDEX(Parameters!$X$5:$AA$5,1,MATCH($E79,Parameters!$X$3:$AA$3,0))),Y79*(1+INDEX(Response_Table!$F$4:$F$21,MATCH($F79&amp;"|high",Response_Table!$A$4:$A$21,0))*$R79*INDEX(Parameters!$X$5:$AA$5,1,MATCH($E79,Parameters!$X$3:$AA$3,0))))*(1-Inputs_General!$C$22*Parameters!$F$5))</f>
        <v>43.7704956411476</v>
      </c>
      <c r="AB79" s="44" t="n">
        <f aca="false">MIN(100,MAX(Y79*(1+INDEX(Response_Table!$F$4:$F$21,MATCH($F79&amp;"|low",Response_Table!$A$4:$A$21,0))*$R79*INDEX(Parameters!$X$5:$AA$5,1,MATCH($E79,Parameters!$X$3:$AA$3,0))),Y79*(1+INDEX(Response_Table!$F$4:$F$21,MATCH($F79&amp;"|high",Response_Table!$A$4:$A$21,0))*$R79*INDEX(Parameters!$X$5:$AA$5,1,MATCH($E79,Parameters!$X$3:$AA$3,0))))*(1+Inputs_General!$C$22*Parameters!$F$5))</f>
        <v>68.579929402741</v>
      </c>
      <c r="AC79" s="45" t="n">
        <f aca="false">IF(Y79=0,0,Z79/Y79-1)</f>
        <v>-0.250146481883893</v>
      </c>
      <c r="AD79" s="44" t="n">
        <f aca="false">Parameters!$E$6*IF($N79="V",Parameters!$I$6,IF($N79="F",Parameters!$J$6,Parameters!$K$6))*(1-Parameters!$L$6*$P79)*IF($D79="V1",Parameters!$M$6,IF($D79="V2",Parameters!$N$6,Parameters!$O$6))</f>
        <v>19</v>
      </c>
      <c r="AE79" s="44" t="n">
        <f aca="false">AD79*(1+INDEX(Response_Table!$G$4:$G$21,MATCH($F79&amp;"|mid",Response_Table!$A$4:$A$21,0))*$R79*INDEX(Parameters!$X$6:$AA$6,1,MATCH($E79,Parameters!$X$3:$AA$3,0)))</f>
        <v>9.74172880435832</v>
      </c>
      <c r="AF79" s="44" t="n">
        <f aca="false">MAX(0,MIN(AD79*(1+INDEX(Response_Table!$G$4:$G$21,MATCH($F79&amp;"|low",Response_Table!$A$4:$A$21,0))*$R79*INDEX(Parameters!$X$6:$AA$6,1,MATCH($E79,Parameters!$X$3:$AA$3,0))),AD79*(1+INDEX(Response_Table!$G$4:$G$21,MATCH($F79&amp;"|high",Response_Table!$A$4:$A$21,0))*$R79*INDEX(Parameters!$X$6:$AA$6,1,MATCH($E79,Parameters!$X$3:$AA$3,0))))*(1-Inputs_General!$C$22*Parameters!$F$6))</f>
        <v>7.11356900987835</v>
      </c>
      <c r="AG79" s="44" t="n">
        <f aca="false">MAX(AD79*(1+INDEX(Response_Table!$G$4:$G$21,MATCH($F79&amp;"|low",Response_Table!$A$4:$A$21,0))*$R79*INDEX(Parameters!$X$6:$AA$6,1,MATCH($E79,Parameters!$X$3:$AA$3,0))),AD79*(1+INDEX(Response_Table!$G$4:$G$21,MATCH($F79&amp;"|high",Response_Table!$A$4:$A$21,0))*$R79*INDEX(Parameters!$X$6:$AA$6,1,MATCH($E79,Parameters!$X$3:$AA$3,0))))*(1+Inputs_General!$C$22*Parameters!$F$6)</f>
        <v>13.4484570821478</v>
      </c>
      <c r="AH79" s="45" t="n">
        <f aca="false">IF(AD79=0,0,AE79/AD79-1)</f>
        <v>-0.487277431349562</v>
      </c>
      <c r="AI79" s="46" t="n">
        <f aca="false">Parameters!$E$7*IF($N79="V",Parameters!$I$7,IF($N79="F",Parameters!$J$7,Parameters!$K$7))*(1-Parameters!$L$7*$P79)*IF($D79="V1",Parameters!$M$7,IF($D79="V2",Parameters!$N$7,Parameters!$O$7))*POWER($Q79/Inputs_General!$C$26,-Inputs_General!$C$25)</f>
        <v>0.464685683730118</v>
      </c>
      <c r="AJ79" s="46" t="n">
        <f aca="false">AI79*(1+INDEX(Response_Table!$H$4:$H$21,MATCH($F79&amp;"|mid",Response_Table!$A$4:$A$21,0))*$R79*INDEX(Parameters!$X$7:$AA$7,1,MATCH($E79,Parameters!$X$3:$AA$3,0)))</f>
        <v>0.300329095018212</v>
      </c>
      <c r="AK79" s="46" t="n">
        <f aca="false">MAX(0,MIN(AI79*(1+INDEX(Response_Table!$H$4:$H$21,MATCH($F79&amp;"|low",Response_Table!$A$4:$A$21,0))*$R79*INDEX(Parameters!$X$7:$AA$7,1,MATCH($E79,Parameters!$X$3:$AA$3,0))),AI79*(1+INDEX(Response_Table!$H$4:$H$21,MATCH($F79&amp;"|high",Response_Table!$A$4:$A$21,0))*$R79*INDEX(Parameters!$X$7:$AA$7,1,MATCH($E79,Parameters!$X$3:$AA$3,0))))*(1-Inputs_General!$C$22*Parameters!$F$7))</f>
        <v>0.194956037640966</v>
      </c>
      <c r="AL79" s="46" t="n">
        <f aca="false">MAX(AI79*(1+INDEX(Response_Table!$H$4:$H$21,MATCH($F79&amp;"|low",Response_Table!$A$4:$A$21,0))*$R79*INDEX(Parameters!$X$7:$AA$7,1,MATCH($E79,Parameters!$X$3:$AA$3,0))),AI79*(1+INDEX(Response_Table!$H$4:$H$21,MATCH($F79&amp;"|high",Response_Table!$A$4:$A$21,0))*$R79*INDEX(Parameters!$X$7:$AA$7,1,MATCH($E79,Parameters!$X$3:$AA$3,0))))*(1+Inputs_General!$C$22*Parameters!$F$7)</f>
        <v>0.43265992570778</v>
      </c>
      <c r="AM79" s="45" t="n">
        <f aca="false">IF(AI79=0,0,AJ79/AI79-1)</f>
        <v>-0.353694108655522</v>
      </c>
      <c r="AN79" s="43" t="n">
        <f aca="false">AI79*$Q79/Inputs_General!$C$13*1000</f>
        <v>4.38850387664553</v>
      </c>
      <c r="AO79" s="43" t="n">
        <f aca="false">AJ79*$Q79/Inputs_General!$C$13*1000*(1+Inputs_General!$C$21*$I79)</f>
        <v>3.10576592108217</v>
      </c>
      <c r="AP79" s="43" t="n">
        <f aca="false">AK79*$Q79/Inputs_General!$C$13*1000*(1+Inputs_General!$C$21*$H79)</f>
        <v>1.96084601940225</v>
      </c>
      <c r="AQ79" s="43" t="n">
        <f aca="false">AL79*$Q79/Inputs_General!$C$13*1000*(1+Inputs_General!$C$21*$J79)</f>
        <v>4.59680824303826</v>
      </c>
      <c r="AR79" s="45" t="n">
        <f aca="false">IF(AN79=0,0,AO79/AN79-1)</f>
        <v>-0.292295048977797</v>
      </c>
      <c r="AS79" s="42" t="n">
        <f aca="false">Parameters!$E$9*IF($N79="V",Parameters!$I$9,IF($N79="F",Parameters!$J$9,Parameters!$K$9))*(1-Parameters!$L$9*$P79)*IF($D79="V1",Parameters!$M$9,IF($D79="V2",Parameters!$N$9,Parameters!$O$9))</f>
        <v>285</v>
      </c>
      <c r="AT79" s="42" t="n">
        <f aca="false">AS79*(1+INDEX(Response_Table!$I$4:$I$21,MATCH($F79&amp;"|mid",Response_Table!$A$4:$A$21,0))*$R79*INDEX(Parameters!$X$9:$AA$9,1,MATCH($E79,Parameters!$X$3:$AA$3,0)))</f>
        <v>338.440106932469</v>
      </c>
      <c r="AU79" s="42" t="n">
        <f aca="false">MAX(0,MIN(AS79*(1+INDEX(Response_Table!$I$4:$I$21,MATCH($F79&amp;"|low",Response_Table!$A$4:$A$21,0))*$R79*INDEX(Parameters!$X$9:$AA$9,1,MATCH($E79,Parameters!$X$3:$AA$3,0))),AS79*(1+INDEX(Response_Table!$I$4:$I$21,MATCH($F79&amp;"|high",Response_Table!$A$4:$A$21,0))*$R79*INDEX(Parameters!$X$9:$AA$9,1,MATCH($E79,Parameters!$X$3:$AA$3,0))))*(1-Inputs_General!$C$22*Parameters!$F$9))</f>
        <v>296.729320588298</v>
      </c>
      <c r="AV79" s="42" t="n">
        <f aca="false">MAX(AS79*(1+INDEX(Response_Table!$I$4:$I$21,MATCH($F79&amp;"|low",Response_Table!$A$4:$A$21,0))*$R79*INDEX(Parameters!$X$9:$AA$9,1,MATCH($E79,Parameters!$X$3:$AA$3,0))),AS79*(1+INDEX(Response_Table!$I$4:$I$21,MATCH($F79&amp;"|high",Response_Table!$A$4:$A$21,0))*$R79*INDEX(Parameters!$X$9:$AA$9,1,MATCH($E79,Parameters!$X$3:$AA$3,0))))*(1+Inputs_General!$C$22*Parameters!$F$9)</f>
        <v>378.109987302663</v>
      </c>
      <c r="AW79" s="45" t="n">
        <f aca="false">IF(AS79=0,0,AT79/AS79-1)</f>
        <v>0.187509147131469</v>
      </c>
      <c r="AX79" s="43" t="n">
        <f aca="false">INDEX(Context!$AB$4:$AB$51,$K79)</f>
        <v>1.78847463648905</v>
      </c>
      <c r="AY79" s="43" t="n">
        <f aca="false">AX79*(1+INDEX(Response_Table!$J$4:$J$21,MATCH($F79&amp;"|mid",Response_Table!$A$4:$A$21,0))*$R79*INDEX(Parameters!$X$10:$AA$10,1,MATCH($E79,Parameters!$X$3:$AA$3,0)))</f>
        <v>1.54169505833011</v>
      </c>
      <c r="AZ79" s="43" t="n">
        <f aca="false">MAX(0,MIN(AX79*(1+INDEX(Response_Table!$J$4:$J$21,MATCH($F79&amp;"|low",Response_Table!$A$4:$A$21,0))*$R79*INDEX(Parameters!$X$10:$AA$10,1,MATCH($E79,Parameters!$X$3:$AA$3,0))),AX79*(1+INDEX(Response_Table!$J$4:$J$21,MATCH($F79&amp;"|high",Response_Table!$A$4:$A$21,0))*$R79*INDEX(Parameters!$X$10:$AA$10,1,MATCH($E79,Parameters!$X$3:$AA$3,0))))*(1-Inputs_General!$C$22*Parameters!$F$10))</f>
        <v>1.20499099008979</v>
      </c>
      <c r="BA79" s="43" t="n">
        <f aca="false">MAX(AX79*(1+INDEX(Response_Table!$J$4:$J$21,MATCH($F79&amp;"|low",Response_Table!$A$4:$A$21,0))*$R79*INDEX(Parameters!$X$10:$AA$10,1,MATCH($E79,Parameters!$X$3:$AA$3,0))),AX79*(1+INDEX(Response_Table!$J$4:$J$21,MATCH($F79&amp;"|high",Response_Table!$A$4:$A$21,0))*$R79*INDEX(Parameters!$X$10:$AA$10,1,MATCH($E79,Parameters!$X$3:$AA$3,0))))*(1+Inputs_General!$C$22*Parameters!$F$10)</f>
        <v>1.91122116147056</v>
      </c>
      <c r="BB79" s="45" t="n">
        <f aca="false">IF(AX79=0,0,AY79/AX79-1)</f>
        <v>-0.137983269722737</v>
      </c>
      <c r="BC79" s="46" t="n">
        <f aca="false">Parameters!$E$11*IF($N79="V",Parameters!$I$11,IF($N79="F",Parameters!$J$11,Parameters!$K$11))*(1-Parameters!$L$11*$P79)*IF($D79="V1",Parameters!$M$11,IF($D79="V2",Parameters!$N$11,Parameters!$O$11))</f>
        <v>1.1875</v>
      </c>
      <c r="BD79" s="46" t="n">
        <f aca="false">BC79*(1+INDEX(Response_Table!$K$4:$K$21,MATCH($F79&amp;"|mid",Response_Table!$A$4:$A$21,0))*$R79*INDEX(Parameters!$X$11:$AA$11,1,MATCH($E79,Parameters!$X$3:$AA$3,0)))</f>
        <v>0.915959566857147</v>
      </c>
      <c r="BE79" s="46" t="n">
        <f aca="false">MAX(0,MIN(BC79*(1+INDEX(Response_Table!$K$4:$K$21,MATCH($F79&amp;"|low",Response_Table!$A$4:$A$21,0))*$R79*INDEX(Parameters!$X$11:$AA$11,1,MATCH($E79,Parameters!$X$3:$AA$3,0))),BC79*(1+INDEX(Response_Table!$K$4:$K$21,MATCH($F79&amp;"|high",Response_Table!$A$4:$A$21,0))*$R79*INDEX(Parameters!$X$11:$AA$11,1,MATCH($E79,Parameters!$X$3:$AA$3,0))))*(1-Inputs_General!$C$22*Parameters!$F$11))</f>
        <v>0.734807158709031</v>
      </c>
      <c r="BF79" s="46" t="n">
        <f aca="false">MAX(BC79*(1+INDEX(Response_Table!$K$4:$K$21,MATCH($F79&amp;"|low",Response_Table!$A$4:$A$21,0))*$R79*INDEX(Parameters!$X$11:$AA$11,1,MATCH($E79,Parameters!$X$3:$AA$3,0))),BC79*(1+INDEX(Response_Table!$K$4:$K$21,MATCH($F79&amp;"|high",Response_Table!$A$4:$A$21,0))*$R79*INDEX(Parameters!$X$11:$AA$11,1,MATCH($E79,Parameters!$X$3:$AA$3,0))))*(1+Inputs_General!$C$22*Parameters!$F$11)</f>
        <v>1.12899909055292</v>
      </c>
      <c r="BG79" s="45" t="n">
        <f aca="false">IF(BC79=0,0,BD79/BC79-1)</f>
        <v>-0.228665627909771</v>
      </c>
      <c r="BH79" s="46" t="n">
        <f aca="false">Parameters!$E$12*IF($N79="V",Parameters!$I$12,IF($N79="F",Parameters!$J$12,Parameters!$K$12))*(1-Parameters!$L$12*$P79)*IF($D79="V1",Parameters!$M$12,IF($D79="V2",Parameters!$N$12,Parameters!$O$12))</f>
        <v>0.4275</v>
      </c>
      <c r="BI79" s="46" t="n">
        <f aca="false">BH79*(1+INDEX(Response_Table!$L$4:$L$21,MATCH($F79&amp;"|mid",Response_Table!$A$4:$A$21,0))*$R79*INDEX(Parameters!$X$12:$AA$12,1,MATCH($E79,Parameters!$X$3:$AA$3,0)))</f>
        <v>0.347536223752279</v>
      </c>
      <c r="BJ79" s="46" t="n">
        <f aca="false">MAX(0,MIN(BH79*(1+INDEX(Response_Table!$L$4:$L$21,MATCH($F79&amp;"|low",Response_Table!$A$4:$A$21,0))*$R79*INDEX(Parameters!$X$12:$AA$12,1,MATCH($E79,Parameters!$X$3:$AA$3,0))),BH79*(1+INDEX(Response_Table!$L$4:$L$21,MATCH($F79&amp;"|high",Response_Table!$A$4:$A$21,0))*$R79*INDEX(Parameters!$X$12:$AA$12,1,MATCH($E79,Parameters!$X$3:$AA$3,0))))*(1-Inputs_General!$C$22*Parameters!$F$12))</f>
        <v>0.269809431584536</v>
      </c>
      <c r="BK79" s="46" t="n">
        <f aca="false">MAX(BH79*(1+INDEX(Response_Table!$L$4:$L$21,MATCH($F79&amp;"|low",Response_Table!$A$4:$A$21,0))*$R79*INDEX(Parameters!$X$12:$AA$12,1,MATCH($E79,Parameters!$X$3:$AA$3,0))),BH79*(1+INDEX(Response_Table!$L$4:$L$21,MATCH($F79&amp;"|high",Response_Table!$A$4:$A$21,0))*$R79*INDEX(Parameters!$X$12:$AA$12,1,MATCH($E79,Parameters!$X$3:$AA$3,0))))*(1+Inputs_General!$C$22*Parameters!$F$12)</f>
        <v>0.435648673017454</v>
      </c>
      <c r="BL79" s="45" t="n">
        <f aca="false">IF(BH79=0,0,BI79/BH79-1)</f>
        <v>-0.187049769000516</v>
      </c>
      <c r="BM79" s="46" t="n">
        <f aca="false">Parameters!$E$13*IF($N79="V",Parameters!$I$13,IF($N79="F",Parameters!$J$13,Parameters!$K$13))*(1-Parameters!$L$13*$P79)*IF($D79="V1",Parameters!$M$13,IF($D79="V2",Parameters!$N$13,Parameters!$O$13))</f>
        <v>0.285</v>
      </c>
      <c r="BN79" s="46" t="n">
        <f aca="false">BM79*(1+INDEX(Response_Table!$M$4:$M$21,MATCH($F79&amp;"|mid",Response_Table!$A$4:$A$21,0))*$R79*INDEX(Parameters!$X$13:$AA$13,1,MATCH($E79,Parameters!$X$3:$AA$3,0)))</f>
        <v>0.249522549134685</v>
      </c>
      <c r="BO79" s="46" t="n">
        <f aca="false">MAX(0,MIN(BM79*(1+INDEX(Response_Table!$M$4:$M$21,MATCH($F79&amp;"|low",Response_Table!$A$4:$A$21,0))*$R79*INDEX(Parameters!$X$13:$AA$13,1,MATCH($E79,Parameters!$X$3:$AA$3,0))),BM79*(1+INDEX(Response_Table!$M$4:$M$21,MATCH($F79&amp;"|high",Response_Table!$A$4:$A$21,0))*$R79*INDEX(Parameters!$X$13:$AA$13,1,MATCH($E79,Parameters!$X$3:$AA$3,0))))*(1-Inputs_General!$C$22*Parameters!$F$13))</f>
        <v>0.194247987581264</v>
      </c>
      <c r="BP79" s="46" t="n">
        <f aca="false">MAX(BM79*(1+INDEX(Response_Table!$M$4:$M$21,MATCH($F79&amp;"|low",Response_Table!$A$4:$A$21,0))*$R79*INDEX(Parameters!$X$13:$AA$13,1,MATCH($E79,Parameters!$X$3:$AA$3,0))),BM79*(1+INDEX(Response_Table!$M$4:$M$21,MATCH($F79&amp;"|high",Response_Table!$A$4:$A$21,0))*$R79*INDEX(Parameters!$X$13:$AA$13,1,MATCH($E79,Parameters!$X$3:$AA$3,0))))*(1+Inputs_General!$C$22*Parameters!$F$13)</f>
        <v>0.313251105900866</v>
      </c>
      <c r="BQ79" s="45" t="n">
        <f aca="false">IF(BM79=0,0,BN79/BM79-1)</f>
        <v>-0.124482283737948</v>
      </c>
      <c r="BR79" s="44" t="n">
        <f aca="false">Parameters!$E$14*IF($N79="V",Parameters!$I$14,IF($N79="F",Parameters!$J$14,Parameters!$K$14))*(1-Parameters!$L$14*$P79)*IF($D79="V1",Parameters!$M$14,IF($D79="V2",Parameters!$N$14,Parameters!$O$14))*INDEX(Context!$AC$4:$AC$51,$K79)</f>
        <v>17.325</v>
      </c>
      <c r="BS79" s="44" t="n">
        <f aca="false">BR79*(1+INDEX(Response_Table!$N$4:$N$21,MATCH($F79&amp;"|mid",Response_Table!$A$4:$A$21,0))*$R79*INDEX(Parameters!$X$14:$AA$14,1,MATCH($E79,Parameters!$X$3:$AA$3,0)))</f>
        <v>20.8602406341098</v>
      </c>
      <c r="BT79" s="44" t="n">
        <f aca="false">MAX(0,MIN(BR79*(1+INDEX(Response_Table!$N$4:$N$21,MATCH($F79&amp;"|low",Response_Table!$A$4:$A$21,0))*$R79*INDEX(Parameters!$X$14:$AA$14,1,MATCH($E79,Parameters!$X$3:$AA$3,0))),BR79*(1+INDEX(Response_Table!$N$4:$N$21,MATCH($F79&amp;"|high",Response_Table!$A$4:$A$21,0))*$R79*INDEX(Parameters!$X$14:$AA$14,1,MATCH($E79,Parameters!$X$3:$AA$3,0))))*(1-Inputs_General!$C$22*Parameters!$F$14))</f>
        <v>10.2008769540361</v>
      </c>
      <c r="BU79" s="44" t="n">
        <f aca="false">MAX(BR79*(1+INDEX(Response_Table!$N$4:$N$21,MATCH($F79&amp;"|low",Response_Table!$A$4:$A$21,0))*$R79*INDEX(Parameters!$X$14:$AA$14,1,MATCH($E79,Parameters!$X$3:$AA$3,0))),BR79*(1+INDEX(Response_Table!$N$4:$N$21,MATCH($F79&amp;"|high",Response_Table!$A$4:$A$21,0))*$R79*INDEX(Parameters!$X$14:$AA$14,1,MATCH($E79,Parameters!$X$3:$AA$3,0))))*(1+Inputs_General!$C$22*Parameters!$F$14)</f>
        <v>31.9053134124907</v>
      </c>
      <c r="BV79" s="45" t="n">
        <f aca="false">IF(BR79=0,0,BS79/BR79-1)</f>
        <v>0.204054293455109</v>
      </c>
      <c r="BW79" s="43" t="n">
        <f aca="false">Parameters!$E$15*IF($N79="V",Parameters!$I$15,IF($N79="F",Parameters!$J$15,Parameters!$K$15))*(1-Parameters!$L$15*$P79)*IF($D79="V1",Parameters!$M$15,IF($D79="V2",Parameters!$N$15,Parameters!$O$15))</f>
        <v>11.232</v>
      </c>
      <c r="BX79" s="43" t="n">
        <f aca="false">BW79*(1+INDEX(Response_Table!$O$4:$O$21,MATCH($F79&amp;"|mid",Response_Table!$A$4:$A$21,0))*$R79*INDEX(Parameters!$X$15:$AA$15,1,MATCH($E79,Parameters!$X$3:$AA$3,0)))</f>
        <v>10.6590155439781</v>
      </c>
      <c r="BY79" s="43" t="n">
        <f aca="false">MAX(0,MIN(BW79*(1+INDEX(Response_Table!$O$4:$O$21,MATCH($F79&amp;"|low",Response_Table!$A$4:$A$21,0))*$R79*INDEX(Parameters!$X$15:$AA$15,1,MATCH($E79,Parameters!$X$3:$AA$3,0))),BW79*(1+INDEX(Response_Table!$O$4:$O$21,MATCH($F79&amp;"|high",Response_Table!$A$4:$A$21,0))*$R79*INDEX(Parameters!$X$15:$AA$15,1,MATCH($E79,Parameters!$X$3:$AA$3,0))))*(1-Inputs_General!$C$22*Parameters!$F$15))</f>
        <v>8.48955354612919</v>
      </c>
      <c r="BZ79" s="43" t="n">
        <f aca="false">MAX(BW79*(1+INDEX(Response_Table!$O$4:$O$21,MATCH($F79&amp;"|low",Response_Table!$A$4:$A$21,0))*$R79*INDEX(Parameters!$X$15:$AA$15,1,MATCH($E79,Parameters!$X$3:$AA$3,0))),BW79*(1+INDEX(Response_Table!$O$4:$O$21,MATCH($F79&amp;"|high",Response_Table!$A$4:$A$21,0))*$R79*INDEX(Parameters!$X$15:$AA$15,1,MATCH($E79,Parameters!$X$3:$AA$3,0))))*(1+Inputs_General!$C$22*Parameters!$F$15)</f>
        <v>12.902896489526</v>
      </c>
      <c r="CA79" s="45" t="n">
        <f aca="false">IF(BW79=0,0,BX79/BW79-1)</f>
        <v>-0.0510135733637772</v>
      </c>
      <c r="CB79" s="46" t="n">
        <f aca="false">BD79+BI79</f>
        <v>1.26349579060943</v>
      </c>
      <c r="CC79" s="43" t="n">
        <f aca="false">BD79/BI79</f>
        <v>2.63558013310876</v>
      </c>
      <c r="CD79" s="46" t="n">
        <f aca="false">BN79/CB79</f>
        <v>0.197485857087289</v>
      </c>
      <c r="CE79" s="43" t="n">
        <f aca="false">AE79/AO79</f>
        <v>3.13665905670184</v>
      </c>
      <c r="CF79" s="44" t="n">
        <f aca="false">AE79/AJ79</f>
        <v>32.4368466657138</v>
      </c>
      <c r="CG79" s="44" t="n">
        <f aca="false">INDEX(Context!$V$4:$V$51,$K79)</f>
        <v>22.6257142857143</v>
      </c>
      <c r="CH79" s="44" t="n">
        <f aca="false">INDEX(Context!$Y$4:$Y$51,$K79)</f>
        <v>21.3177449518561</v>
      </c>
      <c r="CI79" s="44" t="n">
        <f aca="false">INDEX(Context!$Z$4:$Z$51,$K79)</f>
        <v>26.6257142857143</v>
      </c>
      <c r="CJ79" s="43" t="n">
        <f aca="false">INDEX(Context!$AA$4:$AA$51,$K79)</f>
        <v>0.12</v>
      </c>
      <c r="CK79" s="43" t="n">
        <f aca="false">MAX(0,MIN(1,1-(1-CJ79)*AO79/AN79))</f>
        <v>0.377219643100461</v>
      </c>
      <c r="CL79" s="44" t="n">
        <f aca="false">CH79+CK79*(CI79-CH79)</f>
        <v>23.3200152495622</v>
      </c>
      <c r="CM79" s="44" t="n">
        <f aca="false">CH79+MAX(0,MIN(1,1-(1-CJ79)*AQ79/AN79))*(CI79-CH79)</f>
        <v>21.7329873499082</v>
      </c>
      <c r="CN79" s="44" t="n">
        <f aca="false">CH79+MAX(0,MIN(1,1-(1-CJ79)*AP79/AN79))*(CI79-CH79)</f>
        <v>24.5386391612239</v>
      </c>
      <c r="CO79" s="44" t="n">
        <f aca="false">CL79-CG79</f>
        <v>0.694300963847958</v>
      </c>
      <c r="CP79" s="44" t="n">
        <f aca="false">CL79-(CH79+CJ79*(CI79-CH79))</f>
        <v>1.36531397764321</v>
      </c>
      <c r="CQ79" s="46" t="n">
        <f aca="false">CL79/CG79</f>
        <v>1.03068636663048</v>
      </c>
      <c r="CR79" s="43" t="n">
        <f aca="false">IF(CL79-CH79&lt;=0,"n/a",(CI79-CL79)/(CL79-CH79))</f>
        <v>1.65097541522693</v>
      </c>
      <c r="CS79" s="43" t="n">
        <f aca="false">IF(CI79-CL79&lt;=0,"n/a",(CL79-CH79)/(CI79-CL79))</f>
        <v>0.60570253849755</v>
      </c>
      <c r="CT79" s="43" t="n">
        <f aca="false">Inputs_General!$C$23+Inputs_General!$C$24*$I79</f>
        <v>1.36</v>
      </c>
      <c r="CU79" s="44" t="n">
        <f aca="false">3.29*CT79</f>
        <v>4.4744</v>
      </c>
    </row>
    <row r="80" customFormat="false" ht="15" hidden="false" customHeight="false" outlineLevel="0" collapsed="false">
      <c r="A80" s="9" t="str">
        <f aca="false">B80&amp;"|"&amp;E80&amp;"|"&amp;F80</f>
        <v>D2V1|11/02/2026|Very high</v>
      </c>
      <c r="B80" s="7" t="s">
        <v>346</v>
      </c>
      <c r="C80" s="9" t="s">
        <v>129</v>
      </c>
      <c r="D80" s="9" t="s">
        <v>142</v>
      </c>
      <c r="E80" s="9" t="s">
        <v>158</v>
      </c>
      <c r="F80" s="7" t="s">
        <v>285</v>
      </c>
      <c r="G80" s="9" t="s">
        <v>286</v>
      </c>
      <c r="H80" s="41" t="n">
        <f aca="false">INDEX(Severity_Classes!$C$4:$C$9,MATCH(F80,Severity_Classes!$A$4:$A$9,0))</f>
        <v>0.51</v>
      </c>
      <c r="I80" s="41" t="n">
        <f aca="false">INDEX(Severity_Classes!$D$4:$D$9,MATCH(F80,Severity_Classes!$A$4:$A$9,0))</f>
        <v>0.65</v>
      </c>
      <c r="J80" s="41" t="n">
        <f aca="false">INDEX(Severity_Classes!$E$4:$E$9,MATCH(F80,Severity_Classes!$A$4:$A$9,0))</f>
        <v>0.85</v>
      </c>
      <c r="K80" s="42" t="n">
        <f aca="false">MATCH(B80&amp;"|"&amp;E80,Context!$A$4:$A$51,0)</f>
        <v>13</v>
      </c>
      <c r="L80" s="42" t="n">
        <f aca="false">INDEX(Context!$H$4:$H$51,K80)</f>
        <v>55</v>
      </c>
      <c r="M80" s="42" t="n">
        <f aca="false">INDEX(Context!$I$4:$I$51,K80)</f>
        <v>6</v>
      </c>
      <c r="N80" s="9" t="str">
        <f aca="false">INDEX(Context!$L$4:$L$51,K80)</f>
        <v>V</v>
      </c>
      <c r="O80" s="9" t="str">
        <f aca="false">INDEX(Context!$M$4:$M$51,K80)</f>
        <v>3rd fully expanded leaf from top</v>
      </c>
      <c r="P80" s="43" t="n">
        <f aca="false">INDEX(Context!$R$4:$R$51,K80)</f>
        <v>0</v>
      </c>
      <c r="Q80" s="43" t="n">
        <f aca="false">INDEX(Context!$U$4:$U$51,K80)</f>
        <v>0.937791824040773</v>
      </c>
      <c r="R80" s="43" t="n">
        <f aca="false">INDEX(Context!$AD$4:$AD$51,K80)</f>
        <v>1</v>
      </c>
      <c r="S80" s="9" t="str">
        <f aca="false">INDEX(Context!$AI$4:$AN$51,K80,MATCH(F80,Severity_Classes!$A$4:$A$9,0))</f>
        <v>Unlikely (only via pre-inoculation natural infection)</v>
      </c>
      <c r="T80" s="44" t="n">
        <f aca="false">Parameters!$E$4*IF($N80="V",Parameters!$I$4,IF($N80="F",Parameters!$J$4,Parameters!$K$4))*(1-Parameters!$L$4*$P80)*IF($D80="V1",Parameters!$M$4,IF($D80="V2",Parameters!$N$4,Parameters!$O$4))</f>
        <v>86</v>
      </c>
      <c r="U80" s="44" t="n">
        <f aca="false">MIN(100,T80*(1+INDEX(Response_Table!$E$4:$E$21,MATCH($F80&amp;"|mid",Response_Table!$A$4:$A$21,0))*$R80*INDEX(Parameters!$X$4:$AA$4,1,MATCH($E80,Parameters!$X$3:$AA$3,0))))</f>
        <v>74.1315246587489</v>
      </c>
      <c r="V80" s="44" t="n">
        <f aca="false">MAX(0,MIN(T80*(1+INDEX(Response_Table!$E$4:$E$21,MATCH($F80&amp;"|low",Response_Table!$A$4:$A$21,0))*$R80*INDEX(Parameters!$X$4:$AA$4,1,MATCH($E80,Parameters!$X$3:$AA$3,0))),T80*(1+INDEX(Response_Table!$E$4:$E$21,MATCH($F80&amp;"|high",Response_Table!$A$4:$A$21,0))*$R80*INDEX(Parameters!$X$4:$AA$4,1,MATCH($E80,Parameters!$X$3:$AA$3,0))))*(1-Inputs_General!$C$22*Parameters!$F$4))</f>
        <v>68.4839634608841</v>
      </c>
      <c r="W80" s="44" t="n">
        <f aca="false">MIN(100,MAX(T80*(1+INDEX(Response_Table!$E$4:$E$21,MATCH($F80&amp;"|low",Response_Table!$A$4:$A$21,0))*$R80*INDEX(Parameters!$X$4:$AA$4,1,MATCH($E80,Parameters!$X$3:$AA$3,0))),T80*(1+INDEX(Response_Table!$E$4:$E$21,MATCH($F80&amp;"|high",Response_Table!$A$4:$A$21,0))*$R80*INDEX(Parameters!$X$4:$AA$4,1,MATCH($E80,Parameters!$X$3:$AA$3,0))))*(1+Inputs_General!$C$22*Parameters!$F$4))</f>
        <v>80.9333059269784</v>
      </c>
      <c r="X80" s="45" t="n">
        <f aca="false">IF(T80=0,0,U80/T80-1)</f>
        <v>-0.13800552722385</v>
      </c>
      <c r="Y80" s="44" t="n">
        <f aca="false">Parameters!$E$5*IF($N80="V",Parameters!$I$5,IF($N80="F",Parameters!$J$5,Parameters!$K$5))*(1-Parameters!$L$5*$P80)*IF($D80="V1",Parameters!$M$5,IF($D80="V2",Parameters!$N$5,Parameters!$O$5))</f>
        <v>72</v>
      </c>
      <c r="Z80" s="44" t="n">
        <f aca="false">MIN(100,Y80*(1+INDEX(Response_Table!$F$4:$F$21,MATCH($F80&amp;"|mid",Response_Table!$A$4:$A$21,0))*$R80*INDEX(Parameters!$X$5:$AA$5,1,MATCH($E80,Parameters!$X$3:$AA$3,0))))</f>
        <v>47.4449735149462</v>
      </c>
      <c r="AA80" s="44" t="n">
        <f aca="false">MAX(0,MIN(Y80*(1+INDEX(Response_Table!$F$4:$F$21,MATCH($F80&amp;"|low",Response_Table!$A$4:$A$21,0))*$R80*INDEX(Parameters!$X$5:$AA$5,1,MATCH($E80,Parameters!$X$3:$AA$3,0))),Y80*(1+INDEX(Response_Table!$F$4:$F$21,MATCH($F80&amp;"|high",Response_Table!$A$4:$A$21,0))*$R80*INDEX(Parameters!$X$5:$AA$5,1,MATCH($E80,Parameters!$X$3:$AA$3,0))))*(1-Inputs_General!$C$22*Parameters!$F$5))</f>
        <v>41.4898621194913</v>
      </c>
      <c r="AB80" s="44" t="n">
        <f aca="false">MIN(100,MAX(Y80*(1+INDEX(Response_Table!$F$4:$F$21,MATCH($F80&amp;"|low",Response_Table!$A$4:$A$21,0))*$R80*INDEX(Parameters!$X$5:$AA$5,1,MATCH($E80,Parameters!$X$3:$AA$3,0))),Y80*(1+INDEX(Response_Table!$F$4:$F$21,MATCH($F80&amp;"|high",Response_Table!$A$4:$A$21,0))*$R80*INDEX(Parameters!$X$5:$AA$5,1,MATCH($E80,Parameters!$X$3:$AA$3,0))))*(1+Inputs_General!$C$22*Parameters!$F$5))</f>
        <v>54.9054547890536</v>
      </c>
      <c r="AC80" s="45" t="n">
        <f aca="false">IF(Y80=0,0,Z80/Y80-1)</f>
        <v>-0.341042034514637</v>
      </c>
      <c r="AD80" s="44" t="n">
        <f aca="false">Parameters!$E$6*IF($N80="V",Parameters!$I$6,IF($N80="F",Parameters!$J$6,Parameters!$K$6))*(1-Parameters!$L$6*$P80)*IF($D80="V1",Parameters!$M$6,IF($D80="V2",Parameters!$N$6,Parameters!$O$6))</f>
        <v>19</v>
      </c>
      <c r="AE80" s="44" t="n">
        <f aca="false">AD80*(1+INDEX(Response_Table!$G$4:$G$21,MATCH($F80&amp;"|mid",Response_Table!$A$4:$A$21,0))*$R80*INDEX(Parameters!$X$6:$AA$6,1,MATCH($E80,Parameters!$X$3:$AA$3,0)))</f>
        <v>8.25286386702633</v>
      </c>
      <c r="AF80" s="44" t="n">
        <f aca="false">MAX(0,MIN(AD80*(1+INDEX(Response_Table!$G$4:$G$21,MATCH($F80&amp;"|low",Response_Table!$A$4:$A$21,0))*$R80*INDEX(Parameters!$X$6:$AA$6,1,MATCH($E80,Parameters!$X$3:$AA$3,0))),AD80*(1+INDEX(Response_Table!$G$4:$G$21,MATCH($F80&amp;"|high",Response_Table!$A$4:$A$21,0))*$R80*INDEX(Parameters!$X$6:$AA$6,1,MATCH($E80,Parameters!$X$3:$AA$3,0))))*(1-Inputs_General!$C$22*Parameters!$F$6))</f>
        <v>6.31710149217431</v>
      </c>
      <c r="AG80" s="44" t="n">
        <f aca="false">MAX(AD80*(1+INDEX(Response_Table!$G$4:$G$21,MATCH($F80&amp;"|low",Response_Table!$A$4:$A$21,0))*$R80*INDEX(Parameters!$X$6:$AA$6,1,MATCH($E80,Parameters!$X$3:$AA$3,0))),AD80*(1+INDEX(Response_Table!$G$4:$G$21,MATCH($F80&amp;"|high",Response_Table!$A$4:$A$21,0))*$R80*INDEX(Parameters!$X$6:$AA$6,1,MATCH($E80,Parameters!$X$3:$AA$3,0))))*(1+Inputs_General!$C$22*Parameters!$F$6)</f>
        <v>10.547635732289</v>
      </c>
      <c r="AH80" s="45" t="n">
        <f aca="false">IF(AD80=0,0,AE80/AD80-1)</f>
        <v>-0.56563874384072</v>
      </c>
      <c r="AI80" s="46" t="n">
        <f aca="false">Parameters!$E$7*IF($N80="V",Parameters!$I$7,IF($N80="F",Parameters!$J$7,Parameters!$K$7))*(1-Parameters!$L$7*$P80)*IF($D80="V1",Parameters!$M$7,IF($D80="V2",Parameters!$N$7,Parameters!$O$7))*POWER($Q80/Inputs_General!$C$26,-Inputs_General!$C$25)</f>
        <v>0.464685683730118</v>
      </c>
      <c r="AJ80" s="46" t="n">
        <f aca="false">AI80*(1+INDEX(Response_Table!$H$4:$H$21,MATCH($F80&amp;"|mid",Response_Table!$A$4:$A$21,0))*$R80*INDEX(Parameters!$X$7:$AA$7,1,MATCH($E80,Parameters!$X$3:$AA$3,0)))</f>
        <v>0.257427744791225</v>
      </c>
      <c r="AK80" s="46" t="n">
        <f aca="false">MAX(0,MIN(AI80*(1+INDEX(Response_Table!$H$4:$H$21,MATCH($F80&amp;"|low",Response_Table!$A$4:$A$21,0))*$R80*INDEX(Parameters!$X$7:$AA$7,1,MATCH($E80,Parameters!$X$3:$AA$3,0))),AI80*(1+INDEX(Response_Table!$H$4:$H$21,MATCH($F80&amp;"|high",Response_Table!$A$4:$A$21,0))*$R80*INDEX(Parameters!$X$7:$AA$7,1,MATCH($E80,Parameters!$X$3:$AA$3,0))))*(1-Inputs_General!$C$22*Parameters!$F$7))</f>
        <v>0.170285033510395</v>
      </c>
      <c r="AL80" s="46" t="n">
        <f aca="false">MAX(AI80*(1+INDEX(Response_Table!$H$4:$H$21,MATCH($F80&amp;"|low",Response_Table!$A$4:$A$21,0))*$R80*INDEX(Parameters!$X$7:$AA$7,1,MATCH($E80,Parameters!$X$3:$AA$3,0))),AI80*(1+INDEX(Response_Table!$H$4:$H$21,MATCH($F80&amp;"|high",Response_Table!$A$4:$A$21,0))*$R80*INDEX(Parameters!$X$7:$AA$7,1,MATCH($E80,Parameters!$X$3:$AA$3,0))))*(1+Inputs_General!$C$22*Parameters!$F$7)</f>
        <v>0.356909728251963</v>
      </c>
      <c r="AM80" s="45" t="n">
        <f aca="false">IF(AI80=0,0,AJ80/AI80-1)</f>
        <v>-0.446017482775013</v>
      </c>
      <c r="AN80" s="43" t="n">
        <f aca="false">AI80*$Q80/Inputs_General!$C$13*1000</f>
        <v>4.38850387664553</v>
      </c>
      <c r="AO80" s="43" t="n">
        <f aca="false">AJ80*$Q80/Inputs_General!$C$13*1000*(1+Inputs_General!$C$21*$I80)</f>
        <v>2.82621701840651</v>
      </c>
      <c r="AP80" s="43" t="n">
        <f aca="false">AK80*$Q80/Inputs_General!$C$13*1000*(1+Inputs_General!$C$21*$H80)</f>
        <v>1.81321884175059</v>
      </c>
      <c r="AQ80" s="43" t="n">
        <f aca="false">AL80*$Q80/Inputs_General!$C$13*1000*(1+Inputs_General!$C$21*$J80)</f>
        <v>4.08693119742001</v>
      </c>
      <c r="AR80" s="45" t="n">
        <f aca="false">IF(AN80=0,0,AO80/AN80-1)</f>
        <v>-0.355995323725952</v>
      </c>
      <c r="AS80" s="42" t="n">
        <f aca="false">Parameters!$E$9*IF($N80="V",Parameters!$I$9,IF($N80="F",Parameters!$J$9,Parameters!$K$9))*(1-Parameters!$L$9*$P80)*IF($D80="V1",Parameters!$M$9,IF($D80="V2",Parameters!$N$9,Parameters!$O$9))</f>
        <v>285</v>
      </c>
      <c r="AT80" s="42" t="n">
        <f aca="false">AS80*(1+INDEX(Response_Table!$I$4:$I$21,MATCH($F80&amp;"|mid",Response_Table!$A$4:$A$21,0))*$R80*INDEX(Parameters!$X$9:$AA$9,1,MATCH($E80,Parameters!$X$3:$AA$3,0)))</f>
        <v>348.31968725014</v>
      </c>
      <c r="AU80" s="42" t="n">
        <f aca="false">MAX(0,MIN(AS80*(1+INDEX(Response_Table!$I$4:$I$21,MATCH($F80&amp;"|low",Response_Table!$A$4:$A$21,0))*$R80*INDEX(Parameters!$X$9:$AA$9,1,MATCH($E80,Parameters!$X$3:$AA$3,0))),AS80*(1+INDEX(Response_Table!$I$4:$I$21,MATCH($F80&amp;"|high",Response_Table!$A$4:$A$21,0))*$R80*INDEX(Parameters!$X$9:$AA$9,1,MATCH($E80,Parameters!$X$3:$AA$3,0))))*(1-Inputs_General!$C$22*Parameters!$F$9))</f>
        <v>310.503290405353</v>
      </c>
      <c r="AV80" s="42" t="n">
        <f aca="false">MAX(AS80*(1+INDEX(Response_Table!$I$4:$I$21,MATCH($F80&amp;"|low",Response_Table!$A$4:$A$21,0))*$R80*INDEX(Parameters!$X$9:$AA$9,1,MATCH($E80,Parameters!$X$3:$AA$3,0))),AS80*(1+INDEX(Response_Table!$I$4:$I$21,MATCH($F80&amp;"|high",Response_Table!$A$4:$A$21,0))*$R80*INDEX(Parameters!$X$9:$AA$9,1,MATCH($E80,Parameters!$X$3:$AA$3,0))))*(1+Inputs_General!$C$22*Parameters!$F$9)</f>
        <v>385.77254271935</v>
      </c>
      <c r="AW80" s="45" t="n">
        <f aca="false">IF(AS80=0,0,AT80/AS80-1)</f>
        <v>0.22217434122856</v>
      </c>
      <c r="AX80" s="43" t="n">
        <f aca="false">INDEX(Context!$AB$4:$AB$51,$K80)</f>
        <v>1.78847463648905</v>
      </c>
      <c r="AY80" s="43" t="n">
        <f aca="false">AX80*(1+INDEX(Response_Table!$J$4:$J$21,MATCH($F80&amp;"|mid",Response_Table!$A$4:$A$21,0))*$R80*INDEX(Parameters!$X$10:$AA$10,1,MATCH($E80,Parameters!$X$3:$AA$3,0)))</f>
        <v>1.46530643904355</v>
      </c>
      <c r="AZ80" s="43" t="n">
        <f aca="false">MAX(0,MIN(AX80*(1+INDEX(Response_Table!$J$4:$J$21,MATCH($F80&amp;"|low",Response_Table!$A$4:$A$21,0))*$R80*INDEX(Parameters!$X$10:$AA$10,1,MATCH($E80,Parameters!$X$3:$AA$3,0))),AX80*(1+INDEX(Response_Table!$J$4:$J$21,MATCH($F80&amp;"|high",Response_Table!$A$4:$A$21,0))*$R80*INDEX(Parameters!$X$10:$AA$10,1,MATCH($E80,Parameters!$X$3:$AA$3,0))))*(1-Inputs_General!$C$22*Parameters!$F$10))</f>
        <v>1.15103151888494</v>
      </c>
      <c r="BA80" s="43" t="n">
        <f aca="false">MAX(AX80*(1+INDEX(Response_Table!$J$4:$J$21,MATCH($F80&amp;"|low",Response_Table!$A$4:$A$21,0))*$R80*INDEX(Parameters!$X$10:$AA$10,1,MATCH($E80,Parameters!$X$3:$AA$3,0))),AX80*(1+INDEX(Response_Table!$J$4:$J$21,MATCH($F80&amp;"|high",Response_Table!$A$4:$A$21,0))*$R80*INDEX(Parameters!$X$10:$AA$10,1,MATCH($E80,Parameters!$X$3:$AA$3,0))))*(1+Inputs_General!$C$22*Parameters!$F$10)</f>
        <v>1.79431918256536</v>
      </c>
      <c r="BB80" s="45" t="n">
        <f aca="false">IF(AX80=0,0,AY80/AX80-1)</f>
        <v>-0.180694873079056</v>
      </c>
      <c r="BC80" s="46" t="n">
        <f aca="false">Parameters!$E$11*IF($N80="V",Parameters!$I$11,IF($N80="F",Parameters!$J$11,Parameters!$K$11))*(1-Parameters!$L$11*$P80)*IF($D80="V1",Parameters!$M$11,IF($D80="V2",Parameters!$N$11,Parameters!$O$11))</f>
        <v>1.1875</v>
      </c>
      <c r="BD80" s="46" t="n">
        <f aca="false">BC80*(1+INDEX(Response_Table!$K$4:$K$21,MATCH($F80&amp;"|mid",Response_Table!$A$4:$A$21,0))*$R80*INDEX(Parameters!$X$11:$AA$11,1,MATCH($E80,Parameters!$X$3:$AA$3,0)))</f>
        <v>0.84977775377039</v>
      </c>
      <c r="BE80" s="46" t="n">
        <f aca="false">MAX(0,MIN(BC80*(1+INDEX(Response_Table!$K$4:$K$21,MATCH($F80&amp;"|low",Response_Table!$A$4:$A$21,0))*$R80*INDEX(Parameters!$X$11:$AA$11,1,MATCH($E80,Parameters!$X$3:$AA$3,0))),BC80*(1+INDEX(Response_Table!$K$4:$K$21,MATCH($F80&amp;"|high",Response_Table!$A$4:$A$21,0))*$R80*INDEX(Parameters!$X$11:$AA$11,1,MATCH($E80,Parameters!$X$3:$AA$3,0))))*(1-Inputs_General!$C$22*Parameters!$F$11))</f>
        <v>0.690946834779446</v>
      </c>
      <c r="BF80" s="46" t="n">
        <f aca="false">MAX(BC80*(1+INDEX(Response_Table!$K$4:$K$21,MATCH($F80&amp;"|low",Response_Table!$A$4:$A$21,0))*$R80*INDEX(Parameters!$X$11:$AA$11,1,MATCH($E80,Parameters!$X$3:$AA$3,0))),BC80*(1+INDEX(Response_Table!$K$4:$K$21,MATCH($F80&amp;"|high",Response_Table!$A$4:$A$21,0))*$R80*INDEX(Parameters!$X$11:$AA$11,1,MATCH($E80,Parameters!$X$3:$AA$3,0))))*(1+Inputs_General!$C$22*Parameters!$F$11)</f>
        <v>1.02129909203409</v>
      </c>
      <c r="BG80" s="45" t="n">
        <f aca="false">IF(BC80=0,0,BD80/BC80-1)</f>
        <v>-0.284397681035461</v>
      </c>
      <c r="BH80" s="46" t="n">
        <f aca="false">Parameters!$E$12*IF($N80="V",Parameters!$I$12,IF($N80="F",Parameters!$J$12,Parameters!$K$12))*(1-Parameters!$L$12*$P80)*IF($D80="V1",Parameters!$M$12,IF($D80="V2",Parameters!$N$12,Parameters!$O$12))</f>
        <v>0.4275</v>
      </c>
      <c r="BI80" s="46" t="n">
        <f aca="false">BH80*(1+INDEX(Response_Table!$L$4:$L$21,MATCH($F80&amp;"|mid",Response_Table!$A$4:$A$21,0))*$R80*INDEX(Parameters!$X$12:$AA$12,1,MATCH($E80,Parameters!$X$3:$AA$3,0)))</f>
        <v>0.32666359554089</v>
      </c>
      <c r="BJ80" s="46" t="n">
        <f aca="false">MAX(0,MIN(BH80*(1+INDEX(Response_Table!$L$4:$L$21,MATCH($F80&amp;"|low",Response_Table!$A$4:$A$21,0))*$R80*INDEX(Parameters!$X$12:$AA$12,1,MATCH($E80,Parameters!$X$3:$AA$3,0))),BH80*(1+INDEX(Response_Table!$L$4:$L$21,MATCH($F80&amp;"|high",Response_Table!$A$4:$A$21,0))*$R80*INDEX(Parameters!$X$12:$AA$12,1,MATCH($E80,Parameters!$X$3:$AA$3,0))))*(1-Inputs_General!$C$22*Parameters!$F$12))</f>
        <v>0.256123284824642</v>
      </c>
      <c r="BK80" s="46" t="n">
        <f aca="false">MAX(BH80*(1+INDEX(Response_Table!$L$4:$L$21,MATCH($F80&amp;"|low",Response_Table!$A$4:$A$21,0))*$R80*INDEX(Parameters!$X$12:$AA$12,1,MATCH($E80,Parameters!$X$3:$AA$3,0))),BH80*(1+INDEX(Response_Table!$L$4:$L$21,MATCH($F80&amp;"|high",Response_Table!$A$4:$A$21,0))*$R80*INDEX(Parameters!$X$12:$AA$12,1,MATCH($E80,Parameters!$X$3:$AA$3,0))))*(1+Inputs_General!$C$22*Parameters!$F$12)</f>
        <v>0.401600744933195</v>
      </c>
      <c r="BL80" s="45" t="n">
        <f aca="false">IF(BH80=0,0,BI80/BH80-1)</f>
        <v>-0.235874630313709</v>
      </c>
      <c r="BM80" s="46" t="n">
        <f aca="false">Parameters!$E$13*IF($N80="V",Parameters!$I$13,IF($N80="F",Parameters!$J$13,Parameters!$K$13))*(1-Parameters!$L$13*$P80)*IF($D80="V1",Parameters!$M$13,IF($D80="V2",Parameters!$N$13,Parameters!$O$13))</f>
        <v>0.285</v>
      </c>
      <c r="BN80" s="46" t="n">
        <f aca="false">BM80*(1+INDEX(Response_Table!$M$4:$M$21,MATCH($F80&amp;"|mid",Response_Table!$A$4:$A$21,0))*$R80*INDEX(Parameters!$X$13:$AA$13,1,MATCH($E80,Parameters!$X$3:$AA$3,0)))</f>
        <v>0.236488159284919</v>
      </c>
      <c r="BO80" s="46" t="n">
        <f aca="false">MAX(0,MIN(BM80*(1+INDEX(Response_Table!$M$4:$M$21,MATCH($F80&amp;"|low",Response_Table!$A$4:$A$21,0))*$R80*INDEX(Parameters!$X$13:$AA$13,1,MATCH($E80,Parameters!$X$3:$AA$3,0))),BM80*(1+INDEX(Response_Table!$M$4:$M$21,MATCH($F80&amp;"|high",Response_Table!$A$4:$A$21,0))*$R80*INDEX(Parameters!$X$13:$AA$13,1,MATCH($E80,Parameters!$X$3:$AA$3,0))))*(1-Inputs_General!$C$22*Parameters!$F$13))</f>
        <v>0.186618663728117</v>
      </c>
      <c r="BP80" s="46" t="n">
        <f aca="false">MAX(BM80*(1+INDEX(Response_Table!$M$4:$M$21,MATCH($F80&amp;"|low",Response_Table!$A$4:$A$21,0))*$R80*INDEX(Parameters!$X$13:$AA$13,1,MATCH($E80,Parameters!$X$3:$AA$3,0))),BM80*(1+INDEX(Response_Table!$M$4:$M$21,MATCH($F80&amp;"|high",Response_Table!$A$4:$A$21,0))*$R80*INDEX(Parameters!$X$13:$AA$13,1,MATCH($E80,Parameters!$X$3:$AA$3,0))))*(1+Inputs_General!$C$22*Parameters!$F$13)</f>
        <v>0.289228320590426</v>
      </c>
      <c r="BQ80" s="45" t="n">
        <f aca="false">IF(BM80=0,0,BN80/BM80-1)</f>
        <v>-0.170216984965196</v>
      </c>
      <c r="BR80" s="44" t="n">
        <f aca="false">Parameters!$E$14*IF($N80="V",Parameters!$I$14,IF($N80="F",Parameters!$J$14,Parameters!$K$14))*(1-Parameters!$L$14*$P80)*IF($D80="V1",Parameters!$M$14,IF($D80="V2",Parameters!$N$14,Parameters!$O$14))*INDEX(Context!$AC$4:$AC$51,$K80)</f>
        <v>17.325</v>
      </c>
      <c r="BS80" s="44" t="n">
        <f aca="false">BR80*(1+INDEX(Response_Table!$N$4:$N$21,MATCH($F80&amp;"|mid",Response_Table!$A$4:$A$21,0))*$R80*INDEX(Parameters!$X$14:$AA$14,1,MATCH($E80,Parameters!$X$3:$AA$3,0)))</f>
        <v>21.7830305129291</v>
      </c>
      <c r="BT80" s="44" t="n">
        <f aca="false">MAX(0,MIN(BR80*(1+INDEX(Response_Table!$N$4:$N$21,MATCH($F80&amp;"|low",Response_Table!$A$4:$A$21,0))*$R80*INDEX(Parameters!$X$14:$AA$14,1,MATCH($E80,Parameters!$X$3:$AA$3,0))),BR80*(1+INDEX(Response_Table!$N$4:$N$21,MATCH($F80&amp;"|high",Response_Table!$A$4:$A$21,0))*$R80*INDEX(Parameters!$X$14:$AA$14,1,MATCH($E80,Parameters!$X$3:$AA$3,0))))*(1-Inputs_General!$C$22*Parameters!$F$14))</f>
        <v>10.8376087977118</v>
      </c>
      <c r="BU80" s="44" t="n">
        <f aca="false">MAX(BR80*(1+INDEX(Response_Table!$N$4:$N$21,MATCH($F80&amp;"|low",Response_Table!$A$4:$A$21,0))*$R80*INDEX(Parameters!$X$14:$AA$14,1,MATCH($E80,Parameters!$X$3:$AA$3,0))),BR80*(1+INDEX(Response_Table!$N$4:$N$21,MATCH($F80&amp;"|high",Response_Table!$A$4:$A$21,0))*$R80*INDEX(Parameters!$X$14:$AA$14,1,MATCH($E80,Parameters!$X$3:$AA$3,0))))*(1+Inputs_General!$C$22*Parameters!$F$14)</f>
        <v>33.0312474529223</v>
      </c>
      <c r="BV80" s="45" t="n">
        <f aca="false">IF(BR80=0,0,BS80/BR80-1)</f>
        <v>0.257317778524046</v>
      </c>
      <c r="BW80" s="43" t="n">
        <f aca="false">Parameters!$E$15*IF($N80="V",Parameters!$I$15,IF($N80="F",Parameters!$J$15,Parameters!$K$15))*(1-Parameters!$L$15*$P80)*IF($D80="V1",Parameters!$M$15,IF($D80="V2",Parameters!$N$15,Parameters!$O$15))</f>
        <v>11.232</v>
      </c>
      <c r="BX80" s="43" t="n">
        <f aca="false">BW80*(1+INDEX(Response_Table!$O$4:$O$21,MATCH($F80&amp;"|mid",Response_Table!$A$4:$A$21,0))*$R80*INDEX(Parameters!$X$15:$AA$15,1,MATCH($E80,Parameters!$X$3:$AA$3,0)))</f>
        <v>10.5094516779045</v>
      </c>
      <c r="BY80" s="43" t="n">
        <f aca="false">MAX(0,MIN(BW80*(1+INDEX(Response_Table!$O$4:$O$21,MATCH($F80&amp;"|low",Response_Table!$A$4:$A$21,0))*$R80*INDEX(Parameters!$X$15:$AA$15,1,MATCH($E80,Parameters!$X$3:$AA$3,0))),BW80*(1+INDEX(Response_Table!$O$4:$O$21,MATCH($F80&amp;"|high",Response_Table!$A$4:$A$21,0))*$R80*INDEX(Parameters!$X$15:$AA$15,1,MATCH($E80,Parameters!$X$3:$AA$3,0))))*(1-Inputs_General!$C$22*Parameters!$F$15))</f>
        <v>8.39148477393964</v>
      </c>
      <c r="BZ80" s="43" t="n">
        <f aca="false">MAX(BW80*(1+INDEX(Response_Table!$O$4:$O$21,MATCH($F80&amp;"|low",Response_Table!$A$4:$A$21,0))*$R80*INDEX(Parameters!$X$15:$AA$15,1,MATCH($E80,Parameters!$X$3:$AA$3,0))),BW80*(1+INDEX(Response_Table!$O$4:$O$21,MATCH($F80&amp;"|high",Response_Table!$A$4:$A$21,0))*$R80*INDEX(Parameters!$X$15:$AA$15,1,MATCH($E80,Parameters!$X$3:$AA$3,0))))*(1+Inputs_General!$C$22*Parameters!$F$15)</f>
        <v>12.6589243502964</v>
      </c>
      <c r="CA80" s="45" t="n">
        <f aca="false">IF(BW80=0,0,BX80/BW80-1)</f>
        <v>-0.0643294446310114</v>
      </c>
      <c r="CB80" s="46" t="n">
        <f aca="false">BD80+BI80</f>
        <v>1.17644134931128</v>
      </c>
      <c r="CC80" s="43" t="n">
        <f aca="false">BD80/BI80</f>
        <v>2.60138492740009</v>
      </c>
      <c r="CD80" s="46" t="n">
        <f aca="false">BN80/CB80</f>
        <v>0.201019931357705</v>
      </c>
      <c r="CE80" s="43" t="n">
        <f aca="false">AE80/AO80</f>
        <v>2.92010974857108</v>
      </c>
      <c r="CF80" s="44" t="n">
        <f aca="false">AE80/AJ80</f>
        <v>32.0589525954921</v>
      </c>
      <c r="CG80" s="44" t="n">
        <f aca="false">INDEX(Context!$V$4:$V$51,$K80)</f>
        <v>22.6257142857143</v>
      </c>
      <c r="CH80" s="44" t="n">
        <f aca="false">INDEX(Context!$Y$4:$Y$51,$K80)</f>
        <v>21.3177449518561</v>
      </c>
      <c r="CI80" s="44" t="n">
        <f aca="false">INDEX(Context!$Z$4:$Z$51,$K80)</f>
        <v>26.6257142857143</v>
      </c>
      <c r="CJ80" s="43" t="n">
        <f aca="false">INDEX(Context!$AA$4:$AA$51,$K80)</f>
        <v>0.12</v>
      </c>
      <c r="CK80" s="43" t="n">
        <f aca="false">MAX(0,MIN(1,1-(1-CJ80)*AO80/AN80))</f>
        <v>0.433275884878838</v>
      </c>
      <c r="CL80" s="44" t="n">
        <f aca="false">CH80+CK80*(CI80-CH80)</f>
        <v>23.6175600618932</v>
      </c>
      <c r="CM80" s="44" t="n">
        <f aca="false">CH80+MAX(0,MIN(1,1-(1-CJ80)*AQ80/AN80))*(CI80-CH80)</f>
        <v>22.2756876374009</v>
      </c>
      <c r="CN80" s="44" t="n">
        <f aca="false">CH80+MAX(0,MIN(1,1-(1-CJ80)*AP80/AN80))*(CI80-CH80)</f>
        <v>24.6957698115283</v>
      </c>
      <c r="CO80" s="44" t="n">
        <f aca="false">CL80-CG80</f>
        <v>0.991845776178927</v>
      </c>
      <c r="CP80" s="44" t="n">
        <f aca="false">CL80-(CH80+CJ80*(CI80-CH80))</f>
        <v>1.66285878997418</v>
      </c>
      <c r="CQ80" s="46" t="n">
        <f aca="false">CL80/CG80</f>
        <v>1.04383710337955</v>
      </c>
      <c r="CR80" s="43" t="n">
        <f aca="false">IF(CL80-CH80&lt;=0,"n/a",(CI80-CL80)/(CL80-CH80))</f>
        <v>1.30799828677204</v>
      </c>
      <c r="CS80" s="43" t="n">
        <f aca="false">IF(CI80-CL80&lt;=0,"n/a",(CL80-CH80)/(CI80-CL80))</f>
        <v>0.764526995266836</v>
      </c>
      <c r="CT80" s="43" t="n">
        <f aca="false">Inputs_General!$C$23+Inputs_General!$C$24*$I80</f>
        <v>1.9</v>
      </c>
      <c r="CU80" s="44" t="n">
        <f aca="false">3.29*CT80</f>
        <v>6.251</v>
      </c>
    </row>
    <row r="81" customFormat="false" ht="15" hidden="false" customHeight="false" outlineLevel="0" collapsed="false">
      <c r="A81" s="33" t="str">
        <f aca="false">B81&amp;"|"&amp;E81&amp;"|"&amp;F81</f>
        <v>D2V1|24/02/2026|Healthy</v>
      </c>
      <c r="B81" s="34" t="s">
        <v>346</v>
      </c>
      <c r="C81" s="33" t="s">
        <v>129</v>
      </c>
      <c r="D81" s="33" t="s">
        <v>142</v>
      </c>
      <c r="E81" s="33" t="s">
        <v>160</v>
      </c>
      <c r="F81" s="34" t="s">
        <v>275</v>
      </c>
      <c r="G81" s="33" t="s">
        <v>276</v>
      </c>
      <c r="H81" s="35" t="n">
        <f aca="false">INDEX(Severity_Classes!$C$4:$C$9,MATCH(F81,Severity_Classes!$A$4:$A$9,0))</f>
        <v>0</v>
      </c>
      <c r="I81" s="35" t="n">
        <f aca="false">INDEX(Severity_Classes!$D$4:$D$9,MATCH(F81,Severity_Classes!$A$4:$A$9,0))</f>
        <v>0</v>
      </c>
      <c r="J81" s="35" t="n">
        <f aca="false">INDEX(Severity_Classes!$E$4:$E$9,MATCH(F81,Severity_Classes!$A$4:$A$9,0))</f>
        <v>0</v>
      </c>
      <c r="K81" s="36" t="n">
        <f aca="false">MATCH(B81&amp;"|"&amp;E81,Context!$A$4:$A$51,0)</f>
        <v>14</v>
      </c>
      <c r="L81" s="36" t="n">
        <f aca="false">INDEX(Context!$H$4:$H$51,K81)</f>
        <v>68</v>
      </c>
      <c r="M81" s="36" t="n">
        <f aca="false">INDEX(Context!$I$4:$I$51,K81)</f>
        <v>19</v>
      </c>
      <c r="N81" s="33" t="str">
        <f aca="false">INDEX(Context!$L$4:$L$51,K81)</f>
        <v>F</v>
      </c>
      <c r="O81" s="33" t="str">
        <f aca="false">INDEX(Context!$M$4:$M$51,K81)</f>
        <v>5th fully expanded leaf from top</v>
      </c>
      <c r="P81" s="37" t="n">
        <f aca="false">INDEX(Context!$R$4:$R$51,K81)</f>
        <v>0.0232142857142859</v>
      </c>
      <c r="Q81" s="37" t="n">
        <f aca="false">INDEX(Context!$U$4:$U$51,K81)</f>
        <v>1.19492600027053</v>
      </c>
      <c r="R81" s="37" t="n">
        <f aca="false">INDEX(Context!$AD$4:$AD$51,K81)</f>
        <v>1</v>
      </c>
      <c r="S81" s="33" t="str">
        <f aca="false">INDEX(Context!$AI$4:$AN$51,K81,MATCH(F81,Severity_Classes!$A$4:$A$9,0))</f>
        <v>Reference: healthy (uninoculated) control plot</v>
      </c>
      <c r="T81" s="38" t="n">
        <f aca="false">Parameters!$E$4*IF($N81="V",Parameters!$I$4,IF($N81="F",Parameters!$J$4,Parameters!$K$4))*(1-Parameters!$L$4*$P81)*IF($D81="V1",Parameters!$M$4,IF($D81="V2",Parameters!$N$4,Parameters!$O$4))</f>
        <v>85.0411767857143</v>
      </c>
      <c r="U81" s="38" t="n">
        <f aca="false">MIN(100,T81*(1+INDEX(Response_Table!$E$4:$E$21,MATCH($F81&amp;"|mid",Response_Table!$A$4:$A$21,0))*$R81*INDEX(Parameters!$X$4:$AA$4,1,MATCH($E81,Parameters!$X$3:$AA$3,0))))</f>
        <v>85.0411767857143</v>
      </c>
      <c r="V81" s="38" t="n">
        <f aca="false">MAX(0,MIN(T81*(1+INDEX(Response_Table!$E$4:$E$21,MATCH($F81&amp;"|low",Response_Table!$A$4:$A$21,0))*$R81*INDEX(Parameters!$X$4:$AA$4,1,MATCH($E81,Parameters!$X$3:$AA$3,0))),T81*(1+INDEX(Response_Table!$E$4:$E$21,MATCH($F81&amp;"|high",Response_Table!$A$4:$A$21,0))*$R81*INDEX(Parameters!$X$4:$AA$4,1,MATCH($E81,Parameters!$X$3:$AA$3,0))))*(1-Inputs_General!$C$22*Parameters!$F$4))</f>
        <v>79.4454673532143</v>
      </c>
      <c r="W81" s="38" t="n">
        <f aca="false">MIN(100,MAX(T81*(1+INDEX(Response_Table!$E$4:$E$21,MATCH($F81&amp;"|low",Response_Table!$A$4:$A$21,0))*$R81*INDEX(Parameters!$X$4:$AA$4,1,MATCH($E81,Parameters!$X$3:$AA$3,0))),T81*(1+INDEX(Response_Table!$E$4:$E$21,MATCH($F81&amp;"|high",Response_Table!$A$4:$A$21,0))*$R81*INDEX(Parameters!$X$4:$AA$4,1,MATCH($E81,Parameters!$X$3:$AA$3,0))))*(1+Inputs_General!$C$22*Parameters!$F$4))</f>
        <v>90.6368862182143</v>
      </c>
      <c r="X81" s="39" t="n">
        <f aca="false">IF(T81=0,0,U81/T81-1)</f>
        <v>0</v>
      </c>
      <c r="Y81" s="38" t="n">
        <f aca="false">Parameters!$E$5*IF($N81="V",Parameters!$I$5,IF($N81="F",Parameters!$J$5,Parameters!$K$5))*(1-Parameters!$L$5*$P81)*IF($D81="V1",Parameters!$M$5,IF($D81="V2",Parameters!$N$5,Parameters!$O$5))</f>
        <v>70.36344</v>
      </c>
      <c r="Z81" s="38" t="n">
        <f aca="false">MIN(100,Y81*(1+INDEX(Response_Table!$F$4:$F$21,MATCH($F81&amp;"|mid",Response_Table!$A$4:$A$21,0))*$R81*INDEX(Parameters!$X$5:$AA$5,1,MATCH($E81,Parameters!$X$3:$AA$3,0))))</f>
        <v>70.36344</v>
      </c>
      <c r="AA81" s="38" t="n">
        <f aca="false">MAX(0,MIN(Y81*(1+INDEX(Response_Table!$F$4:$F$21,MATCH($F81&amp;"|low",Response_Table!$A$4:$A$21,0))*$R81*INDEX(Parameters!$X$5:$AA$5,1,MATCH($E81,Parameters!$X$3:$AA$3,0))),Y81*(1+INDEX(Response_Table!$F$4:$F$21,MATCH($F81&amp;"|high",Response_Table!$A$4:$A$21,0))*$R81*INDEX(Parameters!$X$5:$AA$5,1,MATCH($E81,Parameters!$X$3:$AA$3,0))))*(1-Inputs_General!$C$22*Parameters!$F$5))</f>
        <v>62.261089884</v>
      </c>
      <c r="AB81" s="38" t="n">
        <f aca="false">MIN(100,MAX(Y81*(1+INDEX(Response_Table!$F$4:$F$21,MATCH($F81&amp;"|low",Response_Table!$A$4:$A$21,0))*$R81*INDEX(Parameters!$X$5:$AA$5,1,MATCH($E81,Parameters!$X$3:$AA$3,0))),Y81*(1+INDEX(Response_Table!$F$4:$F$21,MATCH($F81&amp;"|high",Response_Table!$A$4:$A$21,0))*$R81*INDEX(Parameters!$X$5:$AA$5,1,MATCH($E81,Parameters!$X$3:$AA$3,0))))*(1+Inputs_General!$C$22*Parameters!$F$5))</f>
        <v>78.465790116</v>
      </c>
      <c r="AC81" s="39" t="n">
        <f aca="false">IF(Y81=0,0,Z81/Y81-1)</f>
        <v>0</v>
      </c>
      <c r="AD81" s="38" t="n">
        <f aca="false">Parameters!$E$6*IF($N81="V",Parameters!$I$6,IF($N81="F",Parameters!$J$6,Parameters!$K$6))*(1-Parameters!$L$6*$P81)*IF($D81="V1",Parameters!$M$6,IF($D81="V2",Parameters!$N$6,Parameters!$O$6))</f>
        <v>18.9470714285714</v>
      </c>
      <c r="AE81" s="38" t="n">
        <f aca="false">AD81*(1+INDEX(Response_Table!$G$4:$G$21,MATCH($F81&amp;"|mid",Response_Table!$A$4:$A$21,0))*$R81*INDEX(Parameters!$X$6:$AA$6,1,MATCH($E81,Parameters!$X$3:$AA$3,0)))</f>
        <v>18.9470714285714</v>
      </c>
      <c r="AF81" s="38" t="n">
        <f aca="false">MAX(0,MIN(AD81*(1+INDEX(Response_Table!$G$4:$G$21,MATCH($F81&amp;"|low",Response_Table!$A$4:$A$21,0))*$R81*INDEX(Parameters!$X$6:$AA$6,1,MATCH($E81,Parameters!$X$3:$AA$3,0))),AD81*(1+INDEX(Response_Table!$G$4:$G$21,MATCH($F81&amp;"|high",Response_Table!$A$4:$A$21,0))*$R81*INDEX(Parameters!$X$6:$AA$6,1,MATCH($E81,Parameters!$X$3:$AA$3,0))))*(1-Inputs_General!$C$22*Parameters!$F$6))</f>
        <v>15.2069195285714</v>
      </c>
      <c r="AG81" s="38" t="n">
        <f aca="false">MAX(AD81*(1+INDEX(Response_Table!$G$4:$G$21,MATCH($F81&amp;"|low",Response_Table!$A$4:$A$21,0))*$R81*INDEX(Parameters!$X$6:$AA$6,1,MATCH($E81,Parameters!$X$3:$AA$3,0))),AD81*(1+INDEX(Response_Table!$G$4:$G$21,MATCH($F81&amp;"|high",Response_Table!$A$4:$A$21,0))*$R81*INDEX(Parameters!$X$6:$AA$6,1,MATCH($E81,Parameters!$X$3:$AA$3,0))))*(1+Inputs_General!$C$22*Parameters!$F$6)</f>
        <v>22.6872233285714</v>
      </c>
      <c r="AH81" s="39" t="n">
        <f aca="false">IF(AD81=0,0,AE81/AD81-1)</f>
        <v>0</v>
      </c>
      <c r="AI81" s="40" t="n">
        <f aca="false">Parameters!$E$7*IF($N81="V",Parameters!$I$7,IF($N81="F",Parameters!$J$7,Parameters!$K$7))*(1-Parameters!$L$7*$P81)*IF($D81="V1",Parameters!$M$7,IF($D81="V2",Parameters!$N$7,Parameters!$O$7))*POWER($Q81/Inputs_General!$C$26,-Inputs_General!$C$25)</f>
        <v>0.411663164578586</v>
      </c>
      <c r="AJ81" s="40" t="n">
        <f aca="false">AI81*(1+INDEX(Response_Table!$H$4:$H$21,MATCH($F81&amp;"|mid",Response_Table!$A$4:$A$21,0))*$R81*INDEX(Parameters!$X$7:$AA$7,1,MATCH($E81,Parameters!$X$3:$AA$3,0)))</f>
        <v>0.411663164578586</v>
      </c>
      <c r="AK81" s="40" t="n">
        <f aca="false">MAX(0,MIN(AI81*(1+INDEX(Response_Table!$H$4:$H$21,MATCH($F81&amp;"|low",Response_Table!$A$4:$A$21,0))*$R81*INDEX(Parameters!$X$7:$AA$7,1,MATCH($E81,Parameters!$X$3:$AA$3,0))),AI81*(1+INDEX(Response_Table!$H$4:$H$21,MATCH($F81&amp;"|high",Response_Table!$A$4:$A$21,0))*$R81*INDEX(Parameters!$X$7:$AA$7,1,MATCH($E81,Parameters!$X$3:$AA$3,0))))*(1-Inputs_General!$C$22*Parameters!$F$7))</f>
        <v>0.289769701546867</v>
      </c>
      <c r="AL81" s="40" t="n">
        <f aca="false">MAX(AI81*(1+INDEX(Response_Table!$H$4:$H$21,MATCH($F81&amp;"|low",Response_Table!$A$4:$A$21,0))*$R81*INDEX(Parameters!$X$7:$AA$7,1,MATCH($E81,Parameters!$X$3:$AA$3,0))),AI81*(1+INDEX(Response_Table!$H$4:$H$21,MATCH($F81&amp;"|high",Response_Table!$A$4:$A$21,0))*$R81*INDEX(Parameters!$X$7:$AA$7,1,MATCH($E81,Parameters!$X$3:$AA$3,0))))*(1+Inputs_General!$C$22*Parameters!$F$7)</f>
        <v>0.533556627610306</v>
      </c>
      <c r="AM81" s="39" t="n">
        <f aca="false">IF(AI81=0,0,AJ81/AI81-1)</f>
        <v>0</v>
      </c>
      <c r="AN81" s="37" t="n">
        <f aca="false">AI81*$Q81/Inputs_General!$C$13*1000</f>
        <v>4.95374641196979</v>
      </c>
      <c r="AO81" s="37" t="n">
        <f aca="false">AJ81*$Q81/Inputs_General!$C$13*1000*(1+Inputs_General!$C$21*$I81)</f>
        <v>4.95374641196979</v>
      </c>
      <c r="AP81" s="37" t="n">
        <f aca="false">AK81*$Q81/Inputs_General!$C$13*1000*(1+Inputs_General!$C$21*$H81)</f>
        <v>3.48694209938553</v>
      </c>
      <c r="AQ81" s="37" t="n">
        <f aca="false">AL81*$Q81/Inputs_General!$C$13*1000*(1+Inputs_General!$C$21*$J81)</f>
        <v>6.42055072455404</v>
      </c>
      <c r="AR81" s="39" t="n">
        <f aca="false">IF(AN81=0,0,AO81/AN81-1)</f>
        <v>0</v>
      </c>
      <c r="AS81" s="36" t="n">
        <f aca="false">Parameters!$E$9*IF($N81="V",Parameters!$I$9,IF($N81="F",Parameters!$J$9,Parameters!$K$9))*(1-Parameters!$L$9*$P81)*IF($D81="V1",Parameters!$M$9,IF($D81="V2",Parameters!$N$9,Parameters!$O$9))</f>
        <v>285</v>
      </c>
      <c r="AT81" s="36" t="n">
        <f aca="false">AS81*(1+INDEX(Response_Table!$I$4:$I$21,MATCH($F81&amp;"|mid",Response_Table!$A$4:$A$21,0))*$R81*INDEX(Parameters!$X$9:$AA$9,1,MATCH($E81,Parameters!$X$3:$AA$3,0)))</f>
        <v>285</v>
      </c>
      <c r="AU81" s="36" t="n">
        <f aca="false">MAX(0,MIN(AS81*(1+INDEX(Response_Table!$I$4:$I$21,MATCH($F81&amp;"|low",Response_Table!$A$4:$A$21,0))*$R81*INDEX(Parameters!$X$9:$AA$9,1,MATCH($E81,Parameters!$X$3:$AA$3,0))),AS81*(1+INDEX(Response_Table!$I$4:$I$21,MATCH($F81&amp;"|high",Response_Table!$A$4:$A$21,0))*$R81*INDEX(Parameters!$X$9:$AA$9,1,MATCH($E81,Parameters!$X$3:$AA$3,0))))*(1-Inputs_General!$C$22*Parameters!$F$9))</f>
        <v>256.8705</v>
      </c>
      <c r="AV81" s="36" t="n">
        <f aca="false">MAX(AS81*(1+INDEX(Response_Table!$I$4:$I$21,MATCH($F81&amp;"|low",Response_Table!$A$4:$A$21,0))*$R81*INDEX(Parameters!$X$9:$AA$9,1,MATCH($E81,Parameters!$X$3:$AA$3,0))),AS81*(1+INDEX(Response_Table!$I$4:$I$21,MATCH($F81&amp;"|high",Response_Table!$A$4:$A$21,0))*$R81*INDEX(Parameters!$X$9:$AA$9,1,MATCH($E81,Parameters!$X$3:$AA$3,0))))*(1+Inputs_General!$C$22*Parameters!$F$9)</f>
        <v>313.1295</v>
      </c>
      <c r="AW81" s="39" t="n">
        <f aca="false">IF(AS81=0,0,AT81/AS81-1)</f>
        <v>0</v>
      </c>
      <c r="AX81" s="37" t="n">
        <f aca="false">INDEX(Context!$AB$4:$AB$51,$K81)</f>
        <v>2.71011434138418</v>
      </c>
      <c r="AY81" s="37" t="n">
        <f aca="false">AX81*(1+INDEX(Response_Table!$J$4:$J$21,MATCH($F81&amp;"|mid",Response_Table!$A$4:$A$21,0))*$R81*INDEX(Parameters!$X$10:$AA$10,1,MATCH($E81,Parameters!$X$3:$AA$3,0)))</f>
        <v>2.71011434138418</v>
      </c>
      <c r="AZ81" s="37" t="n">
        <f aca="false">MAX(0,MIN(AX81*(1+INDEX(Response_Table!$J$4:$J$21,MATCH($F81&amp;"|low",Response_Table!$A$4:$A$21,0))*$R81*INDEX(Parameters!$X$10:$AA$10,1,MATCH($E81,Parameters!$X$3:$AA$3,0))),AX81*(1+INDEX(Response_Table!$J$4:$J$21,MATCH($F81&amp;"|high",Response_Table!$A$4:$A$21,0))*$R81*INDEX(Parameters!$X$10:$AA$10,1,MATCH($E81,Parameters!$X$3:$AA$3,0))))*(1-Inputs_General!$C$22*Parameters!$F$10))</f>
        <v>2.17513777039494</v>
      </c>
      <c r="BA81" s="37" t="n">
        <f aca="false">MAX(AX81*(1+INDEX(Response_Table!$J$4:$J$21,MATCH($F81&amp;"|low",Response_Table!$A$4:$A$21,0))*$R81*INDEX(Parameters!$X$10:$AA$10,1,MATCH($E81,Parameters!$X$3:$AA$3,0))),AX81*(1+INDEX(Response_Table!$J$4:$J$21,MATCH($F81&amp;"|high",Response_Table!$A$4:$A$21,0))*$R81*INDEX(Parameters!$X$10:$AA$10,1,MATCH($E81,Parameters!$X$3:$AA$3,0))))*(1+Inputs_General!$C$22*Parameters!$F$10)</f>
        <v>3.24509091237342</v>
      </c>
      <c r="BB81" s="39" t="n">
        <f aca="false">IF(AX81=0,0,AY81/AX81-1)</f>
        <v>0</v>
      </c>
      <c r="BC81" s="40" t="n">
        <f aca="false">Parameters!$E$11*IF($N81="V",Parameters!$I$11,IF($N81="F",Parameters!$J$11,Parameters!$K$11))*(1-Parameters!$L$11*$P81)*IF($D81="V1",Parameters!$M$11,IF($D81="V2",Parameters!$N$11,Parameters!$O$11))</f>
        <v>1.24825892857143</v>
      </c>
      <c r="BD81" s="40" t="n">
        <f aca="false">BC81*(1+INDEX(Response_Table!$K$4:$K$21,MATCH($F81&amp;"|mid",Response_Table!$A$4:$A$21,0))*$R81*INDEX(Parameters!$X$11:$AA$11,1,MATCH($E81,Parameters!$X$3:$AA$3,0)))</f>
        <v>1.24825892857143</v>
      </c>
      <c r="BE81" s="40" t="n">
        <f aca="false">MAX(0,MIN(BC81*(1+INDEX(Response_Table!$K$4:$K$21,MATCH($F81&amp;"|low",Response_Table!$A$4:$A$21,0))*$R81*INDEX(Parameters!$X$11:$AA$11,1,MATCH($E81,Parameters!$X$3:$AA$3,0))),BC81*(1+INDEX(Response_Table!$K$4:$K$21,MATCH($F81&amp;"|high",Response_Table!$A$4:$A$21,0))*$R81*INDEX(Parameters!$X$11:$AA$11,1,MATCH($E81,Parameters!$X$3:$AA$3,0))))*(1-Inputs_General!$C$22*Parameters!$F$11))</f>
        <v>1.04292033482143</v>
      </c>
      <c r="BF81" s="40" t="n">
        <f aca="false">MAX(BC81*(1+INDEX(Response_Table!$K$4:$K$21,MATCH($F81&amp;"|low",Response_Table!$A$4:$A$21,0))*$R81*INDEX(Parameters!$X$11:$AA$11,1,MATCH($E81,Parameters!$X$3:$AA$3,0))),BC81*(1+INDEX(Response_Table!$K$4:$K$21,MATCH($F81&amp;"|high",Response_Table!$A$4:$A$21,0))*$R81*INDEX(Parameters!$X$11:$AA$11,1,MATCH($E81,Parameters!$X$3:$AA$3,0))))*(1+Inputs_General!$C$22*Parameters!$F$11)</f>
        <v>1.45359752232143</v>
      </c>
      <c r="BG81" s="39" t="n">
        <f aca="false">IF(BC81=0,0,BD81/BC81-1)</f>
        <v>0</v>
      </c>
      <c r="BH81" s="40" t="n">
        <f aca="false">Parameters!$E$12*IF($N81="V",Parameters!$I$12,IF($N81="F",Parameters!$J$12,Parameters!$K$12))*(1-Parameters!$L$12*$P81)*IF($D81="V1",Parameters!$M$12,IF($D81="V2",Parameters!$N$12,Parameters!$O$12))</f>
        <v>0.449373214285714</v>
      </c>
      <c r="BI81" s="40" t="n">
        <f aca="false">BH81*(1+INDEX(Response_Table!$L$4:$L$21,MATCH($F81&amp;"|mid",Response_Table!$A$4:$A$21,0))*$R81*INDEX(Parameters!$X$12:$AA$12,1,MATCH($E81,Parameters!$X$3:$AA$3,0)))</f>
        <v>0.449373214285714</v>
      </c>
      <c r="BJ81" s="40" t="n">
        <f aca="false">MAX(0,MIN(BH81*(1+INDEX(Response_Table!$L$4:$L$21,MATCH($F81&amp;"|low",Response_Table!$A$4:$A$21,0))*$R81*INDEX(Parameters!$X$12:$AA$12,1,MATCH($E81,Parameters!$X$3:$AA$3,0))),BH81*(1+INDEX(Response_Table!$L$4:$L$21,MATCH($F81&amp;"|high",Response_Table!$A$4:$A$21,0))*$R81*INDEX(Parameters!$X$12:$AA$12,1,MATCH($E81,Parameters!$X$3:$AA$3,0))))*(1-Inputs_General!$C$22*Parameters!$F$12))</f>
        <v>0.360666941785714</v>
      </c>
      <c r="BK81" s="40" t="n">
        <f aca="false">MAX(BH81*(1+INDEX(Response_Table!$L$4:$L$21,MATCH($F81&amp;"|low",Response_Table!$A$4:$A$21,0))*$R81*INDEX(Parameters!$X$12:$AA$12,1,MATCH($E81,Parameters!$X$3:$AA$3,0))),BH81*(1+INDEX(Response_Table!$L$4:$L$21,MATCH($F81&amp;"|high",Response_Table!$A$4:$A$21,0))*$R81*INDEX(Parameters!$X$12:$AA$12,1,MATCH($E81,Parameters!$X$3:$AA$3,0))))*(1+Inputs_General!$C$22*Parameters!$F$12)</f>
        <v>0.538079486785714</v>
      </c>
      <c r="BL81" s="39" t="n">
        <f aca="false">IF(BH81=0,0,BI81/BH81-1)</f>
        <v>0</v>
      </c>
      <c r="BM81" s="40" t="n">
        <f aca="false">Parameters!$E$13*IF($N81="V",Parameters!$I$13,IF($N81="F",Parameters!$J$13,Parameters!$K$13))*(1-Parameters!$L$13*$P81)*IF($D81="V1",Parameters!$M$13,IF($D81="V2",Parameters!$N$13,Parameters!$O$13))</f>
        <v>0.299791071428571</v>
      </c>
      <c r="BN81" s="40" t="n">
        <f aca="false">BM81*(1+INDEX(Response_Table!$M$4:$M$21,MATCH($F81&amp;"|mid",Response_Table!$A$4:$A$21,0))*$R81*INDEX(Parameters!$X$13:$AA$13,1,MATCH($E81,Parameters!$X$3:$AA$3,0)))</f>
        <v>0.299791071428571</v>
      </c>
      <c r="BO81" s="40" t="n">
        <f aca="false">MAX(0,MIN(BM81*(1+INDEX(Response_Table!$M$4:$M$21,MATCH($F81&amp;"|low",Response_Table!$A$4:$A$21,0))*$R81*INDEX(Parameters!$X$13:$AA$13,1,MATCH($E81,Parameters!$X$3:$AA$3,0))),BM81*(1+INDEX(Response_Table!$M$4:$M$21,MATCH($F81&amp;"|high",Response_Table!$A$4:$A$21,0))*$R81*INDEX(Parameters!$X$13:$AA$13,1,MATCH($E81,Parameters!$X$3:$AA$3,0))))*(1-Inputs_General!$C$22*Parameters!$F$13))</f>
        <v>0.240612313928571</v>
      </c>
      <c r="BP81" s="40" t="n">
        <f aca="false">MAX(BM81*(1+INDEX(Response_Table!$M$4:$M$21,MATCH($F81&amp;"|low",Response_Table!$A$4:$A$21,0))*$R81*INDEX(Parameters!$X$13:$AA$13,1,MATCH($E81,Parameters!$X$3:$AA$3,0))),BM81*(1+INDEX(Response_Table!$M$4:$M$21,MATCH($F81&amp;"|high",Response_Table!$A$4:$A$21,0))*$R81*INDEX(Parameters!$X$13:$AA$13,1,MATCH($E81,Parameters!$X$3:$AA$3,0))))*(1+Inputs_General!$C$22*Parameters!$F$13)</f>
        <v>0.358969828928571</v>
      </c>
      <c r="BQ81" s="39" t="n">
        <f aca="false">IF(BM81=0,0,BN81/BM81-1)</f>
        <v>0</v>
      </c>
      <c r="BR81" s="38" t="n">
        <f aca="false">Parameters!$E$14*IF($N81="V",Parameters!$I$14,IF($N81="F",Parameters!$J$14,Parameters!$K$14))*(1-Parameters!$L$14*$P81)*IF($D81="V1",Parameters!$M$14,IF($D81="V2",Parameters!$N$14,Parameters!$O$14))*INDEX(Context!$AC$4:$AC$51,$K81)</f>
        <v>15</v>
      </c>
      <c r="BS81" s="38" t="n">
        <f aca="false">BR81*(1+INDEX(Response_Table!$N$4:$N$21,MATCH($F81&amp;"|mid",Response_Table!$A$4:$A$21,0))*$R81*INDEX(Parameters!$X$14:$AA$14,1,MATCH($E81,Parameters!$X$3:$AA$3,0)))</f>
        <v>15</v>
      </c>
      <c r="BT81" s="38" t="n">
        <f aca="false">MAX(0,MIN(BR81*(1+INDEX(Response_Table!$N$4:$N$21,MATCH($F81&amp;"|low",Response_Table!$A$4:$A$21,0))*$R81*INDEX(Parameters!$X$14:$AA$14,1,MATCH($E81,Parameters!$X$3:$AA$3,0))),BR81*(1+INDEX(Response_Table!$N$4:$N$21,MATCH($F81&amp;"|high",Response_Table!$A$4:$A$21,0))*$R81*INDEX(Parameters!$X$14:$AA$14,1,MATCH($E81,Parameters!$X$3:$AA$3,0))))*(1-Inputs_General!$C$22*Parameters!$F$14))</f>
        <v>7.5975</v>
      </c>
      <c r="BU81" s="38" t="n">
        <f aca="false">MAX(BR81*(1+INDEX(Response_Table!$N$4:$N$21,MATCH($F81&amp;"|low",Response_Table!$A$4:$A$21,0))*$R81*INDEX(Parameters!$X$14:$AA$14,1,MATCH($E81,Parameters!$X$3:$AA$3,0))),BR81*(1+INDEX(Response_Table!$N$4:$N$21,MATCH($F81&amp;"|high",Response_Table!$A$4:$A$21,0))*$R81*INDEX(Parameters!$X$14:$AA$14,1,MATCH($E81,Parameters!$X$3:$AA$3,0))))*(1+Inputs_General!$C$22*Parameters!$F$14)</f>
        <v>22.4025</v>
      </c>
      <c r="BV81" s="39" t="n">
        <f aca="false">IF(BR81=0,0,BS81/BR81-1)</f>
        <v>0</v>
      </c>
      <c r="BW81" s="37" t="n">
        <f aca="false">Parameters!$E$15*IF($N81="V",Parameters!$I$15,IF($N81="F",Parameters!$J$15,Parameters!$K$15))*(1-Parameters!$L$15*$P81)*IF($D81="V1",Parameters!$M$15,IF($D81="V2",Parameters!$N$15,Parameters!$O$15))</f>
        <v>10.3855142857143</v>
      </c>
      <c r="BX81" s="37" t="n">
        <f aca="false">BW81*(1+INDEX(Response_Table!$O$4:$O$21,MATCH($F81&amp;"|mid",Response_Table!$A$4:$A$21,0))*$R81*INDEX(Parameters!$X$15:$AA$15,1,MATCH($E81,Parameters!$X$3:$AA$3,0)))</f>
        <v>10.3855142857143</v>
      </c>
      <c r="BY81" s="37" t="n">
        <f aca="false">MAX(0,MIN(BW81*(1+INDEX(Response_Table!$O$4:$O$21,MATCH($F81&amp;"|low",Response_Table!$A$4:$A$21,0))*$R81*INDEX(Parameters!$X$15:$AA$15,1,MATCH($E81,Parameters!$X$3:$AA$3,0))),BW81*(1+INDEX(Response_Table!$O$4:$O$21,MATCH($F81&amp;"|high",Response_Table!$A$4:$A$21,0))*$R81*INDEX(Parameters!$X$15:$AA$15,1,MATCH($E81,Parameters!$X$3:$AA$3,0))))*(1-Inputs_General!$C$22*Parameters!$F$15))</f>
        <v>8.33541376571428</v>
      </c>
      <c r="BZ81" s="37" t="n">
        <f aca="false">MAX(BW81*(1+INDEX(Response_Table!$O$4:$O$21,MATCH($F81&amp;"|low",Response_Table!$A$4:$A$21,0))*$R81*INDEX(Parameters!$X$15:$AA$15,1,MATCH($E81,Parameters!$X$3:$AA$3,0))),BW81*(1+INDEX(Response_Table!$O$4:$O$21,MATCH($F81&amp;"|high",Response_Table!$A$4:$A$21,0))*$R81*INDEX(Parameters!$X$15:$AA$15,1,MATCH($E81,Parameters!$X$3:$AA$3,0))))*(1+Inputs_General!$C$22*Parameters!$F$15)</f>
        <v>12.4356148057143</v>
      </c>
      <c r="CA81" s="39" t="n">
        <f aca="false">IF(BW81=0,0,BX81/BW81-1)</f>
        <v>0</v>
      </c>
      <c r="CB81" s="40" t="n">
        <f aca="false">BD81+BI81</f>
        <v>1.69763214285714</v>
      </c>
      <c r="CC81" s="37" t="n">
        <f aca="false">BD81/BI81</f>
        <v>2.77777777777778</v>
      </c>
      <c r="CD81" s="40" t="n">
        <f aca="false">BN81/CB81</f>
        <v>0.176593658814694</v>
      </c>
      <c r="CE81" s="37" t="n">
        <f aca="false">AE81/AO81</f>
        <v>3.82479639708432</v>
      </c>
      <c r="CF81" s="38" t="n">
        <f aca="false">AE81/AJ81</f>
        <v>46.0256662700615</v>
      </c>
      <c r="CG81" s="38" t="n">
        <f aca="false">INDEX(Context!$V$4:$V$51,$K81)</f>
        <v>25.5785714285714</v>
      </c>
      <c r="CH81" s="38" t="n">
        <f aca="false">INDEX(Context!$Y$4:$Y$51,$K81)</f>
        <v>23.620522619794</v>
      </c>
      <c r="CI81" s="38" t="n">
        <f aca="false">INDEX(Context!$Z$4:$Z$51,$K81)</f>
        <v>29.5785714285714</v>
      </c>
      <c r="CJ81" s="37" t="n">
        <f aca="false">INDEX(Context!$AA$4:$AA$51,$K81)</f>
        <v>0.201160714285714</v>
      </c>
      <c r="CK81" s="37" t="n">
        <f aca="false">MAX(0,MIN(1,1-(1-CJ81)*AO81/AN81))</f>
        <v>0.201160714285714</v>
      </c>
      <c r="CL81" s="38" t="n">
        <f aca="false">CH81+CK81*(CI81-CH81)</f>
        <v>24.8190479739168</v>
      </c>
      <c r="CM81" s="38" t="n">
        <f aca="false">CH81+MAX(0,MIN(1,1-(1-CJ81)*AQ81/AN81))*(CI81-CH81)</f>
        <v>23.620522619794</v>
      </c>
      <c r="CN81" s="38" t="n">
        <f aca="false">CH81+MAX(0,MIN(1,1-(1-CJ81)*AP81/AN81))*(CI81-CH81)</f>
        <v>26.2283428688401</v>
      </c>
      <c r="CO81" s="38" t="n">
        <f aca="false">CL81-CG81</f>
        <v>-0.759523454654609</v>
      </c>
      <c r="CP81" s="38" t="n">
        <f aca="false">CL81-(CH81+CJ81*(CI81-CH81))</f>
        <v>0</v>
      </c>
      <c r="CQ81" s="40" t="n">
        <f aca="false">CL81/CG81</f>
        <v>0.970306259801272</v>
      </c>
      <c r="CR81" s="37" t="n">
        <f aca="false">IF(CL81-CH81&lt;=0,"n/a",(CI81-CL81)/(CL81-CH81))</f>
        <v>3.97114957834</v>
      </c>
      <c r="CS81" s="37" t="n">
        <f aca="false">IF(CI81-CL81&lt;=0,"n/a",(CL81-CH81)/(CI81-CL81))</f>
        <v>0.251816251257405</v>
      </c>
      <c r="CT81" s="37" t="n">
        <f aca="false">Inputs_General!$C$23+Inputs_General!$C$24*$I81</f>
        <v>0.6</v>
      </c>
      <c r="CU81" s="38" t="n">
        <f aca="false">3.29*CT81</f>
        <v>1.974</v>
      </c>
    </row>
    <row r="82" customFormat="false" ht="15" hidden="false" customHeight="false" outlineLevel="0" collapsed="false">
      <c r="A82" s="9" t="str">
        <f aca="false">B82&amp;"|"&amp;E82&amp;"|"&amp;F82</f>
        <v>D2V1|24/02/2026|Very low</v>
      </c>
      <c r="B82" s="7" t="s">
        <v>346</v>
      </c>
      <c r="C82" s="9" t="s">
        <v>129</v>
      </c>
      <c r="D82" s="9" t="s">
        <v>142</v>
      </c>
      <c r="E82" s="9" t="s">
        <v>160</v>
      </c>
      <c r="F82" s="7" t="s">
        <v>277</v>
      </c>
      <c r="G82" s="9" t="s">
        <v>278</v>
      </c>
      <c r="H82" s="41" t="n">
        <f aca="false">INDEX(Severity_Classes!$C$4:$C$9,MATCH(F82,Severity_Classes!$A$4:$A$9,0))</f>
        <v>0.01</v>
      </c>
      <c r="I82" s="41" t="n">
        <f aca="false">INDEX(Severity_Classes!$D$4:$D$9,MATCH(F82,Severity_Classes!$A$4:$A$9,0))</f>
        <v>0.03</v>
      </c>
      <c r="J82" s="41" t="n">
        <f aca="false">INDEX(Severity_Classes!$E$4:$E$9,MATCH(F82,Severity_Classes!$A$4:$A$9,0))</f>
        <v>0.05</v>
      </c>
      <c r="K82" s="42" t="n">
        <f aca="false">MATCH(B82&amp;"|"&amp;E82,Context!$A$4:$A$51,0)</f>
        <v>14</v>
      </c>
      <c r="L82" s="42" t="n">
        <f aca="false">INDEX(Context!$H$4:$H$51,K82)</f>
        <v>68</v>
      </c>
      <c r="M82" s="42" t="n">
        <f aca="false">INDEX(Context!$I$4:$I$51,K82)</f>
        <v>19</v>
      </c>
      <c r="N82" s="9" t="str">
        <f aca="false">INDEX(Context!$L$4:$L$51,K82)</f>
        <v>F</v>
      </c>
      <c r="O82" s="9" t="str">
        <f aca="false">INDEX(Context!$M$4:$M$51,K82)</f>
        <v>5th fully expanded leaf from top</v>
      </c>
      <c r="P82" s="43" t="n">
        <f aca="false">INDEX(Context!$R$4:$R$51,K82)</f>
        <v>0.0232142857142859</v>
      </c>
      <c r="Q82" s="43" t="n">
        <f aca="false">INDEX(Context!$U$4:$U$51,K82)</f>
        <v>1.19492600027053</v>
      </c>
      <c r="R82" s="43" t="n">
        <f aca="false">INDEX(Context!$AD$4:$AD$51,K82)</f>
        <v>1</v>
      </c>
      <c r="S82" s="9" t="str">
        <f aca="false">INDEX(Context!$AI$4:$AN$51,K82,MATCH(F82,Severity_Classes!$A$4:$A$9,0))</f>
        <v>Possible</v>
      </c>
      <c r="T82" s="44" t="n">
        <f aca="false">Parameters!$E$4*IF($N82="V",Parameters!$I$4,IF($N82="F",Parameters!$J$4,Parameters!$K$4))*(1-Parameters!$L$4*$P82)*IF($D82="V1",Parameters!$M$4,IF($D82="V2",Parameters!$N$4,Parameters!$O$4))</f>
        <v>85.0411767857143</v>
      </c>
      <c r="U82" s="44" t="n">
        <f aca="false">MIN(100,T82*(1+INDEX(Response_Table!$E$4:$E$21,MATCH($F82&amp;"|mid",Response_Table!$A$4:$A$21,0))*$R82*INDEX(Parameters!$X$4:$AA$4,1,MATCH($E82,Parameters!$X$3:$AA$3,0))))</f>
        <v>84.6745354605784</v>
      </c>
      <c r="V82" s="44" t="n">
        <f aca="false">MAX(0,MIN(T82*(1+INDEX(Response_Table!$E$4:$E$21,MATCH($F82&amp;"|low",Response_Table!$A$4:$A$21,0))*$R82*INDEX(Parameters!$X$4:$AA$4,1,MATCH($E82,Parameters!$X$3:$AA$3,0))),T82*(1+INDEX(Response_Table!$E$4:$E$21,MATCH($F82&amp;"|high",Response_Table!$A$4:$A$21,0))*$R82*INDEX(Parameters!$X$4:$AA$4,1,MATCH($E82,Parameters!$X$3:$AA$3,0))))*(1-Inputs_General!$C$22*Parameters!$F$4))</f>
        <v>78.8293823968454</v>
      </c>
      <c r="W82" s="44" t="n">
        <f aca="false">MIN(100,MAX(T82*(1+INDEX(Response_Table!$E$4:$E$21,MATCH($F82&amp;"|low",Response_Table!$A$4:$A$21,0))*$R82*INDEX(Parameters!$X$4:$AA$4,1,MATCH($E82,Parameters!$X$3:$AA$3,0))),T82*(1+INDEX(Response_Table!$E$4:$E$21,MATCH($F82&amp;"|high",Response_Table!$A$4:$A$21,0))*$R82*INDEX(Parameters!$X$4:$AA$4,1,MATCH($E82,Parameters!$X$3:$AA$3,0))))*(1+Inputs_General!$C$22*Parameters!$F$4))</f>
        <v>90.5161178166687</v>
      </c>
      <c r="X82" s="45" t="n">
        <f aca="false">IF(T82=0,0,U82/T82-1)</f>
        <v>-0.00431133880072843</v>
      </c>
      <c r="Y82" s="44" t="n">
        <f aca="false">Parameters!$E$5*IF($N82="V",Parameters!$I$5,IF($N82="F",Parameters!$J$5,Parameters!$K$5))*(1-Parameters!$L$5*$P82)*IF($D82="V1",Parameters!$M$5,IF($D82="V2",Parameters!$N$5,Parameters!$O$5))</f>
        <v>70.36344</v>
      </c>
      <c r="Z82" s="44" t="n">
        <f aca="false">MIN(100,Y82*(1+INDEX(Response_Table!$F$4:$F$21,MATCH($F82&amp;"|mid",Response_Table!$A$4:$A$21,0))*$R82*INDEX(Parameters!$X$5:$AA$5,1,MATCH($E82,Parameters!$X$3:$AA$3,0))))</f>
        <v>69.3950462239237</v>
      </c>
      <c r="AA82" s="44" t="n">
        <f aca="false">MAX(0,MIN(Y82*(1+INDEX(Response_Table!$F$4:$F$21,MATCH($F82&amp;"|low",Response_Table!$A$4:$A$21,0))*$R82*INDEX(Parameters!$X$5:$AA$5,1,MATCH($E82,Parameters!$X$3:$AA$3,0))),Y82*(1+INDEX(Response_Table!$F$4:$F$21,MATCH($F82&amp;"|high",Response_Table!$A$4:$A$21,0))*$R82*INDEX(Parameters!$X$5:$AA$5,1,MATCH($E82,Parameters!$X$3:$AA$3,0))))*(1-Inputs_General!$C$22*Parameters!$F$5))</f>
        <v>60.6984695207822</v>
      </c>
      <c r="AB82" s="44" t="n">
        <f aca="false">MIN(100,MAX(Y82*(1+INDEX(Response_Table!$F$4:$F$21,MATCH($F82&amp;"|low",Response_Table!$A$4:$A$21,0))*$R82*INDEX(Parameters!$X$5:$AA$5,1,MATCH($E82,Parameters!$X$3:$AA$3,0))),Y82*(1+INDEX(Response_Table!$F$4:$F$21,MATCH($F82&amp;"|high",Response_Table!$A$4:$A$21,0))*$R82*INDEX(Parameters!$X$5:$AA$5,1,MATCH($E82,Parameters!$X$3:$AA$3,0))))*(1+Inputs_General!$C$22*Parameters!$F$5))</f>
        <v>78.1366343645767</v>
      </c>
      <c r="AC82" s="45" t="n">
        <f aca="false">IF(Y82=0,0,Z82/Y82-1)</f>
        <v>-0.0137627406516267</v>
      </c>
      <c r="AD82" s="44" t="n">
        <f aca="false">Parameters!$E$6*IF($N82="V",Parameters!$I$6,IF($N82="F",Parameters!$J$6,Parameters!$K$6))*(1-Parameters!$L$6*$P82)*IF($D82="V1",Parameters!$M$6,IF($D82="V2",Parameters!$N$6,Parameters!$O$6))</f>
        <v>18.9470714285714</v>
      </c>
      <c r="AE82" s="44" t="n">
        <f aca="false">AD82*(1+INDEX(Response_Table!$G$4:$G$21,MATCH($F82&amp;"|mid",Response_Table!$A$4:$A$21,0))*$R82*INDEX(Parameters!$X$6:$AA$6,1,MATCH($E82,Parameters!$X$3:$AA$3,0)))</f>
        <v>17.1898394293085</v>
      </c>
      <c r="AF82" s="44" t="n">
        <f aca="false">MAX(0,MIN(AD82*(1+INDEX(Response_Table!$G$4:$G$21,MATCH($F82&amp;"|low",Response_Table!$A$4:$A$21,0))*$R82*INDEX(Parameters!$X$6:$AA$6,1,MATCH($E82,Parameters!$X$3:$AA$3,0))),AD82*(1+INDEX(Response_Table!$G$4:$G$21,MATCH($F82&amp;"|high",Response_Table!$A$4:$A$21,0))*$R82*INDEX(Parameters!$X$6:$AA$6,1,MATCH($E82,Parameters!$X$3:$AA$3,0))))*(1-Inputs_General!$C$22*Parameters!$F$6))</f>
        <v>12.9546089677288</v>
      </c>
      <c r="AG82" s="44" t="n">
        <f aca="false">MAX(AD82*(1+INDEX(Response_Table!$G$4:$G$21,MATCH($F82&amp;"|low",Response_Table!$A$4:$A$21,0))*$R82*INDEX(Parameters!$X$6:$AA$6,1,MATCH($E82,Parameters!$X$3:$AA$3,0))),AD82*(1+INDEX(Response_Table!$G$4:$G$21,MATCH($F82&amp;"|high",Response_Table!$A$4:$A$21,0))*$R82*INDEX(Parameters!$X$6:$AA$6,1,MATCH($E82,Parameters!$X$3:$AA$3,0))))*(1+Inputs_General!$C$22*Parameters!$F$6)</f>
        <v>21.9547769434063</v>
      </c>
      <c r="AH82" s="45" t="n">
        <f aca="false">IF(AD82=0,0,AE82/AD82-1)</f>
        <v>-0.0927442536904702</v>
      </c>
      <c r="AI82" s="46" t="n">
        <f aca="false">Parameters!$E$7*IF($N82="V",Parameters!$I$7,IF($N82="F",Parameters!$J$7,Parameters!$K$7))*(1-Parameters!$L$7*$P82)*IF($D82="V1",Parameters!$M$7,IF($D82="V2",Parameters!$N$7,Parameters!$O$7))*POWER($Q82/Inputs_General!$C$26,-Inputs_General!$C$25)</f>
        <v>0.411663164578586</v>
      </c>
      <c r="AJ82" s="46" t="n">
        <f aca="false">AI82*(1+INDEX(Response_Table!$H$4:$H$21,MATCH($F82&amp;"|mid",Response_Table!$A$4:$A$21,0))*$R82*INDEX(Parameters!$X$7:$AA$7,1,MATCH($E82,Parameters!$X$3:$AA$3,0)))</f>
        <v>0.388632780160783</v>
      </c>
      <c r="AK82" s="46" t="n">
        <f aca="false">MAX(0,MIN(AI82*(1+INDEX(Response_Table!$H$4:$H$21,MATCH($F82&amp;"|low",Response_Table!$A$4:$A$21,0))*$R82*INDEX(Parameters!$X$7:$AA$7,1,MATCH($E82,Parameters!$X$3:$AA$3,0))),AI82*(1+INDEX(Response_Table!$H$4:$H$21,MATCH($F82&amp;"|high",Response_Table!$A$4:$A$21,0))*$R82*INDEX(Parameters!$X$7:$AA$7,1,MATCH($E82,Parameters!$X$3:$AA$3,0))))*(1-Inputs_General!$C$22*Parameters!$F$7))</f>
        <v>0.263534006282406</v>
      </c>
      <c r="AL82" s="46" t="n">
        <f aca="false">MAX(AI82*(1+INDEX(Response_Table!$H$4:$H$21,MATCH($F82&amp;"|low",Response_Table!$A$4:$A$21,0))*$R82*INDEX(Parameters!$X$7:$AA$7,1,MATCH($E82,Parameters!$X$3:$AA$3,0))),AI82*(1+INDEX(Response_Table!$H$4:$H$21,MATCH($F82&amp;"|high",Response_Table!$A$4:$A$21,0))*$R82*INDEX(Parameters!$X$7:$AA$7,1,MATCH($E82,Parameters!$X$3:$AA$3,0))))*(1+Inputs_General!$C$22*Parameters!$F$7)</f>
        <v>0.523306789667364</v>
      </c>
      <c r="AM82" s="45" t="n">
        <f aca="false">IF(AI82=0,0,AJ82/AI82-1)</f>
        <v>-0.0559447295737017</v>
      </c>
      <c r="AN82" s="43" t="n">
        <f aca="false">AI82*$Q82/Inputs_General!$C$13*1000</f>
        <v>4.95374641196979</v>
      </c>
      <c r="AO82" s="43" t="n">
        <f aca="false">AJ82*$Q82/Inputs_General!$C$13*1000*(1+Inputs_General!$C$21*$I82)</f>
        <v>4.71168498663976</v>
      </c>
      <c r="AP82" s="43" t="n">
        <f aca="false">AK82*$Q82/Inputs_General!$C$13*1000*(1+Inputs_General!$C$21*$H82)</f>
        <v>3.17916309317684</v>
      </c>
      <c r="AQ82" s="43" t="n">
        <f aca="false">AL82*$Q82/Inputs_General!$C$13*1000*(1+Inputs_General!$C$21*$J82)</f>
        <v>6.37592447336637</v>
      </c>
      <c r="AR82" s="45" t="n">
        <f aca="false">IF(AN82=0,0,AO82/AN82-1)</f>
        <v>-0.0488643150455043</v>
      </c>
      <c r="AS82" s="42" t="n">
        <f aca="false">Parameters!$E$9*IF($N82="V",Parameters!$I$9,IF($N82="F",Parameters!$J$9,Parameters!$K$9))*(1-Parameters!$L$9*$P82)*IF($D82="V1",Parameters!$M$9,IF($D82="V2",Parameters!$N$9,Parameters!$O$9))</f>
        <v>285</v>
      </c>
      <c r="AT82" s="42" t="n">
        <f aca="false">AS82*(1+INDEX(Response_Table!$I$4:$I$21,MATCH($F82&amp;"|mid",Response_Table!$A$4:$A$21,0))*$R82*INDEX(Parameters!$X$9:$AA$9,1,MATCH($E82,Parameters!$X$3:$AA$3,0)))</f>
        <v>294.668302660683</v>
      </c>
      <c r="AU82" s="42" t="n">
        <f aca="false">MAX(0,MIN(AS82*(1+INDEX(Response_Table!$I$4:$I$21,MATCH($F82&amp;"|low",Response_Table!$A$4:$A$21,0))*$R82*INDEX(Parameters!$X$9:$AA$9,1,MATCH($E82,Parameters!$X$3:$AA$3,0))),AS82*(1+INDEX(Response_Table!$I$4:$I$21,MATCH($F82&amp;"|high",Response_Table!$A$4:$A$21,0))*$R82*INDEX(Parameters!$X$9:$AA$9,1,MATCH($E82,Parameters!$X$3:$AA$3,0))))*(1-Inputs_General!$C$22*Parameters!$F$9))</f>
        <v>259.892110911067</v>
      </c>
      <c r="AV82" s="42" t="n">
        <f aca="false">MAX(AS82*(1+INDEX(Response_Table!$I$4:$I$21,MATCH($F82&amp;"|low",Response_Table!$A$4:$A$21,0))*$R82*INDEX(Parameters!$X$9:$AA$9,1,MATCH($E82,Parameters!$X$3:$AA$3,0))),AS82*(1+INDEX(Response_Table!$I$4:$I$21,MATCH($F82&amp;"|high",Response_Table!$A$4:$A$21,0))*$R82*INDEX(Parameters!$X$9:$AA$9,1,MATCH($E82,Parameters!$X$3:$AA$3,0))))*(1+Inputs_General!$C$22*Parameters!$F$9)</f>
        <v>330.15772459622</v>
      </c>
      <c r="AW82" s="45" t="n">
        <f aca="false">IF(AS82=0,0,AT82/AS82-1)</f>
        <v>0.0339238689848527</v>
      </c>
      <c r="AX82" s="43" t="n">
        <f aca="false">INDEX(Context!$AB$4:$AB$51,$K82)</f>
        <v>2.71011434138418</v>
      </c>
      <c r="AY82" s="43" t="n">
        <f aca="false">AX82*(1+INDEX(Response_Table!$J$4:$J$21,MATCH($F82&amp;"|mid",Response_Table!$A$4:$A$21,0))*$R82*INDEX(Parameters!$X$10:$AA$10,1,MATCH($E82,Parameters!$X$3:$AA$3,0)))</f>
        <v>2.62199380510245</v>
      </c>
      <c r="AZ82" s="43" t="n">
        <f aca="false">MAX(0,MIN(AX82*(1+INDEX(Response_Table!$J$4:$J$21,MATCH($F82&amp;"|low",Response_Table!$A$4:$A$21,0))*$R82*INDEX(Parameters!$X$10:$AA$10,1,MATCH($E82,Parameters!$X$3:$AA$3,0))),AX82*(1+INDEX(Response_Table!$J$4:$J$21,MATCH($F82&amp;"|high",Response_Table!$A$4:$A$21,0))*$R82*INDEX(Parameters!$X$10:$AA$10,1,MATCH($E82,Parameters!$X$3:$AA$3,0))))*(1-Inputs_General!$C$22*Parameters!$F$10))</f>
        <v>2.06012432899795</v>
      </c>
      <c r="BA82" s="43" t="n">
        <f aca="false">MAX(AX82*(1+INDEX(Response_Table!$J$4:$J$21,MATCH($F82&amp;"|low",Response_Table!$A$4:$A$21,0))*$R82*INDEX(Parameters!$X$10:$AA$10,1,MATCH($E82,Parameters!$X$3:$AA$3,0))),AX82*(1+INDEX(Response_Table!$J$4:$J$21,MATCH($F82&amp;"|high",Response_Table!$A$4:$A$21,0))*$R82*INDEX(Parameters!$X$10:$AA$10,1,MATCH($E82,Parameters!$X$3:$AA$3,0))))*(1+Inputs_General!$C$22*Parameters!$F$10)</f>
        <v>3.20903620132727</v>
      </c>
      <c r="BB82" s="45" t="n">
        <f aca="false">IF(AX82=0,0,AY82/AX82-1)</f>
        <v>-0.0325154311521513</v>
      </c>
      <c r="BC82" s="46" t="n">
        <f aca="false">Parameters!$E$11*IF($N82="V",Parameters!$I$11,IF($N82="F",Parameters!$J$11,Parameters!$K$11))*(1-Parameters!$L$11*$P82)*IF($D82="V1",Parameters!$M$11,IF($D82="V2",Parameters!$N$11,Parameters!$O$11))</f>
        <v>1.24825892857143</v>
      </c>
      <c r="BD82" s="46" t="n">
        <f aca="false">BC82*(1+INDEX(Response_Table!$K$4:$K$21,MATCH($F82&amp;"|mid",Response_Table!$A$4:$A$21,0))*$R82*INDEX(Parameters!$X$11:$AA$11,1,MATCH($E82,Parameters!$X$3:$AA$3,0)))</f>
        <v>1.17398953257335</v>
      </c>
      <c r="BE82" s="46" t="n">
        <f aca="false">MAX(0,MIN(BC82*(1+INDEX(Response_Table!$K$4:$K$21,MATCH($F82&amp;"|low",Response_Table!$A$4:$A$21,0))*$R82*INDEX(Parameters!$X$11:$AA$11,1,MATCH($E82,Parameters!$X$3:$AA$3,0))),BC82*(1+INDEX(Response_Table!$K$4:$K$21,MATCH($F82&amp;"|high",Response_Table!$A$4:$A$21,0))*$R82*INDEX(Parameters!$X$11:$AA$11,1,MATCH($E82,Parameters!$X$3:$AA$3,0))))*(1-Inputs_General!$C$22*Parameters!$F$11))</f>
        <v>0.942688872895517</v>
      </c>
      <c r="BF82" s="46" t="n">
        <f aca="false">MAX(BC82*(1+INDEX(Response_Table!$K$4:$K$21,MATCH($F82&amp;"|low",Response_Table!$A$4:$A$21,0))*$R82*INDEX(Parameters!$X$11:$AA$11,1,MATCH($E82,Parameters!$X$3:$AA$3,0))),BC82*(1+INDEX(Response_Table!$K$4:$K$21,MATCH($F82&amp;"|high",Response_Table!$A$4:$A$21,0))*$R82*INDEX(Parameters!$X$11:$AA$11,1,MATCH($E82,Parameters!$X$3:$AA$3,0))))*(1+Inputs_General!$C$22*Parameters!$F$11)</f>
        <v>1.42384133205301</v>
      </c>
      <c r="BG82" s="45" t="n">
        <f aca="false">IF(BC82=0,0,BD82/BC82-1)</f>
        <v>-0.0594983895553409</v>
      </c>
      <c r="BH82" s="46" t="n">
        <f aca="false">Parameters!$E$12*IF($N82="V",Parameters!$I$12,IF($N82="F",Parameters!$J$12,Parameters!$K$12))*(1-Parameters!$L$12*$P82)*IF($D82="V1",Parameters!$M$12,IF($D82="V2",Parameters!$N$12,Parameters!$O$12))</f>
        <v>0.449373214285714</v>
      </c>
      <c r="BI82" s="46" t="n">
        <f aca="false">BH82*(1+INDEX(Response_Table!$L$4:$L$21,MATCH($F82&amp;"|mid",Response_Table!$A$4:$A$21,0))*$R82*INDEX(Parameters!$X$12:$AA$12,1,MATCH($E82,Parameters!$X$3:$AA$3,0)))</f>
        <v>0.428100853327278</v>
      </c>
      <c r="BJ82" s="46" t="n">
        <f aca="false">MAX(0,MIN(BH82*(1+INDEX(Response_Table!$L$4:$L$21,MATCH($F82&amp;"|low",Response_Table!$A$4:$A$21,0))*$R82*INDEX(Parameters!$X$12:$AA$12,1,MATCH($E82,Parameters!$X$3:$AA$3,0))),BH82*(1+INDEX(Response_Table!$L$4:$L$21,MATCH($F82&amp;"|high",Response_Table!$A$4:$A$21,0))*$R82*INDEX(Parameters!$X$12:$AA$12,1,MATCH($E82,Parameters!$X$3:$AA$3,0))))*(1-Inputs_General!$C$22*Parameters!$F$12))</f>
        <v>0.333036026298859</v>
      </c>
      <c r="BK82" s="46" t="n">
        <f aca="false">MAX(BH82*(1+INDEX(Response_Table!$L$4:$L$21,MATCH($F82&amp;"|low",Response_Table!$A$4:$A$21,0))*$R82*INDEX(Parameters!$X$12:$AA$12,1,MATCH($E82,Parameters!$X$3:$AA$3,0))),BH82*(1+INDEX(Response_Table!$L$4:$L$21,MATCH($F82&amp;"|high",Response_Table!$A$4:$A$21,0))*$R82*INDEX(Parameters!$X$12:$AA$12,1,MATCH($E82,Parameters!$X$3:$AA$3,0))))*(1+Inputs_General!$C$22*Parameters!$F$12)</f>
        <v>0.52933302810847</v>
      </c>
      <c r="BL82" s="45" t="n">
        <f aca="false">IF(BH82=0,0,BI82/BH82-1)</f>
        <v>-0.0473378481008245</v>
      </c>
      <c r="BM82" s="46" t="n">
        <f aca="false">Parameters!$E$13*IF($N82="V",Parameters!$I$13,IF($N82="F",Parameters!$J$13,Parameters!$K$13))*(1-Parameters!$L$13*$P82)*IF($D82="V1",Parameters!$M$13,IF($D82="V2",Parameters!$N$13,Parameters!$O$13))</f>
        <v>0.299791071428571</v>
      </c>
      <c r="BN82" s="46" t="n">
        <f aca="false">BM82*(1+INDEX(Response_Table!$M$4:$M$21,MATCH($F82&amp;"|mid",Response_Table!$A$4:$A$21,0))*$R82*INDEX(Parameters!$X$13:$AA$13,1,MATCH($E82,Parameters!$X$3:$AA$3,0)))</f>
        <v>0.307581159007864</v>
      </c>
      <c r="BO82" s="46" t="n">
        <f aca="false">MAX(0,MIN(BM82*(1+INDEX(Response_Table!$M$4:$M$21,MATCH($F82&amp;"|low",Response_Table!$A$4:$A$21,0))*$R82*INDEX(Parameters!$X$13:$AA$13,1,MATCH($E82,Parameters!$X$3:$AA$3,0))),BM82*(1+INDEX(Response_Table!$M$4:$M$21,MATCH($F82&amp;"|high",Response_Table!$A$4:$A$21,0))*$R82*INDEX(Parameters!$X$13:$AA$13,1,MATCH($E82,Parameters!$X$3:$AA$3,0))))*(1-Inputs_General!$C$22*Parameters!$F$13))</f>
        <v>0.243685954463858</v>
      </c>
      <c r="BP82" s="46" t="n">
        <f aca="false">MAX(BM82*(1+INDEX(Response_Table!$M$4:$M$21,MATCH($F82&amp;"|low",Response_Table!$A$4:$A$21,0))*$R82*INDEX(Parameters!$X$13:$AA$13,1,MATCH($E82,Parameters!$X$3:$AA$3,0))),BM82*(1+INDEX(Response_Table!$M$4:$M$21,MATCH($F82&amp;"|high",Response_Table!$A$4:$A$21,0))*$R82*INDEX(Parameters!$X$13:$AA$13,1,MATCH($E82,Parameters!$X$3:$AA$3,0))))*(1+Inputs_General!$C$22*Parameters!$F$13)</f>
        <v>0.368561235003753</v>
      </c>
      <c r="BQ82" s="45" t="n">
        <f aca="false">IF(BM82=0,0,BN82/BM82-1)</f>
        <v>0.0259850553326055</v>
      </c>
      <c r="BR82" s="44" t="n">
        <f aca="false">Parameters!$E$14*IF($N82="V",Parameters!$I$14,IF($N82="F",Parameters!$J$14,Parameters!$K$14))*(1-Parameters!$L$14*$P82)*IF($D82="V1",Parameters!$M$14,IF($D82="V2",Parameters!$N$14,Parameters!$O$14))*INDEX(Context!$AC$4:$AC$51,$K82)</f>
        <v>15</v>
      </c>
      <c r="BS82" s="44" t="n">
        <f aca="false">BR82*(1+INDEX(Response_Table!$N$4:$N$21,MATCH($F82&amp;"|mid",Response_Table!$A$4:$A$21,0))*$R82*INDEX(Parameters!$X$14:$AA$14,1,MATCH($E82,Parameters!$X$3:$AA$3,0)))</f>
        <v>15.7746193325589</v>
      </c>
      <c r="BT82" s="44" t="n">
        <f aca="false">MAX(0,MIN(BR82*(1+INDEX(Response_Table!$N$4:$N$21,MATCH($F82&amp;"|low",Response_Table!$A$4:$A$21,0))*$R82*INDEX(Parameters!$X$14:$AA$14,1,MATCH($E82,Parameters!$X$3:$AA$3,0))),BR82*(1+INDEX(Response_Table!$N$4:$N$21,MATCH($F82&amp;"|high",Response_Table!$A$4:$A$21,0))*$R82*INDEX(Parameters!$X$14:$AA$14,1,MATCH($E82,Parameters!$X$3:$AA$3,0))))*(1-Inputs_General!$C$22*Parameters!$F$14))</f>
        <v>7.73222403531913</v>
      </c>
      <c r="BU82" s="44" t="n">
        <f aca="false">MAX(BR82*(1+INDEX(Response_Table!$N$4:$N$21,MATCH($F82&amp;"|low",Response_Table!$A$4:$A$21,0))*$R82*INDEX(Parameters!$X$14:$AA$14,1,MATCH($E82,Parameters!$X$3:$AA$3,0))),BR82*(1+INDEX(Response_Table!$N$4:$N$21,MATCH($F82&amp;"|high",Response_Table!$A$4:$A$21,0))*$R82*INDEX(Parameters!$X$14:$AA$14,1,MATCH($E82,Parameters!$X$3:$AA$3,0))))*(1+Inputs_General!$C$22*Parameters!$F$14)</f>
        <v>24.2747937348826</v>
      </c>
      <c r="BV82" s="45" t="n">
        <f aca="false">IF(BR82=0,0,BS82/BR82-1)</f>
        <v>0.051641288837263</v>
      </c>
      <c r="BW82" s="43" t="n">
        <f aca="false">Parameters!$E$15*IF($N82="V",Parameters!$I$15,IF($N82="F",Parameters!$J$15,Parameters!$K$15))*(1-Parameters!$L$15*$P82)*IF($D82="V1",Parameters!$M$15,IF($D82="V2",Parameters!$N$15,Parameters!$O$15))</f>
        <v>10.3855142857143</v>
      </c>
      <c r="BX82" s="43" t="n">
        <f aca="false">BW82*(1+INDEX(Response_Table!$O$4:$O$21,MATCH($F82&amp;"|mid",Response_Table!$A$4:$A$21,0))*$R82*INDEX(Parameters!$X$15:$AA$15,1,MATCH($E82,Parameters!$X$3:$AA$3,0)))</f>
        <v>10.2514339499763</v>
      </c>
      <c r="BY82" s="43" t="n">
        <f aca="false">MAX(0,MIN(BW82*(1+INDEX(Response_Table!$O$4:$O$21,MATCH($F82&amp;"|low",Response_Table!$A$4:$A$21,0))*$R82*INDEX(Parameters!$X$15:$AA$15,1,MATCH($E82,Parameters!$X$3:$AA$3,0))),BW82*(1+INDEX(Response_Table!$O$4:$O$21,MATCH($F82&amp;"|high",Response_Table!$A$4:$A$21,0))*$R82*INDEX(Parameters!$X$15:$AA$15,1,MATCH($E82,Parameters!$X$3:$AA$3,0))))*(1-Inputs_General!$C$22*Parameters!$F$15))</f>
        <v>8.16125526810017</v>
      </c>
      <c r="BZ82" s="43" t="n">
        <f aca="false">MAX(BW82*(1+INDEX(Response_Table!$O$4:$O$21,MATCH($F82&amp;"|low",Response_Table!$A$4:$A$21,0))*$R82*INDEX(Parameters!$X$15:$AA$15,1,MATCH($E82,Parameters!$X$3:$AA$3,0))),BW82*(1+INDEX(Response_Table!$O$4:$O$21,MATCH($F82&amp;"|high",Response_Table!$A$4:$A$21,0))*$R82*INDEX(Parameters!$X$15:$AA$15,1,MATCH($E82,Parameters!$X$3:$AA$3,0))))*(1+Inputs_General!$C$22*Parameters!$F$15)</f>
        <v>12.3804856116274</v>
      </c>
      <c r="CA82" s="45" t="n">
        <f aca="false">IF(BW82=0,0,BX82/BW82-1)</f>
        <v>-0.0129103222093158</v>
      </c>
      <c r="CB82" s="46" t="n">
        <f aca="false">BD82+BI82</f>
        <v>1.60209038590063</v>
      </c>
      <c r="CC82" s="43" t="n">
        <f aca="false">BD82/BI82</f>
        <v>2.74232000111397</v>
      </c>
      <c r="CD82" s="46" t="n">
        <f aca="false">BN82/CB82</f>
        <v>0.191987394540761</v>
      </c>
      <c r="CE82" s="43" t="n">
        <f aca="false">AE82/AO82</f>
        <v>3.64834225506401</v>
      </c>
      <c r="CF82" s="44" t="n">
        <f aca="false">AE82/AJ82</f>
        <v>44.2315736263854</v>
      </c>
      <c r="CG82" s="44" t="n">
        <f aca="false">INDEX(Context!$V$4:$V$51,$K82)</f>
        <v>25.5785714285714</v>
      </c>
      <c r="CH82" s="44" t="n">
        <f aca="false">INDEX(Context!$Y$4:$Y$51,$K82)</f>
        <v>23.620522619794</v>
      </c>
      <c r="CI82" s="44" t="n">
        <f aca="false">INDEX(Context!$Z$4:$Z$51,$K82)</f>
        <v>29.5785714285714</v>
      </c>
      <c r="CJ82" s="43" t="n">
        <f aca="false">INDEX(Context!$AA$4:$AA$51,$K82)</f>
        <v>0.201160714285714</v>
      </c>
      <c r="CK82" s="43" t="n">
        <f aca="false">MAX(0,MIN(1,1-(1-CJ82)*AO82/AN82))</f>
        <v>0.240195448813583</v>
      </c>
      <c r="CL82" s="44" t="n">
        <f aca="false">CH82+CK82*(CI82-CH82)</f>
        <v>25.0516188274715</v>
      </c>
      <c r="CM82" s="44" t="n">
        <f aca="false">CH82+MAX(0,MIN(1,1-(1-CJ82)*AQ82/AN82))*(CI82-CH82)</f>
        <v>23.620522619794</v>
      </c>
      <c r="CN82" s="44" t="n">
        <f aca="false">CH82+MAX(0,MIN(1,1-(1-CJ82)*AP82/AN82))*(CI82-CH82)</f>
        <v>26.5240546952188</v>
      </c>
      <c r="CO82" s="44" t="n">
        <f aca="false">CL82-CG82</f>
        <v>-0.5269526010999</v>
      </c>
      <c r="CP82" s="44" t="n">
        <f aca="false">CL82-(CH82+CJ82*(CI82-CH82))</f>
        <v>0.232570853554709</v>
      </c>
      <c r="CQ82" s="46" t="n">
        <f aca="false">CL82/CG82</f>
        <v>0.97939866960235</v>
      </c>
      <c r="CR82" s="43" t="n">
        <f aca="false">IF(CL82-CH82&lt;=0,"n/a",(CI82-CL82)/(CL82-CH82))</f>
        <v>3.16327621917644</v>
      </c>
      <c r="CS82" s="43" t="n">
        <f aca="false">IF(CI82-CL82&lt;=0,"n/a",(CL82-CH82)/(CI82-CL82))</f>
        <v>0.316127941637784</v>
      </c>
      <c r="CT82" s="43" t="n">
        <f aca="false">Inputs_General!$C$23+Inputs_General!$C$24*$I82</f>
        <v>0.66</v>
      </c>
      <c r="CU82" s="44" t="n">
        <f aca="false">3.29*CT82</f>
        <v>2.1714</v>
      </c>
    </row>
    <row r="83" customFormat="false" ht="15" hidden="false" customHeight="false" outlineLevel="0" collapsed="false">
      <c r="A83" s="9" t="str">
        <f aca="false">B83&amp;"|"&amp;E83&amp;"|"&amp;F83</f>
        <v>D2V1|24/02/2026|Low</v>
      </c>
      <c r="B83" s="7" t="s">
        <v>346</v>
      </c>
      <c r="C83" s="9" t="s">
        <v>129</v>
      </c>
      <c r="D83" s="9" t="s">
        <v>142</v>
      </c>
      <c r="E83" s="9" t="s">
        <v>160</v>
      </c>
      <c r="F83" s="7" t="s">
        <v>279</v>
      </c>
      <c r="G83" s="9" t="s">
        <v>280</v>
      </c>
      <c r="H83" s="41" t="n">
        <f aca="false">INDEX(Severity_Classes!$C$4:$C$9,MATCH(F83,Severity_Classes!$A$4:$A$9,0))</f>
        <v>0.06</v>
      </c>
      <c r="I83" s="41" t="n">
        <f aca="false">INDEX(Severity_Classes!$D$4:$D$9,MATCH(F83,Severity_Classes!$A$4:$A$9,0))</f>
        <v>0.08</v>
      </c>
      <c r="J83" s="41" t="n">
        <f aca="false">INDEX(Severity_Classes!$E$4:$E$9,MATCH(F83,Severity_Classes!$A$4:$A$9,0))</f>
        <v>0.1</v>
      </c>
      <c r="K83" s="42" t="n">
        <f aca="false">MATCH(B83&amp;"|"&amp;E83,Context!$A$4:$A$51,0)</f>
        <v>14</v>
      </c>
      <c r="L83" s="42" t="n">
        <f aca="false">INDEX(Context!$H$4:$H$51,K83)</f>
        <v>68</v>
      </c>
      <c r="M83" s="42" t="n">
        <f aca="false">INDEX(Context!$I$4:$I$51,K83)</f>
        <v>19</v>
      </c>
      <c r="N83" s="9" t="str">
        <f aca="false">INDEX(Context!$L$4:$L$51,K83)</f>
        <v>F</v>
      </c>
      <c r="O83" s="9" t="str">
        <f aca="false">INDEX(Context!$M$4:$M$51,K83)</f>
        <v>5th fully expanded leaf from top</v>
      </c>
      <c r="P83" s="43" t="n">
        <f aca="false">INDEX(Context!$R$4:$R$51,K83)</f>
        <v>0.0232142857142859</v>
      </c>
      <c r="Q83" s="43" t="n">
        <f aca="false">INDEX(Context!$U$4:$U$51,K83)</f>
        <v>1.19492600027053</v>
      </c>
      <c r="R83" s="43" t="n">
        <f aca="false">INDEX(Context!$AD$4:$AD$51,K83)</f>
        <v>1</v>
      </c>
      <c r="S83" s="9" t="str">
        <f aca="false">INDEX(Context!$AI$4:$AN$51,K83,MATCH(F83,Severity_Classes!$A$4:$A$9,0))</f>
        <v>Likely</v>
      </c>
      <c r="T83" s="44" t="n">
        <f aca="false">Parameters!$E$4*IF($N83="V",Parameters!$I$4,IF($N83="F",Parameters!$J$4,Parameters!$K$4))*(1-Parameters!$L$4*$P83)*IF($D83="V1",Parameters!$M$4,IF($D83="V2",Parameters!$N$4,Parameters!$O$4))</f>
        <v>85.0411767857143</v>
      </c>
      <c r="U83" s="44" t="n">
        <f aca="false">MIN(100,T83*(1+INDEX(Response_Table!$E$4:$E$21,MATCH($F83&amp;"|mid",Response_Table!$A$4:$A$21,0))*$R83*INDEX(Parameters!$X$4:$AA$4,1,MATCH($E83,Parameters!$X$3:$AA$3,0))))</f>
        <v>83.8575205195697</v>
      </c>
      <c r="V83" s="44" t="n">
        <f aca="false">MAX(0,MIN(T83*(1+INDEX(Response_Table!$E$4:$E$21,MATCH($F83&amp;"|low",Response_Table!$A$4:$A$21,0))*$R83*INDEX(Parameters!$X$4:$AA$4,1,MATCH($E83,Parameters!$X$3:$AA$3,0))),T83*(1+INDEX(Response_Table!$E$4:$E$21,MATCH($F83&amp;"|high",Response_Table!$A$4:$A$21,0))*$R83*INDEX(Parameters!$X$4:$AA$4,1,MATCH($E83,Parameters!$X$3:$AA$3,0))))*(1-Inputs_General!$C$22*Parameters!$F$4))</f>
        <v>77.9533522038771</v>
      </c>
      <c r="W83" s="44" t="n">
        <f aca="false">MIN(100,MAX(T83*(1+INDEX(Response_Table!$E$4:$E$21,MATCH($F83&amp;"|low",Response_Table!$A$4:$A$21,0))*$R83*INDEX(Parameters!$X$4:$AA$4,1,MATCH($E83,Parameters!$X$3:$AA$3,0))),T83*(1+INDEX(Response_Table!$E$4:$E$21,MATCH($F83&amp;"|high",Response_Table!$A$4:$A$21,0))*$R83*INDEX(Parameters!$X$4:$AA$4,1,MATCH($E83,Parameters!$X$3:$AA$3,0))))*(1+Inputs_General!$C$22*Parameters!$F$4))</f>
        <v>89.7605371785638</v>
      </c>
      <c r="X83" s="45" t="n">
        <f aca="false">IF(T83=0,0,U83/T83-1)</f>
        <v>-0.0139186251987928</v>
      </c>
      <c r="Y83" s="44" t="n">
        <f aca="false">Parameters!$E$5*IF($N83="V",Parameters!$I$5,IF($N83="F",Parameters!$J$5,Parameters!$K$5))*(1-Parameters!$L$5*$P83)*IF($D83="V1",Parameters!$M$5,IF($D83="V2",Parameters!$N$5,Parameters!$O$5))</f>
        <v>70.36344</v>
      </c>
      <c r="Z83" s="44" t="n">
        <f aca="false">MIN(100,Y83*(1+INDEX(Response_Table!$F$4:$F$21,MATCH($F83&amp;"|mid",Response_Table!$A$4:$A$21,0))*$R83*INDEX(Parameters!$X$5:$AA$5,1,MATCH($E83,Parameters!$X$3:$AA$3,0))))</f>
        <v>67.1303020217464</v>
      </c>
      <c r="AA83" s="44" t="n">
        <f aca="false">MAX(0,MIN(Y83*(1+INDEX(Response_Table!$F$4:$F$21,MATCH($F83&amp;"|low",Response_Table!$A$4:$A$21,0))*$R83*INDEX(Parameters!$X$5:$AA$5,1,MATCH($E83,Parameters!$X$3:$AA$3,0))),Y83*(1+INDEX(Response_Table!$F$4:$F$21,MATCH($F83&amp;"|high",Response_Table!$A$4:$A$21,0))*$R83*INDEX(Parameters!$X$5:$AA$5,1,MATCH($E83,Parameters!$X$3:$AA$3,0))))*(1-Inputs_General!$C$22*Parameters!$F$5))</f>
        <v>58.3531553964109</v>
      </c>
      <c r="AB83" s="44" t="n">
        <f aca="false">MIN(100,MAX(Y83*(1+INDEX(Response_Table!$F$4:$F$21,MATCH($F83&amp;"|low",Response_Table!$A$4:$A$21,0))*$R83*INDEX(Parameters!$X$5:$AA$5,1,MATCH($E83,Parameters!$X$3:$AA$3,0))),Y83*(1+INDEX(Response_Table!$F$4:$F$21,MATCH($F83&amp;"|high",Response_Table!$A$4:$A$21,0))*$R83*INDEX(Parameters!$X$5:$AA$5,1,MATCH($E83,Parameters!$X$3:$AA$3,0))))*(1+Inputs_General!$C$22*Parameters!$F$5))</f>
        <v>75.9937738910924</v>
      </c>
      <c r="AC83" s="45" t="n">
        <f aca="false">IF(Y83=0,0,Z83/Y83-1)</f>
        <v>-0.0459491175851214</v>
      </c>
      <c r="AD83" s="44" t="n">
        <f aca="false">Parameters!$E$6*IF($N83="V",Parameters!$I$6,IF($N83="F",Parameters!$J$6,Parameters!$K$6))*(1-Parameters!$L$6*$P83)*IF($D83="V1",Parameters!$M$6,IF($D83="V2",Parameters!$N$6,Parameters!$O$6))</f>
        <v>18.9470714285714</v>
      </c>
      <c r="AE83" s="44" t="n">
        <f aca="false">AD83*(1+INDEX(Response_Table!$G$4:$G$21,MATCH($F83&amp;"|mid",Response_Table!$A$4:$A$21,0))*$R83*INDEX(Parameters!$X$6:$AA$6,1,MATCH($E83,Parameters!$X$3:$AA$3,0)))</f>
        <v>14.730591886178</v>
      </c>
      <c r="AF83" s="44" t="n">
        <f aca="false">MAX(0,MIN(AD83*(1+INDEX(Response_Table!$G$4:$G$21,MATCH($F83&amp;"|low",Response_Table!$A$4:$A$21,0))*$R83*INDEX(Parameters!$X$6:$AA$6,1,MATCH($E83,Parameters!$X$3:$AA$3,0))),AD83*(1+INDEX(Response_Table!$G$4:$G$21,MATCH($F83&amp;"|high",Response_Table!$A$4:$A$21,0))*$R83*INDEX(Parameters!$X$6:$AA$6,1,MATCH($E83,Parameters!$X$3:$AA$3,0))))*(1-Inputs_General!$C$22*Parameters!$F$6))</f>
        <v>11.1470874038032</v>
      </c>
      <c r="AG83" s="44" t="n">
        <f aca="false">MAX(AD83*(1+INDEX(Response_Table!$G$4:$G$21,MATCH($F83&amp;"|low",Response_Table!$A$4:$A$21,0))*$R83*INDEX(Parameters!$X$6:$AA$6,1,MATCH($E83,Parameters!$X$3:$AA$3,0))),AD83*(1+INDEX(Response_Table!$G$4:$G$21,MATCH($F83&amp;"|high",Response_Table!$A$4:$A$21,0))*$R83*INDEX(Parameters!$X$6:$AA$6,1,MATCH($E83,Parameters!$X$3:$AA$3,0))))*(1+Inputs_General!$C$22*Parameters!$F$6)</f>
        <v>18.7391962356118</v>
      </c>
      <c r="AH83" s="45" t="n">
        <f aca="false">IF(AD83=0,0,AE83/AD83-1)</f>
        <v>-0.222539908517744</v>
      </c>
      <c r="AI83" s="46" t="n">
        <f aca="false">Parameters!$E$7*IF($N83="V",Parameters!$I$7,IF($N83="F",Parameters!$J$7,Parameters!$K$7))*(1-Parameters!$L$7*$P83)*IF($D83="V1",Parameters!$M$7,IF($D83="V2",Parameters!$N$7,Parameters!$O$7))*POWER($Q83/Inputs_General!$C$26,-Inputs_General!$C$25)</f>
        <v>0.411663164578586</v>
      </c>
      <c r="AJ83" s="46" t="n">
        <f aca="false">AI83*(1+INDEX(Response_Table!$H$4:$H$21,MATCH($F83&amp;"|mid",Response_Table!$A$4:$A$21,0))*$R83*INDEX(Parameters!$X$7:$AA$7,1,MATCH($E83,Parameters!$X$3:$AA$3,0)))</f>
        <v>0.354568822113528</v>
      </c>
      <c r="AK83" s="46" t="n">
        <f aca="false">MAX(0,MIN(AI83*(1+INDEX(Response_Table!$H$4:$H$21,MATCH($F83&amp;"|low",Response_Table!$A$4:$A$21,0))*$R83*INDEX(Parameters!$X$7:$AA$7,1,MATCH($E83,Parameters!$X$3:$AA$3,0))),AI83*(1+INDEX(Response_Table!$H$4:$H$21,MATCH($F83&amp;"|high",Response_Table!$A$4:$A$21,0))*$R83*INDEX(Parameters!$X$7:$AA$7,1,MATCH($E83,Parameters!$X$3:$AA$3,0))))*(1-Inputs_General!$C$22*Parameters!$F$7))</f>
        <v>0.240952734101228</v>
      </c>
      <c r="AL83" s="46" t="n">
        <f aca="false">MAX(AI83*(1+INDEX(Response_Table!$H$4:$H$21,MATCH($F83&amp;"|low",Response_Table!$A$4:$A$21,0))*$R83*INDEX(Parameters!$X$7:$AA$7,1,MATCH($E83,Parameters!$X$3:$AA$3,0))),AI83*(1+INDEX(Response_Table!$H$4:$H$21,MATCH($F83&amp;"|high",Response_Table!$A$4:$A$21,0))*$R83*INDEX(Parameters!$X$7:$AA$7,1,MATCH($E83,Parameters!$X$3:$AA$3,0))))*(1+Inputs_General!$C$22*Parameters!$F$7)</f>
        <v>0.476426391807172</v>
      </c>
      <c r="AM83" s="45" t="n">
        <f aca="false">IF(AI83=0,0,AJ83/AI83-1)</f>
        <v>-0.13869189030674</v>
      </c>
      <c r="AN83" s="43" t="n">
        <f aca="false">AI83*$Q83/Inputs_General!$C$13*1000</f>
        <v>4.95374641196979</v>
      </c>
      <c r="AO83" s="43" t="n">
        <f aca="false">AJ83*$Q83/Inputs_General!$C$13*1000*(1+Inputs_General!$C$21*$I83)</f>
        <v>4.35203599715333</v>
      </c>
      <c r="AP83" s="43" t="n">
        <f aca="false">AK83*$Q83/Inputs_General!$C$13*1000*(1+Inputs_General!$C$21*$H83)</f>
        <v>2.94299594275968</v>
      </c>
      <c r="AQ83" s="43" t="n">
        <f aca="false">AL83*$Q83/Inputs_General!$C$13*1000*(1+Inputs_General!$C$21*$J83)</f>
        <v>5.87640120700001</v>
      </c>
      <c r="AR83" s="45" t="n">
        <f aca="false">IF(AN83=0,0,AO83/AN83-1)</f>
        <v>-0.121465728112875</v>
      </c>
      <c r="AS83" s="42" t="n">
        <f aca="false">Parameters!$E$9*IF($N83="V",Parameters!$I$9,IF($N83="F",Parameters!$J$9,Parameters!$K$9))*(1-Parameters!$L$9*$P83)*IF($D83="V1",Parameters!$M$9,IF($D83="V2",Parameters!$N$9,Parameters!$O$9))</f>
        <v>285</v>
      </c>
      <c r="AT83" s="42" t="n">
        <f aca="false">AS83*(1+INDEX(Response_Table!$I$4:$I$21,MATCH($F83&amp;"|mid",Response_Table!$A$4:$A$21,0))*$R83*INDEX(Parameters!$X$9:$AA$9,1,MATCH($E83,Parameters!$X$3:$AA$3,0)))</f>
        <v>308.414257330199</v>
      </c>
      <c r="AU83" s="42" t="n">
        <f aca="false">MAX(0,MIN(AS83*(1+INDEX(Response_Table!$I$4:$I$21,MATCH($F83&amp;"|low",Response_Table!$A$4:$A$21,0))*$R83*INDEX(Parameters!$X$9:$AA$9,1,MATCH($E83,Parameters!$X$3:$AA$3,0))),AS83*(1+INDEX(Response_Table!$I$4:$I$21,MATCH($F83&amp;"|high",Response_Table!$A$4:$A$21,0))*$R83*INDEX(Parameters!$X$9:$AA$9,1,MATCH($E83,Parameters!$X$3:$AA$3,0))))*(1-Inputs_General!$C$22*Parameters!$F$9))</f>
        <v>273.313202404171</v>
      </c>
      <c r="AV83" s="42" t="n">
        <f aca="false">MAX(AS83*(1+INDEX(Response_Table!$I$4:$I$21,MATCH($F83&amp;"|low",Response_Table!$A$4:$A$21,0))*$R83*INDEX(Parameters!$X$9:$AA$9,1,MATCH($E83,Parameters!$X$3:$AA$3,0))),AS83*(1+INDEX(Response_Table!$I$4:$I$21,MATCH($F83&amp;"|high",Response_Table!$A$4:$A$21,0))*$R83*INDEX(Parameters!$X$9:$AA$9,1,MATCH($E83,Parameters!$X$3:$AA$3,0))))*(1+Inputs_General!$C$22*Parameters!$F$9)</f>
        <v>344.099255743465</v>
      </c>
      <c r="AW83" s="45" t="n">
        <f aca="false">IF(AS83=0,0,AT83/AS83-1)</f>
        <v>0.0821552888778927</v>
      </c>
      <c r="AX83" s="43" t="n">
        <f aca="false">INDEX(Context!$AB$4:$AB$51,$K83)</f>
        <v>2.71011434138418</v>
      </c>
      <c r="AY83" s="43" t="n">
        <f aca="false">AX83*(1+INDEX(Response_Table!$J$4:$J$21,MATCH($F83&amp;"|mid",Response_Table!$A$4:$A$21,0))*$R83*INDEX(Parameters!$X$10:$AA$10,1,MATCH($E83,Parameters!$X$3:$AA$3,0)))</f>
        <v>2.48904716780331</v>
      </c>
      <c r="AZ83" s="43" t="n">
        <f aca="false">MAX(0,MIN(AX83*(1+INDEX(Response_Table!$J$4:$J$21,MATCH($F83&amp;"|low",Response_Table!$A$4:$A$21,0))*$R83*INDEX(Parameters!$X$10:$AA$10,1,MATCH($E83,Parameters!$X$3:$AA$3,0))),AX83*(1+INDEX(Response_Table!$J$4:$J$21,MATCH($F83&amp;"|high",Response_Table!$A$4:$A$21,0))*$R83*INDEX(Parameters!$X$10:$AA$10,1,MATCH($E83,Parameters!$X$3:$AA$3,0))))*(1-Inputs_General!$C$22*Parameters!$F$10))</f>
        <v>1.95862532320952</v>
      </c>
      <c r="BA83" s="43" t="n">
        <f aca="false">MAX(AX83*(1+INDEX(Response_Table!$J$4:$J$21,MATCH($F83&amp;"|low",Response_Table!$A$4:$A$21,0))*$R83*INDEX(Parameters!$X$10:$AA$10,1,MATCH($E83,Parameters!$X$3:$AA$3,0))),AX83*(1+INDEX(Response_Table!$J$4:$J$21,MATCH($F83&amp;"|high",Response_Table!$A$4:$A$21,0))*$R83*INDEX(Parameters!$X$10:$AA$10,1,MATCH($E83,Parameters!$X$3:$AA$3,0))))*(1+Inputs_General!$C$22*Parameters!$F$10)</f>
        <v>3.0416840364323</v>
      </c>
      <c r="BB83" s="45" t="n">
        <f aca="false">IF(AX83=0,0,AY83/AX83-1)</f>
        <v>-0.0815711611149081</v>
      </c>
      <c r="BC83" s="46" t="n">
        <f aca="false">Parameters!$E$11*IF($N83="V",Parameters!$I$11,IF($N83="F",Parameters!$J$11,Parameters!$K$11))*(1-Parameters!$L$11*$P83)*IF($D83="V1",Parameters!$M$11,IF($D83="V2",Parameters!$N$11,Parameters!$O$11))</f>
        <v>1.24825892857143</v>
      </c>
      <c r="BD83" s="46" t="n">
        <f aca="false">BC83*(1+INDEX(Response_Table!$K$4:$K$21,MATCH($F83&amp;"|mid",Response_Table!$A$4:$A$21,0))*$R83*INDEX(Parameters!$X$11:$AA$11,1,MATCH($E83,Parameters!$X$3:$AA$3,0)))</f>
        <v>1.06500488094241</v>
      </c>
      <c r="BE83" s="46" t="n">
        <f aca="false">MAX(0,MIN(BC83*(1+INDEX(Response_Table!$K$4:$K$21,MATCH($F83&amp;"|low",Response_Table!$A$4:$A$21,0))*$R83*INDEX(Parameters!$X$11:$AA$11,1,MATCH($E83,Parameters!$X$3:$AA$3,0))),BC83*(1+INDEX(Response_Table!$K$4:$K$21,MATCH($F83&amp;"|high",Response_Table!$A$4:$A$21,0))*$R83*INDEX(Parameters!$X$11:$AA$11,1,MATCH($E83,Parameters!$X$3:$AA$3,0))))*(1-Inputs_General!$C$22*Parameters!$F$11))</f>
        <v>0.857277255156348</v>
      </c>
      <c r="BF83" s="46" t="n">
        <f aca="false">MAX(BC83*(1+INDEX(Response_Table!$K$4:$K$21,MATCH($F83&amp;"|low",Response_Table!$A$4:$A$21,0))*$R83*INDEX(Parameters!$X$11:$AA$11,1,MATCH($E83,Parameters!$X$3:$AA$3,0))),BC83*(1+INDEX(Response_Table!$K$4:$K$21,MATCH($F83&amp;"|high",Response_Table!$A$4:$A$21,0))*$R83*INDEX(Parameters!$X$11:$AA$11,1,MATCH($E83,Parameters!$X$3:$AA$3,0))))*(1+Inputs_General!$C$22*Parameters!$F$11)</f>
        <v>1.28854074528884</v>
      </c>
      <c r="BG83" s="45" t="n">
        <f aca="false">IF(BC83=0,0,BD83/BC83-1)</f>
        <v>-0.146807720285039</v>
      </c>
      <c r="BH83" s="46" t="n">
        <f aca="false">Parameters!$E$12*IF($N83="V",Parameters!$I$12,IF($N83="F",Parameters!$J$12,Parameters!$K$12))*(1-Parameters!$L$12*$P83)*IF($D83="V1",Parameters!$M$12,IF($D83="V2",Parameters!$N$12,Parameters!$O$12))</f>
        <v>0.449373214285714</v>
      </c>
      <c r="BI83" s="46" t="n">
        <f aca="false">BH83*(1+INDEX(Response_Table!$L$4:$L$21,MATCH($F83&amp;"|mid",Response_Table!$A$4:$A$21,0))*$R83*INDEX(Parameters!$X$12:$AA$12,1,MATCH($E83,Parameters!$X$3:$AA$3,0)))</f>
        <v>0.396637166134367</v>
      </c>
      <c r="BJ83" s="46" t="n">
        <f aca="false">MAX(0,MIN(BH83*(1+INDEX(Response_Table!$L$4:$L$21,MATCH($F83&amp;"|low",Response_Table!$A$4:$A$21,0))*$R83*INDEX(Parameters!$X$12:$AA$12,1,MATCH($E83,Parameters!$X$3:$AA$3,0))),BH83*(1+INDEX(Response_Table!$L$4:$L$21,MATCH($F83&amp;"|high",Response_Table!$A$4:$A$21,0))*$R83*INDEX(Parameters!$X$12:$AA$12,1,MATCH($E83,Parameters!$X$3:$AA$3,0))))*(1-Inputs_General!$C$22*Parameters!$F$12))</f>
        <v>0.309253876943397</v>
      </c>
      <c r="BK83" s="46" t="n">
        <f aca="false">MAX(BH83*(1+INDEX(Response_Table!$L$4:$L$21,MATCH($F83&amp;"|low",Response_Table!$A$4:$A$21,0))*$R83*INDEX(Parameters!$X$12:$AA$12,1,MATCH($E83,Parameters!$X$3:$AA$3,0))),BH83*(1+INDEX(Response_Table!$L$4:$L$21,MATCH($F83&amp;"|high",Response_Table!$A$4:$A$21,0))*$R83*INDEX(Parameters!$X$12:$AA$12,1,MATCH($E83,Parameters!$X$3:$AA$3,0))))*(1+Inputs_General!$C$22*Parameters!$F$12)</f>
        <v>0.489328740729536</v>
      </c>
      <c r="BL83" s="45" t="n">
        <f aca="false">IF(BH83=0,0,BI83/BH83-1)</f>
        <v>-0.117354676413396</v>
      </c>
      <c r="BM83" s="46" t="n">
        <f aca="false">Parameters!$E$13*IF($N83="V",Parameters!$I$13,IF($N83="F",Parameters!$J$13,Parameters!$K$13))*(1-Parameters!$L$13*$P83)*IF($D83="V1",Parameters!$M$13,IF($D83="V2",Parameters!$N$13,Parameters!$O$13))</f>
        <v>0.299791071428571</v>
      </c>
      <c r="BN83" s="46" t="n">
        <f aca="false">BM83*(1+INDEX(Response_Table!$M$4:$M$21,MATCH($F83&amp;"|mid",Response_Table!$A$4:$A$21,0))*$R83*INDEX(Parameters!$X$13:$AA$13,1,MATCH($E83,Parameters!$X$3:$AA$3,0)))</f>
        <v>0.303497497892198</v>
      </c>
      <c r="BO83" s="46" t="n">
        <f aca="false">MAX(0,MIN(BM83*(1+INDEX(Response_Table!$M$4:$M$21,MATCH($F83&amp;"|low",Response_Table!$A$4:$A$21,0))*$R83*INDEX(Parameters!$X$13:$AA$13,1,MATCH($E83,Parameters!$X$3:$AA$3,0))),BM83*(1+INDEX(Response_Table!$M$4:$M$21,MATCH($F83&amp;"|high",Response_Table!$A$4:$A$21,0))*$R83*INDEX(Parameters!$X$13:$AA$13,1,MATCH($E83,Parameters!$X$3:$AA$3,0))))*(1-Inputs_General!$C$22*Parameters!$F$13))</f>
        <v>0.23972861426147</v>
      </c>
      <c r="BP83" s="46" t="n">
        <f aca="false">MAX(BM83*(1+INDEX(Response_Table!$M$4:$M$21,MATCH($F83&amp;"|low",Response_Table!$A$4:$A$21,0))*$R83*INDEX(Parameters!$X$13:$AA$13,1,MATCH($E83,Parameters!$X$3:$AA$3,0))),BM83*(1+INDEX(Response_Table!$M$4:$M$21,MATCH($F83&amp;"|high",Response_Table!$A$4:$A$21,0))*$R83*INDEX(Parameters!$X$13:$AA$13,1,MATCH($E83,Parameters!$X$3:$AA$3,0))))*(1+Inputs_General!$C$22*Parameters!$F$13)</f>
        <v>0.36744782270714</v>
      </c>
      <c r="BQ83" s="45" t="n">
        <f aca="false">IF(BM83=0,0,BN83/BM83-1)</f>
        <v>0.012363365079435</v>
      </c>
      <c r="BR83" s="44" t="n">
        <f aca="false">Parameters!$E$14*IF($N83="V",Parameters!$I$14,IF($N83="F",Parameters!$J$14,Parameters!$K$14))*(1-Parameters!$L$14*$P83)*IF($D83="V1",Parameters!$M$14,IF($D83="V2",Parameters!$N$14,Parameters!$O$14))*INDEX(Context!$AC$4:$AC$51,$K83)</f>
        <v>15</v>
      </c>
      <c r="BS83" s="44" t="n">
        <f aca="false">BR83*(1+INDEX(Response_Table!$N$4:$N$21,MATCH($F83&amp;"|mid",Response_Table!$A$4:$A$21,0))*$R83*INDEX(Parameters!$X$14:$AA$14,1,MATCH($E83,Parameters!$X$3:$AA$3,0)))</f>
        <v>16.920349250401</v>
      </c>
      <c r="BT83" s="44" t="n">
        <f aca="false">MAX(0,MIN(BR83*(1+INDEX(Response_Table!$N$4:$N$21,MATCH($F83&amp;"|low",Response_Table!$A$4:$A$21,0))*$R83*INDEX(Parameters!$X$14:$AA$14,1,MATCH($E83,Parameters!$X$3:$AA$3,0))),BR83*(1+INDEX(Response_Table!$N$4:$N$21,MATCH($F83&amp;"|high",Response_Table!$A$4:$A$21,0))*$R83*INDEX(Parameters!$X$14:$AA$14,1,MATCH($E83,Parameters!$X$3:$AA$3,0))))*(1-Inputs_General!$C$22*Parameters!$F$14))</f>
        <v>8.34842074128172</v>
      </c>
      <c r="BU83" s="44" t="n">
        <f aca="false">MAX(BR83*(1+INDEX(Response_Table!$N$4:$N$21,MATCH($F83&amp;"|low",Response_Table!$A$4:$A$21,0))*$R83*INDEX(Parameters!$X$14:$AA$14,1,MATCH($E83,Parameters!$X$3:$AA$3,0))),BR83*(1+INDEX(Response_Table!$N$4:$N$21,MATCH($F83&amp;"|high",Response_Table!$A$4:$A$21,0))*$R83*INDEX(Parameters!$X$14:$AA$14,1,MATCH($E83,Parameters!$X$3:$AA$3,0))))*(1+Inputs_General!$C$22*Parameters!$F$14)</f>
        <v>25.8862918867067</v>
      </c>
      <c r="BV83" s="45" t="n">
        <f aca="false">IF(BR83=0,0,BS83/BR83-1)</f>
        <v>0.128023283360068</v>
      </c>
      <c r="BW83" s="43" t="n">
        <f aca="false">Parameters!$E$15*IF($N83="V",Parameters!$I$15,IF($N83="F",Parameters!$J$15,Parameters!$K$15))*(1-Parameters!$L$15*$P83)*IF($D83="V1",Parameters!$M$15,IF($D83="V2",Parameters!$N$15,Parameters!$O$15))</f>
        <v>10.3855142857143</v>
      </c>
      <c r="BX83" s="43" t="n">
        <f aca="false">BW83*(1+INDEX(Response_Table!$O$4:$O$21,MATCH($F83&amp;"|mid",Response_Table!$A$4:$A$21,0))*$R83*INDEX(Parameters!$X$15:$AA$15,1,MATCH($E83,Parameters!$X$3:$AA$3,0)))</f>
        <v>10.0531173761543</v>
      </c>
      <c r="BY83" s="43" t="n">
        <f aca="false">MAX(0,MIN(BW83*(1+INDEX(Response_Table!$O$4:$O$21,MATCH($F83&amp;"|low",Response_Table!$A$4:$A$21,0))*$R83*INDEX(Parameters!$X$15:$AA$15,1,MATCH($E83,Parameters!$X$3:$AA$3,0))),BW83*(1+INDEX(Response_Table!$O$4:$O$21,MATCH($F83&amp;"|high",Response_Table!$A$4:$A$21,0))*$R83*INDEX(Parameters!$X$15:$AA$15,1,MATCH($E83,Parameters!$X$3:$AA$3,0))))*(1-Inputs_General!$C$22*Parameters!$F$15))</f>
        <v>8.0113556600415</v>
      </c>
      <c r="BZ83" s="43" t="n">
        <f aca="false">MAX(BW83*(1+INDEX(Response_Table!$O$4:$O$21,MATCH($F83&amp;"|low",Response_Table!$A$4:$A$21,0))*$R83*INDEX(Parameters!$X$15:$AA$15,1,MATCH($E83,Parameters!$X$3:$AA$3,0))),BW83*(1+INDEX(Response_Table!$O$4:$O$21,MATCH($F83&amp;"|high",Response_Table!$A$4:$A$21,0))*$R83*INDEX(Parameters!$X$15:$AA$15,1,MATCH($E83,Parameters!$X$3:$AA$3,0))))*(1+Inputs_General!$C$22*Parameters!$F$15)</f>
        <v>12.1283373760269</v>
      </c>
      <c r="CA83" s="45" t="n">
        <f aca="false">IF(BW83=0,0,BX83/BW83-1)</f>
        <v>-0.032005820840017</v>
      </c>
      <c r="CB83" s="46" t="n">
        <f aca="false">BD83+BI83</f>
        <v>1.46164204707678</v>
      </c>
      <c r="CC83" s="43" t="n">
        <f aca="false">BD83/BI83</f>
        <v>2.68508594724486</v>
      </c>
      <c r="CD83" s="46" t="n">
        <f aca="false">BN83/CB83</f>
        <v>0.207641466321511</v>
      </c>
      <c r="CE83" s="43" t="n">
        <f aca="false">AE83/AO83</f>
        <v>3.3847587418425</v>
      </c>
      <c r="CF83" s="44" t="n">
        <f aca="false">AE83/AJ83</f>
        <v>41.5450850934137</v>
      </c>
      <c r="CG83" s="44" t="n">
        <f aca="false">INDEX(Context!$V$4:$V$51,$K83)</f>
        <v>25.5785714285714</v>
      </c>
      <c r="CH83" s="44" t="n">
        <f aca="false">INDEX(Context!$Y$4:$Y$51,$K83)</f>
        <v>23.620522619794</v>
      </c>
      <c r="CI83" s="44" t="n">
        <f aca="false">INDEX(Context!$Z$4:$Z$51,$K83)</f>
        <v>29.5785714285714</v>
      </c>
      <c r="CJ83" s="43" t="n">
        <f aca="false">INDEX(Context!$AA$4:$AA$51,$K83)</f>
        <v>0.201160714285714</v>
      </c>
      <c r="CK83" s="43" t="n">
        <f aca="false">MAX(0,MIN(1,1-(1-CJ83)*AO83/AN83))</f>
        <v>0.298192309770169</v>
      </c>
      <c r="CL83" s="44" t="n">
        <f aca="false">CH83+CK83*(CI83-CH83)</f>
        <v>25.3971669558068</v>
      </c>
      <c r="CM83" s="44" t="n">
        <f aca="false">CH83+MAX(0,MIN(1,1-(1-CJ83)*AQ83/AN83))*(CI83-CH83)</f>
        <v>23.9325679702402</v>
      </c>
      <c r="CN83" s="44" t="n">
        <f aca="false">CH83+MAX(0,MIN(1,1-(1-CJ83)*AP83/AN83))*(CI83-CH83)</f>
        <v>26.7509623723888</v>
      </c>
      <c r="CO83" s="44" t="n">
        <f aca="false">CL83-CG83</f>
        <v>-0.18140447276468</v>
      </c>
      <c r="CP83" s="44" t="n">
        <f aca="false">CL83-(CH83+CJ83*(CI83-CH83))</f>
        <v>0.578118981889929</v>
      </c>
      <c r="CQ83" s="46" t="n">
        <f aca="false">CL83/CG83</f>
        <v>0.992907951357985</v>
      </c>
      <c r="CR83" s="43" t="n">
        <f aca="false">IF(CL83-CH83&lt;=0,"n/a",(CI83-CL83)/(CL83-CH83))</f>
        <v>2.35354054157449</v>
      </c>
      <c r="CS83" s="43" t="n">
        <f aca="false">IF(CI83-CL83&lt;=0,"n/a",(CL83-CH83)/(CI83-CL83))</f>
        <v>0.424891767248255</v>
      </c>
      <c r="CT83" s="43" t="n">
        <f aca="false">Inputs_General!$C$23+Inputs_General!$C$24*$I83</f>
        <v>0.76</v>
      </c>
      <c r="CU83" s="44" t="n">
        <f aca="false">3.29*CT83</f>
        <v>2.5004</v>
      </c>
    </row>
    <row r="84" customFormat="false" ht="15" hidden="false" customHeight="false" outlineLevel="0" collapsed="false">
      <c r="A84" s="9" t="str">
        <f aca="false">B84&amp;"|"&amp;E84&amp;"|"&amp;F84</f>
        <v>D2V1|24/02/2026|Moderate</v>
      </c>
      <c r="B84" s="7" t="s">
        <v>346</v>
      </c>
      <c r="C84" s="9" t="s">
        <v>129</v>
      </c>
      <c r="D84" s="9" t="s">
        <v>142</v>
      </c>
      <c r="E84" s="9" t="s">
        <v>160</v>
      </c>
      <c r="F84" s="7" t="s">
        <v>281</v>
      </c>
      <c r="G84" s="9" t="s">
        <v>282</v>
      </c>
      <c r="H84" s="41" t="n">
        <f aca="false">INDEX(Severity_Classes!$C$4:$C$9,MATCH(F84,Severity_Classes!$A$4:$A$9,0))</f>
        <v>0.11</v>
      </c>
      <c r="I84" s="41" t="n">
        <f aca="false">INDEX(Severity_Classes!$D$4:$D$9,MATCH(F84,Severity_Classes!$A$4:$A$9,0))</f>
        <v>0.18</v>
      </c>
      <c r="J84" s="41" t="n">
        <f aca="false">INDEX(Severity_Classes!$E$4:$E$9,MATCH(F84,Severity_Classes!$A$4:$A$9,0))</f>
        <v>0.25</v>
      </c>
      <c r="K84" s="42" t="n">
        <f aca="false">MATCH(B84&amp;"|"&amp;E84,Context!$A$4:$A$51,0)</f>
        <v>14</v>
      </c>
      <c r="L84" s="42" t="n">
        <f aca="false">INDEX(Context!$H$4:$H$51,K84)</f>
        <v>68</v>
      </c>
      <c r="M84" s="42" t="n">
        <f aca="false">INDEX(Context!$I$4:$I$51,K84)</f>
        <v>19</v>
      </c>
      <c r="N84" s="9" t="str">
        <f aca="false">INDEX(Context!$L$4:$L$51,K84)</f>
        <v>F</v>
      </c>
      <c r="O84" s="9" t="str">
        <f aca="false">INDEX(Context!$M$4:$M$51,K84)</f>
        <v>5th fully expanded leaf from top</v>
      </c>
      <c r="P84" s="43" t="n">
        <f aca="false">INDEX(Context!$R$4:$R$51,K84)</f>
        <v>0.0232142857142859</v>
      </c>
      <c r="Q84" s="43" t="n">
        <f aca="false">INDEX(Context!$U$4:$U$51,K84)</f>
        <v>1.19492600027053</v>
      </c>
      <c r="R84" s="43" t="n">
        <f aca="false">INDEX(Context!$AD$4:$AD$51,K84)</f>
        <v>1</v>
      </c>
      <c r="S84" s="9" t="str">
        <f aca="false">INDEX(Context!$AI$4:$AN$51,K84,MATCH(F84,Severity_Classes!$A$4:$A$9,0))</f>
        <v>Likely</v>
      </c>
      <c r="T84" s="44" t="n">
        <f aca="false">Parameters!$E$4*IF($N84="V",Parameters!$I$4,IF($N84="F",Parameters!$J$4,Parameters!$K$4))*(1-Parameters!$L$4*$P84)*IF($D84="V1",Parameters!$M$4,IF($D84="V2",Parameters!$N$4,Parameters!$O$4))</f>
        <v>85.0411767857143</v>
      </c>
      <c r="U84" s="44" t="n">
        <f aca="false">MIN(100,T84*(1+INDEX(Response_Table!$E$4:$E$21,MATCH($F84&amp;"|mid",Response_Table!$A$4:$A$21,0))*$R84*INDEX(Parameters!$X$4:$AA$4,1,MATCH($E84,Parameters!$X$3:$AA$3,0))))</f>
        <v>81.172659893036</v>
      </c>
      <c r="V84" s="44" t="n">
        <f aca="false">MAX(0,MIN(T84*(1+INDEX(Response_Table!$E$4:$E$21,MATCH($F84&amp;"|low",Response_Table!$A$4:$A$21,0))*$R84*INDEX(Parameters!$X$4:$AA$4,1,MATCH($E84,Parameters!$X$3:$AA$3,0))),T84*(1+INDEX(Response_Table!$E$4:$E$21,MATCH($F84&amp;"|high",Response_Table!$A$4:$A$21,0))*$R84*INDEX(Parameters!$X$4:$AA$4,1,MATCH($E84,Parameters!$X$3:$AA$3,0))))*(1-Inputs_General!$C$22*Parameters!$F$4))</f>
        <v>73.1243042236388</v>
      </c>
      <c r="W84" s="44" t="n">
        <f aca="false">MIN(100,MAX(T84*(1+INDEX(Response_Table!$E$4:$E$21,MATCH($F84&amp;"|low",Response_Table!$A$4:$A$21,0))*$R84*INDEX(Parameters!$X$4:$AA$4,1,MATCH($E84,Parameters!$X$3:$AA$3,0))),T84*(1+INDEX(Response_Table!$E$4:$E$21,MATCH($F84&amp;"|high",Response_Table!$A$4:$A$21,0))*$R84*INDEX(Parameters!$X$4:$AA$4,1,MATCH($E84,Parameters!$X$3:$AA$3,0))))*(1+Inputs_General!$C$22*Parameters!$F$4))</f>
        <v>88.6916462072468</v>
      </c>
      <c r="X84" s="45" t="n">
        <f aca="false">IF(T84=0,0,U84/T84-1)</f>
        <v>-0.0454899266319667</v>
      </c>
      <c r="Y84" s="44" t="n">
        <f aca="false">Parameters!$E$5*IF($N84="V",Parameters!$I$5,IF($N84="F",Parameters!$J$5,Parameters!$K$5))*(1-Parameters!$L$5*$P84)*IF($D84="V1",Parameters!$M$5,IF($D84="V2",Parameters!$N$5,Parameters!$O$5))</f>
        <v>70.36344</v>
      </c>
      <c r="Z84" s="44" t="n">
        <f aca="false">MIN(100,Y84*(1+INDEX(Response_Table!$F$4:$F$21,MATCH($F84&amp;"|mid",Response_Table!$A$4:$A$21,0))*$R84*INDEX(Parameters!$X$5:$AA$5,1,MATCH($E84,Parameters!$X$3:$AA$3,0))))</f>
        <v>59.3065295735448</v>
      </c>
      <c r="AA84" s="44" t="n">
        <f aca="false">MAX(0,MIN(Y84*(1+INDEX(Response_Table!$F$4:$F$21,MATCH($F84&amp;"|low",Response_Table!$A$4:$A$21,0))*$R84*INDEX(Parameters!$X$5:$AA$5,1,MATCH($E84,Parameters!$X$3:$AA$3,0))),Y84*(1+INDEX(Response_Table!$F$4:$F$21,MATCH($F84&amp;"|high",Response_Table!$A$4:$A$21,0))*$R84*INDEX(Parameters!$X$5:$AA$5,1,MATCH($E84,Parameters!$X$3:$AA$3,0))))*(1-Inputs_General!$C$22*Parameters!$F$5))</f>
        <v>45.2365470665309</v>
      </c>
      <c r="AB84" s="44" t="n">
        <f aca="false">MIN(100,MAX(Y84*(1+INDEX(Response_Table!$F$4:$F$21,MATCH($F84&amp;"|low",Response_Table!$A$4:$A$21,0))*$R84*INDEX(Parameters!$X$5:$AA$5,1,MATCH($E84,Parameters!$X$3:$AA$3,0))),Y84*(1+INDEX(Response_Table!$F$4:$F$21,MATCH($F84&amp;"|high",Response_Table!$A$4:$A$21,0))*$R84*INDEX(Parameters!$X$5:$AA$5,1,MATCH($E84,Parameters!$X$3:$AA$3,0))))*(1+Inputs_General!$C$22*Parameters!$F$5))</f>
        <v>72.8057567466175</v>
      </c>
      <c r="AC84" s="45" t="n">
        <f aca="false">IF(Y84=0,0,Z84/Y84-1)</f>
        <v>-0.157139992394561</v>
      </c>
      <c r="AD84" s="44" t="n">
        <f aca="false">Parameters!$E$6*IF($N84="V",Parameters!$I$6,IF($N84="F",Parameters!$J$6,Parameters!$K$6))*(1-Parameters!$L$6*$P84)*IF($D84="V1",Parameters!$M$6,IF($D84="V2",Parameters!$N$6,Parameters!$O$6))</f>
        <v>18.9470714285714</v>
      </c>
      <c r="AE84" s="44" t="n">
        <f aca="false">AD84*(1+INDEX(Response_Table!$G$4:$G$21,MATCH($F84&amp;"|mid",Response_Table!$A$4:$A$21,0))*$R84*INDEX(Parameters!$X$6:$AA$6,1,MATCH($E84,Parameters!$X$3:$AA$3,0)))</f>
        <v>11.1731545177373</v>
      </c>
      <c r="AF84" s="44" t="n">
        <f aca="false">MAX(0,MIN(AD84*(1+INDEX(Response_Table!$G$4:$G$21,MATCH($F84&amp;"|low",Response_Table!$A$4:$A$21,0))*$R84*INDEX(Parameters!$X$6:$AA$6,1,MATCH($E84,Parameters!$X$3:$AA$3,0))),AD84*(1+INDEX(Response_Table!$G$4:$G$21,MATCH($F84&amp;"|high",Response_Table!$A$4:$A$21,0))*$R84*INDEX(Parameters!$X$6:$AA$6,1,MATCH($E84,Parameters!$X$3:$AA$3,0))))*(1-Inputs_General!$C$22*Parameters!$F$6))</f>
        <v>7.59818771953165</v>
      </c>
      <c r="AG84" s="44" t="n">
        <f aca="false">MAX(AD84*(1+INDEX(Response_Table!$G$4:$G$21,MATCH($F84&amp;"|low",Response_Table!$A$4:$A$21,0))*$R84*INDEX(Parameters!$X$6:$AA$6,1,MATCH($E84,Parameters!$X$3:$AA$3,0))),AD84*(1+INDEX(Response_Table!$G$4:$G$21,MATCH($F84&amp;"|high",Response_Table!$A$4:$A$21,0))*$R84*INDEX(Parameters!$X$6:$AA$6,1,MATCH($E84,Parameters!$X$3:$AA$3,0))))*(1+Inputs_General!$C$22*Parameters!$F$6)</f>
        <v>16.1586322712411</v>
      </c>
      <c r="AH84" s="45" t="n">
        <f aca="false">IF(AD84=0,0,AE84/AD84-1)</f>
        <v>-0.410296490417582</v>
      </c>
      <c r="AI84" s="46" t="n">
        <f aca="false">Parameters!$E$7*IF($N84="V",Parameters!$I$7,IF($N84="F",Parameters!$J$7,Parameters!$K$7))*(1-Parameters!$L$7*$P84)*IF($D84="V1",Parameters!$M$7,IF($D84="V2",Parameters!$N$7,Parameters!$O$7))*POWER($Q84/Inputs_General!$C$26,-Inputs_General!$C$25)</f>
        <v>0.411663164578586</v>
      </c>
      <c r="AJ84" s="46" t="n">
        <f aca="false">AI84*(1+INDEX(Response_Table!$H$4:$H$21,MATCH($F84&amp;"|mid",Response_Table!$A$4:$A$21,0))*$R84*INDEX(Parameters!$X$7:$AA$7,1,MATCH($E84,Parameters!$X$3:$AA$3,0)))</f>
        <v>0.300014500923701</v>
      </c>
      <c r="AK84" s="46" t="n">
        <f aca="false">MAX(0,MIN(AI84*(1+INDEX(Response_Table!$H$4:$H$21,MATCH($F84&amp;"|low",Response_Table!$A$4:$A$21,0))*$R84*INDEX(Parameters!$X$7:$AA$7,1,MATCH($E84,Parameters!$X$3:$AA$3,0))),AI84*(1+INDEX(Response_Table!$H$4:$H$21,MATCH($F84&amp;"|high",Response_Table!$A$4:$A$21,0))*$R84*INDEX(Parameters!$X$7:$AA$7,1,MATCH($E84,Parameters!$X$3:$AA$3,0))))*(1-Inputs_General!$C$22*Parameters!$F$7))</f>
        <v>0.190389780296919</v>
      </c>
      <c r="AL84" s="46" t="n">
        <f aca="false">MAX(AI84*(1+INDEX(Response_Table!$H$4:$H$21,MATCH($F84&amp;"|low",Response_Table!$A$4:$A$21,0))*$R84*INDEX(Parameters!$X$7:$AA$7,1,MATCH($E84,Parameters!$X$3:$AA$3,0))),AI84*(1+INDEX(Response_Table!$H$4:$H$21,MATCH($F84&amp;"|high",Response_Table!$A$4:$A$21,0))*$R84*INDEX(Parameters!$X$7:$AA$7,1,MATCH($E84,Parameters!$X$3:$AA$3,0))))*(1+Inputs_General!$C$22*Parameters!$F$7)</f>
        <v>0.436076059430924</v>
      </c>
      <c r="AM84" s="45" t="n">
        <f aca="false">IF(AI84=0,0,AJ84/AI84-1)</f>
        <v>-0.271213635956907</v>
      </c>
      <c r="AN84" s="43" t="n">
        <f aca="false">AI84*$Q84/Inputs_General!$C$13*1000</f>
        <v>4.95374641196979</v>
      </c>
      <c r="AO84" s="43" t="n">
        <f aca="false">AJ84*$Q84/Inputs_General!$C$13*1000*(1+Inputs_General!$C$21*$I84)</f>
        <v>3.77268286358967</v>
      </c>
      <c r="AP84" s="43" t="n">
        <f aca="false">AK84*$Q84/Inputs_General!$C$13*1000*(1+Inputs_General!$C$21*$H84)</f>
        <v>2.3540583622941</v>
      </c>
      <c r="AQ84" s="43" t="n">
        <f aca="false">AL84*$Q84/Inputs_General!$C$13*1000*(1+Inputs_General!$C$21*$J84)</f>
        <v>5.57548877496348</v>
      </c>
      <c r="AR84" s="45" t="n">
        <f aca="false">IF(AN84=0,0,AO84/AN84-1)</f>
        <v>-0.238418249574968</v>
      </c>
      <c r="AS84" s="42" t="n">
        <f aca="false">Parameters!$E$9*IF($N84="V",Parameters!$I$9,IF($N84="F",Parameters!$J$9,Parameters!$K$9))*(1-Parameters!$L$9*$P84)*IF($D84="V1",Parameters!$M$9,IF($D84="V2",Parameters!$N$9,Parameters!$O$9))</f>
        <v>285</v>
      </c>
      <c r="AT84" s="42" t="n">
        <f aca="false">AS84*(1+INDEX(Response_Table!$I$4:$I$21,MATCH($F84&amp;"|mid",Response_Table!$A$4:$A$21,0))*$R84*INDEX(Parameters!$X$9:$AA$9,1,MATCH($E84,Parameters!$X$3:$AA$3,0)))</f>
        <v>328.882682115422</v>
      </c>
      <c r="AU84" s="42" t="n">
        <f aca="false">MAX(0,MIN(AS84*(1+INDEX(Response_Table!$I$4:$I$21,MATCH($F84&amp;"|low",Response_Table!$A$4:$A$21,0))*$R84*INDEX(Parameters!$X$9:$AA$9,1,MATCH($E84,Parameters!$X$3:$AA$3,0))),AS84*(1+INDEX(Response_Table!$I$4:$I$21,MATCH($F84&amp;"|high",Response_Table!$A$4:$A$21,0))*$R84*INDEX(Parameters!$X$9:$AA$9,1,MATCH($E84,Parameters!$X$3:$AA$3,0))))*(1-Inputs_General!$C$22*Parameters!$F$9))</f>
        <v>284.301462749449</v>
      </c>
      <c r="AV84" s="42" t="n">
        <f aca="false">MAX(AS84*(1+INDEX(Response_Table!$I$4:$I$21,MATCH($F84&amp;"|low",Response_Table!$A$4:$A$21,0))*$R84*INDEX(Parameters!$X$9:$AA$9,1,MATCH($E84,Parameters!$X$3:$AA$3,0))),AS84*(1+INDEX(Response_Table!$I$4:$I$21,MATCH($F84&amp;"|high",Response_Table!$A$4:$A$21,0))*$R84*INDEX(Parameters!$X$9:$AA$9,1,MATCH($E84,Parameters!$X$3:$AA$3,0))))*(1+Inputs_General!$C$22*Parameters!$F$9)</f>
        <v>372.510178357712</v>
      </c>
      <c r="AW84" s="45" t="n">
        <f aca="false">IF(AS84=0,0,AT84/AS84-1)</f>
        <v>0.153974323212009</v>
      </c>
      <c r="AX84" s="43" t="n">
        <f aca="false">INDEX(Context!$AB$4:$AB$51,$K84)</f>
        <v>2.71011434138418</v>
      </c>
      <c r="AY84" s="43" t="n">
        <f aca="false">AX84*(1+INDEX(Response_Table!$J$4:$J$21,MATCH($F84&amp;"|mid",Response_Table!$A$4:$A$21,0))*$R84*INDEX(Parameters!$X$10:$AA$10,1,MATCH($E84,Parameters!$X$3:$AA$3,0)))</f>
        <v>2.2681832269425</v>
      </c>
      <c r="AZ84" s="43" t="n">
        <f aca="false">MAX(0,MIN(AX84*(1+INDEX(Response_Table!$J$4:$J$21,MATCH($F84&amp;"|low",Response_Table!$A$4:$A$21,0))*$R84*INDEX(Parameters!$X$10:$AA$10,1,MATCH($E84,Parameters!$X$3:$AA$3,0))),AX84*(1+INDEX(Response_Table!$J$4:$J$21,MATCH($F84&amp;"|high",Response_Table!$A$4:$A$21,0))*$R84*INDEX(Parameters!$X$10:$AA$10,1,MATCH($E84,Parameters!$X$3:$AA$3,0))))*(1-Inputs_General!$C$22*Parameters!$F$10))</f>
        <v>1.72024608131046</v>
      </c>
      <c r="BA84" s="43" t="n">
        <f aca="false">MAX(AX84*(1+INDEX(Response_Table!$J$4:$J$21,MATCH($F84&amp;"|low",Response_Table!$A$4:$A$21,0))*$R84*INDEX(Parameters!$X$10:$AA$10,1,MATCH($E84,Parameters!$X$3:$AA$3,0))),AX84*(1+INDEX(Response_Table!$J$4:$J$21,MATCH($F84&amp;"|high",Response_Table!$A$4:$A$21,0))*$R84*INDEX(Parameters!$X$10:$AA$10,1,MATCH($E84,Parameters!$X$3:$AA$3,0))))*(1+Inputs_General!$C$22*Parameters!$F$10)</f>
        <v>2.89399626927167</v>
      </c>
      <c r="BB84" s="45" t="n">
        <f aca="false">IF(AX84=0,0,AY84/AX84-1)</f>
        <v>-0.163067331770202</v>
      </c>
      <c r="BC84" s="46" t="n">
        <f aca="false">Parameters!$E$11*IF($N84="V",Parameters!$I$11,IF($N84="F",Parameters!$J$11,Parameters!$K$11))*(1-Parameters!$L$11*$P84)*IF($D84="V1",Parameters!$M$11,IF($D84="V2",Parameters!$N$11,Parameters!$O$11))</f>
        <v>1.24825892857143</v>
      </c>
      <c r="BD84" s="46" t="n">
        <f aca="false">BC84*(1+INDEX(Response_Table!$K$4:$K$21,MATCH($F84&amp;"|mid",Response_Table!$A$4:$A$21,0))*$R84*INDEX(Parameters!$X$11:$AA$11,1,MATCH($E84,Parameters!$X$3:$AA$3,0)))</f>
        <v>0.892995187124841</v>
      </c>
      <c r="BE84" s="46" t="n">
        <f aca="false">MAX(0,MIN(BC84*(1+INDEX(Response_Table!$K$4:$K$21,MATCH($F84&amp;"|low",Response_Table!$A$4:$A$21,0))*$R84*INDEX(Parameters!$X$11:$AA$11,1,MATCH($E84,Parameters!$X$3:$AA$3,0))),BC84*(1+INDEX(Response_Table!$K$4:$K$21,MATCH($F84&amp;"|high",Response_Table!$A$4:$A$21,0))*$R84*INDEX(Parameters!$X$11:$AA$11,1,MATCH($E84,Parameters!$X$3:$AA$3,0))))*(1-Inputs_General!$C$22*Parameters!$F$11))</f>
        <v>0.669621421093864</v>
      </c>
      <c r="BF84" s="46" t="n">
        <f aca="false">MAX(BC84*(1+INDEX(Response_Table!$K$4:$K$21,MATCH($F84&amp;"|low",Response_Table!$A$4:$A$21,0))*$R84*INDEX(Parameters!$X$11:$AA$11,1,MATCH($E84,Parameters!$X$3:$AA$3,0))),BC84*(1+INDEX(Response_Table!$K$4:$K$21,MATCH($F84&amp;"|high",Response_Table!$A$4:$A$21,0))*$R84*INDEX(Parameters!$X$11:$AA$11,1,MATCH($E84,Parameters!$X$3:$AA$3,0))))*(1+Inputs_General!$C$22*Parameters!$F$11)</f>
        <v>1.17324519063427</v>
      </c>
      <c r="BG84" s="45" t="n">
        <f aca="false">IF(BC84=0,0,BD84/BC84-1)</f>
        <v>-0.284607410622065</v>
      </c>
      <c r="BH84" s="46" t="n">
        <f aca="false">Parameters!$E$12*IF($N84="V",Parameters!$I$12,IF($N84="F",Parameters!$J$12,Parameters!$K$12))*(1-Parameters!$L$12*$P84)*IF($D84="V1",Parameters!$M$12,IF($D84="V2",Parameters!$N$12,Parameters!$O$12))</f>
        <v>0.449373214285714</v>
      </c>
      <c r="BI84" s="46" t="n">
        <f aca="false">BH84*(1+INDEX(Response_Table!$L$4:$L$21,MATCH($F84&amp;"|mid",Response_Table!$A$4:$A$21,0))*$R84*INDEX(Parameters!$X$12:$AA$12,1,MATCH($E84,Parameters!$X$3:$AA$3,0)))</f>
        <v>0.346247246837347</v>
      </c>
      <c r="BJ84" s="46" t="n">
        <f aca="false">MAX(0,MIN(BH84*(1+INDEX(Response_Table!$L$4:$L$21,MATCH($F84&amp;"|low",Response_Table!$A$4:$A$21,0))*$R84*INDEX(Parameters!$X$12:$AA$12,1,MATCH($E84,Parameters!$X$3:$AA$3,0))),BH84*(1+INDEX(Response_Table!$L$4:$L$21,MATCH($F84&amp;"|high",Response_Table!$A$4:$A$21,0))*$R84*INDEX(Parameters!$X$12:$AA$12,1,MATCH($E84,Parameters!$X$3:$AA$3,0))))*(1-Inputs_General!$C$22*Parameters!$F$12))</f>
        <v>0.256001973792001</v>
      </c>
      <c r="BK84" s="46" t="n">
        <f aca="false">MAX(BH84*(1+INDEX(Response_Table!$L$4:$L$21,MATCH($F84&amp;"|low",Response_Table!$A$4:$A$21,0))*$R84*INDEX(Parameters!$X$12:$AA$12,1,MATCH($E84,Parameters!$X$3:$AA$3,0))),BH84*(1+INDEX(Response_Table!$L$4:$L$21,MATCH($F84&amp;"|high",Response_Table!$A$4:$A$21,0))*$R84*INDEX(Parameters!$X$12:$AA$12,1,MATCH($E84,Parameters!$X$3:$AA$3,0))))*(1+Inputs_General!$C$22*Parameters!$F$12)</f>
        <v>0.454896731491288</v>
      </c>
      <c r="BL84" s="45" t="n">
        <f aca="false">IF(BH84=0,0,BI84/BH84-1)</f>
        <v>-0.229488461194306</v>
      </c>
      <c r="BM84" s="46" t="n">
        <f aca="false">Parameters!$E$13*IF($N84="V",Parameters!$I$13,IF($N84="F",Parameters!$J$13,Parameters!$K$13))*(1-Parameters!$L$13*$P84)*IF($D84="V1",Parameters!$M$13,IF($D84="V2",Parameters!$N$13,Parameters!$O$13))</f>
        <v>0.299791071428571</v>
      </c>
      <c r="BN84" s="46" t="n">
        <f aca="false">BM84*(1+INDEX(Response_Table!$M$4:$M$21,MATCH($F84&amp;"|mid",Response_Table!$A$4:$A$21,0))*$R84*INDEX(Parameters!$X$13:$AA$13,1,MATCH($E84,Parameters!$X$3:$AA$3,0)))</f>
        <v>0.27400259812186</v>
      </c>
      <c r="BO84" s="46" t="n">
        <f aca="false">MAX(0,MIN(BM84*(1+INDEX(Response_Table!$M$4:$M$21,MATCH($F84&amp;"|low",Response_Table!$A$4:$A$21,0))*$R84*INDEX(Parameters!$X$13:$AA$13,1,MATCH($E84,Parameters!$X$3:$AA$3,0))),BM84*(1+INDEX(Response_Table!$M$4:$M$21,MATCH($F84&amp;"|high",Response_Table!$A$4:$A$21,0))*$R84*INDEX(Parameters!$X$13:$AA$13,1,MATCH($E84,Parameters!$X$3:$AA$3,0))))*(1-Inputs_General!$C$22*Parameters!$F$13))</f>
        <v>0.203252238103276</v>
      </c>
      <c r="BP84" s="46" t="n">
        <f aca="false">MAX(BM84*(1+INDEX(Response_Table!$M$4:$M$21,MATCH($F84&amp;"|low",Response_Table!$A$4:$A$21,0))*$R84*INDEX(Parameters!$X$13:$AA$13,1,MATCH($E84,Parameters!$X$3:$AA$3,0))),BM84*(1+INDEX(Response_Table!$M$4:$M$21,MATCH($F84&amp;"|high",Response_Table!$A$4:$A$21,0))*$R84*INDEX(Parameters!$X$13:$AA$13,1,MATCH($E84,Parameters!$X$3:$AA$3,0))))*(1+Inputs_General!$C$22*Parameters!$F$13)</f>
        <v>0.354339695845901</v>
      </c>
      <c r="BQ84" s="45" t="n">
        <f aca="false">IF(BM84=0,0,BN84/BM84-1)</f>
        <v>-0.0860214855093042</v>
      </c>
      <c r="BR84" s="44" t="n">
        <f aca="false">Parameters!$E$14*IF($N84="V",Parameters!$I$14,IF($N84="F",Parameters!$J$14,Parameters!$K$14))*(1-Parameters!$L$14*$P84)*IF($D84="V1",Parameters!$M$14,IF($D84="V2",Parameters!$N$14,Parameters!$O$14))*INDEX(Context!$AC$4:$AC$51,$K84)</f>
        <v>15</v>
      </c>
      <c r="BS84" s="44" t="n">
        <f aca="false">BR84*(1+INDEX(Response_Table!$N$4:$N$21,MATCH($F84&amp;"|mid",Response_Table!$A$4:$A$21,0))*$R84*INDEX(Parameters!$X$14:$AA$14,1,MATCH($E84,Parameters!$X$3:$AA$3,0)))</f>
        <v>18.7552657286341</v>
      </c>
      <c r="BT84" s="44" t="n">
        <f aca="false">MAX(0,MIN(BR84*(1+INDEX(Response_Table!$N$4:$N$21,MATCH($F84&amp;"|low",Response_Table!$A$4:$A$21,0))*$R84*INDEX(Parameters!$X$14:$AA$14,1,MATCH($E84,Parameters!$X$3:$AA$3,0))),BR84*(1+INDEX(Response_Table!$N$4:$N$21,MATCH($F84&amp;"|high",Response_Table!$A$4:$A$21,0))*$R84*INDEX(Parameters!$X$14:$AA$14,1,MATCH($E84,Parameters!$X$3:$AA$3,0))))*(1-Inputs_General!$C$22*Parameters!$F$14))</f>
        <v>8.87878616115056</v>
      </c>
      <c r="BU84" s="44" t="n">
        <f aca="false">MAX(BR84*(1+INDEX(Response_Table!$N$4:$N$21,MATCH($F84&amp;"|low",Response_Table!$A$4:$A$21,0))*$R84*INDEX(Parameters!$X$14:$AA$14,1,MATCH($E84,Parameters!$X$3:$AA$3,0))),BR84*(1+INDEX(Response_Table!$N$4:$N$21,MATCH($F84&amp;"|high",Response_Table!$A$4:$A$21,0))*$R84*INDEX(Parameters!$X$14:$AA$14,1,MATCH($E84,Parameters!$X$3:$AA$3,0))))*(1+Inputs_General!$C$22*Parameters!$F$14)</f>
        <v>29.4946849813317</v>
      </c>
      <c r="BV84" s="45" t="n">
        <f aca="false">IF(BR84=0,0,BS84/BR84-1)</f>
        <v>0.250351048575606</v>
      </c>
      <c r="BW84" s="43" t="n">
        <f aca="false">Parameters!$E$15*IF($N84="V",Parameters!$I$15,IF($N84="F",Parameters!$J$15,Parameters!$K$15))*(1-Parameters!$L$15*$P84)*IF($D84="V1",Parameters!$M$15,IF($D84="V2",Parameters!$N$15,Parameters!$O$15))</f>
        <v>10.3855142857143</v>
      </c>
      <c r="BX84" s="43" t="n">
        <f aca="false">BW84*(1+INDEX(Response_Table!$O$4:$O$21,MATCH($F84&amp;"|mid",Response_Table!$A$4:$A$21,0))*$R84*INDEX(Parameters!$X$15:$AA$15,1,MATCH($E84,Parameters!$X$3:$AA$3,0)))</f>
        <v>9.73550818785791</v>
      </c>
      <c r="BY84" s="43" t="n">
        <f aca="false">MAX(0,MIN(BW84*(1+INDEX(Response_Table!$O$4:$O$21,MATCH($F84&amp;"|low",Response_Table!$A$4:$A$21,0))*$R84*INDEX(Parameters!$X$15:$AA$15,1,MATCH($E84,Parameters!$X$3:$AA$3,0))),BW84*(1+INDEX(Response_Table!$O$4:$O$21,MATCH($F84&amp;"|high",Response_Table!$A$4:$A$21,0))*$R84*INDEX(Parameters!$X$15:$AA$15,1,MATCH($E84,Parameters!$X$3:$AA$3,0))))*(1-Inputs_General!$C$22*Parameters!$F$15))</f>
        <v>7.67570730078421</v>
      </c>
      <c r="BZ84" s="43" t="n">
        <f aca="false">MAX(BW84*(1+INDEX(Response_Table!$O$4:$O$21,MATCH($F84&amp;"|low",Response_Table!$A$4:$A$21,0))*$R84*INDEX(Parameters!$X$15:$AA$15,1,MATCH($E84,Parameters!$X$3:$AA$3,0))),BW84*(1+INDEX(Response_Table!$O$4:$O$21,MATCH($F84&amp;"|high",Response_Table!$A$4:$A$21,0))*$R84*INDEX(Parameters!$X$15:$AA$15,1,MATCH($E84,Parameters!$X$3:$AA$3,0))))*(1+Inputs_General!$C$22*Parameters!$F$15)</f>
        <v>11.911311378404</v>
      </c>
      <c r="CA84" s="45" t="n">
        <f aca="false">IF(BW84=0,0,BX84/BW84-1)</f>
        <v>-0.0625877621439015</v>
      </c>
      <c r="CB84" s="46" t="n">
        <f aca="false">BD84+BI84</f>
        <v>1.23924243396219</v>
      </c>
      <c r="CC84" s="43" t="n">
        <f aca="false">BD84/BI84</f>
        <v>2.57906797897034</v>
      </c>
      <c r="CD84" s="46" t="n">
        <f aca="false">BN84/CB84</f>
        <v>0.221104919112397</v>
      </c>
      <c r="CE84" s="43" t="n">
        <f aca="false">AE84/AO84</f>
        <v>2.96159389000595</v>
      </c>
      <c r="CF84" s="44" t="n">
        <f aca="false">AE84/AJ84</f>
        <v>37.2420482454575</v>
      </c>
      <c r="CG84" s="44" t="n">
        <f aca="false">INDEX(Context!$V$4:$V$51,$K84)</f>
        <v>25.5785714285714</v>
      </c>
      <c r="CH84" s="44" t="n">
        <f aca="false">INDEX(Context!$Y$4:$Y$51,$K84)</f>
        <v>23.620522619794</v>
      </c>
      <c r="CI84" s="44" t="n">
        <f aca="false">INDEX(Context!$Z$4:$Z$51,$K84)</f>
        <v>29.5785714285714</v>
      </c>
      <c r="CJ84" s="43" t="n">
        <f aca="false">INDEX(Context!$AA$4:$AA$51,$K84)</f>
        <v>0.201160714285714</v>
      </c>
      <c r="CK84" s="43" t="n">
        <f aca="false">MAX(0,MIN(1,1-(1-CJ84)*AO84/AN84))</f>
        <v>0.391618578477432</v>
      </c>
      <c r="CL84" s="44" t="n">
        <f aca="false">CH84+CK84*(CI84-CH84)</f>
        <v>25.9538052247866</v>
      </c>
      <c r="CM84" s="44" t="n">
        <f aca="false">CH84+MAX(0,MIN(1,1-(1-CJ84)*AQ84/AN84))*(CI84-CH84)</f>
        <v>24.2216824421911</v>
      </c>
      <c r="CN84" s="44" t="n">
        <f aca="false">CH84+MAX(0,MIN(1,1-(1-CJ84)*AP84/AN84))*(CI84-CH84)</f>
        <v>27.3168093081101</v>
      </c>
      <c r="CO84" s="44" t="n">
        <f aca="false">CL84-CG84</f>
        <v>0.375233796215145</v>
      </c>
      <c r="CP84" s="44" t="n">
        <f aca="false">CL84-(CH84+CJ84*(CI84-CH84))</f>
        <v>1.13475725086975</v>
      </c>
      <c r="CQ84" s="46" t="n">
        <f aca="false">CL84/CG84</f>
        <v>1.01466984961467</v>
      </c>
      <c r="CR84" s="43" t="n">
        <f aca="false">IF(CL84-CH84&lt;=0,"n/a",(CI84-CL84)/(CL84-CH84))</f>
        <v>1.5535050045069</v>
      </c>
      <c r="CS84" s="43" t="n">
        <f aca="false">IF(CI84-CL84&lt;=0,"n/a",(CL84-CH84)/(CI84-CL84))</f>
        <v>0.64370568301929</v>
      </c>
      <c r="CT84" s="43" t="n">
        <f aca="false">Inputs_General!$C$23+Inputs_General!$C$24*$I84</f>
        <v>0.96</v>
      </c>
      <c r="CU84" s="44" t="n">
        <f aca="false">3.29*CT84</f>
        <v>3.1584</v>
      </c>
    </row>
    <row r="85" customFormat="false" ht="15" hidden="false" customHeight="false" outlineLevel="0" collapsed="false">
      <c r="A85" s="9" t="str">
        <f aca="false">B85&amp;"|"&amp;E85&amp;"|"&amp;F85</f>
        <v>D2V1|24/02/2026|High</v>
      </c>
      <c r="B85" s="7" t="s">
        <v>346</v>
      </c>
      <c r="C85" s="9" t="s">
        <v>129</v>
      </c>
      <c r="D85" s="9" t="s">
        <v>142</v>
      </c>
      <c r="E85" s="9" t="s">
        <v>160</v>
      </c>
      <c r="F85" s="7" t="s">
        <v>283</v>
      </c>
      <c r="G85" s="9" t="s">
        <v>284</v>
      </c>
      <c r="H85" s="41" t="n">
        <f aca="false">INDEX(Severity_Classes!$C$4:$C$9,MATCH(F85,Severity_Classes!$A$4:$A$9,0))</f>
        <v>0.26</v>
      </c>
      <c r="I85" s="41" t="n">
        <f aca="false">INDEX(Severity_Classes!$D$4:$D$9,MATCH(F85,Severity_Classes!$A$4:$A$9,0))</f>
        <v>0.38</v>
      </c>
      <c r="J85" s="41" t="n">
        <f aca="false">INDEX(Severity_Classes!$E$4:$E$9,MATCH(F85,Severity_Classes!$A$4:$A$9,0))</f>
        <v>0.5</v>
      </c>
      <c r="K85" s="42" t="n">
        <f aca="false">MATCH(B85&amp;"|"&amp;E85,Context!$A$4:$A$51,0)</f>
        <v>14</v>
      </c>
      <c r="L85" s="42" t="n">
        <f aca="false">INDEX(Context!$H$4:$H$51,K85)</f>
        <v>68</v>
      </c>
      <c r="M85" s="42" t="n">
        <f aca="false">INDEX(Context!$I$4:$I$51,K85)</f>
        <v>19</v>
      </c>
      <c r="N85" s="9" t="str">
        <f aca="false">INDEX(Context!$L$4:$L$51,K85)</f>
        <v>F</v>
      </c>
      <c r="O85" s="9" t="str">
        <f aca="false">INDEX(Context!$M$4:$M$51,K85)</f>
        <v>5th fully expanded leaf from top</v>
      </c>
      <c r="P85" s="43" t="n">
        <f aca="false">INDEX(Context!$R$4:$R$51,K85)</f>
        <v>0.0232142857142859</v>
      </c>
      <c r="Q85" s="43" t="n">
        <f aca="false">INDEX(Context!$U$4:$U$51,K85)</f>
        <v>1.19492600027053</v>
      </c>
      <c r="R85" s="43" t="n">
        <f aca="false">INDEX(Context!$AD$4:$AD$51,K85)</f>
        <v>1</v>
      </c>
      <c r="S85" s="9" t="str">
        <f aca="false">INDEX(Context!$AI$4:$AN$51,K85,MATCH(F85,Severity_Classes!$A$4:$A$9,0))</f>
        <v>Likely</v>
      </c>
      <c r="T85" s="44" t="n">
        <f aca="false">Parameters!$E$4*IF($N85="V",Parameters!$I$4,IF($N85="F",Parameters!$J$4,Parameters!$K$4))*(1-Parameters!$L$4*$P85)*IF($D85="V1",Parameters!$M$4,IF($D85="V2",Parameters!$N$4,Parameters!$O$4))</f>
        <v>85.0411767857143</v>
      </c>
      <c r="U85" s="44" t="n">
        <f aca="false">MIN(100,T85*(1+INDEX(Response_Table!$E$4:$E$21,MATCH($F85&amp;"|mid",Response_Table!$A$4:$A$21,0))*$R85*INDEX(Parameters!$X$4:$AA$4,1,MATCH($E85,Parameters!$X$3:$AA$3,0))))</f>
        <v>71.3031771994825</v>
      </c>
      <c r="V85" s="44" t="n">
        <f aca="false">MAX(0,MIN(T85*(1+INDEX(Response_Table!$E$4:$E$21,MATCH($F85&amp;"|low",Response_Table!$A$4:$A$21,0))*$R85*INDEX(Parameters!$X$4:$AA$4,1,MATCH($E85,Parameters!$X$3:$AA$3,0))),T85*(1+INDEX(Response_Table!$E$4:$E$21,MATCH($F85&amp;"|high",Response_Table!$A$4:$A$21,0))*$R85*INDEX(Parameters!$X$4:$AA$4,1,MATCH($E85,Parameters!$X$3:$AA$3,0))))*(1-Inputs_General!$C$22*Parameters!$F$4))</f>
        <v>61.2068047421261</v>
      </c>
      <c r="W85" s="44" t="n">
        <f aca="false">MIN(100,MAX(T85*(1+INDEX(Response_Table!$E$4:$E$21,MATCH($F85&amp;"|low",Response_Table!$A$4:$A$21,0))*$R85*INDEX(Parameters!$X$4:$AA$4,1,MATCH($E85,Parameters!$X$3:$AA$3,0))),T85*(1+INDEX(Response_Table!$E$4:$E$21,MATCH($F85&amp;"|high",Response_Table!$A$4:$A$21,0))*$R85*INDEX(Parameters!$X$4:$AA$4,1,MATCH($E85,Parameters!$X$3:$AA$3,0))))*(1+Inputs_General!$C$22*Parameters!$F$4))</f>
        <v>82.9127640928792</v>
      </c>
      <c r="X85" s="45" t="n">
        <f aca="false">IF(T85=0,0,U85/T85-1)</f>
        <v>-0.161545266722362</v>
      </c>
      <c r="Y85" s="44" t="n">
        <f aca="false">Parameters!$E$5*IF($N85="V",Parameters!$I$5,IF($N85="F",Parameters!$J$5,Parameters!$K$5))*(1-Parameters!$L$5*$P85)*IF($D85="V1",Parameters!$M$5,IF($D85="V2",Parameters!$N$5,Parameters!$O$5))</f>
        <v>70.36344</v>
      </c>
      <c r="Z85" s="44" t="n">
        <f aca="false">MIN(100,Y85*(1+INDEX(Response_Table!$F$4:$F$21,MATCH($F85&amp;"|mid",Response_Table!$A$4:$A$21,0))*$R85*INDEX(Parameters!$X$5:$AA$5,1,MATCH($E85,Parameters!$X$3:$AA$3,0))))</f>
        <v>35.1611060615032</v>
      </c>
      <c r="AA85" s="44" t="n">
        <f aca="false">MAX(0,MIN(Y85*(1+INDEX(Response_Table!$F$4:$F$21,MATCH($F85&amp;"|low",Response_Table!$A$4:$A$21,0))*$R85*INDEX(Parameters!$X$5:$AA$5,1,MATCH($E85,Parameters!$X$3:$AA$3,0))),Y85*(1+INDEX(Response_Table!$F$4:$F$21,MATCH($F85&amp;"|high",Response_Table!$A$4:$A$21,0))*$R85*INDEX(Parameters!$X$5:$AA$5,1,MATCH($E85,Parameters!$X$3:$AA$3,0))))*(1-Inputs_General!$C$22*Parameters!$F$5))</f>
        <v>23.2900946664487</v>
      </c>
      <c r="AB85" s="44" t="n">
        <f aca="false">MIN(100,MAX(Y85*(1+INDEX(Response_Table!$F$4:$F$21,MATCH($F85&amp;"|low",Response_Table!$A$4:$A$21,0))*$R85*INDEX(Parameters!$X$5:$AA$5,1,MATCH($E85,Parameters!$X$3:$AA$3,0))),Y85*(1+INDEX(Response_Table!$F$4:$F$21,MATCH($F85&amp;"|high",Response_Table!$A$4:$A$21,0))*$R85*INDEX(Parameters!$X$5:$AA$5,1,MATCH($E85,Parameters!$X$3:$AA$3,0))))*(1+Inputs_General!$C$22*Parameters!$F$5))</f>
        <v>55.5764250988334</v>
      </c>
      <c r="AC85" s="45" t="n">
        <f aca="false">IF(Y85=0,0,Z85/Y85-1)</f>
        <v>-0.500292963767786</v>
      </c>
      <c r="AD85" s="44" t="n">
        <f aca="false">Parameters!$E$6*IF($N85="V",Parameters!$I$6,IF($N85="F",Parameters!$J$6,Parameters!$K$6))*(1-Parameters!$L$6*$P85)*IF($D85="V1",Parameters!$M$6,IF($D85="V2",Parameters!$N$6,Parameters!$O$6))</f>
        <v>18.9470714285714</v>
      </c>
      <c r="AE85" s="44" t="n">
        <f aca="false">AD85*(1+INDEX(Response_Table!$G$4:$G$21,MATCH($F85&amp;"|mid",Response_Table!$A$4:$A$21,0))*$R85*INDEX(Parameters!$X$6:$AA$6,1,MATCH($E85,Parameters!$X$3:$AA$3,0)))</f>
        <v>7.40647105693273</v>
      </c>
      <c r="AF85" s="44" t="n">
        <f aca="false">MAX(0,MIN(AD85*(1+INDEX(Response_Table!$G$4:$G$21,MATCH($F85&amp;"|low",Response_Table!$A$4:$A$21,0))*$R85*INDEX(Parameters!$X$6:$AA$6,1,MATCH($E85,Parameters!$X$3:$AA$3,0))),AD85*(1+INDEX(Response_Table!$G$4:$G$21,MATCH($F85&amp;"|high",Response_Table!$A$4:$A$21,0))*$R85*INDEX(Parameters!$X$6:$AA$6,1,MATCH($E85,Parameters!$X$3:$AA$3,0))))*(1-Inputs_General!$C$22*Parameters!$F$6))</f>
        <v>5.06546091668854</v>
      </c>
      <c r="AG85" s="44" t="n">
        <f aca="false">MAX(AD85*(1+INDEX(Response_Table!$G$4:$G$21,MATCH($F85&amp;"|low",Response_Table!$A$4:$A$21,0))*$R85*INDEX(Parameters!$X$6:$AA$6,1,MATCH($E85,Parameters!$X$3:$AA$3,0))),AD85*(1+INDEX(Response_Table!$G$4:$G$21,MATCH($F85&amp;"|high",Response_Table!$A$4:$A$21,0))*$R85*INDEX(Parameters!$X$6:$AA$6,1,MATCH($E85,Parameters!$X$3:$AA$3,0))))*(1+Inputs_General!$C$22*Parameters!$F$6)</f>
        <v>11.0919360717736</v>
      </c>
      <c r="AH85" s="45" t="n">
        <f aca="false">IF(AD85=0,0,AE85/AD85-1)</f>
        <v>-0.609096789186953</v>
      </c>
      <c r="AI85" s="46" t="n">
        <f aca="false">Parameters!$E$7*IF($N85="V",Parameters!$I$7,IF($N85="F",Parameters!$J$7,Parameters!$K$7))*(1-Parameters!$L$7*$P85)*IF($D85="V1",Parameters!$M$7,IF($D85="V2",Parameters!$N$7,Parameters!$O$7))*POWER($Q85/Inputs_General!$C$26,-Inputs_General!$C$25)</f>
        <v>0.411663164578586</v>
      </c>
      <c r="AJ85" s="46" t="n">
        <f aca="false">AI85*(1+INDEX(Response_Table!$H$4:$H$21,MATCH($F85&amp;"|mid",Response_Table!$A$4:$A$21,0))*$R85*INDEX(Parameters!$X$7:$AA$7,1,MATCH($E85,Parameters!$X$3:$AA$3,0)))</f>
        <v>0.229659619501168</v>
      </c>
      <c r="AK85" s="46" t="n">
        <f aca="false">MAX(0,MIN(AI85*(1+INDEX(Response_Table!$H$4:$H$21,MATCH($F85&amp;"|low",Response_Table!$A$4:$A$21,0))*$R85*INDEX(Parameters!$X$7:$AA$7,1,MATCH($E85,Parameters!$X$3:$AA$3,0))),AI85*(1+INDEX(Response_Table!$H$4:$H$21,MATCH($F85&amp;"|high",Response_Table!$A$4:$A$21,0))*$R85*INDEX(Parameters!$X$7:$AA$7,1,MATCH($E85,Parameters!$X$3:$AA$3,0))))*(1-Inputs_General!$C$22*Parameters!$F$7))</f>
        <v>0.143446029484408</v>
      </c>
      <c r="AL85" s="46" t="n">
        <f aca="false">MAX(AI85*(1+INDEX(Response_Table!$H$4:$H$21,MATCH($F85&amp;"|low",Response_Table!$A$4:$A$21,0))*$R85*INDEX(Parameters!$X$7:$AA$7,1,MATCH($E85,Parameters!$X$3:$AA$3,0))),AI85*(1+INDEX(Response_Table!$H$4:$H$21,MATCH($F85&amp;"|high",Response_Table!$A$4:$A$21,0))*$R85*INDEX(Parameters!$X$7:$AA$7,1,MATCH($E85,Parameters!$X$3:$AA$3,0))))*(1+Inputs_General!$C$22*Parameters!$F$7)</f>
        <v>0.345725437218006</v>
      </c>
      <c r="AM85" s="45" t="n">
        <f aca="false">IF(AI85=0,0,AJ85/AI85-1)</f>
        <v>-0.442117635819403</v>
      </c>
      <c r="AN85" s="43" t="n">
        <f aca="false">AI85*$Q85/Inputs_General!$C$13*1000</f>
        <v>4.95374641196979</v>
      </c>
      <c r="AO85" s="43" t="n">
        <f aca="false">AJ85*$Q85/Inputs_General!$C$13*1000*(1+Inputs_General!$C$21*$I85)</f>
        <v>3.02615049704764</v>
      </c>
      <c r="AP85" s="43" t="n">
        <f aca="false">AK85*$Q85/Inputs_General!$C$13*1000*(1+Inputs_General!$C$21*$H85)</f>
        <v>1.83835720678565</v>
      </c>
      <c r="AQ85" s="43" t="n">
        <f aca="false">AL85*$Q85/Inputs_General!$C$13*1000*(1+Inputs_General!$C$21*$J85)</f>
        <v>4.68032077666193</v>
      </c>
      <c r="AR85" s="45" t="n">
        <f aca="false">IF(AN85=0,0,AO85/AN85-1)</f>
        <v>-0.389118811222246</v>
      </c>
      <c r="AS85" s="42" t="n">
        <f aca="false">Parameters!$E$9*IF($N85="V",Parameters!$I$9,IF($N85="F",Parameters!$J$9,Parameters!$K$9))*(1-Parameters!$L$9*$P85)*IF($D85="V1",Parameters!$M$9,IF($D85="V2",Parameters!$N$9,Parameters!$O$9))</f>
        <v>285</v>
      </c>
      <c r="AT85" s="42" t="n">
        <f aca="false">AS85*(1+INDEX(Response_Table!$I$4:$I$21,MATCH($F85&amp;"|mid",Response_Table!$A$4:$A$21,0))*$R85*INDEX(Parameters!$X$9:$AA$9,1,MATCH($E85,Parameters!$X$3:$AA$3,0)))</f>
        <v>351.800133665586</v>
      </c>
      <c r="AU85" s="42" t="n">
        <f aca="false">MAX(0,MIN(AS85*(1+INDEX(Response_Table!$I$4:$I$21,MATCH($F85&amp;"|low",Response_Table!$A$4:$A$21,0))*$R85*INDEX(Parameters!$X$9:$AA$9,1,MATCH($E85,Parameters!$X$3:$AA$3,0))),AS85*(1+INDEX(Response_Table!$I$4:$I$21,MATCH($F85&amp;"|high",Response_Table!$A$4:$A$21,0))*$R85*INDEX(Parameters!$X$9:$AA$9,1,MATCH($E85,Parameters!$X$3:$AA$3,0))))*(1-Inputs_General!$C$22*Parameters!$F$9))</f>
        <v>306.694025735372</v>
      </c>
      <c r="AV85" s="42" t="n">
        <f aca="false">MAX(AS85*(1+INDEX(Response_Table!$I$4:$I$21,MATCH($F85&amp;"|low",Response_Table!$A$4:$A$21,0))*$R85*INDEX(Parameters!$X$9:$AA$9,1,MATCH($E85,Parameters!$X$3:$AA$3,0))),AS85*(1+INDEX(Response_Table!$I$4:$I$21,MATCH($F85&amp;"|high",Response_Table!$A$4:$A$21,0))*$R85*INDEX(Parameters!$X$9:$AA$9,1,MATCH($E85,Parameters!$X$3:$AA$3,0))))*(1+Inputs_General!$C$22*Parameters!$F$9)</f>
        <v>394.355109128328</v>
      </c>
      <c r="AW85" s="45" t="n">
        <f aca="false">IF(AS85=0,0,AT85/AS85-1)</f>
        <v>0.234386433914336</v>
      </c>
      <c r="AX85" s="43" t="n">
        <f aca="false">INDEX(Context!$AB$4:$AB$51,$K85)</f>
        <v>2.71011434138418</v>
      </c>
      <c r="AY85" s="43" t="n">
        <f aca="false">AX85*(1+INDEX(Response_Table!$J$4:$J$21,MATCH($F85&amp;"|mid",Response_Table!$A$4:$A$21,0))*$R85*INDEX(Parameters!$X$10:$AA$10,1,MATCH($E85,Parameters!$X$3:$AA$3,0)))</f>
        <v>1.96221346509084</v>
      </c>
      <c r="AZ85" s="43" t="n">
        <f aca="false">MAX(0,MIN(AX85*(1+INDEX(Response_Table!$J$4:$J$21,MATCH($F85&amp;"|low",Response_Table!$A$4:$A$21,0))*$R85*INDEX(Parameters!$X$10:$AA$10,1,MATCH($E85,Parameters!$X$3:$AA$3,0))),AX85*(1+INDEX(Response_Table!$J$4:$J$21,MATCH($F85&amp;"|high",Response_Table!$A$4:$A$21,0))*$R85*INDEX(Parameters!$X$10:$AA$10,1,MATCH($E85,Parameters!$X$3:$AA$3,0))))*(1-Inputs_General!$C$22*Parameters!$F$10))</f>
        <v>1.47676010598969</v>
      </c>
      <c r="BA85" s="43" t="n">
        <f aca="false">MAX(AX85*(1+INDEX(Response_Table!$J$4:$J$21,MATCH($F85&amp;"|low",Response_Table!$A$4:$A$21,0))*$R85*INDEX(Parameters!$X$10:$AA$10,1,MATCH($E85,Parameters!$X$3:$AA$3,0))),AX85*(1+INDEX(Response_Table!$J$4:$J$21,MATCH($F85&amp;"|high",Response_Table!$A$4:$A$21,0))*$R85*INDEX(Parameters!$X$10:$AA$10,1,MATCH($E85,Parameters!$X$3:$AA$3,0))))*(1+Inputs_General!$C$22*Parameters!$F$10)</f>
        <v>2.54713870450992</v>
      </c>
      <c r="BB85" s="45" t="n">
        <f aca="false">IF(AX85=0,0,AY85/AX85-1)</f>
        <v>-0.275966539445474</v>
      </c>
      <c r="BC85" s="46" t="n">
        <f aca="false">Parameters!$E$11*IF($N85="V",Parameters!$I$11,IF($N85="F",Parameters!$J$11,Parameters!$K$11))*(1-Parameters!$L$11*$P85)*IF($D85="V1",Parameters!$M$11,IF($D85="V2",Parameters!$N$11,Parameters!$O$11))</f>
        <v>1.24825892857143</v>
      </c>
      <c r="BD85" s="46" t="n">
        <f aca="false">BC85*(1+INDEX(Response_Table!$K$4:$K$21,MATCH($F85&amp;"|mid",Response_Table!$A$4:$A$21,0))*$R85*INDEX(Parameters!$X$11:$AA$11,1,MATCH($E85,Parameters!$X$3:$AA$3,0)))</f>
        <v>0.6773911051799</v>
      </c>
      <c r="BE85" s="46" t="n">
        <f aca="false">MAX(0,MIN(BC85*(1+INDEX(Response_Table!$K$4:$K$21,MATCH($F85&amp;"|low",Response_Table!$A$4:$A$21,0))*$R85*INDEX(Parameters!$X$11:$AA$11,1,MATCH($E85,Parameters!$X$3:$AA$3,0))),BC85*(1+INDEX(Response_Table!$K$4:$K$21,MATCH($F85&amp;"|high",Response_Table!$A$4:$A$21,0))*$R85*INDEX(Parameters!$X$11:$AA$11,1,MATCH($E85,Parameters!$X$3:$AA$3,0))))*(1-Inputs_General!$C$22*Parameters!$F$11))</f>
        <v>0.501887406882573</v>
      </c>
      <c r="BF85" s="46" t="n">
        <f aca="false">MAX(BC85*(1+INDEX(Response_Table!$K$4:$K$21,MATCH($F85&amp;"|low",Response_Table!$A$4:$A$21,0))*$R85*INDEX(Parameters!$X$11:$AA$11,1,MATCH($E85,Parameters!$X$3:$AA$3,0))),BC85*(1+INDEX(Response_Table!$K$4:$K$21,MATCH($F85&amp;"|high",Response_Table!$A$4:$A$21,0))*$R85*INDEX(Parameters!$X$11:$AA$11,1,MATCH($E85,Parameters!$X$3:$AA$3,0))))*(1+Inputs_General!$C$22*Parameters!$F$11)</f>
        <v>0.919932069479345</v>
      </c>
      <c r="BG85" s="45" t="n">
        <f aca="false">IF(BC85=0,0,BD85/BC85-1)</f>
        <v>-0.457331255819543</v>
      </c>
      <c r="BH85" s="46" t="n">
        <f aca="false">Parameters!$E$12*IF($N85="V",Parameters!$I$12,IF($N85="F",Parameters!$J$12,Parameters!$K$12))*(1-Parameters!$L$12*$P85)*IF($D85="V1",Parameters!$M$12,IF($D85="V2",Parameters!$N$12,Parameters!$O$12))</f>
        <v>0.449373214285714</v>
      </c>
      <c r="BI85" s="46" t="n">
        <f aca="false">BH85*(1+INDEX(Response_Table!$L$4:$L$21,MATCH($F85&amp;"|mid",Response_Table!$A$4:$A$21,0))*$R85*INDEX(Parameters!$X$12:$AA$12,1,MATCH($E85,Parameters!$X$3:$AA$3,0)))</f>
        <v>0.281262902431389</v>
      </c>
      <c r="BJ85" s="46" t="n">
        <f aca="false">MAX(0,MIN(BH85*(1+INDEX(Response_Table!$L$4:$L$21,MATCH($F85&amp;"|low",Response_Table!$A$4:$A$21,0))*$R85*INDEX(Parameters!$X$12:$AA$12,1,MATCH($E85,Parameters!$X$3:$AA$3,0))),BH85*(1+INDEX(Response_Table!$L$4:$L$21,MATCH($F85&amp;"|high",Response_Table!$A$4:$A$21,0))*$R85*INDEX(Parameters!$X$12:$AA$12,1,MATCH($E85,Parameters!$X$3:$AA$3,0))))*(1-Inputs_General!$C$22*Parameters!$F$12))</f>
        <v>0.206561743668061</v>
      </c>
      <c r="BK85" s="46" t="n">
        <f aca="false">MAX(BH85*(1+INDEX(Response_Table!$L$4:$L$21,MATCH($F85&amp;"|low",Response_Table!$A$4:$A$21,0))*$R85*INDEX(Parameters!$X$12:$AA$12,1,MATCH($E85,Parameters!$X$3:$AA$3,0))),BH85*(1+INDEX(Response_Table!$L$4:$L$21,MATCH($F85&amp;"|high",Response_Table!$A$4:$A$21,0))*$R85*INDEX(Parameters!$X$12:$AA$12,1,MATCH($E85,Parameters!$X$3:$AA$3,0))))*(1+Inputs_General!$C$22*Parameters!$F$12)</f>
        <v>0.377798148270002</v>
      </c>
      <c r="BL85" s="45" t="n">
        <f aca="false">IF(BH85=0,0,BI85/BH85-1)</f>
        <v>-0.374099538001033</v>
      </c>
      <c r="BM85" s="46" t="n">
        <f aca="false">Parameters!$E$13*IF($N85="V",Parameters!$I$13,IF($N85="F",Parameters!$J$13,Parameters!$K$13))*(1-Parameters!$L$13*$P85)*IF($D85="V1",Parameters!$M$13,IF($D85="V2",Parameters!$N$13,Parameters!$O$13))</f>
        <v>0.299791071428571</v>
      </c>
      <c r="BN85" s="46" t="n">
        <f aca="false">BM85*(1+INDEX(Response_Table!$M$4:$M$21,MATCH($F85&amp;"|mid",Response_Table!$A$4:$A$21,0))*$R85*INDEX(Parameters!$X$13:$AA$13,1,MATCH($E85,Parameters!$X$3:$AA$3,0)))</f>
        <v>0.225153716997222</v>
      </c>
      <c r="BO85" s="46" t="n">
        <f aca="false">MAX(0,MIN(BM85*(1+INDEX(Response_Table!$M$4:$M$21,MATCH($F85&amp;"|low",Response_Table!$A$4:$A$21,0))*$R85*INDEX(Parameters!$X$13:$AA$13,1,MATCH($E85,Parameters!$X$3:$AA$3,0))),BM85*(1+INDEX(Response_Table!$M$4:$M$21,MATCH($F85&amp;"|high",Response_Table!$A$4:$A$21,0))*$R85*INDEX(Parameters!$X$13:$AA$13,1,MATCH($E85,Parameters!$X$3:$AA$3,0))))*(1-Inputs_General!$C$22*Parameters!$F$13))</f>
        <v>0.168046018140419</v>
      </c>
      <c r="BP85" s="46" t="n">
        <f aca="false">MAX(BM85*(1+INDEX(Response_Table!$M$4:$M$21,MATCH($F85&amp;"|low",Response_Table!$A$4:$A$21,0))*$R85*INDEX(Parameters!$X$13:$AA$13,1,MATCH($E85,Parameters!$X$3:$AA$3,0))),BM85*(1+INDEX(Response_Table!$M$4:$M$21,MATCH($F85&amp;"|high",Response_Table!$A$4:$A$21,0))*$R85*INDEX(Parameters!$X$13:$AA$13,1,MATCH($E85,Parameters!$X$3:$AA$3,0))))*(1+Inputs_General!$C$22*Parameters!$F$13)</f>
        <v>0.300046905557081</v>
      </c>
      <c r="BQ85" s="45" t="n">
        <f aca="false">IF(BM85=0,0,BN85/BM85-1)</f>
        <v>-0.248964567475896</v>
      </c>
      <c r="BR85" s="44" t="n">
        <f aca="false">Parameters!$E$14*IF($N85="V",Parameters!$I$14,IF($N85="F",Parameters!$J$14,Parameters!$K$14))*(1-Parameters!$L$14*$P85)*IF($D85="V1",Parameters!$M$14,IF($D85="V2",Parameters!$N$14,Parameters!$O$14))*INDEX(Context!$AC$4:$AC$51,$K85)</f>
        <v>15</v>
      </c>
      <c r="BS85" s="44" t="n">
        <f aca="false">BR85*(1+INDEX(Response_Table!$N$4:$N$21,MATCH($F85&amp;"|mid",Response_Table!$A$4:$A$21,0))*$R85*INDEX(Parameters!$X$14:$AA$14,1,MATCH($E85,Parameters!$X$3:$AA$3,0)))</f>
        <v>21.1216288036533</v>
      </c>
      <c r="BT85" s="44" t="n">
        <f aca="false">MAX(0,MIN(BR85*(1+INDEX(Response_Table!$N$4:$N$21,MATCH($F85&amp;"|low",Response_Table!$A$4:$A$21,0))*$R85*INDEX(Parameters!$X$14:$AA$14,1,MATCH($E85,Parameters!$X$3:$AA$3,0))),BR85*(1+INDEX(Response_Table!$N$4:$N$21,MATCH($F85&amp;"|high",Response_Table!$A$4:$A$21,0))*$R85*INDEX(Parameters!$X$14:$AA$14,1,MATCH($E85,Parameters!$X$3:$AA$3,0))))*(1-Inputs_General!$C$22*Parameters!$F$14))</f>
        <v>10.0663561974651</v>
      </c>
      <c r="BU85" s="44" t="n">
        <f aca="false">MAX(BR85*(1+INDEX(Response_Table!$N$4:$N$21,MATCH($F85&amp;"|low",Response_Table!$A$4:$A$21,0))*$R85*INDEX(Parameters!$X$14:$AA$14,1,MATCH($E85,Parameters!$X$3:$AA$3,0))),BR85*(1+INDEX(Response_Table!$N$4:$N$21,MATCH($F85&amp;"|high",Response_Table!$A$4:$A$21,0))*$R85*INDEX(Parameters!$X$14:$AA$14,1,MATCH($E85,Parameters!$X$3:$AA$3,0))))*(1+Inputs_General!$C$22*Parameters!$F$14)</f>
        <v>32.8447959523649</v>
      </c>
      <c r="BV85" s="45" t="n">
        <f aca="false">IF(BR85=0,0,BS85/BR85-1)</f>
        <v>0.408108586910218</v>
      </c>
      <c r="BW85" s="43" t="n">
        <f aca="false">Parameters!$E$15*IF($N85="V",Parameters!$I$15,IF($N85="F",Parameters!$J$15,Parameters!$K$15))*(1-Parameters!$L$15*$P85)*IF($D85="V1",Parameters!$M$15,IF($D85="V2",Parameters!$N$15,Parameters!$O$15))</f>
        <v>10.3855142857143</v>
      </c>
      <c r="BX85" s="43" t="n">
        <f aca="false">BW85*(1+INDEX(Response_Table!$O$4:$O$21,MATCH($F85&amp;"|mid",Response_Table!$A$4:$A$21,0))*$R85*INDEX(Parameters!$X$15:$AA$15,1,MATCH($E85,Parameters!$X$3:$AA$3,0)))</f>
        <v>9.3259098958446</v>
      </c>
      <c r="BY85" s="43" t="n">
        <f aca="false">MAX(0,MIN(BW85*(1+INDEX(Response_Table!$O$4:$O$21,MATCH($F85&amp;"|low",Response_Table!$A$4:$A$21,0))*$R85*INDEX(Parameters!$X$15:$AA$15,1,MATCH($E85,Parameters!$X$3:$AA$3,0))),BW85*(1+INDEX(Response_Table!$O$4:$O$21,MATCH($F85&amp;"|high",Response_Table!$A$4:$A$21,0))*$R85*INDEX(Parameters!$X$15:$AA$15,1,MATCH($E85,Parameters!$X$3:$AA$3,0))))*(1-Inputs_General!$C$22*Parameters!$F$15))</f>
        <v>7.36408403212423</v>
      </c>
      <c r="BZ85" s="43" t="n">
        <f aca="false">MAX(BW85*(1+INDEX(Response_Table!$O$4:$O$21,MATCH($F85&amp;"|low",Response_Table!$A$4:$A$21,0))*$R85*INDEX(Parameters!$X$15:$AA$15,1,MATCH($E85,Parameters!$X$3:$AA$3,0))),BW85*(1+INDEX(Response_Table!$O$4:$O$21,MATCH($F85&amp;"|high",Response_Table!$A$4:$A$21,0))*$R85*INDEX(Parameters!$X$15:$AA$15,1,MATCH($E85,Parameters!$X$3:$AA$3,0))))*(1+Inputs_General!$C$22*Parameters!$F$15)</f>
        <v>11.4253566720395</v>
      </c>
      <c r="CA85" s="45" t="n">
        <f aca="false">IF(BW85=0,0,BX85/BW85-1)</f>
        <v>-0.102027146727554</v>
      </c>
      <c r="CB85" s="46" t="n">
        <f aca="false">BD85+BI85</f>
        <v>0.95865400761129</v>
      </c>
      <c r="CC85" s="43" t="n">
        <f aca="false">BD85/BI85</f>
        <v>2.40839122160855</v>
      </c>
      <c r="CD85" s="46" t="n">
        <f aca="false">BN85/CB85</f>
        <v>0.234864419498172</v>
      </c>
      <c r="CE85" s="43" t="n">
        <f aca="false">AE85/AO85</f>
        <v>2.44748933146537</v>
      </c>
      <c r="CF85" s="44" t="n">
        <f aca="false">AE85/AJ85</f>
        <v>32.2497750062459</v>
      </c>
      <c r="CG85" s="44" t="n">
        <f aca="false">INDEX(Context!$V$4:$V$51,$K85)</f>
        <v>25.5785714285714</v>
      </c>
      <c r="CH85" s="44" t="n">
        <f aca="false">INDEX(Context!$Y$4:$Y$51,$K85)</f>
        <v>23.620522619794</v>
      </c>
      <c r="CI85" s="44" t="n">
        <f aca="false">INDEX(Context!$Z$4:$Z$51,$K85)</f>
        <v>29.5785714285714</v>
      </c>
      <c r="CJ85" s="43" t="n">
        <f aca="false">INDEX(Context!$AA$4:$AA$51,$K85)</f>
        <v>0.201160714285714</v>
      </c>
      <c r="CK85" s="43" t="n">
        <f aca="false">MAX(0,MIN(1,1-(1-CJ85)*AO85/AN85))</f>
        <v>0.512004107500485</v>
      </c>
      <c r="CL85" s="44" t="n">
        <f aca="false">CH85+CK85*(CI85-CH85)</f>
        <v>26.6710680825764</v>
      </c>
      <c r="CM85" s="44" t="n">
        <f aca="false">CH85+MAX(0,MIN(1,1-(1-CJ85)*AQ85/AN85))*(CI85-CH85)</f>
        <v>25.0817533318671</v>
      </c>
      <c r="CN85" s="44" t="n">
        <f aca="false">CH85+MAX(0,MIN(1,1-(1-CJ85)*AP85/AN85))*(CI85-CH85)</f>
        <v>27.8122912204066</v>
      </c>
      <c r="CO85" s="44" t="n">
        <f aca="false">CL85-CG85</f>
        <v>1.09249665400499</v>
      </c>
      <c r="CP85" s="44" t="n">
        <f aca="false">CL85-(CH85+CJ85*(CI85-CH85))</f>
        <v>1.8520201086596</v>
      </c>
      <c r="CQ85" s="46" t="n">
        <f aca="false">CL85/CG85</f>
        <v>1.04271140227889</v>
      </c>
      <c r="CR85" s="43" t="n">
        <f aca="false">IF(CL85-CH85&lt;=0,"n/a",(CI85-CL85)/(CL85-CH85))</f>
        <v>0.953109331254833</v>
      </c>
      <c r="CS85" s="43" t="n">
        <f aca="false">IF(CI85-CL85&lt;=0,"n/a",(CL85-CH85)/(CI85-CL85))</f>
        <v>1.04919757598368</v>
      </c>
      <c r="CT85" s="43" t="n">
        <f aca="false">Inputs_General!$C$23+Inputs_General!$C$24*$I85</f>
        <v>1.36</v>
      </c>
      <c r="CU85" s="44" t="n">
        <f aca="false">3.29*CT85</f>
        <v>4.4744</v>
      </c>
    </row>
    <row r="86" customFormat="false" ht="15" hidden="false" customHeight="false" outlineLevel="0" collapsed="false">
      <c r="A86" s="9" t="str">
        <f aca="false">B86&amp;"|"&amp;E86&amp;"|"&amp;F86</f>
        <v>D2V1|24/02/2026|Very high</v>
      </c>
      <c r="B86" s="7" t="s">
        <v>346</v>
      </c>
      <c r="C86" s="9" t="s">
        <v>129</v>
      </c>
      <c r="D86" s="9" t="s">
        <v>142</v>
      </c>
      <c r="E86" s="9" t="s">
        <v>160</v>
      </c>
      <c r="F86" s="7" t="s">
        <v>285</v>
      </c>
      <c r="G86" s="9" t="s">
        <v>286</v>
      </c>
      <c r="H86" s="41" t="n">
        <f aca="false">INDEX(Severity_Classes!$C$4:$C$9,MATCH(F86,Severity_Classes!$A$4:$A$9,0))</f>
        <v>0.51</v>
      </c>
      <c r="I86" s="41" t="n">
        <f aca="false">INDEX(Severity_Classes!$D$4:$D$9,MATCH(F86,Severity_Classes!$A$4:$A$9,0))</f>
        <v>0.65</v>
      </c>
      <c r="J86" s="41" t="n">
        <f aca="false">INDEX(Severity_Classes!$E$4:$E$9,MATCH(F86,Severity_Classes!$A$4:$A$9,0))</f>
        <v>0.85</v>
      </c>
      <c r="K86" s="42" t="n">
        <f aca="false">MATCH(B86&amp;"|"&amp;E86,Context!$A$4:$A$51,0)</f>
        <v>14</v>
      </c>
      <c r="L86" s="42" t="n">
        <f aca="false">INDEX(Context!$H$4:$H$51,K86)</f>
        <v>68</v>
      </c>
      <c r="M86" s="42" t="n">
        <f aca="false">INDEX(Context!$I$4:$I$51,K86)</f>
        <v>19</v>
      </c>
      <c r="N86" s="9" t="str">
        <f aca="false">INDEX(Context!$L$4:$L$51,K86)</f>
        <v>F</v>
      </c>
      <c r="O86" s="9" t="str">
        <f aca="false">INDEX(Context!$M$4:$M$51,K86)</f>
        <v>5th fully expanded leaf from top</v>
      </c>
      <c r="P86" s="43" t="n">
        <f aca="false">INDEX(Context!$R$4:$R$51,K86)</f>
        <v>0.0232142857142859</v>
      </c>
      <c r="Q86" s="43" t="n">
        <f aca="false">INDEX(Context!$U$4:$U$51,K86)</f>
        <v>1.19492600027053</v>
      </c>
      <c r="R86" s="43" t="n">
        <f aca="false">INDEX(Context!$AD$4:$AD$51,K86)</f>
        <v>1</v>
      </c>
      <c r="S86" s="9" t="str">
        <f aca="false">INDEX(Context!$AI$4:$AN$51,K86,MATCH(F86,Severity_Classes!$A$4:$A$9,0))</f>
        <v>Possible</v>
      </c>
      <c r="T86" s="44" t="n">
        <f aca="false">Parameters!$E$4*IF($N86="V",Parameters!$I$4,IF($N86="F",Parameters!$J$4,Parameters!$K$4))*(1-Parameters!$L$4*$P86)*IF($D86="V1",Parameters!$M$4,IF($D86="V2",Parameters!$N$4,Parameters!$O$4))</f>
        <v>85.0411767857143</v>
      </c>
      <c r="U86" s="44" t="n">
        <f aca="false">MIN(100,T86*(1+INDEX(Response_Table!$E$4:$E$21,MATCH($F86&amp;"|mid",Response_Table!$A$4:$A$21,0))*$R86*INDEX(Parameters!$X$4:$AA$4,1,MATCH($E86,Parameters!$X$3:$AA$3,0))))</f>
        <v>61.5688719096161</v>
      </c>
      <c r="V86" s="44" t="n">
        <f aca="false">MAX(0,MIN(T86*(1+INDEX(Response_Table!$E$4:$E$21,MATCH($F86&amp;"|low",Response_Table!$A$4:$A$21,0))*$R86*INDEX(Parameters!$X$4:$AA$4,1,MATCH($E86,Parameters!$X$3:$AA$3,0))),T86*(1+INDEX(Response_Table!$E$4:$E$21,MATCH($F86&amp;"|high",Response_Table!$A$4:$A$21,0))*$R86*INDEX(Parameters!$X$4:$AA$4,1,MATCH($E86,Parameters!$X$3:$AA$3,0))))*(1-Inputs_General!$C$22*Parameters!$F$4))</f>
        <v>55.9953894761681</v>
      </c>
      <c r="W86" s="44" t="n">
        <f aca="false">MIN(100,MAX(T86*(1+INDEX(Response_Table!$E$4:$E$21,MATCH($F86&amp;"|low",Response_Table!$A$4:$A$21,0))*$R86*INDEX(Parameters!$X$4:$AA$4,1,MATCH($E86,Parameters!$X$3:$AA$3,0))),T86*(1+INDEX(Response_Table!$E$4:$E$21,MATCH($F86&amp;"|high",Response_Table!$A$4:$A$21,0))*$R86*INDEX(Parameters!$X$4:$AA$4,1,MATCH($E86,Parameters!$X$3:$AA$3,0))))*(1+Inputs_General!$C$22*Parameters!$F$4))</f>
        <v>69.4250574373315</v>
      </c>
      <c r="X86" s="45" t="n">
        <f aca="false">IF(T86=0,0,U86/T86-1)</f>
        <v>-0.276011054447699</v>
      </c>
      <c r="Y86" s="44" t="n">
        <f aca="false">Parameters!$E$5*IF($N86="V",Parameters!$I$5,IF($N86="F",Parameters!$J$5,Parameters!$K$5))*(1-Parameters!$L$5*$P86)*IF($D86="V1",Parameters!$M$5,IF($D86="V2",Parameters!$N$5,Parameters!$O$5))</f>
        <v>70.36344</v>
      </c>
      <c r="Z86" s="44" t="n">
        <f aca="false">MIN(100,Y86*(1+INDEX(Response_Table!$F$4:$F$21,MATCH($F86&amp;"|mid",Response_Table!$A$4:$A$21,0))*$R86*INDEX(Parameters!$X$5:$AA$5,1,MATCH($E86,Parameters!$X$3:$AA$3,0))))</f>
        <v>22.3696585339028</v>
      </c>
      <c r="AA86" s="44" t="n">
        <f aca="false">MAX(0,MIN(Y86*(1+INDEX(Response_Table!$F$4:$F$21,MATCH($F86&amp;"|low",Response_Table!$A$4:$A$21,0))*$R86*INDEX(Parameters!$X$5:$AA$5,1,MATCH($E86,Parameters!$X$3:$AA$3,0))),Y86*(1+INDEX(Response_Table!$F$4:$F$21,MATCH($F86&amp;"|high",Response_Table!$A$4:$A$21,0))*$R86*INDEX(Parameters!$X$5:$AA$5,1,MATCH($E86,Parameters!$X$3:$AA$3,0))))*(1-Inputs_General!$C$22*Parameters!$F$5))</f>
        <v>18.8325052230305</v>
      </c>
      <c r="AB86" s="44" t="n">
        <f aca="false">MIN(100,MAX(Y86*(1+INDEX(Response_Table!$F$4:$F$21,MATCH($F86&amp;"|low",Response_Table!$A$4:$A$21,0))*$R86*INDEX(Parameters!$X$5:$AA$5,1,MATCH($E86,Parameters!$X$3:$AA$3,0))),Y86*(1+INDEX(Response_Table!$F$4:$F$21,MATCH($F86&amp;"|high",Response_Table!$A$4:$A$21,0))*$R86*INDEX(Parameters!$X$5:$AA$5,1,MATCH($E86,Parameters!$X$3:$AA$3,0))))*(1+Inputs_General!$C$22*Parameters!$F$5))</f>
        <v>28.8491174873968</v>
      </c>
      <c r="AC86" s="45" t="n">
        <f aca="false">IF(Y86=0,0,Z86/Y86-1)</f>
        <v>-0.682084069029274</v>
      </c>
      <c r="AD86" s="44" t="n">
        <f aca="false">Parameters!$E$6*IF($N86="V",Parameters!$I$6,IF($N86="F",Parameters!$J$6,Parameters!$K$6))*(1-Parameters!$L$6*$P86)*IF($D86="V1",Parameters!$M$6,IF($D86="V2",Parameters!$N$6,Parameters!$O$6))</f>
        <v>18.9470714285714</v>
      </c>
      <c r="AE86" s="44" t="n">
        <f aca="false">AD86*(1+INDEX(Response_Table!$G$4:$G$21,MATCH($F86&amp;"|mid",Response_Table!$A$4:$A$21,0))*$R86*INDEX(Parameters!$X$6:$AA$6,1,MATCH($E86,Parameters!$X$3:$AA$3,0)))</f>
        <v>5.55057432567452</v>
      </c>
      <c r="AF86" s="44" t="n">
        <f aca="false">MAX(0,MIN(AD86*(1+INDEX(Response_Table!$G$4:$G$21,MATCH($F86&amp;"|low",Response_Table!$A$4:$A$21,0))*$R86*INDEX(Parameters!$X$6:$AA$6,1,MATCH($E86,Parameters!$X$3:$AA$3,0))),AD86*(1+INDEX(Response_Table!$G$4:$G$21,MATCH($F86&amp;"|high",Response_Table!$A$4:$A$21,0))*$R86*INDEX(Parameters!$X$6:$AA$6,1,MATCH($E86,Parameters!$X$3:$AA$3,0))))*(1-Inputs_General!$C$22*Parameters!$F$6))</f>
        <v>4.07264993323621</v>
      </c>
      <c r="AG86" s="44" t="n">
        <f aca="false">MAX(AD86*(1+INDEX(Response_Table!$G$4:$G$21,MATCH($F86&amp;"|low",Response_Table!$A$4:$A$21,0))*$R86*INDEX(Parameters!$X$6:$AA$6,1,MATCH($E86,Parameters!$X$3:$AA$3,0))),AD86*(1+INDEX(Response_Table!$G$4:$G$21,MATCH($F86&amp;"|high",Response_Table!$A$4:$A$21,0))*$R86*INDEX(Parameters!$X$6:$AA$6,1,MATCH($E86,Parameters!$X$3:$AA$3,0))))*(1+Inputs_General!$C$22*Parameters!$F$6)</f>
        <v>7.47601045879349</v>
      </c>
      <c r="AH86" s="45" t="n">
        <f aca="false">IF(AD86=0,0,AE86/AD86-1)</f>
        <v>-0.707048429800899</v>
      </c>
      <c r="AI86" s="46" t="n">
        <f aca="false">Parameters!$E$7*IF($N86="V",Parameters!$I$7,IF($N86="F",Parameters!$J$7,Parameters!$K$7))*(1-Parameters!$L$7*$P86)*IF($D86="V1",Parameters!$M$7,IF($D86="V2",Parameters!$N$7,Parameters!$O$7))*POWER($Q86/Inputs_General!$C$26,-Inputs_General!$C$25)</f>
        <v>0.411663164578586</v>
      </c>
      <c r="AJ86" s="46" t="n">
        <f aca="false">AI86*(1+INDEX(Response_Table!$H$4:$H$21,MATCH($F86&amp;"|mid",Response_Table!$A$4:$A$21,0))*$R86*INDEX(Parameters!$X$7:$AA$7,1,MATCH($E86,Parameters!$X$3:$AA$3,0)))</f>
        <v>0.182151954057915</v>
      </c>
      <c r="AK86" s="46" t="n">
        <f aca="false">MAX(0,MIN(AI86*(1+INDEX(Response_Table!$H$4:$H$21,MATCH($F86&amp;"|low",Response_Table!$A$4:$A$21,0))*$R86*INDEX(Parameters!$X$7:$AA$7,1,MATCH($E86,Parameters!$X$3:$AA$3,0))),AI86*(1+INDEX(Response_Table!$H$4:$H$21,MATCH($F86&amp;"|high",Response_Table!$A$4:$A$21,0))*$R86*INDEX(Parameters!$X$7:$AA$7,1,MATCH($E86,Parameters!$X$3:$AA$3,0))))*(1-Inputs_General!$C$22*Parameters!$F$7))</f>
        <v>0.116126101226137</v>
      </c>
      <c r="AL86" s="46" t="n">
        <f aca="false">MAX(AI86*(1+INDEX(Response_Table!$H$4:$H$21,MATCH($F86&amp;"|low",Response_Table!$A$4:$A$21,0))*$R86*INDEX(Parameters!$X$7:$AA$7,1,MATCH($E86,Parameters!$X$3:$AA$3,0))),AI86*(1+INDEX(Response_Table!$H$4:$H$21,MATCH($F86&amp;"|high",Response_Table!$A$4:$A$21,0))*$R86*INDEX(Parameters!$X$7:$AA$7,1,MATCH($E86,Parameters!$X$3:$AA$3,0))))*(1+Inputs_General!$C$22*Parameters!$F$7)</f>
        <v>0.261841945930416</v>
      </c>
      <c r="AM86" s="45" t="n">
        <f aca="false">IF(AI86=0,0,AJ86/AI86-1)</f>
        <v>-0.557521853468766</v>
      </c>
      <c r="AN86" s="43" t="n">
        <f aca="false">AI86*$Q86/Inputs_General!$C$13*1000</f>
        <v>4.95374641196979</v>
      </c>
      <c r="AO86" s="43" t="n">
        <f aca="false">AJ86*$Q86/Inputs_General!$C$13*1000*(1+Inputs_General!$C$21*$I86)</f>
        <v>2.54811226700169</v>
      </c>
      <c r="AP86" s="43" t="n">
        <f aca="false">AK86*$Q86/Inputs_General!$C$13*1000*(1+Inputs_General!$C$21*$H86)</f>
        <v>1.57557165274387</v>
      </c>
      <c r="AQ86" s="43" t="n">
        <f aca="false">AL86*$Q86/Inputs_General!$C$13*1000*(1+Inputs_General!$C$21*$J86)</f>
        <v>3.82043424822601</v>
      </c>
      <c r="AR86" s="45" t="n">
        <f aca="false">IF(AN86=0,0,AO86/AN86-1)</f>
        <v>-0.485619154657441</v>
      </c>
      <c r="AS86" s="42" t="n">
        <f aca="false">Parameters!$E$9*IF($N86="V",Parameters!$I$9,IF($N86="F",Parameters!$J$9,Parameters!$K$9))*(1-Parameters!$L$9*$P86)*IF($D86="V1",Parameters!$M$9,IF($D86="V2",Parameters!$N$9,Parameters!$O$9))</f>
        <v>285</v>
      </c>
      <c r="AT86" s="42" t="n">
        <f aca="false">AS86*(1+INDEX(Response_Table!$I$4:$I$21,MATCH($F86&amp;"|mid",Response_Table!$A$4:$A$21,0))*$R86*INDEX(Parameters!$X$9:$AA$9,1,MATCH($E86,Parameters!$X$3:$AA$3,0)))</f>
        <v>364.149609062674</v>
      </c>
      <c r="AU86" s="42" t="n">
        <f aca="false">MAX(0,MIN(AS86*(1+INDEX(Response_Table!$I$4:$I$21,MATCH($F86&amp;"|low",Response_Table!$A$4:$A$21,0))*$R86*INDEX(Parameters!$X$9:$AA$9,1,MATCH($E86,Parameters!$X$3:$AA$3,0))),AS86*(1+INDEX(Response_Table!$I$4:$I$21,MATCH($F86&amp;"|high",Response_Table!$A$4:$A$21,0))*$R86*INDEX(Parameters!$X$9:$AA$9,1,MATCH($E86,Parameters!$X$3:$AA$3,0))))*(1-Inputs_General!$C$22*Parameters!$F$9))</f>
        <v>323.911488006691</v>
      </c>
      <c r="AV86" s="42" t="n">
        <f aca="false">MAX(AS86*(1+INDEX(Response_Table!$I$4:$I$21,MATCH($F86&amp;"|low",Response_Table!$A$4:$A$21,0))*$R86*INDEX(Parameters!$X$9:$AA$9,1,MATCH($E86,Parameters!$X$3:$AA$3,0))),AS86*(1+INDEX(Response_Table!$I$4:$I$21,MATCH($F86&amp;"|high",Response_Table!$A$4:$A$21,0))*$R86*INDEX(Parameters!$X$9:$AA$9,1,MATCH($E86,Parameters!$X$3:$AA$3,0))))*(1+Inputs_General!$C$22*Parameters!$F$9)</f>
        <v>403.933303399187</v>
      </c>
      <c r="AW86" s="45" t="n">
        <f aca="false">IF(AS86=0,0,AT86/AS86-1)</f>
        <v>0.2777179265357</v>
      </c>
      <c r="AX86" s="43" t="n">
        <f aca="false">INDEX(Context!$AB$4:$AB$51,$K86)</f>
        <v>2.71011434138418</v>
      </c>
      <c r="AY86" s="43" t="n">
        <f aca="false">AX86*(1+INDEX(Response_Table!$J$4:$J$21,MATCH($F86&amp;"|mid",Response_Table!$A$4:$A$21,0))*$R86*INDEX(Parameters!$X$10:$AA$10,1,MATCH($E86,Parameters!$X$3:$AA$3,0)))</f>
        <v>1.73070680749189</v>
      </c>
      <c r="AZ86" s="43" t="n">
        <f aca="false">MAX(0,MIN(AX86*(1+INDEX(Response_Table!$J$4:$J$21,MATCH($F86&amp;"|low",Response_Table!$A$4:$A$21,0))*$R86*INDEX(Parameters!$X$10:$AA$10,1,MATCH($E86,Parameters!$X$3:$AA$3,0))),AX86*(1+INDEX(Response_Table!$J$4:$J$21,MATCH($F86&amp;"|high",Response_Table!$A$4:$A$21,0))*$R86*INDEX(Parameters!$X$10:$AA$10,1,MATCH($E86,Parameters!$X$3:$AA$3,0))))*(1-Inputs_General!$C$22*Parameters!$F$10))</f>
        <v>1.31322819585551</v>
      </c>
      <c r="BA86" s="43" t="n">
        <f aca="false">MAX(AX86*(1+INDEX(Response_Table!$J$4:$J$21,MATCH($F86&amp;"|low",Response_Table!$A$4:$A$21,0))*$R86*INDEX(Parameters!$X$10:$AA$10,1,MATCH($E86,Parameters!$X$3:$AA$3,0))),AX86*(1+INDEX(Response_Table!$J$4:$J$21,MATCH($F86&amp;"|high",Response_Table!$A$4:$A$21,0))*$R86*INDEX(Parameters!$X$10:$AA$10,1,MATCH($E86,Parameters!$X$3:$AA$3,0))))*(1+Inputs_General!$C$22*Parameters!$F$10)</f>
        <v>2.19285050483033</v>
      </c>
      <c r="BB86" s="45" t="n">
        <f aca="false">IF(AX86=0,0,AY86/AX86-1)</f>
        <v>-0.361389746158113</v>
      </c>
      <c r="BC86" s="46" t="n">
        <f aca="false">Parameters!$E$11*IF($N86="V",Parameters!$I$11,IF($N86="F",Parameters!$J$11,Parameters!$K$11))*(1-Parameters!$L$11*$P86)*IF($D86="V1",Parameters!$M$11,IF($D86="V2",Parameters!$N$11,Parameters!$O$11))</f>
        <v>1.24825892857143</v>
      </c>
      <c r="BD86" s="46" t="n">
        <f aca="false">BC86*(1+INDEX(Response_Table!$K$4:$K$21,MATCH($F86&amp;"|mid",Response_Table!$A$4:$A$21,0))*$R86*INDEX(Parameters!$X$11:$AA$11,1,MATCH($E86,Parameters!$X$3:$AA$3,0)))</f>
        <v>0.538255039336382</v>
      </c>
      <c r="BE86" s="46" t="n">
        <f aca="false">MAX(0,MIN(BC86*(1+INDEX(Response_Table!$K$4:$K$21,MATCH($F86&amp;"|low",Response_Table!$A$4:$A$21,0))*$R86*INDEX(Parameters!$X$11:$AA$11,1,MATCH($E86,Parameters!$X$3:$AA$3,0))),BC86*(1+INDEX(Response_Table!$K$4:$K$21,MATCH($F86&amp;"|high",Response_Table!$A$4:$A$21,0))*$R86*INDEX(Parameters!$X$11:$AA$11,1,MATCH($E86,Parameters!$X$3:$AA$3,0))))*(1-Inputs_General!$C$22*Parameters!$F$11))</f>
        <v>0.409678495800231</v>
      </c>
      <c r="BF86" s="46" t="n">
        <f aca="false">MAX(BC86*(1+INDEX(Response_Table!$K$4:$K$21,MATCH($F86&amp;"|low",Response_Table!$A$4:$A$21,0))*$R86*INDEX(Parameters!$X$11:$AA$11,1,MATCH($E86,Parameters!$X$3:$AA$3,0))),BC86*(1+INDEX(Response_Table!$K$4:$K$21,MATCH($F86&amp;"|high",Response_Table!$A$4:$A$21,0))*$R86*INDEX(Parameters!$X$11:$AA$11,1,MATCH($E86,Parameters!$X$3:$AA$3,0))))*(1+Inputs_General!$C$22*Parameters!$F$11)</f>
        <v>0.69351104251805</v>
      </c>
      <c r="BG86" s="45" t="n">
        <f aca="false">IF(BC86=0,0,BD86/BC86-1)</f>
        <v>-0.568795362070921</v>
      </c>
      <c r="BH86" s="46" t="n">
        <f aca="false">Parameters!$E$12*IF($N86="V",Parameters!$I$12,IF($N86="F",Parameters!$J$12,Parameters!$K$12))*(1-Parameters!$L$12*$P86)*IF($D86="V1",Parameters!$M$12,IF($D86="V2",Parameters!$N$12,Parameters!$O$12))</f>
        <v>0.449373214285714</v>
      </c>
      <c r="BI86" s="46" t="n">
        <f aca="false">BH86*(1+INDEX(Response_Table!$L$4:$L$21,MATCH($F86&amp;"|mid",Response_Table!$A$4:$A$21,0))*$R86*INDEX(Parameters!$X$12:$AA$12,1,MATCH($E86,Parameters!$X$3:$AA$3,0)))</f>
        <v>0.237381732700662</v>
      </c>
      <c r="BJ86" s="46" t="n">
        <f aca="false">MAX(0,MIN(BH86*(1+INDEX(Response_Table!$L$4:$L$21,MATCH($F86&amp;"|low",Response_Table!$A$4:$A$21,0))*$R86*INDEX(Parameters!$X$12:$AA$12,1,MATCH($E86,Parameters!$X$3:$AA$3,0))),BH86*(1+INDEX(Response_Table!$L$4:$L$21,MATCH($F86&amp;"|high",Response_Table!$A$4:$A$21,0))*$R86*INDEX(Parameters!$X$12:$AA$12,1,MATCH($E86,Parameters!$X$3:$AA$3,0))))*(1-Inputs_General!$C$22*Parameters!$F$12))</f>
        <v>0.177788935430965</v>
      </c>
      <c r="BK86" s="46" t="n">
        <f aca="false">MAX(BH86*(1+INDEX(Response_Table!$L$4:$L$21,MATCH($F86&amp;"|low",Response_Table!$A$4:$A$21,0))*$R86*INDEX(Parameters!$X$12:$AA$12,1,MATCH($E86,Parameters!$X$3:$AA$3,0))),BH86*(1+INDEX(Response_Table!$L$4:$L$21,MATCH($F86&amp;"|high",Response_Table!$A$4:$A$21,0))*$R86*INDEX(Parameters!$X$12:$AA$12,1,MATCH($E86,Parameters!$X$3:$AA$3,0))))*(1+Inputs_General!$C$22*Parameters!$F$12)</f>
        <v>0.306218139460681</v>
      </c>
      <c r="BL86" s="45" t="n">
        <f aca="false">IF(BH86=0,0,BI86/BH86-1)</f>
        <v>-0.471749260627418</v>
      </c>
      <c r="BM86" s="46" t="n">
        <f aca="false">Parameters!$E$13*IF($N86="V",Parameters!$I$13,IF($N86="F",Parameters!$J$13,Parameters!$K$13))*(1-Parameters!$L$13*$P86)*IF($D86="V1",Parameters!$M$13,IF($D86="V2",Parameters!$N$13,Parameters!$O$13))</f>
        <v>0.299791071428571</v>
      </c>
      <c r="BN86" s="46" t="n">
        <f aca="false">BM86*(1+INDEX(Response_Table!$M$4:$M$21,MATCH($F86&amp;"|mid",Response_Table!$A$4:$A$21,0))*$R86*INDEX(Parameters!$X$13:$AA$13,1,MATCH($E86,Parameters!$X$3:$AA$3,0)))</f>
        <v>0.197732006832457</v>
      </c>
      <c r="BO86" s="46" t="n">
        <f aca="false">MAX(0,MIN(BM86*(1+INDEX(Response_Table!$M$4:$M$21,MATCH($F86&amp;"|low",Response_Table!$A$4:$A$21,0))*$R86*INDEX(Parameters!$X$13:$AA$13,1,MATCH($E86,Parameters!$X$3:$AA$3,0))),BM86*(1+INDEX(Response_Table!$M$4:$M$21,MATCH($F86&amp;"|high",Response_Table!$A$4:$A$21,0))*$R86*INDEX(Parameters!$X$13:$AA$13,1,MATCH($E86,Parameters!$X$3:$AA$3,0))))*(1-Inputs_General!$C$22*Parameters!$F$13))</f>
        <v>0.151995469563501</v>
      </c>
      <c r="BP86" s="46" t="n">
        <f aca="false">MAX(BM86*(1+INDEX(Response_Table!$M$4:$M$21,MATCH($F86&amp;"|low",Response_Table!$A$4:$A$21,0))*$R86*INDEX(Parameters!$X$13:$AA$13,1,MATCH($E86,Parameters!$X$3:$AA$3,0))),BM86*(1+INDEX(Response_Table!$M$4:$M$21,MATCH($F86&amp;"|high",Response_Table!$A$4:$A$21,0))*$R86*INDEX(Parameters!$X$13:$AA$13,1,MATCH($E86,Parameters!$X$3:$AA$3,0))))*(1+Inputs_General!$C$22*Parameters!$F$13)</f>
        <v>0.249507842069955</v>
      </c>
      <c r="BQ86" s="45" t="n">
        <f aca="false">IF(BM86=0,0,BN86/BM86-1)</f>
        <v>-0.340433969930393</v>
      </c>
      <c r="BR86" s="44" t="n">
        <f aca="false">Parameters!$E$14*IF($N86="V",Parameters!$I$14,IF($N86="F",Parameters!$J$14,Parameters!$K$14))*(1-Parameters!$L$14*$P86)*IF($D86="V1",Parameters!$M$14,IF($D86="V2",Parameters!$N$14,Parameters!$O$14))*INDEX(Context!$AC$4:$AC$51,$K86)</f>
        <v>15</v>
      </c>
      <c r="BS86" s="44" t="n">
        <f aca="false">BR86*(1+INDEX(Response_Table!$N$4:$N$21,MATCH($F86&amp;"|mid",Response_Table!$A$4:$A$21,0))*$R86*INDEX(Parameters!$X$14:$AA$14,1,MATCH($E86,Parameters!$X$3:$AA$3,0)))</f>
        <v>22.7195333557214</v>
      </c>
      <c r="BT86" s="44" t="n">
        <f aca="false">MAX(0,MIN(BR86*(1+INDEX(Response_Table!$N$4:$N$21,MATCH($F86&amp;"|low",Response_Table!$A$4:$A$21,0))*$R86*INDEX(Parameters!$X$14:$AA$14,1,MATCH($E86,Parameters!$X$3:$AA$3,0))),BR86*(1+INDEX(Response_Table!$N$4:$N$21,MATCH($F86&amp;"|high",Response_Table!$A$4:$A$21,0))*$R86*INDEX(Parameters!$X$14:$AA$14,1,MATCH($E86,Parameters!$X$3:$AA$3,0))))*(1-Inputs_General!$C$22*Parameters!$F$14))</f>
        <v>11.16892216054</v>
      </c>
      <c r="BU86" s="44" t="n">
        <f aca="false">MAX(BR86*(1+INDEX(Response_Table!$N$4:$N$21,MATCH($F86&amp;"|low",Response_Table!$A$4:$A$21,0))*$R86*INDEX(Parameters!$X$14:$AA$14,1,MATCH($E86,Parameters!$X$3:$AA$3,0))),BR86*(1+INDEX(Response_Table!$N$4:$N$21,MATCH($F86&amp;"|high",Response_Table!$A$4:$A$21,0))*$R86*INDEX(Parameters!$X$14:$AA$14,1,MATCH($E86,Parameters!$X$3:$AA$3,0))))*(1+Inputs_General!$C$22*Parameters!$F$14)</f>
        <v>34.7944652864455</v>
      </c>
      <c r="BV86" s="45" t="n">
        <f aca="false">IF(BR86=0,0,BS86/BR86-1)</f>
        <v>0.514635557048092</v>
      </c>
      <c r="BW86" s="43" t="n">
        <f aca="false">Parameters!$E$15*IF($N86="V",Parameters!$I$15,IF($N86="F",Parameters!$J$15,Parameters!$K$15))*(1-Parameters!$L$15*$P86)*IF($D86="V1",Parameters!$M$15,IF($D86="V2",Parameters!$N$15,Parameters!$O$15))</f>
        <v>10.3855142857143</v>
      </c>
      <c r="BX86" s="43" t="n">
        <f aca="false">BW86*(1+INDEX(Response_Table!$O$4:$O$21,MATCH($F86&amp;"|mid",Response_Table!$A$4:$A$21,0))*$R86*INDEX(Parameters!$X$15:$AA$15,1,MATCH($E86,Parameters!$X$3:$AA$3,0)))</f>
        <v>9.04932555329941</v>
      </c>
      <c r="BY86" s="43" t="n">
        <f aca="false">MAX(0,MIN(BW86*(1+INDEX(Response_Table!$O$4:$O$21,MATCH($F86&amp;"|low",Response_Table!$A$4:$A$21,0))*$R86*INDEX(Parameters!$X$15:$AA$15,1,MATCH($E86,Parameters!$X$3:$AA$3,0))),BW86*(1+INDEX(Response_Table!$O$4:$O$21,MATCH($F86&amp;"|high",Response_Table!$A$4:$A$21,0))*$R86*INDEX(Parameters!$X$15:$AA$15,1,MATCH($E86,Parameters!$X$3:$AA$3,0))))*(1-Inputs_General!$C$22*Parameters!$F$15))</f>
        <v>7.18272814990253</v>
      </c>
      <c r="BZ86" s="43" t="n">
        <f aca="false">MAX(BW86*(1+INDEX(Response_Table!$O$4:$O$21,MATCH($F86&amp;"|low",Response_Table!$A$4:$A$21,0))*$R86*INDEX(Parameters!$X$15:$AA$15,1,MATCH($E86,Parameters!$X$3:$AA$3,0))),BW86*(1+INDEX(Response_Table!$O$4:$O$21,MATCH($F86&amp;"|high",Response_Table!$A$4:$A$21,0))*$R86*INDEX(Parameters!$X$15:$AA$15,1,MATCH($E86,Parameters!$X$3:$AA$3,0))))*(1+Inputs_General!$C$22*Parameters!$F$15)</f>
        <v>10.9741857074232</v>
      </c>
      <c r="CA86" s="45" t="n">
        <f aca="false">IF(BW86=0,0,BX86/BW86-1)</f>
        <v>-0.128658889262023</v>
      </c>
      <c r="CB86" s="46" t="n">
        <f aca="false">BD86+BI86</f>
        <v>0.775636772037045</v>
      </c>
      <c r="CC86" s="43" t="n">
        <f aca="false">BD86/BI86</f>
        <v>2.26746613234608</v>
      </c>
      <c r="CD86" s="46" t="n">
        <f aca="false">BN86/CB86</f>
        <v>0.254928613445126</v>
      </c>
      <c r="CE86" s="43" t="n">
        <f aca="false">AE86/AO86</f>
        <v>2.17830838835283</v>
      </c>
      <c r="CF86" s="44" t="n">
        <f aca="false">AE86/AJ86</f>
        <v>30.4722194959803</v>
      </c>
      <c r="CG86" s="44" t="n">
        <f aca="false">INDEX(Context!$V$4:$V$51,$K86)</f>
        <v>25.5785714285714</v>
      </c>
      <c r="CH86" s="44" t="n">
        <f aca="false">INDEX(Context!$Y$4:$Y$51,$K86)</f>
        <v>23.620522619794</v>
      </c>
      <c r="CI86" s="44" t="n">
        <f aca="false">INDEX(Context!$Z$4:$Z$51,$K86)</f>
        <v>29.5785714285714</v>
      </c>
      <c r="CJ86" s="43" t="n">
        <f aca="false">INDEX(Context!$AA$4:$AA$51,$K86)</f>
        <v>0.201160714285714</v>
      </c>
      <c r="CK86" s="43" t="n">
        <f aca="false">MAX(0,MIN(1,1-(1-CJ86)*AO86/AN86))</f>
        <v>0.58909237292144</v>
      </c>
      <c r="CL86" s="44" t="n">
        <f aca="false">CH86+CK86*(CI86-CH86)</f>
        <v>27.1303637305385</v>
      </c>
      <c r="CM86" s="44" t="n">
        <f aca="false">CH86+MAX(0,MIN(1,1-(1-CJ86)*AQ86/AN86))*(CI86-CH86)</f>
        <v>25.9079260423925</v>
      </c>
      <c r="CN86" s="44" t="n">
        <f aca="false">CH86+MAX(0,MIN(1,1-(1-CJ86)*AP86/AN86))*(CI86-CH86)</f>
        <v>28.0647736658108</v>
      </c>
      <c r="CO86" s="44" t="n">
        <f aca="false">CL86-CG86</f>
        <v>1.55179230196703</v>
      </c>
      <c r="CP86" s="44" t="n">
        <f aca="false">CL86-(CH86+CJ86*(CI86-CH86))</f>
        <v>2.31131575662164</v>
      </c>
      <c r="CQ86" s="46" t="n">
        <f aca="false">CL86/CG86</f>
        <v>1.0606676688845</v>
      </c>
      <c r="CR86" s="43" t="n">
        <f aca="false">IF(CL86-CH86&lt;=0,"n/a",(CI86-CL86)/(CL86-CH86))</f>
        <v>0.697526646017802</v>
      </c>
      <c r="CS86" s="43" t="n">
        <f aca="false">IF(CI86-CL86&lt;=0,"n/a",(CL86-CH86)/(CI86-CL86))</f>
        <v>1.43363698821977</v>
      </c>
      <c r="CT86" s="43" t="n">
        <f aca="false">Inputs_General!$C$23+Inputs_General!$C$24*$I86</f>
        <v>1.9</v>
      </c>
      <c r="CU86" s="44" t="n">
        <f aca="false">3.29*CT86</f>
        <v>6.251</v>
      </c>
    </row>
    <row r="87" customFormat="false" ht="15" hidden="false" customHeight="false" outlineLevel="0" collapsed="false">
      <c r="A87" s="33" t="str">
        <f aca="false">B87&amp;"|"&amp;E87&amp;"|"&amp;F87</f>
        <v>D2V1|03/03/2026|Healthy</v>
      </c>
      <c r="B87" s="34" t="s">
        <v>346</v>
      </c>
      <c r="C87" s="33" t="s">
        <v>129</v>
      </c>
      <c r="D87" s="33" t="s">
        <v>142</v>
      </c>
      <c r="E87" s="33" t="s">
        <v>162</v>
      </c>
      <c r="F87" s="34" t="s">
        <v>275</v>
      </c>
      <c r="G87" s="33" t="s">
        <v>276</v>
      </c>
      <c r="H87" s="35" t="n">
        <f aca="false">INDEX(Severity_Classes!$C$4:$C$9,MATCH(F87,Severity_Classes!$A$4:$A$9,0))</f>
        <v>0</v>
      </c>
      <c r="I87" s="35" t="n">
        <f aca="false">INDEX(Severity_Classes!$D$4:$D$9,MATCH(F87,Severity_Classes!$A$4:$A$9,0))</f>
        <v>0</v>
      </c>
      <c r="J87" s="35" t="n">
        <f aca="false">INDEX(Severity_Classes!$E$4:$E$9,MATCH(F87,Severity_Classes!$A$4:$A$9,0))</f>
        <v>0</v>
      </c>
      <c r="K87" s="36" t="n">
        <f aca="false">MATCH(B87&amp;"|"&amp;E87,Context!$A$4:$A$51,0)</f>
        <v>15</v>
      </c>
      <c r="L87" s="36" t="n">
        <f aca="false">INDEX(Context!$H$4:$H$51,K87)</f>
        <v>75</v>
      </c>
      <c r="M87" s="36" t="n">
        <f aca="false">INDEX(Context!$I$4:$I$51,K87)</f>
        <v>26</v>
      </c>
      <c r="N87" s="33" t="str">
        <f aca="false">INDEX(Context!$L$4:$L$51,K87)</f>
        <v>F</v>
      </c>
      <c r="O87" s="33" t="str">
        <f aca="false">INDEX(Context!$M$4:$M$51,K87)</f>
        <v>5th fully expanded leaf from top</v>
      </c>
      <c r="P87" s="37" t="n">
        <f aca="false">INDEX(Context!$R$4:$R$51,K87)</f>
        <v>0.433928571428571</v>
      </c>
      <c r="Q87" s="37" t="n">
        <f aca="false">INDEX(Context!$U$4:$U$51,K87)</f>
        <v>1.73951545534029</v>
      </c>
      <c r="R87" s="37" t="n">
        <f aca="false">INDEX(Context!$AD$4:$AD$51,K87)</f>
        <v>1</v>
      </c>
      <c r="S87" s="33" t="str">
        <f aca="false">INDEX(Context!$AI$4:$AN$51,K87,MATCH(F87,Severity_Classes!$A$4:$A$9,0))</f>
        <v>Reference: healthy (uninoculated) control plot</v>
      </c>
      <c r="T87" s="38" t="n">
        <f aca="false">Parameters!$E$4*IF($N87="V",Parameters!$I$4,IF($N87="F",Parameters!$J$4,Parameters!$K$4))*(1-Parameters!$L$4*$P87)*IF($D87="V1",Parameters!$M$4,IF($D87="V2",Parameters!$N$4,Parameters!$O$4))</f>
        <v>83.2927660714286</v>
      </c>
      <c r="U87" s="38" t="n">
        <f aca="false">MIN(100,T87*(1+INDEX(Response_Table!$E$4:$E$21,MATCH($F87&amp;"|mid",Response_Table!$A$4:$A$21,0))*$R87*INDEX(Parameters!$X$4:$AA$4,1,MATCH($E87,Parameters!$X$3:$AA$3,0))))</f>
        <v>83.2927660714286</v>
      </c>
      <c r="V87" s="38" t="n">
        <f aca="false">MAX(0,MIN(T87*(1+INDEX(Response_Table!$E$4:$E$21,MATCH($F87&amp;"|low",Response_Table!$A$4:$A$21,0))*$R87*INDEX(Parameters!$X$4:$AA$4,1,MATCH($E87,Parameters!$X$3:$AA$3,0))),T87*(1+INDEX(Response_Table!$E$4:$E$21,MATCH($F87&amp;"|high",Response_Table!$A$4:$A$21,0))*$R87*INDEX(Parameters!$X$4:$AA$4,1,MATCH($E87,Parameters!$X$3:$AA$3,0))))*(1-Inputs_General!$C$22*Parameters!$F$4))</f>
        <v>77.8121020639286</v>
      </c>
      <c r="W87" s="38" t="n">
        <f aca="false">MIN(100,MAX(T87*(1+INDEX(Response_Table!$E$4:$E$21,MATCH($F87&amp;"|low",Response_Table!$A$4:$A$21,0))*$R87*INDEX(Parameters!$X$4:$AA$4,1,MATCH($E87,Parameters!$X$3:$AA$3,0))),T87*(1+INDEX(Response_Table!$E$4:$E$21,MATCH($F87&amp;"|high",Response_Table!$A$4:$A$21,0))*$R87*INDEX(Parameters!$X$4:$AA$4,1,MATCH($E87,Parameters!$X$3:$AA$3,0))))*(1+Inputs_General!$C$22*Parameters!$F$4))</f>
        <v>88.7734300789286</v>
      </c>
      <c r="X87" s="39" t="n">
        <f aca="false">IF(T87=0,0,U87/T87-1)</f>
        <v>0</v>
      </c>
      <c r="Y87" s="38" t="n">
        <f aca="false">Parameters!$E$5*IF($N87="V",Parameters!$I$5,IF($N87="F",Parameters!$J$5,Parameters!$K$5))*(1-Parameters!$L$5*$P87)*IF($D87="V1",Parameters!$M$5,IF($D87="V2",Parameters!$N$5,Parameters!$O$5))</f>
        <v>66.88584</v>
      </c>
      <c r="Z87" s="38" t="n">
        <f aca="false">MIN(100,Y87*(1+INDEX(Response_Table!$F$4:$F$21,MATCH($F87&amp;"|mid",Response_Table!$A$4:$A$21,0))*$R87*INDEX(Parameters!$X$5:$AA$5,1,MATCH($E87,Parameters!$X$3:$AA$3,0))))</f>
        <v>66.88584</v>
      </c>
      <c r="AA87" s="38" t="n">
        <f aca="false">MAX(0,MIN(Y87*(1+INDEX(Response_Table!$F$4:$F$21,MATCH($F87&amp;"|low",Response_Table!$A$4:$A$21,0))*$R87*INDEX(Parameters!$X$5:$AA$5,1,MATCH($E87,Parameters!$X$3:$AA$3,0))),Y87*(1+INDEX(Response_Table!$F$4:$F$21,MATCH($F87&amp;"|high",Response_Table!$A$4:$A$21,0))*$R87*INDEX(Parameters!$X$5:$AA$5,1,MATCH($E87,Parameters!$X$3:$AA$3,0))))*(1-Inputs_General!$C$22*Parameters!$F$5))</f>
        <v>59.183935524</v>
      </c>
      <c r="AB87" s="38" t="n">
        <f aca="false">MIN(100,MAX(Y87*(1+INDEX(Response_Table!$F$4:$F$21,MATCH($F87&amp;"|low",Response_Table!$A$4:$A$21,0))*$R87*INDEX(Parameters!$X$5:$AA$5,1,MATCH($E87,Parameters!$X$3:$AA$3,0))),Y87*(1+INDEX(Response_Table!$F$4:$F$21,MATCH($F87&amp;"|high",Response_Table!$A$4:$A$21,0))*$R87*INDEX(Parameters!$X$5:$AA$5,1,MATCH($E87,Parameters!$X$3:$AA$3,0))))*(1+Inputs_General!$C$22*Parameters!$F$5))</f>
        <v>74.587744476</v>
      </c>
      <c r="AC87" s="39" t="n">
        <f aca="false">IF(Y87=0,0,Z87/Y87-1)</f>
        <v>0</v>
      </c>
      <c r="AD87" s="38" t="n">
        <f aca="false">Parameters!$E$6*IF($N87="V",Parameters!$I$6,IF($N87="F",Parameters!$J$6,Parameters!$K$6))*(1-Parameters!$L$6*$P87)*IF($D87="V1",Parameters!$M$6,IF($D87="V2",Parameters!$N$6,Parameters!$O$6))</f>
        <v>18.0106428571429</v>
      </c>
      <c r="AE87" s="38" t="n">
        <f aca="false">AD87*(1+INDEX(Response_Table!$G$4:$G$21,MATCH($F87&amp;"|mid",Response_Table!$A$4:$A$21,0))*$R87*INDEX(Parameters!$X$6:$AA$6,1,MATCH($E87,Parameters!$X$3:$AA$3,0)))</f>
        <v>18.0106428571429</v>
      </c>
      <c r="AF87" s="38" t="n">
        <f aca="false">MAX(0,MIN(AD87*(1+INDEX(Response_Table!$G$4:$G$21,MATCH($F87&amp;"|low",Response_Table!$A$4:$A$21,0))*$R87*INDEX(Parameters!$X$6:$AA$6,1,MATCH($E87,Parameters!$X$3:$AA$3,0))),AD87*(1+INDEX(Response_Table!$G$4:$G$21,MATCH($F87&amp;"|high",Response_Table!$A$4:$A$21,0))*$R87*INDEX(Parameters!$X$6:$AA$6,1,MATCH($E87,Parameters!$X$3:$AA$3,0))))*(1-Inputs_General!$C$22*Parameters!$F$6))</f>
        <v>14.4553419571429</v>
      </c>
      <c r="AG87" s="38" t="n">
        <f aca="false">MAX(AD87*(1+INDEX(Response_Table!$G$4:$G$21,MATCH($F87&amp;"|low",Response_Table!$A$4:$A$21,0))*$R87*INDEX(Parameters!$X$6:$AA$6,1,MATCH($E87,Parameters!$X$3:$AA$3,0))),AD87*(1+INDEX(Response_Table!$G$4:$G$21,MATCH($F87&amp;"|high",Response_Table!$A$4:$A$21,0))*$R87*INDEX(Parameters!$X$6:$AA$6,1,MATCH($E87,Parameters!$X$3:$AA$3,0))))*(1+Inputs_General!$C$22*Parameters!$F$6)</f>
        <v>21.5659437571429</v>
      </c>
      <c r="AH87" s="39" t="n">
        <f aca="false">IF(AD87=0,0,AE87/AD87-1)</f>
        <v>0</v>
      </c>
      <c r="AI87" s="40" t="n">
        <f aca="false">Parameters!$E$7*IF($N87="V",Parameters!$I$7,IF($N87="F",Parameters!$J$7,Parameters!$K$7))*(1-Parameters!$L$7*$P87)*IF($D87="V1",Parameters!$M$7,IF($D87="V2",Parameters!$N$7,Parameters!$O$7))*POWER($Q87/Inputs_General!$C$26,-Inputs_General!$C$25)</f>
        <v>0.341191629407368</v>
      </c>
      <c r="AJ87" s="40" t="n">
        <f aca="false">AI87*(1+INDEX(Response_Table!$H$4:$H$21,MATCH($F87&amp;"|mid",Response_Table!$A$4:$A$21,0))*$R87*INDEX(Parameters!$X$7:$AA$7,1,MATCH($E87,Parameters!$X$3:$AA$3,0)))</f>
        <v>0.341191629407368</v>
      </c>
      <c r="AK87" s="40" t="n">
        <f aca="false">MAX(0,MIN(AI87*(1+INDEX(Response_Table!$H$4:$H$21,MATCH($F87&amp;"|low",Response_Table!$A$4:$A$21,0))*$R87*INDEX(Parameters!$X$7:$AA$7,1,MATCH($E87,Parameters!$X$3:$AA$3,0))),AI87*(1+INDEX(Response_Table!$H$4:$H$21,MATCH($F87&amp;"|high",Response_Table!$A$4:$A$21,0))*$R87*INDEX(Parameters!$X$7:$AA$7,1,MATCH($E87,Parameters!$X$3:$AA$3,0))))*(1-Inputs_General!$C$22*Parameters!$F$7))</f>
        <v>0.240164787939846</v>
      </c>
      <c r="AL87" s="40" t="n">
        <f aca="false">MAX(AI87*(1+INDEX(Response_Table!$H$4:$H$21,MATCH($F87&amp;"|low",Response_Table!$A$4:$A$21,0))*$R87*INDEX(Parameters!$X$7:$AA$7,1,MATCH($E87,Parameters!$X$3:$AA$3,0))),AI87*(1+INDEX(Response_Table!$H$4:$H$21,MATCH($F87&amp;"|high",Response_Table!$A$4:$A$21,0))*$R87*INDEX(Parameters!$X$7:$AA$7,1,MATCH($E87,Parameters!$X$3:$AA$3,0))))*(1+Inputs_General!$C$22*Parameters!$F$7)</f>
        <v>0.44221847087489</v>
      </c>
      <c r="AM87" s="39" t="n">
        <f aca="false">IF(AI87=0,0,AJ87/AI87-1)</f>
        <v>0</v>
      </c>
      <c r="AN87" s="37" t="n">
        <f aca="false">AI87*$Q87/Inputs_General!$C$13*1000</f>
        <v>5.97691956280819</v>
      </c>
      <c r="AO87" s="37" t="n">
        <f aca="false">AJ87*$Q87/Inputs_General!$C$13*1000*(1+Inputs_General!$C$21*$I87)</f>
        <v>5.97691956280819</v>
      </c>
      <c r="AP87" s="37" t="n">
        <f aca="false">AK87*$Q87/Inputs_General!$C$13*1000*(1+Inputs_General!$C$21*$H87)</f>
        <v>4.20715368026068</v>
      </c>
      <c r="AQ87" s="37" t="n">
        <f aca="false">AL87*$Q87/Inputs_General!$C$13*1000*(1+Inputs_General!$C$21*$J87)</f>
        <v>7.74668544535569</v>
      </c>
      <c r="AR87" s="39" t="n">
        <f aca="false">IF(AN87=0,0,AO87/AN87-1)</f>
        <v>0</v>
      </c>
      <c r="AS87" s="36" t="n">
        <f aca="false">Parameters!$E$9*IF($N87="V",Parameters!$I$9,IF($N87="F",Parameters!$J$9,Parameters!$K$9))*(1-Parameters!$L$9*$P87)*IF($D87="V1",Parameters!$M$9,IF($D87="V2",Parameters!$N$9,Parameters!$O$9))</f>
        <v>285</v>
      </c>
      <c r="AT87" s="36" t="n">
        <f aca="false">AS87*(1+INDEX(Response_Table!$I$4:$I$21,MATCH($F87&amp;"|mid",Response_Table!$A$4:$A$21,0))*$R87*INDEX(Parameters!$X$9:$AA$9,1,MATCH($E87,Parameters!$X$3:$AA$3,0)))</f>
        <v>285</v>
      </c>
      <c r="AU87" s="36" t="n">
        <f aca="false">MAX(0,MIN(AS87*(1+INDEX(Response_Table!$I$4:$I$21,MATCH($F87&amp;"|low",Response_Table!$A$4:$A$21,0))*$R87*INDEX(Parameters!$X$9:$AA$9,1,MATCH($E87,Parameters!$X$3:$AA$3,0))),AS87*(1+INDEX(Response_Table!$I$4:$I$21,MATCH($F87&amp;"|high",Response_Table!$A$4:$A$21,0))*$R87*INDEX(Parameters!$X$9:$AA$9,1,MATCH($E87,Parameters!$X$3:$AA$3,0))))*(1-Inputs_General!$C$22*Parameters!$F$9))</f>
        <v>256.8705</v>
      </c>
      <c r="AV87" s="36" t="n">
        <f aca="false">MAX(AS87*(1+INDEX(Response_Table!$I$4:$I$21,MATCH($F87&amp;"|low",Response_Table!$A$4:$A$21,0))*$R87*INDEX(Parameters!$X$9:$AA$9,1,MATCH($E87,Parameters!$X$3:$AA$3,0))),AS87*(1+INDEX(Response_Table!$I$4:$I$21,MATCH($F87&amp;"|high",Response_Table!$A$4:$A$21,0))*$R87*INDEX(Parameters!$X$9:$AA$9,1,MATCH($E87,Parameters!$X$3:$AA$3,0))))*(1+Inputs_General!$C$22*Parameters!$F$9)</f>
        <v>313.1295</v>
      </c>
      <c r="AW87" s="39" t="n">
        <f aca="false">IF(AS87=0,0,AT87/AS87-1)</f>
        <v>0</v>
      </c>
      <c r="AX87" s="37" t="n">
        <f aca="false">INDEX(Context!$AB$4:$AB$51,$K87)</f>
        <v>2.92553901513759</v>
      </c>
      <c r="AY87" s="37" t="n">
        <f aca="false">AX87*(1+INDEX(Response_Table!$J$4:$J$21,MATCH($F87&amp;"|mid",Response_Table!$A$4:$A$21,0))*$R87*INDEX(Parameters!$X$10:$AA$10,1,MATCH($E87,Parameters!$X$3:$AA$3,0)))</f>
        <v>2.92553901513759</v>
      </c>
      <c r="AZ87" s="37" t="n">
        <f aca="false">MAX(0,MIN(AX87*(1+INDEX(Response_Table!$J$4:$J$21,MATCH($F87&amp;"|low",Response_Table!$A$4:$A$21,0))*$R87*INDEX(Parameters!$X$10:$AA$10,1,MATCH($E87,Parameters!$X$3:$AA$3,0))),AX87*(1+INDEX(Response_Table!$J$4:$J$21,MATCH($F87&amp;"|high",Response_Table!$A$4:$A$21,0))*$R87*INDEX(Parameters!$X$10:$AA$10,1,MATCH($E87,Parameters!$X$3:$AA$3,0))))*(1-Inputs_General!$C$22*Parameters!$F$10))</f>
        <v>2.34803761354943</v>
      </c>
      <c r="BA87" s="37" t="n">
        <f aca="false">MAX(AX87*(1+INDEX(Response_Table!$J$4:$J$21,MATCH($F87&amp;"|low",Response_Table!$A$4:$A$21,0))*$R87*INDEX(Parameters!$X$10:$AA$10,1,MATCH($E87,Parameters!$X$3:$AA$3,0))),AX87*(1+INDEX(Response_Table!$J$4:$J$21,MATCH($F87&amp;"|high",Response_Table!$A$4:$A$21,0))*$R87*INDEX(Parameters!$X$10:$AA$10,1,MATCH($E87,Parameters!$X$3:$AA$3,0))))*(1+Inputs_General!$C$22*Parameters!$F$10)</f>
        <v>3.50304041672575</v>
      </c>
      <c r="BB87" s="39" t="n">
        <f aca="false">IF(AX87=0,0,AY87/AX87-1)</f>
        <v>0</v>
      </c>
      <c r="BC87" s="40" t="n">
        <f aca="false">Parameters!$E$11*IF($N87="V",Parameters!$I$11,IF($N87="F",Parameters!$J$11,Parameters!$K$11))*(1-Parameters!$L$11*$P87)*IF($D87="V1",Parameters!$M$11,IF($D87="V2",Parameters!$N$11,Parameters!$O$11))</f>
        <v>1.21745535714286</v>
      </c>
      <c r="BD87" s="40" t="n">
        <f aca="false">BC87*(1+INDEX(Response_Table!$K$4:$K$21,MATCH($F87&amp;"|mid",Response_Table!$A$4:$A$21,0))*$R87*INDEX(Parameters!$X$11:$AA$11,1,MATCH($E87,Parameters!$X$3:$AA$3,0)))</f>
        <v>1.21745535714286</v>
      </c>
      <c r="BE87" s="40" t="n">
        <f aca="false">MAX(0,MIN(BC87*(1+INDEX(Response_Table!$K$4:$K$21,MATCH($F87&amp;"|low",Response_Table!$A$4:$A$21,0))*$R87*INDEX(Parameters!$X$11:$AA$11,1,MATCH($E87,Parameters!$X$3:$AA$3,0))),BC87*(1+INDEX(Response_Table!$K$4:$K$21,MATCH($F87&amp;"|high",Response_Table!$A$4:$A$21,0))*$R87*INDEX(Parameters!$X$11:$AA$11,1,MATCH($E87,Parameters!$X$3:$AA$3,0))))*(1-Inputs_General!$C$22*Parameters!$F$11))</f>
        <v>1.01718395089286</v>
      </c>
      <c r="BF87" s="40" t="n">
        <f aca="false">MAX(BC87*(1+INDEX(Response_Table!$K$4:$K$21,MATCH($F87&amp;"|low",Response_Table!$A$4:$A$21,0))*$R87*INDEX(Parameters!$X$11:$AA$11,1,MATCH($E87,Parameters!$X$3:$AA$3,0))),BC87*(1+INDEX(Response_Table!$K$4:$K$21,MATCH($F87&amp;"|high",Response_Table!$A$4:$A$21,0))*$R87*INDEX(Parameters!$X$11:$AA$11,1,MATCH($E87,Parameters!$X$3:$AA$3,0))))*(1+Inputs_General!$C$22*Parameters!$F$11)</f>
        <v>1.41772676339286</v>
      </c>
      <c r="BG87" s="39" t="n">
        <f aca="false">IF(BC87=0,0,BD87/BC87-1)</f>
        <v>0</v>
      </c>
      <c r="BH87" s="40" t="n">
        <f aca="false">Parameters!$E$12*IF($N87="V",Parameters!$I$12,IF($N87="F",Parameters!$J$12,Parameters!$K$12))*(1-Parameters!$L$12*$P87)*IF($D87="V1",Parameters!$M$12,IF($D87="V2",Parameters!$N$12,Parameters!$O$12))</f>
        <v>0.438283928571429</v>
      </c>
      <c r="BI87" s="40" t="n">
        <f aca="false">BH87*(1+INDEX(Response_Table!$L$4:$L$21,MATCH($F87&amp;"|mid",Response_Table!$A$4:$A$21,0))*$R87*INDEX(Parameters!$X$12:$AA$12,1,MATCH($E87,Parameters!$X$3:$AA$3,0)))</f>
        <v>0.438283928571429</v>
      </c>
      <c r="BJ87" s="40" t="n">
        <f aca="false">MAX(0,MIN(BH87*(1+INDEX(Response_Table!$L$4:$L$21,MATCH($F87&amp;"|low",Response_Table!$A$4:$A$21,0))*$R87*INDEX(Parameters!$X$12:$AA$12,1,MATCH($E87,Parameters!$X$3:$AA$3,0))),BH87*(1+INDEX(Response_Table!$L$4:$L$21,MATCH($F87&amp;"|high",Response_Table!$A$4:$A$21,0))*$R87*INDEX(Parameters!$X$12:$AA$12,1,MATCH($E87,Parameters!$X$3:$AA$3,0))))*(1-Inputs_General!$C$22*Parameters!$F$12))</f>
        <v>0.351766681071429</v>
      </c>
      <c r="BK87" s="40" t="n">
        <f aca="false">MAX(BH87*(1+INDEX(Response_Table!$L$4:$L$21,MATCH($F87&amp;"|low",Response_Table!$A$4:$A$21,0))*$R87*INDEX(Parameters!$X$12:$AA$12,1,MATCH($E87,Parameters!$X$3:$AA$3,0))),BH87*(1+INDEX(Response_Table!$L$4:$L$21,MATCH($F87&amp;"|high",Response_Table!$A$4:$A$21,0))*$R87*INDEX(Parameters!$X$12:$AA$12,1,MATCH($E87,Parameters!$X$3:$AA$3,0))))*(1+Inputs_General!$C$22*Parameters!$F$12)</f>
        <v>0.524801176071429</v>
      </c>
      <c r="BL87" s="39" t="n">
        <f aca="false">IF(BH87=0,0,BI87/BH87-1)</f>
        <v>0</v>
      </c>
      <c r="BM87" s="40" t="n">
        <f aca="false">Parameters!$E$13*IF($N87="V",Parameters!$I$13,IF($N87="F",Parameters!$J$13,Parameters!$K$13))*(1-Parameters!$L$13*$P87)*IF($D87="V1",Parameters!$M$13,IF($D87="V2",Parameters!$N$13,Parameters!$O$13))</f>
        <v>0.296094642857143</v>
      </c>
      <c r="BN87" s="40" t="n">
        <f aca="false">BM87*(1+INDEX(Response_Table!$M$4:$M$21,MATCH($F87&amp;"|mid",Response_Table!$A$4:$A$21,0))*$R87*INDEX(Parameters!$X$13:$AA$13,1,MATCH($E87,Parameters!$X$3:$AA$3,0)))</f>
        <v>0.296094642857143</v>
      </c>
      <c r="BO87" s="40" t="n">
        <f aca="false">MAX(0,MIN(BM87*(1+INDEX(Response_Table!$M$4:$M$21,MATCH($F87&amp;"|low",Response_Table!$A$4:$A$21,0))*$R87*INDEX(Parameters!$X$13:$AA$13,1,MATCH($E87,Parameters!$X$3:$AA$3,0))),BM87*(1+INDEX(Response_Table!$M$4:$M$21,MATCH($F87&amp;"|high",Response_Table!$A$4:$A$21,0))*$R87*INDEX(Parameters!$X$13:$AA$13,1,MATCH($E87,Parameters!$X$3:$AA$3,0))))*(1-Inputs_General!$C$22*Parameters!$F$13))</f>
        <v>0.237645560357143</v>
      </c>
      <c r="BP87" s="40" t="n">
        <f aca="false">MAX(BM87*(1+INDEX(Response_Table!$M$4:$M$21,MATCH($F87&amp;"|low",Response_Table!$A$4:$A$21,0))*$R87*INDEX(Parameters!$X$13:$AA$13,1,MATCH($E87,Parameters!$X$3:$AA$3,0))),BM87*(1+INDEX(Response_Table!$M$4:$M$21,MATCH($F87&amp;"|high",Response_Table!$A$4:$A$21,0))*$R87*INDEX(Parameters!$X$13:$AA$13,1,MATCH($E87,Parameters!$X$3:$AA$3,0))))*(1+Inputs_General!$C$22*Parameters!$F$13)</f>
        <v>0.354543725357143</v>
      </c>
      <c r="BQ87" s="39" t="n">
        <f aca="false">IF(BM87=0,0,BN87/BM87-1)</f>
        <v>0</v>
      </c>
      <c r="BR87" s="38" t="n">
        <f aca="false">Parameters!$E$14*IF($N87="V",Parameters!$I$14,IF($N87="F",Parameters!$J$14,Parameters!$K$14))*(1-Parameters!$L$14*$P87)*IF($D87="V1",Parameters!$M$14,IF($D87="V2",Parameters!$N$14,Parameters!$O$14))*INDEX(Context!$AC$4:$AC$51,$K87)</f>
        <v>15</v>
      </c>
      <c r="BS87" s="38" t="n">
        <f aca="false">BR87*(1+INDEX(Response_Table!$N$4:$N$21,MATCH($F87&amp;"|mid",Response_Table!$A$4:$A$21,0))*$R87*INDEX(Parameters!$X$14:$AA$14,1,MATCH($E87,Parameters!$X$3:$AA$3,0)))</f>
        <v>15</v>
      </c>
      <c r="BT87" s="38" t="n">
        <f aca="false">MAX(0,MIN(BR87*(1+INDEX(Response_Table!$N$4:$N$21,MATCH($F87&amp;"|low",Response_Table!$A$4:$A$21,0))*$R87*INDEX(Parameters!$X$14:$AA$14,1,MATCH($E87,Parameters!$X$3:$AA$3,0))),BR87*(1+INDEX(Response_Table!$N$4:$N$21,MATCH($F87&amp;"|high",Response_Table!$A$4:$A$21,0))*$R87*INDEX(Parameters!$X$14:$AA$14,1,MATCH($E87,Parameters!$X$3:$AA$3,0))))*(1-Inputs_General!$C$22*Parameters!$F$14))</f>
        <v>7.5975</v>
      </c>
      <c r="BU87" s="38" t="n">
        <f aca="false">MAX(BR87*(1+INDEX(Response_Table!$N$4:$N$21,MATCH($F87&amp;"|low",Response_Table!$A$4:$A$21,0))*$R87*INDEX(Parameters!$X$14:$AA$14,1,MATCH($E87,Parameters!$X$3:$AA$3,0))),BR87*(1+INDEX(Response_Table!$N$4:$N$21,MATCH($F87&amp;"|high",Response_Table!$A$4:$A$21,0))*$R87*INDEX(Parameters!$X$14:$AA$14,1,MATCH($E87,Parameters!$X$3:$AA$3,0))))*(1+Inputs_General!$C$22*Parameters!$F$14)</f>
        <v>22.4025</v>
      </c>
      <c r="BV87" s="39" t="n">
        <f aca="false">IF(BR87=0,0,BS87/BR87-1)</f>
        <v>0</v>
      </c>
      <c r="BW87" s="37" t="n">
        <f aca="false">Parameters!$E$15*IF($N87="V",Parameters!$I$15,IF($N87="F",Parameters!$J$15,Parameters!$K$15))*(1-Parameters!$L$15*$P87)*IF($D87="V1",Parameters!$M$15,IF($D87="V2",Parameters!$N$15,Parameters!$O$15))</f>
        <v>10.1292285714286</v>
      </c>
      <c r="BX87" s="37" t="n">
        <f aca="false">BW87*(1+INDEX(Response_Table!$O$4:$O$21,MATCH($F87&amp;"|mid",Response_Table!$A$4:$A$21,0))*$R87*INDEX(Parameters!$X$15:$AA$15,1,MATCH($E87,Parameters!$X$3:$AA$3,0)))</f>
        <v>10.1292285714286</v>
      </c>
      <c r="BY87" s="37" t="n">
        <f aca="false">MAX(0,MIN(BW87*(1+INDEX(Response_Table!$O$4:$O$21,MATCH($F87&amp;"|low",Response_Table!$A$4:$A$21,0))*$R87*INDEX(Parameters!$X$15:$AA$15,1,MATCH($E87,Parameters!$X$3:$AA$3,0))),BW87*(1+INDEX(Response_Table!$O$4:$O$21,MATCH($F87&amp;"|high",Response_Table!$A$4:$A$21,0))*$R87*INDEX(Parameters!$X$15:$AA$15,1,MATCH($E87,Parameters!$X$3:$AA$3,0))))*(1-Inputs_General!$C$22*Parameters!$F$15))</f>
        <v>8.12971885142857</v>
      </c>
      <c r="BZ87" s="37" t="n">
        <f aca="false">MAX(BW87*(1+INDEX(Response_Table!$O$4:$O$21,MATCH($F87&amp;"|low",Response_Table!$A$4:$A$21,0))*$R87*INDEX(Parameters!$X$15:$AA$15,1,MATCH($E87,Parameters!$X$3:$AA$3,0))),BW87*(1+INDEX(Response_Table!$O$4:$O$21,MATCH($F87&amp;"|high",Response_Table!$A$4:$A$21,0))*$R87*INDEX(Parameters!$X$15:$AA$15,1,MATCH($E87,Parameters!$X$3:$AA$3,0))))*(1+Inputs_General!$C$22*Parameters!$F$15)</f>
        <v>12.1287382914286</v>
      </c>
      <c r="CA87" s="39" t="n">
        <f aca="false">IF(BW87=0,0,BX87/BW87-1)</f>
        <v>0</v>
      </c>
      <c r="CB87" s="40" t="n">
        <f aca="false">BD87+BI87</f>
        <v>1.65573928571429</v>
      </c>
      <c r="CC87" s="37" t="n">
        <f aca="false">BD87/BI87</f>
        <v>2.77777777777778</v>
      </c>
      <c r="CD87" s="40" t="n">
        <f aca="false">BN87/CB87</f>
        <v>0.178829267030049</v>
      </c>
      <c r="CE87" s="37" t="n">
        <f aca="false">AE87/AO87</f>
        <v>3.01336544149186</v>
      </c>
      <c r="CF87" s="38" t="n">
        <f aca="false">AE87/AJ87</f>
        <v>52.7874698697222</v>
      </c>
      <c r="CG87" s="38" t="n">
        <f aca="false">INDEX(Context!$V$4:$V$51,$K87)</f>
        <v>28.62</v>
      </c>
      <c r="CH87" s="38" t="n">
        <f aca="false">INDEX(Context!$Y$4:$Y$51,$K87)</f>
        <v>25.3060134606718</v>
      </c>
      <c r="CI87" s="38" t="n">
        <f aca="false">INDEX(Context!$Z$4:$Z$51,$K87)</f>
        <v>32.62</v>
      </c>
      <c r="CJ87" s="37" t="n">
        <f aca="false">INDEX(Context!$AA$4:$AA$51,$K87)</f>
        <v>0.221696428571429</v>
      </c>
      <c r="CK87" s="37" t="n">
        <f aca="false">MAX(0,MIN(1,1-(1-CJ87)*AO87/AN87))</f>
        <v>0.221696428571429</v>
      </c>
      <c r="CL87" s="38" t="n">
        <f aca="false">CH87+CK87*(CI87-CH87)</f>
        <v>26.9274981550603</v>
      </c>
      <c r="CM87" s="38" t="n">
        <f aca="false">CH87+MAX(0,MIN(1,1-(1-CJ87)*AQ87/AN87))*(CI87-CH87)</f>
        <v>25.3060134606718</v>
      </c>
      <c r="CN87" s="38" t="n">
        <f aca="false">CH87+MAX(0,MIN(1,1-(1-CJ87)*AP87/AN87))*(CI87-CH87)</f>
        <v>28.613047951347</v>
      </c>
      <c r="CO87" s="38" t="n">
        <f aca="false">CL87-CG87</f>
        <v>-1.69250184493966</v>
      </c>
      <c r="CP87" s="38" t="n">
        <f aca="false">CL87-(CH87+CJ87*(CI87-CH87))</f>
        <v>0</v>
      </c>
      <c r="CQ87" s="40" t="n">
        <f aca="false">CL87/CG87</f>
        <v>0.940862968380864</v>
      </c>
      <c r="CR87" s="37" t="n">
        <f aca="false">IF(CL87-CH87&lt;=0,"n/a",(CI87-CL87)/(CL87-CH87))</f>
        <v>3.5106725734998</v>
      </c>
      <c r="CS87" s="37" t="n">
        <f aca="false">IF(CI87-CL87&lt;=0,"n/a",(CL87-CH87)/(CI87-CL87))</f>
        <v>0.284845703797178</v>
      </c>
      <c r="CT87" s="37" t="n">
        <f aca="false">Inputs_General!$C$23+Inputs_General!$C$24*$I87</f>
        <v>0.6</v>
      </c>
      <c r="CU87" s="38" t="n">
        <f aca="false">3.29*CT87</f>
        <v>1.974</v>
      </c>
    </row>
    <row r="88" customFormat="false" ht="15" hidden="false" customHeight="false" outlineLevel="0" collapsed="false">
      <c r="A88" s="9" t="str">
        <f aca="false">B88&amp;"|"&amp;E88&amp;"|"&amp;F88</f>
        <v>D2V1|03/03/2026|Very low</v>
      </c>
      <c r="B88" s="7" t="s">
        <v>346</v>
      </c>
      <c r="C88" s="9" t="s">
        <v>129</v>
      </c>
      <c r="D88" s="9" t="s">
        <v>142</v>
      </c>
      <c r="E88" s="9" t="s">
        <v>162</v>
      </c>
      <c r="F88" s="7" t="s">
        <v>277</v>
      </c>
      <c r="G88" s="9" t="s">
        <v>278</v>
      </c>
      <c r="H88" s="41" t="n">
        <f aca="false">INDEX(Severity_Classes!$C$4:$C$9,MATCH(F88,Severity_Classes!$A$4:$A$9,0))</f>
        <v>0.01</v>
      </c>
      <c r="I88" s="41" t="n">
        <f aca="false">INDEX(Severity_Classes!$D$4:$D$9,MATCH(F88,Severity_Classes!$A$4:$A$9,0))</f>
        <v>0.03</v>
      </c>
      <c r="J88" s="41" t="n">
        <f aca="false">INDEX(Severity_Classes!$E$4:$E$9,MATCH(F88,Severity_Classes!$A$4:$A$9,0))</f>
        <v>0.05</v>
      </c>
      <c r="K88" s="42" t="n">
        <f aca="false">MATCH(B88&amp;"|"&amp;E88,Context!$A$4:$A$51,0)</f>
        <v>15</v>
      </c>
      <c r="L88" s="42" t="n">
        <f aca="false">INDEX(Context!$H$4:$H$51,K88)</f>
        <v>75</v>
      </c>
      <c r="M88" s="42" t="n">
        <f aca="false">INDEX(Context!$I$4:$I$51,K88)</f>
        <v>26</v>
      </c>
      <c r="N88" s="9" t="str">
        <f aca="false">INDEX(Context!$L$4:$L$51,K88)</f>
        <v>F</v>
      </c>
      <c r="O88" s="9" t="str">
        <f aca="false">INDEX(Context!$M$4:$M$51,K88)</f>
        <v>5th fully expanded leaf from top</v>
      </c>
      <c r="P88" s="43" t="n">
        <f aca="false">INDEX(Context!$R$4:$R$51,K88)</f>
        <v>0.433928571428571</v>
      </c>
      <c r="Q88" s="43" t="n">
        <f aca="false">INDEX(Context!$U$4:$U$51,K88)</f>
        <v>1.73951545534029</v>
      </c>
      <c r="R88" s="43" t="n">
        <f aca="false">INDEX(Context!$AD$4:$AD$51,K88)</f>
        <v>1</v>
      </c>
      <c r="S88" s="9" t="str">
        <f aca="false">INDEX(Context!$AI$4:$AN$51,K88,MATCH(F88,Severity_Classes!$A$4:$A$9,0))</f>
        <v>Possible</v>
      </c>
      <c r="T88" s="44" t="n">
        <f aca="false">Parameters!$E$4*IF($N88="V",Parameters!$I$4,IF($N88="F",Parameters!$J$4,Parameters!$K$4))*(1-Parameters!$L$4*$P88)*IF($D88="V1",Parameters!$M$4,IF($D88="V2",Parameters!$N$4,Parameters!$O$4))</f>
        <v>83.2927660714286</v>
      </c>
      <c r="U88" s="44" t="n">
        <f aca="false">MIN(100,T88*(1+INDEX(Response_Table!$E$4:$E$21,MATCH($F88&amp;"|mid",Response_Table!$A$4:$A$21,0))*$R88*INDEX(Parameters!$X$4:$AA$4,1,MATCH($E88,Parameters!$X$3:$AA$3,0))))</f>
        <v>82.9336627372448</v>
      </c>
      <c r="V88" s="44" t="n">
        <f aca="false">MAX(0,MIN(T88*(1+INDEX(Response_Table!$E$4:$E$21,MATCH($F88&amp;"|low",Response_Table!$A$4:$A$21,0))*$R88*INDEX(Parameters!$X$4:$AA$4,1,MATCH($E88,Parameters!$X$3:$AA$3,0))),T88*(1+INDEX(Response_Table!$E$4:$E$21,MATCH($F88&amp;"|high",Response_Table!$A$4:$A$21,0))*$R88*INDEX(Parameters!$X$4:$AA$4,1,MATCH($E88,Parameters!$X$3:$AA$3,0))))*(1-Inputs_General!$C$22*Parameters!$F$4))</f>
        <v>77.2086835543251</v>
      </c>
      <c r="W88" s="44" t="n">
        <f aca="false">MIN(100,MAX(T88*(1+INDEX(Response_Table!$E$4:$E$21,MATCH($F88&amp;"|low",Response_Table!$A$4:$A$21,0))*$R88*INDEX(Parameters!$X$4:$AA$4,1,MATCH($E88,Parameters!$X$3:$AA$3,0))),T88*(1+INDEX(Response_Table!$E$4:$E$21,MATCH($F88&amp;"|high",Response_Table!$A$4:$A$21,0))*$R88*INDEX(Parameters!$X$4:$AA$4,1,MATCH($E88,Parameters!$X$3:$AA$3,0))))*(1+Inputs_General!$C$22*Parameters!$F$4))</f>
        <v>88.6551446247643</v>
      </c>
      <c r="X88" s="45" t="n">
        <f aca="false">IF(T88=0,0,U88/T88-1)</f>
        <v>-0.00431133880072854</v>
      </c>
      <c r="Y88" s="44" t="n">
        <f aca="false">Parameters!$E$5*IF($N88="V",Parameters!$I$5,IF($N88="F",Parameters!$J$5,Parameters!$K$5))*(1-Parameters!$L$5*$P88)*IF($D88="V1",Parameters!$M$5,IF($D88="V2",Parameters!$N$5,Parameters!$O$5))</f>
        <v>66.88584</v>
      </c>
      <c r="Z88" s="44" t="n">
        <f aca="false">MIN(100,Y88*(1+INDEX(Response_Table!$F$4:$F$21,MATCH($F88&amp;"|mid",Response_Table!$A$4:$A$21,0))*$R88*INDEX(Parameters!$X$5:$AA$5,1,MATCH($E88,Parameters!$X$3:$AA$3,0))))</f>
        <v>65.9653075308138</v>
      </c>
      <c r="AA88" s="44" t="n">
        <f aca="false">MAX(0,MIN(Y88*(1+INDEX(Response_Table!$F$4:$F$21,MATCH($F88&amp;"|low",Response_Table!$A$4:$A$21,0))*$R88*INDEX(Parameters!$X$5:$AA$5,1,MATCH($E88,Parameters!$X$3:$AA$3,0))),Y88*(1+INDEX(Response_Table!$F$4:$F$21,MATCH($F88&amp;"|high",Response_Table!$A$4:$A$21,0))*$R88*INDEX(Parameters!$X$5:$AA$5,1,MATCH($E88,Parameters!$X$3:$AA$3,0))))*(1-Inputs_General!$C$22*Parameters!$F$5))</f>
        <v>57.6985451622592</v>
      </c>
      <c r="AB88" s="44" t="n">
        <f aca="false">MIN(100,MAX(Y88*(1+INDEX(Response_Table!$F$4:$F$21,MATCH($F88&amp;"|low",Response_Table!$A$4:$A$21,0))*$R88*INDEX(Parameters!$X$5:$AA$5,1,MATCH($E88,Parameters!$X$3:$AA$3,0))),Y88*(1+INDEX(Response_Table!$F$4:$F$21,MATCH($F88&amp;"|high",Response_Table!$A$4:$A$21,0))*$R88*INDEX(Parameters!$X$5:$AA$5,1,MATCH($E88,Parameters!$X$3:$AA$3,0))))*(1+Inputs_General!$C$22*Parameters!$F$5))</f>
        <v>74.274856718881</v>
      </c>
      <c r="AC88" s="45" t="n">
        <f aca="false">IF(Y88=0,0,Z88/Y88-1)</f>
        <v>-0.0137627406516267</v>
      </c>
      <c r="AD88" s="44" t="n">
        <f aca="false">Parameters!$E$6*IF($N88="V",Parameters!$I$6,IF($N88="F",Parameters!$J$6,Parameters!$K$6))*(1-Parameters!$L$6*$P88)*IF($D88="V1",Parameters!$M$6,IF($D88="V2",Parameters!$N$6,Parameters!$O$6))</f>
        <v>18.0106428571429</v>
      </c>
      <c r="AE88" s="44" t="n">
        <f aca="false">AD88*(1+INDEX(Response_Table!$G$4:$G$21,MATCH($F88&amp;"|mid",Response_Table!$A$4:$A$21,0))*$R88*INDEX(Parameters!$X$6:$AA$6,1,MATCH($E88,Parameters!$X$3:$AA$3,0)))</f>
        <v>16.3402592268716</v>
      </c>
      <c r="AF88" s="44" t="n">
        <f aca="false">MAX(0,MIN(AD88*(1+INDEX(Response_Table!$G$4:$G$21,MATCH($F88&amp;"|low",Response_Table!$A$4:$A$21,0))*$R88*INDEX(Parameters!$X$6:$AA$6,1,MATCH($E88,Parameters!$X$3:$AA$3,0))),AD88*(1+INDEX(Response_Table!$G$4:$G$21,MATCH($F88&amp;"|high",Response_Table!$A$4:$A$21,0))*$R88*INDEX(Parameters!$X$6:$AA$6,1,MATCH($E88,Parameters!$X$3:$AA$3,0))))*(1-Inputs_General!$C$22*Parameters!$F$6))</f>
        <v>12.3143482279729</v>
      </c>
      <c r="AG88" s="44" t="n">
        <f aca="false">MAX(AD88*(1+INDEX(Response_Table!$G$4:$G$21,MATCH($F88&amp;"|low",Response_Table!$A$4:$A$21,0))*$R88*INDEX(Parameters!$X$6:$AA$6,1,MATCH($E88,Parameters!$X$3:$AA$3,0))),AD88*(1+INDEX(Response_Table!$G$4:$G$21,MATCH($F88&amp;"|high",Response_Table!$A$4:$A$21,0))*$R88*INDEX(Parameters!$X$6:$AA$6,1,MATCH($E88,Parameters!$X$3:$AA$3,0))))*(1+Inputs_General!$C$22*Parameters!$F$6)</f>
        <v>20.869697358065</v>
      </c>
      <c r="AH88" s="45" t="n">
        <f aca="false">IF(AD88=0,0,AE88/AD88-1)</f>
        <v>-0.0927442536904701</v>
      </c>
      <c r="AI88" s="46" t="n">
        <f aca="false">Parameters!$E$7*IF($N88="V",Parameters!$I$7,IF($N88="F",Parameters!$J$7,Parameters!$K$7))*(1-Parameters!$L$7*$P88)*IF($D88="V1",Parameters!$M$7,IF($D88="V2",Parameters!$N$7,Parameters!$O$7))*POWER($Q88/Inputs_General!$C$26,-Inputs_General!$C$25)</f>
        <v>0.341191629407368</v>
      </c>
      <c r="AJ88" s="46" t="n">
        <f aca="false">AI88*(1+INDEX(Response_Table!$H$4:$H$21,MATCH($F88&amp;"|mid",Response_Table!$A$4:$A$21,0))*$R88*INDEX(Parameters!$X$7:$AA$7,1,MATCH($E88,Parameters!$X$3:$AA$3,0)))</f>
        <v>0.322103755967362</v>
      </c>
      <c r="AK88" s="46" t="n">
        <f aca="false">MAX(0,MIN(AI88*(1+INDEX(Response_Table!$H$4:$H$21,MATCH($F88&amp;"|low",Response_Table!$A$4:$A$21,0))*$R88*INDEX(Parameters!$X$7:$AA$7,1,MATCH($E88,Parameters!$X$3:$AA$3,0))),AI88*(1+INDEX(Response_Table!$H$4:$H$21,MATCH($F88&amp;"|high",Response_Table!$A$4:$A$21,0))*$R88*INDEX(Parameters!$X$7:$AA$7,1,MATCH($E88,Parameters!$X$3:$AA$3,0))))*(1-Inputs_General!$C$22*Parameters!$F$7))</f>
        <v>0.218420312392514</v>
      </c>
      <c r="AL88" s="46" t="n">
        <f aca="false">MAX(AI88*(1+INDEX(Response_Table!$H$4:$H$21,MATCH($F88&amp;"|low",Response_Table!$A$4:$A$21,0))*$R88*INDEX(Parameters!$X$7:$AA$7,1,MATCH($E88,Parameters!$X$3:$AA$3,0))),AI88*(1+INDEX(Response_Table!$H$4:$H$21,MATCH($F88&amp;"|high",Response_Table!$A$4:$A$21,0))*$R88*INDEX(Parameters!$X$7:$AA$7,1,MATCH($E88,Parameters!$X$3:$AA$3,0))))*(1+Inputs_General!$C$22*Parameters!$F$7)</f>
        <v>0.433723275749783</v>
      </c>
      <c r="AM88" s="45" t="n">
        <f aca="false">IF(AI88=0,0,AJ88/AI88-1)</f>
        <v>-0.0559447295737017</v>
      </c>
      <c r="AN88" s="43" t="n">
        <f aca="false">AI88*$Q88/Inputs_General!$C$13*1000</f>
        <v>5.97691956280819</v>
      </c>
      <c r="AO88" s="43" t="n">
        <f aca="false">AJ88*$Q88/Inputs_General!$C$13*1000*(1+Inputs_General!$C$21*$I88)</f>
        <v>5.68486148228949</v>
      </c>
      <c r="AP88" s="43" t="n">
        <f aca="false">AK88*$Q88/Inputs_General!$C$13*1000*(1+Inputs_General!$C$21*$H88)</f>
        <v>3.83580435991893</v>
      </c>
      <c r="AQ88" s="43" t="n">
        <f aca="false">AL88*$Q88/Inputs_General!$C$13*1000*(1+Inputs_General!$C$21*$J88)</f>
        <v>7.69284185071915</v>
      </c>
      <c r="AR88" s="45" t="n">
        <f aca="false">IF(AN88=0,0,AO88/AN88-1)</f>
        <v>-0.0488643150455044</v>
      </c>
      <c r="AS88" s="42" t="n">
        <f aca="false">Parameters!$E$9*IF($N88="V",Parameters!$I$9,IF($N88="F",Parameters!$J$9,Parameters!$K$9))*(1-Parameters!$L$9*$P88)*IF($D88="V1",Parameters!$M$9,IF($D88="V2",Parameters!$N$9,Parameters!$O$9))</f>
        <v>285</v>
      </c>
      <c r="AT88" s="42" t="n">
        <f aca="false">AS88*(1+INDEX(Response_Table!$I$4:$I$21,MATCH($F88&amp;"|mid",Response_Table!$A$4:$A$21,0))*$R88*INDEX(Parameters!$X$9:$AA$9,1,MATCH($E88,Parameters!$X$3:$AA$3,0)))</f>
        <v>294.668302660683</v>
      </c>
      <c r="AU88" s="42" t="n">
        <f aca="false">MAX(0,MIN(AS88*(1+INDEX(Response_Table!$I$4:$I$21,MATCH($F88&amp;"|low",Response_Table!$A$4:$A$21,0))*$R88*INDEX(Parameters!$X$9:$AA$9,1,MATCH($E88,Parameters!$X$3:$AA$3,0))),AS88*(1+INDEX(Response_Table!$I$4:$I$21,MATCH($F88&amp;"|high",Response_Table!$A$4:$A$21,0))*$R88*INDEX(Parameters!$X$9:$AA$9,1,MATCH($E88,Parameters!$X$3:$AA$3,0))))*(1-Inputs_General!$C$22*Parameters!$F$9))</f>
        <v>259.892110911067</v>
      </c>
      <c r="AV88" s="42" t="n">
        <f aca="false">MAX(AS88*(1+INDEX(Response_Table!$I$4:$I$21,MATCH($F88&amp;"|low",Response_Table!$A$4:$A$21,0))*$R88*INDEX(Parameters!$X$9:$AA$9,1,MATCH($E88,Parameters!$X$3:$AA$3,0))),AS88*(1+INDEX(Response_Table!$I$4:$I$21,MATCH($F88&amp;"|high",Response_Table!$A$4:$A$21,0))*$R88*INDEX(Parameters!$X$9:$AA$9,1,MATCH($E88,Parameters!$X$3:$AA$3,0))))*(1+Inputs_General!$C$22*Parameters!$F$9)</f>
        <v>330.15772459622</v>
      </c>
      <c r="AW88" s="45" t="n">
        <f aca="false">IF(AS88=0,0,AT88/AS88-1)</f>
        <v>0.0339238689848527</v>
      </c>
      <c r="AX88" s="43" t="n">
        <f aca="false">INDEX(Context!$AB$4:$AB$51,$K88)</f>
        <v>2.92553901513759</v>
      </c>
      <c r="AY88" s="43" t="n">
        <f aca="false">AX88*(1+INDEX(Response_Table!$J$4:$J$21,MATCH($F88&amp;"|mid",Response_Table!$A$4:$A$21,0))*$R88*INDEX(Parameters!$X$10:$AA$10,1,MATCH($E88,Parameters!$X$3:$AA$3,0)))</f>
        <v>2.83041385270796</v>
      </c>
      <c r="AZ88" s="43" t="n">
        <f aca="false">MAX(0,MIN(AX88*(1+INDEX(Response_Table!$J$4:$J$21,MATCH($F88&amp;"|low",Response_Table!$A$4:$A$21,0))*$R88*INDEX(Parameters!$X$10:$AA$10,1,MATCH($E88,Parameters!$X$3:$AA$3,0))),AX88*(1+INDEX(Response_Table!$J$4:$J$21,MATCH($F88&amp;"|high",Response_Table!$A$4:$A$21,0))*$R88*INDEX(Parameters!$X$10:$AA$10,1,MATCH($E88,Parameters!$X$3:$AA$3,0))))*(1-Inputs_General!$C$22*Parameters!$F$10))</f>
        <v>2.22388185195146</v>
      </c>
      <c r="BA88" s="43" t="n">
        <f aca="false">MAX(AX88*(1+INDEX(Response_Table!$J$4:$J$21,MATCH($F88&amp;"|low",Response_Table!$A$4:$A$21,0))*$R88*INDEX(Parameters!$X$10:$AA$10,1,MATCH($E88,Parameters!$X$3:$AA$3,0))),AX88*(1+INDEX(Response_Table!$J$4:$J$21,MATCH($F88&amp;"|high",Response_Table!$A$4:$A$21,0))*$R88*INDEX(Parameters!$X$10:$AA$10,1,MATCH($E88,Parameters!$X$3:$AA$3,0))))*(1+Inputs_General!$C$22*Parameters!$F$10)</f>
        <v>3.46411974749999</v>
      </c>
      <c r="BB88" s="45" t="n">
        <f aca="false">IF(AX88=0,0,AY88/AX88-1)</f>
        <v>-0.0325154311521512</v>
      </c>
      <c r="BC88" s="46" t="n">
        <f aca="false">Parameters!$E$11*IF($N88="V",Parameters!$I$11,IF($N88="F",Parameters!$J$11,Parameters!$K$11))*(1-Parameters!$L$11*$P88)*IF($D88="V1",Parameters!$M$11,IF($D88="V2",Parameters!$N$11,Parameters!$O$11))</f>
        <v>1.21745535714286</v>
      </c>
      <c r="BD88" s="46" t="n">
        <f aca="false">BC88*(1+INDEX(Response_Table!$K$4:$K$21,MATCH($F88&amp;"|mid",Response_Table!$A$4:$A$21,0))*$R88*INDEX(Parameters!$X$11:$AA$11,1,MATCH($E88,Parameters!$X$3:$AA$3,0)))</f>
        <v>1.14501872403733</v>
      </c>
      <c r="BE88" s="46" t="n">
        <f aca="false">MAX(0,MIN(BC88*(1+INDEX(Response_Table!$K$4:$K$21,MATCH($F88&amp;"|low",Response_Table!$A$4:$A$21,0))*$R88*INDEX(Parameters!$X$11:$AA$11,1,MATCH($E88,Parameters!$X$3:$AA$3,0))),BC88*(1+INDEX(Response_Table!$K$4:$K$21,MATCH($F88&amp;"|high",Response_Table!$A$4:$A$21,0))*$R88*INDEX(Parameters!$X$11:$AA$11,1,MATCH($E88,Parameters!$X$3:$AA$3,0))))*(1-Inputs_General!$C$22*Parameters!$F$11))</f>
        <v>0.919425923705649</v>
      </c>
      <c r="BF88" s="46" t="n">
        <f aca="false">MAX(BC88*(1+INDEX(Response_Table!$K$4:$K$21,MATCH($F88&amp;"|low",Response_Table!$A$4:$A$21,0))*$R88*INDEX(Parameters!$X$11:$AA$11,1,MATCH($E88,Parameters!$X$3:$AA$3,0))),BC88*(1+INDEX(Response_Table!$K$4:$K$21,MATCH($F88&amp;"|high",Response_Table!$A$4:$A$21,0))*$R88*INDEX(Parameters!$X$11:$AA$11,1,MATCH($E88,Parameters!$X$3:$AA$3,0))))*(1+Inputs_General!$C$22*Parameters!$F$11)</f>
        <v>1.38870487344578</v>
      </c>
      <c r="BG88" s="45" t="n">
        <f aca="false">IF(BC88=0,0,BD88/BC88-1)</f>
        <v>-0.0594983895553409</v>
      </c>
      <c r="BH88" s="46" t="n">
        <f aca="false">Parameters!$E$12*IF($N88="V",Parameters!$I$12,IF($N88="F",Parameters!$J$12,Parameters!$K$12))*(1-Parameters!$L$12*$P88)*IF($D88="V1",Parameters!$M$12,IF($D88="V2",Parameters!$N$12,Parameters!$O$12))</f>
        <v>0.438283928571429</v>
      </c>
      <c r="BI88" s="46" t="n">
        <f aca="false">BH88*(1+INDEX(Response_Table!$L$4:$L$21,MATCH($F88&amp;"|mid",Response_Table!$A$4:$A$21,0))*$R88*INDEX(Parameters!$X$12:$AA$12,1,MATCH($E88,Parameters!$X$3:$AA$3,0)))</f>
        <v>0.417536510535682</v>
      </c>
      <c r="BJ88" s="46" t="n">
        <f aca="false">MAX(0,MIN(BH88*(1+INDEX(Response_Table!$L$4:$L$21,MATCH($F88&amp;"|low",Response_Table!$A$4:$A$21,0))*$R88*INDEX(Parameters!$X$12:$AA$12,1,MATCH($E88,Parameters!$X$3:$AA$3,0))),BH88*(1+INDEX(Response_Table!$L$4:$L$21,MATCH($F88&amp;"|high",Response_Table!$A$4:$A$21,0))*$R88*INDEX(Parameters!$X$12:$AA$12,1,MATCH($E88,Parameters!$X$3:$AA$3,0))))*(1-Inputs_General!$C$22*Parameters!$F$12))</f>
        <v>0.324817620013454</v>
      </c>
      <c r="BK88" s="46" t="n">
        <f aca="false">MAX(BH88*(1+INDEX(Response_Table!$L$4:$L$21,MATCH($F88&amp;"|low",Response_Table!$A$4:$A$21,0))*$R88*INDEX(Parameters!$X$12:$AA$12,1,MATCH($E88,Parameters!$X$3:$AA$3,0))),BH88*(1+INDEX(Response_Table!$L$4:$L$21,MATCH($F88&amp;"|high",Response_Table!$A$4:$A$21,0))*$R88*INDEX(Parameters!$X$12:$AA$12,1,MATCH($E88,Parameters!$X$3:$AA$3,0))))*(1+Inputs_General!$C$22*Parameters!$F$12)</f>
        <v>0.51627055575788</v>
      </c>
      <c r="BL88" s="45" t="n">
        <f aca="false">IF(BH88=0,0,BI88/BH88-1)</f>
        <v>-0.0473378481008245</v>
      </c>
      <c r="BM88" s="46" t="n">
        <f aca="false">Parameters!$E$13*IF($N88="V",Parameters!$I$13,IF($N88="F",Parameters!$J$13,Parameters!$K$13))*(1-Parameters!$L$13*$P88)*IF($D88="V1",Parameters!$M$13,IF($D88="V2",Parameters!$N$13,Parameters!$O$13))</f>
        <v>0.296094642857143</v>
      </c>
      <c r="BN88" s="46" t="n">
        <f aca="false">BM88*(1+INDEX(Response_Table!$M$4:$M$21,MATCH($F88&amp;"|mid",Response_Table!$A$4:$A$21,0))*$R88*INDEX(Parameters!$X$13:$AA$13,1,MATCH($E88,Parameters!$X$3:$AA$3,0)))</f>
        <v>0.303788678535474</v>
      </c>
      <c r="BO88" s="46" t="n">
        <f aca="false">MAX(0,MIN(BM88*(1+INDEX(Response_Table!$M$4:$M$21,MATCH($F88&amp;"|low",Response_Table!$A$4:$A$21,0))*$R88*INDEX(Parameters!$X$13:$AA$13,1,MATCH($E88,Parameters!$X$3:$AA$3,0))),BM88*(1+INDEX(Response_Table!$M$4:$M$21,MATCH($F88&amp;"|high",Response_Table!$A$4:$A$21,0))*$R88*INDEX(Parameters!$X$13:$AA$13,1,MATCH($E88,Parameters!$X$3:$AA$3,0))))*(1-Inputs_General!$C$22*Parameters!$F$13))</f>
        <v>0.240681302856845</v>
      </c>
      <c r="BP88" s="46" t="n">
        <f aca="false">MAX(BM88*(1+INDEX(Response_Table!$M$4:$M$21,MATCH($F88&amp;"|low",Response_Table!$A$4:$A$21,0))*$R88*INDEX(Parameters!$X$13:$AA$13,1,MATCH($E88,Parameters!$X$3:$AA$3,0))),BM88*(1+INDEX(Response_Table!$M$4:$M$21,MATCH($F88&amp;"|high",Response_Table!$A$4:$A$21,0))*$R88*INDEX(Parameters!$X$13:$AA$13,1,MATCH($E88,Parameters!$X$3:$AA$3,0))))*(1+Inputs_General!$C$22*Parameters!$F$13)</f>
        <v>0.364016869246304</v>
      </c>
      <c r="BQ88" s="45" t="n">
        <f aca="false">IF(BM88=0,0,BN88/BM88-1)</f>
        <v>0.0259850553326055</v>
      </c>
      <c r="BR88" s="44" t="n">
        <f aca="false">Parameters!$E$14*IF($N88="V",Parameters!$I$14,IF($N88="F",Parameters!$J$14,Parameters!$K$14))*(1-Parameters!$L$14*$P88)*IF($D88="V1",Parameters!$M$14,IF($D88="V2",Parameters!$N$14,Parameters!$O$14))*INDEX(Context!$AC$4:$AC$51,$K88)</f>
        <v>15</v>
      </c>
      <c r="BS88" s="44" t="n">
        <f aca="false">BR88*(1+INDEX(Response_Table!$N$4:$N$21,MATCH($F88&amp;"|mid",Response_Table!$A$4:$A$21,0))*$R88*INDEX(Parameters!$X$14:$AA$14,1,MATCH($E88,Parameters!$X$3:$AA$3,0)))</f>
        <v>15.7746193325589</v>
      </c>
      <c r="BT88" s="44" t="n">
        <f aca="false">MAX(0,MIN(BR88*(1+INDEX(Response_Table!$N$4:$N$21,MATCH($F88&amp;"|low",Response_Table!$A$4:$A$21,0))*$R88*INDEX(Parameters!$X$14:$AA$14,1,MATCH($E88,Parameters!$X$3:$AA$3,0))),BR88*(1+INDEX(Response_Table!$N$4:$N$21,MATCH($F88&amp;"|high",Response_Table!$A$4:$A$21,0))*$R88*INDEX(Parameters!$X$14:$AA$14,1,MATCH($E88,Parameters!$X$3:$AA$3,0))))*(1-Inputs_General!$C$22*Parameters!$F$14))</f>
        <v>7.73222403531913</v>
      </c>
      <c r="BU88" s="44" t="n">
        <f aca="false">MAX(BR88*(1+INDEX(Response_Table!$N$4:$N$21,MATCH($F88&amp;"|low",Response_Table!$A$4:$A$21,0))*$R88*INDEX(Parameters!$X$14:$AA$14,1,MATCH($E88,Parameters!$X$3:$AA$3,0))),BR88*(1+INDEX(Response_Table!$N$4:$N$21,MATCH($F88&amp;"|high",Response_Table!$A$4:$A$21,0))*$R88*INDEX(Parameters!$X$14:$AA$14,1,MATCH($E88,Parameters!$X$3:$AA$3,0))))*(1+Inputs_General!$C$22*Parameters!$F$14)</f>
        <v>24.2747937348826</v>
      </c>
      <c r="BV88" s="45" t="n">
        <f aca="false">IF(BR88=0,0,BS88/BR88-1)</f>
        <v>0.051641288837263</v>
      </c>
      <c r="BW88" s="43" t="n">
        <f aca="false">Parameters!$E$15*IF($N88="V",Parameters!$I$15,IF($N88="F",Parameters!$J$15,Parameters!$K$15))*(1-Parameters!$L$15*$P88)*IF($D88="V1",Parameters!$M$15,IF($D88="V2",Parameters!$N$15,Parameters!$O$15))</f>
        <v>10.1292285714286</v>
      </c>
      <c r="BX88" s="43" t="n">
        <f aca="false">BW88*(1+INDEX(Response_Table!$O$4:$O$21,MATCH($F88&amp;"|mid",Response_Table!$A$4:$A$21,0))*$R88*INDEX(Parameters!$X$15:$AA$15,1,MATCH($E88,Parameters!$X$3:$AA$3,0)))</f>
        <v>9.99845696683962</v>
      </c>
      <c r="BY88" s="43" t="n">
        <f aca="false">MAX(0,MIN(BW88*(1+INDEX(Response_Table!$O$4:$O$21,MATCH($F88&amp;"|low",Response_Table!$A$4:$A$21,0))*$R88*INDEX(Parameters!$X$15:$AA$15,1,MATCH($E88,Parameters!$X$3:$AA$3,0))),BW88*(1+INDEX(Response_Table!$O$4:$O$21,MATCH($F88&amp;"|high",Response_Table!$A$4:$A$21,0))*$R88*INDEX(Parameters!$X$15:$AA$15,1,MATCH($E88,Parameters!$X$3:$AA$3,0))))*(1-Inputs_General!$C$22*Parameters!$F$15))</f>
        <v>7.95985810294195</v>
      </c>
      <c r="BZ88" s="43" t="n">
        <f aca="false">MAX(BW88*(1+INDEX(Response_Table!$O$4:$O$21,MATCH($F88&amp;"|low",Response_Table!$A$4:$A$21,0))*$R88*INDEX(Parameters!$X$15:$AA$15,1,MATCH($E88,Parameters!$X$3:$AA$3,0))),BW88*(1+INDEX(Response_Table!$O$4:$O$21,MATCH($F88&amp;"|high",Response_Table!$A$4:$A$21,0))*$R88*INDEX(Parameters!$X$15:$AA$15,1,MATCH($E88,Parameters!$X$3:$AA$3,0))))*(1+Inputs_General!$C$22*Parameters!$F$15)</f>
        <v>12.0749695330886</v>
      </c>
      <c r="CA88" s="45" t="n">
        <f aca="false">IF(BW88=0,0,BX88/BW88-1)</f>
        <v>-0.0129103222093159</v>
      </c>
      <c r="CB88" s="46" t="n">
        <f aca="false">BD88+BI88</f>
        <v>1.56255523457302</v>
      </c>
      <c r="CC88" s="43" t="n">
        <f aca="false">BD88/BI88</f>
        <v>2.74232000111397</v>
      </c>
      <c r="CD88" s="46" t="n">
        <f aca="false">BN88/CB88</f>
        <v>0.194417881565951</v>
      </c>
      <c r="CE88" s="43" t="n">
        <f aca="false">AE88/AO88</f>
        <v>2.87434606415261</v>
      </c>
      <c r="CF88" s="44" t="n">
        <f aca="false">AE88/AJ88</f>
        <v>50.7298003334282</v>
      </c>
      <c r="CG88" s="44" t="n">
        <f aca="false">INDEX(Context!$V$4:$V$51,$K88)</f>
        <v>28.62</v>
      </c>
      <c r="CH88" s="44" t="n">
        <f aca="false">INDEX(Context!$Y$4:$Y$51,$K88)</f>
        <v>25.3060134606718</v>
      </c>
      <c r="CI88" s="44" t="n">
        <f aca="false">INDEX(Context!$Z$4:$Z$51,$K88)</f>
        <v>32.62</v>
      </c>
      <c r="CJ88" s="43" t="n">
        <f aca="false">INDEX(Context!$AA$4:$AA$51,$K88)</f>
        <v>0.221696428571429</v>
      </c>
      <c r="CK88" s="43" t="n">
        <f aca="false">MAX(0,MIN(1,1-(1-CJ88)*AO88/AN88))</f>
        <v>0.259727699486756</v>
      </c>
      <c r="CL88" s="44" t="n">
        <f aca="false">CH88+CK88*(CI88-CH88)</f>
        <v>27.2056583586086</v>
      </c>
      <c r="CM88" s="44" t="n">
        <f aca="false">CH88+MAX(0,MIN(1,1-(1-CJ88)*AQ88/AN88))*(CI88-CH88)</f>
        <v>25.3060134606718</v>
      </c>
      <c r="CN88" s="44" t="n">
        <f aca="false">CH88+MAX(0,MIN(1,1-(1-CJ88)*AP88/AN88))*(CI88-CH88)</f>
        <v>28.9667262414676</v>
      </c>
      <c r="CO88" s="44" t="n">
        <f aca="false">CL88-CG88</f>
        <v>-1.41434164139141</v>
      </c>
      <c r="CP88" s="44" t="n">
        <f aca="false">CL88-(CH88+CJ88*(CI88-CH88))</f>
        <v>0.27816020354825</v>
      </c>
      <c r="CQ88" s="46" t="n">
        <f aca="false">CL88/CG88</f>
        <v>0.950582053061097</v>
      </c>
      <c r="CR88" s="43" t="n">
        <f aca="false">IF(CL88-CH88&lt;=0,"n/a",(CI88-CL88)/(CL88-CH88))</f>
        <v>2.85018618336083</v>
      </c>
      <c r="CS88" s="43" t="n">
        <f aca="false">IF(CI88-CL88&lt;=0,"n/a",(CL88-CH88)/(CI88-CL88))</f>
        <v>0.350854272551711</v>
      </c>
      <c r="CT88" s="43" t="n">
        <f aca="false">Inputs_General!$C$23+Inputs_General!$C$24*$I88</f>
        <v>0.66</v>
      </c>
      <c r="CU88" s="44" t="n">
        <f aca="false">3.29*CT88</f>
        <v>2.1714</v>
      </c>
    </row>
    <row r="89" customFormat="false" ht="15" hidden="false" customHeight="false" outlineLevel="0" collapsed="false">
      <c r="A89" s="9" t="str">
        <f aca="false">B89&amp;"|"&amp;E89&amp;"|"&amp;F89</f>
        <v>D2V1|03/03/2026|Low</v>
      </c>
      <c r="B89" s="7" t="s">
        <v>346</v>
      </c>
      <c r="C89" s="9" t="s">
        <v>129</v>
      </c>
      <c r="D89" s="9" t="s">
        <v>142</v>
      </c>
      <c r="E89" s="9" t="s">
        <v>162</v>
      </c>
      <c r="F89" s="7" t="s">
        <v>279</v>
      </c>
      <c r="G89" s="9" t="s">
        <v>280</v>
      </c>
      <c r="H89" s="41" t="n">
        <f aca="false">INDEX(Severity_Classes!$C$4:$C$9,MATCH(F89,Severity_Classes!$A$4:$A$9,0))</f>
        <v>0.06</v>
      </c>
      <c r="I89" s="41" t="n">
        <f aca="false">INDEX(Severity_Classes!$D$4:$D$9,MATCH(F89,Severity_Classes!$A$4:$A$9,0))</f>
        <v>0.08</v>
      </c>
      <c r="J89" s="41" t="n">
        <f aca="false">INDEX(Severity_Classes!$E$4:$E$9,MATCH(F89,Severity_Classes!$A$4:$A$9,0))</f>
        <v>0.1</v>
      </c>
      <c r="K89" s="42" t="n">
        <f aca="false">MATCH(B89&amp;"|"&amp;E89,Context!$A$4:$A$51,0)</f>
        <v>15</v>
      </c>
      <c r="L89" s="42" t="n">
        <f aca="false">INDEX(Context!$H$4:$H$51,K89)</f>
        <v>75</v>
      </c>
      <c r="M89" s="42" t="n">
        <f aca="false">INDEX(Context!$I$4:$I$51,K89)</f>
        <v>26</v>
      </c>
      <c r="N89" s="9" t="str">
        <f aca="false">INDEX(Context!$L$4:$L$51,K89)</f>
        <v>F</v>
      </c>
      <c r="O89" s="9" t="str">
        <f aca="false">INDEX(Context!$M$4:$M$51,K89)</f>
        <v>5th fully expanded leaf from top</v>
      </c>
      <c r="P89" s="43" t="n">
        <f aca="false">INDEX(Context!$R$4:$R$51,K89)</f>
        <v>0.433928571428571</v>
      </c>
      <c r="Q89" s="43" t="n">
        <f aca="false">INDEX(Context!$U$4:$U$51,K89)</f>
        <v>1.73951545534029</v>
      </c>
      <c r="R89" s="43" t="n">
        <f aca="false">INDEX(Context!$AD$4:$AD$51,K89)</f>
        <v>1</v>
      </c>
      <c r="S89" s="9" t="str">
        <f aca="false">INDEX(Context!$AI$4:$AN$51,K89,MATCH(F89,Severity_Classes!$A$4:$A$9,0))</f>
        <v>Likely</v>
      </c>
      <c r="T89" s="44" t="n">
        <f aca="false">Parameters!$E$4*IF($N89="V",Parameters!$I$4,IF($N89="F",Parameters!$J$4,Parameters!$K$4))*(1-Parameters!$L$4*$P89)*IF($D89="V1",Parameters!$M$4,IF($D89="V2",Parameters!$N$4,Parameters!$O$4))</f>
        <v>83.2927660714286</v>
      </c>
      <c r="U89" s="44" t="n">
        <f aca="false">MIN(100,T89*(1+INDEX(Response_Table!$E$4:$E$21,MATCH($F89&amp;"|mid",Response_Table!$A$4:$A$21,0))*$R89*INDEX(Parameters!$X$4:$AA$4,1,MATCH($E89,Parameters!$X$3:$AA$3,0))))</f>
        <v>82.1334452787096</v>
      </c>
      <c r="V89" s="44" t="n">
        <f aca="false">MAX(0,MIN(T89*(1+INDEX(Response_Table!$E$4:$E$21,MATCH($F89&amp;"|low",Response_Table!$A$4:$A$21,0))*$R89*INDEX(Parameters!$X$4:$AA$4,1,MATCH($E89,Parameters!$X$3:$AA$3,0))),T89*(1+INDEX(Response_Table!$E$4:$E$21,MATCH($F89&amp;"|high",Response_Table!$A$4:$A$21,0))*$R89*INDEX(Parameters!$X$4:$AA$4,1,MATCH($E89,Parameters!$X$3:$AA$3,0))))*(1-Inputs_General!$C$22*Parameters!$F$4))</f>
        <v>76.3506641725111</v>
      </c>
      <c r="W89" s="44" t="n">
        <f aca="false">MIN(100,MAX(T89*(1+INDEX(Response_Table!$E$4:$E$21,MATCH($F89&amp;"|low",Response_Table!$A$4:$A$21,0))*$R89*INDEX(Parameters!$X$4:$AA$4,1,MATCH($E89,Parameters!$X$3:$AA$3,0))),T89*(1+INDEX(Response_Table!$E$4:$E$21,MATCH($F89&amp;"|high",Response_Table!$A$4:$A$21,0))*$R89*INDEX(Parameters!$X$4:$AA$4,1,MATCH($E89,Parameters!$X$3:$AA$3,0))))*(1+Inputs_General!$C$22*Parameters!$F$4))</f>
        <v>87.9150984057856</v>
      </c>
      <c r="X89" s="45" t="n">
        <f aca="false">IF(T89=0,0,U89/T89-1)</f>
        <v>-0.0139186251987928</v>
      </c>
      <c r="Y89" s="44" t="n">
        <f aca="false">Parameters!$E$5*IF($N89="V",Parameters!$I$5,IF($N89="F",Parameters!$J$5,Parameters!$K$5))*(1-Parameters!$L$5*$P89)*IF($D89="V1",Parameters!$M$5,IF($D89="V2",Parameters!$N$5,Parameters!$O$5))</f>
        <v>66.88584</v>
      </c>
      <c r="Z89" s="44" t="n">
        <f aca="false">MIN(100,Y89*(1+INDEX(Response_Table!$F$4:$F$21,MATCH($F89&amp;"|mid",Response_Table!$A$4:$A$21,0))*$R89*INDEX(Parameters!$X$5:$AA$5,1,MATCH($E89,Parameters!$X$3:$AA$3,0))))</f>
        <v>63.8124946730604</v>
      </c>
      <c r="AA89" s="44" t="n">
        <f aca="false">MAX(0,MIN(Y89*(1+INDEX(Response_Table!$F$4:$F$21,MATCH($F89&amp;"|low",Response_Table!$A$4:$A$21,0))*$R89*INDEX(Parameters!$X$5:$AA$5,1,MATCH($E89,Parameters!$X$3:$AA$3,0))),Y89*(1+INDEX(Response_Table!$F$4:$F$21,MATCH($F89&amp;"|high",Response_Table!$A$4:$A$21,0))*$R89*INDEX(Parameters!$X$5:$AA$5,1,MATCH($E89,Parameters!$X$3:$AA$3,0))))*(1-Inputs_General!$C$22*Parameters!$F$5))</f>
        <v>55.4691444213</v>
      </c>
      <c r="AB89" s="44" t="n">
        <f aca="false">MIN(100,MAX(Y89*(1+INDEX(Response_Table!$F$4:$F$21,MATCH($F89&amp;"|low",Response_Table!$A$4:$A$21,0))*$R89*INDEX(Parameters!$X$5:$AA$5,1,MATCH($E89,Parameters!$X$3:$AA$3,0))),Y89*(1+INDEX(Response_Table!$F$4:$F$21,MATCH($F89&amp;"|high",Response_Table!$A$4:$A$21,0))*$R89*INDEX(Parameters!$X$5:$AA$5,1,MATCH($E89,Parameters!$X$3:$AA$3,0))))*(1+Inputs_General!$C$22*Parameters!$F$5))</f>
        <v>72.2379036823069</v>
      </c>
      <c r="AC89" s="45" t="n">
        <f aca="false">IF(Y89=0,0,Z89/Y89-1)</f>
        <v>-0.0459491175851214</v>
      </c>
      <c r="AD89" s="44" t="n">
        <f aca="false">Parameters!$E$6*IF($N89="V",Parameters!$I$6,IF($N89="F",Parameters!$J$6,Parameters!$K$6))*(1-Parameters!$L$6*$P89)*IF($D89="V1",Parameters!$M$6,IF($D89="V2",Parameters!$N$6,Parameters!$O$6))</f>
        <v>18.0106428571429</v>
      </c>
      <c r="AE89" s="44" t="n">
        <f aca="false">AD89*(1+INDEX(Response_Table!$G$4:$G$21,MATCH($F89&amp;"|mid",Response_Table!$A$4:$A$21,0))*$R89*INDEX(Parameters!$X$6:$AA$6,1,MATCH($E89,Parameters!$X$3:$AA$3,0)))</f>
        <v>14.0025560433685</v>
      </c>
      <c r="AF89" s="44" t="n">
        <f aca="false">MAX(0,MIN(AD89*(1+INDEX(Response_Table!$G$4:$G$21,MATCH($F89&amp;"|low",Response_Table!$A$4:$A$21,0))*$R89*INDEX(Parameters!$X$6:$AA$6,1,MATCH($E89,Parameters!$X$3:$AA$3,0))),AD89*(1+INDEX(Response_Table!$G$4:$G$21,MATCH($F89&amp;"|high",Response_Table!$A$4:$A$21,0))*$R89*INDEX(Parameters!$X$6:$AA$6,1,MATCH($E89,Parameters!$X$3:$AA$3,0))))*(1-Inputs_General!$C$22*Parameters!$F$6))</f>
        <v>10.5961605139942</v>
      </c>
      <c r="AG89" s="44" t="n">
        <f aca="false">MAX(AD89*(1+INDEX(Response_Table!$G$4:$G$21,MATCH($F89&amp;"|low",Response_Table!$A$4:$A$21,0))*$R89*INDEX(Parameters!$X$6:$AA$6,1,MATCH($E89,Parameters!$X$3:$AA$3,0))),AD89*(1+INDEX(Response_Table!$G$4:$G$21,MATCH($F89&amp;"|high",Response_Table!$A$4:$A$21,0))*$R89*INDEX(Parameters!$X$6:$AA$6,1,MATCH($E89,Parameters!$X$3:$AA$3,0))))*(1+Inputs_General!$C$22*Parameters!$F$6)</f>
        <v>17.8130415616936</v>
      </c>
      <c r="AH89" s="45" t="n">
        <f aca="false">IF(AD89=0,0,AE89/AD89-1)</f>
        <v>-0.222539908517744</v>
      </c>
      <c r="AI89" s="46" t="n">
        <f aca="false">Parameters!$E$7*IF($N89="V",Parameters!$I$7,IF($N89="F",Parameters!$J$7,Parameters!$K$7))*(1-Parameters!$L$7*$P89)*IF($D89="V1",Parameters!$M$7,IF($D89="V2",Parameters!$N$7,Parameters!$O$7))*POWER($Q89/Inputs_General!$C$26,-Inputs_General!$C$25)</f>
        <v>0.341191629407368</v>
      </c>
      <c r="AJ89" s="46" t="n">
        <f aca="false">AI89*(1+INDEX(Response_Table!$H$4:$H$21,MATCH($F89&amp;"|mid",Response_Table!$A$4:$A$21,0))*$R89*INDEX(Parameters!$X$7:$AA$7,1,MATCH($E89,Parameters!$X$3:$AA$3,0)))</f>
        <v>0.293871117368023</v>
      </c>
      <c r="AK89" s="46" t="n">
        <f aca="false">MAX(0,MIN(AI89*(1+INDEX(Response_Table!$H$4:$H$21,MATCH($F89&amp;"|low",Response_Table!$A$4:$A$21,0))*$R89*INDEX(Parameters!$X$7:$AA$7,1,MATCH($E89,Parameters!$X$3:$AA$3,0))),AI89*(1+INDEX(Response_Table!$H$4:$H$21,MATCH($F89&amp;"|high",Response_Table!$A$4:$A$21,0))*$R89*INDEX(Parameters!$X$7:$AA$7,1,MATCH($E89,Parameters!$X$3:$AA$3,0))))*(1-Inputs_General!$C$22*Parameters!$F$7))</f>
        <v>0.199704668845746</v>
      </c>
      <c r="AL89" s="46" t="n">
        <f aca="false">MAX(AI89*(1+INDEX(Response_Table!$H$4:$H$21,MATCH($F89&amp;"|low",Response_Table!$A$4:$A$21,0))*$R89*INDEX(Parameters!$X$7:$AA$7,1,MATCH($E89,Parameters!$X$3:$AA$3,0))),AI89*(1+INDEX(Response_Table!$H$4:$H$21,MATCH($F89&amp;"|high",Response_Table!$A$4:$A$21,0))*$R89*INDEX(Parameters!$X$7:$AA$7,1,MATCH($E89,Parameters!$X$3:$AA$3,0))))*(1+Inputs_General!$C$22*Parameters!$F$7)</f>
        <v>0.394868209983676</v>
      </c>
      <c r="AM89" s="45" t="n">
        <f aca="false">IF(AI89=0,0,AJ89/AI89-1)</f>
        <v>-0.13869189030674</v>
      </c>
      <c r="AN89" s="43" t="n">
        <f aca="false">AI89*$Q89/Inputs_General!$C$13*1000</f>
        <v>5.97691956280819</v>
      </c>
      <c r="AO89" s="43" t="n">
        <f aca="false">AJ89*$Q89/Inputs_General!$C$13*1000*(1+Inputs_General!$C$21*$I89)</f>
        <v>5.25092867623961</v>
      </c>
      <c r="AP89" s="43" t="n">
        <f aca="false">AK89*$Q89/Inputs_General!$C$13*1000*(1+Inputs_General!$C$21*$H89)</f>
        <v>3.55085798922659</v>
      </c>
      <c r="AQ89" s="43" t="n">
        <f aca="false">AL89*$Q89/Inputs_General!$C$13*1000*(1+Inputs_General!$C$21*$J89)</f>
        <v>7.0901443901449</v>
      </c>
      <c r="AR89" s="45" t="n">
        <f aca="false">IF(AN89=0,0,AO89/AN89-1)</f>
        <v>-0.121465728112875</v>
      </c>
      <c r="AS89" s="42" t="n">
        <f aca="false">Parameters!$E$9*IF($N89="V",Parameters!$I$9,IF($N89="F",Parameters!$J$9,Parameters!$K$9))*(1-Parameters!$L$9*$P89)*IF($D89="V1",Parameters!$M$9,IF($D89="V2",Parameters!$N$9,Parameters!$O$9))</f>
        <v>285</v>
      </c>
      <c r="AT89" s="42" t="n">
        <f aca="false">AS89*(1+INDEX(Response_Table!$I$4:$I$21,MATCH($F89&amp;"|mid",Response_Table!$A$4:$A$21,0))*$R89*INDEX(Parameters!$X$9:$AA$9,1,MATCH($E89,Parameters!$X$3:$AA$3,0)))</f>
        <v>308.414257330199</v>
      </c>
      <c r="AU89" s="42" t="n">
        <f aca="false">MAX(0,MIN(AS89*(1+INDEX(Response_Table!$I$4:$I$21,MATCH($F89&amp;"|low",Response_Table!$A$4:$A$21,0))*$R89*INDEX(Parameters!$X$9:$AA$9,1,MATCH($E89,Parameters!$X$3:$AA$3,0))),AS89*(1+INDEX(Response_Table!$I$4:$I$21,MATCH($F89&amp;"|high",Response_Table!$A$4:$A$21,0))*$R89*INDEX(Parameters!$X$9:$AA$9,1,MATCH($E89,Parameters!$X$3:$AA$3,0))))*(1-Inputs_General!$C$22*Parameters!$F$9))</f>
        <v>273.313202404171</v>
      </c>
      <c r="AV89" s="42" t="n">
        <f aca="false">MAX(AS89*(1+INDEX(Response_Table!$I$4:$I$21,MATCH($F89&amp;"|low",Response_Table!$A$4:$A$21,0))*$R89*INDEX(Parameters!$X$9:$AA$9,1,MATCH($E89,Parameters!$X$3:$AA$3,0))),AS89*(1+INDEX(Response_Table!$I$4:$I$21,MATCH($F89&amp;"|high",Response_Table!$A$4:$A$21,0))*$R89*INDEX(Parameters!$X$9:$AA$9,1,MATCH($E89,Parameters!$X$3:$AA$3,0))))*(1+Inputs_General!$C$22*Parameters!$F$9)</f>
        <v>344.099255743465</v>
      </c>
      <c r="AW89" s="45" t="n">
        <f aca="false">IF(AS89=0,0,AT89/AS89-1)</f>
        <v>0.0821552888778927</v>
      </c>
      <c r="AX89" s="43" t="n">
        <f aca="false">INDEX(Context!$AB$4:$AB$51,$K89)</f>
        <v>2.92553901513759</v>
      </c>
      <c r="AY89" s="43" t="n">
        <f aca="false">AX89*(1+INDEX(Response_Table!$J$4:$J$21,MATCH($F89&amp;"|mid",Response_Table!$A$4:$A$21,0))*$R89*INDEX(Parameters!$X$10:$AA$10,1,MATCH($E89,Parameters!$X$3:$AA$3,0)))</f>
        <v>2.68689940078586</v>
      </c>
      <c r="AZ89" s="43" t="n">
        <f aca="false">MAX(0,MIN(AX89*(1+INDEX(Response_Table!$J$4:$J$21,MATCH($F89&amp;"|low",Response_Table!$A$4:$A$21,0))*$R89*INDEX(Parameters!$X$10:$AA$10,1,MATCH($E89,Parameters!$X$3:$AA$3,0))),AX89*(1+INDEX(Response_Table!$J$4:$J$21,MATCH($F89&amp;"|high",Response_Table!$A$4:$A$21,0))*$R89*INDEX(Parameters!$X$10:$AA$10,1,MATCH($E89,Parameters!$X$3:$AA$3,0))))*(1-Inputs_General!$C$22*Parameters!$F$10))</f>
        <v>2.11431477690322</v>
      </c>
      <c r="BA89" s="43" t="n">
        <f aca="false">MAX(AX89*(1+INDEX(Response_Table!$J$4:$J$21,MATCH($F89&amp;"|low",Response_Table!$A$4:$A$21,0))*$R89*INDEX(Parameters!$X$10:$AA$10,1,MATCH($E89,Parameters!$X$3:$AA$3,0))),AX89*(1+INDEX(Response_Table!$J$4:$J$21,MATCH($F89&amp;"|high",Response_Table!$A$4:$A$21,0))*$R89*INDEX(Parameters!$X$10:$AA$10,1,MATCH($E89,Parameters!$X$3:$AA$3,0))))*(1+Inputs_General!$C$22*Parameters!$F$10)</f>
        <v>3.28346490198601</v>
      </c>
      <c r="BB89" s="45" t="n">
        <f aca="false">IF(AX89=0,0,AY89/AX89-1)</f>
        <v>-0.0815711611149081</v>
      </c>
      <c r="BC89" s="46" t="n">
        <f aca="false">Parameters!$E$11*IF($N89="V",Parameters!$I$11,IF($N89="F",Parameters!$J$11,Parameters!$K$11))*(1-Parameters!$L$11*$P89)*IF($D89="V1",Parameters!$M$11,IF($D89="V2",Parameters!$N$11,Parameters!$O$11))</f>
        <v>1.21745535714286</v>
      </c>
      <c r="BD89" s="46" t="n">
        <f aca="false">BC89*(1+INDEX(Response_Table!$K$4:$K$21,MATCH($F89&amp;"|mid",Response_Table!$A$4:$A$21,0))*$R89*INDEX(Parameters!$X$11:$AA$11,1,MATCH($E89,Parameters!$X$3:$AA$3,0)))</f>
        <v>1.03872351161191</v>
      </c>
      <c r="BE89" s="46" t="n">
        <f aca="false">MAX(0,MIN(BC89*(1+INDEX(Response_Table!$K$4:$K$21,MATCH($F89&amp;"|low",Response_Table!$A$4:$A$21,0))*$R89*INDEX(Parameters!$X$11:$AA$11,1,MATCH($E89,Parameters!$X$3:$AA$3,0))),BC89*(1+INDEX(Response_Table!$K$4:$K$21,MATCH($F89&amp;"|high",Response_Table!$A$4:$A$21,0))*$R89*INDEX(Parameters!$X$11:$AA$11,1,MATCH($E89,Parameters!$X$3:$AA$3,0))))*(1-Inputs_General!$C$22*Parameters!$F$11))</f>
        <v>0.836122028016479</v>
      </c>
      <c r="BF89" s="46" t="n">
        <f aca="false">MAX(BC89*(1+INDEX(Response_Table!$K$4:$K$21,MATCH($F89&amp;"|low",Response_Table!$A$4:$A$21,0))*$R89*INDEX(Parameters!$X$11:$AA$11,1,MATCH($E89,Parameters!$X$3:$AA$3,0))),BC89*(1+INDEX(Response_Table!$K$4:$K$21,MATCH($F89&amp;"|high",Response_Table!$A$4:$A$21,0))*$R89*INDEX(Parameters!$X$11:$AA$11,1,MATCH($E89,Parameters!$X$3:$AA$3,0))))*(1+Inputs_General!$C$22*Parameters!$F$11)</f>
        <v>1.2567431302447</v>
      </c>
      <c r="BG89" s="45" t="n">
        <f aca="false">IF(BC89=0,0,BD89/BC89-1)</f>
        <v>-0.146807720285039</v>
      </c>
      <c r="BH89" s="46" t="n">
        <f aca="false">Parameters!$E$12*IF($N89="V",Parameters!$I$12,IF($N89="F",Parameters!$J$12,Parameters!$K$12))*(1-Parameters!$L$12*$P89)*IF($D89="V1",Parameters!$M$12,IF($D89="V2",Parameters!$N$12,Parameters!$O$12))</f>
        <v>0.438283928571429</v>
      </c>
      <c r="BI89" s="46" t="n">
        <f aca="false">BH89*(1+INDEX(Response_Table!$L$4:$L$21,MATCH($F89&amp;"|mid",Response_Table!$A$4:$A$21,0))*$R89*INDEX(Parameters!$X$12:$AA$12,1,MATCH($E89,Parameters!$X$3:$AA$3,0)))</f>
        <v>0.386849259956737</v>
      </c>
      <c r="BJ89" s="46" t="n">
        <f aca="false">MAX(0,MIN(BH89*(1+INDEX(Response_Table!$L$4:$L$21,MATCH($F89&amp;"|low",Response_Table!$A$4:$A$21,0))*$R89*INDEX(Parameters!$X$12:$AA$12,1,MATCH($E89,Parameters!$X$3:$AA$3,0))),BH89*(1+INDEX(Response_Table!$L$4:$L$21,MATCH($F89&amp;"|high",Response_Table!$A$4:$A$21,0))*$R89*INDEX(Parameters!$X$12:$AA$12,1,MATCH($E89,Parameters!$X$3:$AA$3,0))))*(1-Inputs_General!$C$22*Parameters!$F$12))</f>
        <v>0.30162234820369</v>
      </c>
      <c r="BK89" s="46" t="n">
        <f aca="false">MAX(BH89*(1+INDEX(Response_Table!$L$4:$L$21,MATCH($F89&amp;"|low",Response_Table!$A$4:$A$21,0))*$R89*INDEX(Parameters!$X$12:$AA$12,1,MATCH($E89,Parameters!$X$3:$AA$3,0))),BH89*(1+INDEX(Response_Table!$L$4:$L$21,MATCH($F89&amp;"|high",Response_Table!$A$4:$A$21,0))*$R89*INDEX(Parameters!$X$12:$AA$12,1,MATCH($E89,Parameters!$X$3:$AA$3,0))))*(1+Inputs_General!$C$22*Parameters!$F$12)</f>
        <v>0.477253463339479</v>
      </c>
      <c r="BL89" s="45" t="n">
        <f aca="false">IF(BH89=0,0,BI89/BH89-1)</f>
        <v>-0.117354676413395</v>
      </c>
      <c r="BM89" s="46" t="n">
        <f aca="false">Parameters!$E$13*IF($N89="V",Parameters!$I$13,IF($N89="F",Parameters!$J$13,Parameters!$K$13))*(1-Parameters!$L$13*$P89)*IF($D89="V1",Parameters!$M$13,IF($D89="V2",Parameters!$N$13,Parameters!$O$13))</f>
        <v>0.296094642857143</v>
      </c>
      <c r="BN89" s="46" t="n">
        <f aca="false">BM89*(1+INDEX(Response_Table!$M$4:$M$21,MATCH($F89&amp;"|mid",Response_Table!$A$4:$A$21,0))*$R89*INDEX(Parameters!$X$13:$AA$13,1,MATCH($E89,Parameters!$X$3:$AA$3,0)))</f>
        <v>0.299755369024851</v>
      </c>
      <c r="BO89" s="46" t="n">
        <f aca="false">MAX(0,MIN(BM89*(1+INDEX(Response_Table!$M$4:$M$21,MATCH($F89&amp;"|low",Response_Table!$A$4:$A$21,0))*$R89*INDEX(Parameters!$X$13:$AA$13,1,MATCH($E89,Parameters!$X$3:$AA$3,0))),BM89*(1+INDEX(Response_Table!$M$4:$M$21,MATCH($F89&amp;"|high",Response_Table!$A$4:$A$21,0))*$R89*INDEX(Parameters!$X$13:$AA$13,1,MATCH($E89,Parameters!$X$3:$AA$3,0))))*(1-Inputs_General!$C$22*Parameters!$F$13))</f>
        <v>0.236772756720675</v>
      </c>
      <c r="BP89" s="46" t="n">
        <f aca="false">MAX(BM89*(1+INDEX(Response_Table!$M$4:$M$21,MATCH($F89&amp;"|low",Response_Table!$A$4:$A$21,0))*$R89*INDEX(Parameters!$X$13:$AA$13,1,MATCH($E89,Parameters!$X$3:$AA$3,0))),BM89*(1+INDEX(Response_Table!$M$4:$M$21,MATCH($F89&amp;"|high",Response_Table!$A$4:$A$21,0))*$R89*INDEX(Parameters!$X$13:$AA$13,1,MATCH($E89,Parameters!$X$3:$AA$3,0))))*(1+Inputs_General!$C$22*Parameters!$F$13)</f>
        <v>0.362917185340618</v>
      </c>
      <c r="BQ89" s="45" t="n">
        <f aca="false">IF(BM89=0,0,BN89/BM89-1)</f>
        <v>0.012363365079435</v>
      </c>
      <c r="BR89" s="44" t="n">
        <f aca="false">Parameters!$E$14*IF($N89="V",Parameters!$I$14,IF($N89="F",Parameters!$J$14,Parameters!$K$14))*(1-Parameters!$L$14*$P89)*IF($D89="V1",Parameters!$M$14,IF($D89="V2",Parameters!$N$14,Parameters!$O$14))*INDEX(Context!$AC$4:$AC$51,$K89)</f>
        <v>15</v>
      </c>
      <c r="BS89" s="44" t="n">
        <f aca="false">BR89*(1+INDEX(Response_Table!$N$4:$N$21,MATCH($F89&amp;"|mid",Response_Table!$A$4:$A$21,0))*$R89*INDEX(Parameters!$X$14:$AA$14,1,MATCH($E89,Parameters!$X$3:$AA$3,0)))</f>
        <v>16.920349250401</v>
      </c>
      <c r="BT89" s="44" t="n">
        <f aca="false">MAX(0,MIN(BR89*(1+INDEX(Response_Table!$N$4:$N$21,MATCH($F89&amp;"|low",Response_Table!$A$4:$A$21,0))*$R89*INDEX(Parameters!$X$14:$AA$14,1,MATCH($E89,Parameters!$X$3:$AA$3,0))),BR89*(1+INDEX(Response_Table!$N$4:$N$21,MATCH($F89&amp;"|high",Response_Table!$A$4:$A$21,0))*$R89*INDEX(Parameters!$X$14:$AA$14,1,MATCH($E89,Parameters!$X$3:$AA$3,0))))*(1-Inputs_General!$C$22*Parameters!$F$14))</f>
        <v>8.34842074128172</v>
      </c>
      <c r="BU89" s="44" t="n">
        <f aca="false">MAX(BR89*(1+INDEX(Response_Table!$N$4:$N$21,MATCH($F89&amp;"|low",Response_Table!$A$4:$A$21,0))*$R89*INDEX(Parameters!$X$14:$AA$14,1,MATCH($E89,Parameters!$X$3:$AA$3,0))),BR89*(1+INDEX(Response_Table!$N$4:$N$21,MATCH($F89&amp;"|high",Response_Table!$A$4:$A$21,0))*$R89*INDEX(Parameters!$X$14:$AA$14,1,MATCH($E89,Parameters!$X$3:$AA$3,0))))*(1+Inputs_General!$C$22*Parameters!$F$14)</f>
        <v>25.8862918867067</v>
      </c>
      <c r="BV89" s="45" t="n">
        <f aca="false">IF(BR89=0,0,BS89/BR89-1)</f>
        <v>0.128023283360068</v>
      </c>
      <c r="BW89" s="43" t="n">
        <f aca="false">Parameters!$E$15*IF($N89="V",Parameters!$I$15,IF($N89="F",Parameters!$J$15,Parameters!$K$15))*(1-Parameters!$L$15*$P89)*IF($D89="V1",Parameters!$M$15,IF($D89="V2",Parameters!$N$15,Parameters!$O$15))</f>
        <v>10.1292285714286</v>
      </c>
      <c r="BX89" s="43" t="n">
        <f aca="false">BW89*(1+INDEX(Response_Table!$O$4:$O$21,MATCH($F89&amp;"|mid",Response_Table!$A$4:$A$21,0))*$R89*INDEX(Parameters!$X$15:$AA$15,1,MATCH($E89,Parameters!$X$3:$AA$3,0)))</f>
        <v>9.80503429652385</v>
      </c>
      <c r="BY89" s="43" t="n">
        <f aca="false">MAX(0,MIN(BW89*(1+INDEX(Response_Table!$O$4:$O$21,MATCH($F89&amp;"|low",Response_Table!$A$4:$A$21,0))*$R89*INDEX(Parameters!$X$15:$AA$15,1,MATCH($E89,Parameters!$X$3:$AA$3,0))),BW89*(1+INDEX(Response_Table!$O$4:$O$21,MATCH($F89&amp;"|high",Response_Table!$A$4:$A$21,0))*$R89*INDEX(Parameters!$X$15:$AA$15,1,MATCH($E89,Parameters!$X$3:$AA$3,0))))*(1-Inputs_General!$C$22*Parameters!$F$15))</f>
        <v>7.81365760183798</v>
      </c>
      <c r="BZ89" s="43" t="n">
        <f aca="false">MAX(BW89*(1+INDEX(Response_Table!$O$4:$O$21,MATCH($F89&amp;"|low",Response_Table!$A$4:$A$21,0))*$R89*INDEX(Parameters!$X$15:$AA$15,1,MATCH($E89,Parameters!$X$3:$AA$3,0))),BW89*(1+INDEX(Response_Table!$O$4:$O$21,MATCH($F89&amp;"|high",Response_Table!$A$4:$A$21,0))*$R89*INDEX(Parameters!$X$15:$AA$15,1,MATCH($E89,Parameters!$X$3:$AA$3,0))))*(1+Inputs_General!$C$22*Parameters!$F$15)</f>
        <v>11.8290436172393</v>
      </c>
      <c r="CA89" s="45" t="n">
        <f aca="false">IF(BW89=0,0,BX89/BW89-1)</f>
        <v>-0.0320058208400171</v>
      </c>
      <c r="CB89" s="46" t="n">
        <f aca="false">BD89+BI89</f>
        <v>1.42557277156864</v>
      </c>
      <c r="CC89" s="43" t="n">
        <f aca="false">BD89/BI89</f>
        <v>2.68508594724486</v>
      </c>
      <c r="CD89" s="46" t="n">
        <f aca="false">BN89/CB89</f>
        <v>0.210270127911472</v>
      </c>
      <c r="CE89" s="43" t="n">
        <f aca="false">AE89/AO89</f>
        <v>2.66668182082342</v>
      </c>
      <c r="CF89" s="44" t="n">
        <f aca="false">AE89/AJ89</f>
        <v>47.648629674051</v>
      </c>
      <c r="CG89" s="44" t="n">
        <f aca="false">INDEX(Context!$V$4:$V$51,$K89)</f>
        <v>28.62</v>
      </c>
      <c r="CH89" s="44" t="n">
        <f aca="false">INDEX(Context!$Y$4:$Y$51,$K89)</f>
        <v>25.3060134606718</v>
      </c>
      <c r="CI89" s="44" t="n">
        <f aca="false">INDEX(Context!$Z$4:$Z$51,$K89)</f>
        <v>32.62</v>
      </c>
      <c r="CJ89" s="43" t="n">
        <f aca="false">INDEX(Context!$AA$4:$AA$51,$K89)</f>
        <v>0.221696428571429</v>
      </c>
      <c r="CK89" s="43" t="n">
        <f aca="false">MAX(0,MIN(1,1-(1-CJ89)*AO89/AN89))</f>
        <v>0.316233638567851</v>
      </c>
      <c r="CL89" s="44" t="n">
        <f aca="false">CH89+CK89*(CI89-CH89)</f>
        <v>27.6189420364398</v>
      </c>
      <c r="CM89" s="44" t="n">
        <f aca="false">CH89+MAX(0,MIN(1,1-(1-CJ89)*AQ89/AN89))*(CI89-CH89)</f>
        <v>25.8672472487441</v>
      </c>
      <c r="CN89" s="44" t="n">
        <f aca="false">CH89+MAX(0,MIN(1,1-(1-CJ89)*AP89/AN89))*(CI89-CH89)</f>
        <v>29.2381131530413</v>
      </c>
      <c r="CO89" s="44" t="n">
        <f aca="false">CL89-CG89</f>
        <v>-1.00105796356018</v>
      </c>
      <c r="CP89" s="44" t="n">
        <f aca="false">CL89-(CH89+CJ89*(CI89-CH89))</f>
        <v>0.691443881379481</v>
      </c>
      <c r="CQ89" s="46" t="n">
        <f aca="false">CL89/CG89</f>
        <v>0.965022433139057</v>
      </c>
      <c r="CR89" s="43" t="n">
        <f aca="false">IF(CL89-CH89&lt;=0,"n/a",(CI89-CL89)/(CL89-CH89))</f>
        <v>2.1622189357488</v>
      </c>
      <c r="CS89" s="43" t="n">
        <f aca="false">IF(CI89-CL89&lt;=0,"n/a",(CL89-CH89)/(CI89-CL89))</f>
        <v>0.462487856093855</v>
      </c>
      <c r="CT89" s="43" t="n">
        <f aca="false">Inputs_General!$C$23+Inputs_General!$C$24*$I89</f>
        <v>0.76</v>
      </c>
      <c r="CU89" s="44" t="n">
        <f aca="false">3.29*CT89</f>
        <v>2.5004</v>
      </c>
    </row>
    <row r="90" customFormat="false" ht="15" hidden="false" customHeight="false" outlineLevel="0" collapsed="false">
      <c r="A90" s="9" t="str">
        <f aca="false">B90&amp;"|"&amp;E90&amp;"|"&amp;F90</f>
        <v>D2V1|03/03/2026|Moderate</v>
      </c>
      <c r="B90" s="7" t="s">
        <v>346</v>
      </c>
      <c r="C90" s="9" t="s">
        <v>129</v>
      </c>
      <c r="D90" s="9" t="s">
        <v>142</v>
      </c>
      <c r="E90" s="9" t="s">
        <v>162</v>
      </c>
      <c r="F90" s="7" t="s">
        <v>281</v>
      </c>
      <c r="G90" s="9" t="s">
        <v>282</v>
      </c>
      <c r="H90" s="41" t="n">
        <f aca="false">INDEX(Severity_Classes!$C$4:$C$9,MATCH(F90,Severity_Classes!$A$4:$A$9,0))</f>
        <v>0.11</v>
      </c>
      <c r="I90" s="41" t="n">
        <f aca="false">INDEX(Severity_Classes!$D$4:$D$9,MATCH(F90,Severity_Classes!$A$4:$A$9,0))</f>
        <v>0.18</v>
      </c>
      <c r="J90" s="41" t="n">
        <f aca="false">INDEX(Severity_Classes!$E$4:$E$9,MATCH(F90,Severity_Classes!$A$4:$A$9,0))</f>
        <v>0.25</v>
      </c>
      <c r="K90" s="42" t="n">
        <f aca="false">MATCH(B90&amp;"|"&amp;E90,Context!$A$4:$A$51,0)</f>
        <v>15</v>
      </c>
      <c r="L90" s="42" t="n">
        <f aca="false">INDEX(Context!$H$4:$H$51,K90)</f>
        <v>75</v>
      </c>
      <c r="M90" s="42" t="n">
        <f aca="false">INDEX(Context!$I$4:$I$51,K90)</f>
        <v>26</v>
      </c>
      <c r="N90" s="9" t="str">
        <f aca="false">INDEX(Context!$L$4:$L$51,K90)</f>
        <v>F</v>
      </c>
      <c r="O90" s="9" t="str">
        <f aca="false">INDEX(Context!$M$4:$M$51,K90)</f>
        <v>5th fully expanded leaf from top</v>
      </c>
      <c r="P90" s="43" t="n">
        <f aca="false">INDEX(Context!$R$4:$R$51,K90)</f>
        <v>0.433928571428571</v>
      </c>
      <c r="Q90" s="43" t="n">
        <f aca="false">INDEX(Context!$U$4:$U$51,K90)</f>
        <v>1.73951545534029</v>
      </c>
      <c r="R90" s="43" t="n">
        <f aca="false">INDEX(Context!$AD$4:$AD$51,K90)</f>
        <v>1</v>
      </c>
      <c r="S90" s="9" t="str">
        <f aca="false">INDEX(Context!$AI$4:$AN$51,K90,MATCH(F90,Severity_Classes!$A$4:$A$9,0))</f>
        <v>Likely</v>
      </c>
      <c r="T90" s="44" t="n">
        <f aca="false">Parameters!$E$4*IF($N90="V",Parameters!$I$4,IF($N90="F",Parameters!$J$4,Parameters!$K$4))*(1-Parameters!$L$4*$P90)*IF($D90="V1",Parameters!$M$4,IF($D90="V2",Parameters!$N$4,Parameters!$O$4))</f>
        <v>83.2927660714286</v>
      </c>
      <c r="U90" s="44" t="n">
        <f aca="false">MIN(100,T90*(1+INDEX(Response_Table!$E$4:$E$21,MATCH($F90&amp;"|mid",Response_Table!$A$4:$A$21,0))*$R90*INDEX(Parameters!$X$4:$AA$4,1,MATCH($E90,Parameters!$X$3:$AA$3,0))))</f>
        <v>79.5037842538657</v>
      </c>
      <c r="V90" s="44" t="n">
        <f aca="false">MAX(0,MIN(T90*(1+INDEX(Response_Table!$E$4:$E$21,MATCH($F90&amp;"|low",Response_Table!$A$4:$A$21,0))*$R90*INDEX(Parameters!$X$4:$AA$4,1,MATCH($E90,Parameters!$X$3:$AA$3,0))),T90*(1+INDEX(Response_Table!$E$4:$E$21,MATCH($F90&amp;"|high",Response_Table!$A$4:$A$21,0))*$R90*INDEX(Parameters!$X$4:$AA$4,1,MATCH($E90,Parameters!$X$3:$AA$3,0))))*(1-Inputs_General!$C$22*Parameters!$F$4))</f>
        <v>71.6208993812828</v>
      </c>
      <c r="W90" s="44" t="n">
        <f aca="false">MIN(100,MAX(T90*(1+INDEX(Response_Table!$E$4:$E$21,MATCH($F90&amp;"|low",Response_Table!$A$4:$A$21,0))*$R90*INDEX(Parameters!$X$4:$AA$4,1,MATCH($E90,Parameters!$X$3:$AA$3,0))),T90*(1+INDEX(Response_Table!$E$4:$E$21,MATCH($F90&amp;"|high",Response_Table!$A$4:$A$21,0))*$R90*INDEX(Parameters!$X$4:$AA$4,1,MATCH($E90,Parameters!$X$3:$AA$3,0))))*(1+Inputs_General!$C$22*Parameters!$F$4))</f>
        <v>86.8681833818543</v>
      </c>
      <c r="X90" s="45" t="n">
        <f aca="false">IF(T90=0,0,U90/T90-1)</f>
        <v>-0.0454899266319667</v>
      </c>
      <c r="Y90" s="44" t="n">
        <f aca="false">Parameters!$E$5*IF($N90="V",Parameters!$I$5,IF($N90="F",Parameters!$J$5,Parameters!$K$5))*(1-Parameters!$L$5*$P90)*IF($D90="V1",Parameters!$M$5,IF($D90="V2",Parameters!$N$5,Parameters!$O$5))</f>
        <v>66.88584</v>
      </c>
      <c r="Z90" s="44" t="n">
        <f aca="false">MIN(100,Y90*(1+INDEX(Response_Table!$F$4:$F$21,MATCH($F90&amp;"|mid",Response_Table!$A$4:$A$21,0))*$R90*INDEX(Parameters!$X$5:$AA$5,1,MATCH($E90,Parameters!$X$3:$AA$3,0))))</f>
        <v>56.3753996110962</v>
      </c>
      <c r="AA90" s="44" t="n">
        <f aca="false">MAX(0,MIN(Y90*(1+INDEX(Response_Table!$F$4:$F$21,MATCH($F90&amp;"|low",Response_Table!$A$4:$A$21,0))*$R90*INDEX(Parameters!$X$5:$AA$5,1,MATCH($E90,Parameters!$X$3:$AA$3,0))),Y90*(1+INDEX(Response_Table!$F$4:$F$21,MATCH($F90&amp;"|high",Response_Table!$A$4:$A$21,0))*$R90*INDEX(Parameters!$X$5:$AA$5,1,MATCH($E90,Parameters!$X$3:$AA$3,0))))*(1-Inputs_General!$C$22*Parameters!$F$5))</f>
        <v>43.0008033894371</v>
      </c>
      <c r="AB90" s="44" t="n">
        <f aca="false">MIN(100,MAX(Y90*(1+INDEX(Response_Table!$F$4:$F$21,MATCH($F90&amp;"|low",Response_Table!$A$4:$A$21,0))*$R90*INDEX(Parameters!$X$5:$AA$5,1,MATCH($E90,Parameters!$X$3:$AA$3,0))),Y90*(1+INDEX(Response_Table!$F$4:$F$21,MATCH($F90&amp;"|high",Response_Table!$A$4:$A$21,0))*$R90*INDEX(Parameters!$X$5:$AA$5,1,MATCH($E90,Parameters!$X$3:$AA$3,0))))*(1+Inputs_General!$C$22*Parameters!$F$5))</f>
        <v>69.2074491644124</v>
      </c>
      <c r="AC90" s="45" t="n">
        <f aca="false">IF(Y90=0,0,Z90/Y90-1)</f>
        <v>-0.157139992394561</v>
      </c>
      <c r="AD90" s="44" t="n">
        <f aca="false">Parameters!$E$6*IF($N90="V",Parameters!$I$6,IF($N90="F",Parameters!$J$6,Parameters!$K$6))*(1-Parameters!$L$6*$P90)*IF($D90="V1",Parameters!$M$6,IF($D90="V2",Parameters!$N$6,Parameters!$O$6))</f>
        <v>18.0106428571429</v>
      </c>
      <c r="AE90" s="44" t="n">
        <f aca="false">AD90*(1+INDEX(Response_Table!$G$4:$G$21,MATCH($F90&amp;"|mid",Response_Table!$A$4:$A$21,0))*$R90*INDEX(Parameters!$X$6:$AA$6,1,MATCH($E90,Parameters!$X$3:$AA$3,0)))</f>
        <v>10.6209393026927</v>
      </c>
      <c r="AF90" s="44" t="n">
        <f aca="false">MAX(0,MIN(AD90*(1+INDEX(Response_Table!$G$4:$G$21,MATCH($F90&amp;"|low",Response_Table!$A$4:$A$21,0))*$R90*INDEX(Parameters!$X$6:$AA$6,1,MATCH($E90,Parameters!$X$3:$AA$3,0))),AD90*(1+INDEX(Response_Table!$G$4:$G$21,MATCH($F90&amp;"|high",Response_Table!$A$4:$A$21,0))*$R90*INDEX(Parameters!$X$6:$AA$6,1,MATCH($E90,Parameters!$X$3:$AA$3,0))))*(1-Inputs_General!$C$22*Parameters!$F$6))</f>
        <v>7.22265949616106</v>
      </c>
      <c r="AG90" s="44" t="n">
        <f aca="false">MAX(AD90*(1+INDEX(Response_Table!$G$4:$G$21,MATCH($F90&amp;"|low",Response_Table!$A$4:$A$21,0))*$R90*INDEX(Parameters!$X$6:$AA$6,1,MATCH($E90,Parameters!$X$3:$AA$3,0))),AD90*(1+INDEX(Response_Table!$G$4:$G$21,MATCH($F90&amp;"|high",Response_Table!$A$4:$A$21,0))*$R90*INDEX(Parameters!$X$6:$AA$6,1,MATCH($E90,Parameters!$X$3:$AA$3,0))))*(1+Inputs_General!$C$22*Parameters!$F$6)</f>
        <v>15.3600178262045</v>
      </c>
      <c r="AH90" s="45" t="n">
        <f aca="false">IF(AD90=0,0,AE90/AD90-1)</f>
        <v>-0.410296490417582</v>
      </c>
      <c r="AI90" s="46" t="n">
        <f aca="false">Parameters!$E$7*IF($N90="V",Parameters!$I$7,IF($N90="F",Parameters!$J$7,Parameters!$K$7))*(1-Parameters!$L$7*$P90)*IF($D90="V1",Parameters!$M$7,IF($D90="V2",Parameters!$N$7,Parameters!$O$7))*POWER($Q90/Inputs_General!$C$26,-Inputs_General!$C$25)</f>
        <v>0.341191629407368</v>
      </c>
      <c r="AJ90" s="46" t="n">
        <f aca="false">AI90*(1+INDEX(Response_Table!$H$4:$H$21,MATCH($F90&amp;"|mid",Response_Table!$A$4:$A$21,0))*$R90*INDEX(Parameters!$X$7:$AA$7,1,MATCH($E90,Parameters!$X$3:$AA$3,0)))</f>
        <v>0.248655807037734</v>
      </c>
      <c r="AK90" s="46" t="n">
        <f aca="false">MAX(0,MIN(AI90*(1+INDEX(Response_Table!$H$4:$H$21,MATCH($F90&amp;"|low",Response_Table!$A$4:$A$21,0))*$R90*INDEX(Parameters!$X$7:$AA$7,1,MATCH($E90,Parameters!$X$3:$AA$3,0))),AI90*(1+INDEX(Response_Table!$H$4:$H$21,MATCH($F90&amp;"|high",Response_Table!$A$4:$A$21,0))*$R90*INDEX(Parameters!$X$7:$AA$7,1,MATCH($E90,Parameters!$X$3:$AA$3,0))))*(1-Inputs_General!$C$22*Parameters!$F$7))</f>
        <v>0.157797454208746</v>
      </c>
      <c r="AL90" s="46" t="n">
        <f aca="false">MAX(AI90*(1+INDEX(Response_Table!$H$4:$H$21,MATCH($F90&amp;"|low",Response_Table!$A$4:$A$21,0))*$R90*INDEX(Parameters!$X$7:$AA$7,1,MATCH($E90,Parameters!$X$3:$AA$3,0))),AI90*(1+INDEX(Response_Table!$H$4:$H$21,MATCH($F90&amp;"|high",Response_Table!$A$4:$A$21,0))*$R90*INDEX(Parameters!$X$7:$AA$7,1,MATCH($E90,Parameters!$X$3:$AA$3,0))))*(1+Inputs_General!$C$22*Parameters!$F$7)</f>
        <v>0.361425344954268</v>
      </c>
      <c r="AM90" s="45" t="n">
        <f aca="false">IF(AI90=0,0,AJ90/AI90-1)</f>
        <v>-0.271213635956907</v>
      </c>
      <c r="AN90" s="43" t="n">
        <f aca="false">AI90*$Q90/Inputs_General!$C$13*1000</f>
        <v>5.97691956280819</v>
      </c>
      <c r="AO90" s="43" t="n">
        <f aca="false">AJ90*$Q90/Inputs_General!$C$13*1000*(1+Inputs_General!$C$21*$I90)</f>
        <v>4.55191286279308</v>
      </c>
      <c r="AP90" s="43" t="n">
        <f aca="false">AK90*$Q90/Inputs_General!$C$13*1000*(1+Inputs_General!$C$21*$H90)</f>
        <v>2.84027810620065</v>
      </c>
      <c r="AQ90" s="43" t="n">
        <f aca="false">AL90*$Q90/Inputs_General!$C$13*1000*(1+Inputs_General!$C$21*$J90)</f>
        <v>6.727079902753</v>
      </c>
      <c r="AR90" s="45" t="n">
        <f aca="false">IF(AN90=0,0,AO90/AN90-1)</f>
        <v>-0.238418249574968</v>
      </c>
      <c r="AS90" s="42" t="n">
        <f aca="false">Parameters!$E$9*IF($N90="V",Parameters!$I$9,IF($N90="F",Parameters!$J$9,Parameters!$K$9))*(1-Parameters!$L$9*$P90)*IF($D90="V1",Parameters!$M$9,IF($D90="V2",Parameters!$N$9,Parameters!$O$9))</f>
        <v>285</v>
      </c>
      <c r="AT90" s="42" t="n">
        <f aca="false">AS90*(1+INDEX(Response_Table!$I$4:$I$21,MATCH($F90&amp;"|mid",Response_Table!$A$4:$A$21,0))*$R90*INDEX(Parameters!$X$9:$AA$9,1,MATCH($E90,Parameters!$X$3:$AA$3,0)))</f>
        <v>328.882682115422</v>
      </c>
      <c r="AU90" s="42" t="n">
        <f aca="false">MAX(0,MIN(AS90*(1+INDEX(Response_Table!$I$4:$I$21,MATCH($F90&amp;"|low",Response_Table!$A$4:$A$21,0))*$R90*INDEX(Parameters!$X$9:$AA$9,1,MATCH($E90,Parameters!$X$3:$AA$3,0))),AS90*(1+INDEX(Response_Table!$I$4:$I$21,MATCH($F90&amp;"|high",Response_Table!$A$4:$A$21,0))*$R90*INDEX(Parameters!$X$9:$AA$9,1,MATCH($E90,Parameters!$X$3:$AA$3,0))))*(1-Inputs_General!$C$22*Parameters!$F$9))</f>
        <v>284.301462749449</v>
      </c>
      <c r="AV90" s="42" t="n">
        <f aca="false">MAX(AS90*(1+INDEX(Response_Table!$I$4:$I$21,MATCH($F90&amp;"|low",Response_Table!$A$4:$A$21,0))*$R90*INDEX(Parameters!$X$9:$AA$9,1,MATCH($E90,Parameters!$X$3:$AA$3,0))),AS90*(1+INDEX(Response_Table!$I$4:$I$21,MATCH($F90&amp;"|high",Response_Table!$A$4:$A$21,0))*$R90*INDEX(Parameters!$X$9:$AA$9,1,MATCH($E90,Parameters!$X$3:$AA$3,0))))*(1+Inputs_General!$C$22*Parameters!$F$9)</f>
        <v>372.510178357712</v>
      </c>
      <c r="AW90" s="45" t="n">
        <f aca="false">IF(AS90=0,0,AT90/AS90-1)</f>
        <v>0.153974323212009</v>
      </c>
      <c r="AX90" s="43" t="n">
        <f aca="false">INDEX(Context!$AB$4:$AB$51,$K90)</f>
        <v>2.92553901513759</v>
      </c>
      <c r="AY90" s="43" t="n">
        <f aca="false">AX90*(1+INDEX(Response_Table!$J$4:$J$21,MATCH($F90&amp;"|mid",Response_Table!$A$4:$A$21,0))*$R90*INDEX(Parameters!$X$10:$AA$10,1,MATCH($E90,Parameters!$X$3:$AA$3,0)))</f>
        <v>2.44847917394948</v>
      </c>
      <c r="AZ90" s="43" t="n">
        <f aca="false">MAX(0,MIN(AX90*(1+INDEX(Response_Table!$J$4:$J$21,MATCH($F90&amp;"|low",Response_Table!$A$4:$A$21,0))*$R90*INDEX(Parameters!$X$10:$AA$10,1,MATCH($E90,Parameters!$X$3:$AA$3,0))),AX90*(1+INDEX(Response_Table!$J$4:$J$21,MATCH($F90&amp;"|high",Response_Table!$A$4:$A$21,0))*$R90*INDEX(Parameters!$X$10:$AA$10,1,MATCH($E90,Parameters!$X$3:$AA$3,0))))*(1-Inputs_General!$C$22*Parameters!$F$10))</f>
        <v>1.85698697271234</v>
      </c>
      <c r="BA90" s="43" t="n">
        <f aca="false">MAX(AX90*(1+INDEX(Response_Table!$J$4:$J$21,MATCH($F90&amp;"|low",Response_Table!$A$4:$A$21,0))*$R90*INDEX(Parameters!$X$10:$AA$10,1,MATCH($E90,Parameters!$X$3:$AA$3,0))),AX90*(1+INDEX(Response_Table!$J$4:$J$21,MATCH($F90&amp;"|high",Response_Table!$A$4:$A$21,0))*$R90*INDEX(Parameters!$X$10:$AA$10,1,MATCH($E90,Parameters!$X$3:$AA$3,0))))*(1+Inputs_General!$C$22*Parameters!$F$10)</f>
        <v>3.12403756038303</v>
      </c>
      <c r="BB90" s="45" t="n">
        <f aca="false">IF(AX90=0,0,AY90/AX90-1)</f>
        <v>-0.163067331770202</v>
      </c>
      <c r="BC90" s="46" t="n">
        <f aca="false">Parameters!$E$11*IF($N90="V",Parameters!$I$11,IF($N90="F",Parameters!$J$11,Parameters!$K$11))*(1-Parameters!$L$11*$P90)*IF($D90="V1",Parameters!$M$11,IF($D90="V2",Parameters!$N$11,Parameters!$O$11))</f>
        <v>1.21745535714286</v>
      </c>
      <c r="BD90" s="46" t="n">
        <f aca="false">BC90*(1+INDEX(Response_Table!$K$4:$K$21,MATCH($F90&amp;"|mid",Response_Table!$A$4:$A$21,0))*$R90*INDEX(Parameters!$X$11:$AA$11,1,MATCH($E90,Parameters!$X$3:$AA$3,0)))</f>
        <v>0.870958540398467</v>
      </c>
      <c r="BE90" s="46" t="n">
        <f aca="false">MAX(0,MIN(BC90*(1+INDEX(Response_Table!$K$4:$K$21,MATCH($F90&amp;"|low",Response_Table!$A$4:$A$21,0))*$R90*INDEX(Parameters!$X$11:$AA$11,1,MATCH($E90,Parameters!$X$3:$AA$3,0))),BC90*(1+INDEX(Response_Table!$K$4:$K$21,MATCH($F90&amp;"|high",Response_Table!$A$4:$A$21,0))*$R90*INDEX(Parameters!$X$11:$AA$11,1,MATCH($E90,Parameters!$X$3:$AA$3,0))))*(1-Inputs_General!$C$22*Parameters!$F$11))</f>
        <v>0.653097019943878</v>
      </c>
      <c r="BF90" s="46" t="n">
        <f aca="false">MAX(BC90*(1+INDEX(Response_Table!$K$4:$K$21,MATCH($F90&amp;"|low",Response_Table!$A$4:$A$21,0))*$R90*INDEX(Parameters!$X$11:$AA$11,1,MATCH($E90,Parameters!$X$3:$AA$3,0))),BC90*(1+INDEX(Response_Table!$K$4:$K$21,MATCH($F90&amp;"|high",Response_Table!$A$4:$A$21,0))*$R90*INDEX(Parameters!$X$11:$AA$11,1,MATCH($E90,Parameters!$X$3:$AA$3,0))))*(1+Inputs_General!$C$22*Parameters!$F$11)</f>
        <v>1.14429275039473</v>
      </c>
      <c r="BG90" s="45" t="n">
        <f aca="false">IF(BC90=0,0,BD90/BC90-1)</f>
        <v>-0.284607410622065</v>
      </c>
      <c r="BH90" s="46" t="n">
        <f aca="false">Parameters!$E$12*IF($N90="V",Parameters!$I$12,IF($N90="F",Parameters!$J$12,Parameters!$K$12))*(1-Parameters!$L$12*$P90)*IF($D90="V1",Parameters!$M$12,IF($D90="V2",Parameters!$N$12,Parameters!$O$12))</f>
        <v>0.438283928571429</v>
      </c>
      <c r="BI90" s="46" t="n">
        <f aca="false">BH90*(1+INDEX(Response_Table!$L$4:$L$21,MATCH($F90&amp;"|mid",Response_Table!$A$4:$A$21,0))*$R90*INDEX(Parameters!$X$12:$AA$12,1,MATCH($E90,Parameters!$X$3:$AA$3,0)))</f>
        <v>0.337702824237376</v>
      </c>
      <c r="BJ90" s="46" t="n">
        <f aca="false">MAX(0,MIN(BH90*(1+INDEX(Response_Table!$L$4:$L$21,MATCH($F90&amp;"|low",Response_Table!$A$4:$A$21,0))*$R90*INDEX(Parameters!$X$12:$AA$12,1,MATCH($E90,Parameters!$X$3:$AA$3,0))),BH90*(1+INDEX(Response_Table!$L$4:$L$21,MATCH($F90&amp;"|high",Response_Table!$A$4:$A$21,0))*$R90*INDEX(Parameters!$X$12:$AA$12,1,MATCH($E90,Parameters!$X$3:$AA$3,0))))*(1-Inputs_General!$C$22*Parameters!$F$12))</f>
        <v>0.249684554460915</v>
      </c>
      <c r="BK90" s="46" t="n">
        <f aca="false">MAX(BH90*(1+INDEX(Response_Table!$L$4:$L$21,MATCH($F90&amp;"|low",Response_Table!$A$4:$A$21,0))*$R90*INDEX(Parameters!$X$12:$AA$12,1,MATCH($E90,Parameters!$X$3:$AA$3,0))),BH90*(1+INDEX(Response_Table!$L$4:$L$21,MATCH($F90&amp;"|high",Response_Table!$A$4:$A$21,0))*$R90*INDEX(Parameters!$X$12:$AA$12,1,MATCH($E90,Parameters!$X$3:$AA$3,0))))*(1+Inputs_General!$C$22*Parameters!$F$12)</f>
        <v>0.443671140678048</v>
      </c>
      <c r="BL90" s="45" t="n">
        <f aca="false">IF(BH90=0,0,BI90/BH90-1)</f>
        <v>-0.229488461194306</v>
      </c>
      <c r="BM90" s="46" t="n">
        <f aca="false">Parameters!$E$13*IF($N90="V",Parameters!$I$13,IF($N90="F",Parameters!$J$13,Parameters!$K$13))*(1-Parameters!$L$13*$P90)*IF($D90="V1",Parameters!$M$13,IF($D90="V2",Parameters!$N$13,Parameters!$O$13))</f>
        <v>0.296094642857143</v>
      </c>
      <c r="BN90" s="46" t="n">
        <f aca="false">BM90*(1+INDEX(Response_Table!$M$4:$M$21,MATCH($F90&amp;"|mid",Response_Table!$A$4:$A$21,0))*$R90*INDEX(Parameters!$X$13:$AA$13,1,MATCH($E90,Parameters!$X$3:$AA$3,0)))</f>
        <v>0.270624141827225</v>
      </c>
      <c r="BO90" s="46" t="n">
        <f aca="false">MAX(0,MIN(BM90*(1+INDEX(Response_Table!$M$4:$M$21,MATCH($F90&amp;"|low",Response_Table!$A$4:$A$21,0))*$R90*INDEX(Parameters!$X$13:$AA$13,1,MATCH($E90,Parameters!$X$3:$AA$3,0))),BM90*(1+INDEX(Response_Table!$M$4:$M$21,MATCH($F90&amp;"|high",Response_Table!$A$4:$A$21,0))*$R90*INDEX(Parameters!$X$13:$AA$13,1,MATCH($E90,Parameters!$X$3:$AA$3,0))))*(1-Inputs_General!$C$22*Parameters!$F$13))</f>
        <v>0.200746134847593</v>
      </c>
      <c r="BP90" s="46" t="n">
        <f aca="false">MAX(BM90*(1+INDEX(Response_Table!$M$4:$M$21,MATCH($F90&amp;"|low",Response_Table!$A$4:$A$21,0))*$R90*INDEX(Parameters!$X$13:$AA$13,1,MATCH($E90,Parameters!$X$3:$AA$3,0))),BM90*(1+INDEX(Response_Table!$M$4:$M$21,MATCH($F90&amp;"|high",Response_Table!$A$4:$A$21,0))*$R90*INDEX(Parameters!$X$13:$AA$13,1,MATCH($E90,Parameters!$X$3:$AA$3,0))))*(1+Inputs_General!$C$22*Parameters!$F$13)</f>
        <v>0.349970681887365</v>
      </c>
      <c r="BQ90" s="45" t="n">
        <f aca="false">IF(BM90=0,0,BN90/BM90-1)</f>
        <v>-0.0860214855093042</v>
      </c>
      <c r="BR90" s="44" t="n">
        <f aca="false">Parameters!$E$14*IF($N90="V",Parameters!$I$14,IF($N90="F",Parameters!$J$14,Parameters!$K$14))*(1-Parameters!$L$14*$P90)*IF($D90="V1",Parameters!$M$14,IF($D90="V2",Parameters!$N$14,Parameters!$O$14))*INDEX(Context!$AC$4:$AC$51,$K90)</f>
        <v>15</v>
      </c>
      <c r="BS90" s="44" t="n">
        <f aca="false">BR90*(1+INDEX(Response_Table!$N$4:$N$21,MATCH($F90&amp;"|mid",Response_Table!$A$4:$A$21,0))*$R90*INDEX(Parameters!$X$14:$AA$14,1,MATCH($E90,Parameters!$X$3:$AA$3,0)))</f>
        <v>18.7552657286341</v>
      </c>
      <c r="BT90" s="44" t="n">
        <f aca="false">MAX(0,MIN(BR90*(1+INDEX(Response_Table!$N$4:$N$21,MATCH($F90&amp;"|low",Response_Table!$A$4:$A$21,0))*$R90*INDEX(Parameters!$X$14:$AA$14,1,MATCH($E90,Parameters!$X$3:$AA$3,0))),BR90*(1+INDEX(Response_Table!$N$4:$N$21,MATCH($F90&amp;"|high",Response_Table!$A$4:$A$21,0))*$R90*INDEX(Parameters!$X$14:$AA$14,1,MATCH($E90,Parameters!$X$3:$AA$3,0))))*(1-Inputs_General!$C$22*Parameters!$F$14))</f>
        <v>8.87878616115056</v>
      </c>
      <c r="BU90" s="44" t="n">
        <f aca="false">MAX(BR90*(1+INDEX(Response_Table!$N$4:$N$21,MATCH($F90&amp;"|low",Response_Table!$A$4:$A$21,0))*$R90*INDEX(Parameters!$X$14:$AA$14,1,MATCH($E90,Parameters!$X$3:$AA$3,0))),BR90*(1+INDEX(Response_Table!$N$4:$N$21,MATCH($F90&amp;"|high",Response_Table!$A$4:$A$21,0))*$R90*INDEX(Parameters!$X$14:$AA$14,1,MATCH($E90,Parameters!$X$3:$AA$3,0))))*(1+Inputs_General!$C$22*Parameters!$F$14)</f>
        <v>29.4946849813317</v>
      </c>
      <c r="BV90" s="45" t="n">
        <f aca="false">IF(BR90=0,0,BS90/BR90-1)</f>
        <v>0.250351048575606</v>
      </c>
      <c r="BW90" s="43" t="n">
        <f aca="false">Parameters!$E$15*IF($N90="V",Parameters!$I$15,IF($N90="F",Parameters!$J$15,Parameters!$K$15))*(1-Parameters!$L$15*$P90)*IF($D90="V1",Parameters!$M$15,IF($D90="V2",Parameters!$N$15,Parameters!$O$15))</f>
        <v>10.1292285714286</v>
      </c>
      <c r="BX90" s="43" t="n">
        <f aca="false">BW90*(1+INDEX(Response_Table!$O$4:$O$21,MATCH($F90&amp;"|mid",Response_Table!$A$4:$A$21,0))*$R90*INDEX(Parameters!$X$15:$AA$15,1,MATCH($E90,Parameters!$X$3:$AA$3,0)))</f>
        <v>9.49526282289879</v>
      </c>
      <c r="BY90" s="43" t="n">
        <f aca="false">MAX(0,MIN(BW90*(1+INDEX(Response_Table!$O$4:$O$21,MATCH($F90&amp;"|low",Response_Table!$A$4:$A$21,0))*$R90*INDEX(Parameters!$X$15:$AA$15,1,MATCH($E90,Parameters!$X$3:$AA$3,0))),BW90*(1+INDEX(Response_Table!$O$4:$O$21,MATCH($F90&amp;"|high",Response_Table!$A$4:$A$21,0))*$R90*INDEX(Parameters!$X$15:$AA$15,1,MATCH($E90,Parameters!$X$3:$AA$3,0))))*(1-Inputs_General!$C$22*Parameters!$F$15))</f>
        <v>7.48629211400473</v>
      </c>
      <c r="BZ90" s="43" t="n">
        <f aca="false">MAX(BW90*(1+INDEX(Response_Table!$O$4:$O$21,MATCH($F90&amp;"|low",Response_Table!$A$4:$A$21,0))*$R90*INDEX(Parameters!$X$15:$AA$15,1,MATCH($E90,Parameters!$X$3:$AA$3,0))),BW90*(1+INDEX(Response_Table!$O$4:$O$21,MATCH($F90&amp;"|high",Response_Table!$A$4:$A$21,0))*$R90*INDEX(Parameters!$X$15:$AA$15,1,MATCH($E90,Parameters!$X$3:$AA$3,0))))*(1+Inputs_General!$C$22*Parameters!$F$15)</f>
        <v>11.6173732198582</v>
      </c>
      <c r="CA90" s="45" t="n">
        <f aca="false">IF(BW90=0,0,BX90/BW90-1)</f>
        <v>-0.0625877621439014</v>
      </c>
      <c r="CB90" s="46" t="n">
        <f aca="false">BD90+BI90</f>
        <v>1.20866136463584</v>
      </c>
      <c r="CC90" s="43" t="n">
        <f aca="false">BD90/BI90</f>
        <v>2.57906797897034</v>
      </c>
      <c r="CD90" s="46" t="n">
        <f aca="false">BN90/CB90</f>
        <v>0.22390402286811</v>
      </c>
      <c r="CE90" s="43" t="n">
        <f aca="false">AE90/AO90</f>
        <v>2.33329143655346</v>
      </c>
      <c r="CF90" s="44" t="n">
        <f aca="false">AE90/AJ90</f>
        <v>42.7134175116244</v>
      </c>
      <c r="CG90" s="44" t="n">
        <f aca="false">INDEX(Context!$V$4:$V$51,$K90)</f>
        <v>28.62</v>
      </c>
      <c r="CH90" s="44" t="n">
        <f aca="false">INDEX(Context!$Y$4:$Y$51,$K90)</f>
        <v>25.3060134606718</v>
      </c>
      <c r="CI90" s="44" t="n">
        <f aca="false">INDEX(Context!$Z$4:$Z$51,$K90)</f>
        <v>32.62</v>
      </c>
      <c r="CJ90" s="43" t="n">
        <f aca="false">INDEX(Context!$AA$4:$AA$51,$K90)</f>
        <v>0.221696428571429</v>
      </c>
      <c r="CK90" s="43" t="n">
        <f aca="false">MAX(0,MIN(1,1-(1-CJ90)*AO90/AN90))</f>
        <v>0.407258203709374</v>
      </c>
      <c r="CL90" s="44" t="n">
        <f aca="false">CH90+CK90*(CI90-CH90)</f>
        <v>28.2846944806331</v>
      </c>
      <c r="CM90" s="44" t="n">
        <f aca="false">CH90+MAX(0,MIN(1,1-(1-CJ90)*AQ90/AN90))*(CI90-CH90)</f>
        <v>26.2130349480082</v>
      </c>
      <c r="CN90" s="44" t="n">
        <f aca="false">CH90+MAX(0,MIN(1,1-(1-CJ90)*AP90/AN90))*(CI90-CH90)</f>
        <v>29.9148793789535</v>
      </c>
      <c r="CO90" s="44" t="n">
        <f aca="false">CL90-CG90</f>
        <v>-0.335305519366873</v>
      </c>
      <c r="CP90" s="44" t="n">
        <f aca="false">CL90-(CH90+CJ90*(CI90-CH90))</f>
        <v>1.35719632557279</v>
      </c>
      <c r="CQ90" s="46" t="n">
        <f aca="false">CL90/CG90</f>
        <v>0.988284223641968</v>
      </c>
      <c r="CR90" s="43" t="n">
        <f aca="false">IF(CL90-CH90&lt;=0,"n/a",(CI90-CL90)/(CL90-CH90))</f>
        <v>1.45544470532904</v>
      </c>
      <c r="CS90" s="43" t="n">
        <f aca="false">IF(CI90-CL90&lt;=0,"n/a",(CL90-CH90)/(CI90-CL90))</f>
        <v>0.687075226106871</v>
      </c>
      <c r="CT90" s="43" t="n">
        <f aca="false">Inputs_General!$C$23+Inputs_General!$C$24*$I90</f>
        <v>0.96</v>
      </c>
      <c r="CU90" s="44" t="n">
        <f aca="false">3.29*CT90</f>
        <v>3.1584</v>
      </c>
    </row>
    <row r="91" customFormat="false" ht="15" hidden="false" customHeight="false" outlineLevel="0" collapsed="false">
      <c r="A91" s="9" t="str">
        <f aca="false">B91&amp;"|"&amp;E91&amp;"|"&amp;F91</f>
        <v>D2V1|03/03/2026|High</v>
      </c>
      <c r="B91" s="7" t="s">
        <v>346</v>
      </c>
      <c r="C91" s="9" t="s">
        <v>129</v>
      </c>
      <c r="D91" s="9" t="s">
        <v>142</v>
      </c>
      <c r="E91" s="9" t="s">
        <v>162</v>
      </c>
      <c r="F91" s="7" t="s">
        <v>283</v>
      </c>
      <c r="G91" s="9" t="s">
        <v>284</v>
      </c>
      <c r="H91" s="41" t="n">
        <f aca="false">INDEX(Severity_Classes!$C$4:$C$9,MATCH(F91,Severity_Classes!$A$4:$A$9,0))</f>
        <v>0.26</v>
      </c>
      <c r="I91" s="41" t="n">
        <f aca="false">INDEX(Severity_Classes!$D$4:$D$9,MATCH(F91,Severity_Classes!$A$4:$A$9,0))</f>
        <v>0.38</v>
      </c>
      <c r="J91" s="41" t="n">
        <f aca="false">INDEX(Severity_Classes!$E$4:$E$9,MATCH(F91,Severity_Classes!$A$4:$A$9,0))</f>
        <v>0.5</v>
      </c>
      <c r="K91" s="42" t="n">
        <f aca="false">MATCH(B91&amp;"|"&amp;E91,Context!$A$4:$A$51,0)</f>
        <v>15</v>
      </c>
      <c r="L91" s="42" t="n">
        <f aca="false">INDEX(Context!$H$4:$H$51,K91)</f>
        <v>75</v>
      </c>
      <c r="M91" s="42" t="n">
        <f aca="false">INDEX(Context!$I$4:$I$51,K91)</f>
        <v>26</v>
      </c>
      <c r="N91" s="9" t="str">
        <f aca="false">INDEX(Context!$L$4:$L$51,K91)</f>
        <v>F</v>
      </c>
      <c r="O91" s="9" t="str">
        <f aca="false">INDEX(Context!$M$4:$M$51,K91)</f>
        <v>5th fully expanded leaf from top</v>
      </c>
      <c r="P91" s="43" t="n">
        <f aca="false">INDEX(Context!$R$4:$R$51,K91)</f>
        <v>0.433928571428571</v>
      </c>
      <c r="Q91" s="43" t="n">
        <f aca="false">INDEX(Context!$U$4:$U$51,K91)</f>
        <v>1.73951545534029</v>
      </c>
      <c r="R91" s="43" t="n">
        <f aca="false">INDEX(Context!$AD$4:$AD$51,K91)</f>
        <v>1</v>
      </c>
      <c r="S91" s="9" t="str">
        <f aca="false">INDEX(Context!$AI$4:$AN$51,K91,MATCH(F91,Severity_Classes!$A$4:$A$9,0))</f>
        <v>Likely</v>
      </c>
      <c r="T91" s="44" t="n">
        <f aca="false">Parameters!$E$4*IF($N91="V",Parameters!$I$4,IF($N91="F",Parameters!$J$4,Parameters!$K$4))*(1-Parameters!$L$4*$P91)*IF($D91="V1",Parameters!$M$4,IF($D91="V2",Parameters!$N$4,Parameters!$O$4))</f>
        <v>83.2927660714286</v>
      </c>
      <c r="U91" s="44" t="n">
        <f aca="false">MIN(100,T91*(1+INDEX(Response_Table!$E$4:$E$21,MATCH($F91&amp;"|mid",Response_Table!$A$4:$A$21,0))*$R91*INDEX(Parameters!$X$4:$AA$4,1,MATCH($E91,Parameters!$X$3:$AA$3,0))))</f>
        <v>69.8372139603763</v>
      </c>
      <c r="V91" s="44" t="n">
        <f aca="false">MAX(0,MIN(T91*(1+INDEX(Response_Table!$E$4:$E$21,MATCH($F91&amp;"|low",Response_Table!$A$4:$A$21,0))*$R91*INDEX(Parameters!$X$4:$AA$4,1,MATCH($E91,Parameters!$X$3:$AA$3,0))),T91*(1+INDEX(Response_Table!$E$4:$E$21,MATCH($F91&amp;"|high",Response_Table!$A$4:$A$21,0))*$R91*INDEX(Parameters!$X$4:$AA$4,1,MATCH($E91,Parameters!$X$3:$AA$3,0))))*(1-Inputs_General!$C$22*Parameters!$F$4))</f>
        <v>59.9484186608989</v>
      </c>
      <c r="W91" s="44" t="n">
        <f aca="false">MIN(100,MAX(T91*(1+INDEX(Response_Table!$E$4:$E$21,MATCH($F91&amp;"|low",Response_Table!$A$4:$A$21,0))*$R91*INDEX(Parameters!$X$4:$AA$4,1,MATCH($E91,Parameters!$X$3:$AA$3,0))),T91*(1+INDEX(Response_Table!$E$4:$E$21,MATCH($F91&amp;"|high",Response_Table!$A$4:$A$21,0))*$R91*INDEX(Parameters!$X$4:$AA$4,1,MATCH($E91,Parameters!$X$3:$AA$3,0))))*(1+Inputs_General!$C$22*Parameters!$F$4))</f>
        <v>81.208112645542</v>
      </c>
      <c r="X91" s="45" t="n">
        <f aca="false">IF(T91=0,0,U91/T91-1)</f>
        <v>-0.161545266722362</v>
      </c>
      <c r="Y91" s="44" t="n">
        <f aca="false">Parameters!$E$5*IF($N91="V",Parameters!$I$5,IF($N91="F",Parameters!$J$5,Parameters!$K$5))*(1-Parameters!$L$5*$P91)*IF($D91="V1",Parameters!$M$5,IF($D91="V2",Parameters!$N$5,Parameters!$O$5))</f>
        <v>66.88584</v>
      </c>
      <c r="Z91" s="44" t="n">
        <f aca="false">MIN(100,Y91*(1+INDEX(Response_Table!$F$4:$F$21,MATCH($F91&amp;"|mid",Response_Table!$A$4:$A$21,0))*$R91*INDEX(Parameters!$X$5:$AA$5,1,MATCH($E91,Parameters!$X$3:$AA$3,0))))</f>
        <v>33.4233248723021</v>
      </c>
      <c r="AA91" s="44" t="n">
        <f aca="false">MAX(0,MIN(Y91*(1+INDEX(Response_Table!$F$4:$F$21,MATCH($F91&amp;"|low",Response_Table!$A$4:$A$21,0))*$R91*INDEX(Parameters!$X$5:$AA$5,1,MATCH($E91,Parameters!$X$3:$AA$3,0))),Y91*(1+INDEX(Response_Table!$F$4:$F$21,MATCH($F91&amp;"|high",Response_Table!$A$4:$A$21,0))*$R91*INDEX(Parameters!$X$5:$AA$5,1,MATCH($E91,Parameters!$X$3:$AA$3,0))))*(1-Inputs_General!$C$22*Parameters!$F$5))</f>
        <v>22.1390191475138</v>
      </c>
      <c r="AB91" s="44" t="n">
        <f aca="false">MIN(100,MAX(Y91*(1+INDEX(Response_Table!$F$4:$F$21,MATCH($F91&amp;"|low",Response_Table!$A$4:$A$21,0))*$R91*INDEX(Parameters!$X$5:$AA$5,1,MATCH($E91,Parameters!$X$3:$AA$3,0))),Y91*(1+INDEX(Response_Table!$F$4:$F$21,MATCH($F91&amp;"|high",Response_Table!$A$4:$A$21,0))*$R91*INDEX(Parameters!$X$5:$AA$5,1,MATCH($E91,Parameters!$X$3:$AA$3,0))))*(1+Inputs_General!$C$22*Parameters!$F$5))</f>
        <v>52.8296495585286</v>
      </c>
      <c r="AC91" s="45" t="n">
        <f aca="false">IF(Y91=0,0,Z91/Y91-1)</f>
        <v>-0.500292963767786</v>
      </c>
      <c r="AD91" s="44" t="n">
        <f aca="false">Parameters!$E$6*IF($N91="V",Parameters!$I$6,IF($N91="F",Parameters!$J$6,Parameters!$K$6))*(1-Parameters!$L$6*$P91)*IF($D91="V1",Parameters!$M$6,IF($D91="V2",Parameters!$N$6,Parameters!$O$6))</f>
        <v>18.0106428571429</v>
      </c>
      <c r="AE91" s="44" t="n">
        <f aca="false">AD91*(1+INDEX(Response_Table!$G$4:$G$21,MATCH($F91&amp;"|mid",Response_Table!$A$4:$A$21,0))*$R91*INDEX(Parameters!$X$6:$AA$6,1,MATCH($E91,Parameters!$X$3:$AA$3,0)))</f>
        <v>7.04041812166422</v>
      </c>
      <c r="AF91" s="44" t="n">
        <f aca="false">MAX(0,MIN(AD91*(1+INDEX(Response_Table!$G$4:$G$21,MATCH($F91&amp;"|low",Response_Table!$A$4:$A$21,0))*$R91*INDEX(Parameters!$X$6:$AA$6,1,MATCH($E91,Parameters!$X$3:$AA$3,0))),AD91*(1+INDEX(Response_Table!$G$4:$G$21,MATCH($F91&amp;"|high",Response_Table!$A$4:$A$21,0))*$R91*INDEX(Parameters!$X$6:$AA$6,1,MATCH($E91,Parameters!$X$3:$AA$3,0))))*(1-Inputs_General!$C$22*Parameters!$F$6))</f>
        <v>4.81510864732996</v>
      </c>
      <c r="AG91" s="44" t="n">
        <f aca="false">MAX(AD91*(1+INDEX(Response_Table!$G$4:$G$21,MATCH($F91&amp;"|low",Response_Table!$A$4:$A$21,0))*$R91*INDEX(Parameters!$X$6:$AA$6,1,MATCH($E91,Parameters!$X$3:$AA$3,0))),AD91*(1+INDEX(Response_Table!$G$4:$G$21,MATCH($F91&amp;"|high",Response_Table!$A$4:$A$21,0))*$R91*INDEX(Parameters!$X$6:$AA$6,1,MATCH($E91,Parameters!$X$3:$AA$3,0))))*(1+Inputs_General!$C$22*Parameters!$F$6)</f>
        <v>10.5437349479628</v>
      </c>
      <c r="AH91" s="45" t="n">
        <f aca="false">IF(AD91=0,0,AE91/AD91-1)</f>
        <v>-0.609096789186953</v>
      </c>
      <c r="AI91" s="46" t="n">
        <f aca="false">Parameters!$E$7*IF($N91="V",Parameters!$I$7,IF($N91="F",Parameters!$J$7,Parameters!$K$7))*(1-Parameters!$L$7*$P91)*IF($D91="V1",Parameters!$M$7,IF($D91="V2",Parameters!$N$7,Parameters!$O$7))*POWER($Q91/Inputs_General!$C$26,-Inputs_General!$C$25)</f>
        <v>0.341191629407368</v>
      </c>
      <c r="AJ91" s="46" t="n">
        <f aca="false">AI91*(1+INDEX(Response_Table!$H$4:$H$21,MATCH($F91&amp;"|mid",Response_Table!$A$4:$A$21,0))*$R91*INDEX(Parameters!$X$7:$AA$7,1,MATCH($E91,Parameters!$X$3:$AA$3,0)))</f>
        <v>0.190344792852413</v>
      </c>
      <c r="AK91" s="46" t="n">
        <f aca="false">MAX(0,MIN(AI91*(1+INDEX(Response_Table!$H$4:$H$21,MATCH($F91&amp;"|low",Response_Table!$A$4:$A$21,0))*$R91*INDEX(Parameters!$X$7:$AA$7,1,MATCH($E91,Parameters!$X$3:$AA$3,0))),AI91*(1+INDEX(Response_Table!$H$4:$H$21,MATCH($F91&amp;"|high",Response_Table!$A$4:$A$21,0))*$R91*INDEX(Parameters!$X$7:$AA$7,1,MATCH($E91,Parameters!$X$3:$AA$3,0))))*(1-Inputs_General!$C$22*Parameters!$F$7))</f>
        <v>0.118889880715717</v>
      </c>
      <c r="AL91" s="46" t="n">
        <f aca="false">MAX(AI91*(1+INDEX(Response_Table!$H$4:$H$21,MATCH($F91&amp;"|low",Response_Table!$A$4:$A$21,0))*$R91*INDEX(Parameters!$X$7:$AA$7,1,MATCH($E91,Parameters!$X$3:$AA$3,0))),AI91*(1+INDEX(Response_Table!$H$4:$H$21,MATCH($F91&amp;"|high",Response_Table!$A$4:$A$21,0))*$R91*INDEX(Parameters!$X$7:$AA$7,1,MATCH($E91,Parameters!$X$3:$AA$3,0))))*(1+Inputs_General!$C$22*Parameters!$F$7)</f>
        <v>0.286541608289726</v>
      </c>
      <c r="AM91" s="45" t="n">
        <f aca="false">IF(AI91=0,0,AJ91/AI91-1)</f>
        <v>-0.442117635819403</v>
      </c>
      <c r="AN91" s="43" t="n">
        <f aca="false">AI91*$Q91/Inputs_General!$C$13*1000</f>
        <v>5.97691956280819</v>
      </c>
      <c r="AO91" s="43" t="n">
        <f aca="false">AJ91*$Q91/Inputs_General!$C$13*1000*(1+Inputs_General!$C$21*$I91)</f>
        <v>3.65118772775728</v>
      </c>
      <c r="AP91" s="43" t="n">
        <f aca="false">AK91*$Q91/Inputs_General!$C$13*1000*(1+Inputs_General!$C$21*$H91)</f>
        <v>2.21806128915215</v>
      </c>
      <c r="AQ91" s="43" t="n">
        <f aca="false">AL91*$Q91/Inputs_General!$C$13*1000*(1+Inputs_General!$C$21*$J91)</f>
        <v>5.64701914144307</v>
      </c>
      <c r="AR91" s="45" t="n">
        <f aca="false">IF(AN91=0,0,AO91/AN91-1)</f>
        <v>-0.389118811222246</v>
      </c>
      <c r="AS91" s="42" t="n">
        <f aca="false">Parameters!$E$9*IF($N91="V",Parameters!$I$9,IF($N91="F",Parameters!$J$9,Parameters!$K$9))*(1-Parameters!$L$9*$P91)*IF($D91="V1",Parameters!$M$9,IF($D91="V2",Parameters!$N$9,Parameters!$O$9))</f>
        <v>285</v>
      </c>
      <c r="AT91" s="42" t="n">
        <f aca="false">AS91*(1+INDEX(Response_Table!$I$4:$I$21,MATCH($F91&amp;"|mid",Response_Table!$A$4:$A$21,0))*$R91*INDEX(Parameters!$X$9:$AA$9,1,MATCH($E91,Parameters!$X$3:$AA$3,0)))</f>
        <v>351.800133665586</v>
      </c>
      <c r="AU91" s="42" t="n">
        <f aca="false">MAX(0,MIN(AS91*(1+INDEX(Response_Table!$I$4:$I$21,MATCH($F91&amp;"|low",Response_Table!$A$4:$A$21,0))*$R91*INDEX(Parameters!$X$9:$AA$9,1,MATCH($E91,Parameters!$X$3:$AA$3,0))),AS91*(1+INDEX(Response_Table!$I$4:$I$21,MATCH($F91&amp;"|high",Response_Table!$A$4:$A$21,0))*$R91*INDEX(Parameters!$X$9:$AA$9,1,MATCH($E91,Parameters!$X$3:$AA$3,0))))*(1-Inputs_General!$C$22*Parameters!$F$9))</f>
        <v>306.694025735372</v>
      </c>
      <c r="AV91" s="42" t="n">
        <f aca="false">MAX(AS91*(1+INDEX(Response_Table!$I$4:$I$21,MATCH($F91&amp;"|low",Response_Table!$A$4:$A$21,0))*$R91*INDEX(Parameters!$X$9:$AA$9,1,MATCH($E91,Parameters!$X$3:$AA$3,0))),AS91*(1+INDEX(Response_Table!$I$4:$I$21,MATCH($F91&amp;"|high",Response_Table!$A$4:$A$21,0))*$R91*INDEX(Parameters!$X$9:$AA$9,1,MATCH($E91,Parameters!$X$3:$AA$3,0))))*(1+Inputs_General!$C$22*Parameters!$F$9)</f>
        <v>394.355109128328</v>
      </c>
      <c r="AW91" s="45" t="n">
        <f aca="false">IF(AS91=0,0,AT91/AS91-1)</f>
        <v>0.234386433914336</v>
      </c>
      <c r="AX91" s="43" t="n">
        <f aca="false">INDEX(Context!$AB$4:$AB$51,$K91)</f>
        <v>2.92553901513759</v>
      </c>
      <c r="AY91" s="43" t="n">
        <f aca="false">AX91*(1+INDEX(Response_Table!$J$4:$J$21,MATCH($F91&amp;"|mid",Response_Table!$A$4:$A$21,0))*$R91*INDEX(Parameters!$X$10:$AA$10,1,MATCH($E91,Parameters!$X$3:$AA$3,0)))</f>
        <v>2.11818813711735</v>
      </c>
      <c r="AZ91" s="43" t="n">
        <f aca="false">MAX(0,MIN(AX91*(1+INDEX(Response_Table!$J$4:$J$21,MATCH($F91&amp;"|low",Response_Table!$A$4:$A$21,0))*$R91*INDEX(Parameters!$X$10:$AA$10,1,MATCH($E91,Parameters!$X$3:$AA$3,0))),AX91*(1+INDEX(Response_Table!$J$4:$J$21,MATCH($F91&amp;"|high",Response_Table!$A$4:$A$21,0))*$R91*INDEX(Parameters!$X$10:$AA$10,1,MATCH($E91,Parameters!$X$3:$AA$3,0))))*(1-Inputs_General!$C$22*Parameters!$F$10))</f>
        <v>1.59414650522272</v>
      </c>
      <c r="BA91" s="43" t="n">
        <f aca="false">MAX(AX91*(1+INDEX(Response_Table!$J$4:$J$21,MATCH($F91&amp;"|low",Response_Table!$A$4:$A$21,0))*$R91*INDEX(Parameters!$X$10:$AA$10,1,MATCH($E91,Parameters!$X$3:$AA$3,0))),AX91*(1+INDEX(Response_Table!$J$4:$J$21,MATCH($F91&amp;"|high",Response_Table!$A$4:$A$21,0))*$R91*INDEX(Parameters!$X$10:$AA$10,1,MATCH($E91,Parameters!$X$3:$AA$3,0))))*(1+Inputs_General!$C$22*Parameters!$F$10)</f>
        <v>2.74960858411784</v>
      </c>
      <c r="BB91" s="45" t="n">
        <f aca="false">IF(AX91=0,0,AY91/AX91-1)</f>
        <v>-0.275966539445474</v>
      </c>
      <c r="BC91" s="46" t="n">
        <f aca="false">Parameters!$E$11*IF($N91="V",Parameters!$I$11,IF($N91="F",Parameters!$J$11,Parameters!$K$11))*(1-Parameters!$L$11*$P91)*IF($D91="V1",Parameters!$M$11,IF($D91="V2",Parameters!$N$11,Parameters!$O$11))</f>
        <v>1.21745535714286</v>
      </c>
      <c r="BD91" s="46" t="n">
        <f aca="false">BC91*(1+INDEX(Response_Table!$K$4:$K$21,MATCH($F91&amp;"|mid",Response_Table!$A$4:$A$21,0))*$R91*INDEX(Parameters!$X$11:$AA$11,1,MATCH($E91,Parameters!$X$3:$AA$3,0)))</f>
        <v>0.660674969756485</v>
      </c>
      <c r="BE91" s="46" t="n">
        <f aca="false">MAX(0,MIN(BC91*(1+INDEX(Response_Table!$K$4:$K$21,MATCH($F91&amp;"|low",Response_Table!$A$4:$A$21,0))*$R91*INDEX(Parameters!$X$11:$AA$11,1,MATCH($E91,Parameters!$X$3:$AA$3,0))),BC91*(1+INDEX(Response_Table!$K$4:$K$21,MATCH($F91&amp;"|high",Response_Table!$A$4:$A$21,0))*$R91*INDEX(Parameters!$X$11:$AA$11,1,MATCH($E91,Parameters!$X$3:$AA$3,0))))*(1-Inputs_General!$C$22*Parameters!$F$11))</f>
        <v>0.489502216411954</v>
      </c>
      <c r="BF91" s="46" t="n">
        <f aca="false">MAX(BC91*(1+INDEX(Response_Table!$K$4:$K$21,MATCH($F91&amp;"|low",Response_Table!$A$4:$A$21,0))*$R91*INDEX(Parameters!$X$11:$AA$11,1,MATCH($E91,Parameters!$X$3:$AA$3,0))),BC91*(1+INDEX(Response_Table!$K$4:$K$21,MATCH($F91&amp;"|high",Response_Table!$A$4:$A$21,0))*$R91*INDEX(Parameters!$X$11:$AA$11,1,MATCH($E91,Parameters!$X$3:$AA$3,0))))*(1+Inputs_General!$C$22*Parameters!$F$11)</f>
        <v>0.89723069513863</v>
      </c>
      <c r="BG91" s="45" t="n">
        <f aca="false">IF(BC91=0,0,BD91/BC91-1)</f>
        <v>-0.457331255819543</v>
      </c>
      <c r="BH91" s="46" t="n">
        <f aca="false">Parameters!$E$12*IF($N91="V",Parameters!$I$12,IF($N91="F",Parameters!$J$12,Parameters!$K$12))*(1-Parameters!$L$12*$P91)*IF($D91="V1",Parameters!$M$12,IF($D91="V2",Parameters!$N$12,Parameters!$O$12))</f>
        <v>0.438283928571429</v>
      </c>
      <c r="BI91" s="46" t="n">
        <f aca="false">BH91*(1+INDEX(Response_Table!$L$4:$L$21,MATCH($F91&amp;"|mid",Response_Table!$A$4:$A$21,0))*$R91*INDEX(Parameters!$X$12:$AA$12,1,MATCH($E91,Parameters!$X$3:$AA$3,0)))</f>
        <v>0.274322113379579</v>
      </c>
      <c r="BJ91" s="46" t="n">
        <f aca="false">MAX(0,MIN(BH91*(1+INDEX(Response_Table!$L$4:$L$21,MATCH($F91&amp;"|low",Response_Table!$A$4:$A$21,0))*$R91*INDEX(Parameters!$X$12:$AA$12,1,MATCH($E91,Parameters!$X$3:$AA$3,0))),BH91*(1+INDEX(Response_Table!$L$4:$L$21,MATCH($F91&amp;"|high",Response_Table!$A$4:$A$21,0))*$R91*INDEX(Parameters!$X$12:$AA$12,1,MATCH($E91,Parameters!$X$3:$AA$3,0))))*(1-Inputs_General!$C$22*Parameters!$F$12))</f>
        <v>0.201464372217435</v>
      </c>
      <c r="BK91" s="46" t="n">
        <f aca="false">MAX(BH91*(1+INDEX(Response_Table!$L$4:$L$21,MATCH($F91&amp;"|low",Response_Table!$A$4:$A$21,0))*$R91*INDEX(Parameters!$X$12:$AA$12,1,MATCH($E91,Parameters!$X$3:$AA$3,0))),BH91*(1+INDEX(Response_Table!$L$4:$L$21,MATCH($F91&amp;"|high",Response_Table!$A$4:$A$21,0))*$R91*INDEX(Parameters!$X$12:$AA$12,1,MATCH($E91,Parameters!$X$3:$AA$3,0))))*(1+Inputs_General!$C$22*Parameters!$F$12)</f>
        <v>0.368475136850299</v>
      </c>
      <c r="BL91" s="45" t="n">
        <f aca="false">IF(BH91=0,0,BI91/BH91-1)</f>
        <v>-0.374099538001033</v>
      </c>
      <c r="BM91" s="46" t="n">
        <f aca="false">Parameters!$E$13*IF($N91="V",Parameters!$I$13,IF($N91="F",Parameters!$J$13,Parameters!$K$13))*(1-Parameters!$L$13*$P91)*IF($D91="V1",Parameters!$M$13,IF($D91="V2",Parameters!$N$13,Parameters!$O$13))</f>
        <v>0.296094642857143</v>
      </c>
      <c r="BN91" s="46" t="n">
        <f aca="false">BM91*(1+INDEX(Response_Table!$M$4:$M$21,MATCH($F91&amp;"|mid",Response_Table!$A$4:$A$21,0))*$R91*INDEX(Parameters!$X$13:$AA$13,1,MATCH($E91,Parameters!$X$3:$AA$3,0)))</f>
        <v>0.222377568166284</v>
      </c>
      <c r="BO91" s="46" t="n">
        <f aca="false">MAX(0,MIN(BM91*(1+INDEX(Response_Table!$M$4:$M$21,MATCH($F91&amp;"|low",Response_Table!$A$4:$A$21,0))*$R91*INDEX(Parameters!$X$13:$AA$13,1,MATCH($E91,Parameters!$X$3:$AA$3,0))),BM91*(1+INDEX(Response_Table!$M$4:$M$21,MATCH($F91&amp;"|high",Response_Table!$A$4:$A$21,0))*$R91*INDEX(Parameters!$X$13:$AA$13,1,MATCH($E91,Parameters!$X$3:$AA$3,0))))*(1-Inputs_General!$C$22*Parameters!$F$13))</f>
        <v>0.165974008124213</v>
      </c>
      <c r="BP91" s="46" t="n">
        <f aca="false">MAX(BM91*(1+INDEX(Response_Table!$M$4:$M$21,MATCH($F91&amp;"|low",Response_Table!$A$4:$A$21,0))*$R91*INDEX(Parameters!$X$13:$AA$13,1,MATCH($E91,Parameters!$X$3:$AA$3,0))),BM91*(1+INDEX(Response_Table!$M$4:$M$21,MATCH($F91&amp;"|high",Response_Table!$A$4:$A$21,0))*$R91*INDEX(Parameters!$X$13:$AA$13,1,MATCH($E91,Parameters!$X$3:$AA$3,0))))*(1+Inputs_General!$C$22*Parameters!$F$13)</f>
        <v>0.29634732254687</v>
      </c>
      <c r="BQ91" s="45" t="n">
        <f aca="false">IF(BM91=0,0,BN91/BM91-1)</f>
        <v>-0.248964567475896</v>
      </c>
      <c r="BR91" s="44" t="n">
        <f aca="false">Parameters!$E$14*IF($N91="V",Parameters!$I$14,IF($N91="F",Parameters!$J$14,Parameters!$K$14))*(1-Parameters!$L$14*$P91)*IF($D91="V1",Parameters!$M$14,IF($D91="V2",Parameters!$N$14,Parameters!$O$14))*INDEX(Context!$AC$4:$AC$51,$K91)</f>
        <v>15</v>
      </c>
      <c r="BS91" s="44" t="n">
        <f aca="false">BR91*(1+INDEX(Response_Table!$N$4:$N$21,MATCH($F91&amp;"|mid",Response_Table!$A$4:$A$21,0))*$R91*INDEX(Parameters!$X$14:$AA$14,1,MATCH($E91,Parameters!$X$3:$AA$3,0)))</f>
        <v>21.1216288036533</v>
      </c>
      <c r="BT91" s="44" t="n">
        <f aca="false">MAX(0,MIN(BR91*(1+INDEX(Response_Table!$N$4:$N$21,MATCH($F91&amp;"|low",Response_Table!$A$4:$A$21,0))*$R91*INDEX(Parameters!$X$14:$AA$14,1,MATCH($E91,Parameters!$X$3:$AA$3,0))),BR91*(1+INDEX(Response_Table!$N$4:$N$21,MATCH($F91&amp;"|high",Response_Table!$A$4:$A$21,0))*$R91*INDEX(Parameters!$X$14:$AA$14,1,MATCH($E91,Parameters!$X$3:$AA$3,0))))*(1-Inputs_General!$C$22*Parameters!$F$14))</f>
        <v>10.0663561974651</v>
      </c>
      <c r="BU91" s="44" t="n">
        <f aca="false">MAX(BR91*(1+INDEX(Response_Table!$N$4:$N$21,MATCH($F91&amp;"|low",Response_Table!$A$4:$A$21,0))*$R91*INDEX(Parameters!$X$14:$AA$14,1,MATCH($E91,Parameters!$X$3:$AA$3,0))),BR91*(1+INDEX(Response_Table!$N$4:$N$21,MATCH($F91&amp;"|high",Response_Table!$A$4:$A$21,0))*$R91*INDEX(Parameters!$X$14:$AA$14,1,MATCH($E91,Parameters!$X$3:$AA$3,0))))*(1+Inputs_General!$C$22*Parameters!$F$14)</f>
        <v>32.8447959523649</v>
      </c>
      <c r="BV91" s="45" t="n">
        <f aca="false">IF(BR91=0,0,BS91/BR91-1)</f>
        <v>0.408108586910218</v>
      </c>
      <c r="BW91" s="43" t="n">
        <f aca="false">Parameters!$E$15*IF($N91="V",Parameters!$I$15,IF($N91="F",Parameters!$J$15,Parameters!$K$15))*(1-Parameters!$L$15*$P91)*IF($D91="V1",Parameters!$M$15,IF($D91="V2",Parameters!$N$15,Parameters!$O$15))</f>
        <v>10.1292285714286</v>
      </c>
      <c r="BX91" s="43" t="n">
        <f aca="false">BW91*(1+INDEX(Response_Table!$O$4:$O$21,MATCH($F91&amp;"|mid",Response_Table!$A$4:$A$21,0))*$R91*INDEX(Parameters!$X$15:$AA$15,1,MATCH($E91,Parameters!$X$3:$AA$3,0)))</f>
        <v>9.09577228173449</v>
      </c>
      <c r="BY91" s="43" t="n">
        <f aca="false">MAX(0,MIN(BW91*(1+INDEX(Response_Table!$O$4:$O$21,MATCH($F91&amp;"|low",Response_Table!$A$4:$A$21,0))*$R91*INDEX(Parameters!$X$15:$AA$15,1,MATCH($E91,Parameters!$X$3:$AA$3,0))),BW91*(1+INDEX(Response_Table!$O$4:$O$21,MATCH($F91&amp;"|high",Response_Table!$A$4:$A$21,0))*$R91*INDEX(Parameters!$X$15:$AA$15,1,MATCH($E91,Parameters!$X$3:$AA$3,0))))*(1-Inputs_General!$C$22*Parameters!$F$15))</f>
        <v>7.18235884410643</v>
      </c>
      <c r="BZ91" s="43" t="n">
        <f aca="false">MAX(BW91*(1+INDEX(Response_Table!$O$4:$O$21,MATCH($F91&amp;"|low",Response_Table!$A$4:$A$21,0))*$R91*INDEX(Parameters!$X$15:$AA$15,1,MATCH($E91,Parameters!$X$3:$AA$3,0))),BW91*(1+INDEX(Response_Table!$O$4:$O$21,MATCH($F91&amp;"|high",Response_Table!$A$4:$A$21,0))*$R91*INDEX(Parameters!$X$15:$AA$15,1,MATCH($E91,Parameters!$X$3:$AA$3,0))))*(1+Inputs_General!$C$22*Parameters!$F$15)</f>
        <v>11.1434105290651</v>
      </c>
      <c r="CA91" s="45" t="n">
        <f aca="false">IF(BW91=0,0,BX91/BW91-1)</f>
        <v>-0.102027146727554</v>
      </c>
      <c r="CB91" s="46" t="n">
        <f aca="false">BD91+BI91</f>
        <v>0.934997083136064</v>
      </c>
      <c r="CC91" s="43" t="n">
        <f aca="false">BD91/BI91</f>
        <v>2.40839122160855</v>
      </c>
      <c r="CD91" s="46" t="n">
        <f aca="false">BN91/CB91</f>
        <v>0.237837713269019</v>
      </c>
      <c r="CE91" s="43" t="n">
        <f aca="false">AE91/AO91</f>
        <v>1.92825421386612</v>
      </c>
      <c r="CF91" s="44" t="n">
        <f aca="false">AE91/AJ91</f>
        <v>36.9877106495009</v>
      </c>
      <c r="CG91" s="44" t="n">
        <f aca="false">INDEX(Context!$V$4:$V$51,$K91)</f>
        <v>28.62</v>
      </c>
      <c r="CH91" s="44" t="n">
        <f aca="false">INDEX(Context!$Y$4:$Y$51,$K91)</f>
        <v>25.3060134606718</v>
      </c>
      <c r="CI91" s="44" t="n">
        <f aca="false">INDEX(Context!$Z$4:$Z$51,$K91)</f>
        <v>32.62</v>
      </c>
      <c r="CJ91" s="43" t="n">
        <f aca="false">INDEX(Context!$AA$4:$AA$51,$K91)</f>
        <v>0.221696428571429</v>
      </c>
      <c r="CK91" s="43" t="n">
        <f aca="false">MAX(0,MIN(1,1-(1-CJ91)*AO91/AN91))</f>
        <v>0.524548989055743</v>
      </c>
      <c r="CL91" s="44" t="n">
        <f aca="false">CH91+CK91*(CI91-CH91)</f>
        <v>29.1425577058437</v>
      </c>
      <c r="CM91" s="44" t="n">
        <f aca="false">CH91+MAX(0,MIN(1,1-(1-CJ91)*AQ91/AN91))*(CI91-CH91)</f>
        <v>27.2416999336744</v>
      </c>
      <c r="CN91" s="44" t="n">
        <f aca="false">CH91+MAX(0,MIN(1,1-(1-CJ91)*AP91/AN91))*(CI91-CH91)</f>
        <v>30.507487384094</v>
      </c>
      <c r="CO91" s="44" t="n">
        <f aca="false">CL91-CG91</f>
        <v>0.522557705843703</v>
      </c>
      <c r="CP91" s="44" t="n">
        <f aca="false">CL91-(CH91+CJ91*(CI91-CH91))</f>
        <v>2.21505955078337</v>
      </c>
      <c r="CQ91" s="46" t="n">
        <f aca="false">CL91/CG91</f>
        <v>1.01825848028804</v>
      </c>
      <c r="CR91" s="43" t="n">
        <f aca="false">IF(CL91-CH91&lt;=0,"n/a",(CI91-CL91)/(CL91-CH91))</f>
        <v>0.906399632568412</v>
      </c>
      <c r="CS91" s="43" t="n">
        <f aca="false">IF(CI91-CL91&lt;=0,"n/a",(CL91-CH91)/(CI91-CL91))</f>
        <v>1.10326611360858</v>
      </c>
      <c r="CT91" s="43" t="n">
        <f aca="false">Inputs_General!$C$23+Inputs_General!$C$24*$I91</f>
        <v>1.36</v>
      </c>
      <c r="CU91" s="44" t="n">
        <f aca="false">3.29*CT91</f>
        <v>4.4744</v>
      </c>
    </row>
    <row r="92" customFormat="false" ht="15" hidden="false" customHeight="false" outlineLevel="0" collapsed="false">
      <c r="A92" s="9" t="str">
        <f aca="false">B92&amp;"|"&amp;E92&amp;"|"&amp;F92</f>
        <v>D2V1|03/03/2026|Very high</v>
      </c>
      <c r="B92" s="7" t="s">
        <v>346</v>
      </c>
      <c r="C92" s="9" t="s">
        <v>129</v>
      </c>
      <c r="D92" s="9" t="s">
        <v>142</v>
      </c>
      <c r="E92" s="9" t="s">
        <v>162</v>
      </c>
      <c r="F92" s="7" t="s">
        <v>285</v>
      </c>
      <c r="G92" s="9" t="s">
        <v>286</v>
      </c>
      <c r="H92" s="41" t="n">
        <f aca="false">INDEX(Severity_Classes!$C$4:$C$9,MATCH(F92,Severity_Classes!$A$4:$A$9,0))</f>
        <v>0.51</v>
      </c>
      <c r="I92" s="41" t="n">
        <f aca="false">INDEX(Severity_Classes!$D$4:$D$9,MATCH(F92,Severity_Classes!$A$4:$A$9,0))</f>
        <v>0.65</v>
      </c>
      <c r="J92" s="41" t="n">
        <f aca="false">INDEX(Severity_Classes!$E$4:$E$9,MATCH(F92,Severity_Classes!$A$4:$A$9,0))</f>
        <v>0.85</v>
      </c>
      <c r="K92" s="42" t="n">
        <f aca="false">MATCH(B92&amp;"|"&amp;E92,Context!$A$4:$A$51,0)</f>
        <v>15</v>
      </c>
      <c r="L92" s="42" t="n">
        <f aca="false">INDEX(Context!$H$4:$H$51,K92)</f>
        <v>75</v>
      </c>
      <c r="M92" s="42" t="n">
        <f aca="false">INDEX(Context!$I$4:$I$51,K92)</f>
        <v>26</v>
      </c>
      <c r="N92" s="9" t="str">
        <f aca="false">INDEX(Context!$L$4:$L$51,K92)</f>
        <v>F</v>
      </c>
      <c r="O92" s="9" t="str">
        <f aca="false">INDEX(Context!$M$4:$M$51,K92)</f>
        <v>5th fully expanded leaf from top</v>
      </c>
      <c r="P92" s="43" t="n">
        <f aca="false">INDEX(Context!$R$4:$R$51,K92)</f>
        <v>0.433928571428571</v>
      </c>
      <c r="Q92" s="43" t="n">
        <f aca="false">INDEX(Context!$U$4:$U$51,K92)</f>
        <v>1.73951545534029</v>
      </c>
      <c r="R92" s="43" t="n">
        <f aca="false">INDEX(Context!$AD$4:$AD$51,K92)</f>
        <v>1</v>
      </c>
      <c r="S92" s="9" t="str">
        <f aca="false">INDEX(Context!$AI$4:$AN$51,K92,MATCH(F92,Severity_Classes!$A$4:$A$9,0))</f>
        <v>Possible</v>
      </c>
      <c r="T92" s="44" t="n">
        <f aca="false">Parameters!$E$4*IF($N92="V",Parameters!$I$4,IF($N92="F",Parameters!$J$4,Parameters!$K$4))*(1-Parameters!$L$4*$P92)*IF($D92="V1",Parameters!$M$4,IF($D92="V2",Parameters!$N$4,Parameters!$O$4))</f>
        <v>83.2927660714286</v>
      </c>
      <c r="U92" s="44" t="n">
        <f aca="false">MIN(100,T92*(1+INDEX(Response_Table!$E$4:$E$21,MATCH($F92&amp;"|mid",Response_Table!$A$4:$A$21,0))*$R92*INDEX(Parameters!$X$4:$AA$4,1,MATCH($E92,Parameters!$X$3:$AA$3,0))))</f>
        <v>60.303041880188</v>
      </c>
      <c r="V92" s="44" t="n">
        <f aca="false">MAX(0,MIN(T92*(1+INDEX(Response_Table!$E$4:$E$21,MATCH($F92&amp;"|low",Response_Table!$A$4:$A$21,0))*$R92*INDEX(Parameters!$X$4:$AA$4,1,MATCH($E92,Parameters!$X$3:$AA$3,0))),T92*(1+INDEX(Response_Table!$E$4:$E$21,MATCH($F92&amp;"|high",Response_Table!$A$4:$A$21,0))*$R92*INDEX(Parameters!$X$4:$AA$4,1,MATCH($E92,Parameters!$X$3:$AA$3,0))))*(1-Inputs_General!$C$22*Parameters!$F$4))</f>
        <v>54.8441478940175</v>
      </c>
      <c r="W92" s="44" t="n">
        <f aca="false">MIN(100,MAX(T92*(1+INDEX(Response_Table!$E$4:$E$21,MATCH($F92&amp;"|low",Response_Table!$A$4:$A$21,0))*$R92*INDEX(Parameters!$X$4:$AA$4,1,MATCH($E92,Parameters!$X$3:$AA$3,0))),T92*(1+INDEX(Response_Table!$E$4:$E$21,MATCH($F92&amp;"|high",Response_Table!$A$4:$A$21,0))*$R92*INDEX(Parameters!$X$4:$AA$4,1,MATCH($E92,Parameters!$X$3:$AA$3,0))))*(1+Inputs_General!$C$22*Parameters!$F$4))</f>
        <v>67.997707548122</v>
      </c>
      <c r="X92" s="45" t="n">
        <f aca="false">IF(T92=0,0,U92/T92-1)</f>
        <v>-0.276011054447699</v>
      </c>
      <c r="Y92" s="44" t="n">
        <f aca="false">Parameters!$E$5*IF($N92="V",Parameters!$I$5,IF($N92="F",Parameters!$J$5,Parameters!$K$5))*(1-Parameters!$L$5*$P92)*IF($D92="V1",Parameters!$M$5,IF($D92="V2",Parameters!$N$5,Parameters!$O$5))</f>
        <v>66.88584</v>
      </c>
      <c r="Z92" s="44" t="n">
        <f aca="false">MIN(100,Y92*(1+INDEX(Response_Table!$F$4:$F$21,MATCH($F92&amp;"|mid",Response_Table!$A$4:$A$21,0))*$R92*INDEX(Parameters!$X$5:$AA$5,1,MATCH($E92,Parameters!$X$3:$AA$3,0))))</f>
        <v>21.2640740923591</v>
      </c>
      <c r="AA92" s="44" t="n">
        <f aca="false">MAX(0,MIN(Y92*(1+INDEX(Response_Table!$F$4:$F$21,MATCH($F92&amp;"|low",Response_Table!$A$4:$A$21,0))*$R92*INDEX(Parameters!$X$5:$AA$5,1,MATCH($E92,Parameters!$X$3:$AA$3,0))),Y92*(1+INDEX(Response_Table!$F$4:$F$21,MATCH($F92&amp;"|high",Response_Table!$A$4:$A$21,0))*$R92*INDEX(Parameters!$X$5:$AA$5,1,MATCH($E92,Parameters!$X$3:$AA$3,0))))*(1-Inputs_General!$C$22*Parameters!$F$5))</f>
        <v>17.9017389022877</v>
      </c>
      <c r="AB92" s="44" t="n">
        <f aca="false">MIN(100,MAX(Y92*(1+INDEX(Response_Table!$F$4:$F$21,MATCH($F92&amp;"|low",Response_Table!$A$4:$A$21,0))*$R92*INDEX(Parameters!$X$5:$AA$5,1,MATCH($E92,Parameters!$X$3:$AA$3,0))),Y92*(1+INDEX(Response_Table!$F$4:$F$21,MATCH($F92&amp;"|high",Response_Table!$A$4:$A$21,0))*$R92*INDEX(Parameters!$X$5:$AA$5,1,MATCH($E92,Parameters!$X$3:$AA$3,0))))*(1+Inputs_General!$C$22*Parameters!$F$5))</f>
        <v>27.4232961947742</v>
      </c>
      <c r="AC92" s="45" t="n">
        <f aca="false">IF(Y92=0,0,Z92/Y92-1)</f>
        <v>-0.682084069029274</v>
      </c>
      <c r="AD92" s="44" t="n">
        <f aca="false">Parameters!$E$6*IF($N92="V",Parameters!$I$6,IF($N92="F",Parameters!$J$6,Parameters!$K$6))*(1-Parameters!$L$6*$P92)*IF($D92="V1",Parameters!$M$6,IF($D92="V2",Parameters!$N$6,Parameters!$O$6))</f>
        <v>18.0106428571429</v>
      </c>
      <c r="AE92" s="44" t="n">
        <f aca="false">AD92*(1+INDEX(Response_Table!$G$4:$G$21,MATCH($F92&amp;"|mid",Response_Table!$A$4:$A$21,0))*$R92*INDEX(Parameters!$X$6:$AA$6,1,MATCH($E92,Parameters!$X$3:$AA$3,0)))</f>
        <v>5.27624610529522</v>
      </c>
      <c r="AF92" s="44" t="n">
        <f aca="false">MAX(0,MIN(AD92*(1+INDEX(Response_Table!$G$4:$G$21,MATCH($F92&amp;"|low",Response_Table!$A$4:$A$21,0))*$R92*INDEX(Parameters!$X$6:$AA$6,1,MATCH($E92,Parameters!$X$3:$AA$3,0))),AD92*(1+INDEX(Response_Table!$G$4:$G$21,MATCH($F92&amp;"|high",Response_Table!$A$4:$A$21,0))*$R92*INDEX(Parameters!$X$6:$AA$6,1,MATCH($E92,Parameters!$X$3:$AA$3,0))))*(1-Inputs_General!$C$22*Parameters!$F$6))</f>
        <v>3.8713657520219</v>
      </c>
      <c r="AG92" s="44" t="n">
        <f aca="false">MAX(AD92*(1+INDEX(Response_Table!$G$4:$G$21,MATCH($F92&amp;"|low",Response_Table!$A$4:$A$21,0))*$R92*INDEX(Parameters!$X$6:$AA$6,1,MATCH($E92,Parameters!$X$3:$AA$3,0))),AD92*(1+INDEX(Response_Table!$G$4:$G$21,MATCH($F92&amp;"|high",Response_Table!$A$4:$A$21,0))*$R92*INDEX(Parameters!$X$6:$AA$6,1,MATCH($E92,Parameters!$X$3:$AA$3,0))))*(1+Inputs_General!$C$22*Parameters!$F$6)</f>
        <v>7.1065206502864</v>
      </c>
      <c r="AH92" s="45" t="n">
        <f aca="false">IF(AD92=0,0,AE92/AD92-1)</f>
        <v>-0.707048429800899</v>
      </c>
      <c r="AI92" s="46" t="n">
        <f aca="false">Parameters!$E$7*IF($N92="V",Parameters!$I$7,IF($N92="F",Parameters!$J$7,Parameters!$K$7))*(1-Parameters!$L$7*$P92)*IF($D92="V1",Parameters!$M$7,IF($D92="V2",Parameters!$N$7,Parameters!$O$7))*POWER($Q92/Inputs_General!$C$26,-Inputs_General!$C$25)</f>
        <v>0.341191629407368</v>
      </c>
      <c r="AJ92" s="46" t="n">
        <f aca="false">AI92*(1+INDEX(Response_Table!$H$4:$H$21,MATCH($F92&amp;"|mid",Response_Table!$A$4:$A$21,0))*$R92*INDEX(Parameters!$X$7:$AA$7,1,MATCH($E92,Parameters!$X$3:$AA$3,0)))</f>
        <v>0.150969839792144</v>
      </c>
      <c r="AK92" s="46" t="n">
        <f aca="false">MAX(0,MIN(AI92*(1+INDEX(Response_Table!$H$4:$H$21,MATCH($F92&amp;"|low",Response_Table!$A$4:$A$21,0))*$R92*INDEX(Parameters!$X$7:$AA$7,1,MATCH($E92,Parameters!$X$3:$AA$3,0))),AI92*(1+INDEX(Response_Table!$H$4:$H$21,MATCH($F92&amp;"|high",Response_Table!$A$4:$A$21,0))*$R92*INDEX(Parameters!$X$7:$AA$7,1,MATCH($E92,Parameters!$X$3:$AA$3,0))))*(1-Inputs_General!$C$22*Parameters!$F$7))</f>
        <v>0.0962467791710981</v>
      </c>
      <c r="AL92" s="46" t="n">
        <f aca="false">MAX(AI92*(1+INDEX(Response_Table!$H$4:$H$21,MATCH($F92&amp;"|low",Response_Table!$A$4:$A$21,0))*$R92*INDEX(Parameters!$X$7:$AA$7,1,MATCH($E92,Parameters!$X$3:$AA$3,0))),AI92*(1+INDEX(Response_Table!$H$4:$H$21,MATCH($F92&amp;"|high",Response_Table!$A$4:$A$21,0))*$R92*INDEX(Parameters!$X$7:$AA$7,1,MATCH($E92,Parameters!$X$3:$AA$3,0))))*(1+Inputs_General!$C$22*Parameters!$F$7)</f>
        <v>0.217017911404944</v>
      </c>
      <c r="AM92" s="45" t="n">
        <f aca="false">IF(AI92=0,0,AJ92/AI92-1)</f>
        <v>-0.557521853468766</v>
      </c>
      <c r="AN92" s="43" t="n">
        <f aca="false">AI92*$Q92/Inputs_General!$C$13*1000</f>
        <v>5.97691956280819</v>
      </c>
      <c r="AO92" s="43" t="n">
        <f aca="false">AJ92*$Q92/Inputs_General!$C$13*1000*(1+Inputs_General!$C$21*$I92)</f>
        <v>3.07441293726176</v>
      </c>
      <c r="AP92" s="43" t="n">
        <f aca="false">AK92*$Q92/Inputs_General!$C$13*1000*(1+Inputs_General!$C$21*$H92)</f>
        <v>1.90099860807092</v>
      </c>
      <c r="AQ92" s="43" t="n">
        <f aca="false">AL92*$Q92/Inputs_General!$C$13*1000*(1+Inputs_General!$C$21*$J92)</f>
        <v>4.60952707257469</v>
      </c>
      <c r="AR92" s="45" t="n">
        <f aca="false">IF(AN92=0,0,AO92/AN92-1)</f>
        <v>-0.485619154657441</v>
      </c>
      <c r="AS92" s="42" t="n">
        <f aca="false">Parameters!$E$9*IF($N92="V",Parameters!$I$9,IF($N92="F",Parameters!$J$9,Parameters!$K$9))*(1-Parameters!$L$9*$P92)*IF($D92="V1",Parameters!$M$9,IF($D92="V2",Parameters!$N$9,Parameters!$O$9))</f>
        <v>285</v>
      </c>
      <c r="AT92" s="42" t="n">
        <f aca="false">AS92*(1+INDEX(Response_Table!$I$4:$I$21,MATCH($F92&amp;"|mid",Response_Table!$A$4:$A$21,0))*$R92*INDEX(Parameters!$X$9:$AA$9,1,MATCH($E92,Parameters!$X$3:$AA$3,0)))</f>
        <v>364.149609062674</v>
      </c>
      <c r="AU92" s="42" t="n">
        <f aca="false">MAX(0,MIN(AS92*(1+INDEX(Response_Table!$I$4:$I$21,MATCH($F92&amp;"|low",Response_Table!$A$4:$A$21,0))*$R92*INDEX(Parameters!$X$9:$AA$9,1,MATCH($E92,Parameters!$X$3:$AA$3,0))),AS92*(1+INDEX(Response_Table!$I$4:$I$21,MATCH($F92&amp;"|high",Response_Table!$A$4:$A$21,0))*$R92*INDEX(Parameters!$X$9:$AA$9,1,MATCH($E92,Parameters!$X$3:$AA$3,0))))*(1-Inputs_General!$C$22*Parameters!$F$9))</f>
        <v>323.911488006691</v>
      </c>
      <c r="AV92" s="42" t="n">
        <f aca="false">MAX(AS92*(1+INDEX(Response_Table!$I$4:$I$21,MATCH($F92&amp;"|low",Response_Table!$A$4:$A$21,0))*$R92*INDEX(Parameters!$X$9:$AA$9,1,MATCH($E92,Parameters!$X$3:$AA$3,0))),AS92*(1+INDEX(Response_Table!$I$4:$I$21,MATCH($F92&amp;"|high",Response_Table!$A$4:$A$21,0))*$R92*INDEX(Parameters!$X$9:$AA$9,1,MATCH($E92,Parameters!$X$3:$AA$3,0))))*(1+Inputs_General!$C$22*Parameters!$F$9)</f>
        <v>403.933303399187</v>
      </c>
      <c r="AW92" s="45" t="n">
        <f aca="false">IF(AS92=0,0,AT92/AS92-1)</f>
        <v>0.2777179265357</v>
      </c>
      <c r="AX92" s="43" t="n">
        <f aca="false">INDEX(Context!$AB$4:$AB$51,$K92)</f>
        <v>2.92553901513759</v>
      </c>
      <c r="AY92" s="43" t="n">
        <f aca="false">AX92*(1+INDEX(Response_Table!$J$4:$J$21,MATCH($F92&amp;"|mid",Response_Table!$A$4:$A$21,0))*$R92*INDEX(Parameters!$X$10:$AA$10,1,MATCH($E92,Parameters!$X$3:$AA$3,0)))</f>
        <v>1.86827921308136</v>
      </c>
      <c r="AZ92" s="43" t="n">
        <f aca="false">MAX(0,MIN(AX92*(1+INDEX(Response_Table!$J$4:$J$21,MATCH($F92&amp;"|low",Response_Table!$A$4:$A$21,0))*$R92*INDEX(Parameters!$X$10:$AA$10,1,MATCH($E92,Parameters!$X$3:$AA$3,0))),AX92*(1+INDEX(Response_Table!$J$4:$J$21,MATCH($F92&amp;"|high",Response_Table!$A$4:$A$21,0))*$R92*INDEX(Parameters!$X$10:$AA$10,1,MATCH($E92,Parameters!$X$3:$AA$3,0))))*(1-Inputs_General!$C$22*Parameters!$F$10))</f>
        <v>1.41761558325684</v>
      </c>
      <c r="BA92" s="43" t="n">
        <f aca="false">MAX(AX92*(1+INDEX(Response_Table!$J$4:$J$21,MATCH($F92&amp;"|low",Response_Table!$A$4:$A$21,0))*$R92*INDEX(Parameters!$X$10:$AA$10,1,MATCH($E92,Parameters!$X$3:$AA$3,0))),AX92*(1+INDEX(Response_Table!$J$4:$J$21,MATCH($F92&amp;"|high",Response_Table!$A$4:$A$21,0))*$R92*INDEX(Parameters!$X$10:$AA$10,1,MATCH($E92,Parameters!$X$3:$AA$3,0))))*(1+Inputs_General!$C$22*Parameters!$F$10)</f>
        <v>2.36715831811315</v>
      </c>
      <c r="BB92" s="45" t="n">
        <f aca="false">IF(AX92=0,0,AY92/AX92-1)</f>
        <v>-0.361389746158113</v>
      </c>
      <c r="BC92" s="46" t="n">
        <f aca="false">Parameters!$E$11*IF($N92="V",Parameters!$I$11,IF($N92="F",Parameters!$J$11,Parameters!$K$11))*(1-Parameters!$L$11*$P92)*IF($D92="V1",Parameters!$M$11,IF($D92="V2",Parameters!$N$11,Parameters!$O$11))</f>
        <v>1.21745535714286</v>
      </c>
      <c r="BD92" s="46" t="n">
        <f aca="false">BC92*(1+INDEX(Response_Table!$K$4:$K$21,MATCH($F92&amp;"|mid",Response_Table!$A$4:$A$21,0))*$R92*INDEX(Parameters!$X$11:$AA$11,1,MATCH($E92,Parameters!$X$3:$AA$3,0)))</f>
        <v>0.524972396471603</v>
      </c>
      <c r="BE92" s="46" t="n">
        <f aca="false">MAX(0,MIN(BC92*(1+INDEX(Response_Table!$K$4:$K$21,MATCH($F92&amp;"|low",Response_Table!$A$4:$A$21,0))*$R92*INDEX(Parameters!$X$11:$AA$11,1,MATCH($E92,Parameters!$X$3:$AA$3,0))),BC92*(1+INDEX(Response_Table!$K$4:$K$21,MATCH($F92&amp;"|high",Response_Table!$A$4:$A$21,0))*$R92*INDEX(Parameters!$X$11:$AA$11,1,MATCH($E92,Parameters!$X$3:$AA$3,0))))*(1-Inputs_General!$C$22*Parameters!$F$11))</f>
        <v>0.399568765744004</v>
      </c>
      <c r="BF92" s="46" t="n">
        <f aca="false">MAX(BC92*(1+INDEX(Response_Table!$K$4:$K$21,MATCH($F92&amp;"|low",Response_Table!$A$4:$A$21,0))*$R92*INDEX(Parameters!$X$11:$AA$11,1,MATCH($E92,Parameters!$X$3:$AA$3,0))),BC92*(1+INDEX(Response_Table!$K$4:$K$21,MATCH($F92&amp;"|high",Response_Table!$A$4:$A$21,0))*$R92*INDEX(Parameters!$X$11:$AA$11,1,MATCH($E92,Parameters!$X$3:$AA$3,0))))*(1+Inputs_General!$C$22*Parameters!$F$11)</f>
        <v>0.676397111709514</v>
      </c>
      <c r="BG92" s="45" t="n">
        <f aca="false">IF(BC92=0,0,BD92/BC92-1)</f>
        <v>-0.568795362070921</v>
      </c>
      <c r="BH92" s="46" t="n">
        <f aca="false">Parameters!$E$12*IF($N92="V",Parameters!$I$12,IF($N92="F",Parameters!$J$12,Parameters!$K$12))*(1-Parameters!$L$12*$P92)*IF($D92="V1",Parameters!$M$12,IF($D92="V2",Parameters!$N$12,Parameters!$O$12))</f>
        <v>0.438283928571429</v>
      </c>
      <c r="BI92" s="46" t="n">
        <f aca="false">BH92*(1+INDEX(Response_Table!$L$4:$L$21,MATCH($F92&amp;"|mid",Response_Table!$A$4:$A$21,0))*$R92*INDEX(Parameters!$X$12:$AA$12,1,MATCH($E92,Parameters!$X$3:$AA$3,0)))</f>
        <v>0.231523809322977</v>
      </c>
      <c r="BJ92" s="46" t="n">
        <f aca="false">MAX(0,MIN(BH92*(1+INDEX(Response_Table!$L$4:$L$21,MATCH($F92&amp;"|low",Response_Table!$A$4:$A$21,0))*$R92*INDEX(Parameters!$X$12:$AA$12,1,MATCH($E92,Parameters!$X$3:$AA$3,0))),BH92*(1+INDEX(Response_Table!$L$4:$L$21,MATCH($F92&amp;"|high",Response_Table!$A$4:$A$21,0))*$R92*INDEX(Parameters!$X$12:$AA$12,1,MATCH($E92,Parameters!$X$3:$AA$3,0))))*(1-Inputs_General!$C$22*Parameters!$F$12))</f>
        <v>0.173401597158107</v>
      </c>
      <c r="BK92" s="46" t="n">
        <f aca="false">MAX(BH92*(1+INDEX(Response_Table!$L$4:$L$21,MATCH($F92&amp;"|low",Response_Table!$A$4:$A$21,0))*$R92*INDEX(Parameters!$X$12:$AA$12,1,MATCH($E92,Parameters!$X$3:$AA$3,0))),BH92*(1+INDEX(Response_Table!$L$4:$L$21,MATCH($F92&amp;"|high",Response_Table!$A$4:$A$21,0))*$R92*INDEX(Parameters!$X$12:$AA$12,1,MATCH($E92,Parameters!$X$3:$AA$3,0))))*(1+Inputs_General!$C$22*Parameters!$F$12)</f>
        <v>0.298661524310012</v>
      </c>
      <c r="BL92" s="45" t="n">
        <f aca="false">IF(BH92=0,0,BI92/BH92-1)</f>
        <v>-0.471749260627418</v>
      </c>
      <c r="BM92" s="46" t="n">
        <f aca="false">Parameters!$E$13*IF($N92="V",Parameters!$I$13,IF($N92="F",Parameters!$J$13,Parameters!$K$13))*(1-Parameters!$L$13*$P92)*IF($D92="V1",Parameters!$M$13,IF($D92="V2",Parameters!$N$13,Parameters!$O$13))</f>
        <v>0.296094642857143</v>
      </c>
      <c r="BN92" s="46" t="n">
        <f aca="false">BM92*(1+INDEX(Response_Table!$M$4:$M$21,MATCH($F92&amp;"|mid",Response_Table!$A$4:$A$21,0))*$R92*INDEX(Parameters!$X$13:$AA$13,1,MATCH($E92,Parameters!$X$3:$AA$3,0)))</f>
        <v>0.195293968114164</v>
      </c>
      <c r="BO92" s="46" t="n">
        <f aca="false">MAX(0,MIN(BM92*(1+INDEX(Response_Table!$M$4:$M$21,MATCH($F92&amp;"|low",Response_Table!$A$4:$A$21,0))*$R92*INDEX(Parameters!$X$13:$AA$13,1,MATCH($E92,Parameters!$X$3:$AA$3,0))),BM92*(1+INDEX(Response_Table!$M$4:$M$21,MATCH($F92&amp;"|high",Response_Table!$A$4:$A$21,0))*$R92*INDEX(Parameters!$X$13:$AA$13,1,MATCH($E92,Parameters!$X$3:$AA$3,0))))*(1-Inputs_General!$C$22*Parameters!$F$13))</f>
        <v>0.150121363060779</v>
      </c>
      <c r="BP92" s="46" t="n">
        <f aca="false">MAX(BM92*(1+INDEX(Response_Table!$M$4:$M$21,MATCH($F92&amp;"|low",Response_Table!$A$4:$A$21,0))*$R92*INDEX(Parameters!$X$13:$AA$13,1,MATCH($E92,Parameters!$X$3:$AA$3,0))),BM92*(1+INDEX(Response_Table!$M$4:$M$21,MATCH($F92&amp;"|high",Response_Table!$A$4:$A$21,0))*$R92*INDEX(Parameters!$X$13:$AA$13,1,MATCH($E92,Parameters!$X$3:$AA$3,0))))*(1+Inputs_General!$C$22*Parameters!$F$13)</f>
        <v>0.246431406498249</v>
      </c>
      <c r="BQ92" s="45" t="n">
        <f aca="false">IF(BM92=0,0,BN92/BM92-1)</f>
        <v>-0.340433969930393</v>
      </c>
      <c r="BR92" s="44" t="n">
        <f aca="false">Parameters!$E$14*IF($N92="V",Parameters!$I$14,IF($N92="F",Parameters!$J$14,Parameters!$K$14))*(1-Parameters!$L$14*$P92)*IF($D92="V1",Parameters!$M$14,IF($D92="V2",Parameters!$N$14,Parameters!$O$14))*INDEX(Context!$AC$4:$AC$51,$K92)</f>
        <v>15</v>
      </c>
      <c r="BS92" s="44" t="n">
        <f aca="false">BR92*(1+INDEX(Response_Table!$N$4:$N$21,MATCH($F92&amp;"|mid",Response_Table!$A$4:$A$21,0))*$R92*INDEX(Parameters!$X$14:$AA$14,1,MATCH($E92,Parameters!$X$3:$AA$3,0)))</f>
        <v>22.7195333557214</v>
      </c>
      <c r="BT92" s="44" t="n">
        <f aca="false">MAX(0,MIN(BR92*(1+INDEX(Response_Table!$N$4:$N$21,MATCH($F92&amp;"|low",Response_Table!$A$4:$A$21,0))*$R92*INDEX(Parameters!$X$14:$AA$14,1,MATCH($E92,Parameters!$X$3:$AA$3,0))),BR92*(1+INDEX(Response_Table!$N$4:$N$21,MATCH($F92&amp;"|high",Response_Table!$A$4:$A$21,0))*$R92*INDEX(Parameters!$X$14:$AA$14,1,MATCH($E92,Parameters!$X$3:$AA$3,0))))*(1-Inputs_General!$C$22*Parameters!$F$14))</f>
        <v>11.16892216054</v>
      </c>
      <c r="BU92" s="44" t="n">
        <f aca="false">MAX(BR92*(1+INDEX(Response_Table!$N$4:$N$21,MATCH($F92&amp;"|low",Response_Table!$A$4:$A$21,0))*$R92*INDEX(Parameters!$X$14:$AA$14,1,MATCH($E92,Parameters!$X$3:$AA$3,0))),BR92*(1+INDEX(Response_Table!$N$4:$N$21,MATCH($F92&amp;"|high",Response_Table!$A$4:$A$21,0))*$R92*INDEX(Parameters!$X$14:$AA$14,1,MATCH($E92,Parameters!$X$3:$AA$3,0))))*(1+Inputs_General!$C$22*Parameters!$F$14)</f>
        <v>34.7944652864455</v>
      </c>
      <c r="BV92" s="45" t="n">
        <f aca="false">IF(BR92=0,0,BS92/BR92-1)</f>
        <v>0.514635557048092</v>
      </c>
      <c r="BW92" s="43" t="n">
        <f aca="false">Parameters!$E$15*IF($N92="V",Parameters!$I$15,IF($N92="F",Parameters!$J$15,Parameters!$K$15))*(1-Parameters!$L$15*$P92)*IF($D92="V1",Parameters!$M$15,IF($D92="V2",Parameters!$N$15,Parameters!$O$15))</f>
        <v>10.1292285714286</v>
      </c>
      <c r="BX92" s="43" t="n">
        <f aca="false">BW92*(1+INDEX(Response_Table!$O$4:$O$21,MATCH($F92&amp;"|mid",Response_Table!$A$4:$A$21,0))*$R92*INDEX(Parameters!$X$15:$AA$15,1,MATCH($E92,Parameters!$X$3:$AA$3,0)))</f>
        <v>8.82601327434743</v>
      </c>
      <c r="BY92" s="43" t="n">
        <f aca="false">MAX(0,MIN(BW92*(1+INDEX(Response_Table!$O$4:$O$21,MATCH($F92&amp;"|low",Response_Table!$A$4:$A$21,0))*$R92*INDEX(Parameters!$X$15:$AA$15,1,MATCH($E92,Parameters!$X$3:$AA$3,0))),BW92*(1+INDEX(Response_Table!$O$4:$O$21,MATCH($F92&amp;"|high",Response_Table!$A$4:$A$21,0))*$R92*INDEX(Parameters!$X$15:$AA$15,1,MATCH($E92,Parameters!$X$3:$AA$3,0))))*(1-Inputs_General!$C$22*Parameters!$F$15))</f>
        <v>7.00547832252037</v>
      </c>
      <c r="BZ92" s="43" t="n">
        <f aca="false">MAX(BW92*(1+INDEX(Response_Table!$O$4:$O$21,MATCH($F92&amp;"|low",Response_Table!$A$4:$A$21,0))*$R92*INDEX(Parameters!$X$15:$AA$15,1,MATCH($E92,Parameters!$X$3:$AA$3,0))),BW92*(1+INDEX(Response_Table!$O$4:$O$21,MATCH($F92&amp;"|high",Response_Table!$A$4:$A$21,0))*$R92*INDEX(Parameters!$X$15:$AA$15,1,MATCH($E92,Parameters!$X$3:$AA$3,0))))*(1+Inputs_General!$C$22*Parameters!$F$15)</f>
        <v>10.7033732136596</v>
      </c>
      <c r="CA92" s="45" t="n">
        <f aca="false">IF(BW92=0,0,BX92/BW92-1)</f>
        <v>-0.128658889262023</v>
      </c>
      <c r="CB92" s="46" t="n">
        <f aca="false">BD92+BI92</f>
        <v>0.75649620579458</v>
      </c>
      <c r="CC92" s="43" t="n">
        <f aca="false">BD92/BI92</f>
        <v>2.26746613234608</v>
      </c>
      <c r="CD92" s="46" t="n">
        <f aca="false">BN92/CB92</f>
        <v>0.25815591224154</v>
      </c>
      <c r="CE92" s="43" t="n">
        <f aca="false">AE92/AO92</f>
        <v>1.71618003598259</v>
      </c>
      <c r="CF92" s="44" t="n">
        <f aca="false">AE92/AJ92</f>
        <v>34.9490077790344</v>
      </c>
      <c r="CG92" s="44" t="n">
        <f aca="false">INDEX(Context!$V$4:$V$51,$K92)</f>
        <v>28.62</v>
      </c>
      <c r="CH92" s="44" t="n">
        <f aca="false">INDEX(Context!$Y$4:$Y$51,$K92)</f>
        <v>25.3060134606718</v>
      </c>
      <c r="CI92" s="44" t="n">
        <f aca="false">INDEX(Context!$Z$4:$Z$51,$K92)</f>
        <v>32.62</v>
      </c>
      <c r="CJ92" s="43" t="n">
        <f aca="false">INDEX(Context!$AA$4:$AA$51,$K92)</f>
        <v>0.221696428571429</v>
      </c>
      <c r="CK92" s="43" t="n">
        <f aca="false">MAX(0,MIN(1,1-(1-CJ92)*AO92/AN92))</f>
        <v>0.599655550995438</v>
      </c>
      <c r="CL92" s="44" t="n">
        <f aca="false">CH92+CK92*(CI92-CH92)</f>
        <v>29.6918860888859</v>
      </c>
      <c r="CM92" s="44" t="n">
        <f aca="false">CH92+MAX(0,MIN(1,1-(1-CJ92)*AQ92/AN92))*(CI92-CH92)</f>
        <v>28.2298219008652</v>
      </c>
      <c r="CN92" s="44" t="n">
        <f aca="false">CH92+MAX(0,MIN(1,1-(1-CJ92)*AP92/AN92))*(CI92-CH92)</f>
        <v>30.8094623191838</v>
      </c>
      <c r="CO92" s="44" t="n">
        <f aca="false">CL92-CG92</f>
        <v>1.07188608888586</v>
      </c>
      <c r="CP92" s="44" t="n">
        <f aca="false">CL92-(CH92+CJ92*(CI92-CH92))</f>
        <v>2.76438793382552</v>
      </c>
      <c r="CQ92" s="46" t="n">
        <f aca="false">CL92/CG92</f>
        <v>1.03745234412599</v>
      </c>
      <c r="CR92" s="43" t="n">
        <f aca="false">IF(CL92-CH92&lt;=0,"n/a",(CI92-CL92)/(CL92-CH92))</f>
        <v>0.667624019055578</v>
      </c>
      <c r="CS92" s="43" t="n">
        <f aca="false">IF(CI92-CL92&lt;=0,"n/a",(CL92-CH92)/(CI92-CL92))</f>
        <v>1.49784904595644</v>
      </c>
      <c r="CT92" s="43" t="n">
        <f aca="false">Inputs_General!$C$23+Inputs_General!$C$24*$I92</f>
        <v>1.9</v>
      </c>
      <c r="CU92" s="44" t="n">
        <f aca="false">3.29*CT92</f>
        <v>6.251</v>
      </c>
    </row>
    <row r="93" customFormat="false" ht="15" hidden="false" customHeight="false" outlineLevel="0" collapsed="false">
      <c r="A93" s="33" t="str">
        <f aca="false">B93&amp;"|"&amp;E93&amp;"|"&amp;F93</f>
        <v>D2V1|13/03/2026|Healthy</v>
      </c>
      <c r="B93" s="34" t="s">
        <v>346</v>
      </c>
      <c r="C93" s="33" t="s">
        <v>129</v>
      </c>
      <c r="D93" s="33" t="s">
        <v>142</v>
      </c>
      <c r="E93" s="33" t="s">
        <v>164</v>
      </c>
      <c r="F93" s="34" t="s">
        <v>275</v>
      </c>
      <c r="G93" s="33" t="s">
        <v>276</v>
      </c>
      <c r="H93" s="35" t="n">
        <f aca="false">INDEX(Severity_Classes!$C$4:$C$9,MATCH(F93,Severity_Classes!$A$4:$A$9,0))</f>
        <v>0</v>
      </c>
      <c r="I93" s="35" t="n">
        <f aca="false">INDEX(Severity_Classes!$D$4:$D$9,MATCH(F93,Severity_Classes!$A$4:$A$9,0))</f>
        <v>0</v>
      </c>
      <c r="J93" s="35" t="n">
        <f aca="false">INDEX(Severity_Classes!$E$4:$E$9,MATCH(F93,Severity_Classes!$A$4:$A$9,0))</f>
        <v>0</v>
      </c>
      <c r="K93" s="36" t="n">
        <f aca="false">MATCH(B93&amp;"|"&amp;E93,Context!$A$4:$A$51,0)</f>
        <v>16</v>
      </c>
      <c r="L93" s="36" t="n">
        <f aca="false">INDEX(Context!$H$4:$H$51,K93)</f>
        <v>85</v>
      </c>
      <c r="M93" s="36" t="n">
        <f aca="false">INDEX(Context!$I$4:$I$51,K93)</f>
        <v>36</v>
      </c>
      <c r="N93" s="33" t="str">
        <f aca="false">INDEX(Context!$L$4:$L$51,K93)</f>
        <v>P</v>
      </c>
      <c r="O93" s="33" t="str">
        <f aca="false">INDEX(Context!$M$4:$M$51,K93)</f>
        <v>5th fully expanded leaf from top</v>
      </c>
      <c r="P93" s="37" t="n">
        <f aca="false">INDEX(Context!$R$4:$R$51,K93)</f>
        <v>0.953571428571428</v>
      </c>
      <c r="Q93" s="37" t="n">
        <f aca="false">INDEX(Context!$U$4:$U$51,K93)</f>
        <v>2.18945736698217</v>
      </c>
      <c r="R93" s="37" t="n">
        <f aca="false">INDEX(Context!$AD$4:$AD$51,K93)</f>
        <v>1</v>
      </c>
      <c r="S93" s="33" t="str">
        <f aca="false">INDEX(Context!$AI$4:$AN$51,K93,MATCH(F93,Severity_Classes!$A$4:$A$9,0))</f>
        <v>Reference: healthy (uninoculated) control plot</v>
      </c>
      <c r="T93" s="38" t="n">
        <f aca="false">Parameters!$E$4*IF($N93="V",Parameters!$I$4,IF($N93="F",Parameters!$J$4,Parameters!$K$4))*(1-Parameters!$L$4*$P93)*IF($D93="V1",Parameters!$M$4,IF($D93="V2",Parameters!$N$4,Parameters!$O$4))</f>
        <v>77.8046607142857</v>
      </c>
      <c r="U93" s="38" t="n">
        <f aca="false">MIN(100,T93*(1+INDEX(Response_Table!$E$4:$E$21,MATCH($F93&amp;"|mid",Response_Table!$A$4:$A$21,0))*$R93*INDEX(Parameters!$X$4:$AA$4,1,MATCH($E93,Parameters!$X$3:$AA$3,0))))</f>
        <v>77.8046607142857</v>
      </c>
      <c r="V93" s="38" t="n">
        <f aca="false">MAX(0,MIN(T93*(1+INDEX(Response_Table!$E$4:$E$21,MATCH($F93&amp;"|low",Response_Table!$A$4:$A$21,0))*$R93*INDEX(Parameters!$X$4:$AA$4,1,MATCH($E93,Parameters!$X$3:$AA$3,0))),T93*(1+INDEX(Response_Table!$E$4:$E$21,MATCH($F93&amp;"|high",Response_Table!$A$4:$A$21,0))*$R93*INDEX(Parameters!$X$4:$AA$4,1,MATCH($E93,Parameters!$X$3:$AA$3,0))))*(1-Inputs_General!$C$22*Parameters!$F$4))</f>
        <v>72.6851140392857</v>
      </c>
      <c r="W93" s="38" t="n">
        <f aca="false">MIN(100,MAX(T93*(1+INDEX(Response_Table!$E$4:$E$21,MATCH($F93&amp;"|low",Response_Table!$A$4:$A$21,0))*$R93*INDEX(Parameters!$X$4:$AA$4,1,MATCH($E93,Parameters!$X$3:$AA$3,0))),T93*(1+INDEX(Response_Table!$E$4:$E$21,MATCH($F93&amp;"|high",Response_Table!$A$4:$A$21,0))*$R93*INDEX(Parameters!$X$4:$AA$4,1,MATCH($E93,Parameters!$X$3:$AA$3,0))))*(1+Inputs_General!$C$22*Parameters!$F$4))</f>
        <v>82.9242073892857</v>
      </c>
      <c r="X93" s="39" t="n">
        <f aca="false">IF(T93=0,0,U93/T93-1)</f>
        <v>0</v>
      </c>
      <c r="Y93" s="38" t="n">
        <f aca="false">Parameters!$E$5*IF($N93="V",Parameters!$I$5,IF($N93="F",Parameters!$J$5,Parameters!$K$5))*(1-Parameters!$L$5*$P93)*IF($D93="V1",Parameters!$M$5,IF($D93="V2",Parameters!$N$5,Parameters!$O$5))</f>
        <v>58.6602514285714</v>
      </c>
      <c r="Z93" s="38" t="n">
        <f aca="false">MIN(100,Y93*(1+INDEX(Response_Table!$F$4:$F$21,MATCH($F93&amp;"|mid",Response_Table!$A$4:$A$21,0))*$R93*INDEX(Parameters!$X$5:$AA$5,1,MATCH($E93,Parameters!$X$3:$AA$3,0))))</f>
        <v>58.6602514285714</v>
      </c>
      <c r="AA93" s="38" t="n">
        <f aca="false">MAX(0,MIN(Y93*(1+INDEX(Response_Table!$F$4:$F$21,MATCH($F93&amp;"|low",Response_Table!$A$4:$A$21,0))*$R93*INDEX(Parameters!$X$5:$AA$5,1,MATCH($E93,Parameters!$X$3:$AA$3,0))),Y93*(1+INDEX(Response_Table!$F$4:$F$21,MATCH($F93&amp;"|high",Response_Table!$A$4:$A$21,0))*$R93*INDEX(Parameters!$X$5:$AA$5,1,MATCH($E93,Parameters!$X$3:$AA$3,0))))*(1-Inputs_General!$C$22*Parameters!$F$5))</f>
        <v>51.9055234765714</v>
      </c>
      <c r="AB93" s="38" t="n">
        <f aca="false">MIN(100,MAX(Y93*(1+INDEX(Response_Table!$F$4:$F$21,MATCH($F93&amp;"|low",Response_Table!$A$4:$A$21,0))*$R93*INDEX(Parameters!$X$5:$AA$5,1,MATCH($E93,Parameters!$X$3:$AA$3,0))),Y93*(1+INDEX(Response_Table!$F$4:$F$21,MATCH($F93&amp;"|high",Response_Table!$A$4:$A$21,0))*$R93*INDEX(Parameters!$X$5:$AA$5,1,MATCH($E93,Parameters!$X$3:$AA$3,0))))*(1+Inputs_General!$C$22*Parameters!$F$5))</f>
        <v>65.4149793805714</v>
      </c>
      <c r="AC93" s="39" t="n">
        <f aca="false">IF(Y93=0,0,Z93/Y93-1)</f>
        <v>0</v>
      </c>
      <c r="AD93" s="38" t="n">
        <f aca="false">Parameters!$E$6*IF($N93="V",Parameters!$I$6,IF($N93="F",Parameters!$J$6,Parameters!$K$6))*(1-Parameters!$L$6*$P93)*IF($D93="V1",Parameters!$M$6,IF($D93="V2",Parameters!$N$6,Parameters!$O$6))</f>
        <v>14.3019785714286</v>
      </c>
      <c r="AE93" s="38" t="n">
        <f aca="false">AD93*(1+INDEX(Response_Table!$G$4:$G$21,MATCH($F93&amp;"|mid",Response_Table!$A$4:$A$21,0))*$R93*INDEX(Parameters!$X$6:$AA$6,1,MATCH($E93,Parameters!$X$3:$AA$3,0)))</f>
        <v>14.3019785714286</v>
      </c>
      <c r="AF93" s="38" t="n">
        <f aca="false">MAX(0,MIN(AD93*(1+INDEX(Response_Table!$G$4:$G$21,MATCH($F93&amp;"|low",Response_Table!$A$4:$A$21,0))*$R93*INDEX(Parameters!$X$6:$AA$6,1,MATCH($E93,Parameters!$X$3:$AA$3,0))),AD93*(1+INDEX(Response_Table!$G$4:$G$21,MATCH($F93&amp;"|high",Response_Table!$A$4:$A$21,0))*$R93*INDEX(Parameters!$X$6:$AA$6,1,MATCH($E93,Parameters!$X$3:$AA$3,0))))*(1-Inputs_General!$C$22*Parameters!$F$6))</f>
        <v>11.4787680014286</v>
      </c>
      <c r="AG93" s="38" t="n">
        <f aca="false">MAX(AD93*(1+INDEX(Response_Table!$G$4:$G$21,MATCH($F93&amp;"|low",Response_Table!$A$4:$A$21,0))*$R93*INDEX(Parameters!$X$6:$AA$6,1,MATCH($E93,Parameters!$X$3:$AA$3,0))),AD93*(1+INDEX(Response_Table!$G$4:$G$21,MATCH($F93&amp;"|high",Response_Table!$A$4:$A$21,0))*$R93*INDEX(Parameters!$X$6:$AA$6,1,MATCH($E93,Parameters!$X$3:$AA$3,0))))*(1+Inputs_General!$C$22*Parameters!$F$6)</f>
        <v>17.1251891414286</v>
      </c>
      <c r="AH93" s="39" t="n">
        <f aca="false">IF(AD93=0,0,AE93/AD93-1)</f>
        <v>0</v>
      </c>
      <c r="AI93" s="40" t="n">
        <f aca="false">Parameters!$E$7*IF($N93="V",Parameters!$I$7,IF($N93="F",Parameters!$J$7,Parameters!$K$7))*(1-Parameters!$L$7*$P93)*IF($D93="V1",Parameters!$M$7,IF($D93="V2",Parameters!$N$7,Parameters!$O$7))*POWER($Q93/Inputs_General!$C$26,-Inputs_General!$C$25)</f>
        <v>0.258501574676089</v>
      </c>
      <c r="AJ93" s="40" t="n">
        <f aca="false">AI93*(1+INDEX(Response_Table!$H$4:$H$21,MATCH($F93&amp;"|mid",Response_Table!$A$4:$A$21,0))*$R93*INDEX(Parameters!$X$7:$AA$7,1,MATCH($E93,Parameters!$X$3:$AA$3,0)))</f>
        <v>0.258501574676089</v>
      </c>
      <c r="AK93" s="40" t="n">
        <f aca="false">MAX(0,MIN(AI93*(1+INDEX(Response_Table!$H$4:$H$21,MATCH($F93&amp;"|low",Response_Table!$A$4:$A$21,0))*$R93*INDEX(Parameters!$X$7:$AA$7,1,MATCH($E93,Parameters!$X$3:$AA$3,0))),AI93*(1+INDEX(Response_Table!$H$4:$H$21,MATCH($F93&amp;"|high",Response_Table!$A$4:$A$21,0))*$R93*INDEX(Parameters!$X$7:$AA$7,1,MATCH($E93,Parameters!$X$3:$AA$3,0))))*(1-Inputs_General!$C$22*Parameters!$F$7))</f>
        <v>0.181959258414499</v>
      </c>
      <c r="AL93" s="40" t="n">
        <f aca="false">MAX(AI93*(1+INDEX(Response_Table!$H$4:$H$21,MATCH($F93&amp;"|low",Response_Table!$A$4:$A$21,0))*$R93*INDEX(Parameters!$X$7:$AA$7,1,MATCH($E93,Parameters!$X$3:$AA$3,0))),AI93*(1+INDEX(Response_Table!$H$4:$H$21,MATCH($F93&amp;"|high",Response_Table!$A$4:$A$21,0))*$R93*INDEX(Parameters!$X$7:$AA$7,1,MATCH($E93,Parameters!$X$3:$AA$3,0))))*(1+Inputs_General!$C$22*Parameters!$F$7)</f>
        <v>0.335043890937679</v>
      </c>
      <c r="AM93" s="39" t="n">
        <f aca="false">IF(AI93=0,0,AJ93/AI93-1)</f>
        <v>0</v>
      </c>
      <c r="AN93" s="37" t="n">
        <f aca="false">AI93*$Q93/Inputs_General!$C$13*1000</f>
        <v>5.69967952720096</v>
      </c>
      <c r="AO93" s="37" t="n">
        <f aca="false">AJ93*$Q93/Inputs_General!$C$13*1000*(1+Inputs_General!$C$21*$I93)</f>
        <v>5.69967952720096</v>
      </c>
      <c r="AP93" s="37" t="n">
        <f aca="false">AK93*$Q93/Inputs_General!$C$13*1000*(1+Inputs_General!$C$21*$H93)</f>
        <v>4.01200441919675</v>
      </c>
      <c r="AQ93" s="37" t="n">
        <f aca="false">AL93*$Q93/Inputs_General!$C$13*1000*(1+Inputs_General!$C$21*$J93)</f>
        <v>7.38735463520516</v>
      </c>
      <c r="AR93" s="39" t="n">
        <f aca="false">IF(AN93=0,0,AO93/AN93-1)</f>
        <v>0</v>
      </c>
      <c r="AS93" s="36" t="n">
        <f aca="false">Parameters!$E$9*IF($N93="V",Parameters!$I$9,IF($N93="F",Parameters!$J$9,Parameters!$K$9))*(1-Parameters!$L$9*$P93)*IF($D93="V1",Parameters!$M$9,IF($D93="V2",Parameters!$N$9,Parameters!$O$9))</f>
        <v>293.55</v>
      </c>
      <c r="AT93" s="36" t="n">
        <f aca="false">AS93*(1+INDEX(Response_Table!$I$4:$I$21,MATCH($F93&amp;"|mid",Response_Table!$A$4:$A$21,0))*$R93*INDEX(Parameters!$X$9:$AA$9,1,MATCH($E93,Parameters!$X$3:$AA$3,0)))</f>
        <v>293.55</v>
      </c>
      <c r="AU93" s="36" t="n">
        <f aca="false">MAX(0,MIN(AS93*(1+INDEX(Response_Table!$I$4:$I$21,MATCH($F93&amp;"|low",Response_Table!$A$4:$A$21,0))*$R93*INDEX(Parameters!$X$9:$AA$9,1,MATCH($E93,Parameters!$X$3:$AA$3,0))),AS93*(1+INDEX(Response_Table!$I$4:$I$21,MATCH($F93&amp;"|high",Response_Table!$A$4:$A$21,0))*$R93*INDEX(Parameters!$X$9:$AA$9,1,MATCH($E93,Parameters!$X$3:$AA$3,0))))*(1-Inputs_General!$C$22*Parameters!$F$9))</f>
        <v>264.576615</v>
      </c>
      <c r="AV93" s="36" t="n">
        <f aca="false">MAX(AS93*(1+INDEX(Response_Table!$I$4:$I$21,MATCH($F93&amp;"|low",Response_Table!$A$4:$A$21,0))*$R93*INDEX(Parameters!$X$9:$AA$9,1,MATCH($E93,Parameters!$X$3:$AA$3,0))),AS93*(1+INDEX(Response_Table!$I$4:$I$21,MATCH($F93&amp;"|high",Response_Table!$A$4:$A$21,0))*$R93*INDEX(Parameters!$X$9:$AA$9,1,MATCH($E93,Parameters!$X$3:$AA$3,0))))*(1+Inputs_General!$C$22*Parameters!$F$9)</f>
        <v>322.523385</v>
      </c>
      <c r="AW93" s="39" t="n">
        <f aca="false">IF(AS93=0,0,AT93/AS93-1)</f>
        <v>0</v>
      </c>
      <c r="AX93" s="37" t="n">
        <f aca="false">INDEX(Context!$AB$4:$AB$51,$K93)</f>
        <v>2.93383375883642</v>
      </c>
      <c r="AY93" s="37" t="n">
        <f aca="false">AX93*(1+INDEX(Response_Table!$J$4:$J$21,MATCH($F93&amp;"|mid",Response_Table!$A$4:$A$21,0))*$R93*INDEX(Parameters!$X$10:$AA$10,1,MATCH($E93,Parameters!$X$3:$AA$3,0)))</f>
        <v>2.93383375883642</v>
      </c>
      <c r="AZ93" s="37" t="n">
        <f aca="false">MAX(0,MIN(AX93*(1+INDEX(Response_Table!$J$4:$J$21,MATCH($F93&amp;"|low",Response_Table!$A$4:$A$21,0))*$R93*INDEX(Parameters!$X$10:$AA$10,1,MATCH($E93,Parameters!$X$3:$AA$3,0))),AX93*(1+INDEX(Response_Table!$J$4:$J$21,MATCH($F93&amp;"|high",Response_Table!$A$4:$A$21,0))*$R93*INDEX(Parameters!$X$10:$AA$10,1,MATCH($E93,Parameters!$X$3:$AA$3,0))))*(1-Inputs_General!$C$22*Parameters!$F$10))</f>
        <v>2.35469497484211</v>
      </c>
      <c r="BA93" s="37" t="n">
        <f aca="false">MAX(AX93*(1+INDEX(Response_Table!$J$4:$J$21,MATCH($F93&amp;"|low",Response_Table!$A$4:$A$21,0))*$R93*INDEX(Parameters!$X$10:$AA$10,1,MATCH($E93,Parameters!$X$3:$AA$3,0))),AX93*(1+INDEX(Response_Table!$J$4:$J$21,MATCH($F93&amp;"|high",Response_Table!$A$4:$A$21,0))*$R93*INDEX(Parameters!$X$10:$AA$10,1,MATCH($E93,Parameters!$X$3:$AA$3,0))))*(1+Inputs_General!$C$22*Parameters!$F$10)</f>
        <v>3.51297254283073</v>
      </c>
      <c r="BB93" s="39" t="n">
        <f aca="false">IF(AX93=0,0,AY93/AX93-1)</f>
        <v>0</v>
      </c>
      <c r="BC93" s="40" t="n">
        <f aca="false">Parameters!$E$11*IF($N93="V",Parameters!$I$11,IF($N93="F",Parameters!$J$11,Parameters!$K$11))*(1-Parameters!$L$11*$P93)*IF($D93="V1",Parameters!$M$11,IF($D93="V2",Parameters!$N$11,Parameters!$O$11))</f>
        <v>1.00170982142857</v>
      </c>
      <c r="BD93" s="40" t="n">
        <f aca="false">BC93*(1+INDEX(Response_Table!$K$4:$K$21,MATCH($F93&amp;"|mid",Response_Table!$A$4:$A$21,0))*$R93*INDEX(Parameters!$X$11:$AA$11,1,MATCH($E93,Parameters!$X$3:$AA$3,0)))</f>
        <v>1.00170982142857</v>
      </c>
      <c r="BE93" s="40" t="n">
        <f aca="false">MAX(0,MIN(BC93*(1+INDEX(Response_Table!$K$4:$K$21,MATCH($F93&amp;"|low",Response_Table!$A$4:$A$21,0))*$R93*INDEX(Parameters!$X$11:$AA$11,1,MATCH($E93,Parameters!$X$3:$AA$3,0))),BC93*(1+INDEX(Response_Table!$K$4:$K$21,MATCH($F93&amp;"|high",Response_Table!$A$4:$A$21,0))*$R93*INDEX(Parameters!$X$11:$AA$11,1,MATCH($E93,Parameters!$X$3:$AA$3,0))))*(1-Inputs_General!$C$22*Parameters!$F$11))</f>
        <v>0.836928555803572</v>
      </c>
      <c r="BF93" s="40" t="n">
        <f aca="false">MAX(BC93*(1+INDEX(Response_Table!$K$4:$K$21,MATCH($F93&amp;"|low",Response_Table!$A$4:$A$21,0))*$R93*INDEX(Parameters!$X$11:$AA$11,1,MATCH($E93,Parameters!$X$3:$AA$3,0))),BC93*(1+INDEX(Response_Table!$K$4:$K$21,MATCH($F93&amp;"|high",Response_Table!$A$4:$A$21,0))*$R93*INDEX(Parameters!$X$11:$AA$11,1,MATCH($E93,Parameters!$X$3:$AA$3,0))))*(1+Inputs_General!$C$22*Parameters!$F$11)</f>
        <v>1.16649108705357</v>
      </c>
      <c r="BG93" s="39" t="n">
        <f aca="false">IF(BC93=0,0,BD93/BC93-1)</f>
        <v>0</v>
      </c>
      <c r="BH93" s="40" t="n">
        <f aca="false">Parameters!$E$12*IF($N93="V",Parameters!$I$12,IF($N93="F",Parameters!$J$12,Parameters!$K$12))*(1-Parameters!$L$12*$P93)*IF($D93="V1",Parameters!$M$12,IF($D93="V2",Parameters!$N$12,Parameters!$O$12))</f>
        <v>0.373343142857143</v>
      </c>
      <c r="BI93" s="40" t="n">
        <f aca="false">BH93*(1+INDEX(Response_Table!$L$4:$L$21,MATCH($F93&amp;"|mid",Response_Table!$A$4:$A$21,0))*$R93*INDEX(Parameters!$X$12:$AA$12,1,MATCH($E93,Parameters!$X$3:$AA$3,0)))</f>
        <v>0.373343142857143</v>
      </c>
      <c r="BJ93" s="40" t="n">
        <f aca="false">MAX(0,MIN(BH93*(1+INDEX(Response_Table!$L$4:$L$21,MATCH($F93&amp;"|low",Response_Table!$A$4:$A$21,0))*$R93*INDEX(Parameters!$X$12:$AA$12,1,MATCH($E93,Parameters!$X$3:$AA$3,0))),BH93*(1+INDEX(Response_Table!$L$4:$L$21,MATCH($F93&amp;"|high",Response_Table!$A$4:$A$21,0))*$R93*INDEX(Parameters!$X$12:$AA$12,1,MATCH($E93,Parameters!$X$3:$AA$3,0))))*(1-Inputs_General!$C$22*Parameters!$F$12))</f>
        <v>0.299645206457143</v>
      </c>
      <c r="BK93" s="40" t="n">
        <f aca="false">MAX(BH93*(1+INDEX(Response_Table!$L$4:$L$21,MATCH($F93&amp;"|low",Response_Table!$A$4:$A$21,0))*$R93*INDEX(Parameters!$X$12:$AA$12,1,MATCH($E93,Parameters!$X$3:$AA$3,0))),BH93*(1+INDEX(Response_Table!$L$4:$L$21,MATCH($F93&amp;"|high",Response_Table!$A$4:$A$21,0))*$R93*INDEX(Parameters!$X$12:$AA$12,1,MATCH($E93,Parameters!$X$3:$AA$3,0))))*(1+Inputs_General!$C$22*Parameters!$F$12)</f>
        <v>0.447041079257143</v>
      </c>
      <c r="BL93" s="39" t="n">
        <f aca="false">IF(BH93=0,0,BI93/BH93-1)</f>
        <v>0</v>
      </c>
      <c r="BM93" s="40" t="n">
        <f aca="false">Parameters!$E$13*IF($N93="V",Parameters!$I$13,IF($N93="F",Parameters!$J$13,Parameters!$K$13))*(1-Parameters!$L$13*$P93)*IF($D93="V1",Parameters!$M$13,IF($D93="V2",Parameters!$N$13,Parameters!$O$13))</f>
        <v>0.262276071428571</v>
      </c>
      <c r="BN93" s="40" t="n">
        <f aca="false">BM93*(1+INDEX(Response_Table!$M$4:$M$21,MATCH($F93&amp;"|mid",Response_Table!$A$4:$A$21,0))*$R93*INDEX(Parameters!$X$13:$AA$13,1,MATCH($E93,Parameters!$X$3:$AA$3,0)))</f>
        <v>0.262276071428571</v>
      </c>
      <c r="BO93" s="40" t="n">
        <f aca="false">MAX(0,MIN(BM93*(1+INDEX(Response_Table!$M$4:$M$21,MATCH($F93&amp;"|low",Response_Table!$A$4:$A$21,0))*$R93*INDEX(Parameters!$X$13:$AA$13,1,MATCH($E93,Parameters!$X$3:$AA$3,0))),BM93*(1+INDEX(Response_Table!$M$4:$M$21,MATCH($F93&amp;"|high",Response_Table!$A$4:$A$21,0))*$R93*INDEX(Parameters!$X$13:$AA$13,1,MATCH($E93,Parameters!$X$3:$AA$3,0))))*(1-Inputs_General!$C$22*Parameters!$F$13))</f>
        <v>0.210502774928571</v>
      </c>
      <c r="BP93" s="40" t="n">
        <f aca="false">MAX(BM93*(1+INDEX(Response_Table!$M$4:$M$21,MATCH($F93&amp;"|low",Response_Table!$A$4:$A$21,0))*$R93*INDEX(Parameters!$X$13:$AA$13,1,MATCH($E93,Parameters!$X$3:$AA$3,0))),BM93*(1+INDEX(Response_Table!$M$4:$M$21,MATCH($F93&amp;"|high",Response_Table!$A$4:$A$21,0))*$R93*INDEX(Parameters!$X$13:$AA$13,1,MATCH($E93,Parameters!$X$3:$AA$3,0))))*(1+Inputs_General!$C$22*Parameters!$F$13)</f>
        <v>0.314049367928571</v>
      </c>
      <c r="BQ93" s="39" t="n">
        <f aca="false">IF(BM93=0,0,BN93/BM93-1)</f>
        <v>0</v>
      </c>
      <c r="BR93" s="38" t="n">
        <f aca="false">Parameters!$E$14*IF($N93="V",Parameters!$I$14,IF($N93="F",Parameters!$J$14,Parameters!$K$14))*(1-Parameters!$L$14*$P93)*IF($D93="V1",Parameters!$M$14,IF($D93="V2",Parameters!$N$14,Parameters!$O$14))*INDEX(Context!$AC$4:$AC$51,$K93)</f>
        <v>17.25</v>
      </c>
      <c r="BS93" s="38" t="n">
        <f aca="false">BR93*(1+INDEX(Response_Table!$N$4:$N$21,MATCH($F93&amp;"|mid",Response_Table!$A$4:$A$21,0))*$R93*INDEX(Parameters!$X$14:$AA$14,1,MATCH($E93,Parameters!$X$3:$AA$3,0)))</f>
        <v>17.25</v>
      </c>
      <c r="BT93" s="38" t="n">
        <f aca="false">MAX(0,MIN(BR93*(1+INDEX(Response_Table!$N$4:$N$21,MATCH($F93&amp;"|low",Response_Table!$A$4:$A$21,0))*$R93*INDEX(Parameters!$X$14:$AA$14,1,MATCH($E93,Parameters!$X$3:$AA$3,0))),BR93*(1+INDEX(Response_Table!$N$4:$N$21,MATCH($F93&amp;"|high",Response_Table!$A$4:$A$21,0))*$R93*INDEX(Parameters!$X$14:$AA$14,1,MATCH($E93,Parameters!$X$3:$AA$3,0))))*(1-Inputs_General!$C$22*Parameters!$F$14))</f>
        <v>8.737125</v>
      </c>
      <c r="BU93" s="38" t="n">
        <f aca="false">MAX(BR93*(1+INDEX(Response_Table!$N$4:$N$21,MATCH($F93&amp;"|low",Response_Table!$A$4:$A$21,0))*$R93*INDEX(Parameters!$X$14:$AA$14,1,MATCH($E93,Parameters!$X$3:$AA$3,0))),BR93*(1+INDEX(Response_Table!$N$4:$N$21,MATCH($F93&amp;"|high",Response_Table!$A$4:$A$21,0))*$R93*INDEX(Parameters!$X$14:$AA$14,1,MATCH($E93,Parameters!$X$3:$AA$3,0))))*(1+Inputs_General!$C$22*Parameters!$F$14)</f>
        <v>25.762875</v>
      </c>
      <c r="BV93" s="39" t="n">
        <f aca="false">IF(BR93=0,0,BS93/BR93-1)</f>
        <v>0</v>
      </c>
      <c r="BW93" s="37" t="n">
        <f aca="false">Parameters!$E$15*IF($N93="V",Parameters!$I$15,IF($N93="F",Parameters!$J$15,Parameters!$K$15))*(1-Parameters!$L$15*$P93)*IF($D93="V1",Parameters!$M$15,IF($D93="V2",Parameters!$N$15,Parameters!$O$15))</f>
        <v>8.04007657142857</v>
      </c>
      <c r="BX93" s="37" t="n">
        <f aca="false">BW93*(1+INDEX(Response_Table!$O$4:$O$21,MATCH($F93&amp;"|mid",Response_Table!$A$4:$A$21,0))*$R93*INDEX(Parameters!$X$15:$AA$15,1,MATCH($E93,Parameters!$X$3:$AA$3,0)))</f>
        <v>8.04007657142857</v>
      </c>
      <c r="BY93" s="37" t="n">
        <f aca="false">MAX(0,MIN(BW93*(1+INDEX(Response_Table!$O$4:$O$21,MATCH($F93&amp;"|low",Response_Table!$A$4:$A$21,0))*$R93*INDEX(Parameters!$X$15:$AA$15,1,MATCH($E93,Parameters!$X$3:$AA$3,0))),BW93*(1+INDEX(Response_Table!$O$4:$O$21,MATCH($F93&amp;"|high",Response_Table!$A$4:$A$21,0))*$R93*INDEX(Parameters!$X$15:$AA$15,1,MATCH($E93,Parameters!$X$3:$AA$3,0))))*(1-Inputs_General!$C$22*Parameters!$F$15))</f>
        <v>6.45296545622857</v>
      </c>
      <c r="BZ93" s="37" t="n">
        <f aca="false">MAX(BW93*(1+INDEX(Response_Table!$O$4:$O$21,MATCH($F93&amp;"|low",Response_Table!$A$4:$A$21,0))*$R93*INDEX(Parameters!$X$15:$AA$15,1,MATCH($E93,Parameters!$X$3:$AA$3,0))),BW93*(1+INDEX(Response_Table!$O$4:$O$21,MATCH($F93&amp;"|high",Response_Table!$A$4:$A$21,0))*$R93*INDEX(Parameters!$X$15:$AA$15,1,MATCH($E93,Parameters!$X$3:$AA$3,0))))*(1+Inputs_General!$C$22*Parameters!$F$15)</f>
        <v>9.62718768662857</v>
      </c>
      <c r="CA93" s="39" t="n">
        <f aca="false">IF(BW93=0,0,BX93/BW93-1)</f>
        <v>0</v>
      </c>
      <c r="CB93" s="40" t="n">
        <f aca="false">BD93+BI93</f>
        <v>1.37505296428571</v>
      </c>
      <c r="CC93" s="37" t="n">
        <f aca="false">BD93/BI93</f>
        <v>2.68308080808081</v>
      </c>
      <c r="CD93" s="40" t="n">
        <f aca="false">BN93/CB93</f>
        <v>0.190738886603407</v>
      </c>
      <c r="CE93" s="37" t="n">
        <f aca="false">AE93/AO93</f>
        <v>2.5092601264991</v>
      </c>
      <c r="CF93" s="38" t="n">
        <f aca="false">AE93/AJ93</f>
        <v>55.3264659580872</v>
      </c>
      <c r="CG93" s="38" t="n">
        <f aca="false">INDEX(Context!$V$4:$V$51,$K93)</f>
        <v>32.7871428571429</v>
      </c>
      <c r="CH93" s="38" t="n">
        <f aca="false">INDEX(Context!$Y$4:$Y$51,$K93)</f>
        <v>28.36912210206</v>
      </c>
      <c r="CI93" s="38" t="n">
        <f aca="false">INDEX(Context!$Z$4:$Z$51,$K93)</f>
        <v>36.7871428571429</v>
      </c>
      <c r="CJ93" s="37" t="n">
        <f aca="false">INDEX(Context!$AA$4:$AA$51,$K93)</f>
        <v>0.347678571428571</v>
      </c>
      <c r="CK93" s="37" t="n">
        <f aca="false">MAX(0,MIN(1,1-(1-CJ93)*AO93/AN93))</f>
        <v>0.347678571428571</v>
      </c>
      <c r="CL93" s="38" t="n">
        <f aca="false">CH93+CK93*(CI93-CH93)</f>
        <v>31.2958875324433</v>
      </c>
      <c r="CM93" s="38" t="n">
        <f aca="false">CH93+MAX(0,MIN(1,1-(1-CJ93)*AQ93/AN93))*(CI93-CH93)</f>
        <v>29.6699268307998</v>
      </c>
      <c r="CN93" s="38" t="n">
        <f aca="false">CH93+MAX(0,MIN(1,1-(1-CJ93)*AP93/AN93))*(CI93-CH93)</f>
        <v>32.9218482340868</v>
      </c>
      <c r="CO93" s="38" t="n">
        <f aca="false">CL93-CG93</f>
        <v>-1.49125532469956</v>
      </c>
      <c r="CP93" s="38" t="n">
        <f aca="false">CL93-(CH93+CJ93*(CI93-CH93))</f>
        <v>0</v>
      </c>
      <c r="CQ93" s="40" t="n">
        <f aca="false">CL93/CG93</f>
        <v>0.954517069962542</v>
      </c>
      <c r="CR93" s="37" t="n">
        <f aca="false">IF(CL93-CH93&lt;=0,"n/a",(CI93-CL93)/(CL93-CH93))</f>
        <v>1.87621982537237</v>
      </c>
      <c r="CS93" s="37" t="n">
        <f aca="false">IF(CI93-CL93&lt;=0,"n/a",(CL93-CH93)/(CI93-CL93))</f>
        <v>0.53298658636737</v>
      </c>
      <c r="CT93" s="37" t="n">
        <f aca="false">Inputs_General!$C$23+Inputs_General!$C$24*$I93</f>
        <v>0.6</v>
      </c>
      <c r="CU93" s="38" t="n">
        <f aca="false">3.29*CT93</f>
        <v>1.974</v>
      </c>
    </row>
    <row r="94" customFormat="false" ht="15" hidden="false" customHeight="false" outlineLevel="0" collapsed="false">
      <c r="A94" s="9" t="str">
        <f aca="false">B94&amp;"|"&amp;E94&amp;"|"&amp;F94</f>
        <v>D2V1|13/03/2026|Very low</v>
      </c>
      <c r="B94" s="7" t="s">
        <v>346</v>
      </c>
      <c r="C94" s="9" t="s">
        <v>129</v>
      </c>
      <c r="D94" s="9" t="s">
        <v>142</v>
      </c>
      <c r="E94" s="9" t="s">
        <v>164</v>
      </c>
      <c r="F94" s="7" t="s">
        <v>277</v>
      </c>
      <c r="G94" s="9" t="s">
        <v>278</v>
      </c>
      <c r="H94" s="41" t="n">
        <f aca="false">INDEX(Severity_Classes!$C$4:$C$9,MATCH(F94,Severity_Classes!$A$4:$A$9,0))</f>
        <v>0.01</v>
      </c>
      <c r="I94" s="41" t="n">
        <f aca="false">INDEX(Severity_Classes!$D$4:$D$9,MATCH(F94,Severity_Classes!$A$4:$A$9,0))</f>
        <v>0.03</v>
      </c>
      <c r="J94" s="41" t="n">
        <f aca="false">INDEX(Severity_Classes!$E$4:$E$9,MATCH(F94,Severity_Classes!$A$4:$A$9,0))</f>
        <v>0.05</v>
      </c>
      <c r="K94" s="42" t="n">
        <f aca="false">MATCH(B94&amp;"|"&amp;E94,Context!$A$4:$A$51,0)</f>
        <v>16</v>
      </c>
      <c r="L94" s="42" t="n">
        <f aca="false">INDEX(Context!$H$4:$H$51,K94)</f>
        <v>85</v>
      </c>
      <c r="M94" s="42" t="n">
        <f aca="false">INDEX(Context!$I$4:$I$51,K94)</f>
        <v>36</v>
      </c>
      <c r="N94" s="9" t="str">
        <f aca="false">INDEX(Context!$L$4:$L$51,K94)</f>
        <v>P</v>
      </c>
      <c r="O94" s="9" t="str">
        <f aca="false">INDEX(Context!$M$4:$M$51,K94)</f>
        <v>5th fully expanded leaf from top</v>
      </c>
      <c r="P94" s="43" t="n">
        <f aca="false">INDEX(Context!$R$4:$R$51,K94)</f>
        <v>0.953571428571428</v>
      </c>
      <c r="Q94" s="43" t="n">
        <f aca="false">INDEX(Context!$U$4:$U$51,K94)</f>
        <v>2.18945736698217</v>
      </c>
      <c r="R94" s="43" t="n">
        <f aca="false">INDEX(Context!$AD$4:$AD$51,K94)</f>
        <v>1</v>
      </c>
      <c r="S94" s="9" t="str">
        <f aca="false">INDEX(Context!$AI$4:$AN$51,K94,MATCH(F94,Severity_Classes!$A$4:$A$9,0))</f>
        <v>Unlikely</v>
      </c>
      <c r="T94" s="44" t="n">
        <f aca="false">Parameters!$E$4*IF($N94="V",Parameters!$I$4,IF($N94="F",Parameters!$J$4,Parameters!$K$4))*(1-Parameters!$L$4*$P94)*IF($D94="V1",Parameters!$M$4,IF($D94="V2",Parameters!$N$4,Parameters!$O$4))</f>
        <v>77.8046607142857</v>
      </c>
      <c r="U94" s="44" t="n">
        <f aca="false">MIN(100,T94*(1+INDEX(Response_Table!$E$4:$E$21,MATCH($F94&amp;"|mid",Response_Table!$A$4:$A$21,0))*$R94*INDEX(Parameters!$X$4:$AA$4,1,MATCH($E94,Parameters!$X$3:$AA$3,0))))</f>
        <v>77.4692184616707</v>
      </c>
      <c r="V94" s="44" t="n">
        <f aca="false">MAX(0,MIN(T94*(1+INDEX(Response_Table!$E$4:$E$21,MATCH($F94&amp;"|low",Response_Table!$A$4:$A$21,0))*$R94*INDEX(Parameters!$X$4:$AA$4,1,MATCH($E94,Parameters!$X$3:$AA$3,0))),T94*(1+INDEX(Response_Table!$E$4:$E$21,MATCH($F94&amp;"|high",Response_Table!$A$4:$A$21,0))*$R94*INDEX(Parameters!$X$4:$AA$4,1,MATCH($E94,Parameters!$X$3:$AA$3,0))))*(1-Inputs_General!$C$22*Parameters!$F$4))</f>
        <v>72.1214543768349</v>
      </c>
      <c r="W94" s="44" t="n">
        <f aca="false">MIN(100,MAX(T94*(1+INDEX(Response_Table!$E$4:$E$21,MATCH($F94&amp;"|low",Response_Table!$A$4:$A$21,0))*$R94*INDEX(Parameters!$X$4:$AA$4,1,MATCH($E94,Parameters!$X$3:$AA$3,0))),T94*(1+INDEX(Response_Table!$E$4:$E$21,MATCH($F94&amp;"|high",Response_Table!$A$4:$A$21,0))*$R94*INDEX(Parameters!$X$4:$AA$4,1,MATCH($E94,Parameters!$X$3:$AA$3,0))))*(1+Inputs_General!$C$22*Parameters!$F$4))</f>
        <v>82.8137156855909</v>
      </c>
      <c r="X94" s="45" t="n">
        <f aca="false">IF(T94=0,0,U94/T94-1)</f>
        <v>-0.00431133880072865</v>
      </c>
      <c r="Y94" s="44" t="n">
        <f aca="false">Parameters!$E$5*IF($N94="V",Parameters!$I$5,IF($N94="F",Parameters!$J$5,Parameters!$K$5))*(1-Parameters!$L$5*$P94)*IF($D94="V1",Parameters!$M$5,IF($D94="V2",Parameters!$N$5,Parameters!$O$5))</f>
        <v>58.6602514285714</v>
      </c>
      <c r="Z94" s="44" t="n">
        <f aca="false">MIN(100,Y94*(1+INDEX(Response_Table!$F$4:$F$21,MATCH($F94&amp;"|mid",Response_Table!$A$4:$A$21,0))*$R94*INDEX(Parameters!$X$5:$AA$5,1,MATCH($E94,Parameters!$X$3:$AA$3,0))))</f>
        <v>57.8529256016008</v>
      </c>
      <c r="AA94" s="44" t="n">
        <f aca="false">MAX(0,MIN(Y94*(1+INDEX(Response_Table!$F$4:$F$21,MATCH($F94&amp;"|low",Response_Table!$A$4:$A$21,0))*$R94*INDEX(Parameters!$X$5:$AA$5,1,MATCH($E94,Parameters!$X$3:$AA$3,0))),Y94*(1+INDEX(Response_Table!$F$4:$F$21,MATCH($F94&amp;"|high",Response_Table!$A$4:$A$21,0))*$R94*INDEX(Parameters!$X$5:$AA$5,1,MATCH($E94,Parameters!$X$3:$AA$3,0))))*(1-Inputs_General!$C$22*Parameters!$F$5))</f>
        <v>50.6028057101609</v>
      </c>
      <c r="AB94" s="44" t="n">
        <f aca="false">MIN(100,MAX(Y94*(1+INDEX(Response_Table!$F$4:$F$21,MATCH($F94&amp;"|low",Response_Table!$A$4:$A$21,0))*$R94*INDEX(Parameters!$X$5:$AA$5,1,MATCH($E94,Parameters!$X$3:$AA$3,0))),Y94*(1+INDEX(Response_Table!$F$4:$F$21,MATCH($F94&amp;"|high",Response_Table!$A$4:$A$21,0))*$R94*INDEX(Parameters!$X$5:$AA$5,1,MATCH($E94,Parameters!$X$3:$AA$3,0))))*(1+Inputs_General!$C$22*Parameters!$F$5))</f>
        <v>65.1405704099803</v>
      </c>
      <c r="AC94" s="45" t="n">
        <f aca="false">IF(Y94=0,0,Z94/Y94-1)</f>
        <v>-0.0137627406516267</v>
      </c>
      <c r="AD94" s="44" t="n">
        <f aca="false">Parameters!$E$6*IF($N94="V",Parameters!$I$6,IF($N94="F",Parameters!$J$6,Parameters!$K$6))*(1-Parameters!$L$6*$P94)*IF($D94="V1",Parameters!$M$6,IF($D94="V2",Parameters!$N$6,Parameters!$O$6))</f>
        <v>14.3019785714286</v>
      </c>
      <c r="AE94" s="44" t="n">
        <f aca="false">AD94*(1+INDEX(Response_Table!$G$4:$G$21,MATCH($F94&amp;"|mid",Response_Table!$A$4:$A$21,0))*$R94*INDEX(Parameters!$X$6:$AA$6,1,MATCH($E94,Parameters!$X$3:$AA$3,0)))</f>
        <v>12.9755522425243</v>
      </c>
      <c r="AF94" s="44" t="n">
        <f aca="false">MAX(0,MIN(AD94*(1+INDEX(Response_Table!$G$4:$G$21,MATCH($F94&amp;"|low",Response_Table!$A$4:$A$21,0))*$R94*INDEX(Parameters!$X$6:$AA$6,1,MATCH($E94,Parameters!$X$3:$AA$3,0))),AD94*(1+INDEX(Response_Table!$G$4:$G$21,MATCH($F94&amp;"|high",Response_Table!$A$4:$A$21,0))*$R94*INDEX(Parameters!$X$6:$AA$6,1,MATCH($E94,Parameters!$X$3:$AA$3,0))))*(1-Inputs_General!$C$22*Parameters!$F$6))</f>
        <v>9.77863732430461</v>
      </c>
      <c r="AG94" s="44" t="n">
        <f aca="false">MAX(AD94*(1+INDEX(Response_Table!$G$4:$G$21,MATCH($F94&amp;"|low",Response_Table!$A$4:$A$21,0))*$R94*INDEX(Parameters!$X$6:$AA$6,1,MATCH($E94,Parameters!$X$3:$AA$3,0))),AD94*(1+INDEX(Response_Table!$G$4:$G$21,MATCH($F94&amp;"|high",Response_Table!$A$4:$A$21,0))*$R94*INDEX(Parameters!$X$6:$AA$6,1,MATCH($E94,Parameters!$X$3:$AA$3,0))))*(1+Inputs_General!$C$22*Parameters!$F$6)</f>
        <v>16.5723104263805</v>
      </c>
      <c r="AH94" s="45" t="n">
        <f aca="false">IF(AD94=0,0,AE94/AD94-1)</f>
        <v>-0.0927442536904701</v>
      </c>
      <c r="AI94" s="46" t="n">
        <f aca="false">Parameters!$E$7*IF($N94="V",Parameters!$I$7,IF($N94="F",Parameters!$J$7,Parameters!$K$7))*(1-Parameters!$L$7*$P94)*IF($D94="V1",Parameters!$M$7,IF($D94="V2",Parameters!$N$7,Parameters!$O$7))*POWER($Q94/Inputs_General!$C$26,-Inputs_General!$C$25)</f>
        <v>0.258501574676089</v>
      </c>
      <c r="AJ94" s="46" t="n">
        <f aca="false">AI94*(1+INDEX(Response_Table!$H$4:$H$21,MATCH($F94&amp;"|mid",Response_Table!$A$4:$A$21,0))*$R94*INDEX(Parameters!$X$7:$AA$7,1,MATCH($E94,Parameters!$X$3:$AA$3,0)))</f>
        <v>0.244039773986459</v>
      </c>
      <c r="AK94" s="46" t="n">
        <f aca="false">MAX(0,MIN(AI94*(1+INDEX(Response_Table!$H$4:$H$21,MATCH($F94&amp;"|low",Response_Table!$A$4:$A$21,0))*$R94*INDEX(Parameters!$X$7:$AA$7,1,MATCH($E94,Parameters!$X$3:$AA$3,0))),AI94*(1+INDEX(Response_Table!$H$4:$H$21,MATCH($F94&amp;"|high",Response_Table!$A$4:$A$21,0))*$R94*INDEX(Parameters!$X$7:$AA$7,1,MATCH($E94,Parameters!$X$3:$AA$3,0))))*(1-Inputs_General!$C$22*Parameters!$F$7))</f>
        <v>0.165484700761211</v>
      </c>
      <c r="AL94" s="46" t="n">
        <f aca="false">MAX(AI94*(1+INDEX(Response_Table!$H$4:$H$21,MATCH($F94&amp;"|low",Response_Table!$A$4:$A$21,0))*$R94*INDEX(Parameters!$X$7:$AA$7,1,MATCH($E94,Parameters!$X$3:$AA$3,0))),AI94*(1+INDEX(Response_Table!$H$4:$H$21,MATCH($F94&amp;"|high",Response_Table!$A$4:$A$21,0))*$R94*INDEX(Parameters!$X$7:$AA$7,1,MATCH($E94,Parameters!$X$3:$AA$3,0))))*(1+Inputs_General!$C$22*Parameters!$F$7)</f>
        <v>0.328607562705257</v>
      </c>
      <c r="AM94" s="45" t="n">
        <f aca="false">IF(AI94=0,0,AJ94/AI94-1)</f>
        <v>-0.0559447295737017</v>
      </c>
      <c r="AN94" s="43" t="n">
        <f aca="false">AI94*$Q94/Inputs_General!$C$13*1000</f>
        <v>5.69967952720096</v>
      </c>
      <c r="AO94" s="43" t="n">
        <f aca="false">AJ94*$Q94/Inputs_General!$C$13*1000*(1+Inputs_General!$C$21*$I94)</f>
        <v>5.4211685911254</v>
      </c>
      <c r="AP94" s="43" t="n">
        <f aca="false">AK94*$Q94/Inputs_General!$C$13*1000*(1+Inputs_General!$C$21*$H94)</f>
        <v>3.65788017570477</v>
      </c>
      <c r="AQ94" s="43" t="n">
        <f aca="false">AL94*$Q94/Inputs_General!$C$13*1000*(1+Inputs_General!$C$21*$J94)</f>
        <v>7.33600858130634</v>
      </c>
      <c r="AR94" s="45" t="n">
        <f aca="false">IF(AN94=0,0,AO94/AN94-1)</f>
        <v>-0.0488643150455044</v>
      </c>
      <c r="AS94" s="42" t="n">
        <f aca="false">Parameters!$E$9*IF($N94="V",Parameters!$I$9,IF($N94="F",Parameters!$J$9,Parameters!$K$9))*(1-Parameters!$L$9*$P94)*IF($D94="V1",Parameters!$M$9,IF($D94="V2",Parameters!$N$9,Parameters!$O$9))</f>
        <v>293.55</v>
      </c>
      <c r="AT94" s="42" t="n">
        <f aca="false">AS94*(1+INDEX(Response_Table!$I$4:$I$21,MATCH($F94&amp;"|mid",Response_Table!$A$4:$A$21,0))*$R94*INDEX(Parameters!$X$9:$AA$9,1,MATCH($E94,Parameters!$X$3:$AA$3,0)))</f>
        <v>303.508351740504</v>
      </c>
      <c r="AU94" s="42" t="n">
        <f aca="false">MAX(0,MIN(AS94*(1+INDEX(Response_Table!$I$4:$I$21,MATCH($F94&amp;"|low",Response_Table!$A$4:$A$21,0))*$R94*INDEX(Parameters!$X$9:$AA$9,1,MATCH($E94,Parameters!$X$3:$AA$3,0))),AS94*(1+INDEX(Response_Table!$I$4:$I$21,MATCH($F94&amp;"|high",Response_Table!$A$4:$A$21,0))*$R94*INDEX(Parameters!$X$9:$AA$9,1,MATCH($E94,Parameters!$X$3:$AA$3,0))))*(1-Inputs_General!$C$22*Parameters!$F$9))</f>
        <v>267.688874238399</v>
      </c>
      <c r="AV94" s="42" t="n">
        <f aca="false">MAX(AS94*(1+INDEX(Response_Table!$I$4:$I$21,MATCH($F94&amp;"|low",Response_Table!$A$4:$A$21,0))*$R94*INDEX(Parameters!$X$9:$AA$9,1,MATCH($E94,Parameters!$X$3:$AA$3,0))),AS94*(1+INDEX(Response_Table!$I$4:$I$21,MATCH($F94&amp;"|high",Response_Table!$A$4:$A$21,0))*$R94*INDEX(Parameters!$X$9:$AA$9,1,MATCH($E94,Parameters!$X$3:$AA$3,0))))*(1+Inputs_General!$C$22*Parameters!$F$9)</f>
        <v>340.062456334107</v>
      </c>
      <c r="AW94" s="45" t="n">
        <f aca="false">IF(AS94=0,0,AT94/AS94-1)</f>
        <v>0.0339238689848527</v>
      </c>
      <c r="AX94" s="43" t="n">
        <f aca="false">INDEX(Context!$AB$4:$AB$51,$K94)</f>
        <v>2.93383375883642</v>
      </c>
      <c r="AY94" s="43" t="n">
        <f aca="false">AX94*(1+INDEX(Response_Table!$J$4:$J$21,MATCH($F94&amp;"|mid",Response_Table!$A$4:$A$21,0))*$R94*INDEX(Parameters!$X$10:$AA$10,1,MATCH($E94,Parameters!$X$3:$AA$3,0)))</f>
        <v>2.83843888923912</v>
      </c>
      <c r="AZ94" s="43" t="n">
        <f aca="false">MAX(0,MIN(AX94*(1+INDEX(Response_Table!$J$4:$J$21,MATCH($F94&amp;"|low",Response_Table!$A$4:$A$21,0))*$R94*INDEX(Parameters!$X$10:$AA$10,1,MATCH($E94,Parameters!$X$3:$AA$3,0))),AX94*(1+INDEX(Response_Table!$J$4:$J$21,MATCH($F94&amp;"|high",Response_Table!$A$4:$A$21,0))*$R94*INDEX(Parameters!$X$10:$AA$10,1,MATCH($E94,Parameters!$X$3:$AA$3,0))))*(1-Inputs_General!$C$22*Parameters!$F$10))</f>
        <v>2.23018719598652</v>
      </c>
      <c r="BA94" s="43" t="n">
        <f aca="false">MAX(AX94*(1+INDEX(Response_Table!$J$4:$J$21,MATCH($F94&amp;"|low",Response_Table!$A$4:$A$21,0))*$R94*INDEX(Parameters!$X$10:$AA$10,1,MATCH($E94,Parameters!$X$3:$AA$3,0))),AX94*(1+INDEX(Response_Table!$J$4:$J$21,MATCH($F94&amp;"|high",Response_Table!$A$4:$A$21,0))*$R94*INDEX(Parameters!$X$10:$AA$10,1,MATCH($E94,Parameters!$X$3:$AA$3,0))))*(1+Inputs_General!$C$22*Parameters!$F$10)</f>
        <v>3.47394152232469</v>
      </c>
      <c r="BB94" s="45" t="n">
        <f aca="false">IF(AX94=0,0,AY94/AX94-1)</f>
        <v>-0.0325154311521512</v>
      </c>
      <c r="BC94" s="46" t="n">
        <f aca="false">Parameters!$E$11*IF($N94="V",Parameters!$I$11,IF($N94="F",Parameters!$J$11,Parameters!$K$11))*(1-Parameters!$L$11*$P94)*IF($D94="V1",Parameters!$M$11,IF($D94="V2",Parameters!$N$11,Parameters!$O$11))</f>
        <v>1.00170982142857</v>
      </c>
      <c r="BD94" s="46" t="n">
        <f aca="false">BC94*(1+INDEX(Response_Table!$K$4:$K$21,MATCH($F94&amp;"|mid",Response_Table!$A$4:$A$21,0))*$R94*INDEX(Parameters!$X$11:$AA$11,1,MATCH($E94,Parameters!$X$3:$AA$3,0)))</f>
        <v>0.942109700251803</v>
      </c>
      <c r="BE94" s="46" t="n">
        <f aca="false">MAX(0,MIN(BC94*(1+INDEX(Response_Table!$K$4:$K$21,MATCH($F94&amp;"|low",Response_Table!$A$4:$A$21,0))*$R94*INDEX(Parameters!$X$11:$AA$11,1,MATCH($E94,Parameters!$X$3:$AA$3,0))),BC94*(1+INDEX(Response_Table!$K$4:$K$21,MATCH($F94&amp;"|high",Response_Table!$A$4:$A$21,0))*$R94*INDEX(Parameters!$X$11:$AA$11,1,MATCH($E94,Parameters!$X$3:$AA$3,0))))*(1-Inputs_General!$C$22*Parameters!$F$11))</f>
        <v>0.756494250444959</v>
      </c>
      <c r="BF94" s="46" t="n">
        <f aca="false">MAX(BC94*(1+INDEX(Response_Table!$K$4:$K$21,MATCH($F94&amp;"|low",Response_Table!$A$4:$A$21,0))*$R94*INDEX(Parameters!$X$11:$AA$11,1,MATCH($E94,Parameters!$X$3:$AA$3,0))),BC94*(1+INDEX(Response_Table!$K$4:$K$21,MATCH($F94&amp;"|high",Response_Table!$A$4:$A$21,0))*$R94*INDEX(Parameters!$X$11:$AA$11,1,MATCH($E94,Parameters!$X$3:$AA$3,0))))*(1+Inputs_General!$C$22*Parameters!$F$11)</f>
        <v>1.14261217270502</v>
      </c>
      <c r="BG94" s="45" t="n">
        <f aca="false">IF(BC94=0,0,BD94/BC94-1)</f>
        <v>-0.0594983895553409</v>
      </c>
      <c r="BH94" s="46" t="n">
        <f aca="false">Parameters!$E$12*IF($N94="V",Parameters!$I$12,IF($N94="F",Parameters!$J$12,Parameters!$K$12))*(1-Parameters!$L$12*$P94)*IF($D94="V1",Parameters!$M$12,IF($D94="V2",Parameters!$N$12,Parameters!$O$12))</f>
        <v>0.373343142857143</v>
      </c>
      <c r="BI94" s="46" t="n">
        <f aca="false">BH94*(1+INDEX(Response_Table!$L$4:$L$21,MATCH($F94&amp;"|mid",Response_Table!$A$4:$A$21,0))*$R94*INDEX(Parameters!$X$12:$AA$12,1,MATCH($E94,Parameters!$X$3:$AA$3,0)))</f>
        <v>0.355669881871087</v>
      </c>
      <c r="BJ94" s="46" t="n">
        <f aca="false">MAX(0,MIN(BH94*(1+INDEX(Response_Table!$L$4:$L$21,MATCH($F94&amp;"|low",Response_Table!$A$4:$A$21,0))*$R94*INDEX(Parameters!$X$12:$AA$12,1,MATCH($E94,Parameters!$X$3:$AA$3,0))),BH94*(1+INDEX(Response_Table!$L$4:$L$21,MATCH($F94&amp;"|high",Response_Table!$A$4:$A$21,0))*$R94*INDEX(Parameters!$X$12:$AA$12,1,MATCH($E94,Parameters!$X$3:$AA$3,0))))*(1-Inputs_General!$C$22*Parameters!$F$12))</f>
        <v>0.276689203518072</v>
      </c>
      <c r="BK94" s="46" t="n">
        <f aca="false">MAX(BH94*(1+INDEX(Response_Table!$L$4:$L$21,MATCH($F94&amp;"|low",Response_Table!$A$4:$A$21,0))*$R94*INDEX(Parameters!$X$12:$AA$12,1,MATCH($E94,Parameters!$X$3:$AA$3,0))),BH94*(1+INDEX(Response_Table!$L$4:$L$21,MATCH($F94&amp;"|high",Response_Table!$A$4:$A$21,0))*$R94*INDEX(Parameters!$X$12:$AA$12,1,MATCH($E94,Parameters!$X$3:$AA$3,0))))*(1+Inputs_General!$C$22*Parameters!$F$12)</f>
        <v>0.439774445938504</v>
      </c>
      <c r="BL94" s="45" t="n">
        <f aca="false">IF(BH94=0,0,BI94/BH94-1)</f>
        <v>-0.0473378481008245</v>
      </c>
      <c r="BM94" s="46" t="n">
        <f aca="false">Parameters!$E$13*IF($N94="V",Parameters!$I$13,IF($N94="F",Parameters!$J$13,Parameters!$K$13))*(1-Parameters!$L$13*$P94)*IF($D94="V1",Parameters!$M$13,IF($D94="V2",Parameters!$N$13,Parameters!$O$13))</f>
        <v>0.262276071428571</v>
      </c>
      <c r="BN94" s="46" t="n">
        <f aca="false">BM94*(1+INDEX(Response_Table!$M$4:$M$21,MATCH($F94&amp;"|mid",Response_Table!$A$4:$A$21,0))*$R94*INDEX(Parameters!$X$13:$AA$13,1,MATCH($E94,Parameters!$X$3:$AA$3,0)))</f>
        <v>0.269091329657061</v>
      </c>
      <c r="BO94" s="46" t="n">
        <f aca="false">MAX(0,MIN(BM94*(1+INDEX(Response_Table!$M$4:$M$21,MATCH($F94&amp;"|low",Response_Table!$A$4:$A$21,0))*$R94*INDEX(Parameters!$X$13:$AA$13,1,MATCH($E94,Parameters!$X$3:$AA$3,0))),BM94*(1+INDEX(Response_Table!$M$4:$M$21,MATCH($F94&amp;"|high",Response_Table!$A$4:$A$21,0))*$R94*INDEX(Parameters!$X$13:$AA$13,1,MATCH($E94,Parameters!$X$3:$AA$3,0))))*(1-Inputs_General!$C$22*Parameters!$F$13))</f>
        <v>0.213191788849957</v>
      </c>
      <c r="BP94" s="46" t="n">
        <f aca="false">MAX(BM94*(1+INDEX(Response_Table!$M$4:$M$21,MATCH($F94&amp;"|low",Response_Table!$A$4:$A$21,0))*$R94*INDEX(Parameters!$X$13:$AA$13,1,MATCH($E94,Parameters!$X$3:$AA$3,0))),BM94*(1+INDEX(Response_Table!$M$4:$M$21,MATCH($F94&amp;"|high",Response_Table!$A$4:$A$21,0))*$R94*INDEX(Parameters!$X$13:$AA$13,1,MATCH($E94,Parameters!$X$3:$AA$3,0))))*(1+Inputs_General!$C$22*Parameters!$F$13)</f>
        <v>0.322440532791779</v>
      </c>
      <c r="BQ94" s="45" t="n">
        <f aca="false">IF(BM94=0,0,BN94/BM94-1)</f>
        <v>0.0259850553326055</v>
      </c>
      <c r="BR94" s="44" t="n">
        <f aca="false">Parameters!$E$14*IF($N94="V",Parameters!$I$14,IF($N94="F",Parameters!$J$14,Parameters!$K$14))*(1-Parameters!$L$14*$P94)*IF($D94="V1",Parameters!$M$14,IF($D94="V2",Parameters!$N$14,Parameters!$O$14))*INDEX(Context!$AC$4:$AC$51,$K94)</f>
        <v>17.25</v>
      </c>
      <c r="BS94" s="44" t="n">
        <f aca="false">BR94*(1+INDEX(Response_Table!$N$4:$N$21,MATCH($F94&amp;"|mid",Response_Table!$A$4:$A$21,0))*$R94*INDEX(Parameters!$X$14:$AA$14,1,MATCH($E94,Parameters!$X$3:$AA$3,0)))</f>
        <v>18.1408122324428</v>
      </c>
      <c r="BT94" s="44" t="n">
        <f aca="false">MAX(0,MIN(BR94*(1+INDEX(Response_Table!$N$4:$N$21,MATCH($F94&amp;"|low",Response_Table!$A$4:$A$21,0))*$R94*INDEX(Parameters!$X$14:$AA$14,1,MATCH($E94,Parameters!$X$3:$AA$3,0))),BR94*(1+INDEX(Response_Table!$N$4:$N$21,MATCH($F94&amp;"|high",Response_Table!$A$4:$A$21,0))*$R94*INDEX(Parameters!$X$14:$AA$14,1,MATCH($E94,Parameters!$X$3:$AA$3,0))))*(1-Inputs_General!$C$22*Parameters!$F$14))</f>
        <v>8.89205764061699</v>
      </c>
      <c r="BU94" s="44" t="n">
        <f aca="false">MAX(BR94*(1+INDEX(Response_Table!$N$4:$N$21,MATCH($F94&amp;"|low",Response_Table!$A$4:$A$21,0))*$R94*INDEX(Parameters!$X$14:$AA$14,1,MATCH($E94,Parameters!$X$3:$AA$3,0))),BR94*(1+INDEX(Response_Table!$N$4:$N$21,MATCH($F94&amp;"|high",Response_Table!$A$4:$A$21,0))*$R94*INDEX(Parameters!$X$14:$AA$14,1,MATCH($E94,Parameters!$X$3:$AA$3,0))))*(1+Inputs_General!$C$22*Parameters!$F$14)</f>
        <v>27.916012795115</v>
      </c>
      <c r="BV94" s="45" t="n">
        <f aca="false">IF(BR94=0,0,BS94/BR94-1)</f>
        <v>0.051641288837263</v>
      </c>
      <c r="BW94" s="43" t="n">
        <f aca="false">Parameters!$E$15*IF($N94="V",Parameters!$I$15,IF($N94="F",Parameters!$J$15,Parameters!$K$15))*(1-Parameters!$L$15*$P94)*IF($D94="V1",Parameters!$M$15,IF($D94="V2",Parameters!$N$15,Parameters!$O$15))</f>
        <v>8.04007657142857</v>
      </c>
      <c r="BX94" s="43" t="n">
        <f aca="false">BW94*(1+INDEX(Response_Table!$O$4:$O$21,MATCH($F94&amp;"|mid",Response_Table!$A$4:$A$21,0))*$R94*INDEX(Parameters!$X$15:$AA$15,1,MATCH($E94,Parameters!$X$3:$AA$3,0)))</f>
        <v>7.93627659230386</v>
      </c>
      <c r="BY94" s="43" t="n">
        <f aca="false">MAX(0,MIN(BW94*(1+INDEX(Response_Table!$O$4:$O$21,MATCH($F94&amp;"|low",Response_Table!$A$4:$A$21,0))*$R94*INDEX(Parameters!$X$15:$AA$15,1,MATCH($E94,Parameters!$X$3:$AA$3,0))),BW94*(1+INDEX(Response_Table!$O$4:$O$21,MATCH($F94&amp;"|high",Response_Table!$A$4:$A$21,0))*$R94*INDEX(Parameters!$X$15:$AA$15,1,MATCH($E94,Parameters!$X$3:$AA$3,0))))*(1-Inputs_General!$C$22*Parameters!$F$15))</f>
        <v>6.31813846375998</v>
      </c>
      <c r="BZ94" s="43" t="n">
        <f aca="false">MAX(BW94*(1+INDEX(Response_Table!$O$4:$O$21,MATCH($F94&amp;"|low",Response_Table!$A$4:$A$21,0))*$R94*INDEX(Parameters!$X$15:$AA$15,1,MATCH($E94,Parameters!$X$3:$AA$3,0))),BW94*(1+INDEX(Response_Table!$O$4:$O$21,MATCH($F94&amp;"|high",Response_Table!$A$4:$A$21,0))*$R94*INDEX(Parameters!$X$15:$AA$15,1,MATCH($E94,Parameters!$X$3:$AA$3,0))))*(1+Inputs_General!$C$22*Parameters!$F$15)</f>
        <v>9.58450872730257</v>
      </c>
      <c r="CA94" s="45" t="n">
        <f aca="false">IF(BW94=0,0,BX94/BW94-1)</f>
        <v>-0.0129103222093158</v>
      </c>
      <c r="CB94" s="46" t="n">
        <f aca="false">BD94+BI94</f>
        <v>1.29777958212289</v>
      </c>
      <c r="CC94" s="43" t="n">
        <f aca="false">BD94/BI94</f>
        <v>2.64883181925781</v>
      </c>
      <c r="CD94" s="46" t="n">
        <f aca="false">BN94/CB94</f>
        <v>0.207347482857517</v>
      </c>
      <c r="CE94" s="43" t="n">
        <f aca="false">AE94/AO94</f>
        <v>2.39349727358889</v>
      </c>
      <c r="CF94" s="44" t="n">
        <f aca="false">AE94/AJ94</f>
        <v>53.169825682777</v>
      </c>
      <c r="CG94" s="44" t="n">
        <f aca="false">INDEX(Context!$V$4:$V$51,$K94)</f>
        <v>32.7871428571429</v>
      </c>
      <c r="CH94" s="44" t="n">
        <f aca="false">INDEX(Context!$Y$4:$Y$51,$K94)</f>
        <v>28.36912210206</v>
      </c>
      <c r="CI94" s="44" t="n">
        <f aca="false">INDEX(Context!$Z$4:$Z$51,$K94)</f>
        <v>36.7871428571429</v>
      </c>
      <c r="CJ94" s="43" t="n">
        <f aca="false">INDEX(Context!$AA$4:$AA$51,$K94)</f>
        <v>0.347678571428571</v>
      </c>
      <c r="CK94" s="43" t="n">
        <f aca="false">MAX(0,MIN(1,1-(1-CJ94)*AO94/AN94))</f>
        <v>0.379553811225219</v>
      </c>
      <c r="CL94" s="44" t="n">
        <f aca="false">CH94+CK94*(CI94-CH94)</f>
        <v>31.5642139626247</v>
      </c>
      <c r="CM94" s="44" t="n">
        <f aca="false">CH94+MAX(0,MIN(1,1-(1-CJ94)*AQ94/AN94))*(CI94-CH94)</f>
        <v>29.7193952773201</v>
      </c>
      <c r="CN94" s="44" t="n">
        <f aca="false">CH94+MAX(0,MIN(1,1-(1-CJ94)*AP94/AN94))*(CI94-CH94)</f>
        <v>33.2630229665258</v>
      </c>
      <c r="CO94" s="44" t="n">
        <f aca="false">CL94-CG94</f>
        <v>-1.22292889451814</v>
      </c>
      <c r="CP94" s="44" t="n">
        <f aca="false">CL94-(CH94+CJ94*(CI94-CH94))</f>
        <v>0.268326430181421</v>
      </c>
      <c r="CQ94" s="46" t="n">
        <f aca="false">CL94/CG94</f>
        <v>0.962700961781069</v>
      </c>
      <c r="CR94" s="43" t="n">
        <f aca="false">IF(CL94-CH94&lt;=0,"n/a",(CI94-CL94)/(CL94-CH94))</f>
        <v>1.6346725297579</v>
      </c>
      <c r="CS94" s="43" t="n">
        <f aca="false">IF(CI94-CL94&lt;=0,"n/a",(CL94-CH94)/(CI94-CL94))</f>
        <v>0.61174331971438</v>
      </c>
      <c r="CT94" s="43" t="n">
        <f aca="false">Inputs_General!$C$23+Inputs_General!$C$24*$I94</f>
        <v>0.66</v>
      </c>
      <c r="CU94" s="44" t="n">
        <f aca="false">3.29*CT94</f>
        <v>2.1714</v>
      </c>
    </row>
    <row r="95" customFormat="false" ht="15" hidden="false" customHeight="false" outlineLevel="0" collapsed="false">
      <c r="A95" s="9" t="str">
        <f aca="false">B95&amp;"|"&amp;E95&amp;"|"&amp;F95</f>
        <v>D2V1|13/03/2026|Low</v>
      </c>
      <c r="B95" s="7" t="s">
        <v>346</v>
      </c>
      <c r="C95" s="9" t="s">
        <v>129</v>
      </c>
      <c r="D95" s="9" t="s">
        <v>142</v>
      </c>
      <c r="E95" s="9" t="s">
        <v>164</v>
      </c>
      <c r="F95" s="7" t="s">
        <v>279</v>
      </c>
      <c r="G95" s="9" t="s">
        <v>280</v>
      </c>
      <c r="H95" s="41" t="n">
        <f aca="false">INDEX(Severity_Classes!$C$4:$C$9,MATCH(F95,Severity_Classes!$A$4:$A$9,0))</f>
        <v>0.06</v>
      </c>
      <c r="I95" s="41" t="n">
        <f aca="false">INDEX(Severity_Classes!$D$4:$D$9,MATCH(F95,Severity_Classes!$A$4:$A$9,0))</f>
        <v>0.08</v>
      </c>
      <c r="J95" s="41" t="n">
        <f aca="false">INDEX(Severity_Classes!$E$4:$E$9,MATCH(F95,Severity_Classes!$A$4:$A$9,0))</f>
        <v>0.1</v>
      </c>
      <c r="K95" s="42" t="n">
        <f aca="false">MATCH(B95&amp;"|"&amp;E95,Context!$A$4:$A$51,0)</f>
        <v>16</v>
      </c>
      <c r="L95" s="42" t="n">
        <f aca="false">INDEX(Context!$H$4:$H$51,K95)</f>
        <v>85</v>
      </c>
      <c r="M95" s="42" t="n">
        <f aca="false">INDEX(Context!$I$4:$I$51,K95)</f>
        <v>36</v>
      </c>
      <c r="N95" s="9" t="str">
        <f aca="false">INDEX(Context!$L$4:$L$51,K95)</f>
        <v>P</v>
      </c>
      <c r="O95" s="9" t="str">
        <f aca="false">INDEX(Context!$M$4:$M$51,K95)</f>
        <v>5th fully expanded leaf from top</v>
      </c>
      <c r="P95" s="43" t="n">
        <f aca="false">INDEX(Context!$R$4:$R$51,K95)</f>
        <v>0.953571428571428</v>
      </c>
      <c r="Q95" s="43" t="n">
        <f aca="false">INDEX(Context!$U$4:$U$51,K95)</f>
        <v>2.18945736698217</v>
      </c>
      <c r="R95" s="43" t="n">
        <f aca="false">INDEX(Context!$AD$4:$AD$51,K95)</f>
        <v>1</v>
      </c>
      <c r="S95" s="9" t="str">
        <f aca="false">INDEX(Context!$AI$4:$AN$51,K95,MATCH(F95,Severity_Classes!$A$4:$A$9,0))</f>
        <v>Possible</v>
      </c>
      <c r="T95" s="44" t="n">
        <f aca="false">Parameters!$E$4*IF($N95="V",Parameters!$I$4,IF($N95="F",Parameters!$J$4,Parameters!$K$4))*(1-Parameters!$L$4*$P95)*IF($D95="V1",Parameters!$M$4,IF($D95="V2",Parameters!$N$4,Parameters!$O$4))</f>
        <v>77.8046607142857</v>
      </c>
      <c r="U95" s="44" t="n">
        <f aca="false">MIN(100,T95*(1+INDEX(Response_Table!$E$4:$E$21,MATCH($F95&amp;"|mid",Response_Table!$A$4:$A$21,0))*$R95*INDEX(Parameters!$X$4:$AA$4,1,MATCH($E95,Parameters!$X$3:$AA$3,0))))</f>
        <v>76.7217268030843</v>
      </c>
      <c r="V95" s="44" t="n">
        <f aca="false">MAX(0,MIN(T95*(1+INDEX(Response_Table!$E$4:$E$21,MATCH($F95&amp;"|low",Response_Table!$A$4:$A$21,0))*$R95*INDEX(Parameters!$X$4:$AA$4,1,MATCH($E95,Parameters!$X$3:$AA$3,0))),T95*(1+INDEX(Response_Table!$E$4:$E$21,MATCH($F95&amp;"|high",Response_Table!$A$4:$A$21,0))*$R95*INDEX(Parameters!$X$4:$AA$4,1,MATCH($E95,Parameters!$X$3:$AA$3,0))))*(1-Inputs_General!$C$22*Parameters!$F$4))</f>
        <v>71.3199693255272</v>
      </c>
      <c r="W95" s="44" t="n">
        <f aca="false">MIN(100,MAX(T95*(1+INDEX(Response_Table!$E$4:$E$21,MATCH($F95&amp;"|low",Response_Table!$A$4:$A$21,0))*$R95*INDEX(Parameters!$X$4:$AA$4,1,MATCH($E95,Parameters!$X$3:$AA$3,0))),T95*(1+INDEX(Response_Table!$E$4:$E$21,MATCH($F95&amp;"|high",Response_Table!$A$4:$A$21,0))*$R95*INDEX(Parameters!$X$4:$AA$4,1,MATCH($E95,Parameters!$X$3:$AA$3,0))))*(1+Inputs_General!$C$22*Parameters!$F$4))</f>
        <v>82.1224306233185</v>
      </c>
      <c r="X95" s="45" t="n">
        <f aca="false">IF(T95=0,0,U95/T95-1)</f>
        <v>-0.0139186251987928</v>
      </c>
      <c r="Y95" s="44" t="n">
        <f aca="false">Parameters!$E$5*IF($N95="V",Parameters!$I$5,IF($N95="F",Parameters!$J$5,Parameters!$K$5))*(1-Parameters!$L$5*$P95)*IF($D95="V1",Parameters!$M$5,IF($D95="V2",Parameters!$N$5,Parameters!$O$5))</f>
        <v>58.6602514285714</v>
      </c>
      <c r="Z95" s="44" t="n">
        <f aca="false">MIN(100,Y95*(1+INDEX(Response_Table!$F$4:$F$21,MATCH($F95&amp;"|mid",Response_Table!$A$4:$A$21,0))*$R95*INDEX(Parameters!$X$5:$AA$5,1,MATCH($E95,Parameters!$X$3:$AA$3,0))))</f>
        <v>55.9648646381072</v>
      </c>
      <c r="AA95" s="44" t="n">
        <f aca="false">MAX(0,MIN(Y95*(1+INDEX(Response_Table!$F$4:$F$21,MATCH($F95&amp;"|low",Response_Table!$A$4:$A$21,0))*$R95*INDEX(Parameters!$X$5:$AA$5,1,MATCH($E95,Parameters!$X$3:$AA$3,0))),Y95*(1+INDEX(Response_Table!$F$4:$F$21,MATCH($F95&amp;"|high",Response_Table!$A$4:$A$21,0))*$R95*INDEX(Parameters!$X$5:$AA$5,1,MATCH($E95,Parameters!$X$3:$AA$3,0))))*(1-Inputs_General!$C$22*Parameters!$F$5))</f>
        <v>48.6475756046601</v>
      </c>
      <c r="AB95" s="44" t="n">
        <f aca="false">MIN(100,MAX(Y95*(1+INDEX(Response_Table!$F$4:$F$21,MATCH($F95&amp;"|low",Response_Table!$A$4:$A$21,0))*$R95*INDEX(Parameters!$X$5:$AA$5,1,MATCH($E95,Parameters!$X$3:$AA$3,0))),Y95*(1+INDEX(Response_Table!$F$4:$F$21,MATCH($F95&amp;"|high",Response_Table!$A$4:$A$21,0))*$R95*INDEX(Parameters!$X$5:$AA$5,1,MATCH($E95,Parameters!$X$3:$AA$3,0))))*(1+Inputs_General!$C$22*Parameters!$F$5))</f>
        <v>63.354120882343</v>
      </c>
      <c r="AC95" s="45" t="n">
        <f aca="false">IF(Y95=0,0,Z95/Y95-1)</f>
        <v>-0.0459491175851214</v>
      </c>
      <c r="AD95" s="44" t="n">
        <f aca="false">Parameters!$E$6*IF($N95="V",Parameters!$I$6,IF($N95="F",Parameters!$J$6,Parameters!$K$6))*(1-Parameters!$L$6*$P95)*IF($D95="V1",Parameters!$M$6,IF($D95="V2",Parameters!$N$6,Parameters!$O$6))</f>
        <v>14.3019785714286</v>
      </c>
      <c r="AE95" s="44" t="n">
        <f aca="false">AD95*(1+INDEX(Response_Table!$G$4:$G$21,MATCH($F95&amp;"|mid",Response_Table!$A$4:$A$21,0))*$R95*INDEX(Parameters!$X$6:$AA$6,1,MATCH($E95,Parameters!$X$3:$AA$3,0)))</f>
        <v>11.1192175685201</v>
      </c>
      <c r="AF95" s="44" t="n">
        <f aca="false">MAX(0,MIN(AD95*(1+INDEX(Response_Table!$G$4:$G$21,MATCH($F95&amp;"|low",Response_Table!$A$4:$A$21,0))*$R95*INDEX(Parameters!$X$6:$AA$6,1,MATCH($E95,Parameters!$X$3:$AA$3,0))),AD95*(1+INDEX(Response_Table!$G$4:$G$21,MATCH($F95&amp;"|high",Response_Table!$A$4:$A$21,0))*$R95*INDEX(Parameters!$X$6:$AA$6,1,MATCH($E95,Parameters!$X$3:$AA$3,0))))*(1-Inputs_General!$C$22*Parameters!$F$6))</f>
        <v>8.41425049691995</v>
      </c>
      <c r="AG95" s="44" t="n">
        <f aca="false">MAX(AD95*(1+INDEX(Response_Table!$G$4:$G$21,MATCH($F95&amp;"|low",Response_Table!$A$4:$A$21,0))*$R95*INDEX(Parameters!$X$6:$AA$6,1,MATCH($E95,Parameters!$X$3:$AA$3,0))),AD95*(1+INDEX(Response_Table!$G$4:$G$21,MATCH($F95&amp;"|high",Response_Table!$A$4:$A$21,0))*$R95*INDEX(Parameters!$X$6:$AA$6,1,MATCH($E95,Parameters!$X$3:$AA$3,0))))*(1+Inputs_General!$C$22*Parameters!$F$6)</f>
        <v>14.1450663770323</v>
      </c>
      <c r="AH95" s="45" t="n">
        <f aca="false">IF(AD95=0,0,AE95/AD95-1)</f>
        <v>-0.222539908517744</v>
      </c>
      <c r="AI95" s="46" t="n">
        <f aca="false">Parameters!$E$7*IF($N95="V",Parameters!$I$7,IF($N95="F",Parameters!$J$7,Parameters!$K$7))*(1-Parameters!$L$7*$P95)*IF($D95="V1",Parameters!$M$7,IF($D95="V2",Parameters!$N$7,Parameters!$O$7))*POWER($Q95/Inputs_General!$C$26,-Inputs_General!$C$25)</f>
        <v>0.258501574676089</v>
      </c>
      <c r="AJ95" s="46" t="n">
        <f aca="false">AI95*(1+INDEX(Response_Table!$H$4:$H$21,MATCH($F95&amp;"|mid",Response_Table!$A$4:$A$21,0))*$R95*INDEX(Parameters!$X$7:$AA$7,1,MATCH($E95,Parameters!$X$3:$AA$3,0)))</f>
        <v>0.222649502636993</v>
      </c>
      <c r="AK95" s="46" t="n">
        <f aca="false">MAX(0,MIN(AI95*(1+INDEX(Response_Table!$H$4:$H$21,MATCH($F95&amp;"|low",Response_Table!$A$4:$A$21,0))*$R95*INDEX(Parameters!$X$7:$AA$7,1,MATCH($E95,Parameters!$X$3:$AA$3,0))),AI95*(1+INDEX(Response_Table!$H$4:$H$21,MATCH($F95&amp;"|high",Response_Table!$A$4:$A$21,0))*$R95*INDEX(Parameters!$X$7:$AA$7,1,MATCH($E95,Parameters!$X$3:$AA$3,0))))*(1-Inputs_General!$C$22*Parameters!$F$7))</f>
        <v>0.151304917580951</v>
      </c>
      <c r="AL95" s="46" t="n">
        <f aca="false">MAX(AI95*(1+INDEX(Response_Table!$H$4:$H$21,MATCH($F95&amp;"|low",Response_Table!$A$4:$A$21,0))*$R95*INDEX(Parameters!$X$7:$AA$7,1,MATCH($E95,Parameters!$X$3:$AA$3,0))),AI95*(1+INDEX(Response_Table!$H$4:$H$21,MATCH($F95&amp;"|high",Response_Table!$A$4:$A$21,0))*$R95*INDEX(Parameters!$X$7:$AA$7,1,MATCH($E95,Parameters!$X$3:$AA$3,0))))*(1+Inputs_General!$C$22*Parameters!$F$7)</f>
        <v>0.299169279878308</v>
      </c>
      <c r="AM95" s="45" t="n">
        <f aca="false">IF(AI95=0,0,AJ95/AI95-1)</f>
        <v>-0.13869189030674</v>
      </c>
      <c r="AN95" s="43" t="n">
        <f aca="false">AI95*$Q95/Inputs_General!$C$13*1000</f>
        <v>5.69967952720096</v>
      </c>
      <c r="AO95" s="43" t="n">
        <f aca="false">AJ95*$Q95/Inputs_General!$C$13*1000*(1+Inputs_General!$C$21*$I95)</f>
        <v>5.00736380341944</v>
      </c>
      <c r="AP95" s="43" t="n">
        <f aca="false">AK95*$Q95/Inputs_General!$C$13*1000*(1+Inputs_General!$C$21*$H95)</f>
        <v>3.38615107205555</v>
      </c>
      <c r="AQ95" s="43" t="n">
        <f aca="false">AL95*$Q95/Inputs_General!$C$13*1000*(1+Inputs_General!$C$21*$J95)</f>
        <v>6.76126730513012</v>
      </c>
      <c r="AR95" s="45" t="n">
        <f aca="false">IF(AN95=0,0,AO95/AN95-1)</f>
        <v>-0.121465728112875</v>
      </c>
      <c r="AS95" s="42" t="n">
        <f aca="false">Parameters!$E$9*IF($N95="V",Parameters!$I$9,IF($N95="F",Parameters!$J$9,Parameters!$K$9))*(1-Parameters!$L$9*$P95)*IF($D95="V1",Parameters!$M$9,IF($D95="V2",Parameters!$N$9,Parameters!$O$9))</f>
        <v>293.55</v>
      </c>
      <c r="AT95" s="42" t="n">
        <f aca="false">AS95*(1+INDEX(Response_Table!$I$4:$I$21,MATCH($F95&amp;"|mid",Response_Table!$A$4:$A$21,0))*$R95*INDEX(Parameters!$X$9:$AA$9,1,MATCH($E95,Parameters!$X$3:$AA$3,0)))</f>
        <v>317.666685050105</v>
      </c>
      <c r="AU95" s="42" t="n">
        <f aca="false">MAX(0,MIN(AS95*(1+INDEX(Response_Table!$I$4:$I$21,MATCH($F95&amp;"|low",Response_Table!$A$4:$A$21,0))*$R95*INDEX(Parameters!$X$9:$AA$9,1,MATCH($E95,Parameters!$X$3:$AA$3,0))),AS95*(1+INDEX(Response_Table!$I$4:$I$21,MATCH($F95&amp;"|high",Response_Table!$A$4:$A$21,0))*$R95*INDEX(Parameters!$X$9:$AA$9,1,MATCH($E95,Parameters!$X$3:$AA$3,0))))*(1-Inputs_General!$C$22*Parameters!$F$9))</f>
        <v>281.512598476296</v>
      </c>
      <c r="AV95" s="42" t="n">
        <f aca="false">MAX(AS95*(1+INDEX(Response_Table!$I$4:$I$21,MATCH($F95&amp;"|low",Response_Table!$A$4:$A$21,0))*$R95*INDEX(Parameters!$X$9:$AA$9,1,MATCH($E95,Parameters!$X$3:$AA$3,0))),AS95*(1+INDEX(Response_Table!$I$4:$I$21,MATCH($F95&amp;"|high",Response_Table!$A$4:$A$21,0))*$R95*INDEX(Parameters!$X$9:$AA$9,1,MATCH($E95,Parameters!$X$3:$AA$3,0))))*(1+Inputs_General!$C$22*Parameters!$F$9)</f>
        <v>354.422233415769</v>
      </c>
      <c r="AW95" s="45" t="n">
        <f aca="false">IF(AS95=0,0,AT95/AS95-1)</f>
        <v>0.0821552888778927</v>
      </c>
      <c r="AX95" s="43" t="n">
        <f aca="false">INDEX(Context!$AB$4:$AB$51,$K95)</f>
        <v>2.93383375883642</v>
      </c>
      <c r="AY95" s="43" t="n">
        <f aca="false">AX95*(1+INDEX(Response_Table!$J$4:$J$21,MATCH($F95&amp;"|mid",Response_Table!$A$4:$A$21,0))*$R95*INDEX(Parameters!$X$10:$AA$10,1,MATCH($E95,Parameters!$X$3:$AA$3,0)))</f>
        <v>2.69451753261002</v>
      </c>
      <c r="AZ95" s="43" t="n">
        <f aca="false">MAX(0,MIN(AX95*(1+INDEX(Response_Table!$J$4:$J$21,MATCH($F95&amp;"|low",Response_Table!$A$4:$A$21,0))*$R95*INDEX(Parameters!$X$10:$AA$10,1,MATCH($E95,Parameters!$X$3:$AA$3,0))),AX95*(1+INDEX(Response_Table!$J$4:$J$21,MATCH($F95&amp;"|high",Response_Table!$A$4:$A$21,0))*$R95*INDEX(Parameters!$X$10:$AA$10,1,MATCH($E95,Parameters!$X$3:$AA$3,0))))*(1-Inputs_General!$C$22*Parameters!$F$10))</f>
        <v>2.12030946679876</v>
      </c>
      <c r="BA95" s="43" t="n">
        <f aca="false">MAX(AX95*(1+INDEX(Response_Table!$J$4:$J$21,MATCH($F95&amp;"|low",Response_Table!$A$4:$A$21,0))*$R95*INDEX(Parameters!$X$10:$AA$10,1,MATCH($E95,Parameters!$X$3:$AA$3,0))),AX95*(1+INDEX(Response_Table!$J$4:$J$21,MATCH($F95&amp;"|high",Response_Table!$A$4:$A$21,0))*$R95*INDEX(Parameters!$X$10:$AA$10,1,MATCH($E95,Parameters!$X$3:$AA$3,0))))*(1+Inputs_General!$C$22*Parameters!$F$10)</f>
        <v>3.29277446841638</v>
      </c>
      <c r="BB95" s="45" t="n">
        <f aca="false">IF(AX95=0,0,AY95/AX95-1)</f>
        <v>-0.0815711611149081</v>
      </c>
      <c r="BC95" s="46" t="n">
        <f aca="false">Parameters!$E$11*IF($N95="V",Parameters!$I$11,IF($N95="F",Parameters!$J$11,Parameters!$K$11))*(1-Parameters!$L$11*$P95)*IF($D95="V1",Parameters!$M$11,IF($D95="V2",Parameters!$N$11,Parameters!$O$11))</f>
        <v>1.00170982142857</v>
      </c>
      <c r="BD95" s="46" t="n">
        <f aca="false">BC95*(1+INDEX(Response_Table!$K$4:$K$21,MATCH($F95&amp;"|mid",Response_Table!$A$4:$A$21,0))*$R95*INDEX(Parameters!$X$11:$AA$11,1,MATCH($E95,Parameters!$X$3:$AA$3,0)))</f>
        <v>0.85465108615751</v>
      </c>
      <c r="BE95" s="46" t="n">
        <f aca="false">MAX(0,MIN(BC95*(1+INDEX(Response_Table!$K$4:$K$21,MATCH($F95&amp;"|low",Response_Table!$A$4:$A$21,0))*$R95*INDEX(Parameters!$X$11:$AA$11,1,MATCH($E95,Parameters!$X$3:$AA$3,0))),BC95*(1+INDEX(Response_Table!$K$4:$K$21,MATCH($F95&amp;"|high",Response_Table!$A$4:$A$21,0))*$R95*INDEX(Parameters!$X$11:$AA$11,1,MATCH($E95,Parameters!$X$3:$AA$3,0))))*(1-Inputs_General!$C$22*Parameters!$F$11))</f>
        <v>0.687952656713805</v>
      </c>
      <c r="BF95" s="46" t="n">
        <f aca="false">MAX(BC95*(1+INDEX(Response_Table!$K$4:$K$21,MATCH($F95&amp;"|low",Response_Table!$A$4:$A$21,0))*$R95*INDEX(Parameters!$X$11:$AA$11,1,MATCH($E95,Parameters!$X$3:$AA$3,0))),BC95*(1+INDEX(Response_Table!$K$4:$K$21,MATCH($F95&amp;"|high",Response_Table!$A$4:$A$21,0))*$R95*INDEX(Parameters!$X$11:$AA$11,1,MATCH($E95,Parameters!$X$3:$AA$3,0))))*(1+Inputs_General!$C$22*Parameters!$F$11)</f>
        <v>1.03403539948552</v>
      </c>
      <c r="BG95" s="45" t="n">
        <f aca="false">IF(BC95=0,0,BD95/BC95-1)</f>
        <v>-0.146807720285039</v>
      </c>
      <c r="BH95" s="46" t="n">
        <f aca="false">Parameters!$E$12*IF($N95="V",Parameters!$I$12,IF($N95="F",Parameters!$J$12,Parameters!$K$12))*(1-Parameters!$L$12*$P95)*IF($D95="V1",Parameters!$M$12,IF($D95="V2",Parameters!$N$12,Parameters!$O$12))</f>
        <v>0.373343142857143</v>
      </c>
      <c r="BI95" s="46" t="n">
        <f aca="false">BH95*(1+INDEX(Response_Table!$L$4:$L$21,MATCH($F95&amp;"|mid",Response_Table!$A$4:$A$21,0))*$R95*INDEX(Parameters!$X$12:$AA$12,1,MATCH($E95,Parameters!$X$3:$AA$3,0)))</f>
        <v>0.329529579135983</v>
      </c>
      <c r="BJ95" s="46" t="n">
        <f aca="false">MAX(0,MIN(BH95*(1+INDEX(Response_Table!$L$4:$L$21,MATCH($F95&amp;"|low",Response_Table!$A$4:$A$21,0))*$R95*INDEX(Parameters!$X$12:$AA$12,1,MATCH($E95,Parameters!$X$3:$AA$3,0))),BH95*(1+INDEX(Response_Table!$L$4:$L$21,MATCH($F95&amp;"|high",Response_Table!$A$4:$A$21,0))*$R95*INDEX(Parameters!$X$12:$AA$12,1,MATCH($E95,Parameters!$X$3:$AA$3,0))))*(1-Inputs_General!$C$22*Parameters!$F$12))</f>
        <v>0.256930788681577</v>
      </c>
      <c r="BK95" s="46" t="n">
        <f aca="false">MAX(BH95*(1+INDEX(Response_Table!$L$4:$L$21,MATCH($F95&amp;"|low",Response_Table!$A$4:$A$21,0))*$R95*INDEX(Parameters!$X$12:$AA$12,1,MATCH($E95,Parameters!$X$3:$AA$3,0))),BH95*(1+INDEX(Response_Table!$L$4:$L$21,MATCH($F95&amp;"|high",Response_Table!$A$4:$A$21,0))*$R95*INDEX(Parameters!$X$12:$AA$12,1,MATCH($E95,Parameters!$X$3:$AA$3,0))))*(1+Inputs_General!$C$22*Parameters!$F$12)</f>
        <v>0.406538538895065</v>
      </c>
      <c r="BL95" s="45" t="n">
        <f aca="false">IF(BH95=0,0,BI95/BH95-1)</f>
        <v>-0.117354676413396</v>
      </c>
      <c r="BM95" s="46" t="n">
        <f aca="false">Parameters!$E$13*IF($N95="V",Parameters!$I$13,IF($N95="F",Parameters!$J$13,Parameters!$K$13))*(1-Parameters!$L$13*$P95)*IF($D95="V1",Parameters!$M$13,IF($D95="V2",Parameters!$N$13,Parameters!$O$13))</f>
        <v>0.262276071428571</v>
      </c>
      <c r="BN95" s="46" t="n">
        <f aca="false">BM95*(1+INDEX(Response_Table!$M$4:$M$21,MATCH($F95&amp;"|mid",Response_Table!$A$4:$A$21,0))*$R95*INDEX(Parameters!$X$13:$AA$13,1,MATCH($E95,Parameters!$X$3:$AA$3,0)))</f>
        <v>0.265518686251243</v>
      </c>
      <c r="BO95" s="46" t="n">
        <f aca="false">MAX(0,MIN(BM95*(1+INDEX(Response_Table!$M$4:$M$21,MATCH($F95&amp;"|low",Response_Table!$A$4:$A$21,0))*$R95*INDEX(Parameters!$X$13:$AA$13,1,MATCH($E95,Parameters!$X$3:$AA$3,0))),BM95*(1+INDEX(Response_Table!$M$4:$M$21,MATCH($F95&amp;"|high",Response_Table!$A$4:$A$21,0))*$R95*INDEX(Parameters!$X$13:$AA$13,1,MATCH($E95,Parameters!$X$3:$AA$3,0))))*(1-Inputs_General!$C$22*Parameters!$F$13))</f>
        <v>0.209729658918459</v>
      </c>
      <c r="BP95" s="46" t="n">
        <f aca="false">MAX(BM95*(1+INDEX(Response_Table!$M$4:$M$21,MATCH($F95&amp;"|low",Response_Table!$A$4:$A$21,0))*$R95*INDEX(Parameters!$X$13:$AA$13,1,MATCH($E95,Parameters!$X$3:$AA$3,0))),BM95*(1+INDEX(Response_Table!$M$4:$M$21,MATCH($F95&amp;"|high",Response_Table!$A$4:$A$21,0))*$R95*INDEX(Parameters!$X$13:$AA$13,1,MATCH($E95,Parameters!$X$3:$AA$3,0))))*(1+Inputs_General!$C$22*Parameters!$F$13)</f>
        <v>0.321466449735721</v>
      </c>
      <c r="BQ95" s="45" t="n">
        <f aca="false">IF(BM95=0,0,BN95/BM95-1)</f>
        <v>0.012363365079435</v>
      </c>
      <c r="BR95" s="44" t="n">
        <f aca="false">Parameters!$E$14*IF($N95="V",Parameters!$I$14,IF($N95="F",Parameters!$J$14,Parameters!$K$14))*(1-Parameters!$L$14*$P95)*IF($D95="V1",Parameters!$M$14,IF($D95="V2",Parameters!$N$14,Parameters!$O$14))*INDEX(Context!$AC$4:$AC$51,$K95)</f>
        <v>17.25</v>
      </c>
      <c r="BS95" s="44" t="n">
        <f aca="false">BR95*(1+INDEX(Response_Table!$N$4:$N$21,MATCH($F95&amp;"|mid",Response_Table!$A$4:$A$21,0))*$R95*INDEX(Parameters!$X$14:$AA$14,1,MATCH($E95,Parameters!$X$3:$AA$3,0)))</f>
        <v>19.4584016379612</v>
      </c>
      <c r="BT95" s="44" t="n">
        <f aca="false">MAX(0,MIN(BR95*(1+INDEX(Response_Table!$N$4:$N$21,MATCH($F95&amp;"|low",Response_Table!$A$4:$A$21,0))*$R95*INDEX(Parameters!$X$14:$AA$14,1,MATCH($E95,Parameters!$X$3:$AA$3,0))),BR95*(1+INDEX(Response_Table!$N$4:$N$21,MATCH($F95&amp;"|high",Response_Table!$A$4:$A$21,0))*$R95*INDEX(Parameters!$X$14:$AA$14,1,MATCH($E95,Parameters!$X$3:$AA$3,0))))*(1-Inputs_General!$C$22*Parameters!$F$14))</f>
        <v>9.60068385247397</v>
      </c>
      <c r="BU95" s="44" t="n">
        <f aca="false">MAX(BR95*(1+INDEX(Response_Table!$N$4:$N$21,MATCH($F95&amp;"|low",Response_Table!$A$4:$A$21,0))*$R95*INDEX(Parameters!$X$14:$AA$14,1,MATCH($E95,Parameters!$X$3:$AA$3,0))),BR95*(1+INDEX(Response_Table!$N$4:$N$21,MATCH($F95&amp;"|high",Response_Table!$A$4:$A$21,0))*$R95*INDEX(Parameters!$X$14:$AA$14,1,MATCH($E95,Parameters!$X$3:$AA$3,0))))*(1+Inputs_General!$C$22*Parameters!$F$14)</f>
        <v>29.7692356697127</v>
      </c>
      <c r="BV95" s="45" t="n">
        <f aca="false">IF(BR95=0,0,BS95/BR95-1)</f>
        <v>0.128023283360068</v>
      </c>
      <c r="BW95" s="43" t="n">
        <f aca="false">Parameters!$E$15*IF($N95="V",Parameters!$I$15,IF($N95="F",Parameters!$J$15,Parameters!$K$15))*(1-Parameters!$L$15*$P95)*IF($D95="V1",Parameters!$M$15,IF($D95="V2",Parameters!$N$15,Parameters!$O$15))</f>
        <v>8.04007657142857</v>
      </c>
      <c r="BX95" s="43" t="n">
        <f aca="false">BW95*(1+INDEX(Response_Table!$O$4:$O$21,MATCH($F95&amp;"|mid",Response_Table!$A$4:$A$21,0))*$R95*INDEX(Parameters!$X$15:$AA$15,1,MATCH($E95,Parameters!$X$3:$AA$3,0)))</f>
        <v>7.78274732114341</v>
      </c>
      <c r="BY95" s="43" t="n">
        <f aca="false">MAX(0,MIN(BW95*(1+INDEX(Response_Table!$O$4:$O$21,MATCH($F95&amp;"|low",Response_Table!$A$4:$A$21,0))*$R95*INDEX(Parameters!$X$15:$AA$15,1,MATCH($E95,Parameters!$X$3:$AA$3,0))),BW95*(1+INDEX(Response_Table!$O$4:$O$21,MATCH($F95&amp;"|high",Response_Table!$A$4:$A$21,0))*$R95*INDEX(Parameters!$X$15:$AA$15,1,MATCH($E95,Parameters!$X$3:$AA$3,0))))*(1-Inputs_General!$C$22*Parameters!$F$15))</f>
        <v>6.20209179590486</v>
      </c>
      <c r="BZ95" s="43" t="n">
        <f aca="false">MAX(BW95*(1+INDEX(Response_Table!$O$4:$O$21,MATCH($F95&amp;"|low",Response_Table!$A$4:$A$21,0))*$R95*INDEX(Parameters!$X$15:$AA$15,1,MATCH($E95,Parameters!$X$3:$AA$3,0))),BW95*(1+INDEX(Response_Table!$O$4:$O$21,MATCH($F95&amp;"|high",Response_Table!$A$4:$A$21,0))*$R95*INDEX(Parameters!$X$15:$AA$15,1,MATCH($E95,Parameters!$X$3:$AA$3,0))))*(1+Inputs_General!$C$22*Parameters!$F$15)</f>
        <v>9.38930499778022</v>
      </c>
      <c r="CA95" s="45" t="n">
        <f aca="false">IF(BW95=0,0,BX95/BW95-1)</f>
        <v>-0.032005820840017</v>
      </c>
      <c r="CB95" s="46" t="n">
        <f aca="false">BD95+BI95</f>
        <v>1.18418066529349</v>
      </c>
      <c r="CC95" s="43" t="n">
        <f aca="false">BD95/BI95</f>
        <v>2.59354892631606</v>
      </c>
      <c r="CD95" s="46" t="n">
        <f aca="false">BN95/CB95</f>
        <v>0.224221433462972</v>
      </c>
      <c r="CE95" s="43" t="n">
        <f aca="false">AE95/AO95</f>
        <v>2.22057314088643</v>
      </c>
      <c r="CF95" s="44" t="n">
        <f aca="false">AE95/AJ95</f>
        <v>49.9404554549975</v>
      </c>
      <c r="CG95" s="44" t="n">
        <f aca="false">INDEX(Context!$V$4:$V$51,$K95)</f>
        <v>32.7871428571429</v>
      </c>
      <c r="CH95" s="44" t="n">
        <f aca="false">INDEX(Context!$Y$4:$Y$51,$K95)</f>
        <v>28.36912210206</v>
      </c>
      <c r="CI95" s="44" t="n">
        <f aca="false">INDEX(Context!$Z$4:$Z$51,$K95)</f>
        <v>36.7871428571429</v>
      </c>
      <c r="CJ95" s="43" t="n">
        <f aca="false">INDEX(Context!$AA$4:$AA$51,$K95)</f>
        <v>0.347678571428571</v>
      </c>
      <c r="CK95" s="43" t="n">
        <f aca="false">MAX(0,MIN(1,1-(1-CJ95)*AO95/AN95))</f>
        <v>0.426913268713631</v>
      </c>
      <c r="CL95" s="44" t="n">
        <f aca="false">CH95+CK95*(CI95-CH95)</f>
        <v>31.9628868587116</v>
      </c>
      <c r="CM95" s="44" t="n">
        <f aca="false">CH95+MAX(0,MIN(1,1-(1-CJ95)*AQ95/AN95))*(CI95-CH95)</f>
        <v>30.2731195837596</v>
      </c>
      <c r="CN95" s="44" t="n">
        <f aca="false">CH95+MAX(0,MIN(1,1-(1-CJ95)*AP95/AN95))*(CI95-CH95)</f>
        <v>33.5248155603319</v>
      </c>
      <c r="CO95" s="44" t="n">
        <f aca="false">CL95-CG95</f>
        <v>-0.824255998431227</v>
      </c>
      <c r="CP95" s="44" t="n">
        <f aca="false">CL95-(CH95+CJ95*(CI95-CH95))</f>
        <v>0.666999326268332</v>
      </c>
      <c r="CQ95" s="46" t="n">
        <f aca="false">CL95/CG95</f>
        <v>0.974860389573358</v>
      </c>
      <c r="CR95" s="43" t="n">
        <f aca="false">IF(CL95-CH95&lt;=0,"n/a",(CI95-CL95)/(CL95-CH95))</f>
        <v>1.34239615698333</v>
      </c>
      <c r="CS95" s="43" t="n">
        <f aca="false">IF(CI95-CL95&lt;=0,"n/a",(CL95-CH95)/(CI95-CL95))</f>
        <v>0.744936578369852</v>
      </c>
      <c r="CT95" s="43" t="n">
        <f aca="false">Inputs_General!$C$23+Inputs_General!$C$24*$I95</f>
        <v>0.76</v>
      </c>
      <c r="CU95" s="44" t="n">
        <f aca="false">3.29*CT95</f>
        <v>2.5004</v>
      </c>
    </row>
    <row r="96" customFormat="false" ht="15" hidden="false" customHeight="false" outlineLevel="0" collapsed="false">
      <c r="A96" s="9" t="str">
        <f aca="false">B96&amp;"|"&amp;E96&amp;"|"&amp;F96</f>
        <v>D2V1|13/03/2026|Moderate</v>
      </c>
      <c r="B96" s="7" t="s">
        <v>346</v>
      </c>
      <c r="C96" s="9" t="s">
        <v>129</v>
      </c>
      <c r="D96" s="9" t="s">
        <v>142</v>
      </c>
      <c r="E96" s="9" t="s">
        <v>164</v>
      </c>
      <c r="F96" s="7" t="s">
        <v>281</v>
      </c>
      <c r="G96" s="9" t="s">
        <v>282</v>
      </c>
      <c r="H96" s="41" t="n">
        <f aca="false">INDEX(Severity_Classes!$C$4:$C$9,MATCH(F96,Severity_Classes!$A$4:$A$9,0))</f>
        <v>0.11</v>
      </c>
      <c r="I96" s="41" t="n">
        <f aca="false">INDEX(Severity_Classes!$D$4:$D$9,MATCH(F96,Severity_Classes!$A$4:$A$9,0))</f>
        <v>0.18</v>
      </c>
      <c r="J96" s="41" t="n">
        <f aca="false">INDEX(Severity_Classes!$E$4:$E$9,MATCH(F96,Severity_Classes!$A$4:$A$9,0))</f>
        <v>0.25</v>
      </c>
      <c r="K96" s="42" t="n">
        <f aca="false">MATCH(B96&amp;"|"&amp;E96,Context!$A$4:$A$51,0)</f>
        <v>16</v>
      </c>
      <c r="L96" s="42" t="n">
        <f aca="false">INDEX(Context!$H$4:$H$51,K96)</f>
        <v>85</v>
      </c>
      <c r="M96" s="42" t="n">
        <f aca="false">INDEX(Context!$I$4:$I$51,K96)</f>
        <v>36</v>
      </c>
      <c r="N96" s="9" t="str">
        <f aca="false">INDEX(Context!$L$4:$L$51,K96)</f>
        <v>P</v>
      </c>
      <c r="O96" s="9" t="str">
        <f aca="false">INDEX(Context!$M$4:$M$51,K96)</f>
        <v>5th fully expanded leaf from top</v>
      </c>
      <c r="P96" s="43" t="n">
        <f aca="false">INDEX(Context!$R$4:$R$51,K96)</f>
        <v>0.953571428571428</v>
      </c>
      <c r="Q96" s="43" t="n">
        <f aca="false">INDEX(Context!$U$4:$U$51,K96)</f>
        <v>2.18945736698217</v>
      </c>
      <c r="R96" s="43" t="n">
        <f aca="false">INDEX(Context!$AD$4:$AD$51,K96)</f>
        <v>1</v>
      </c>
      <c r="S96" s="9" t="str">
        <f aca="false">INDEX(Context!$AI$4:$AN$51,K96,MATCH(F96,Severity_Classes!$A$4:$A$9,0))</f>
        <v>Likely</v>
      </c>
      <c r="T96" s="44" t="n">
        <f aca="false">Parameters!$E$4*IF($N96="V",Parameters!$I$4,IF($N96="F",Parameters!$J$4,Parameters!$K$4))*(1-Parameters!$L$4*$P96)*IF($D96="V1",Parameters!$M$4,IF($D96="V2",Parameters!$N$4,Parameters!$O$4))</f>
        <v>77.8046607142857</v>
      </c>
      <c r="U96" s="44" t="n">
        <f aca="false">MIN(100,T96*(1+INDEX(Response_Table!$E$4:$E$21,MATCH($F96&amp;"|mid",Response_Table!$A$4:$A$21,0))*$R96*INDEX(Parameters!$X$4:$AA$4,1,MATCH($E96,Parameters!$X$3:$AA$3,0))))</f>
        <v>74.2653324067678</v>
      </c>
      <c r="V96" s="44" t="n">
        <f aca="false">MAX(0,MIN(T96*(1+INDEX(Response_Table!$E$4:$E$21,MATCH($F96&amp;"|low",Response_Table!$A$4:$A$21,0))*$R96*INDEX(Parameters!$X$4:$AA$4,1,MATCH($E96,Parameters!$X$3:$AA$3,0))),T96*(1+INDEX(Response_Table!$E$4:$E$21,MATCH($F96&amp;"|high",Response_Table!$A$4:$A$21,0))*$R96*INDEX(Parameters!$X$4:$AA$4,1,MATCH($E96,Parameters!$X$3:$AA$3,0))))*(1-Inputs_General!$C$22*Parameters!$F$4))</f>
        <v>66.9018456132673</v>
      </c>
      <c r="W96" s="44" t="n">
        <f aca="false">MIN(100,MAX(T96*(1+INDEX(Response_Table!$E$4:$E$21,MATCH($F96&amp;"|low",Response_Table!$A$4:$A$21,0))*$R96*INDEX(Parameters!$X$4:$AA$4,1,MATCH($E96,Parameters!$X$3:$AA$3,0))),T96*(1+INDEX(Response_Table!$E$4:$E$21,MATCH($F96&amp;"|high",Response_Table!$A$4:$A$21,0))*$R96*INDEX(Parameters!$X$4:$AA$4,1,MATCH($E96,Parameters!$X$3:$AA$3,0))))*(1+Inputs_General!$C$22*Parameters!$F$4))</f>
        <v>81.1444961390223</v>
      </c>
      <c r="X96" s="45" t="n">
        <f aca="false">IF(T96=0,0,U96/T96-1)</f>
        <v>-0.0454899266319667</v>
      </c>
      <c r="Y96" s="44" t="n">
        <f aca="false">Parameters!$E$5*IF($N96="V",Parameters!$I$5,IF($N96="F",Parameters!$J$5,Parameters!$K$5))*(1-Parameters!$L$5*$P96)*IF($D96="V1",Parameters!$M$5,IF($D96="V2",Parameters!$N$5,Parameters!$O$5))</f>
        <v>58.6602514285714</v>
      </c>
      <c r="Z96" s="44" t="n">
        <f aca="false">MIN(100,Y96*(1+INDEX(Response_Table!$F$4:$F$21,MATCH($F96&amp;"|mid",Response_Table!$A$4:$A$21,0))*$R96*INDEX(Parameters!$X$5:$AA$5,1,MATCH($E96,Parameters!$X$3:$AA$3,0))))</f>
        <v>49.4423799652227</v>
      </c>
      <c r="AA96" s="44" t="n">
        <f aca="false">MAX(0,MIN(Y96*(1+INDEX(Response_Table!$F$4:$F$21,MATCH($F96&amp;"|low",Response_Table!$A$4:$A$21,0))*$R96*INDEX(Parameters!$X$5:$AA$5,1,MATCH($E96,Parameters!$X$3:$AA$3,0))),Y96*(1+INDEX(Response_Table!$F$4:$F$21,MATCH($F96&amp;"|high",Response_Table!$A$4:$A$21,0))*$R96*INDEX(Parameters!$X$5:$AA$5,1,MATCH($E96,Parameters!$X$3:$AA$3,0))))*(1-Inputs_General!$C$22*Parameters!$F$5))</f>
        <v>37.7125851817806</v>
      </c>
      <c r="AB96" s="44" t="n">
        <f aca="false">MIN(100,MAX(Y96*(1+INDEX(Response_Table!$F$4:$F$21,MATCH($F96&amp;"|low",Response_Table!$A$4:$A$21,0))*$R96*INDEX(Parameters!$X$5:$AA$5,1,MATCH($E96,Parameters!$X$3:$AA$3,0))),Y96*(1+INDEX(Response_Table!$F$4:$F$21,MATCH($F96&amp;"|high",Response_Table!$A$4:$A$21,0))*$R96*INDEX(Parameters!$X$5:$AA$5,1,MATCH($E96,Parameters!$X$3:$AA$3,0))))*(1+Inputs_General!$C$22*Parameters!$F$5))</f>
        <v>60.6963502097679</v>
      </c>
      <c r="AC96" s="45" t="n">
        <f aca="false">IF(Y96=0,0,Z96/Y96-1)</f>
        <v>-0.157139992394561</v>
      </c>
      <c r="AD96" s="44" t="n">
        <f aca="false">Parameters!$E$6*IF($N96="V",Parameters!$I$6,IF($N96="F",Parameters!$J$6,Parameters!$K$6))*(1-Parameters!$L$6*$P96)*IF($D96="V1",Parameters!$M$6,IF($D96="V2",Parameters!$N$6,Parameters!$O$6))</f>
        <v>14.3019785714286</v>
      </c>
      <c r="AE96" s="44" t="n">
        <f aca="false">AD96*(1+INDEX(Response_Table!$G$4:$G$21,MATCH($F96&amp;"|mid",Response_Table!$A$4:$A$21,0))*$R96*INDEX(Parameters!$X$6:$AA$6,1,MATCH($E96,Parameters!$X$3:$AA$3,0)))</f>
        <v>8.43392695754397</v>
      </c>
      <c r="AF96" s="44" t="n">
        <f aca="false">MAX(0,MIN(AD96*(1+INDEX(Response_Table!$G$4:$G$21,MATCH($F96&amp;"|low",Response_Table!$A$4:$A$21,0))*$R96*INDEX(Parameters!$X$6:$AA$6,1,MATCH($E96,Parameters!$X$3:$AA$3,0))),AD96*(1+INDEX(Response_Table!$G$4:$G$21,MATCH($F96&amp;"|high",Response_Table!$A$4:$A$21,0))*$R96*INDEX(Parameters!$X$6:$AA$6,1,MATCH($E96,Parameters!$X$3:$AA$3,0))))*(1-Inputs_General!$C$22*Parameters!$F$6))</f>
        <v>5.73540445847292</v>
      </c>
      <c r="AG96" s="44" t="n">
        <f aca="false">MAX(AD96*(1+INDEX(Response_Table!$G$4:$G$21,MATCH($F96&amp;"|low",Response_Table!$A$4:$A$21,0))*$R96*INDEX(Parameters!$X$6:$AA$6,1,MATCH($E96,Parameters!$X$3:$AA$3,0))),AD96*(1+INDEX(Response_Table!$G$4:$G$21,MATCH($F96&amp;"|high",Response_Table!$A$4:$A$21,0))*$R96*INDEX(Parameters!$X$6:$AA$6,1,MATCH($E96,Parameters!$X$3:$AA$3,0))))*(1+Inputs_General!$C$22*Parameters!$F$6)</f>
        <v>12.1971574001877</v>
      </c>
      <c r="AH96" s="45" t="n">
        <f aca="false">IF(AD96=0,0,AE96/AD96-1)</f>
        <v>-0.410296490417582</v>
      </c>
      <c r="AI96" s="46" t="n">
        <f aca="false">Parameters!$E$7*IF($N96="V",Parameters!$I$7,IF($N96="F",Parameters!$J$7,Parameters!$K$7))*(1-Parameters!$L$7*$P96)*IF($D96="V1",Parameters!$M$7,IF($D96="V2",Parameters!$N$7,Parameters!$O$7))*POWER($Q96/Inputs_General!$C$26,-Inputs_General!$C$25)</f>
        <v>0.258501574676089</v>
      </c>
      <c r="AJ96" s="46" t="n">
        <f aca="false">AI96*(1+INDEX(Response_Table!$H$4:$H$21,MATCH($F96&amp;"|mid",Response_Table!$A$4:$A$21,0))*$R96*INDEX(Parameters!$X$7:$AA$7,1,MATCH($E96,Parameters!$X$3:$AA$3,0)))</f>
        <v>0.188392422707601</v>
      </c>
      <c r="AK96" s="46" t="n">
        <f aca="false">MAX(0,MIN(AI96*(1+INDEX(Response_Table!$H$4:$H$21,MATCH($F96&amp;"|low",Response_Table!$A$4:$A$21,0))*$R96*INDEX(Parameters!$X$7:$AA$7,1,MATCH($E96,Parameters!$X$3:$AA$3,0))),AI96*(1+INDEX(Response_Table!$H$4:$H$21,MATCH($F96&amp;"|high",Response_Table!$A$4:$A$21,0))*$R96*INDEX(Parameters!$X$7:$AA$7,1,MATCH($E96,Parameters!$X$3:$AA$3,0))))*(1-Inputs_General!$C$22*Parameters!$F$7))</f>
        <v>0.119554194408844</v>
      </c>
      <c r="AL96" s="46" t="n">
        <f aca="false">MAX(AI96*(1+INDEX(Response_Table!$H$4:$H$21,MATCH($F96&amp;"|low",Response_Table!$A$4:$A$21,0))*$R96*INDEX(Parameters!$X$7:$AA$7,1,MATCH($E96,Parameters!$X$3:$AA$3,0))),AI96*(1+INDEX(Response_Table!$H$4:$H$21,MATCH($F96&amp;"|high",Response_Table!$A$4:$A$21,0))*$R96*INDEX(Parameters!$X$7:$AA$7,1,MATCH($E96,Parameters!$X$3:$AA$3,0))))*(1+Inputs_General!$C$22*Parameters!$F$7)</f>
        <v>0.273831515036897</v>
      </c>
      <c r="AM96" s="45" t="n">
        <f aca="false">IF(AI96=0,0,AJ96/AI96-1)</f>
        <v>-0.271213635956907</v>
      </c>
      <c r="AN96" s="43" t="n">
        <f aca="false">AI96*$Q96/Inputs_General!$C$13*1000</f>
        <v>5.69967952720096</v>
      </c>
      <c r="AO96" s="43" t="n">
        <f aca="false">AJ96*$Q96/Inputs_General!$C$13*1000*(1+Inputs_General!$C$21*$I96)</f>
        <v>4.34077191118742</v>
      </c>
      <c r="AP96" s="43" t="n">
        <f aca="false">AK96*$Q96/Inputs_General!$C$13*1000*(1+Inputs_General!$C$21*$H96)</f>
        <v>2.70853151081439</v>
      </c>
      <c r="AQ96" s="43" t="n">
        <f aca="false">AL96*$Q96/Inputs_General!$C$13*1000*(1+Inputs_General!$C$21*$J96)</f>
        <v>6.41504360174986</v>
      </c>
      <c r="AR96" s="45" t="n">
        <f aca="false">IF(AN96=0,0,AO96/AN96-1)</f>
        <v>-0.238418249574968</v>
      </c>
      <c r="AS96" s="42" t="n">
        <f aca="false">Parameters!$E$9*IF($N96="V",Parameters!$I$9,IF($N96="F",Parameters!$J$9,Parameters!$K$9))*(1-Parameters!$L$9*$P96)*IF($D96="V1",Parameters!$M$9,IF($D96="V2",Parameters!$N$9,Parameters!$O$9))</f>
        <v>293.55</v>
      </c>
      <c r="AT96" s="42" t="n">
        <f aca="false">AS96*(1+INDEX(Response_Table!$I$4:$I$21,MATCH($F96&amp;"|mid",Response_Table!$A$4:$A$21,0))*$R96*INDEX(Parameters!$X$9:$AA$9,1,MATCH($E96,Parameters!$X$3:$AA$3,0)))</f>
        <v>338.749162578885</v>
      </c>
      <c r="AU96" s="42" t="n">
        <f aca="false">MAX(0,MIN(AS96*(1+INDEX(Response_Table!$I$4:$I$21,MATCH($F96&amp;"|low",Response_Table!$A$4:$A$21,0))*$R96*INDEX(Parameters!$X$9:$AA$9,1,MATCH($E96,Parameters!$X$3:$AA$3,0))),AS96*(1+INDEX(Response_Table!$I$4:$I$21,MATCH($F96&amp;"|high",Response_Table!$A$4:$A$21,0))*$R96*INDEX(Parameters!$X$9:$AA$9,1,MATCH($E96,Parameters!$X$3:$AA$3,0))))*(1-Inputs_General!$C$22*Parameters!$F$9))</f>
        <v>292.830506631932</v>
      </c>
      <c r="AV96" s="42" t="n">
        <f aca="false">MAX(AS96*(1+INDEX(Response_Table!$I$4:$I$21,MATCH($F96&amp;"|low",Response_Table!$A$4:$A$21,0))*$R96*INDEX(Parameters!$X$9:$AA$9,1,MATCH($E96,Parameters!$X$3:$AA$3,0))),AS96*(1+INDEX(Response_Table!$I$4:$I$21,MATCH($F96&amp;"|high",Response_Table!$A$4:$A$21,0))*$R96*INDEX(Parameters!$X$9:$AA$9,1,MATCH($E96,Parameters!$X$3:$AA$3,0))))*(1+Inputs_General!$C$22*Parameters!$F$9)</f>
        <v>383.685483708443</v>
      </c>
      <c r="AW96" s="45" t="n">
        <f aca="false">IF(AS96=0,0,AT96/AS96-1)</f>
        <v>0.153974323212009</v>
      </c>
      <c r="AX96" s="43" t="n">
        <f aca="false">INDEX(Context!$AB$4:$AB$51,$K96)</f>
        <v>2.93383375883642</v>
      </c>
      <c r="AY96" s="43" t="n">
        <f aca="false">AX96*(1+INDEX(Response_Table!$J$4:$J$21,MATCH($F96&amp;"|mid",Response_Table!$A$4:$A$21,0))*$R96*INDEX(Parameters!$X$10:$AA$10,1,MATCH($E96,Parameters!$X$3:$AA$3,0)))</f>
        <v>2.45542131592562</v>
      </c>
      <c r="AZ96" s="43" t="n">
        <f aca="false">MAX(0,MIN(AX96*(1+INDEX(Response_Table!$J$4:$J$21,MATCH($F96&amp;"|low",Response_Table!$A$4:$A$21,0))*$R96*INDEX(Parameters!$X$10:$AA$10,1,MATCH($E96,Parameters!$X$3:$AA$3,0))),AX96*(1+INDEX(Response_Table!$J$4:$J$21,MATCH($F96&amp;"|high",Response_Table!$A$4:$A$21,0))*$R96*INDEX(Parameters!$X$10:$AA$10,1,MATCH($E96,Parameters!$X$3:$AA$3,0))))*(1-Inputs_General!$C$22*Parameters!$F$10))</f>
        <v>1.86225206434538</v>
      </c>
      <c r="BA96" s="43" t="n">
        <f aca="false">MAX(AX96*(1+INDEX(Response_Table!$J$4:$J$21,MATCH($F96&amp;"|low",Response_Table!$A$4:$A$21,0))*$R96*INDEX(Parameters!$X$10:$AA$10,1,MATCH($E96,Parameters!$X$3:$AA$3,0))),AX96*(1+INDEX(Response_Table!$J$4:$J$21,MATCH($F96&amp;"|high",Response_Table!$A$4:$A$21,0))*$R96*INDEX(Parameters!$X$10:$AA$10,1,MATCH($E96,Parameters!$X$3:$AA$3,0))))*(1+Inputs_General!$C$22*Parameters!$F$10)</f>
        <v>3.13289510449193</v>
      </c>
      <c r="BB96" s="45" t="n">
        <f aca="false">IF(AX96=0,0,AY96/AX96-1)</f>
        <v>-0.163067331770202</v>
      </c>
      <c r="BC96" s="46" t="n">
        <f aca="false">Parameters!$E$11*IF($N96="V",Parameters!$I$11,IF($N96="F",Parameters!$J$11,Parameters!$K$11))*(1-Parameters!$L$11*$P96)*IF($D96="V1",Parameters!$M$11,IF($D96="V2",Parameters!$N$11,Parameters!$O$11))</f>
        <v>1.00170982142857</v>
      </c>
      <c r="BD96" s="46" t="n">
        <f aca="false">BC96*(1+INDEX(Response_Table!$K$4:$K$21,MATCH($F96&amp;"|mid",Response_Table!$A$4:$A$21,0))*$R96*INDEX(Parameters!$X$11:$AA$11,1,MATCH($E96,Parameters!$X$3:$AA$3,0)))</f>
        <v>0.716615782957094</v>
      </c>
      <c r="BE96" s="46" t="n">
        <f aca="false">MAX(0,MIN(BC96*(1+INDEX(Response_Table!$K$4:$K$21,MATCH($F96&amp;"|low",Response_Table!$A$4:$A$21,0))*$R96*INDEX(Parameters!$X$11:$AA$11,1,MATCH($E96,Parameters!$X$3:$AA$3,0))),BC96*(1+INDEX(Response_Table!$K$4:$K$21,MATCH($F96&amp;"|high",Response_Table!$A$4:$A$21,0))*$R96*INDEX(Parameters!$X$11:$AA$11,1,MATCH($E96,Parameters!$X$3:$AA$3,0))))*(1-Inputs_General!$C$22*Parameters!$F$11))</f>
        <v>0.537361551193822</v>
      </c>
      <c r="BF96" s="46" t="n">
        <f aca="false">MAX(BC96*(1+INDEX(Response_Table!$K$4:$K$21,MATCH($F96&amp;"|low",Response_Table!$A$4:$A$21,0))*$R96*INDEX(Parameters!$X$11:$AA$11,1,MATCH($E96,Parameters!$X$3:$AA$3,0))),BC96*(1+INDEX(Response_Table!$K$4:$K$21,MATCH($F96&amp;"|high",Response_Table!$A$4:$A$21,0))*$R96*INDEX(Parameters!$X$11:$AA$11,1,MATCH($E96,Parameters!$X$3:$AA$3,0))))*(1+Inputs_General!$C$22*Parameters!$F$11)</f>
        <v>0.941512376560528</v>
      </c>
      <c r="BG96" s="45" t="n">
        <f aca="false">IF(BC96=0,0,BD96/BC96-1)</f>
        <v>-0.284607410622065</v>
      </c>
      <c r="BH96" s="46" t="n">
        <f aca="false">Parameters!$E$12*IF($N96="V",Parameters!$I$12,IF($N96="F",Parameters!$J$12,Parameters!$K$12))*(1-Parameters!$L$12*$P96)*IF($D96="V1",Parameters!$M$12,IF($D96="V2",Parameters!$N$12,Parameters!$O$12))</f>
        <v>0.373343142857143</v>
      </c>
      <c r="BI96" s="46" t="n">
        <f aca="false">BH96*(1+INDEX(Response_Table!$L$4:$L$21,MATCH($F96&amp;"|mid",Response_Table!$A$4:$A$21,0))*$R96*INDEX(Parameters!$X$12:$AA$12,1,MATCH($E96,Parameters!$X$3:$AA$3,0)))</f>
        <v>0.287665199505411</v>
      </c>
      <c r="BJ96" s="46" t="n">
        <f aca="false">MAX(0,MIN(BH96*(1+INDEX(Response_Table!$L$4:$L$21,MATCH($F96&amp;"|low",Response_Table!$A$4:$A$21,0))*$R96*INDEX(Parameters!$X$12:$AA$12,1,MATCH($E96,Parameters!$X$3:$AA$3,0))),BH96*(1+INDEX(Response_Table!$L$4:$L$21,MATCH($F96&amp;"|high",Response_Table!$A$4:$A$21,0))*$R96*INDEX(Parameters!$X$12:$AA$12,1,MATCH($E96,Parameters!$X$3:$AA$3,0))))*(1-Inputs_General!$C$22*Parameters!$F$12))</f>
        <v>0.212688648176456</v>
      </c>
      <c r="BK96" s="46" t="n">
        <f aca="false">MAX(BH96*(1+INDEX(Response_Table!$L$4:$L$21,MATCH($F96&amp;"|low",Response_Table!$A$4:$A$21,0))*$R96*INDEX(Parameters!$X$12:$AA$12,1,MATCH($E96,Parameters!$X$3:$AA$3,0))),BH96*(1+INDEX(Response_Table!$L$4:$L$21,MATCH($F96&amp;"|high",Response_Table!$A$4:$A$21,0))*$R96*INDEX(Parameters!$X$12:$AA$12,1,MATCH($E96,Parameters!$X$3:$AA$3,0))))*(1+Inputs_General!$C$22*Parameters!$F$12)</f>
        <v>0.377932128599055</v>
      </c>
      <c r="BL96" s="45" t="n">
        <f aca="false">IF(BH96=0,0,BI96/BH96-1)</f>
        <v>-0.229488461194306</v>
      </c>
      <c r="BM96" s="46" t="n">
        <f aca="false">Parameters!$E$13*IF($N96="V",Parameters!$I$13,IF($N96="F",Parameters!$J$13,Parameters!$K$13))*(1-Parameters!$L$13*$P96)*IF($D96="V1",Parameters!$M$13,IF($D96="V2",Parameters!$N$13,Parameters!$O$13))</f>
        <v>0.262276071428571</v>
      </c>
      <c r="BN96" s="46" t="n">
        <f aca="false">BM96*(1+INDEX(Response_Table!$M$4:$M$21,MATCH($F96&amp;"|mid",Response_Table!$A$4:$A$21,0))*$R96*INDEX(Parameters!$X$13:$AA$13,1,MATCH($E96,Parameters!$X$3:$AA$3,0)))</f>
        <v>0.239714694150741</v>
      </c>
      <c r="BO96" s="46" t="n">
        <f aca="false">MAX(0,MIN(BM96*(1+INDEX(Response_Table!$M$4:$M$21,MATCH($F96&amp;"|low",Response_Table!$A$4:$A$21,0))*$R96*INDEX(Parameters!$X$13:$AA$13,1,MATCH($E96,Parameters!$X$3:$AA$3,0))),BM96*(1+INDEX(Response_Table!$M$4:$M$21,MATCH($F96&amp;"|high",Response_Table!$A$4:$A$21,0))*$R96*INDEX(Parameters!$X$13:$AA$13,1,MATCH($E96,Parameters!$X$3:$AA$3,0))))*(1-Inputs_General!$C$22*Parameters!$F$13))</f>
        <v>0.177817832481689</v>
      </c>
      <c r="BP96" s="46" t="n">
        <f aca="false">MAX(BM96*(1+INDEX(Response_Table!$M$4:$M$21,MATCH($F96&amp;"|low",Response_Table!$A$4:$A$21,0))*$R96*INDEX(Parameters!$X$13:$AA$13,1,MATCH($E96,Parameters!$X$3:$AA$3,0))),BM96*(1+INDEX(Response_Table!$M$4:$M$21,MATCH($F96&amp;"|high",Response_Table!$A$4:$A$21,0))*$R96*INDEX(Parameters!$X$13:$AA$13,1,MATCH($E96,Parameters!$X$3:$AA$3,0))))*(1+Inputs_General!$C$22*Parameters!$F$13)</f>
        <v>0.309998636499755</v>
      </c>
      <c r="BQ96" s="45" t="n">
        <f aca="false">IF(BM96=0,0,BN96/BM96-1)</f>
        <v>-0.0860214855093042</v>
      </c>
      <c r="BR96" s="44" t="n">
        <f aca="false">Parameters!$E$14*IF($N96="V",Parameters!$I$14,IF($N96="F",Parameters!$J$14,Parameters!$K$14))*(1-Parameters!$L$14*$P96)*IF($D96="V1",Parameters!$M$14,IF($D96="V2",Parameters!$N$14,Parameters!$O$14))*INDEX(Context!$AC$4:$AC$51,$K96)</f>
        <v>17.25</v>
      </c>
      <c r="BS96" s="44" t="n">
        <f aca="false">BR96*(1+INDEX(Response_Table!$N$4:$N$21,MATCH($F96&amp;"|mid",Response_Table!$A$4:$A$21,0))*$R96*INDEX(Parameters!$X$14:$AA$14,1,MATCH($E96,Parameters!$X$3:$AA$3,0)))</f>
        <v>21.5685555879292</v>
      </c>
      <c r="BT96" s="44" t="n">
        <f aca="false">MAX(0,MIN(BR96*(1+INDEX(Response_Table!$N$4:$N$21,MATCH($F96&amp;"|low",Response_Table!$A$4:$A$21,0))*$R96*INDEX(Parameters!$X$14:$AA$14,1,MATCH($E96,Parameters!$X$3:$AA$3,0))),BR96*(1+INDEX(Response_Table!$N$4:$N$21,MATCH($F96&amp;"|high",Response_Table!$A$4:$A$21,0))*$R96*INDEX(Parameters!$X$14:$AA$14,1,MATCH($E96,Parameters!$X$3:$AA$3,0))))*(1-Inputs_General!$C$22*Parameters!$F$14))</f>
        <v>10.2106040853231</v>
      </c>
      <c r="BU96" s="44" t="n">
        <f aca="false">MAX(BR96*(1+INDEX(Response_Table!$N$4:$N$21,MATCH($F96&amp;"|low",Response_Table!$A$4:$A$21,0))*$R96*INDEX(Parameters!$X$14:$AA$14,1,MATCH($E96,Parameters!$X$3:$AA$3,0))),BR96*(1+INDEX(Response_Table!$N$4:$N$21,MATCH($F96&amp;"|high",Response_Table!$A$4:$A$21,0))*$R96*INDEX(Parameters!$X$14:$AA$14,1,MATCH($E96,Parameters!$X$3:$AA$3,0))))*(1+Inputs_General!$C$22*Parameters!$F$14)</f>
        <v>33.9188877285314</v>
      </c>
      <c r="BV96" s="45" t="n">
        <f aca="false">IF(BR96=0,0,BS96/BR96-1)</f>
        <v>0.250351048575606</v>
      </c>
      <c r="BW96" s="43" t="n">
        <f aca="false">Parameters!$E$15*IF($N96="V",Parameters!$I$15,IF($N96="F",Parameters!$J$15,Parameters!$K$15))*(1-Parameters!$L$15*$P96)*IF($D96="V1",Parameters!$M$15,IF($D96="V2",Parameters!$N$15,Parameters!$O$15))</f>
        <v>8.04007657142857</v>
      </c>
      <c r="BX96" s="43" t="n">
        <f aca="false">BW96*(1+INDEX(Response_Table!$O$4:$O$21,MATCH($F96&amp;"|mid",Response_Table!$A$4:$A$21,0))*$R96*INDEX(Parameters!$X$15:$AA$15,1,MATCH($E96,Parameters!$X$3:$AA$3,0)))</f>
        <v>7.53686617135725</v>
      </c>
      <c r="BY96" s="43" t="n">
        <f aca="false">MAX(0,MIN(BW96*(1+INDEX(Response_Table!$O$4:$O$21,MATCH($F96&amp;"|low",Response_Table!$A$4:$A$21,0))*$R96*INDEX(Parameters!$X$15:$AA$15,1,MATCH($E96,Parameters!$X$3:$AA$3,0))),BW96*(1+INDEX(Response_Table!$O$4:$O$21,MATCH($F96&amp;"|high",Response_Table!$A$4:$A$21,0))*$R96*INDEX(Parameters!$X$15:$AA$15,1,MATCH($E96,Parameters!$X$3:$AA$3,0))))*(1-Inputs_General!$C$22*Parameters!$F$15))</f>
        <v>5.94224539492162</v>
      </c>
      <c r="BZ96" s="43" t="n">
        <f aca="false">MAX(BW96*(1+INDEX(Response_Table!$O$4:$O$21,MATCH($F96&amp;"|low",Response_Table!$A$4:$A$21,0))*$R96*INDEX(Parameters!$X$15:$AA$15,1,MATCH($E96,Parameters!$X$3:$AA$3,0))),BW96*(1+INDEX(Response_Table!$O$4:$O$21,MATCH($F96&amp;"|high",Response_Table!$A$4:$A$21,0))*$R96*INDEX(Parameters!$X$15:$AA$15,1,MATCH($E96,Parameters!$X$3:$AA$3,0))))*(1+Inputs_General!$C$22*Parameters!$F$15)</f>
        <v>9.22129159075242</v>
      </c>
      <c r="CA96" s="45" t="n">
        <f aca="false">IF(BW96=0,0,BX96/BW96-1)</f>
        <v>-0.0625877621439015</v>
      </c>
      <c r="CB96" s="46" t="n">
        <f aca="false">BD96+BI96</f>
        <v>1.00428098246251</v>
      </c>
      <c r="CC96" s="43" t="n">
        <f aca="false">BD96/BI96</f>
        <v>2.49114520695999</v>
      </c>
      <c r="CD96" s="46" t="n">
        <f aca="false">BN96/CB96</f>
        <v>0.238692854227866</v>
      </c>
      <c r="CE96" s="43" t="n">
        <f aca="false">AE96/AO96</f>
        <v>1.94295556875663</v>
      </c>
      <c r="CF96" s="44" t="n">
        <f aca="false">AE96/AJ96</f>
        <v>44.7678671802742</v>
      </c>
      <c r="CG96" s="44" t="n">
        <f aca="false">INDEX(Context!$V$4:$V$51,$K96)</f>
        <v>32.7871428571429</v>
      </c>
      <c r="CH96" s="44" t="n">
        <f aca="false">INDEX(Context!$Y$4:$Y$51,$K96)</f>
        <v>28.36912210206</v>
      </c>
      <c r="CI96" s="44" t="n">
        <f aca="false">INDEX(Context!$Z$4:$Z$51,$K96)</f>
        <v>36.7871428571429</v>
      </c>
      <c r="CJ96" s="43" t="n">
        <f aca="false">INDEX(Context!$AA$4:$AA$51,$K96)</f>
        <v>0.347678571428571</v>
      </c>
      <c r="CK96" s="43" t="n">
        <f aca="false">MAX(0,MIN(1,1-(1-CJ96)*AO96/AN96))</f>
        <v>0.503203904588814</v>
      </c>
      <c r="CL96" s="44" t="n">
        <f aca="false">CH96+CK96*(CI96-CH96)</f>
        <v>32.6051030149274</v>
      </c>
      <c r="CM96" s="44" t="n">
        <f aca="false">CH96+MAX(0,MIN(1,1-(1-CJ96)*AQ96/AN96))*(CI96-CH96)</f>
        <v>30.6066826807111</v>
      </c>
      <c r="CN96" s="44" t="n">
        <f aca="false">CH96+MAX(0,MIN(1,1-(1-CJ96)*AP96/AN96))*(CI96-CH96)</f>
        <v>34.1776561290039</v>
      </c>
      <c r="CO96" s="44" t="n">
        <f aca="false">CL96-CG96</f>
        <v>-0.182039842215474</v>
      </c>
      <c r="CP96" s="44" t="n">
        <f aca="false">CL96-(CH96+CJ96*(CI96-CH96))</f>
        <v>1.30921548248408</v>
      </c>
      <c r="CQ96" s="46" t="n">
        <f aca="false">CL96/CG96</f>
        <v>0.994447828436633</v>
      </c>
      <c r="CR96" s="43" t="n">
        <f aca="false">IF(CL96-CH96&lt;=0,"n/a",(CI96-CL96)/(CL96-CH96))</f>
        <v>0.987265978822516</v>
      </c>
      <c r="CS96" s="43" t="n">
        <f aca="false">IF(CI96-CL96&lt;=0,"n/a",(CL96-CH96)/(CI96-CL96))</f>
        <v>1.01289826799529</v>
      </c>
      <c r="CT96" s="43" t="n">
        <f aca="false">Inputs_General!$C$23+Inputs_General!$C$24*$I96</f>
        <v>0.96</v>
      </c>
      <c r="CU96" s="44" t="n">
        <f aca="false">3.29*CT96</f>
        <v>3.1584</v>
      </c>
    </row>
    <row r="97" customFormat="false" ht="15" hidden="false" customHeight="false" outlineLevel="0" collapsed="false">
      <c r="A97" s="9" t="str">
        <f aca="false">B97&amp;"|"&amp;E97&amp;"|"&amp;F97</f>
        <v>D2V1|13/03/2026|High</v>
      </c>
      <c r="B97" s="7" t="s">
        <v>346</v>
      </c>
      <c r="C97" s="9" t="s">
        <v>129</v>
      </c>
      <c r="D97" s="9" t="s">
        <v>142</v>
      </c>
      <c r="E97" s="9" t="s">
        <v>164</v>
      </c>
      <c r="F97" s="7" t="s">
        <v>283</v>
      </c>
      <c r="G97" s="9" t="s">
        <v>284</v>
      </c>
      <c r="H97" s="41" t="n">
        <f aca="false">INDEX(Severity_Classes!$C$4:$C$9,MATCH(F97,Severity_Classes!$A$4:$A$9,0))</f>
        <v>0.26</v>
      </c>
      <c r="I97" s="41" t="n">
        <f aca="false">INDEX(Severity_Classes!$D$4:$D$9,MATCH(F97,Severity_Classes!$A$4:$A$9,0))</f>
        <v>0.38</v>
      </c>
      <c r="J97" s="41" t="n">
        <f aca="false">INDEX(Severity_Classes!$E$4:$E$9,MATCH(F97,Severity_Classes!$A$4:$A$9,0))</f>
        <v>0.5</v>
      </c>
      <c r="K97" s="42" t="n">
        <f aca="false">MATCH(B97&amp;"|"&amp;E97,Context!$A$4:$A$51,0)</f>
        <v>16</v>
      </c>
      <c r="L97" s="42" t="n">
        <f aca="false">INDEX(Context!$H$4:$H$51,K97)</f>
        <v>85</v>
      </c>
      <c r="M97" s="42" t="n">
        <f aca="false">INDEX(Context!$I$4:$I$51,K97)</f>
        <v>36</v>
      </c>
      <c r="N97" s="9" t="str">
        <f aca="false">INDEX(Context!$L$4:$L$51,K97)</f>
        <v>P</v>
      </c>
      <c r="O97" s="9" t="str">
        <f aca="false">INDEX(Context!$M$4:$M$51,K97)</f>
        <v>5th fully expanded leaf from top</v>
      </c>
      <c r="P97" s="43" t="n">
        <f aca="false">INDEX(Context!$R$4:$R$51,K97)</f>
        <v>0.953571428571428</v>
      </c>
      <c r="Q97" s="43" t="n">
        <f aca="false">INDEX(Context!$U$4:$U$51,K97)</f>
        <v>2.18945736698217</v>
      </c>
      <c r="R97" s="43" t="n">
        <f aca="false">INDEX(Context!$AD$4:$AD$51,K97)</f>
        <v>1</v>
      </c>
      <c r="S97" s="9" t="str">
        <f aca="false">INDEX(Context!$AI$4:$AN$51,K97,MATCH(F97,Severity_Classes!$A$4:$A$9,0))</f>
        <v>Likely</v>
      </c>
      <c r="T97" s="44" t="n">
        <f aca="false">Parameters!$E$4*IF($N97="V",Parameters!$I$4,IF($N97="F",Parameters!$J$4,Parameters!$K$4))*(1-Parameters!$L$4*$P97)*IF($D97="V1",Parameters!$M$4,IF($D97="V2",Parameters!$N$4,Parameters!$O$4))</f>
        <v>77.8046607142857</v>
      </c>
      <c r="U97" s="44" t="n">
        <f aca="false">MIN(100,T97*(1+INDEX(Response_Table!$E$4:$E$21,MATCH($F97&amp;"|mid",Response_Table!$A$4:$A$21,0))*$R97*INDEX(Parameters!$X$4:$AA$4,1,MATCH($E97,Parameters!$X$3:$AA$3,0))))</f>
        <v>65.2356860469535</v>
      </c>
      <c r="V97" s="44" t="n">
        <f aca="false">MAX(0,MIN(T97*(1+INDEX(Response_Table!$E$4:$E$21,MATCH($F97&amp;"|low",Response_Table!$A$4:$A$21,0))*$R97*INDEX(Parameters!$X$4:$AA$4,1,MATCH($E97,Parameters!$X$3:$AA$3,0))),T97*(1+INDEX(Response_Table!$E$4:$E$21,MATCH($F97&amp;"|high",Response_Table!$A$4:$A$21,0))*$R97*INDEX(Parameters!$X$4:$AA$4,1,MATCH($E97,Parameters!$X$3:$AA$3,0))))*(1-Inputs_General!$C$22*Parameters!$F$4))</f>
        <v>55.9984569400577</v>
      </c>
      <c r="W97" s="44" t="n">
        <f aca="false">MIN(100,MAX(T97*(1+INDEX(Response_Table!$E$4:$E$21,MATCH($F97&amp;"|low",Response_Table!$A$4:$A$21,0))*$R97*INDEX(Parameters!$X$4:$AA$4,1,MATCH($E97,Parameters!$X$3:$AA$3,0))),T97*(1+INDEX(Response_Table!$E$4:$E$21,MATCH($F97&amp;"|high",Response_Table!$A$4:$A$21,0))*$R97*INDEX(Parameters!$X$4:$AA$4,1,MATCH($E97,Parameters!$X$3:$AA$3,0))))*(1+Inputs_General!$C$22*Parameters!$F$4))</f>
        <v>75.8573637261068</v>
      </c>
      <c r="X97" s="45" t="n">
        <f aca="false">IF(T97=0,0,U97/T97-1)</f>
        <v>-0.161545266722362</v>
      </c>
      <c r="Y97" s="44" t="n">
        <f aca="false">Parameters!$E$5*IF($N97="V",Parameters!$I$5,IF($N97="F",Parameters!$J$5,Parameters!$K$5))*(1-Parameters!$L$5*$P97)*IF($D97="V1",Parameters!$M$5,IF($D97="V2",Parameters!$N$5,Parameters!$O$5))</f>
        <v>58.6602514285714</v>
      </c>
      <c r="Z97" s="44" t="n">
        <f aca="false">MIN(100,Y97*(1+INDEX(Response_Table!$F$4:$F$21,MATCH($F97&amp;"|mid",Response_Table!$A$4:$A$21,0))*$R97*INDEX(Parameters!$X$5:$AA$5,1,MATCH($E97,Parameters!$X$3:$AA$3,0))))</f>
        <v>29.3129403860079</v>
      </c>
      <c r="AA97" s="44" t="n">
        <f aca="false">MAX(0,MIN(Y97*(1+INDEX(Response_Table!$F$4:$F$21,MATCH($F97&amp;"|low",Response_Table!$A$4:$A$21,0))*$R97*INDEX(Parameters!$X$5:$AA$5,1,MATCH($E97,Parameters!$X$3:$AA$3,0))),Y97*(1+INDEX(Response_Table!$F$4:$F$21,MATCH($F97&amp;"|high",Response_Table!$A$4:$A$21,0))*$R97*INDEX(Parameters!$X$5:$AA$5,1,MATCH($E97,Parameters!$X$3:$AA$3,0))))*(1-Inputs_General!$C$22*Parameters!$F$5))</f>
        <v>19.4163731751761</v>
      </c>
      <c r="AB97" s="44" t="n">
        <f aca="false">MIN(100,MAX(Y97*(1+INDEX(Response_Table!$F$4:$F$21,MATCH($F97&amp;"|low",Response_Table!$A$4:$A$21,0))*$R97*INDEX(Parameters!$X$5:$AA$5,1,MATCH($E97,Parameters!$X$3:$AA$3,0))),Y97*(1+INDEX(Response_Table!$F$4:$F$21,MATCH($F97&amp;"|high",Response_Table!$A$4:$A$21,0))*$R97*INDEX(Parameters!$X$5:$AA$5,1,MATCH($E97,Parameters!$X$3:$AA$3,0))))*(1+Inputs_General!$C$22*Parameters!$F$5))</f>
        <v>46.3326845560526</v>
      </c>
      <c r="AC97" s="45" t="n">
        <f aca="false">IF(Y97=0,0,Z97/Y97-1)</f>
        <v>-0.500292963767786</v>
      </c>
      <c r="AD97" s="44" t="n">
        <f aca="false">Parameters!$E$6*IF($N97="V",Parameters!$I$6,IF($N97="F",Parameters!$J$6,Parameters!$K$6))*(1-Parameters!$L$6*$P97)*IF($D97="V1",Parameters!$M$6,IF($D97="V2",Parameters!$N$6,Parameters!$O$6))</f>
        <v>14.3019785714286</v>
      </c>
      <c r="AE97" s="44" t="n">
        <f aca="false">AD97*(1+INDEX(Response_Table!$G$4:$G$21,MATCH($F97&amp;"|mid",Response_Table!$A$4:$A$21,0))*$R97*INDEX(Parameters!$X$6:$AA$6,1,MATCH($E97,Parameters!$X$3:$AA$3,0)))</f>
        <v>5.59068934455083</v>
      </c>
      <c r="AF97" s="44" t="n">
        <f aca="false">MAX(0,MIN(AD97*(1+INDEX(Response_Table!$G$4:$G$21,MATCH($F97&amp;"|low",Response_Table!$A$4:$A$21,0))*$R97*INDEX(Parameters!$X$6:$AA$6,1,MATCH($E97,Parameters!$X$3:$AA$3,0))),AD97*(1+INDEX(Response_Table!$G$4:$G$21,MATCH($F97&amp;"|high",Response_Table!$A$4:$A$21,0))*$R97*INDEX(Parameters!$X$6:$AA$6,1,MATCH($E97,Parameters!$X$3:$AA$3,0))))*(1-Inputs_General!$C$22*Parameters!$F$6))</f>
        <v>3.82360481185723</v>
      </c>
      <c r="AG97" s="44" t="n">
        <f aca="false">MAX(AD97*(1+INDEX(Response_Table!$G$4:$G$21,MATCH($F97&amp;"|low",Response_Table!$A$4:$A$21,0))*$R97*INDEX(Parameters!$X$6:$AA$6,1,MATCH($E97,Parameters!$X$3:$AA$3,0))),AD97*(1+INDEX(Response_Table!$G$4:$G$21,MATCH($F97&amp;"|high",Response_Table!$A$4:$A$21,0))*$R97*INDEX(Parameters!$X$6:$AA$6,1,MATCH($E97,Parameters!$X$3:$AA$3,0))))*(1+Inputs_General!$C$22*Parameters!$F$6)</f>
        <v>8.37262014935694</v>
      </c>
      <c r="AH97" s="45" t="n">
        <f aca="false">IF(AD97=0,0,AE97/AD97-1)</f>
        <v>-0.609096789186953</v>
      </c>
      <c r="AI97" s="46" t="n">
        <f aca="false">Parameters!$E$7*IF($N97="V",Parameters!$I$7,IF($N97="F",Parameters!$J$7,Parameters!$K$7))*(1-Parameters!$L$7*$P97)*IF($D97="V1",Parameters!$M$7,IF($D97="V2",Parameters!$N$7,Parameters!$O$7))*POWER($Q97/Inputs_General!$C$26,-Inputs_General!$C$25)</f>
        <v>0.258501574676089</v>
      </c>
      <c r="AJ97" s="46" t="n">
        <f aca="false">AI97*(1+INDEX(Response_Table!$H$4:$H$21,MATCH($F97&amp;"|mid",Response_Table!$A$4:$A$21,0))*$R97*INDEX(Parameters!$X$7:$AA$7,1,MATCH($E97,Parameters!$X$3:$AA$3,0)))</f>
        <v>0.144213469624704</v>
      </c>
      <c r="AK97" s="46" t="n">
        <f aca="false">MAX(0,MIN(AI97*(1+INDEX(Response_Table!$H$4:$H$21,MATCH($F97&amp;"|low",Response_Table!$A$4:$A$21,0))*$R97*INDEX(Parameters!$X$7:$AA$7,1,MATCH($E97,Parameters!$X$3:$AA$3,0))),AI97*(1+INDEX(Response_Table!$H$4:$H$21,MATCH($F97&amp;"|high",Response_Table!$A$4:$A$21,0))*$R97*INDEX(Parameters!$X$7:$AA$7,1,MATCH($E97,Parameters!$X$3:$AA$3,0))))*(1-Inputs_General!$C$22*Parameters!$F$7))</f>
        <v>0.0900761294509106</v>
      </c>
      <c r="AL97" s="46" t="n">
        <f aca="false">MAX(AI97*(1+INDEX(Response_Table!$H$4:$H$21,MATCH($F97&amp;"|low",Response_Table!$A$4:$A$21,0))*$R97*INDEX(Parameters!$X$7:$AA$7,1,MATCH($E97,Parameters!$X$3:$AA$3,0))),AI97*(1+INDEX(Response_Table!$H$4:$H$21,MATCH($F97&amp;"|high",Response_Table!$A$4:$A$21,0))*$R97*INDEX(Parameters!$X$7:$AA$7,1,MATCH($E97,Parameters!$X$3:$AA$3,0))))*(1+Inputs_General!$C$22*Parameters!$F$7)</f>
        <v>0.217096348705188</v>
      </c>
      <c r="AM97" s="45" t="n">
        <f aca="false">IF(AI97=0,0,AJ97/AI97-1)</f>
        <v>-0.442117635819403</v>
      </c>
      <c r="AN97" s="43" t="n">
        <f aca="false">AI97*$Q97/Inputs_General!$C$13*1000</f>
        <v>5.69967952720096</v>
      </c>
      <c r="AO97" s="43" t="n">
        <f aca="false">AJ97*$Q97/Inputs_General!$C$13*1000*(1+Inputs_General!$C$21*$I97)</f>
        <v>3.48182700522875</v>
      </c>
      <c r="AP97" s="43" t="n">
        <f aca="false">AK97*$Q97/Inputs_General!$C$13*1000*(1+Inputs_General!$C$21*$H97)</f>
        <v>2.11517628554427</v>
      </c>
      <c r="AQ97" s="43" t="n">
        <f aca="false">AL97*$Q97/Inputs_General!$C$13*1000*(1+Inputs_General!$C$21*$J97)</f>
        <v>5.38508157119529</v>
      </c>
      <c r="AR97" s="45" t="n">
        <f aca="false">IF(AN97=0,0,AO97/AN97-1)</f>
        <v>-0.389118811222246</v>
      </c>
      <c r="AS97" s="42" t="n">
        <f aca="false">Parameters!$E$9*IF($N97="V",Parameters!$I$9,IF($N97="F",Parameters!$J$9,Parameters!$K$9))*(1-Parameters!$L$9*$P97)*IF($D97="V1",Parameters!$M$9,IF($D97="V2",Parameters!$N$9,Parameters!$O$9))</f>
        <v>293.55</v>
      </c>
      <c r="AT97" s="42" t="n">
        <f aca="false">AS97*(1+INDEX(Response_Table!$I$4:$I$21,MATCH($F97&amp;"|mid",Response_Table!$A$4:$A$21,0))*$R97*INDEX(Parameters!$X$9:$AA$9,1,MATCH($E97,Parameters!$X$3:$AA$3,0)))</f>
        <v>362.354137675553</v>
      </c>
      <c r="AU97" s="42" t="n">
        <f aca="false">MAX(0,MIN(AS97*(1+INDEX(Response_Table!$I$4:$I$21,MATCH($F97&amp;"|low",Response_Table!$A$4:$A$21,0))*$R97*INDEX(Parameters!$X$9:$AA$9,1,MATCH($E97,Parameters!$X$3:$AA$3,0))),AS97*(1+INDEX(Response_Table!$I$4:$I$21,MATCH($F97&amp;"|high",Response_Table!$A$4:$A$21,0))*$R97*INDEX(Parameters!$X$9:$AA$9,1,MATCH($E97,Parameters!$X$3:$AA$3,0))))*(1-Inputs_General!$C$22*Parameters!$F$9))</f>
        <v>315.894846507433</v>
      </c>
      <c r="AV97" s="42" t="n">
        <f aca="false">MAX(AS97*(1+INDEX(Response_Table!$I$4:$I$21,MATCH($F97&amp;"|low",Response_Table!$A$4:$A$21,0))*$R97*INDEX(Parameters!$X$9:$AA$9,1,MATCH($E97,Parameters!$X$3:$AA$3,0))),AS97*(1+INDEX(Response_Table!$I$4:$I$21,MATCH($F97&amp;"|high",Response_Table!$A$4:$A$21,0))*$R97*INDEX(Parameters!$X$9:$AA$9,1,MATCH($E97,Parameters!$X$3:$AA$3,0))))*(1+Inputs_General!$C$22*Parameters!$F$9)</f>
        <v>406.185762402178</v>
      </c>
      <c r="AW97" s="45" t="n">
        <f aca="false">IF(AS97=0,0,AT97/AS97-1)</f>
        <v>0.234386433914336</v>
      </c>
      <c r="AX97" s="43" t="n">
        <f aca="false">INDEX(Context!$AB$4:$AB$51,$K97)</f>
        <v>2.93383375883642</v>
      </c>
      <c r="AY97" s="43" t="n">
        <f aca="false">AX97*(1+INDEX(Response_Table!$J$4:$J$21,MATCH($F97&amp;"|mid",Response_Table!$A$4:$A$21,0))*$R97*INDEX(Parameters!$X$10:$AA$10,1,MATCH($E97,Parameters!$X$3:$AA$3,0)))</f>
        <v>2.12419380910203</v>
      </c>
      <c r="AZ97" s="43" t="n">
        <f aca="false">MAX(0,MIN(AX97*(1+INDEX(Response_Table!$J$4:$J$21,MATCH($F97&amp;"|low",Response_Table!$A$4:$A$21,0))*$R97*INDEX(Parameters!$X$10:$AA$10,1,MATCH($E97,Parameters!$X$3:$AA$3,0))),AX97*(1+INDEX(Response_Table!$J$4:$J$21,MATCH($F97&amp;"|high",Response_Table!$A$4:$A$21,0))*$R97*INDEX(Parameters!$X$10:$AA$10,1,MATCH($E97,Parameters!$X$3:$AA$3,0))))*(1-Inputs_General!$C$22*Parameters!$F$10))</f>
        <v>1.59866636860884</v>
      </c>
      <c r="BA97" s="43" t="n">
        <f aca="false">MAX(AX97*(1+INDEX(Response_Table!$J$4:$J$21,MATCH($F97&amp;"|low",Response_Table!$A$4:$A$21,0))*$R97*INDEX(Parameters!$X$10:$AA$10,1,MATCH($E97,Parameters!$X$3:$AA$3,0))),AX97*(1+INDEX(Response_Table!$J$4:$J$21,MATCH($F97&amp;"|high",Response_Table!$A$4:$A$21,0))*$R97*INDEX(Parameters!$X$10:$AA$10,1,MATCH($E97,Parameters!$X$3:$AA$3,0))))*(1+Inputs_General!$C$22*Parameters!$F$10)</f>
        <v>2.75740451449489</v>
      </c>
      <c r="BB97" s="45" t="n">
        <f aca="false">IF(AX97=0,0,AY97/AX97-1)</f>
        <v>-0.275966539445474</v>
      </c>
      <c r="BC97" s="46" t="n">
        <f aca="false">Parameters!$E$11*IF($N97="V",Parameters!$I$11,IF($N97="F",Parameters!$J$11,Parameters!$K$11))*(1-Parameters!$L$11*$P97)*IF($D97="V1",Parameters!$M$11,IF($D97="V2",Parameters!$N$11,Parameters!$O$11))</f>
        <v>1.00170982142857</v>
      </c>
      <c r="BD97" s="46" t="n">
        <f aca="false">BC97*(1+INDEX(Response_Table!$K$4:$K$21,MATCH($F97&amp;"|mid",Response_Table!$A$4:$A$21,0))*$R97*INDEX(Parameters!$X$11:$AA$11,1,MATCH($E97,Parameters!$X$3:$AA$3,0)))</f>
        <v>0.543596610827873</v>
      </c>
      <c r="BE97" s="46" t="n">
        <f aca="false">MAX(0,MIN(BC97*(1+INDEX(Response_Table!$K$4:$K$21,MATCH($F97&amp;"|low",Response_Table!$A$4:$A$21,0))*$R97*INDEX(Parameters!$X$11:$AA$11,1,MATCH($E97,Parameters!$X$3:$AA$3,0))),BC97*(1+INDEX(Response_Table!$K$4:$K$21,MATCH($F97&amp;"|high",Response_Table!$A$4:$A$21,0))*$R97*INDEX(Parameters!$X$11:$AA$11,1,MATCH($E97,Parameters!$X$3:$AA$3,0))))*(1-Inputs_General!$C$22*Parameters!$F$11))</f>
        <v>0.402757419328824</v>
      </c>
      <c r="BF97" s="46" t="n">
        <f aca="false">MAX(BC97*(1+INDEX(Response_Table!$K$4:$K$21,MATCH($F97&amp;"|low",Response_Table!$A$4:$A$21,0))*$R97*INDEX(Parameters!$X$11:$AA$11,1,MATCH($E97,Parameters!$X$3:$AA$3,0))),BC97*(1+INDEX(Response_Table!$K$4:$K$21,MATCH($F97&amp;"|high",Response_Table!$A$4:$A$21,0))*$R97*INDEX(Parameters!$X$11:$AA$11,1,MATCH($E97,Parameters!$X$3:$AA$3,0))))*(1+Inputs_General!$C$22*Parameters!$F$11)</f>
        <v>0.738232243288809</v>
      </c>
      <c r="BG97" s="45" t="n">
        <f aca="false">IF(BC97=0,0,BD97/BC97-1)</f>
        <v>-0.457331255819543</v>
      </c>
      <c r="BH97" s="46" t="n">
        <f aca="false">Parameters!$E$12*IF($N97="V",Parameters!$I$12,IF($N97="F",Parameters!$J$12,Parameters!$K$12))*(1-Parameters!$L$12*$P97)*IF($D97="V1",Parameters!$M$12,IF($D97="V2",Parameters!$N$12,Parameters!$O$12))</f>
        <v>0.373343142857143</v>
      </c>
      <c r="BI97" s="46" t="n">
        <f aca="false">BH97*(1+INDEX(Response_Table!$L$4:$L$21,MATCH($F97&amp;"|mid",Response_Table!$A$4:$A$21,0))*$R97*INDEX(Parameters!$X$12:$AA$12,1,MATCH($E97,Parameters!$X$3:$AA$3,0)))</f>
        <v>0.233675645598432</v>
      </c>
      <c r="BJ97" s="46" t="n">
        <f aca="false">MAX(0,MIN(BH97*(1+INDEX(Response_Table!$L$4:$L$21,MATCH($F97&amp;"|low",Response_Table!$A$4:$A$21,0))*$R97*INDEX(Parameters!$X$12:$AA$12,1,MATCH($E97,Parameters!$X$3:$AA$3,0))),BH97*(1+INDEX(Response_Table!$L$4:$L$21,MATCH($F97&amp;"|high",Response_Table!$A$4:$A$21,0))*$R97*INDEX(Parameters!$X$12:$AA$12,1,MATCH($E97,Parameters!$X$3:$AA$3,0))))*(1-Inputs_General!$C$22*Parameters!$F$12))</f>
        <v>0.171613278503185</v>
      </c>
      <c r="BK97" s="46" t="n">
        <f aca="false">MAX(BH97*(1+INDEX(Response_Table!$L$4:$L$21,MATCH($F97&amp;"|low",Response_Table!$A$4:$A$21,0))*$R97*INDEX(Parameters!$X$12:$AA$12,1,MATCH($E97,Parameters!$X$3:$AA$3,0))),BH97*(1+INDEX(Response_Table!$L$4:$L$21,MATCH($F97&amp;"|high",Response_Table!$A$4:$A$21,0))*$R97*INDEX(Parameters!$X$12:$AA$12,1,MATCH($E97,Parameters!$X$3:$AA$3,0))))*(1+Inputs_General!$C$22*Parameters!$F$12)</f>
        <v>0.313877960583231</v>
      </c>
      <c r="BL97" s="45" t="n">
        <f aca="false">IF(BH97=0,0,BI97/BH97-1)</f>
        <v>-0.374099538001033</v>
      </c>
      <c r="BM97" s="46" t="n">
        <f aca="false">Parameters!$E$13*IF($N97="V",Parameters!$I$13,IF($N97="F",Parameters!$J$13,Parameters!$K$13))*(1-Parameters!$L$13*$P97)*IF($D97="V1",Parameters!$M$13,IF($D97="V2",Parameters!$N$13,Parameters!$O$13))</f>
        <v>0.262276071428571</v>
      </c>
      <c r="BN97" s="46" t="n">
        <f aca="false">BM97*(1+INDEX(Response_Table!$M$4:$M$21,MATCH($F97&amp;"|mid",Response_Table!$A$4:$A$21,0))*$R97*INDEX(Parameters!$X$13:$AA$13,1,MATCH($E97,Parameters!$X$3:$AA$3,0)))</f>
        <v>0.19697862274608</v>
      </c>
      <c r="BO97" s="46" t="n">
        <f aca="false">MAX(0,MIN(BM97*(1+INDEX(Response_Table!$M$4:$M$21,MATCH($F97&amp;"|low",Response_Table!$A$4:$A$21,0))*$R97*INDEX(Parameters!$X$13:$AA$13,1,MATCH($E97,Parameters!$X$3:$AA$3,0))),BM97*(1+INDEX(Response_Table!$M$4:$M$21,MATCH($F97&amp;"|high",Response_Table!$A$4:$A$21,0))*$R97*INDEX(Parameters!$X$13:$AA$13,1,MATCH($E97,Parameters!$X$3:$AA$3,0))))*(1-Inputs_General!$C$22*Parameters!$F$13))</f>
        <v>0.147017218515077</v>
      </c>
      <c r="BP97" s="46" t="n">
        <f aca="false">MAX(BM97*(1+INDEX(Response_Table!$M$4:$M$21,MATCH($F97&amp;"|low",Response_Table!$A$4:$A$21,0))*$R97*INDEX(Parameters!$X$13:$AA$13,1,MATCH($E97,Parameters!$X$3:$AA$3,0))),BM97*(1+INDEX(Response_Table!$M$4:$M$21,MATCH($F97&amp;"|high",Response_Table!$A$4:$A$21,0))*$R97*INDEX(Parameters!$X$13:$AA$13,1,MATCH($E97,Parameters!$X$3:$AA$3,0))))*(1+Inputs_General!$C$22*Parameters!$F$13)</f>
        <v>0.2624998912036</v>
      </c>
      <c r="BQ97" s="45" t="n">
        <f aca="false">IF(BM97=0,0,BN97/BM97-1)</f>
        <v>-0.248964567475896</v>
      </c>
      <c r="BR97" s="44" t="n">
        <f aca="false">Parameters!$E$14*IF($N97="V",Parameters!$I$14,IF($N97="F",Parameters!$J$14,Parameters!$K$14))*(1-Parameters!$L$14*$P97)*IF($D97="V1",Parameters!$M$14,IF($D97="V2",Parameters!$N$14,Parameters!$O$14))*INDEX(Context!$AC$4:$AC$51,$K97)</f>
        <v>17.25</v>
      </c>
      <c r="BS97" s="44" t="n">
        <f aca="false">BR97*(1+INDEX(Response_Table!$N$4:$N$21,MATCH($F97&amp;"|mid",Response_Table!$A$4:$A$21,0))*$R97*INDEX(Parameters!$X$14:$AA$14,1,MATCH($E97,Parameters!$X$3:$AA$3,0)))</f>
        <v>24.2898731242013</v>
      </c>
      <c r="BT97" s="44" t="n">
        <f aca="false">MAX(0,MIN(BR97*(1+INDEX(Response_Table!$N$4:$N$21,MATCH($F97&amp;"|low",Response_Table!$A$4:$A$21,0))*$R97*INDEX(Parameters!$X$14:$AA$14,1,MATCH($E97,Parameters!$X$3:$AA$3,0))),BR97*(1+INDEX(Response_Table!$N$4:$N$21,MATCH($F97&amp;"|high",Response_Table!$A$4:$A$21,0))*$R97*INDEX(Parameters!$X$14:$AA$14,1,MATCH($E97,Parameters!$X$3:$AA$3,0))))*(1-Inputs_General!$C$22*Parameters!$F$14))</f>
        <v>11.5763096270849</v>
      </c>
      <c r="BU97" s="44" t="n">
        <f aca="false">MAX(BR97*(1+INDEX(Response_Table!$N$4:$N$21,MATCH($F97&amp;"|low",Response_Table!$A$4:$A$21,0))*$R97*INDEX(Parameters!$X$14:$AA$14,1,MATCH($E97,Parameters!$X$3:$AA$3,0))),BR97*(1+INDEX(Response_Table!$N$4:$N$21,MATCH($F97&amp;"|high",Response_Table!$A$4:$A$21,0))*$R97*INDEX(Parameters!$X$14:$AA$14,1,MATCH($E97,Parameters!$X$3:$AA$3,0))))*(1+Inputs_General!$C$22*Parameters!$F$14)</f>
        <v>37.7715153452196</v>
      </c>
      <c r="BV97" s="45" t="n">
        <f aca="false">IF(BR97=0,0,BS97/BR97-1)</f>
        <v>0.408108586910218</v>
      </c>
      <c r="BW97" s="43" t="n">
        <f aca="false">Parameters!$E$15*IF($N97="V",Parameters!$I$15,IF($N97="F",Parameters!$J$15,Parameters!$K$15))*(1-Parameters!$L$15*$P97)*IF($D97="V1",Parameters!$M$15,IF($D97="V2",Parameters!$N$15,Parameters!$O$15))</f>
        <v>8.04007657142857</v>
      </c>
      <c r="BX97" s="43" t="n">
        <f aca="false">BW97*(1+INDEX(Response_Table!$O$4:$O$21,MATCH($F97&amp;"|mid",Response_Table!$A$4:$A$21,0))*$R97*INDEX(Parameters!$X$15:$AA$15,1,MATCH($E97,Parameters!$X$3:$AA$3,0)))</f>
        <v>7.21977049937466</v>
      </c>
      <c r="BY97" s="43" t="n">
        <f aca="false">MAX(0,MIN(BW97*(1+INDEX(Response_Table!$O$4:$O$21,MATCH($F97&amp;"|low",Response_Table!$A$4:$A$21,0))*$R97*INDEX(Parameters!$X$15:$AA$15,1,MATCH($E97,Parameters!$X$3:$AA$3,0))),BW97*(1+INDEX(Response_Table!$O$4:$O$21,MATCH($F97&amp;"|high",Response_Table!$A$4:$A$21,0))*$R97*INDEX(Parameters!$X$15:$AA$15,1,MATCH($E97,Parameters!$X$3:$AA$3,0))))*(1-Inputs_General!$C$22*Parameters!$F$15))</f>
        <v>5.70099832014637</v>
      </c>
      <c r="BZ97" s="43" t="n">
        <f aca="false">MAX(BW97*(1+INDEX(Response_Table!$O$4:$O$21,MATCH($F97&amp;"|low",Response_Table!$A$4:$A$21,0))*$R97*INDEX(Parameters!$X$15:$AA$15,1,MATCH($E97,Parameters!$X$3:$AA$3,0))),BW97*(1+INDEX(Response_Table!$O$4:$O$21,MATCH($F97&amp;"|high",Response_Table!$A$4:$A$21,0))*$R97*INDEX(Parameters!$X$15:$AA$15,1,MATCH($E97,Parameters!$X$3:$AA$3,0))))*(1+Inputs_General!$C$22*Parameters!$F$15)</f>
        <v>8.84508363976141</v>
      </c>
      <c r="CA97" s="45" t="n">
        <f aca="false">IF(BW97=0,0,BX97/BW97-1)</f>
        <v>-0.102027146727554</v>
      </c>
      <c r="CB97" s="46" t="n">
        <f aca="false">BD97+BI97</f>
        <v>0.777272256426305</v>
      </c>
      <c r="CC97" s="43" t="n">
        <f aca="false">BD97/BI97</f>
        <v>2.32628697541735</v>
      </c>
      <c r="CD97" s="46" t="n">
        <f aca="false">BN97/CB97</f>
        <v>0.253422943013219</v>
      </c>
      <c r="CE97" s="43" t="n">
        <f aca="false">AE97/AO97</f>
        <v>1.60567694378703</v>
      </c>
      <c r="CF97" s="44" t="n">
        <f aca="false">AE97/AJ97</f>
        <v>38.7667626269574</v>
      </c>
      <c r="CG97" s="44" t="n">
        <f aca="false">INDEX(Context!$V$4:$V$51,$K97)</f>
        <v>32.7871428571429</v>
      </c>
      <c r="CH97" s="44" t="n">
        <f aca="false">INDEX(Context!$Y$4:$Y$51,$K97)</f>
        <v>28.36912210206</v>
      </c>
      <c r="CI97" s="44" t="n">
        <f aca="false">INDEX(Context!$Z$4:$Z$51,$K97)</f>
        <v>36.7871428571429</v>
      </c>
      <c r="CJ97" s="43" t="n">
        <f aca="false">INDEX(Context!$AA$4:$AA$51,$K97)</f>
        <v>0.347678571428571</v>
      </c>
      <c r="CK97" s="43" t="n">
        <f aca="false">MAX(0,MIN(1,1-(1-CJ97)*AO97/AN97))</f>
        <v>0.601509110249083</v>
      </c>
      <c r="CL97" s="44" t="n">
        <f aca="false">CH97+CK97*(CI97-CH97)</f>
        <v>33.4326382765082</v>
      </c>
      <c r="CM97" s="44" t="n">
        <f aca="false">CH97+MAX(0,MIN(1,1-(1-CJ97)*AQ97/AN97))*(CI97-CH97)</f>
        <v>31.598981363037</v>
      </c>
      <c r="CN97" s="44" t="n">
        <f aca="false">CH97+MAX(0,MIN(1,1-(1-CJ97)*AP97/AN97))*(CI97-CH97)</f>
        <v>34.7493137151284</v>
      </c>
      <c r="CO97" s="44" t="n">
        <f aca="false">CL97-CG97</f>
        <v>0.645495419365361</v>
      </c>
      <c r="CP97" s="44" t="n">
        <f aca="false">CL97-(CH97+CJ97*(CI97-CH97))</f>
        <v>2.13675074406492</v>
      </c>
      <c r="CQ97" s="46" t="n">
        <f aca="false">CL97/CG97</f>
        <v>1.01968745560349</v>
      </c>
      <c r="CR97" s="43" t="n">
        <f aca="false">IF(CL97-CH97&lt;=0,"n/a",(CI97-CL97)/(CL97-CH97))</f>
        <v>0.662485210882182</v>
      </c>
      <c r="CS97" s="43" t="n">
        <f aca="false">IF(CI97-CL97&lt;=0,"n/a",(CL97-CH97)/(CI97-CL97))</f>
        <v>1.50946765840761</v>
      </c>
      <c r="CT97" s="43" t="n">
        <f aca="false">Inputs_General!$C$23+Inputs_General!$C$24*$I97</f>
        <v>1.36</v>
      </c>
      <c r="CU97" s="44" t="n">
        <f aca="false">3.29*CT97</f>
        <v>4.4744</v>
      </c>
    </row>
    <row r="98" customFormat="false" ht="15" hidden="false" customHeight="false" outlineLevel="0" collapsed="false">
      <c r="A98" s="9" t="str">
        <f aca="false">B98&amp;"|"&amp;E98&amp;"|"&amp;F98</f>
        <v>D2V1|13/03/2026|Very high</v>
      </c>
      <c r="B98" s="7" t="s">
        <v>346</v>
      </c>
      <c r="C98" s="9" t="s">
        <v>129</v>
      </c>
      <c r="D98" s="9" t="s">
        <v>142</v>
      </c>
      <c r="E98" s="9" t="s">
        <v>164</v>
      </c>
      <c r="F98" s="7" t="s">
        <v>285</v>
      </c>
      <c r="G98" s="9" t="s">
        <v>286</v>
      </c>
      <c r="H98" s="41" t="n">
        <f aca="false">INDEX(Severity_Classes!$C$4:$C$9,MATCH(F98,Severity_Classes!$A$4:$A$9,0))</f>
        <v>0.51</v>
      </c>
      <c r="I98" s="41" t="n">
        <f aca="false">INDEX(Severity_Classes!$D$4:$D$9,MATCH(F98,Severity_Classes!$A$4:$A$9,0))</f>
        <v>0.65</v>
      </c>
      <c r="J98" s="41" t="n">
        <f aca="false">INDEX(Severity_Classes!$E$4:$E$9,MATCH(F98,Severity_Classes!$A$4:$A$9,0))</f>
        <v>0.85</v>
      </c>
      <c r="K98" s="42" t="n">
        <f aca="false">MATCH(B98&amp;"|"&amp;E98,Context!$A$4:$A$51,0)</f>
        <v>16</v>
      </c>
      <c r="L98" s="42" t="n">
        <f aca="false">INDEX(Context!$H$4:$H$51,K98)</f>
        <v>85</v>
      </c>
      <c r="M98" s="42" t="n">
        <f aca="false">INDEX(Context!$I$4:$I$51,K98)</f>
        <v>36</v>
      </c>
      <c r="N98" s="9" t="str">
        <f aca="false">INDEX(Context!$L$4:$L$51,K98)</f>
        <v>P</v>
      </c>
      <c r="O98" s="9" t="str">
        <f aca="false">INDEX(Context!$M$4:$M$51,K98)</f>
        <v>5th fully expanded leaf from top</v>
      </c>
      <c r="P98" s="43" t="n">
        <f aca="false">INDEX(Context!$R$4:$R$51,K98)</f>
        <v>0.953571428571428</v>
      </c>
      <c r="Q98" s="43" t="n">
        <f aca="false">INDEX(Context!$U$4:$U$51,K98)</f>
        <v>2.18945736698217</v>
      </c>
      <c r="R98" s="43" t="n">
        <f aca="false">INDEX(Context!$AD$4:$AD$51,K98)</f>
        <v>1</v>
      </c>
      <c r="S98" s="9" t="str">
        <f aca="false">INDEX(Context!$AI$4:$AN$51,K98,MATCH(F98,Severity_Classes!$A$4:$A$9,0))</f>
        <v>Likely</v>
      </c>
      <c r="T98" s="44" t="n">
        <f aca="false">Parameters!$E$4*IF($N98="V",Parameters!$I$4,IF($N98="F",Parameters!$J$4,Parameters!$K$4))*(1-Parameters!$L$4*$P98)*IF($D98="V1",Parameters!$M$4,IF($D98="V2",Parameters!$N$4,Parameters!$O$4))</f>
        <v>77.8046607142857</v>
      </c>
      <c r="U98" s="44" t="n">
        <f aca="false">MIN(100,T98*(1+INDEX(Response_Table!$E$4:$E$21,MATCH($F98&amp;"|mid",Response_Table!$A$4:$A$21,0))*$R98*INDEX(Parameters!$X$4:$AA$4,1,MATCH($E98,Parameters!$X$3:$AA$3,0))))</f>
        <v>56.3297142695902</v>
      </c>
      <c r="V98" s="44" t="n">
        <f aca="false">MAX(0,MIN(T98*(1+INDEX(Response_Table!$E$4:$E$21,MATCH($F98&amp;"|low",Response_Table!$A$4:$A$21,0))*$R98*INDEX(Parameters!$X$4:$AA$4,1,MATCH($E98,Parameters!$X$3:$AA$3,0))),T98*(1+INDEX(Response_Table!$E$4:$E$21,MATCH($F98&amp;"|high",Response_Table!$A$4:$A$21,0))*$R98*INDEX(Parameters!$X$4:$AA$4,1,MATCH($E98,Parameters!$X$3:$AA$3,0))))*(1-Inputs_General!$C$22*Parameters!$F$4))</f>
        <v>51.2305032035894</v>
      </c>
      <c r="W98" s="44" t="n">
        <f aca="false">MIN(100,MAX(T98*(1+INDEX(Response_Table!$E$4:$E$21,MATCH($F98&amp;"|low",Response_Table!$A$4:$A$21,0))*$R98*INDEX(Parameters!$X$4:$AA$4,1,MATCH($E98,Parameters!$X$3:$AA$3,0))),T98*(1+INDEX(Response_Table!$E$4:$E$21,MATCH($F98&amp;"|high",Response_Table!$A$4:$A$21,0))*$R98*INDEX(Parameters!$X$4:$AA$4,1,MATCH($E98,Parameters!$X$3:$AA$3,0))))*(1+Inputs_General!$C$22*Parameters!$F$4))</f>
        <v>63.5173834975525</v>
      </c>
      <c r="X98" s="45" t="n">
        <f aca="false">IF(T98=0,0,U98/T98-1)</f>
        <v>-0.276011054447699</v>
      </c>
      <c r="Y98" s="44" t="n">
        <f aca="false">Parameters!$E$5*IF($N98="V",Parameters!$I$5,IF($N98="F",Parameters!$J$5,Parameters!$K$5))*(1-Parameters!$L$5*$P98)*IF($D98="V1",Parameters!$M$5,IF($D98="V2",Parameters!$N$5,Parameters!$O$5))</f>
        <v>58.6602514285714</v>
      </c>
      <c r="Z98" s="44" t="n">
        <f aca="false">MIN(100,Y98*(1+INDEX(Response_Table!$F$4:$F$21,MATCH($F98&amp;"|mid",Response_Table!$A$4:$A$21,0))*$R98*INDEX(Parameters!$X$5:$AA$5,1,MATCH($E98,Parameters!$X$3:$AA$3,0))))</f>
        <v>18.6490284438912</v>
      </c>
      <c r="AA98" s="44" t="n">
        <f aca="false">MAX(0,MIN(Y98*(1+INDEX(Response_Table!$F$4:$F$21,MATCH($F98&amp;"|low",Response_Table!$A$4:$A$21,0))*$R98*INDEX(Parameters!$X$5:$AA$5,1,MATCH($E98,Parameters!$X$3:$AA$3,0))),Y98*(1+INDEX(Response_Table!$F$4:$F$21,MATCH($F98&amp;"|high",Response_Table!$A$4:$A$21,0))*$R98*INDEX(Parameters!$X$5:$AA$5,1,MATCH($E98,Parameters!$X$3:$AA$3,0))))*(1-Inputs_General!$C$22*Parameters!$F$5))</f>
        <v>15.7001916252653</v>
      </c>
      <c r="AB98" s="44" t="n">
        <f aca="false">MIN(100,MAX(Y98*(1+INDEX(Response_Table!$F$4:$F$21,MATCH($F98&amp;"|low",Response_Table!$A$4:$A$21,0))*$R98*INDEX(Parameters!$X$5:$AA$5,1,MATCH($E98,Parameters!$X$3:$AA$3,0))),Y98*(1+INDEX(Response_Table!$F$4:$F$21,MATCH($F98&amp;"|high",Response_Table!$A$4:$A$21,0))*$R98*INDEX(Parameters!$X$5:$AA$5,1,MATCH($E98,Parameters!$X$3:$AA$3,0))))*(1+Inputs_General!$C$22*Parameters!$F$5))</f>
        <v>24.0507923618159</v>
      </c>
      <c r="AC98" s="45" t="n">
        <f aca="false">IF(Y98=0,0,Z98/Y98-1)</f>
        <v>-0.682084069029274</v>
      </c>
      <c r="AD98" s="44" t="n">
        <f aca="false">Parameters!$E$6*IF($N98="V",Parameters!$I$6,IF($N98="F",Parameters!$J$6,Parameters!$K$6))*(1-Parameters!$L$6*$P98)*IF($D98="V1",Parameters!$M$6,IF($D98="V2",Parameters!$N$6,Parameters!$O$6))</f>
        <v>14.3019785714286</v>
      </c>
      <c r="AE98" s="44" t="n">
        <f aca="false">AD98*(1+INDEX(Response_Table!$G$4:$G$21,MATCH($F98&amp;"|mid",Response_Table!$A$4:$A$21,0))*$R98*INDEX(Parameters!$X$6:$AA$6,1,MATCH($E98,Parameters!$X$3:$AA$3,0)))</f>
        <v>4.18978707945389</v>
      </c>
      <c r="AF98" s="44" t="n">
        <f aca="false">MAX(0,MIN(AD98*(1+INDEX(Response_Table!$G$4:$G$21,MATCH($F98&amp;"|low",Response_Table!$A$4:$A$21,0))*$R98*INDEX(Parameters!$X$6:$AA$6,1,MATCH($E98,Parameters!$X$3:$AA$3,0))),AD98*(1+INDEX(Response_Table!$G$4:$G$21,MATCH($F98&amp;"|high",Response_Table!$A$4:$A$21,0))*$R98*INDEX(Parameters!$X$6:$AA$6,1,MATCH($E98,Parameters!$X$3:$AA$3,0))))*(1-Inputs_General!$C$22*Parameters!$F$6))</f>
        <v>3.07419287955184</v>
      </c>
      <c r="AG98" s="44" t="n">
        <f aca="false">MAX(AD98*(1+INDEX(Response_Table!$G$4:$G$21,MATCH($F98&amp;"|low",Response_Table!$A$4:$A$21,0))*$R98*INDEX(Parameters!$X$6:$AA$6,1,MATCH($E98,Parameters!$X$3:$AA$3,0))),AD98*(1+INDEX(Response_Table!$G$4:$G$21,MATCH($F98&amp;"|high",Response_Table!$A$4:$A$21,0))*$R98*INDEX(Parameters!$X$6:$AA$6,1,MATCH($E98,Parameters!$X$3:$AA$3,0))))*(1+Inputs_General!$C$22*Parameters!$F$6)</f>
        <v>5.64318036085548</v>
      </c>
      <c r="AH98" s="45" t="n">
        <f aca="false">IF(AD98=0,0,AE98/AD98-1)</f>
        <v>-0.707048429800899</v>
      </c>
      <c r="AI98" s="46" t="n">
        <f aca="false">Parameters!$E$7*IF($N98="V",Parameters!$I$7,IF($N98="F",Parameters!$J$7,Parameters!$K$7))*(1-Parameters!$L$7*$P98)*IF($D98="V1",Parameters!$M$7,IF($D98="V2",Parameters!$N$7,Parameters!$O$7))*POWER($Q98/Inputs_General!$C$26,-Inputs_General!$C$25)</f>
        <v>0.258501574676089</v>
      </c>
      <c r="AJ98" s="46" t="n">
        <f aca="false">AI98*(1+INDEX(Response_Table!$H$4:$H$21,MATCH($F98&amp;"|mid",Response_Table!$A$4:$A$21,0))*$R98*INDEX(Parameters!$X$7:$AA$7,1,MATCH($E98,Parameters!$X$3:$AA$3,0)))</f>
        <v>0.114381297638081</v>
      </c>
      <c r="AK98" s="46" t="n">
        <f aca="false">MAX(0,MIN(AI98*(1+INDEX(Response_Table!$H$4:$H$21,MATCH($F98&amp;"|low",Response_Table!$A$4:$A$21,0))*$R98*INDEX(Parameters!$X$7:$AA$7,1,MATCH($E98,Parameters!$X$3:$AA$3,0))),AI98*(1+INDEX(Response_Table!$H$4:$H$21,MATCH($F98&amp;"|high",Response_Table!$A$4:$A$21,0))*$R98*INDEX(Parameters!$X$7:$AA$7,1,MATCH($E98,Parameters!$X$3:$AA$3,0))))*(1-Inputs_General!$C$22*Parameters!$F$7))</f>
        <v>0.0729207337719447</v>
      </c>
      <c r="AL98" s="46" t="n">
        <f aca="false">MAX(AI98*(1+INDEX(Response_Table!$H$4:$H$21,MATCH($F98&amp;"|low",Response_Table!$A$4:$A$21,0))*$R98*INDEX(Parameters!$X$7:$AA$7,1,MATCH($E98,Parameters!$X$3:$AA$3,0))),AI98*(1+INDEX(Response_Table!$H$4:$H$21,MATCH($F98&amp;"|high",Response_Table!$A$4:$A$21,0))*$R98*INDEX(Parameters!$X$7:$AA$7,1,MATCH($E98,Parameters!$X$3:$AA$3,0))))*(1+Inputs_General!$C$22*Parameters!$F$7)</f>
        <v>0.16442218095601</v>
      </c>
      <c r="AM98" s="45" t="n">
        <f aca="false">IF(AI98=0,0,AJ98/AI98-1)</f>
        <v>-0.557521853468766</v>
      </c>
      <c r="AN98" s="43" t="n">
        <f aca="false">AI98*$Q98/Inputs_General!$C$13*1000</f>
        <v>5.69967952720096</v>
      </c>
      <c r="AO98" s="43" t="n">
        <f aca="false">AJ98*$Q98/Inputs_General!$C$13*1000*(1+Inputs_General!$C$21*$I98)</f>
        <v>2.93180597338331</v>
      </c>
      <c r="AP98" s="43" t="n">
        <f aca="false">AK98*$Q98/Inputs_General!$C$13*1000*(1+Inputs_General!$C$21*$H98)</f>
        <v>1.81282058990411</v>
      </c>
      <c r="AQ98" s="43" t="n">
        <f aca="false">AL98*$Q98/Inputs_General!$C$13*1000*(1+Inputs_General!$C$21*$J98)</f>
        <v>4.3957136798556</v>
      </c>
      <c r="AR98" s="45" t="n">
        <f aca="false">IF(AN98=0,0,AO98/AN98-1)</f>
        <v>-0.485619154657441</v>
      </c>
      <c r="AS98" s="42" t="n">
        <f aca="false">Parameters!$E$9*IF($N98="V",Parameters!$I$9,IF($N98="F",Parameters!$J$9,Parameters!$K$9))*(1-Parameters!$L$9*$P98)*IF($D98="V1",Parameters!$M$9,IF($D98="V2",Parameters!$N$9,Parameters!$O$9))</f>
        <v>293.55</v>
      </c>
      <c r="AT98" s="42" t="n">
        <f aca="false">AS98*(1+INDEX(Response_Table!$I$4:$I$21,MATCH($F98&amp;"|mid",Response_Table!$A$4:$A$21,0))*$R98*INDEX(Parameters!$X$9:$AA$9,1,MATCH($E98,Parameters!$X$3:$AA$3,0)))</f>
        <v>375.074097334555</v>
      </c>
      <c r="AU98" s="42" t="n">
        <f aca="false">MAX(0,MIN(AS98*(1+INDEX(Response_Table!$I$4:$I$21,MATCH($F98&amp;"|low",Response_Table!$A$4:$A$21,0))*$R98*INDEX(Parameters!$X$9:$AA$9,1,MATCH($E98,Parameters!$X$3:$AA$3,0))),AS98*(1+INDEX(Response_Table!$I$4:$I$21,MATCH($F98&amp;"|high",Response_Table!$A$4:$A$21,0))*$R98*INDEX(Parameters!$X$9:$AA$9,1,MATCH($E98,Parameters!$X$3:$AA$3,0))))*(1-Inputs_General!$C$22*Parameters!$F$9))</f>
        <v>333.628832646892</v>
      </c>
      <c r="AV98" s="42" t="n">
        <f aca="false">MAX(AS98*(1+INDEX(Response_Table!$I$4:$I$21,MATCH($F98&amp;"|low",Response_Table!$A$4:$A$21,0))*$R98*INDEX(Parameters!$X$9:$AA$9,1,MATCH($E98,Parameters!$X$3:$AA$3,0))),AS98*(1+INDEX(Response_Table!$I$4:$I$21,MATCH($F98&amp;"|high",Response_Table!$A$4:$A$21,0))*$R98*INDEX(Parameters!$X$9:$AA$9,1,MATCH($E98,Parameters!$X$3:$AA$3,0))))*(1+Inputs_General!$C$22*Parameters!$F$9)</f>
        <v>416.051302501163</v>
      </c>
      <c r="AW98" s="45" t="n">
        <f aca="false">IF(AS98=0,0,AT98/AS98-1)</f>
        <v>0.2777179265357</v>
      </c>
      <c r="AX98" s="43" t="n">
        <f aca="false">INDEX(Context!$AB$4:$AB$51,$K98)</f>
        <v>2.93383375883642</v>
      </c>
      <c r="AY98" s="43" t="n">
        <f aca="false">AX98*(1+INDEX(Response_Table!$J$4:$J$21,MATCH($F98&amp;"|mid",Response_Table!$A$4:$A$21,0))*$R98*INDEX(Parameters!$X$10:$AA$10,1,MATCH($E98,Parameters!$X$3:$AA$3,0)))</f>
        <v>1.87357632146043</v>
      </c>
      <c r="AZ98" s="43" t="n">
        <f aca="false">MAX(0,MIN(AX98*(1+INDEX(Response_Table!$J$4:$J$21,MATCH($F98&amp;"|low",Response_Table!$A$4:$A$21,0))*$R98*INDEX(Parameters!$X$10:$AA$10,1,MATCH($E98,Parameters!$X$3:$AA$3,0))),AX98*(1+INDEX(Response_Table!$J$4:$J$21,MATCH($F98&amp;"|high",Response_Table!$A$4:$A$21,0))*$R98*INDEX(Parameters!$X$10:$AA$10,1,MATCH($E98,Parameters!$X$3:$AA$3,0))))*(1-Inputs_General!$C$22*Parameters!$F$10))</f>
        <v>1.42163493075682</v>
      </c>
      <c r="BA98" s="43" t="n">
        <f aca="false">MAX(AX98*(1+INDEX(Response_Table!$J$4:$J$21,MATCH($F98&amp;"|low",Response_Table!$A$4:$A$21,0))*$R98*INDEX(Parameters!$X$10:$AA$10,1,MATCH($E98,Parameters!$X$3:$AA$3,0))),AX98*(1+INDEX(Response_Table!$J$4:$J$21,MATCH($F98&amp;"|high",Response_Table!$A$4:$A$21,0))*$R98*INDEX(Parameters!$X$10:$AA$10,1,MATCH($E98,Parameters!$X$3:$AA$3,0))))*(1+Inputs_General!$C$22*Parameters!$F$10)</f>
        <v>2.37386989209719</v>
      </c>
      <c r="BB98" s="45" t="n">
        <f aca="false">IF(AX98=0,0,AY98/AX98-1)</f>
        <v>-0.361389746158113</v>
      </c>
      <c r="BC98" s="46" t="n">
        <f aca="false">Parameters!$E$11*IF($N98="V",Parameters!$I$11,IF($N98="F",Parameters!$J$11,Parameters!$K$11))*(1-Parameters!$L$11*$P98)*IF($D98="V1",Parameters!$M$11,IF($D98="V2",Parameters!$N$11,Parameters!$O$11))</f>
        <v>1.00170982142857</v>
      </c>
      <c r="BD98" s="46" t="n">
        <f aca="false">BC98*(1+INDEX(Response_Table!$K$4:$K$21,MATCH($F98&amp;"|mid",Response_Table!$A$4:$A$21,0))*$R98*INDEX(Parameters!$X$11:$AA$11,1,MATCH($E98,Parameters!$X$3:$AA$3,0)))</f>
        <v>0.431941920859109</v>
      </c>
      <c r="BE98" s="46" t="n">
        <f aca="false">MAX(0,MIN(BC98*(1+INDEX(Response_Table!$K$4:$K$21,MATCH($F98&amp;"|low",Response_Table!$A$4:$A$21,0))*$R98*INDEX(Parameters!$X$11:$AA$11,1,MATCH($E98,Parameters!$X$3:$AA$3,0))),BC98*(1+INDEX(Response_Table!$K$4:$K$21,MATCH($F98&amp;"|high",Response_Table!$A$4:$A$21,0))*$R98*INDEX(Parameters!$X$11:$AA$11,1,MATCH($E98,Parameters!$X$3:$AA$3,0))))*(1-Inputs_General!$C$22*Parameters!$F$11))</f>
        <v>0.328761095537153</v>
      </c>
      <c r="BF98" s="46" t="n">
        <f aca="false">MAX(BC98*(1+INDEX(Response_Table!$K$4:$K$21,MATCH($F98&amp;"|low",Response_Table!$A$4:$A$21,0))*$R98*INDEX(Parameters!$X$11:$AA$11,1,MATCH($E98,Parameters!$X$3:$AA$3,0))),BC98*(1+INDEX(Response_Table!$K$4:$K$21,MATCH($F98&amp;"|high",Response_Table!$A$4:$A$21,0))*$R98*INDEX(Parameters!$X$11:$AA$11,1,MATCH($E98,Parameters!$X$3:$AA$3,0))))*(1+Inputs_General!$C$22*Parameters!$F$11)</f>
        <v>0.55653262849443</v>
      </c>
      <c r="BG98" s="45" t="n">
        <f aca="false">IF(BC98=0,0,BD98/BC98-1)</f>
        <v>-0.568795362070921</v>
      </c>
      <c r="BH98" s="46" t="n">
        <f aca="false">Parameters!$E$12*IF($N98="V",Parameters!$I$12,IF($N98="F",Parameters!$J$12,Parameters!$K$12))*(1-Parameters!$L$12*$P98)*IF($D98="V1",Parameters!$M$12,IF($D98="V2",Parameters!$N$12,Parameters!$O$12))</f>
        <v>0.373343142857143</v>
      </c>
      <c r="BI98" s="46" t="n">
        <f aca="false">BH98*(1+INDEX(Response_Table!$L$4:$L$21,MATCH($F98&amp;"|mid",Response_Table!$A$4:$A$21,0))*$R98*INDEX(Parameters!$X$12:$AA$12,1,MATCH($E98,Parameters!$X$3:$AA$3,0)))</f>
        <v>0.197218791253969</v>
      </c>
      <c r="BJ98" s="46" t="n">
        <f aca="false">MAX(0,MIN(BH98*(1+INDEX(Response_Table!$L$4:$L$21,MATCH($F98&amp;"|low",Response_Table!$A$4:$A$21,0))*$R98*INDEX(Parameters!$X$12:$AA$12,1,MATCH($E98,Parameters!$X$3:$AA$3,0))),BH98*(1+INDEX(Response_Table!$L$4:$L$21,MATCH($F98&amp;"|high",Response_Table!$A$4:$A$21,0))*$R98*INDEX(Parameters!$X$12:$AA$12,1,MATCH($E98,Parameters!$X$3:$AA$3,0))))*(1-Inputs_General!$C$22*Parameters!$F$12))</f>
        <v>0.147708581216903</v>
      </c>
      <c r="BK98" s="46" t="n">
        <f aca="false">MAX(BH98*(1+INDEX(Response_Table!$L$4:$L$21,MATCH($F98&amp;"|low",Response_Table!$A$4:$A$21,0))*$R98*INDEX(Parameters!$X$12:$AA$12,1,MATCH($E98,Parameters!$X$3:$AA$3,0))),BH98*(1+INDEX(Response_Table!$L$4:$L$21,MATCH($F98&amp;"|high",Response_Table!$A$4:$A$21,0))*$R98*INDEX(Parameters!$X$12:$AA$12,1,MATCH($E98,Parameters!$X$3:$AA$3,0))))*(1+Inputs_General!$C$22*Parameters!$F$12)</f>
        <v>0.254408671793752</v>
      </c>
      <c r="BL98" s="45" t="n">
        <f aca="false">IF(BH98=0,0,BI98/BH98-1)</f>
        <v>-0.471749260627418</v>
      </c>
      <c r="BM98" s="46" t="n">
        <f aca="false">Parameters!$E$13*IF($N98="V",Parameters!$I$13,IF($N98="F",Parameters!$J$13,Parameters!$K$13))*(1-Parameters!$L$13*$P98)*IF($D98="V1",Parameters!$M$13,IF($D98="V2",Parameters!$N$13,Parameters!$O$13))</f>
        <v>0.262276071428571</v>
      </c>
      <c r="BN98" s="46" t="n">
        <f aca="false">BM98*(1+INDEX(Response_Table!$M$4:$M$21,MATCH($F98&amp;"|mid",Response_Table!$A$4:$A$21,0))*$R98*INDEX(Parameters!$X$13:$AA$13,1,MATCH($E98,Parameters!$X$3:$AA$3,0)))</f>
        <v>0.172988387214396</v>
      </c>
      <c r="BO98" s="46" t="n">
        <f aca="false">MAX(0,MIN(BM98*(1+INDEX(Response_Table!$M$4:$M$21,MATCH($F98&amp;"|low",Response_Table!$A$4:$A$21,0))*$R98*INDEX(Parameters!$X$13:$AA$13,1,MATCH($E98,Parameters!$X$3:$AA$3,0))),BM98*(1+INDEX(Response_Table!$M$4:$M$21,MATCH($F98&amp;"|high",Response_Table!$A$4:$A$21,0))*$R98*INDEX(Parameters!$X$13:$AA$13,1,MATCH($E98,Parameters!$X$3:$AA$3,0))))*(1-Inputs_General!$C$22*Parameters!$F$13))</f>
        <v>0.132975189828341</v>
      </c>
      <c r="BP98" s="46" t="n">
        <f aca="false">MAX(BM98*(1+INDEX(Response_Table!$M$4:$M$21,MATCH($F98&amp;"|low",Response_Table!$A$4:$A$21,0))*$R98*INDEX(Parameters!$X$13:$AA$13,1,MATCH($E98,Parameters!$X$3:$AA$3,0))),BM98*(1+INDEX(Response_Table!$M$4:$M$21,MATCH($F98&amp;"|high",Response_Table!$A$4:$A$21,0))*$R98*INDEX(Parameters!$X$13:$AA$13,1,MATCH($E98,Parameters!$X$3:$AA$3,0))))*(1+Inputs_General!$C$22*Parameters!$F$13)</f>
        <v>0.218285142038729</v>
      </c>
      <c r="BQ98" s="45" t="n">
        <f aca="false">IF(BM98=0,0,BN98/BM98-1)</f>
        <v>-0.340433969930393</v>
      </c>
      <c r="BR98" s="44" t="n">
        <f aca="false">Parameters!$E$14*IF($N98="V",Parameters!$I$14,IF($N98="F",Parameters!$J$14,Parameters!$K$14))*(1-Parameters!$L$14*$P98)*IF($D98="V1",Parameters!$M$14,IF($D98="V2",Parameters!$N$14,Parameters!$O$14))*INDEX(Context!$AC$4:$AC$51,$K98)</f>
        <v>17.25</v>
      </c>
      <c r="BS98" s="44" t="n">
        <f aca="false">BR98*(1+INDEX(Response_Table!$N$4:$N$21,MATCH($F98&amp;"|mid",Response_Table!$A$4:$A$21,0))*$R98*INDEX(Parameters!$X$14:$AA$14,1,MATCH($E98,Parameters!$X$3:$AA$3,0)))</f>
        <v>26.1274633590796</v>
      </c>
      <c r="BT98" s="44" t="n">
        <f aca="false">MAX(0,MIN(BR98*(1+INDEX(Response_Table!$N$4:$N$21,MATCH($F98&amp;"|low",Response_Table!$A$4:$A$21,0))*$R98*INDEX(Parameters!$X$14:$AA$14,1,MATCH($E98,Parameters!$X$3:$AA$3,0))),BR98*(1+INDEX(Response_Table!$N$4:$N$21,MATCH($F98&amp;"|high",Response_Table!$A$4:$A$21,0))*$R98*INDEX(Parameters!$X$14:$AA$14,1,MATCH($E98,Parameters!$X$3:$AA$3,0))))*(1-Inputs_General!$C$22*Parameters!$F$14))</f>
        <v>12.844260484621</v>
      </c>
      <c r="BU98" s="44" t="n">
        <f aca="false">MAX(BR98*(1+INDEX(Response_Table!$N$4:$N$21,MATCH($F98&amp;"|low",Response_Table!$A$4:$A$21,0))*$R98*INDEX(Parameters!$X$14:$AA$14,1,MATCH($E98,Parameters!$X$3:$AA$3,0))),BR98*(1+INDEX(Response_Table!$N$4:$N$21,MATCH($F98&amp;"|high",Response_Table!$A$4:$A$21,0))*$R98*INDEX(Parameters!$X$14:$AA$14,1,MATCH($E98,Parameters!$X$3:$AA$3,0))))*(1+Inputs_General!$C$22*Parameters!$F$14)</f>
        <v>40.0136350794123</v>
      </c>
      <c r="BV98" s="45" t="n">
        <f aca="false">IF(BR98=0,0,BS98/BR98-1)</f>
        <v>0.514635557048092</v>
      </c>
      <c r="BW98" s="43" t="n">
        <f aca="false">Parameters!$E$15*IF($N98="V",Parameters!$I$15,IF($N98="F",Parameters!$J$15,Parameters!$K$15))*(1-Parameters!$L$15*$P98)*IF($D98="V1",Parameters!$M$15,IF($D98="V2",Parameters!$N$15,Parameters!$O$15))</f>
        <v>8.04007657142857</v>
      </c>
      <c r="BX98" s="43" t="n">
        <f aca="false">BW98*(1+INDEX(Response_Table!$O$4:$O$21,MATCH($F98&amp;"|mid",Response_Table!$A$4:$A$21,0))*$R98*INDEX(Parameters!$X$15:$AA$15,1,MATCH($E98,Parameters!$X$3:$AA$3,0)))</f>
        <v>7.00564925016696</v>
      </c>
      <c r="BY98" s="43" t="n">
        <f aca="false">MAX(0,MIN(BW98*(1+INDEX(Response_Table!$O$4:$O$21,MATCH($F98&amp;"|low",Response_Table!$A$4:$A$21,0))*$R98*INDEX(Parameters!$X$15:$AA$15,1,MATCH($E98,Parameters!$X$3:$AA$3,0))),BW98*(1+INDEX(Response_Table!$O$4:$O$21,MATCH($F98&amp;"|high",Response_Table!$A$4:$A$21,0))*$R98*INDEX(Parameters!$X$15:$AA$15,1,MATCH($E98,Parameters!$X$3:$AA$3,0))))*(1-Inputs_General!$C$22*Parameters!$F$15))</f>
        <v>5.56059938181482</v>
      </c>
      <c r="BZ98" s="43" t="n">
        <f aca="false">MAX(BW98*(1+INDEX(Response_Table!$O$4:$O$21,MATCH($F98&amp;"|low",Response_Table!$A$4:$A$21,0))*$R98*INDEX(Parameters!$X$15:$AA$15,1,MATCH($E98,Parameters!$X$3:$AA$3,0))),BW98*(1+INDEX(Response_Table!$O$4:$O$21,MATCH($F98&amp;"|high",Response_Table!$A$4:$A$21,0))*$R98*INDEX(Parameters!$X$15:$AA$15,1,MATCH($E98,Parameters!$X$3:$AA$3,0))))*(1+Inputs_General!$C$22*Parameters!$F$15)</f>
        <v>8.49580396014937</v>
      </c>
      <c r="CA98" s="45" t="n">
        <f aca="false">IF(BW98=0,0,BX98/BW98-1)</f>
        <v>-0.128658889262023</v>
      </c>
      <c r="CB98" s="46" t="n">
        <f aca="false">BD98+BI98</f>
        <v>0.629160712113079</v>
      </c>
      <c r="CC98" s="43" t="n">
        <f aca="false">BD98/BI98</f>
        <v>2.19016615056156</v>
      </c>
      <c r="CD98" s="46" t="n">
        <f aca="false">BN98/CB98</f>
        <v>0.274951032198756</v>
      </c>
      <c r="CE98" s="43" t="n">
        <f aca="false">AE98/AO98</f>
        <v>1.4290806136188</v>
      </c>
      <c r="CF98" s="44" t="n">
        <f aca="false">AE98/AJ98</f>
        <v>36.6300012849214</v>
      </c>
      <c r="CG98" s="44" t="n">
        <f aca="false">INDEX(Context!$V$4:$V$51,$K98)</f>
        <v>32.7871428571429</v>
      </c>
      <c r="CH98" s="44" t="n">
        <f aca="false">INDEX(Context!$Y$4:$Y$51,$K98)</f>
        <v>28.36912210206</v>
      </c>
      <c r="CI98" s="44" t="n">
        <f aca="false">INDEX(Context!$Z$4:$Z$51,$K98)</f>
        <v>36.7871428571429</v>
      </c>
      <c r="CJ98" s="43" t="n">
        <f aca="false">INDEX(Context!$AA$4:$AA$51,$K98)</f>
        <v>0.347678571428571</v>
      </c>
      <c r="CK98" s="43" t="n">
        <f aca="false">MAX(0,MIN(1,1-(1-CJ98)*AO98/AN98))</f>
        <v>0.664458352136363</v>
      </c>
      <c r="CL98" s="44" t="n">
        <f aca="false">CH98+CK98*(CI98-CH98)</f>
        <v>33.9625463012321</v>
      </c>
      <c r="CM98" s="44" t="n">
        <f aca="false">CH98+MAX(0,MIN(1,1-(1-CJ98)*AQ98/AN98))*(CI98-CH98)</f>
        <v>32.5521703406765</v>
      </c>
      <c r="CN98" s="44" t="n">
        <f aca="false">CH98+MAX(0,MIN(1,1-(1-CJ98)*AP98/AN98))*(CI98-CH98)</f>
        <v>35.0406129567285</v>
      </c>
      <c r="CO98" s="44" t="n">
        <f aca="false">CL98-CG98</f>
        <v>1.17540344408921</v>
      </c>
      <c r="CP98" s="44" t="n">
        <f aca="false">CL98-(CH98+CJ98*(CI98-CH98))</f>
        <v>2.66665876878877</v>
      </c>
      <c r="CQ98" s="46" t="n">
        <f aca="false">CL98/CG98</f>
        <v>1.03584952336989</v>
      </c>
      <c r="CR98" s="43" t="n">
        <f aca="false">IF(CL98-CH98&lt;=0,"n/a",(CI98-CL98)/(CL98-CH98))</f>
        <v>0.504985221097463</v>
      </c>
      <c r="CS98" s="43" t="n">
        <f aca="false">IF(CI98-CL98&lt;=0,"n/a",(CL98-CH98)/(CI98-CL98))</f>
        <v>1.98025597229706</v>
      </c>
      <c r="CT98" s="43" t="n">
        <f aca="false">Inputs_General!$C$23+Inputs_General!$C$24*$I98</f>
        <v>1.9</v>
      </c>
      <c r="CU98" s="44" t="n">
        <f aca="false">3.29*CT98</f>
        <v>6.251</v>
      </c>
    </row>
    <row r="99" customFormat="false" ht="15" hidden="false" customHeight="false" outlineLevel="0" collapsed="false">
      <c r="A99" s="33" t="str">
        <f aca="false">B99&amp;"|"&amp;E99&amp;"|"&amp;F99</f>
        <v>D2V2|11/02/2026|Healthy</v>
      </c>
      <c r="B99" s="34" t="s">
        <v>347</v>
      </c>
      <c r="C99" s="33" t="s">
        <v>129</v>
      </c>
      <c r="D99" s="33" t="s">
        <v>146</v>
      </c>
      <c r="E99" s="33" t="s">
        <v>158</v>
      </c>
      <c r="F99" s="34" t="s">
        <v>275</v>
      </c>
      <c r="G99" s="33" t="s">
        <v>276</v>
      </c>
      <c r="H99" s="35" t="n">
        <f aca="false">INDEX(Severity_Classes!$C$4:$C$9,MATCH(F99,Severity_Classes!$A$4:$A$9,0))</f>
        <v>0</v>
      </c>
      <c r="I99" s="35" t="n">
        <f aca="false">INDEX(Severity_Classes!$D$4:$D$9,MATCH(F99,Severity_Classes!$A$4:$A$9,0))</f>
        <v>0</v>
      </c>
      <c r="J99" s="35" t="n">
        <f aca="false">INDEX(Severity_Classes!$E$4:$E$9,MATCH(F99,Severity_Classes!$A$4:$A$9,0))</f>
        <v>0</v>
      </c>
      <c r="K99" s="36" t="n">
        <f aca="false">MATCH(B99&amp;"|"&amp;E99,Context!$A$4:$A$51,0)</f>
        <v>17</v>
      </c>
      <c r="L99" s="36" t="n">
        <f aca="false">INDEX(Context!$H$4:$H$51,K99)</f>
        <v>55</v>
      </c>
      <c r="M99" s="36" t="n">
        <f aca="false">INDEX(Context!$I$4:$I$51,K99)</f>
        <v>6</v>
      </c>
      <c r="N99" s="33" t="str">
        <f aca="false">INDEX(Context!$L$4:$L$51,K99)</f>
        <v>V</v>
      </c>
      <c r="O99" s="33" t="str">
        <f aca="false">INDEX(Context!$M$4:$M$51,K99)</f>
        <v>3rd fully expanded leaf from top</v>
      </c>
      <c r="P99" s="37" t="n">
        <f aca="false">INDEX(Context!$R$4:$R$51,K99)</f>
        <v>0</v>
      </c>
      <c r="Q99" s="37" t="n">
        <f aca="false">INDEX(Context!$U$4:$U$51,K99)</f>
        <v>0.937791824040773</v>
      </c>
      <c r="R99" s="37" t="n">
        <f aca="false">INDEX(Context!$AD$4:$AD$51,K99)</f>
        <v>1.1</v>
      </c>
      <c r="S99" s="33" t="str">
        <f aca="false">INDEX(Context!$AI$4:$AN$51,K99,MATCH(F99,Severity_Classes!$A$4:$A$9,0))</f>
        <v>Reference: healthy (uninoculated) control plot</v>
      </c>
      <c r="T99" s="38" t="n">
        <f aca="false">Parameters!$E$4*IF($N99="V",Parameters!$I$4,IF($N99="F",Parameters!$J$4,Parameters!$K$4))*(1-Parameters!$L$4*$P99)*IF($D99="V1",Parameters!$M$4,IF($D99="V2",Parameters!$N$4,Parameters!$O$4))</f>
        <v>86</v>
      </c>
      <c r="U99" s="38" t="n">
        <f aca="false">MIN(100,T99*(1+INDEX(Response_Table!$E$4:$E$21,MATCH($F99&amp;"|mid",Response_Table!$A$4:$A$21,0))*$R99*INDEX(Parameters!$X$4:$AA$4,1,MATCH($E99,Parameters!$X$3:$AA$3,0))))</f>
        <v>86</v>
      </c>
      <c r="V99" s="38" t="n">
        <f aca="false">MAX(0,MIN(T99*(1+INDEX(Response_Table!$E$4:$E$21,MATCH($F99&amp;"|low",Response_Table!$A$4:$A$21,0))*$R99*INDEX(Parameters!$X$4:$AA$4,1,MATCH($E99,Parameters!$X$3:$AA$3,0))),T99*(1+INDEX(Response_Table!$E$4:$E$21,MATCH($F99&amp;"|high",Response_Table!$A$4:$A$21,0))*$R99*INDEX(Parameters!$X$4:$AA$4,1,MATCH($E99,Parameters!$X$3:$AA$3,0))))*(1-Inputs_General!$C$22*Parameters!$F$4))</f>
        <v>80.3412</v>
      </c>
      <c r="W99" s="38" t="n">
        <f aca="false">MIN(100,MAX(T99*(1+INDEX(Response_Table!$E$4:$E$21,MATCH($F99&amp;"|low",Response_Table!$A$4:$A$21,0))*$R99*INDEX(Parameters!$X$4:$AA$4,1,MATCH($E99,Parameters!$X$3:$AA$3,0))),T99*(1+INDEX(Response_Table!$E$4:$E$21,MATCH($F99&amp;"|high",Response_Table!$A$4:$A$21,0))*$R99*INDEX(Parameters!$X$4:$AA$4,1,MATCH($E99,Parameters!$X$3:$AA$3,0))))*(1+Inputs_General!$C$22*Paramet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Parameters!$E$5*IF($N99="V",Parameters!$I$5,IF($N99="F",Parameters!$J$5,Parameters!$K$5))*(1-Parameters!$L$5*$P99)*IF($D99="V1",Parameters!$M$5,IF($D99="V2",Parameters!$N$5,Parameters!$O$5))</f>
        <v>72</v>
      </c>
      <c r="Z99" s="38" t="n">
        <f aca="false">MIN(100,Y99*(1+INDEX(Response_Table!$F$4:$F$21,MATCH($F99&amp;"|mid",Response_Table!$A$4:$A$21,0))*$R99*INDEX(Parameters!$X$5:$AA$5,1,MATCH($E99,Parameters!$X$3:$AA$3,0))))</f>
        <v>72</v>
      </c>
      <c r="AA99" s="38" t="n">
        <f aca="false">MAX(0,MIN(Y99*(1+INDEX(Response_Table!$F$4:$F$21,MATCH($F99&amp;"|low",Response_Table!$A$4:$A$21,0))*$R99*INDEX(Parameters!$X$5:$AA$5,1,MATCH($E99,Parameters!$X$3:$AA$3,0))),Y99*(1+INDEX(Response_Table!$F$4:$F$21,MATCH($F99&amp;"|high",Response_Table!$A$4:$A$21,0))*$R99*INDEX(Parameters!$X$5:$AA$5,1,MATCH($E99,Parameters!$X$3:$AA$3,0))))*(1-Inputs_General!$C$22*Parameters!$F$5))</f>
        <v>63.7092</v>
      </c>
      <c r="AB99" s="38" t="n">
        <f aca="false">MIN(100,MAX(Y99*(1+INDEX(Response_Table!$F$4:$F$21,MATCH($F99&amp;"|low",Response_Table!$A$4:$A$21,0))*$R99*INDEX(Parameters!$X$5:$AA$5,1,MATCH($E99,Parameters!$X$3:$AA$3,0))),Y99*(1+INDEX(Response_Table!$F$4:$F$21,MATCH($F99&amp;"|high",Response_Table!$A$4:$A$21,0))*$R99*INDEX(Parameters!$X$5:$AA$5,1,MATCH($E99,Parameters!$X$3:$AA$3,0))))*(1+Inputs_General!$C$22*Parameters!$F$5))</f>
        <v>80.2908</v>
      </c>
      <c r="AC99" s="39" t="n">
        <f aca="false">IF(Y99=0,0,Z99/Y99-1)</f>
        <v>0</v>
      </c>
      <c r="AD99" s="38" t="n">
        <f aca="false">Parameters!$E$6*IF($N99="V",Parameters!$I$6,IF($N99="F",Parameters!$J$6,Parameters!$K$6))*(1-Parameters!$L$6*$P99)*IF($D99="V1",Parameters!$M$6,IF($D99="V2",Parameters!$N$6,Parameters!$O$6))</f>
        <v>19</v>
      </c>
      <c r="AE99" s="38" t="n">
        <f aca="false">AD99*(1+INDEX(Response_Table!$G$4:$G$21,MATCH($F99&amp;"|mid",Response_Table!$A$4:$A$21,0))*$R99*INDEX(Parameters!$X$6:$AA$6,1,MATCH($E99,Parameters!$X$3:$AA$3,0)))</f>
        <v>19</v>
      </c>
      <c r="AF99" s="38" t="n">
        <f aca="false">MAX(0,MIN(AD99*(1+INDEX(Response_Table!$G$4:$G$21,MATCH($F99&amp;"|low",Response_Table!$A$4:$A$21,0))*$R99*INDEX(Parameters!$X$6:$AA$6,1,MATCH($E99,Parameters!$X$3:$AA$3,0))),AD99*(1+INDEX(Response_Table!$G$4:$G$21,MATCH($F99&amp;"|high",Response_Table!$A$4:$A$21,0))*$R99*INDEX(Parameters!$X$6:$AA$6,1,MATCH($E99,Parameters!$X$3:$AA$3,0))))*(1-Inputs_General!$C$22*Parameters!$F$6))</f>
        <v>15.2494</v>
      </c>
      <c r="AG99" s="38" t="n">
        <f aca="false">MAX(AD99*(1+INDEX(Response_Table!$G$4:$G$21,MATCH($F99&amp;"|low",Response_Table!$A$4:$A$21,0))*$R99*INDEX(Parameters!$X$6:$AA$6,1,MATCH($E99,Parameters!$X$3:$AA$3,0))),AD99*(1+INDEX(Response_Table!$G$4:$G$21,MATCH($F99&amp;"|high",Response_Table!$A$4:$A$21,0))*$R99*INDEX(Parameters!$X$6:$AA$6,1,MATCH($E99,Parameters!$X$3:$AA$3,0))))*(1+Inputs_General!$C$22*Parameters!$F$6)</f>
        <v>22.7506</v>
      </c>
      <c r="AH99" s="39" t="n">
        <f aca="false">IF(AD99=0,0,AE99/AD99-1)</f>
        <v>0</v>
      </c>
      <c r="AI99" s="40" t="n">
        <f aca="false">Parameters!$E$7*IF($N99="V",Parameters!$I$7,IF($N99="F",Parameters!$J$7,Parameters!$K$7))*(1-Parameters!$L$7*$P99)*IF($D99="V1",Parameters!$M$7,IF($D99="V2",Parameters!$N$7,Parameters!$O$7))*POWER($Q99/Inputs_General!$C$26,-Inputs_General!$C$25)</f>
        <v>0.464685683730118</v>
      </c>
      <c r="AJ99" s="40" t="n">
        <f aca="false">AI99*(1+INDEX(Response_Table!$H$4:$H$21,MATCH($F99&amp;"|mid",Response_Table!$A$4:$A$21,0))*$R99*INDEX(Parameters!$X$7:$AA$7,1,MATCH($E99,Parameters!$X$3:$AA$3,0)))</f>
        <v>0.464685683730118</v>
      </c>
      <c r="AK99" s="40" t="n">
        <f aca="false">MAX(0,MIN(AI99*(1+INDEX(Response_Table!$H$4:$H$21,MATCH($F99&amp;"|low",Response_Table!$A$4:$A$21,0))*$R99*INDEX(Parameters!$X$7:$AA$7,1,MATCH($E99,Parameters!$X$3:$AA$3,0))),AI99*(1+INDEX(Response_Table!$H$4:$H$21,MATCH($F99&amp;"|high",Response_Table!$A$4:$A$21,0))*$R99*INDEX(Parameters!$X$7:$AA$7,1,MATCH($E99,Parameters!$X$3:$AA$3,0))))*(1-Inputs_General!$C$22*Parameters!$F$7))</f>
        <v>0.32709225277763</v>
      </c>
      <c r="AL99" s="40" t="n">
        <f aca="false">MAX(AI99*(1+INDEX(Response_Table!$H$4:$H$21,MATCH($F99&amp;"|low",Response_Table!$A$4:$A$21,0))*$R99*INDEX(Parameters!$X$7:$AA$7,1,MATCH($E99,Parameters!$X$3:$AA$3,0))),AI99*(1+INDEX(Response_Table!$H$4:$H$21,MATCH($F99&amp;"|high",Response_Table!$A$4:$A$21,0))*$R99*INDEX(Parameters!$X$7:$AA$7,1,MATCH($E99,Parameters!$X$3:$AA$3,0))))*(1+Inputs_General!$C$22*Parameters!$F$7)</f>
        <v>0.602279114682606</v>
      </c>
      <c r="AM99" s="39" t="n">
        <f aca="false">IF(AI99=0,0,AJ99/AI99-1)</f>
        <v>0</v>
      </c>
      <c r="AN99" s="37" t="n">
        <f aca="false">AI99*$Q99/Inputs_General!$C$13*1000</f>
        <v>4.38850387664553</v>
      </c>
      <c r="AO99" s="37" t="n">
        <f aca="false">AJ99*$Q99/Inputs_General!$C$13*1000*(1+Inputs_General!$C$21*$I99)</f>
        <v>4.38850387664553</v>
      </c>
      <c r="AP99" s="37" t="n">
        <f aca="false">AK99*$Q99/Inputs_General!$C$13*1000*(1+Inputs_General!$C$21*$H99)</f>
        <v>3.08906787877079</v>
      </c>
      <c r="AQ99" s="37" t="n">
        <f aca="false">AL99*$Q99/Inputs_General!$C$13*1000*(1+Inputs_General!$C$21*$J99)</f>
        <v>5.68793987452027</v>
      </c>
      <c r="AR99" s="39" t="n">
        <f aca="false">IF(AN99=0,0,AO99/AN99-1)</f>
        <v>0</v>
      </c>
      <c r="AS99" s="36" t="n">
        <f aca="false">Parameters!$E$9*IF($N99="V",Parameters!$I$9,IF($N99="F",Parameters!$J$9,Parameters!$K$9))*(1-Parameters!$L$9*$P99)*IF($D99="V1",Parameters!$M$9,IF($D99="V2",Parameters!$N$9,Parameters!$O$9))</f>
        <v>285</v>
      </c>
      <c r="AT99" s="36" t="n">
        <f aca="false">AS99*(1+INDEX(Response_Table!$I$4:$I$21,MATCH($F99&amp;"|mid",Response_Table!$A$4:$A$21,0))*$R99*INDEX(Parameters!$X$9:$AA$9,1,MATCH($E99,Parameters!$X$3:$AA$3,0)))</f>
        <v>285</v>
      </c>
      <c r="AU99" s="36" t="n">
        <f aca="false">MAX(0,MIN(AS99*(1+INDEX(Response_Table!$I$4:$I$21,MATCH($F99&amp;"|low",Response_Table!$A$4:$A$21,0))*$R99*INDEX(Parameters!$X$9:$AA$9,1,MATCH($E99,Parameters!$X$3:$AA$3,0))),AS99*(1+INDEX(Response_Table!$I$4:$I$21,MATCH($F99&amp;"|high",Response_Table!$A$4:$A$21,0))*$R99*INDEX(Parameters!$X$9:$AA$9,1,MATCH($E99,Parameters!$X$3:$AA$3,0))))*(1-Inputs_General!$C$22*Parameters!$F$9))</f>
        <v>256.8705</v>
      </c>
      <c r="AV99" s="36" t="n">
        <f aca="false">MAX(AS99*(1+INDEX(Response_Table!$I$4:$I$21,MATCH($F99&amp;"|low",Response_Table!$A$4:$A$21,0))*$R99*INDEX(Parameters!$X$9:$AA$9,1,MATCH($E99,Parameters!$X$3:$AA$3,0))),AS99*(1+INDEX(Response_Table!$I$4:$I$21,MATCH($F99&amp;"|high",Response_Table!$A$4:$A$21,0))*$R99*INDEX(Parameters!$X$9:$AA$9,1,MATCH($E99,Parameters!$X$3:$AA$3,0))))*(1+Inputs_General!$C$22*Parameters!$F$9)</f>
        <v>313.1295</v>
      </c>
      <c r="AW99" s="39" t="n">
        <f aca="false">IF(AS99=0,0,AT99/AS99-1)</f>
        <v>0</v>
      </c>
      <c r="AX99" s="37" t="n">
        <f aca="false">INDEX(Context!$AB$4:$AB$51,$K99)</f>
        <v>1.88260488051479</v>
      </c>
      <c r="AY99" s="37" t="n">
        <f aca="false">AX99*(1+INDEX(Response_Table!$J$4:$J$21,MATCH($F99&amp;"|mid",Response_Table!$A$4:$A$21,0))*$R99*INDEX(Parameters!$X$10:$AA$10,1,MATCH($E99,Parameters!$X$3:$AA$3,0)))</f>
        <v>1.88260488051479</v>
      </c>
      <c r="AZ99" s="37" t="n">
        <f aca="false">MAX(0,MIN(AX99*(1+INDEX(Response_Table!$J$4:$J$21,MATCH($F99&amp;"|low",Response_Table!$A$4:$A$21,0))*$R99*INDEX(Parameters!$X$10:$AA$10,1,MATCH($E99,Parameters!$X$3:$AA$3,0))),AX99*(1+INDEX(Response_Table!$J$4:$J$21,MATCH($F99&amp;"|high",Response_Table!$A$4:$A$21,0))*$R99*INDEX(Parameters!$X$10:$AA$10,1,MATCH($E99,Parameters!$X$3:$AA$3,0))))*(1-Inputs_General!$C$22*Parameters!$F$10))</f>
        <v>1.51097867710117</v>
      </c>
      <c r="BA99" s="37" t="n">
        <f aca="false">MAX(AX99*(1+INDEX(Response_Table!$J$4:$J$21,MATCH($F99&amp;"|low",Response_Table!$A$4:$A$21,0))*$R99*INDEX(Parameters!$X$10:$AA$10,1,MATCH($E99,Parameters!$X$3:$AA$3,0))),AX99*(1+INDEX(Response_Table!$J$4:$J$21,MATCH($F99&amp;"|high",Response_Table!$A$4:$A$21,0))*$R99*INDEX(Parameters!$X$10:$AA$10,1,MATCH($E99,Parameters!$X$3:$AA$3,0))))*(1+Inputs_General!$C$22*Parameters!$F$10)</f>
        <v>2.25423108392841</v>
      </c>
      <c r="BB99" s="39" t="n">
        <f aca="false">IF(AX99=0,0,AY99/AX99-1)</f>
        <v>0</v>
      </c>
      <c r="BC99" s="40" t="n">
        <f aca="false">Parameters!$E$11*IF($N99="V",Parameters!$I$11,IF($N99="F",Parameters!$J$11,Parameters!$K$11))*(1-Parameters!$L$11*$P99)*IF($D99="V1",Parameters!$M$11,IF($D99="V2",Parameters!$N$11,Parameters!$O$11))</f>
        <v>1.1875</v>
      </c>
      <c r="BD99" s="40" t="n">
        <f aca="false">BC99*(1+INDEX(Response_Table!$K$4:$K$21,MATCH($F99&amp;"|mid",Response_Table!$A$4:$A$21,0))*$R99*INDEX(Parameters!$X$11:$AA$11,1,MATCH($E99,Parameters!$X$3:$AA$3,0)))</f>
        <v>1.1875</v>
      </c>
      <c r="BE99" s="40" t="n">
        <f aca="false">MAX(0,MIN(BC99*(1+INDEX(Response_Table!$K$4:$K$21,MATCH($F99&amp;"|low",Response_Table!$A$4:$A$21,0))*$R99*INDEX(Parameters!$X$11:$AA$11,1,MATCH($E99,Parameters!$X$3:$AA$3,0))),BC99*(1+INDEX(Response_Table!$K$4:$K$21,MATCH($F99&amp;"|high",Response_Table!$A$4:$A$21,0))*$R99*INDEX(Parameters!$X$11:$AA$11,1,MATCH($E99,Parameters!$X$3:$AA$3,0))))*(1-Inputs_General!$C$22*Parameters!$F$11))</f>
        <v>0.99215625</v>
      </c>
      <c r="BF99" s="40" t="n">
        <f aca="false">MAX(BC99*(1+INDEX(Response_Table!$K$4:$K$21,MATCH($F99&amp;"|low",Response_Table!$A$4:$A$21,0))*$R99*INDEX(Parameters!$X$11:$AA$11,1,MATCH($E99,Parameters!$X$3:$AA$3,0))),BC99*(1+INDEX(Response_Table!$K$4:$K$21,MATCH($F99&amp;"|high",Response_Table!$A$4:$A$21,0))*$R99*INDEX(Parameters!$X$11:$AA$11,1,MATCH($E99,Parameters!$X$3:$AA$3,0))))*(1+Inputs_General!$C$22*Parameters!$F$11)</f>
        <v>1.38284375</v>
      </c>
      <c r="BG99" s="39" t="n">
        <f aca="false">IF(BC99=0,0,BD99/BC99-1)</f>
        <v>0</v>
      </c>
      <c r="BH99" s="40" t="n">
        <f aca="false">Parameters!$E$12*IF($N99="V",Parameters!$I$12,IF($N99="F",Parameters!$J$12,Parameters!$K$12))*(1-Parameters!$L$12*$P99)*IF($D99="V1",Parameters!$M$12,IF($D99="V2",Parameters!$N$12,Parameters!$O$12))</f>
        <v>0.4275</v>
      </c>
      <c r="BI99" s="40" t="n">
        <f aca="false">BH99*(1+INDEX(Response_Table!$L$4:$L$21,MATCH($F99&amp;"|mid",Response_Table!$A$4:$A$21,0))*$R99*INDEX(Parameters!$X$12:$AA$12,1,MATCH($E99,Parameters!$X$3:$AA$3,0)))</f>
        <v>0.4275</v>
      </c>
      <c r="BJ99" s="40" t="n">
        <f aca="false">MAX(0,MIN(BH99*(1+INDEX(Response_Table!$L$4:$L$21,MATCH($F99&amp;"|low",Response_Table!$A$4:$A$21,0))*$R99*INDEX(Parameters!$X$12:$AA$12,1,MATCH($E99,Parameters!$X$3:$AA$3,0))),BH99*(1+INDEX(Response_Table!$L$4:$L$21,MATCH($F99&amp;"|high",Response_Table!$A$4:$A$21,0))*$R99*INDEX(Parameters!$X$12:$AA$12,1,MATCH($E99,Parameters!$X$3:$AA$3,0))))*(1-Inputs_General!$C$22*Parameters!$F$12))</f>
        <v>0.3431115</v>
      </c>
      <c r="BK99" s="40" t="n">
        <f aca="false">MAX(BH99*(1+INDEX(Response_Table!$L$4:$L$21,MATCH($F99&amp;"|low",Response_Table!$A$4:$A$21,0))*$R99*INDEX(Parameters!$X$12:$AA$12,1,MATCH($E99,Parameters!$X$3:$AA$3,0))),BH99*(1+INDEX(Response_Table!$L$4:$L$21,MATCH($F99&amp;"|high",Response_Table!$A$4:$A$21,0))*$R99*INDEX(Parameters!$X$12:$AA$12,1,MATCH($E99,Parameters!$X$3:$AA$3,0))))*(1+Inputs_General!$C$22*Parameters!$F$12)</f>
        <v>0.5118885</v>
      </c>
      <c r="BL99" s="39" t="n">
        <f aca="false">IF(BH99=0,0,BI99/BH99-1)</f>
        <v>0</v>
      </c>
      <c r="BM99" s="40" t="n">
        <f aca="false">Parameters!$E$13*IF($N99="V",Parameters!$I$13,IF($N99="F",Parameters!$J$13,Parameters!$K$13))*(1-Parameters!$L$13*$P99)*IF($D99="V1",Parameters!$M$13,IF($D99="V2",Parameters!$N$13,Parameters!$O$13))</f>
        <v>0.285</v>
      </c>
      <c r="BN99" s="40" t="n">
        <f aca="false">BM99*(1+INDEX(Response_Table!$M$4:$M$21,MATCH($F99&amp;"|mid",Response_Table!$A$4:$A$21,0))*$R99*INDEX(Parameters!$X$13:$AA$13,1,MATCH($E99,Parameters!$X$3:$AA$3,0)))</f>
        <v>0.285</v>
      </c>
      <c r="BO99" s="40" t="n">
        <f aca="false">MAX(0,MIN(BM99*(1+INDEX(Response_Table!$M$4:$M$21,MATCH($F99&amp;"|low",Response_Table!$A$4:$A$21,0))*$R99*INDEX(Parameters!$X$13:$AA$13,1,MATCH($E99,Parameters!$X$3:$AA$3,0))),BM99*(1+INDEX(Response_Table!$M$4:$M$21,MATCH($F99&amp;"|high",Response_Table!$A$4:$A$21,0))*$R99*INDEX(Parameters!$X$13:$AA$13,1,MATCH($E99,Parameters!$X$3:$AA$3,0))))*(1-Inputs_General!$C$22*Parameters!$F$13))</f>
        <v>0.228741</v>
      </c>
      <c r="BP99" s="40" t="n">
        <f aca="false">MAX(BM99*(1+INDEX(Response_Table!$M$4:$M$21,MATCH($F99&amp;"|low",Response_Table!$A$4:$A$21,0))*$R99*INDEX(Parameters!$X$13:$AA$13,1,MATCH($E99,Parameters!$X$3:$AA$3,0))),BM99*(1+INDEX(Response_Table!$M$4:$M$21,MATCH($F99&amp;"|high",Response_Table!$A$4:$A$21,0))*$R99*INDEX(Parameters!$X$13:$AA$13,1,MATCH($E99,Parameters!$X$3:$AA$3,0))))*(1+Inputs_General!$C$22*Parameters!$F$13)</f>
        <v>0.341259</v>
      </c>
      <c r="BQ99" s="39" t="n">
        <f aca="false">IF(BM99=0,0,BN99/BM99-1)</f>
        <v>0</v>
      </c>
      <c r="BR99" s="38" t="n">
        <f aca="false">Parameters!$E$14*IF($N99="V",Parameters!$I$14,IF($N99="F",Parameters!$J$14,Parameters!$K$14))*(1-Parameters!$L$14*$P99)*IF($D99="V1",Parameters!$M$14,IF($D99="V2",Parameters!$N$14,Parameters!$O$14))*INDEX(Context!$AC$4:$AC$51,$K99)</f>
        <v>17.325</v>
      </c>
      <c r="BS99" s="38" t="n">
        <f aca="false">BR99*(1+INDEX(Response_Table!$N$4:$N$21,MATCH($F99&amp;"|mid",Response_Table!$A$4:$A$21,0))*$R99*INDEX(Parameters!$X$14:$AA$14,1,MATCH($E99,Parameters!$X$3:$AA$3,0)))</f>
        <v>17.325</v>
      </c>
      <c r="BT99" s="38" t="n">
        <f aca="false">MAX(0,MIN(BR99*(1+INDEX(Response_Table!$N$4:$N$21,MATCH($F99&amp;"|low",Response_Table!$A$4:$A$21,0))*$R99*INDEX(Parameters!$X$14:$AA$14,1,MATCH($E99,Parameters!$X$3:$AA$3,0))),BR99*(1+INDEX(Response_Table!$N$4:$N$21,MATCH($F99&amp;"|high",Response_Table!$A$4:$A$21,0))*$R99*INDEX(Parameters!$X$14:$AA$14,1,MATCH($E99,Parameters!$X$3:$AA$3,0))))*(1-Inputs_General!$C$22*Parameters!$F$14))</f>
        <v>8.7751125</v>
      </c>
      <c r="BU99" s="38" t="n">
        <f aca="false">MAX(BR99*(1+INDEX(Response_Table!$N$4:$N$21,MATCH($F99&amp;"|low",Response_Table!$A$4:$A$21,0))*$R99*INDEX(Parameters!$X$14:$AA$14,1,MATCH($E99,Parameters!$X$3:$AA$3,0))),BR99*(1+INDEX(Response_Table!$N$4:$N$21,MATCH($F99&amp;"|high",Response_Table!$A$4:$A$21,0))*$R99*INDEX(Parameters!$X$14:$AA$14,1,MATCH($E99,Parameters!$X$3:$AA$3,0))))*(1+Inputs_General!$C$22*Parameters!$F$14)</f>
        <v>25.8748875</v>
      </c>
      <c r="BV99" s="39" t="n">
        <f aca="false">IF(BR99=0,0,BS99/BR99-1)</f>
        <v>0</v>
      </c>
      <c r="BW99" s="37" t="n">
        <f aca="false">Parameters!$E$15*IF($N99="V",Parameters!$I$15,IF($N99="F",Parameters!$J$15,Parameters!$K$15))*(1-Parameters!$L$15*$P99)*IF($D99="V1",Parameters!$M$15,IF($D99="V2",Parameters!$N$15,Parameters!$O$15))</f>
        <v>11.664</v>
      </c>
      <c r="BX99" s="37" t="n">
        <f aca="false">BW99*(1+INDEX(Response_Table!$O$4:$O$21,MATCH($F99&amp;"|mid",Response_Table!$A$4:$A$21,0))*$R99*INDEX(Parameters!$X$15:$AA$15,1,MATCH($E99,Parameters!$X$3:$AA$3,0)))</f>
        <v>11.664</v>
      </c>
      <c r="BY99" s="37" t="n">
        <f aca="false">MAX(0,MIN(BW99*(1+INDEX(Response_Table!$O$4:$O$21,MATCH($F99&amp;"|low",Response_Table!$A$4:$A$21,0))*$R99*INDEX(Parameters!$X$15:$AA$15,1,MATCH($E99,Parameters!$X$3:$AA$3,0))),BW99*(1+INDEX(Response_Table!$O$4:$O$21,MATCH($F99&amp;"|high",Response_Table!$A$4:$A$21,0))*$R99*INDEX(Parameters!$X$15:$AA$15,1,MATCH($E99,Parameters!$X$3:$AA$3,0))))*(1-Inputs_General!$C$22*Parameters!$F$15))</f>
        <v>9.3615264</v>
      </c>
      <c r="BZ99" s="37" t="n">
        <f aca="false">MAX(BW99*(1+INDEX(Response_Table!$O$4:$O$21,MATCH($F99&amp;"|low",Response_Table!$A$4:$A$21,0))*$R99*INDEX(Parameters!$X$15:$AA$15,1,MATCH($E99,Parameters!$X$3:$AA$3,0))),BW99*(1+INDEX(Response_Table!$O$4:$O$21,MATCH($F99&amp;"|high",Response_Table!$A$4:$A$21,0))*$R99*INDEX(Parameters!$X$15:$AA$15,1,MATCH($E99,Parameters!$X$3:$AA$3,0))))*(1+Inputs_General!$C$22*Parameters!$F$15)</f>
        <v>13.9664736</v>
      </c>
      <c r="CA99" s="39" t="n">
        <f aca="false">IF(BW99=0,0,BX99/BW99-1)</f>
        <v>0</v>
      </c>
      <c r="CB99" s="40" t="n">
        <f aca="false">BD99+BI99</f>
        <v>1.615</v>
      </c>
      <c r="CC99" s="37" t="n">
        <f aca="false">BD99/BI99</f>
        <v>2.77777777777778</v>
      </c>
      <c r="CD99" s="40" t="n">
        <f aca="false">BN99/CB99</f>
        <v>0.176470588235294</v>
      </c>
      <c r="CE99" s="37" t="n">
        <f aca="false">AE99/AO99</f>
        <v>4.32949372589439</v>
      </c>
      <c r="CF99" s="38" t="n">
        <f aca="false">AE99/AJ99</f>
        <v>40.887853155887</v>
      </c>
      <c r="CG99" s="38" t="n">
        <f aca="false">INDEX(Context!$V$4:$V$51,$K99)</f>
        <v>22.6257142857143</v>
      </c>
      <c r="CH99" s="38" t="n">
        <f aca="false">INDEX(Context!$Y$4:$Y$51,$K99)</f>
        <v>21.3177449518561</v>
      </c>
      <c r="CI99" s="38" t="n">
        <f aca="false">INDEX(Context!$Z$4:$Z$51,$K99)</f>
        <v>26.6257142857143</v>
      </c>
      <c r="CJ99" s="37" t="n">
        <f aca="false">INDEX(Context!$AA$4:$AA$51,$K99)</f>
        <v>0.12</v>
      </c>
      <c r="CK99" s="37" t="n">
        <f aca="false">MAX(0,MIN(1,1-(1-CJ99)*AO99/AN99))</f>
        <v>0.12</v>
      </c>
      <c r="CL99" s="38" t="n">
        <f aca="false">CH99+CK99*(CI99-CH99)</f>
        <v>21.954701271919</v>
      </c>
      <c r="CM99" s="38" t="n">
        <f aca="false">CH99+MAX(0,MIN(1,1-(1-CJ99)*AQ99/AN99))*(CI99-CH99)</f>
        <v>21.3177449518561</v>
      </c>
      <c r="CN99" s="38" t="n">
        <f aca="false">CH99+MAX(0,MIN(1,1-(1-CJ99)*AP99/AN99))*(CI99-CH99)</f>
        <v>23.3377882253038</v>
      </c>
      <c r="CO99" s="38" t="n">
        <f aca="false">CL99-CG99</f>
        <v>-0.67101301379525</v>
      </c>
      <c r="CP99" s="38" t="n">
        <f aca="false">CL99-(CH99+CJ99*(CI99-CH99))</f>
        <v>0</v>
      </c>
      <c r="CQ99" s="40" t="n">
        <f aca="false">CL99/CG99</f>
        <v>0.970342902534621</v>
      </c>
      <c r="CR99" s="37" t="n">
        <f aca="false">IF(CL99-CH99&lt;=0,"n/a",(CI99-CL99)/(CL99-CH99))</f>
        <v>7.33333333333333</v>
      </c>
      <c r="CS99" s="37" t="n">
        <f aca="false">IF(CI99-CL99&lt;=0,"n/a",(CL99-CH99)/(CI99-CL99))</f>
        <v>0.136363636363636</v>
      </c>
      <c r="CT99" s="37" t="n">
        <f aca="false">Inputs_General!$C$23+Inputs_General!$C$24*$I99</f>
        <v>0.6</v>
      </c>
      <c r="CU99" s="38" t="n">
        <f aca="false">3.29*CT99</f>
        <v>1.974</v>
      </c>
    </row>
    <row r="100" customFormat="false" ht="15" hidden="false" customHeight="false" outlineLevel="0" collapsed="false">
      <c r="A100" s="9" t="str">
        <f aca="false">B100&amp;"|"&amp;E100&amp;"|"&amp;F100</f>
        <v>D2V2|11/02/2026|Very low</v>
      </c>
      <c r="B100" s="7" t="s">
        <v>347</v>
      </c>
      <c r="C100" s="9" t="s">
        <v>129</v>
      </c>
      <c r="D100" s="9" t="s">
        <v>146</v>
      </c>
      <c r="E100" s="9" t="s">
        <v>158</v>
      </c>
      <c r="F100" s="7" t="s">
        <v>277</v>
      </c>
      <c r="G100" s="9" t="s">
        <v>278</v>
      </c>
      <c r="H100" s="41" t="n">
        <f aca="false">INDEX(Severity_Classes!$C$4:$C$9,MATCH(F100,Severity_Classes!$A$4:$A$9,0))</f>
        <v>0.01</v>
      </c>
      <c r="I100" s="41" t="n">
        <f aca="false">INDEX(Severity_Classes!$D$4:$D$9,MATCH(F100,Severity_Classes!$A$4:$A$9,0))</f>
        <v>0.03</v>
      </c>
      <c r="J100" s="41" t="n">
        <f aca="false">INDEX(Severity_Classes!$E$4:$E$9,MATCH(F100,Severity_Classes!$A$4:$A$9,0))</f>
        <v>0.05</v>
      </c>
      <c r="K100" s="42" t="n">
        <f aca="false">MATCH(B100&amp;"|"&amp;E100,Context!$A$4:$A$51,0)</f>
        <v>17</v>
      </c>
      <c r="L100" s="42" t="n">
        <f aca="false">INDEX(Context!$H$4:$H$51,K100)</f>
        <v>55</v>
      </c>
      <c r="M100" s="42" t="n">
        <f aca="false">INDEX(Context!$I$4:$I$51,K100)</f>
        <v>6</v>
      </c>
      <c r="N100" s="9" t="str">
        <f aca="false">INDEX(Context!$L$4:$L$51,K100)</f>
        <v>V</v>
      </c>
      <c r="O100" s="9" t="str">
        <f aca="false">INDEX(Context!$M$4:$M$51,K100)</f>
        <v>3rd fully expanded leaf from top</v>
      </c>
      <c r="P100" s="43" t="n">
        <f aca="false">INDEX(Context!$R$4:$R$51,K100)</f>
        <v>0</v>
      </c>
      <c r="Q100" s="43" t="n">
        <f aca="false">INDEX(Context!$U$4:$U$51,K100)</f>
        <v>0.937791824040773</v>
      </c>
      <c r="R100" s="43" t="n">
        <f aca="false">INDEX(Context!$AD$4:$AD$51,K100)</f>
        <v>1.1</v>
      </c>
      <c r="S100" s="9" t="str">
        <f aca="false">INDEX(Context!$AI$4:$AN$51,K100,MATCH(F100,Severity_Classes!$A$4:$A$9,0))</f>
        <v>Likely</v>
      </c>
      <c r="T100" s="44" t="n">
        <f aca="false">Parameters!$E$4*IF($N100="V",Parameters!$I$4,IF($N100="F",Parameters!$J$4,Parameters!$K$4))*(1-Parameters!$L$4*$P100)*IF($D100="V1",Parameters!$M$4,IF($D100="V2",Parameters!$N$4,Parameters!$O$4))</f>
        <v>86</v>
      </c>
      <c r="U100" s="44" t="n">
        <f aca="false">MIN(100,T100*(1+INDEX(Response_Table!$E$4:$E$21,MATCH($F100&amp;"|mid",Response_Table!$A$4:$A$21,0))*$R100*INDEX(Parameters!$X$4:$AA$4,1,MATCH($E100,Parameters!$X$3:$AA$3,0))))</f>
        <v>85.7960736747255</v>
      </c>
      <c r="V100" s="44" t="n">
        <f aca="false">MAX(0,MIN(T100*(1+INDEX(Response_Table!$E$4:$E$21,MATCH($F100&amp;"|low",Response_Table!$A$4:$A$21,0))*$R100*INDEX(Parameters!$X$4:$AA$4,1,MATCH($E100,Parameters!$X$3:$AA$3,0))),T100*(1+INDEX(Response_Table!$E$4:$E$21,MATCH($F100&amp;"|high",Response_Table!$A$4:$A$21,0))*$R100*INDEX(Parameters!$X$4:$AA$4,1,MATCH($E100,Parameters!$X$3:$AA$3,0))))*(1-Inputs_General!$C$22*Parameters!$F$4))</f>
        <v>79.9985328411285</v>
      </c>
      <c r="W100" s="44" t="n">
        <f aca="false">MIN(100,MAX(T100*(1+INDEX(Response_Table!$E$4:$E$21,MATCH($F100&amp;"|low",Response_Table!$A$4:$A$21,0))*$R100*INDEX(Parameters!$X$4:$AA$4,1,MATCH($E100,Parameters!$X$3:$AA$3,0))),T100*(1+INDEX(Response_Table!$E$4:$E$21,MATCH($F100&amp;"|high",Response_Table!$A$4:$A$21,0))*$R100*INDEX(Parameters!$X$4:$AA$4,1,MATCH($E100,Parameters!$X$3:$AA$3,0))))*(1+Inputs_General!$C$22*Parameters!$F$4))</f>
        <v>91.591628476639</v>
      </c>
      <c r="X100" s="45" t="n">
        <f aca="false">IF(T100=0,0,U100/T100-1)</f>
        <v>-0.00237123634040082</v>
      </c>
      <c r="Y100" s="44" t="n">
        <f aca="false">Parameters!$E$5*IF($N100="V",Parameters!$I$5,IF($N100="F",Parameters!$J$5,Parameters!$K$5))*(1-Parameters!$L$5*$P100)*IF($D100="V1",Parameters!$M$5,IF($D100="V2",Parameters!$N$5,Parameters!$O$5))</f>
        <v>72</v>
      </c>
      <c r="Z100" s="44" t="n">
        <f aca="false">MIN(100,Y100*(1+INDEX(Response_Table!$F$4:$F$21,MATCH($F100&amp;"|mid",Response_Table!$A$4:$A$21,0))*$R100*INDEX(Parameters!$X$5:$AA$5,1,MATCH($E100,Parameters!$X$3:$AA$3,0))))</f>
        <v>71.4549954701956</v>
      </c>
      <c r="AA100" s="44" t="n">
        <f aca="false">MAX(0,MIN(Y100*(1+INDEX(Response_Table!$F$4:$F$21,MATCH($F100&amp;"|low",Response_Table!$A$4:$A$21,0))*$R100*INDEX(Parameters!$X$5:$AA$5,1,MATCH($E100,Parameters!$X$3:$AA$3,0))),Y100*(1+INDEX(Response_Table!$F$4:$F$21,MATCH($F100&amp;"|high",Response_Table!$A$4:$A$21,0))*$R100*INDEX(Parameters!$X$5:$AA$5,1,MATCH($E100,Parameters!$X$3:$AA$3,0))))*(1-Inputs_General!$C$22*Parameters!$F$5))</f>
        <v>62.8297693413593</v>
      </c>
      <c r="AB100" s="44" t="n">
        <f aca="false">MIN(100,MAX(Y100*(1+INDEX(Response_Table!$F$4:$F$21,MATCH($F100&amp;"|low",Response_Table!$A$4:$A$21,0))*$R100*INDEX(Parameters!$X$5:$AA$5,1,MATCH($E100,Parameters!$X$3:$AA$3,0))),Y100*(1+INDEX(Response_Table!$F$4:$F$21,MATCH($F100&amp;"|high",Response_Table!$A$4:$A$21,0))*$R100*INDEX(Parameters!$X$5:$AA$5,1,MATCH($E100,Parameters!$X$3:$AA$3,0))))*(1+Inputs_General!$C$22*Parameters!$F$5))</f>
        <v>80.1055536880465</v>
      </c>
      <c r="AC100" s="45" t="n">
        <f aca="false">IF(Y100=0,0,Z100/Y100-1)</f>
        <v>-0.00756950735839468</v>
      </c>
      <c r="AD100" s="44" t="n">
        <f aca="false">Parameters!$E$6*IF($N100="V",Parameters!$I$6,IF($N100="F",Parameters!$J$6,Parameters!$K$6))*(1-Parameters!$L$6*$P100)*IF($D100="V1",Parameters!$M$6,IF($D100="V2",Parameters!$N$6,Parameters!$O$6))</f>
        <v>19</v>
      </c>
      <c r="AE100" s="44" t="n">
        <f aca="false">AD100*(1+INDEX(Response_Table!$G$4:$G$21,MATCH($F100&amp;"|mid",Response_Table!$A$4:$A$21,0))*$R100*INDEX(Parameters!$X$6:$AA$6,1,MATCH($E100,Parameters!$X$3:$AA$3,0)))</f>
        <v>17.4493160782953</v>
      </c>
      <c r="AF100" s="44" t="n">
        <f aca="false">MAX(0,MIN(AD100*(1+INDEX(Response_Table!$G$4:$G$21,MATCH($F100&amp;"|low",Response_Table!$A$4:$A$21,0))*$R100*INDEX(Parameters!$X$6:$AA$6,1,MATCH($E100,Parameters!$X$3:$AA$3,0))),AD100*(1+INDEX(Response_Table!$G$4:$G$21,MATCH($F100&amp;"|high",Response_Table!$A$4:$A$21,0))*$R100*INDEX(Parameters!$X$6:$AA$6,1,MATCH($E100,Parameters!$X$3:$AA$3,0))))*(1-Inputs_General!$C$22*Parameters!$F$6))</f>
        <v>13.2618299040484</v>
      </c>
      <c r="AG100" s="44" t="n">
        <f aca="false">MAX(AD100*(1+INDEX(Response_Table!$G$4:$G$21,MATCH($F100&amp;"|low",Response_Table!$A$4:$A$21,0))*$R100*INDEX(Parameters!$X$6:$AA$6,1,MATCH($E100,Parameters!$X$3:$AA$3,0))),AD100*(1+INDEX(Response_Table!$G$4:$G$21,MATCH($F100&amp;"|high",Response_Table!$A$4:$A$21,0))*$R100*INDEX(Parameters!$X$6:$AA$6,1,MATCH($E100,Parameters!$X$3:$AA$3,0))))*(1+Inputs_General!$C$22*Parameters!$F$6)</f>
        <v>22.104246625225</v>
      </c>
      <c r="AH100" s="45" t="n">
        <f aca="false">IF(AD100=0,0,AE100/AD100-1)</f>
        <v>-0.0816149432476138</v>
      </c>
      <c r="AI100" s="46" t="n">
        <f aca="false">Parameters!$E$7*IF($N100="V",Parameters!$I$7,IF($N100="F",Parameters!$J$7,Parameters!$K$7))*(1-Parameters!$L$7*$P100)*IF($D100="V1",Parameters!$M$7,IF($D100="V2",Parameters!$N$7,Parameters!$O$7))*POWER($Q100/Inputs_General!$C$26,-Inputs_General!$C$25)</f>
        <v>0.464685683730118</v>
      </c>
      <c r="AJ100" s="46" t="n">
        <f aca="false">AI100*(1+INDEX(Response_Table!$H$4:$H$21,MATCH($F100&amp;"|mid",Response_Table!$A$4:$A$21,0))*$R100*INDEX(Parameters!$X$7:$AA$7,1,MATCH($E100,Parameters!$X$3:$AA$3,0)))</f>
        <v>0.441808574606632</v>
      </c>
      <c r="AK100" s="46" t="n">
        <f aca="false">MAX(0,MIN(AI100*(1+INDEX(Response_Table!$H$4:$H$21,MATCH($F100&amp;"|low",Response_Table!$A$4:$A$21,0))*$R100*INDEX(Parameters!$X$7:$AA$7,1,MATCH($E100,Parameters!$X$3:$AA$3,0))),AI100*(1+INDEX(Response_Table!$H$4:$H$21,MATCH($F100&amp;"|high",Response_Table!$A$4:$A$21,0))*$R100*INDEX(Parameters!$X$7:$AA$7,1,MATCH($E100,Parameters!$X$3:$AA$3,0))))*(1-Inputs_General!$C$22*Parameters!$F$7))</f>
        <v>0.301031165276563</v>
      </c>
      <c r="AL100" s="46" t="n">
        <f aca="false">MAX(AI100*(1+INDEX(Response_Table!$H$4:$H$21,MATCH($F100&amp;"|low",Response_Table!$A$4:$A$21,0))*$R100*INDEX(Parameters!$X$7:$AA$7,1,MATCH($E100,Parameters!$X$3:$AA$3,0))),AI100*(1+INDEX(Response_Table!$H$4:$H$21,MATCH($F100&amp;"|high",Response_Table!$A$4:$A$21,0))*$R100*INDEX(Parameters!$X$7:$AA$7,1,MATCH($E100,Parameters!$X$3:$AA$3,0))))*(1+Inputs_General!$C$22*Parameters!$F$7)</f>
        <v>0.592097493009914</v>
      </c>
      <c r="AM100" s="45" t="n">
        <f aca="false">IF(AI100=0,0,AJ100/AI100-1)</f>
        <v>-0.0492313620248575</v>
      </c>
      <c r="AN100" s="43" t="n">
        <f aca="false">AI100*$Q100/Inputs_General!$C$13*1000</f>
        <v>4.38850387664553</v>
      </c>
      <c r="AO100" s="43" t="n">
        <f aca="false">AJ100*$Q100/Inputs_General!$C$13*1000*(1+Inputs_General!$C$21*$I100)</f>
        <v>4.2037452424485</v>
      </c>
      <c r="AP100" s="43" t="n">
        <f aca="false">AK100*$Q100/Inputs_General!$C$13*1000*(1+Inputs_General!$C$21*$H100)</f>
        <v>2.85005364543577</v>
      </c>
      <c r="AQ100" s="43" t="n">
        <f aca="false">AL100*$Q100/Inputs_General!$C$13*1000*(1+Inputs_General!$C$21*$J100)</f>
        <v>5.66168167501997</v>
      </c>
      <c r="AR100" s="45" t="n">
        <f aca="false">IF(AN100=0,0,AO100/AN100-1)</f>
        <v>-0.0421005972400436</v>
      </c>
      <c r="AS100" s="42" t="n">
        <f aca="false">Parameters!$E$9*IF($N100="V",Parameters!$I$9,IF($N100="F",Parameters!$J$9,Parameters!$K$9))*(1-Parameters!$L$9*$P100)*IF($D100="V1",Parameters!$M$9,IF($D100="V2",Parameters!$N$9,Parameters!$O$9))</f>
        <v>285</v>
      </c>
      <c r="AT100" s="42" t="n">
        <f aca="false">AS100*(1+INDEX(Response_Table!$I$4:$I$21,MATCH($F100&amp;"|mid",Response_Table!$A$4:$A$21,0))*$R100*INDEX(Parameters!$X$9:$AA$9,1,MATCH($E100,Parameters!$X$3:$AA$3,0)))</f>
        <v>293.508106341401</v>
      </c>
      <c r="AU100" s="42" t="n">
        <f aca="false">MAX(0,MIN(AS100*(1+INDEX(Response_Table!$I$4:$I$21,MATCH($F100&amp;"|low",Response_Table!$A$4:$A$21,0))*$R100*INDEX(Parameters!$X$9:$AA$9,1,MATCH($E100,Parameters!$X$3:$AA$3,0))),AS100*(1+INDEX(Response_Table!$I$4:$I$21,MATCH($F100&amp;"|high",Response_Table!$A$4:$A$21,0))*$R100*INDEX(Parameters!$X$9:$AA$9,1,MATCH($E100,Parameters!$X$3:$AA$3,0))))*(1-Inputs_General!$C$22*Parameters!$F$9))</f>
        <v>259.529517601739</v>
      </c>
      <c r="AV100" s="42" t="n">
        <f aca="false">MAX(AS100*(1+INDEX(Response_Table!$I$4:$I$21,MATCH($F100&amp;"|low",Response_Table!$A$4:$A$21,0))*$R100*INDEX(Parameters!$X$9:$AA$9,1,MATCH($E100,Parameters!$X$3:$AA$3,0))),AS100*(1+INDEX(Response_Table!$I$4:$I$21,MATCH($F100&amp;"|high",Response_Table!$A$4:$A$21,0))*$R100*INDEX(Parameters!$X$9:$AA$9,1,MATCH($E100,Parameters!$X$3:$AA$3,0))))*(1+Inputs_General!$C$22*Parameters!$F$9)</f>
        <v>328.114337644674</v>
      </c>
      <c r="AW100" s="45" t="n">
        <f aca="false">IF(AS100=0,0,AT100/AS100-1)</f>
        <v>0.0298530047066705</v>
      </c>
      <c r="AX100" s="43" t="n">
        <f aca="false">INDEX(Context!$AB$4:$AB$51,$K100)</f>
        <v>1.88260488051479</v>
      </c>
      <c r="AY100" s="43" t="n">
        <f aca="false">AX100*(1+INDEX(Response_Table!$J$4:$J$21,MATCH($F100&amp;"|mid",Response_Table!$A$4:$A$21,0))*$R100*INDEX(Parameters!$X$10:$AA$10,1,MATCH($E100,Parameters!$X$3:$AA$3,0)))</f>
        <v>1.8489373403563</v>
      </c>
      <c r="AZ100" s="43" t="n">
        <f aca="false">MAX(0,MIN(AX100*(1+INDEX(Response_Table!$J$4:$J$21,MATCH($F100&amp;"|low",Response_Table!$A$4:$A$21,0))*$R100*INDEX(Parameters!$X$10:$AA$10,1,MATCH($E100,Parameters!$X$3:$AA$3,0))),AX100*(1+INDEX(Response_Table!$J$4:$J$21,MATCH($F100&amp;"|high",Response_Table!$A$4:$A$21,0))*$R100*INDEX(Parameters!$X$10:$AA$10,1,MATCH($E100,Parameters!$X$3:$AA$3,0))))*(1-Inputs_General!$C$22*Parameters!$F$10))</f>
        <v>1.46703637011589</v>
      </c>
      <c r="BA100" s="43" t="n">
        <f aca="false">MAX(AX100*(1+INDEX(Response_Table!$J$4:$J$21,MATCH($F100&amp;"|low",Response_Table!$A$4:$A$21,0))*$R100*INDEX(Parameters!$X$10:$AA$10,1,MATCH($E100,Parameters!$X$3:$AA$3,0))),AX100*(1+INDEX(Response_Table!$J$4:$J$21,MATCH($F100&amp;"|high",Response_Table!$A$4:$A$21,0))*$R100*INDEX(Parameters!$X$10:$AA$10,1,MATCH($E100,Parameters!$X$3:$AA$3,0))))*(1+Inputs_General!$C$22*Parameters!$F$10)</f>
        <v>2.24045593589518</v>
      </c>
      <c r="BB100" s="45" t="n">
        <f aca="false">IF(AX100=0,0,AY100/AX100-1)</f>
        <v>-0.0178834871336832</v>
      </c>
      <c r="BC100" s="46" t="n">
        <f aca="false">Parameters!$E$11*IF($N100="V",Parameters!$I$11,IF($N100="F",Parameters!$J$11,Parameters!$K$11))*(1-Parameters!$L$11*$P100)*IF($D100="V1",Parameters!$M$11,IF($D100="V2",Parameters!$N$11,Parameters!$O$11))</f>
        <v>1.1875</v>
      </c>
      <c r="BD100" s="46" t="n">
        <f aca="false">BC100*(1+INDEX(Response_Table!$K$4:$K$21,MATCH($F100&amp;"|mid",Response_Table!$A$4:$A$21,0))*$R100*INDEX(Parameters!$X$11:$AA$11,1,MATCH($E100,Parameters!$X$3:$AA$3,0)))</f>
        <v>1.14864011432167</v>
      </c>
      <c r="BE100" s="46" t="n">
        <f aca="false">MAX(0,MIN(BC100*(1+INDEX(Response_Table!$K$4:$K$21,MATCH($F100&amp;"|low",Response_Table!$A$4:$A$21,0))*$R100*INDEX(Parameters!$X$11:$AA$11,1,MATCH($E100,Parameters!$X$3:$AA$3,0))),BC100*(1+INDEX(Response_Table!$K$4:$K$21,MATCH($F100&amp;"|high",Response_Table!$A$4:$A$21,0))*$R100*INDEX(Parameters!$X$11:$AA$11,1,MATCH($E100,Parameters!$X$3:$AA$3,0))))*(1-Inputs_General!$C$22*Parameters!$F$11))</f>
        <v>0.939712264163439</v>
      </c>
      <c r="BF100" s="46" t="n">
        <f aca="false">MAX(BC100*(1+INDEX(Response_Table!$K$4:$K$21,MATCH($F100&amp;"|low",Response_Table!$A$4:$A$21,0))*$R100*INDEX(Parameters!$X$11:$AA$11,1,MATCH($E100,Parameters!$X$3:$AA$3,0))),BC100*(1+INDEX(Response_Table!$K$4:$K$21,MATCH($F100&amp;"|high",Response_Table!$A$4:$A$21,0))*$R100*INDEX(Parameters!$X$11:$AA$11,1,MATCH($E100,Parameters!$X$3:$AA$3,0))))*(1+Inputs_General!$C$22*Parameters!$F$11)</f>
        <v>1.36727445478069</v>
      </c>
      <c r="BG100" s="45" t="n">
        <f aca="false">IF(BC100=0,0,BD100/BC100-1)</f>
        <v>-0.0327241142554374</v>
      </c>
      <c r="BH100" s="46" t="n">
        <f aca="false">Parameters!$E$12*IF($N100="V",Parameters!$I$12,IF($N100="F",Parameters!$J$12,Parameters!$K$12))*(1-Parameters!$L$12*$P100)*IF($D100="V1",Parameters!$M$12,IF($D100="V2",Parameters!$N$12,Parameters!$O$12))</f>
        <v>0.4275</v>
      </c>
      <c r="BI100" s="46" t="n">
        <f aca="false">BH100*(1+INDEX(Response_Table!$L$4:$L$21,MATCH($F100&amp;"|mid",Response_Table!$A$4:$A$21,0))*$R100*INDEX(Parameters!$X$12:$AA$12,1,MATCH($E100,Parameters!$X$3:$AA$3,0)))</f>
        <v>0.416369688465294</v>
      </c>
      <c r="BJ100" s="46" t="n">
        <f aca="false">MAX(0,MIN(BH100*(1+INDEX(Response_Table!$L$4:$L$21,MATCH($F100&amp;"|low",Response_Table!$A$4:$A$21,0))*$R100*INDEX(Parameters!$X$12:$AA$12,1,MATCH($E100,Parameters!$X$3:$AA$3,0))),BH100*(1+INDEX(Response_Table!$L$4:$L$21,MATCH($F100&amp;"|high",Response_Table!$A$4:$A$21,0))*$R100*INDEX(Parameters!$X$12:$AA$12,1,MATCH($E100,Parameters!$X$3:$AA$3,0))))*(1-Inputs_General!$C$22*Parameters!$F$12))</f>
        <v>0.328654209718083</v>
      </c>
      <c r="BK100" s="46" t="n">
        <f aca="false">MAX(BH100*(1+INDEX(Response_Table!$L$4:$L$21,MATCH($F100&amp;"|low",Response_Table!$A$4:$A$21,0))*$R100*INDEX(Parameters!$X$12:$AA$12,1,MATCH($E100,Parameters!$X$3:$AA$3,0))),BH100*(1+INDEX(Response_Table!$L$4:$L$21,MATCH($F100&amp;"|high",Response_Table!$A$4:$A$21,0))*$R100*INDEX(Parameters!$X$12:$AA$12,1,MATCH($E100,Parameters!$X$3:$AA$3,0))))*(1+Inputs_General!$C$22*Parameters!$F$12)</f>
        <v>0.507312101071203</v>
      </c>
      <c r="BL100" s="45" t="n">
        <f aca="false">IF(BH100=0,0,BI100/BH100-1)</f>
        <v>-0.0260358164554536</v>
      </c>
      <c r="BM100" s="46" t="n">
        <f aca="false">Parameters!$E$13*IF($N100="V",Parameters!$I$13,IF($N100="F",Parameters!$J$13,Parameters!$K$13))*(1-Parameters!$L$13*$P100)*IF($D100="V1",Parameters!$M$13,IF($D100="V2",Parameters!$N$13,Parameters!$O$13))</f>
        <v>0.285</v>
      </c>
      <c r="BN100" s="46" t="n">
        <f aca="false">BM100*(1+INDEX(Response_Table!$M$4:$M$21,MATCH($F100&amp;"|mid",Response_Table!$A$4:$A$21,0))*$R100*INDEX(Parameters!$X$13:$AA$13,1,MATCH($E100,Parameters!$X$3:$AA$3,0)))</f>
        <v>0.289073157423386</v>
      </c>
      <c r="BO100" s="46" t="n">
        <f aca="false">MAX(0,MIN(BM100*(1+INDEX(Response_Table!$M$4:$M$21,MATCH($F100&amp;"|low",Response_Table!$A$4:$A$21,0))*$R100*INDEX(Parameters!$X$13:$AA$13,1,MATCH($E100,Parameters!$X$3:$AA$3,0))),BM100*(1+INDEX(Response_Table!$M$4:$M$21,MATCH($F100&amp;"|high",Response_Table!$A$4:$A$21,0))*$R100*INDEX(Parameters!$X$13:$AA$13,1,MATCH($E100,Parameters!$X$3:$AA$3,0))))*(1-Inputs_General!$C$22*Parameters!$F$13))</f>
        <v>0.230348096407543</v>
      </c>
      <c r="BP100" s="46" t="n">
        <f aca="false">MAX(BM100*(1+INDEX(Response_Table!$M$4:$M$21,MATCH($F100&amp;"|low",Response_Table!$A$4:$A$21,0))*$R100*INDEX(Parameters!$X$13:$AA$13,1,MATCH($E100,Parameters!$X$3:$AA$3,0))),BM100*(1+INDEX(Response_Table!$M$4:$M$21,MATCH($F100&amp;"|high",Response_Table!$A$4:$A$21,0))*$R100*INDEX(Parameters!$X$13:$AA$13,1,MATCH($E100,Parameters!$X$3:$AA$3,0))))*(1+Inputs_General!$C$22*Parameters!$F$13)</f>
        <v>0.346274002265146</v>
      </c>
      <c r="BQ100" s="45" t="n">
        <f aca="false">IF(BM100=0,0,BN100/BM100-1)</f>
        <v>0.014291780432933</v>
      </c>
      <c r="BR100" s="44" t="n">
        <f aca="false">Parameters!$E$14*IF($N100="V",Parameters!$I$14,IF($N100="F",Parameters!$J$14,Parameters!$K$14))*(1-Parameters!$L$14*$P100)*IF($D100="V1",Parameters!$M$14,IF($D100="V2",Parameters!$N$14,Parameters!$O$14))*INDEX(Context!$AC$4:$AC$51,$K100)</f>
        <v>17.325</v>
      </c>
      <c r="BS100" s="44" t="n">
        <f aca="false">BR100*(1+INDEX(Response_Table!$N$4:$N$21,MATCH($F100&amp;"|mid",Response_Table!$A$4:$A$21,0))*$R100*INDEX(Parameters!$X$14:$AA$14,1,MATCH($E100,Parameters!$X$3:$AA$3,0)))</f>
        <v>17.8170769310081</v>
      </c>
      <c r="BT100" s="44" t="n">
        <f aca="false">MAX(0,MIN(BR100*(1+INDEX(Response_Table!$N$4:$N$21,MATCH($F100&amp;"|low",Response_Table!$A$4:$A$21,0))*$R100*INDEX(Parameters!$X$14:$AA$14,1,MATCH($E100,Parameters!$X$3:$AA$3,0))),BR100*(1+INDEX(Response_Table!$N$4:$N$21,MATCH($F100&amp;"|high",Response_Table!$A$4:$A$21,0))*$R100*INDEX(Parameters!$X$14:$AA$14,1,MATCH($E100,Parameters!$X$3:$AA$3,0))))*(1-Inputs_General!$C$22*Parameters!$F$14))</f>
        <v>8.86069594343647</v>
      </c>
      <c r="BU100" s="44" t="n">
        <f aca="false">MAX(BR100*(1+INDEX(Response_Table!$N$4:$N$21,MATCH($F100&amp;"|low",Response_Table!$A$4:$A$21,0))*$R100*INDEX(Parameters!$X$14:$AA$14,1,MATCH($E100,Parameters!$X$3:$AA$3,0))),BR100*(1+INDEX(Response_Table!$N$4:$N$21,MATCH($F100&amp;"|high",Response_Table!$A$4:$A$21,0))*$R100*INDEX(Parameters!$X$14:$AA$14,1,MATCH($E100,Parameters!$X$3:$AA$3,0))))*(1+Inputs_General!$C$22*Parameters!$F$14)</f>
        <v>27.0642620950842</v>
      </c>
      <c r="BV100" s="45" t="n">
        <f aca="false">IF(BR100=0,0,BS100/BR100-1)</f>
        <v>0.0284027088604948</v>
      </c>
      <c r="BW100" s="43" t="n">
        <f aca="false">Parameters!$E$15*IF($N100="V",Parameters!$I$15,IF($N100="F",Parameters!$J$15,Parameters!$K$15))*(1-Parameters!$L$15*$P100)*IF($D100="V1",Parameters!$M$15,IF($D100="V2",Parameters!$N$15,Parameters!$O$15))</f>
        <v>11.664</v>
      </c>
      <c r="BX100" s="43" t="n">
        <f aca="false">BW100*(1+INDEX(Response_Table!$O$4:$O$21,MATCH($F100&amp;"|mid",Response_Table!$A$4:$A$21,0))*$R100*INDEX(Parameters!$X$15:$AA$15,1,MATCH($E100,Parameters!$X$3:$AA$3,0)))</f>
        <v>11.5811777009628</v>
      </c>
      <c r="BY100" s="43" t="n">
        <f aca="false">MAX(0,MIN(BW100*(1+INDEX(Response_Table!$O$4:$O$21,MATCH($F100&amp;"|low",Response_Table!$A$4:$A$21,0))*$R100*INDEX(Parameters!$X$15:$AA$15,1,MATCH($E100,Parameters!$X$3:$AA$3,0))),BW100*(1+INDEX(Response_Table!$O$4:$O$21,MATCH($F100&amp;"|high",Response_Table!$A$4:$A$21,0))*$R100*INDEX(Parameters!$X$15:$AA$15,1,MATCH($E100,Parameters!$X$3:$AA$3,0))))*(1-Inputs_General!$C$22*Parameters!$F$15))</f>
        <v>9.25394755862948</v>
      </c>
      <c r="BZ100" s="43" t="n">
        <f aca="false">MAX(BW100*(1+INDEX(Response_Table!$O$4:$O$21,MATCH($F100&amp;"|low",Response_Table!$A$4:$A$21,0))*$R100*INDEX(Parameters!$X$15:$AA$15,1,MATCH($E100,Parameters!$X$3:$AA$3,0))),BW100*(1+INDEX(Response_Table!$O$4:$O$21,MATCH($F100&amp;"|high",Response_Table!$A$4:$A$21,0))*$R100*INDEX(Parameters!$X$15:$AA$15,1,MATCH($E100,Parameters!$X$3:$AA$3,0))))*(1+Inputs_General!$C$22*Parameters!$F$15)</f>
        <v>13.9324199367748</v>
      </c>
      <c r="CA100" s="45" t="n">
        <f aca="false">IF(BW100=0,0,BX100/BW100-1)</f>
        <v>-0.00710067721512364</v>
      </c>
      <c r="CB100" s="46" t="n">
        <f aca="false">BD100+BI100</f>
        <v>1.56500980278696</v>
      </c>
      <c r="CC100" s="43" t="n">
        <f aca="false">BD100/BI100</f>
        <v>2.75870253321145</v>
      </c>
      <c r="CD100" s="46" t="n">
        <f aca="false">BN100/CB100</f>
        <v>0.18471012571845</v>
      </c>
      <c r="CE100" s="43" t="n">
        <f aca="false">AE100/AO100</f>
        <v>4.15089760961153</v>
      </c>
      <c r="CF100" s="44" t="n">
        <f aca="false">AE100/AJ100</f>
        <v>39.4951956145973</v>
      </c>
      <c r="CG100" s="44" t="n">
        <f aca="false">INDEX(Context!$V$4:$V$51,$K100)</f>
        <v>22.6257142857143</v>
      </c>
      <c r="CH100" s="44" t="n">
        <f aca="false">INDEX(Context!$Y$4:$Y$51,$K100)</f>
        <v>21.3177449518561</v>
      </c>
      <c r="CI100" s="44" t="n">
        <f aca="false">INDEX(Context!$Z$4:$Z$51,$K100)</f>
        <v>26.6257142857143</v>
      </c>
      <c r="CJ100" s="43" t="n">
        <f aca="false">INDEX(Context!$AA$4:$AA$51,$K100)</f>
        <v>0.12</v>
      </c>
      <c r="CK100" s="43" t="n">
        <f aca="false">MAX(0,MIN(1,1-(1-CJ100)*AO100/AN100))</f>
        <v>0.157048525571238</v>
      </c>
      <c r="CL100" s="44" t="n">
        <f aca="false">CH100+CK100*(CI100-CH100)</f>
        <v>22.1513537095158</v>
      </c>
      <c r="CM100" s="44" t="n">
        <f aca="false">CH100+MAX(0,MIN(1,1-(1-CJ100)*AQ100/AN100))*(CI100-CH100)</f>
        <v>21.3177449518561</v>
      </c>
      <c r="CN100" s="44" t="n">
        <f aca="false">CH100+MAX(0,MIN(1,1-(1-CJ100)*AP100/AN100))*(CI100-CH100)</f>
        <v>23.5921889563437</v>
      </c>
      <c r="CO100" s="44" t="n">
        <f aca="false">CL100-CG100</f>
        <v>-0.474360576198453</v>
      </c>
      <c r="CP100" s="44" t="n">
        <f aca="false">CL100-(CH100+CJ100*(CI100-CH100))</f>
        <v>0.196652437596796</v>
      </c>
      <c r="CQ100" s="46" t="n">
        <f aca="false">CL100/CG100</f>
        <v>0.979034448583223</v>
      </c>
      <c r="CR100" s="43" t="n">
        <f aca="false">IF(CL100-CH100&lt;=0,"n/a",(CI100-CL100)/(CL100-CH100))</f>
        <v>5.36745869700249</v>
      </c>
      <c r="CS100" s="43" t="n">
        <f aca="false">IF(CI100-CL100&lt;=0,"n/a",(CL100-CH100)/(CI100-CL100))</f>
        <v>0.186307907792278</v>
      </c>
      <c r="CT100" s="43" t="n">
        <f aca="false">Inputs_General!$C$23+Inputs_General!$C$24*$I100</f>
        <v>0.66</v>
      </c>
      <c r="CU100" s="44" t="n">
        <f aca="false">3.29*CT100</f>
        <v>2.1714</v>
      </c>
    </row>
    <row r="101" customFormat="false" ht="15" hidden="false" customHeight="false" outlineLevel="0" collapsed="false">
      <c r="A101" s="9" t="str">
        <f aca="false">B101&amp;"|"&amp;E101&amp;"|"&amp;F101</f>
        <v>D2V2|11/02/2026|Low</v>
      </c>
      <c r="B101" s="7" t="s">
        <v>347</v>
      </c>
      <c r="C101" s="9" t="s">
        <v>129</v>
      </c>
      <c r="D101" s="9" t="s">
        <v>146</v>
      </c>
      <c r="E101" s="9" t="s">
        <v>158</v>
      </c>
      <c r="F101" s="7" t="s">
        <v>279</v>
      </c>
      <c r="G101" s="9" t="s">
        <v>280</v>
      </c>
      <c r="H101" s="41" t="n">
        <f aca="false">INDEX(Severity_Classes!$C$4:$C$9,MATCH(F101,Severity_Classes!$A$4:$A$9,0))</f>
        <v>0.06</v>
      </c>
      <c r="I101" s="41" t="n">
        <f aca="false">INDEX(Severity_Classes!$D$4:$D$9,MATCH(F101,Severity_Classes!$A$4:$A$9,0))</f>
        <v>0.08</v>
      </c>
      <c r="J101" s="41" t="n">
        <f aca="false">INDEX(Severity_Classes!$E$4:$E$9,MATCH(F101,Severity_Classes!$A$4:$A$9,0))</f>
        <v>0.1</v>
      </c>
      <c r="K101" s="42" t="n">
        <f aca="false">MATCH(B101&amp;"|"&amp;E101,Context!$A$4:$A$51,0)</f>
        <v>17</v>
      </c>
      <c r="L101" s="42" t="n">
        <f aca="false">INDEX(Context!$H$4:$H$51,K101)</f>
        <v>55</v>
      </c>
      <c r="M101" s="42" t="n">
        <f aca="false">INDEX(Context!$I$4:$I$51,K101)</f>
        <v>6</v>
      </c>
      <c r="N101" s="9" t="str">
        <f aca="false">INDEX(Context!$L$4:$L$51,K101)</f>
        <v>V</v>
      </c>
      <c r="O101" s="9" t="str">
        <f aca="false">INDEX(Context!$M$4:$M$51,K101)</f>
        <v>3rd fully expanded leaf from top</v>
      </c>
      <c r="P101" s="43" t="n">
        <f aca="false">INDEX(Context!$R$4:$R$51,K101)</f>
        <v>0</v>
      </c>
      <c r="Q101" s="43" t="n">
        <f aca="false">INDEX(Context!$U$4:$U$51,K101)</f>
        <v>0.937791824040773</v>
      </c>
      <c r="R101" s="43" t="n">
        <f aca="false">INDEX(Context!$AD$4:$AD$51,K101)</f>
        <v>1.1</v>
      </c>
      <c r="S101" s="9" t="str">
        <f aca="false">INDEX(Context!$AI$4:$AN$51,K101,MATCH(F101,Severity_Classes!$A$4:$A$9,0))</f>
        <v>Likely</v>
      </c>
      <c r="T101" s="44" t="n">
        <f aca="false">Parameters!$E$4*IF($N101="V",Parameters!$I$4,IF($N101="F",Parameters!$J$4,Parameters!$K$4))*(1-Parameters!$L$4*$P101)*IF($D101="V1",Parameters!$M$4,IF($D101="V2",Parameters!$N$4,Parameters!$O$4))</f>
        <v>86</v>
      </c>
      <c r="U101" s="44" t="n">
        <f aca="false">MIN(100,T101*(1+INDEX(Response_Table!$E$4:$E$21,MATCH($F101&amp;"|mid",Response_Table!$A$4:$A$21,0))*$R101*INDEX(Parameters!$X$4:$AA$4,1,MATCH($E101,Parameters!$X$3:$AA$3,0))))</f>
        <v>85.3416490280971</v>
      </c>
      <c r="V101" s="44" t="n">
        <f aca="false">MAX(0,MIN(T101*(1+INDEX(Response_Table!$E$4:$E$21,MATCH($F101&amp;"|low",Response_Table!$A$4:$A$21,0))*$R101*INDEX(Parameters!$X$4:$AA$4,1,MATCH($E101,Parameters!$X$3:$AA$3,0))),T101*(1+INDEX(Response_Table!$E$4:$E$21,MATCH($F101&amp;"|high",Response_Table!$A$4:$A$21,0))*$R101*INDEX(Parameters!$X$4:$AA$4,1,MATCH($E101,Parameters!$X$3:$AA$3,0))))*(1-Inputs_General!$C$22*Parameters!$F$4))</f>
        <v>79.5112838437186</v>
      </c>
      <c r="W101" s="44" t="n">
        <f aca="false">MIN(100,MAX(T101*(1+INDEX(Response_Table!$E$4:$E$21,MATCH($F101&amp;"|low",Response_Table!$A$4:$A$21,0))*$R101*INDEX(Parameters!$X$4:$AA$4,1,MATCH($E101,Parameters!$X$3:$AA$3,0))),T101*(1+INDEX(Response_Table!$E$4:$E$21,MATCH($F101&amp;"|high",Response_Table!$A$4:$A$21,0))*$R101*INDEX(Parameters!$X$4:$AA$4,1,MATCH($E101,Parameters!$X$3:$AA$3,0))))*(1+Inputs_General!$C$22*Parameters!$F$4))</f>
        <v>91.1713736597</v>
      </c>
      <c r="X101" s="45" t="n">
        <f aca="false">IF(T101=0,0,U101/T101-1)</f>
        <v>-0.00765524385933614</v>
      </c>
      <c r="Y101" s="44" t="n">
        <f aca="false">Parameters!$E$5*IF($N101="V",Parameters!$I$5,IF($N101="F",Parameters!$J$5,Parameters!$K$5))*(1-Parameters!$L$5*$P101)*IF($D101="V1",Parameters!$M$5,IF($D101="V2",Parameters!$N$5,Parameters!$O$5))</f>
        <v>72</v>
      </c>
      <c r="Z101" s="44" t="n">
        <f aca="false">MIN(100,Y101*(1+INDEX(Response_Table!$F$4:$F$21,MATCH($F101&amp;"|mid",Response_Table!$A$4:$A$21,0))*$R101*INDEX(Parameters!$X$5:$AA$5,1,MATCH($E101,Parameters!$X$3:$AA$3,0))))</f>
        <v>70.1804149436292</v>
      </c>
      <c r="AA101" s="44" t="n">
        <f aca="false">MAX(0,MIN(Y101*(1+INDEX(Response_Table!$F$4:$F$21,MATCH($F101&amp;"|low",Response_Table!$A$4:$A$21,0))*$R101*INDEX(Parameters!$X$5:$AA$5,1,MATCH($E101,Parameters!$X$3:$AA$3,0))),Y101*(1+INDEX(Response_Table!$F$4:$F$21,MATCH($F101&amp;"|high",Response_Table!$A$4:$A$21,0))*$R101*INDEX(Parameters!$X$5:$AA$5,1,MATCH($E101,Parameters!$X$3:$AA$3,0))))*(1-Inputs_General!$C$22*Parameters!$F$5))</f>
        <v>61.5098446855281</v>
      </c>
      <c r="AB101" s="44" t="n">
        <f aca="false">MIN(100,MAX(Y101*(1+INDEX(Response_Table!$F$4:$F$21,MATCH($F101&amp;"|low",Response_Table!$A$4:$A$21,0))*$R101*INDEX(Parameters!$X$5:$AA$5,1,MATCH($E101,Parameters!$X$3:$AA$3,0))),Y101*(1+INDEX(Response_Table!$F$4:$F$21,MATCH($F101&amp;"|high",Response_Table!$A$4:$A$21,0))*$R101*INDEX(Parameters!$X$5:$AA$5,1,MATCH($E101,Parameters!$X$3:$AA$3,0))))*(1+Inputs_General!$C$22*Parameters!$F$5))</f>
        <v>78.8995683816149</v>
      </c>
      <c r="AC101" s="45" t="n">
        <f aca="false">IF(Y101=0,0,Z101/Y101-1)</f>
        <v>-0.0252720146718168</v>
      </c>
      <c r="AD101" s="44" t="n">
        <f aca="false">Parameters!$E$6*IF($N101="V",Parameters!$I$6,IF($N101="F",Parameters!$J$6,Parameters!$K$6))*(1-Parameters!$L$6*$P101)*IF($D101="V1",Parameters!$M$6,IF($D101="V2",Parameters!$N$6,Parameters!$O$6))</f>
        <v>19</v>
      </c>
      <c r="AE101" s="44" t="n">
        <f aca="false">AD101*(1+INDEX(Response_Table!$G$4:$G$21,MATCH($F101&amp;"|mid",Response_Table!$A$4:$A$21,0))*$R101*INDEX(Parameters!$X$6:$AA$6,1,MATCH($E101,Parameters!$X$3:$AA$3,0)))</f>
        <v>15.2791327295833</v>
      </c>
      <c r="AF101" s="44" t="n">
        <f aca="false">MAX(0,MIN(AD101*(1+INDEX(Response_Table!$G$4:$G$21,MATCH($F101&amp;"|low",Response_Table!$A$4:$A$21,0))*$R101*INDEX(Parameters!$X$6:$AA$6,1,MATCH($E101,Parameters!$X$3:$AA$3,0))),AD101*(1+INDEX(Response_Table!$G$4:$G$21,MATCH($F101&amp;"|high",Response_Table!$A$4:$A$21,0))*$R101*INDEX(Parameters!$X$6:$AA$6,1,MATCH($E101,Parameters!$X$3:$AA$3,0))))*(1-Inputs_General!$C$22*Parameters!$F$6))</f>
        <v>11.6667675397791</v>
      </c>
      <c r="AG101" s="44" t="n">
        <f aca="false">MAX(AD101*(1+INDEX(Response_Table!$G$4:$G$21,MATCH($F101&amp;"|low",Response_Table!$A$4:$A$21,0))*$R101*INDEX(Parameters!$X$6:$AA$6,1,MATCH($E101,Parameters!$X$3:$AA$3,0))),AD101*(1+INDEX(Response_Table!$G$4:$G$21,MATCH($F101&amp;"|high",Response_Table!$A$4:$A$21,0))*$R101*INDEX(Parameters!$X$6:$AA$6,1,MATCH($E101,Parameters!$X$3:$AA$3,0))))*(1+Inputs_General!$C$22*Parameters!$F$6)</f>
        <v>19.2666308154671</v>
      </c>
      <c r="AH101" s="45" t="n">
        <f aca="false">IF(AD101=0,0,AE101/AD101-1)</f>
        <v>-0.195835119495615</v>
      </c>
      <c r="AI101" s="46" t="n">
        <f aca="false">Parameters!$E$7*IF($N101="V",Parameters!$I$7,IF($N101="F",Parameters!$J$7,Parameters!$K$7))*(1-Parameters!$L$7*$P101)*IF($D101="V1",Parameters!$M$7,IF($D101="V2",Parameters!$N$7,Parameters!$O$7))*POWER($Q101/Inputs_General!$C$26,-Inputs_General!$C$25)</f>
        <v>0.464685683730118</v>
      </c>
      <c r="AJ101" s="46" t="n">
        <f aca="false">AI101*(1+INDEX(Response_Table!$H$4:$H$21,MATCH($F101&amp;"|mid",Response_Table!$A$4:$A$21,0))*$R101*INDEX(Parameters!$X$7:$AA$7,1,MATCH($E101,Parameters!$X$3:$AA$3,0)))</f>
        <v>0.407971324160109</v>
      </c>
      <c r="AK101" s="46" t="n">
        <f aca="false">MAX(0,MIN(AI101*(1+INDEX(Response_Table!$H$4:$H$21,MATCH($F101&amp;"|low",Response_Table!$A$4:$A$21,0))*$R101*INDEX(Parameters!$X$7:$AA$7,1,MATCH($E101,Parameters!$X$3:$AA$3,0))),AI101*(1+INDEX(Response_Table!$H$4:$H$21,MATCH($F101&amp;"|high",Response_Table!$A$4:$A$21,0))*$R101*INDEX(Parameters!$X$7:$AA$7,1,MATCH($E101,Parameters!$X$3:$AA$3,0))))*(1-Inputs_General!$C$22*Parameters!$F$7))</f>
        <v>0.278600179390083</v>
      </c>
      <c r="AL101" s="46" t="n">
        <f aca="false">MAX(AI101*(1+INDEX(Response_Table!$H$4:$H$21,MATCH($F101&amp;"|low",Response_Table!$A$4:$A$21,0))*$R101*INDEX(Parameters!$X$7:$AA$7,1,MATCH($E101,Parameters!$X$3:$AA$3,0))),AI101*(1+INDEX(Response_Table!$H$4:$H$21,MATCH($F101&amp;"|high",Response_Table!$A$4:$A$21,0))*$R101*INDEX(Parameters!$X$7:$AA$7,1,MATCH($E101,Parameters!$X$3:$AA$3,0))))*(1+Inputs_General!$C$22*Parameters!$F$7)</f>
        <v>0.545529100657289</v>
      </c>
      <c r="AM101" s="45" t="n">
        <f aca="false">IF(AI101=0,0,AJ101/AI101-1)</f>
        <v>-0.122048863469931</v>
      </c>
      <c r="AN101" s="43" t="n">
        <f aca="false">AI101*$Q101/Inputs_General!$C$13*1000</f>
        <v>4.38850387664553</v>
      </c>
      <c r="AO101" s="43" t="n">
        <f aca="false">AJ101*$Q101/Inputs_General!$C$13*1000*(1+Inputs_General!$C$21*$I101)</f>
        <v>3.9299498054909</v>
      </c>
      <c r="AP101" s="43" t="n">
        <f aca="false">AK101*$Q101/Inputs_General!$C$13*1000*(1+Inputs_General!$C$21*$H101)</f>
        <v>2.67057406812122</v>
      </c>
      <c r="AQ101" s="43" t="n">
        <f aca="false">AL101*$Q101/Inputs_General!$C$13*1000*(1+Inputs_General!$C$21*$J101)</f>
        <v>5.28079102348478</v>
      </c>
      <c r="AR101" s="45" t="n">
        <f aca="false">IF(AN101=0,0,AO101/AN101-1)</f>
        <v>-0.10448984073933</v>
      </c>
      <c r="AS101" s="42" t="n">
        <f aca="false">Parameters!$E$9*IF($N101="V",Parameters!$I$9,IF($N101="F",Parameters!$J$9,Parameters!$K$9))*(1-Parameters!$L$9*$P101)*IF($D101="V1",Parameters!$M$9,IF($D101="V2",Parameters!$N$9,Parameters!$O$9))</f>
        <v>285</v>
      </c>
      <c r="AT101" s="42" t="n">
        <f aca="false">AS101*(1+INDEX(Response_Table!$I$4:$I$21,MATCH($F101&amp;"|mid",Response_Table!$A$4:$A$21,0))*$R101*INDEX(Parameters!$X$9:$AA$9,1,MATCH($E101,Parameters!$X$3:$AA$3,0)))</f>
        <v>305.604546450576</v>
      </c>
      <c r="AU101" s="42" t="n">
        <f aca="false">MAX(0,MIN(AS101*(1+INDEX(Response_Table!$I$4:$I$21,MATCH($F101&amp;"|low",Response_Table!$A$4:$A$21,0))*$R101*INDEX(Parameters!$X$9:$AA$9,1,MATCH($E101,Parameters!$X$3:$AA$3,0))),AS101*(1+INDEX(Response_Table!$I$4:$I$21,MATCH($F101&amp;"|high",Response_Table!$A$4:$A$21,0))*$R101*INDEX(Parameters!$X$9:$AA$9,1,MATCH($E101,Parameters!$X$3:$AA$3,0))))*(1-Inputs_General!$C$22*Parameters!$F$9))</f>
        <v>271.340078115671</v>
      </c>
      <c r="AV101" s="42" t="n">
        <f aca="false">MAX(AS101*(1+INDEX(Response_Table!$I$4:$I$21,MATCH($F101&amp;"|low",Response_Table!$A$4:$A$21,0))*$R101*INDEX(Parameters!$X$9:$AA$9,1,MATCH($E101,Parameters!$X$3:$AA$3,0))),AS101*(1+INDEX(Response_Table!$I$4:$I$21,MATCH($F101&amp;"|high",Response_Table!$A$4:$A$21,0))*$R101*INDEX(Parameters!$X$9:$AA$9,1,MATCH($E101,Parameters!$X$3:$AA$3,0))))*(1+Inputs_General!$C$22*Parameters!$F$9)</f>
        <v>340.382885054249</v>
      </c>
      <c r="AW101" s="45" t="n">
        <f aca="false">IF(AS101=0,0,AT101/AS101-1)</f>
        <v>0.0722966542125456</v>
      </c>
      <c r="AX101" s="43" t="n">
        <f aca="false">INDEX(Context!$AB$4:$AB$51,$K101)</f>
        <v>1.88260488051479</v>
      </c>
      <c r="AY101" s="43" t="n">
        <f aca="false">AX101*(1+INDEX(Response_Table!$J$4:$J$21,MATCH($F101&amp;"|mid",Response_Table!$A$4:$A$21,0))*$R101*INDEX(Parameters!$X$10:$AA$10,1,MATCH($E101,Parameters!$X$3:$AA$3,0)))</f>
        <v>1.79814343420149</v>
      </c>
      <c r="AZ101" s="43" t="n">
        <f aca="false">MAX(0,MIN(AX101*(1+INDEX(Response_Table!$J$4:$J$21,MATCH($F101&amp;"|low",Response_Table!$A$4:$A$21,0))*$R101*INDEX(Parameters!$X$10:$AA$10,1,MATCH($E101,Parameters!$X$3:$AA$3,0))),AX101*(1+INDEX(Response_Table!$J$4:$J$21,MATCH($F101&amp;"|high",Response_Table!$A$4:$A$21,0))*$R101*INDEX(Parameters!$X$10:$AA$10,1,MATCH($E101,Parameters!$X$3:$AA$3,0))))*(1-Inputs_General!$C$22*Parameters!$F$10))</f>
        <v>1.42825742030895</v>
      </c>
      <c r="BA101" s="43" t="n">
        <f aca="false">MAX(AX101*(1+INDEX(Response_Table!$J$4:$J$21,MATCH($F101&amp;"|low",Response_Table!$A$4:$A$21,0))*$R101*INDEX(Parameters!$X$10:$AA$10,1,MATCH($E101,Parameters!$X$3:$AA$3,0))),AX101*(1+INDEX(Response_Table!$J$4:$J$21,MATCH($F101&amp;"|high",Response_Table!$A$4:$A$21,0))*$R101*INDEX(Parameters!$X$10:$AA$10,1,MATCH($E101,Parameters!$X$3:$AA$3,0))))*(1+Inputs_General!$C$22*Parameters!$F$10)</f>
        <v>2.17651697263015</v>
      </c>
      <c r="BB101" s="45" t="n">
        <f aca="false">IF(AX101=0,0,AY101/AX101-1)</f>
        <v>-0.0448641386131995</v>
      </c>
      <c r="BC101" s="46" t="n">
        <f aca="false">Parameters!$E$11*IF($N101="V",Parameters!$I$11,IF($N101="F",Parameters!$J$11,Parameters!$K$11))*(1-Parameters!$L$11*$P101)*IF($D101="V1",Parameters!$M$11,IF($D101="V2",Parameters!$N$11,Parameters!$O$11))</f>
        <v>1.1875</v>
      </c>
      <c r="BD101" s="46" t="n">
        <f aca="false">BC101*(1+INDEX(Response_Table!$K$4:$K$21,MATCH($F101&amp;"|mid",Response_Table!$A$4:$A$21,0))*$R101*INDEX(Parameters!$X$11:$AA$11,1,MATCH($E101,Parameters!$X$3:$AA$3,0)))</f>
        <v>1.09161620768883</v>
      </c>
      <c r="BE101" s="46" t="n">
        <f aca="false">MAX(0,MIN(BC101*(1+INDEX(Response_Table!$K$4:$K$21,MATCH($F101&amp;"|low",Response_Table!$A$4:$A$21,0))*$R101*INDEX(Parameters!$X$11:$AA$11,1,MATCH($E101,Parameters!$X$3:$AA$3,0))),BC101*(1+INDEX(Response_Table!$K$4:$K$21,MATCH($F101&amp;"|high",Response_Table!$A$4:$A$21,0))*$R101*INDEX(Parameters!$X$11:$AA$11,1,MATCH($E101,Parameters!$X$3:$AA$3,0))))*(1-Inputs_General!$C$22*Parameters!$F$11))</f>
        <v>0.895022447364182</v>
      </c>
      <c r="BF101" s="46" t="n">
        <f aca="false">MAX(BC101*(1+INDEX(Response_Table!$K$4:$K$21,MATCH($F101&amp;"|low",Response_Table!$A$4:$A$21,0))*$R101*INDEX(Parameters!$X$11:$AA$11,1,MATCH($E101,Parameters!$X$3:$AA$3,0))),BC101*(1+INDEX(Response_Table!$K$4:$K$21,MATCH($F101&amp;"|high",Response_Table!$A$4:$A$21,0))*$R101*INDEX(Parameters!$X$11:$AA$11,1,MATCH($E101,Parameters!$X$3:$AA$3,0))))*(1+Inputs_General!$C$22*Parameters!$F$11)</f>
        <v>1.29648129343597</v>
      </c>
      <c r="BG101" s="45" t="n">
        <f aca="false">IF(BC101=0,0,BD101/BC101-1)</f>
        <v>-0.0807442461567711</v>
      </c>
      <c r="BH101" s="46" t="n">
        <f aca="false">Parameters!$E$12*IF($N101="V",Parameters!$I$12,IF($N101="F",Parameters!$J$12,Parameters!$K$12))*(1-Parameters!$L$12*$P101)*IF($D101="V1",Parameters!$M$12,IF($D101="V2",Parameters!$N$12,Parameters!$O$12))</f>
        <v>0.4275</v>
      </c>
      <c r="BI101" s="46" t="n">
        <f aca="false">BH101*(1+INDEX(Response_Table!$L$4:$L$21,MATCH($F101&amp;"|mid",Response_Table!$A$4:$A$21,0))*$R101*INDEX(Parameters!$X$12:$AA$12,1,MATCH($E101,Parameters!$X$3:$AA$3,0)))</f>
        <v>0.3999069817083</v>
      </c>
      <c r="BJ101" s="46" t="n">
        <f aca="false">MAX(0,MIN(BH101*(1+INDEX(Response_Table!$L$4:$L$21,MATCH($F101&amp;"|low",Response_Table!$A$4:$A$21,0))*$R101*INDEX(Parameters!$X$12:$AA$12,1,MATCH($E101,Parameters!$X$3:$AA$3,0))),BH101*(1+INDEX(Response_Table!$L$4:$L$21,MATCH($F101&amp;"|high",Response_Table!$A$4:$A$21,0))*$R101*INDEX(Parameters!$X$12:$AA$12,1,MATCH($E101,Parameters!$X$3:$AA$3,0))))*(1-Inputs_General!$C$22*Parameters!$F$12))</f>
        <v>0.316210704654944</v>
      </c>
      <c r="BK101" s="46" t="n">
        <f aca="false">MAX(BH101*(1+INDEX(Response_Table!$L$4:$L$21,MATCH($F101&amp;"|low",Response_Table!$A$4:$A$21,0))*$R101*INDEX(Parameters!$X$12:$AA$12,1,MATCH($E101,Parameters!$X$3:$AA$3,0))),BH101*(1+INDEX(Response_Table!$L$4:$L$21,MATCH($F101&amp;"|high",Response_Table!$A$4:$A$21,0))*$R101*INDEX(Parameters!$X$12:$AA$12,1,MATCH($E101,Parameters!$X$3:$AA$3,0))))*(1+Inputs_General!$C$22*Parameters!$F$12)</f>
        <v>0.486380706473235</v>
      </c>
      <c r="BL101" s="45" t="n">
        <f aca="false">IF(BH101=0,0,BI101/BH101-1)</f>
        <v>-0.0645450720273676</v>
      </c>
      <c r="BM101" s="46" t="n">
        <f aca="false">Parameters!$E$13*IF($N101="V",Parameters!$I$13,IF($N101="F",Parameters!$J$13,Parameters!$K$13))*(1-Parameters!$L$13*$P101)*IF($D101="V1",Parameters!$M$13,IF($D101="V2",Parameters!$N$13,Parameters!$O$13))</f>
        <v>0.285</v>
      </c>
      <c r="BN101" s="46" t="n">
        <f aca="false">BM101*(1+INDEX(Response_Table!$M$4:$M$21,MATCH($F101&amp;"|mid",Response_Table!$A$4:$A$21,0))*$R101*INDEX(Parameters!$X$13:$AA$13,1,MATCH($E101,Parameters!$X$3:$AA$3,0)))</f>
        <v>0.286937957476201</v>
      </c>
      <c r="BO101" s="46" t="n">
        <f aca="false">MAX(0,MIN(BM101*(1+INDEX(Response_Table!$M$4:$M$21,MATCH($F101&amp;"|low",Response_Table!$A$4:$A$21,0))*$R101*INDEX(Parameters!$X$13:$AA$13,1,MATCH($E101,Parameters!$X$3:$AA$3,0))),BM101*(1+INDEX(Response_Table!$M$4:$M$21,MATCH($F101&amp;"|high",Response_Table!$A$4:$A$21,0))*$R101*INDEX(Parameters!$X$13:$AA$13,1,MATCH($E101,Parameters!$X$3:$AA$3,0))))*(1-Inputs_General!$C$22*Parameters!$F$13))</f>
        <v>0.22827894513573</v>
      </c>
      <c r="BP101" s="46" t="n">
        <f aca="false">MAX(BM101*(1+INDEX(Response_Table!$M$4:$M$21,MATCH($F101&amp;"|low",Response_Table!$A$4:$A$21,0))*$R101*INDEX(Parameters!$X$13:$AA$13,1,MATCH($E101,Parameters!$X$3:$AA$3,0))),BM101*(1+INDEX(Response_Table!$M$4:$M$21,MATCH($F101&amp;"|high",Response_Table!$A$4:$A$21,0))*$R101*INDEX(Parameters!$X$13:$AA$13,1,MATCH($E101,Parameters!$X$3:$AA$3,0))))*(1+Inputs_General!$C$22*Parameters!$F$13)</f>
        <v>0.345691838904968</v>
      </c>
      <c r="BQ101" s="45" t="n">
        <f aca="false">IF(BM101=0,0,BN101/BM101-1)</f>
        <v>0.00679985079368928</v>
      </c>
      <c r="BR101" s="44" t="n">
        <f aca="false">Parameters!$E$14*IF($N101="V",Parameters!$I$14,IF($N101="F",Parameters!$J$14,Parameters!$K$14))*(1-Parameters!$L$14*$P101)*IF($D101="V1",Parameters!$M$14,IF($D101="V2",Parameters!$N$14,Parameters!$O$14))*INDEX(Context!$AC$4:$AC$51,$K101)</f>
        <v>17.325</v>
      </c>
      <c r="BS101" s="44" t="n">
        <f aca="false">BR101*(1+INDEX(Response_Table!$N$4:$N$21,MATCH($F101&amp;"|mid",Response_Table!$A$4:$A$21,0))*$R101*INDEX(Parameters!$X$14:$AA$14,1,MATCH($E101,Parameters!$X$3:$AA$3,0)))</f>
        <v>18.5449018613172</v>
      </c>
      <c r="BT101" s="44" t="n">
        <f aca="false">MAX(0,MIN(BR101*(1+INDEX(Response_Table!$N$4:$N$21,MATCH($F101&amp;"|low",Response_Table!$A$4:$A$21,0))*$R101*INDEX(Parameters!$X$14:$AA$14,1,MATCH($E101,Parameters!$X$3:$AA$3,0))),BR101*(1+INDEX(Response_Table!$N$4:$N$21,MATCH($F101&amp;"|high",Response_Table!$A$4:$A$21,0))*$R101*INDEX(Parameters!$X$14:$AA$14,1,MATCH($E101,Parameters!$X$3:$AA$3,0))))*(1-Inputs_General!$C$22*Parameters!$F$14))</f>
        <v>9.25213490089921</v>
      </c>
      <c r="BU101" s="44" t="n">
        <f aca="false">MAX(BR101*(1+INDEX(Response_Table!$N$4:$N$21,MATCH($F101&amp;"|low",Response_Table!$A$4:$A$21,0))*$R101*INDEX(Parameters!$X$14:$AA$14,1,MATCH($E101,Parameters!$X$3:$AA$3,0))),BR101*(1+INDEX(Response_Table!$N$4:$N$21,MATCH($F101&amp;"|high",Response_Table!$A$4:$A$21,0))*$R101*INDEX(Parameters!$X$14:$AA$14,1,MATCH($E101,Parameters!$X$3:$AA$3,0))))*(1+Inputs_General!$C$22*Parameters!$F$14)</f>
        <v>28.0879662960304</v>
      </c>
      <c r="BV101" s="45" t="n">
        <f aca="false">IF(BR101=0,0,BS101/BR101-1)</f>
        <v>0.0704128058480373</v>
      </c>
      <c r="BW101" s="43" t="n">
        <f aca="false">Parameters!$E$15*IF($N101="V",Parameters!$I$15,IF($N101="F",Parameters!$J$15,Parameters!$K$15))*(1-Parameters!$L$15*$P101)*IF($D101="V1",Parameters!$M$15,IF($D101="V2",Parameters!$N$15,Parameters!$O$15))</f>
        <v>11.664</v>
      </c>
      <c r="BX101" s="43" t="n">
        <f aca="false">BW101*(1+INDEX(Response_Table!$O$4:$O$21,MATCH($F101&amp;"|mid",Response_Table!$A$4:$A$21,0))*$R101*INDEX(Parameters!$X$15:$AA$15,1,MATCH($E101,Parameters!$X$3:$AA$3,0)))</f>
        <v>11.4586762581471</v>
      </c>
      <c r="BY101" s="43" t="n">
        <f aca="false">MAX(0,MIN(BW101*(1+INDEX(Response_Table!$O$4:$O$21,MATCH($F101&amp;"|low",Response_Table!$A$4:$A$21,0))*$R101*INDEX(Parameters!$X$15:$AA$15,1,MATCH($E101,Parameters!$X$3:$AA$3,0))),BW101*(1+INDEX(Response_Table!$O$4:$O$21,MATCH($F101&amp;"|high",Response_Table!$A$4:$A$21,0))*$R101*INDEX(Parameters!$X$15:$AA$15,1,MATCH($E101,Parameters!$X$3:$AA$3,0))))*(1-Inputs_General!$C$22*Parameters!$F$15))</f>
        <v>9.16135359176732</v>
      </c>
      <c r="BZ101" s="43" t="n">
        <f aca="false">MAX(BW101*(1+INDEX(Response_Table!$O$4:$O$21,MATCH($F101&amp;"|low",Response_Table!$A$4:$A$21,0))*$R101*INDEX(Parameters!$X$15:$AA$15,1,MATCH($E101,Parameters!$X$3:$AA$3,0))),BW101*(1+INDEX(Response_Table!$O$4:$O$21,MATCH($F101&amp;"|high",Response_Table!$A$4:$A$21,0))*$R101*INDEX(Parameters!$X$15:$AA$15,1,MATCH($E101,Parameters!$X$3:$AA$3,0))))*(1+Inputs_General!$C$22*Parameters!$F$15)</f>
        <v>13.7766663249147</v>
      </c>
      <c r="CA101" s="45" t="n">
        <f aca="false">IF(BW101=0,0,BX101/BW101-1)</f>
        <v>-0.0176032014620094</v>
      </c>
      <c r="CB101" s="46" t="n">
        <f aca="false">BD101+BI101</f>
        <v>1.49152318939713</v>
      </c>
      <c r="CC101" s="43" t="n">
        <f aca="false">BD101/BI101</f>
        <v>2.72967529355384</v>
      </c>
      <c r="CD101" s="46" t="n">
        <f aca="false">BN101/CB101</f>
        <v>0.192379146040753</v>
      </c>
      <c r="CE101" s="43" t="n">
        <f aca="false">AE101/AO101</f>
        <v>3.88786968938774</v>
      </c>
      <c r="CF101" s="44" t="n">
        <f aca="false">AE101/AJ101</f>
        <v>37.4514869667335</v>
      </c>
      <c r="CG101" s="44" t="n">
        <f aca="false">INDEX(Context!$V$4:$V$51,$K101)</f>
        <v>22.6257142857143</v>
      </c>
      <c r="CH101" s="44" t="n">
        <f aca="false">INDEX(Context!$Y$4:$Y$51,$K101)</f>
        <v>21.3177449518561</v>
      </c>
      <c r="CI101" s="44" t="n">
        <f aca="false">INDEX(Context!$Z$4:$Z$51,$K101)</f>
        <v>26.6257142857143</v>
      </c>
      <c r="CJ101" s="43" t="n">
        <f aca="false">INDEX(Context!$AA$4:$AA$51,$K101)</f>
        <v>0.12</v>
      </c>
      <c r="CK101" s="43" t="n">
        <f aca="false">MAX(0,MIN(1,1-(1-CJ101)*AO101/AN101))</f>
        <v>0.21195105985061</v>
      </c>
      <c r="CL101" s="44" t="n">
        <f aca="false">CH101+CK101*(CI101-CH101)</f>
        <v>22.4427746778218</v>
      </c>
      <c r="CM101" s="44" t="n">
        <f aca="false">CH101+MAX(0,MIN(1,1-(1-CJ101)*AQ101/AN101))*(CI101-CH101)</f>
        <v>21.3177449518561</v>
      </c>
      <c r="CN101" s="44" t="n">
        <f aca="false">CH101+MAX(0,MIN(1,1-(1-CJ101)*AP101/AN101))*(CI101-CH101)</f>
        <v>23.7832224987335</v>
      </c>
      <c r="CO101" s="44" t="n">
        <f aca="false">CL101-CG101</f>
        <v>-0.182939607892447</v>
      </c>
      <c r="CP101" s="44" t="n">
        <f aca="false">CL101-(CH101+CJ101*(CI101-CH101))</f>
        <v>0.488073405902803</v>
      </c>
      <c r="CQ101" s="46" t="n">
        <f aca="false">CL101/CG101</f>
        <v>0.991914526737927</v>
      </c>
      <c r="CR101" s="43" t="n">
        <f aca="false">IF(CL101-CH101&lt;=0,"n/a",(CI101-CL101)/(CL101-CH101))</f>
        <v>3.71807029747731</v>
      </c>
      <c r="CS101" s="43" t="n">
        <f aca="false">IF(CI101-CL101&lt;=0,"n/a",(CL101-CH101)/(CI101-CL101))</f>
        <v>0.268956722168081</v>
      </c>
      <c r="CT101" s="43" t="n">
        <f aca="false">Inputs_General!$C$23+Inputs_General!$C$24*$I101</f>
        <v>0.76</v>
      </c>
      <c r="CU101" s="44" t="n">
        <f aca="false">3.29*CT101</f>
        <v>2.5004</v>
      </c>
    </row>
    <row r="102" customFormat="false" ht="15" hidden="false" customHeight="false" outlineLevel="0" collapsed="false">
      <c r="A102" s="9" t="str">
        <f aca="false">B102&amp;"|"&amp;E102&amp;"|"&amp;F102</f>
        <v>D2V2|11/02/2026|Moderate</v>
      </c>
      <c r="B102" s="7" t="s">
        <v>347</v>
      </c>
      <c r="C102" s="9" t="s">
        <v>129</v>
      </c>
      <c r="D102" s="9" t="s">
        <v>146</v>
      </c>
      <c r="E102" s="9" t="s">
        <v>158</v>
      </c>
      <c r="F102" s="7" t="s">
        <v>281</v>
      </c>
      <c r="G102" s="9" t="s">
        <v>282</v>
      </c>
      <c r="H102" s="41" t="n">
        <f aca="false">INDEX(Severity_Classes!$C$4:$C$9,MATCH(F102,Severity_Classes!$A$4:$A$9,0))</f>
        <v>0.11</v>
      </c>
      <c r="I102" s="41" t="n">
        <f aca="false">INDEX(Severity_Classes!$D$4:$D$9,MATCH(F102,Severity_Classes!$A$4:$A$9,0))</f>
        <v>0.18</v>
      </c>
      <c r="J102" s="41" t="n">
        <f aca="false">INDEX(Severity_Classes!$E$4:$E$9,MATCH(F102,Severity_Classes!$A$4:$A$9,0))</f>
        <v>0.25</v>
      </c>
      <c r="K102" s="42" t="n">
        <f aca="false">MATCH(B102&amp;"|"&amp;E102,Context!$A$4:$A$51,0)</f>
        <v>17</v>
      </c>
      <c r="L102" s="42" t="n">
        <f aca="false">INDEX(Context!$H$4:$H$51,K102)</f>
        <v>55</v>
      </c>
      <c r="M102" s="42" t="n">
        <f aca="false">INDEX(Context!$I$4:$I$51,K102)</f>
        <v>6</v>
      </c>
      <c r="N102" s="9" t="str">
        <f aca="false">INDEX(Context!$L$4:$L$51,K102)</f>
        <v>V</v>
      </c>
      <c r="O102" s="9" t="str">
        <f aca="false">INDEX(Context!$M$4:$M$51,K102)</f>
        <v>3rd fully expanded leaf from top</v>
      </c>
      <c r="P102" s="43" t="n">
        <f aca="false">INDEX(Context!$R$4:$R$51,K102)</f>
        <v>0</v>
      </c>
      <c r="Q102" s="43" t="n">
        <f aca="false">INDEX(Context!$U$4:$U$51,K102)</f>
        <v>0.937791824040773</v>
      </c>
      <c r="R102" s="43" t="n">
        <f aca="false">INDEX(Context!$AD$4:$AD$51,K102)</f>
        <v>1.1</v>
      </c>
      <c r="S102" s="9" t="str">
        <f aca="false">INDEX(Context!$AI$4:$AN$51,K102,MATCH(F102,Severity_Classes!$A$4:$A$9,0))</f>
        <v>Unlikely (only via pre-inoculation natural infection)</v>
      </c>
      <c r="T102" s="44" t="n">
        <f aca="false">Parameters!$E$4*IF($N102="V",Parameters!$I$4,IF($N102="F",Parameters!$J$4,Parameters!$K$4))*(1-Parameters!$L$4*$P102)*IF($D102="V1",Parameters!$M$4,IF($D102="V2",Parameters!$N$4,Parameters!$O$4))</f>
        <v>86</v>
      </c>
      <c r="U102" s="44" t="n">
        <f aca="false">MIN(100,T102*(1+INDEX(Response_Table!$E$4:$E$21,MATCH($F102&amp;"|mid",Response_Table!$A$4:$A$21,0))*$R102*INDEX(Parameters!$X$4:$AA$4,1,MATCH($E102,Parameters!$X$3:$AA$3,0))))</f>
        <v>83.848326470308</v>
      </c>
      <c r="V102" s="44" t="n">
        <f aca="false">MAX(0,MIN(T102*(1+INDEX(Response_Table!$E$4:$E$21,MATCH($F102&amp;"|low",Response_Table!$A$4:$A$21,0))*$R102*INDEX(Parameters!$X$4:$AA$4,1,MATCH($E102,Parameters!$X$3:$AA$3,0))),T102*(1+INDEX(Response_Table!$E$4:$E$21,MATCH($F102&amp;"|high",Response_Table!$A$4:$A$21,0))*$R102*INDEX(Parameters!$X$4:$AA$4,1,MATCH($E102,Parameters!$X$3:$AA$3,0))))*(1-Inputs_General!$C$22*Parameters!$F$4))</f>
        <v>76.8253618221922</v>
      </c>
      <c r="W102" s="44" t="n">
        <f aca="false">MIN(100,MAX(T102*(1+INDEX(Response_Table!$E$4:$E$21,MATCH($F102&amp;"|low",Response_Table!$A$4:$A$21,0))*$R102*INDEX(Parameters!$X$4:$AA$4,1,MATCH($E102,Parameters!$X$3:$AA$3,0))),T102*(1+INDEX(Response_Table!$E$4:$E$21,MATCH($F102&amp;"|high",Response_Table!$A$4:$A$21,0))*$R102*INDEX(Parameters!$X$4:$AA$4,1,MATCH($E102,Parameters!$X$3:$AA$3,0))))*(1+Inputs_General!$C$22*Parameters!$F$4))</f>
        <v>90.576855276321</v>
      </c>
      <c r="X102" s="45" t="n">
        <f aca="false">IF(T102=0,0,U102/T102-1)</f>
        <v>-0.0250194596475816</v>
      </c>
      <c r="Y102" s="44" t="n">
        <f aca="false">Parameters!$E$5*IF($N102="V",Parameters!$I$5,IF($N102="F",Parameters!$J$5,Parameters!$K$5))*(1-Parameters!$L$5*$P102)*IF($D102="V1",Parameters!$M$5,IF($D102="V2",Parameters!$N$5,Parameters!$O$5))</f>
        <v>72</v>
      </c>
      <c r="Z102" s="44" t="n">
        <f aca="false">MIN(100,Y102*(1+INDEX(Response_Table!$F$4:$F$21,MATCH($F102&amp;"|mid",Response_Table!$A$4:$A$21,0))*$R102*INDEX(Parameters!$X$5:$AA$5,1,MATCH($E102,Parameters!$X$3:$AA$3,0))))</f>
        <v>65.7772563011754</v>
      </c>
      <c r="AA102" s="44" t="n">
        <f aca="false">MAX(0,MIN(Y102*(1+INDEX(Response_Table!$F$4:$F$21,MATCH($F102&amp;"|low",Response_Table!$A$4:$A$21,0))*$R102*INDEX(Parameters!$X$5:$AA$5,1,MATCH($E102,Parameters!$X$3:$AA$3,0))),Y102*(1+INDEX(Response_Table!$F$4:$F$21,MATCH($F102&amp;"|high",Response_Table!$A$4:$A$21,0))*$R102*INDEX(Parameters!$X$5:$AA$5,1,MATCH($E102,Parameters!$X$3:$AA$3,0))))*(1-Inputs_General!$C$22*Parameters!$F$5))</f>
        <v>54.1279189317098</v>
      </c>
      <c r="AB102" s="44" t="n">
        <f aca="false">MIN(100,MAX(Y102*(1+INDEX(Response_Table!$F$4:$F$21,MATCH($F102&amp;"|low",Response_Table!$A$4:$A$21,0))*$R102*INDEX(Parameters!$X$5:$AA$5,1,MATCH($E102,Parameters!$X$3:$AA$3,0))),Y102*(1+INDEX(Response_Table!$F$4:$F$21,MATCH($F102&amp;"|high",Response_Table!$A$4:$A$21,0))*$R102*INDEX(Parameters!$X$5:$AA$5,1,MATCH($E102,Parameters!$X$3:$AA$3,0))))*(1+Inputs_General!$C$22*Parameters!$F$5))</f>
        <v>77.1053769816321</v>
      </c>
      <c r="AC102" s="45" t="n">
        <f aca="false">IF(Y102=0,0,Z102/Y102-1)</f>
        <v>-0.0864269958170085</v>
      </c>
      <c r="AD102" s="44" t="n">
        <f aca="false">Parameters!$E$6*IF($N102="V",Parameters!$I$6,IF($N102="F",Parameters!$J$6,Parameters!$K$6))*(1-Parameters!$L$6*$P102)*IF($D102="V1",Parameters!$M$6,IF($D102="V2",Parameters!$N$6,Parameters!$O$6))</f>
        <v>19</v>
      </c>
      <c r="AE102" s="44" t="n">
        <f aca="false">AD102*(1+INDEX(Response_Table!$G$4:$G$21,MATCH($F102&amp;"|mid",Response_Table!$A$4:$A$21,0))*$R102*INDEX(Parameters!$X$6:$AA$6,1,MATCH($E102,Parameters!$X$3:$AA$3,0)))</f>
        <v>12.139842680218</v>
      </c>
      <c r="AF102" s="44" t="n">
        <f aca="false">MAX(0,MIN(AD102*(1+INDEX(Response_Table!$G$4:$G$21,MATCH($F102&amp;"|low",Response_Table!$A$4:$A$21,0))*$R102*INDEX(Parameters!$X$6:$AA$6,1,MATCH($E102,Parameters!$X$3:$AA$3,0))),AD102*(1+INDEX(Response_Table!$G$4:$G$21,MATCH($F102&amp;"|high",Response_Table!$A$4:$A$21,0))*$R102*INDEX(Parameters!$X$6:$AA$6,1,MATCH($E102,Parameters!$X$3:$AA$3,0))))*(1-Inputs_General!$C$22*Parameters!$F$6))</f>
        <v>8.53501164047203</v>
      </c>
      <c r="AG102" s="44" t="n">
        <f aca="false">MAX(AD102*(1+INDEX(Response_Table!$G$4:$G$21,MATCH($F102&amp;"|low",Response_Table!$A$4:$A$21,0))*$R102*INDEX(Parameters!$X$6:$AA$6,1,MATCH($E102,Parameters!$X$3:$AA$3,0))),AD102*(1+INDEX(Response_Table!$G$4:$G$21,MATCH($F102&amp;"|high",Response_Table!$A$4:$A$21,0))*$R102*INDEX(Parameters!$X$6:$AA$6,1,MATCH($E102,Parameters!$X$3:$AA$3,0))))*(1+Inputs_General!$C$22*Parameters!$F$6)</f>
        <v>16.989390786741</v>
      </c>
      <c r="AH102" s="45" t="n">
        <f aca="false">IF(AD102=0,0,AE102/AD102-1)</f>
        <v>-0.361060911567472</v>
      </c>
      <c r="AI102" s="46" t="n">
        <f aca="false">Parameters!$E$7*IF($N102="V",Parameters!$I$7,IF($N102="F",Parameters!$J$7,Parameters!$K$7))*(1-Parameters!$L$7*$P102)*IF($D102="V1",Parameters!$M$7,IF($D102="V2",Parameters!$N$7,Parameters!$O$7))*POWER($Q102/Inputs_General!$C$26,-Inputs_General!$C$25)</f>
        <v>0.464685683730118</v>
      </c>
      <c r="AJ102" s="46" t="n">
        <f aca="false">AI102*(1+INDEX(Response_Table!$H$4:$H$21,MATCH($F102&amp;"|mid",Response_Table!$A$4:$A$21,0))*$R102*INDEX(Parameters!$X$7:$AA$7,1,MATCH($E102,Parameters!$X$3:$AA$3,0)))</f>
        <v>0.353780081131939</v>
      </c>
      <c r="AK102" s="46" t="n">
        <f aca="false">MAX(0,MIN(AI102*(1+INDEX(Response_Table!$H$4:$H$21,MATCH($F102&amp;"|low",Response_Table!$A$4:$A$21,0))*$R102*INDEX(Parameters!$X$7:$AA$7,1,MATCH($E102,Parameters!$X$3:$AA$3,0))),AI102*(1+INDEX(Response_Table!$H$4:$H$21,MATCH($F102&amp;"|high",Response_Table!$A$4:$A$21,0))*$R102*INDEX(Parameters!$X$7:$AA$7,1,MATCH($E102,Parameters!$X$3:$AA$3,0))))*(1-Inputs_General!$C$22*Parameters!$F$7))</f>
        <v>0.228373739796102</v>
      </c>
      <c r="AL102" s="46" t="n">
        <f aca="false">MAX(AI102*(1+INDEX(Response_Table!$H$4:$H$21,MATCH($F102&amp;"|low",Response_Table!$A$4:$A$21,0))*$R102*INDEX(Parameters!$X$7:$AA$7,1,MATCH($E102,Parameters!$X$3:$AA$3,0))),AI102*(1+INDEX(Response_Table!$H$4:$H$21,MATCH($F102&amp;"|high",Response_Table!$A$4:$A$21,0))*$R102*INDEX(Parameters!$X$7:$AA$7,1,MATCH($E102,Parameters!$X$3:$AA$3,0))))*(1+Inputs_General!$C$22*Parameters!$F$7)</f>
        <v>0.505447313910092</v>
      </c>
      <c r="AM102" s="45" t="n">
        <f aca="false">IF(AI102=0,0,AJ102/AI102-1)</f>
        <v>-0.238667999642078</v>
      </c>
      <c r="AN102" s="43" t="n">
        <f aca="false">AI102*$Q102/Inputs_General!$C$13*1000</f>
        <v>4.38850387664553</v>
      </c>
      <c r="AO102" s="43" t="n">
        <f aca="false">AJ102*$Q102/Inputs_General!$C$13*1000*(1+Inputs_General!$C$21*$I102)</f>
        <v>3.49145831455936</v>
      </c>
      <c r="AP102" s="43" t="n">
        <f aca="false">AK102*$Q102/Inputs_General!$C$13*1000*(1+Inputs_General!$C$21*$H102)</f>
        <v>2.2160787434197</v>
      </c>
      <c r="AQ102" s="43" t="n">
        <f aca="false">AL102*$Q102/Inputs_General!$C$13*1000*(1+Inputs_General!$C$21*$J102)</f>
        <v>5.07179890103243</v>
      </c>
      <c r="AR102" s="45" t="n">
        <f aca="false">IF(AN102=0,0,AO102/AN102-1)</f>
        <v>-0.204408059625971</v>
      </c>
      <c r="AS102" s="42" t="n">
        <f aca="false">Parameters!$E$9*IF($N102="V",Parameters!$I$9,IF($N102="F",Parameters!$J$9,Parameters!$K$9))*(1-Parameters!$L$9*$P102)*IF($D102="V1",Parameters!$M$9,IF($D102="V2",Parameters!$N$9,Parameters!$O$9))</f>
        <v>285</v>
      </c>
      <c r="AT102" s="42" t="n">
        <f aca="false">AS102*(1+INDEX(Response_Table!$I$4:$I$21,MATCH($F102&amp;"|mid",Response_Table!$A$4:$A$21,0))*$R102*INDEX(Parameters!$X$9:$AA$9,1,MATCH($E102,Parameters!$X$3:$AA$3,0)))</f>
        <v>323.616760261572</v>
      </c>
      <c r="AU102" s="42" t="n">
        <f aca="false">MAX(0,MIN(AS102*(1+INDEX(Response_Table!$I$4:$I$21,MATCH($F102&amp;"|low",Response_Table!$A$4:$A$21,0))*$R102*INDEX(Parameters!$X$9:$AA$9,1,MATCH($E102,Parameters!$X$3:$AA$3,0))),AS102*(1+INDEX(Response_Table!$I$4:$I$21,MATCH($F102&amp;"|high",Response_Table!$A$4:$A$21,0))*$R102*INDEX(Parameters!$X$9:$AA$9,1,MATCH($E102,Parameters!$X$3:$AA$3,0))))*(1-Inputs_General!$C$22*Parameters!$F$9))</f>
        <v>281.009747219515</v>
      </c>
      <c r="AV102" s="42" t="n">
        <f aca="false">MAX(AS102*(1+INDEX(Response_Table!$I$4:$I$21,MATCH($F102&amp;"|low",Response_Table!$A$4:$A$21,0))*$R102*INDEX(Parameters!$X$9:$AA$9,1,MATCH($E102,Parameters!$X$3:$AA$3,0))),AS102*(1+INDEX(Response_Table!$I$4:$I$21,MATCH($F102&amp;"|high",Response_Table!$A$4:$A$21,0))*$R102*INDEX(Parameters!$X$9:$AA$9,1,MATCH($E102,Parameters!$X$3:$AA$3,0))))*(1+Inputs_General!$C$22*Parameters!$F$9)</f>
        <v>365.384496954787</v>
      </c>
      <c r="AW102" s="45" t="n">
        <f aca="false">IF(AS102=0,0,AT102/AS102-1)</f>
        <v>0.135497404426568</v>
      </c>
      <c r="AX102" s="43" t="n">
        <f aca="false">INDEX(Context!$AB$4:$AB$51,$K102)</f>
        <v>1.88260488051479</v>
      </c>
      <c r="AY102" s="43" t="n">
        <f aca="false">AX102*(1+INDEX(Response_Table!$J$4:$J$21,MATCH($F102&amp;"|mid",Response_Table!$A$4:$A$21,0))*$R102*INDEX(Parameters!$X$10:$AA$10,1,MATCH($E102,Parameters!$X$3:$AA$3,0)))</f>
        <v>1.71375963546109</v>
      </c>
      <c r="AZ102" s="43" t="n">
        <f aca="false">MAX(0,MIN(AX102*(1+INDEX(Response_Table!$J$4:$J$21,MATCH($F102&amp;"|low",Response_Table!$A$4:$A$21,0))*$R102*INDEX(Parameters!$X$10:$AA$10,1,MATCH($E102,Parameters!$X$3:$AA$3,0))),AX102*(1+INDEX(Response_Table!$J$4:$J$21,MATCH($F102&amp;"|high",Response_Table!$A$4:$A$21,0))*$R102*INDEX(Parameters!$X$10:$AA$10,1,MATCH($E102,Parameters!$X$3:$AA$3,0))))*(1-Inputs_General!$C$22*Parameters!$F$10))</f>
        <v>1.33718168429744</v>
      </c>
      <c r="BA102" s="43" t="n">
        <f aca="false">MAX(AX102*(1+INDEX(Response_Table!$J$4:$J$21,MATCH($F102&amp;"|low",Response_Table!$A$4:$A$21,0))*$R102*INDEX(Parameters!$X$10:$AA$10,1,MATCH($E102,Parameters!$X$3:$AA$3,0))),AX102*(1+INDEX(Response_Table!$J$4:$J$21,MATCH($F102&amp;"|high",Response_Table!$A$4:$A$21,0))*$R102*INDEX(Parameters!$X$10:$AA$10,1,MATCH($E102,Parameters!$X$3:$AA$3,0))))*(1+Inputs_General!$C$22*Parameters!$F$10)</f>
        <v>2.12009103559429</v>
      </c>
      <c r="BB102" s="45" t="n">
        <f aca="false">IF(AX102=0,0,AY102/AX102-1)</f>
        <v>-0.0896870324736111</v>
      </c>
      <c r="BC102" s="46" t="n">
        <f aca="false">Parameters!$E$11*IF($N102="V",Parameters!$I$11,IF($N102="F",Parameters!$J$11,Parameters!$K$11))*(1-Parameters!$L$11*$P102)*IF($D102="V1",Parameters!$M$11,IF($D102="V2",Parameters!$N$11,Parameters!$O$11))</f>
        <v>1.1875</v>
      </c>
      <c r="BD102" s="46" t="n">
        <f aca="false">BC102*(1+INDEX(Response_Table!$K$4:$K$21,MATCH($F102&amp;"|mid",Response_Table!$A$4:$A$21,0))*$R102*INDEX(Parameters!$X$11:$AA$11,1,MATCH($E102,Parameters!$X$3:$AA$3,0)))</f>
        <v>1.00161578493746</v>
      </c>
      <c r="BE102" s="46" t="n">
        <f aca="false">MAX(0,MIN(BC102*(1+INDEX(Response_Table!$K$4:$K$21,MATCH($F102&amp;"|low",Response_Table!$A$4:$A$21,0))*$R102*INDEX(Parameters!$X$11:$AA$11,1,MATCH($E102,Parameters!$X$3:$AA$3,0))),BC102*(1+INDEX(Response_Table!$K$4:$K$21,MATCH($F102&amp;"|high",Response_Table!$A$4:$A$21,0))*$R102*INDEX(Parameters!$X$11:$AA$11,1,MATCH($E102,Parameters!$X$3:$AA$3,0))))*(1-Inputs_General!$C$22*Parameters!$F$11))</f>
        <v>0.796835513694636</v>
      </c>
      <c r="BF102" s="46" t="n">
        <f aca="false">MAX(BC102*(1+INDEX(Response_Table!$K$4:$K$21,MATCH($F102&amp;"|low",Response_Table!$A$4:$A$21,0))*$R102*INDEX(Parameters!$X$11:$AA$11,1,MATCH($E102,Parameters!$X$3:$AA$3,0))),BC102*(1+INDEX(Response_Table!$K$4:$K$21,MATCH($F102&amp;"|high",Response_Table!$A$4:$A$21,0))*$R102*INDEX(Parameters!$X$11:$AA$11,1,MATCH($E102,Parameters!$X$3:$AA$3,0))))*(1+Inputs_General!$C$22*Parameters!$F$11)</f>
        <v>1.23615534069478</v>
      </c>
      <c r="BG102" s="45" t="n">
        <f aca="false">IF(BC102=0,0,BD102/BC102-1)</f>
        <v>-0.156534075842136</v>
      </c>
      <c r="BH102" s="46" t="n">
        <f aca="false">Parameters!$E$12*IF($N102="V",Parameters!$I$12,IF($N102="F",Parameters!$J$12,Parameters!$K$12))*(1-Parameters!$L$12*$P102)*IF($D102="V1",Parameters!$M$12,IF($D102="V2",Parameters!$N$12,Parameters!$O$12))</f>
        <v>0.4275</v>
      </c>
      <c r="BI102" s="46" t="n">
        <f aca="false">BH102*(1+INDEX(Response_Table!$L$4:$L$21,MATCH($F102&amp;"|mid",Response_Table!$A$4:$A$21,0))*$R102*INDEX(Parameters!$X$12:$AA$12,1,MATCH($E102,Parameters!$X$3:$AA$3,0)))</f>
        <v>0.373541525561689</v>
      </c>
      <c r="BJ102" s="46" t="n">
        <f aca="false">MAX(0,MIN(BH102*(1+INDEX(Response_Table!$L$4:$L$21,MATCH($F102&amp;"|low",Response_Table!$A$4:$A$21,0))*$R102*INDEX(Parameters!$X$12:$AA$12,1,MATCH($E102,Parameters!$X$3:$AA$3,0))),BH102*(1+INDEX(Response_Table!$L$4:$L$21,MATCH($F102&amp;"|high",Response_Table!$A$4:$A$21,0))*$R102*INDEX(Parameters!$X$12:$AA$12,1,MATCH($E102,Parameters!$X$3:$AA$3,0))))*(1-Inputs_General!$C$22*Parameters!$F$12))</f>
        <v>0.288347776179392</v>
      </c>
      <c r="BK102" s="46" t="n">
        <f aca="false">MAX(BH102*(1+INDEX(Response_Table!$L$4:$L$21,MATCH($F102&amp;"|low",Response_Table!$A$4:$A$21,0))*$R102*INDEX(Parameters!$X$12:$AA$12,1,MATCH($E102,Parameters!$X$3:$AA$3,0))),BH102*(1+INDEX(Response_Table!$L$4:$L$21,MATCH($F102&amp;"|high",Response_Table!$A$4:$A$21,0))*$R102*INDEX(Parameters!$X$12:$AA$12,1,MATCH($E102,Parameters!$X$3:$AA$3,0))))*(1+Inputs_General!$C$22*Parameters!$F$12)</f>
        <v>0.468364888185063</v>
      </c>
      <c r="BL102" s="45" t="n">
        <f aca="false">IF(BH102=0,0,BI102/BH102-1)</f>
        <v>-0.126218653656868</v>
      </c>
      <c r="BM102" s="46" t="n">
        <f aca="false">Parameters!$E$13*IF($N102="V",Parameters!$I$13,IF($N102="F",Parameters!$J$13,Parameters!$K$13))*(1-Parameters!$L$13*$P102)*IF($D102="V1",Parameters!$M$13,IF($D102="V2",Parameters!$N$13,Parameters!$O$13))</f>
        <v>0.285</v>
      </c>
      <c r="BN102" s="46" t="n">
        <f aca="false">BM102*(1+INDEX(Response_Table!$M$4:$M$21,MATCH($F102&amp;"|mid",Response_Table!$A$4:$A$21,0))*$R102*INDEX(Parameters!$X$13:$AA$13,1,MATCH($E102,Parameters!$X$3:$AA$3,0)))</f>
        <v>0.271516132146417</v>
      </c>
      <c r="BO102" s="46" t="n">
        <f aca="false">MAX(0,MIN(BM102*(1+INDEX(Response_Table!$M$4:$M$21,MATCH($F102&amp;"|low",Response_Table!$A$4:$A$21,0))*$R102*INDEX(Parameters!$X$13:$AA$13,1,MATCH($E102,Parameters!$X$3:$AA$3,0))),BM102*(1+INDEX(Response_Table!$M$4:$M$21,MATCH($F102&amp;"|high",Response_Table!$A$4:$A$21,0))*$R102*INDEX(Parameters!$X$13:$AA$13,1,MATCH($E102,Parameters!$X$3:$AA$3,0))))*(1-Inputs_General!$C$22*Parameters!$F$13))</f>
        <v>0.209206756175763</v>
      </c>
      <c r="BP102" s="46" t="n">
        <f aca="false">MAX(BM102*(1+INDEX(Response_Table!$M$4:$M$21,MATCH($F102&amp;"|low",Response_Table!$A$4:$A$21,0))*$R102*INDEX(Parameters!$X$13:$AA$13,1,MATCH($E102,Parameters!$X$3:$AA$3,0))),BM102*(1+INDEX(Response_Table!$M$4:$M$21,MATCH($F102&amp;"|high",Response_Table!$A$4:$A$21,0))*$R102*INDEX(Parameters!$X$13:$AA$13,1,MATCH($E102,Parameters!$X$3:$AA$3,0))))*(1+Inputs_General!$C$22*Parameters!$F$13)</f>
        <v>0.338838069459107</v>
      </c>
      <c r="BQ102" s="45" t="n">
        <f aca="false">IF(BM102=0,0,BN102/BM102-1)</f>
        <v>-0.0473118170301174</v>
      </c>
      <c r="BR102" s="44" t="n">
        <f aca="false">Parameters!$E$14*IF($N102="V",Parameters!$I$14,IF($N102="F",Parameters!$J$14,Parameters!$K$14))*(1-Parameters!$L$14*$P102)*IF($D102="V1",Parameters!$M$14,IF($D102="V2",Parameters!$N$14,Parameters!$O$14))*INDEX(Context!$AC$4:$AC$51,$K102)</f>
        <v>17.325</v>
      </c>
      <c r="BS102" s="44" t="n">
        <f aca="false">BR102*(1+INDEX(Response_Table!$N$4:$N$21,MATCH($F102&amp;"|mid",Response_Table!$A$4:$A$21,0))*$R102*INDEX(Parameters!$X$14:$AA$14,1,MATCH($E102,Parameters!$X$3:$AA$3,0)))</f>
        <v>19.7105325541148</v>
      </c>
      <c r="BT102" s="44" t="n">
        <f aca="false">MAX(0,MIN(BR102*(1+INDEX(Response_Table!$N$4:$N$21,MATCH($F102&amp;"|low",Response_Table!$A$4:$A$21,0))*$R102*INDEX(Parameters!$X$14:$AA$14,1,MATCH($E102,Parameters!$X$3:$AA$3,0))),BR102*(1+INDEX(Response_Table!$N$4:$N$21,MATCH($F102&amp;"|high",Response_Table!$A$4:$A$21,0))*$R102*INDEX(Parameters!$X$14:$AA$14,1,MATCH($E102,Parameters!$X$3:$AA$3,0))))*(1-Inputs_General!$C$22*Parameters!$F$14))</f>
        <v>9.58904953387089</v>
      </c>
      <c r="BU102" s="44" t="n">
        <f aca="false">MAX(BR102*(1+INDEX(Response_Table!$N$4:$N$21,MATCH($F102&amp;"|low",Response_Table!$A$4:$A$21,0))*$R102*INDEX(Parameters!$X$14:$AA$14,1,MATCH($E102,Parameters!$X$3:$AA$3,0))),BR102*(1+INDEX(Response_Table!$N$4:$N$21,MATCH($F102&amp;"|high",Response_Table!$A$4:$A$21,0))*$R102*INDEX(Parameters!$X$14:$AA$14,1,MATCH($E102,Parameters!$X$3:$AA$3,0))))*(1+Inputs_General!$C$22*Parameters!$F$14)</f>
        <v>30.3801980093909</v>
      </c>
      <c r="BV102" s="45" t="n">
        <f aca="false">IF(BR102=0,0,BS102/BR102-1)</f>
        <v>0.137693076716583</v>
      </c>
      <c r="BW102" s="43" t="n">
        <f aca="false">Parameters!$E$15*IF($N102="V",Parameters!$I$15,IF($N102="F",Parameters!$J$15,Parameters!$K$15))*(1-Parameters!$L$15*$P102)*IF($D102="V1",Parameters!$M$15,IF($D102="V2",Parameters!$N$15,Parameters!$O$15))</f>
        <v>11.664</v>
      </c>
      <c r="BX102" s="43" t="n">
        <f aca="false">BW102*(1+INDEX(Response_Table!$O$4:$O$21,MATCH($F102&amp;"|mid",Response_Table!$A$4:$A$21,0))*$R102*INDEX(Parameters!$X$15:$AA$15,1,MATCH($E102,Parameters!$X$3:$AA$3,0)))</f>
        <v>11.2624869882944</v>
      </c>
      <c r="BY102" s="43" t="n">
        <f aca="false">MAX(0,MIN(BW102*(1+INDEX(Response_Table!$O$4:$O$21,MATCH($F102&amp;"|low",Response_Table!$A$4:$A$21,0))*$R102*INDEX(Parameters!$X$15:$AA$15,1,MATCH($E102,Parameters!$X$3:$AA$3,0))),BW102*(1+INDEX(Response_Table!$O$4:$O$21,MATCH($F102&amp;"|high",Response_Table!$A$4:$A$21,0))*$R102*INDEX(Parameters!$X$15:$AA$15,1,MATCH($E102,Parameters!$X$3:$AA$3,0))))*(1-Inputs_General!$C$22*Parameters!$F$15))</f>
        <v>8.95402140820187</v>
      </c>
      <c r="BZ102" s="43" t="n">
        <f aca="false">MAX(BW102*(1+INDEX(Response_Table!$O$4:$O$21,MATCH($F102&amp;"|low",Response_Table!$A$4:$A$21,0))*$R102*INDEX(Parameters!$X$15:$AA$15,1,MATCH($E102,Parameters!$X$3:$AA$3,0))),BW102*(1+INDEX(Response_Table!$O$4:$O$21,MATCH($F102&amp;"|high",Response_Table!$A$4:$A$21,0))*$R102*INDEX(Parameters!$X$15:$AA$15,1,MATCH($E102,Parameters!$X$3:$AA$3,0))))*(1+Inputs_General!$C$22*Parameters!$F$15)</f>
        <v>13.6426079488297</v>
      </c>
      <c r="CA102" s="45" t="n">
        <f aca="false">IF(BW102=0,0,BX102/BW102-1)</f>
        <v>-0.0344232691791458</v>
      </c>
      <c r="CB102" s="46" t="n">
        <f aca="false">BD102+BI102</f>
        <v>1.37515731049915</v>
      </c>
      <c r="CC102" s="43" t="n">
        <f aca="false">BD102/BI102</f>
        <v>2.68140411814014</v>
      </c>
      <c r="CD102" s="46" t="n">
        <f aca="false">BN102/CB102</f>
        <v>0.197443688859031</v>
      </c>
      <c r="CE102" s="43" t="n">
        <f aca="false">AE102/AO102</f>
        <v>3.47701206386883</v>
      </c>
      <c r="CF102" s="44" t="n">
        <f aca="false">AE102/AJ102</f>
        <v>34.3146585341264</v>
      </c>
      <c r="CG102" s="44" t="n">
        <f aca="false">INDEX(Context!$V$4:$V$51,$K102)</f>
        <v>22.6257142857143</v>
      </c>
      <c r="CH102" s="44" t="n">
        <f aca="false">INDEX(Context!$Y$4:$Y$51,$K102)</f>
        <v>21.3177449518561</v>
      </c>
      <c r="CI102" s="44" t="n">
        <f aca="false">INDEX(Context!$Z$4:$Z$51,$K102)</f>
        <v>26.6257142857143</v>
      </c>
      <c r="CJ102" s="43" t="n">
        <f aca="false">INDEX(Context!$AA$4:$AA$51,$K102)</f>
        <v>0.12</v>
      </c>
      <c r="CK102" s="43" t="n">
        <f aca="false">MAX(0,MIN(1,1-(1-CJ102)*AO102/AN102))</f>
        <v>0.299879092470855</v>
      </c>
      <c r="CL102" s="44" t="n">
        <f aca="false">CH102+CK102*(CI102-CH102)</f>
        <v>22.9094939785566</v>
      </c>
      <c r="CM102" s="44" t="n">
        <f aca="false">CH102+MAX(0,MIN(1,1-(1-CJ102)*AQ102/AN102))*(CI102-CH102)</f>
        <v>21.3177449518561</v>
      </c>
      <c r="CN102" s="44" t="n">
        <f aca="false">CH102+MAX(0,MIN(1,1-(1-CJ102)*AP102/AN102))*(CI102-CH102)</f>
        <v>24.2669758771201</v>
      </c>
      <c r="CO102" s="44" t="n">
        <f aca="false">CL102-CG102</f>
        <v>0.283779692842298</v>
      </c>
      <c r="CP102" s="44" t="n">
        <f aca="false">CL102-(CH102+CJ102*(CI102-CH102))</f>
        <v>0.954792706637548</v>
      </c>
      <c r="CQ102" s="46" t="n">
        <f aca="false">CL102/CG102</f>
        <v>1.01254235288481</v>
      </c>
      <c r="CR102" s="43" t="n">
        <f aca="false">IF(CL102-CH102&lt;=0,"n/a",(CI102-CL102)/(CL102-CH102))</f>
        <v>2.3346772919729</v>
      </c>
      <c r="CS102" s="43" t="n">
        <f aca="false">IF(CI102-CL102&lt;=0,"n/a",(CL102-CH102)/(CI102-CL102))</f>
        <v>0.428324721124503</v>
      </c>
      <c r="CT102" s="43" t="n">
        <f aca="false">Inputs_General!$C$23+Inputs_General!$C$24*$I102</f>
        <v>0.96</v>
      </c>
      <c r="CU102" s="44" t="n">
        <f aca="false">3.29*CT102</f>
        <v>3.1584</v>
      </c>
    </row>
    <row r="103" customFormat="false" ht="15" hidden="false" customHeight="false" outlineLevel="0" collapsed="false">
      <c r="A103" s="9" t="str">
        <f aca="false">B103&amp;"|"&amp;E103&amp;"|"&amp;F103</f>
        <v>D2V2|11/02/2026|High</v>
      </c>
      <c r="B103" s="7" t="s">
        <v>347</v>
      </c>
      <c r="C103" s="9" t="s">
        <v>129</v>
      </c>
      <c r="D103" s="9" t="s">
        <v>146</v>
      </c>
      <c r="E103" s="9" t="s">
        <v>158</v>
      </c>
      <c r="F103" s="7" t="s">
        <v>283</v>
      </c>
      <c r="G103" s="9" t="s">
        <v>284</v>
      </c>
      <c r="H103" s="41" t="n">
        <f aca="false">INDEX(Severity_Classes!$C$4:$C$9,MATCH(F103,Severity_Classes!$A$4:$A$9,0))</f>
        <v>0.26</v>
      </c>
      <c r="I103" s="41" t="n">
        <f aca="false">INDEX(Severity_Classes!$D$4:$D$9,MATCH(F103,Severity_Classes!$A$4:$A$9,0))</f>
        <v>0.38</v>
      </c>
      <c r="J103" s="41" t="n">
        <f aca="false">INDEX(Severity_Classes!$E$4:$E$9,MATCH(F103,Severity_Classes!$A$4:$A$9,0))</f>
        <v>0.5</v>
      </c>
      <c r="K103" s="42" t="n">
        <f aca="false">MATCH(B103&amp;"|"&amp;E103,Context!$A$4:$A$51,0)</f>
        <v>17</v>
      </c>
      <c r="L103" s="42" t="n">
        <f aca="false">INDEX(Context!$H$4:$H$51,K103)</f>
        <v>55</v>
      </c>
      <c r="M103" s="42" t="n">
        <f aca="false">INDEX(Context!$I$4:$I$51,K103)</f>
        <v>6</v>
      </c>
      <c r="N103" s="9" t="str">
        <f aca="false">INDEX(Context!$L$4:$L$51,K103)</f>
        <v>V</v>
      </c>
      <c r="O103" s="9" t="str">
        <f aca="false">INDEX(Context!$M$4:$M$51,K103)</f>
        <v>3rd fully expanded leaf from top</v>
      </c>
      <c r="P103" s="43" t="n">
        <f aca="false">INDEX(Context!$R$4:$R$51,K103)</f>
        <v>0</v>
      </c>
      <c r="Q103" s="43" t="n">
        <f aca="false">INDEX(Context!$U$4:$U$51,K103)</f>
        <v>0.937791824040773</v>
      </c>
      <c r="R103" s="43" t="n">
        <f aca="false">INDEX(Context!$AD$4:$AD$51,K103)</f>
        <v>1.1</v>
      </c>
      <c r="S103" s="9" t="str">
        <f aca="false">INDEX(Context!$AI$4:$AN$51,K103,MATCH(F103,Severity_Classes!$A$4:$A$9,0))</f>
        <v>Unlikely (only via pre-inoculation natural infection)</v>
      </c>
      <c r="T103" s="44" t="n">
        <f aca="false">Parameters!$E$4*IF($N103="V",Parameters!$I$4,IF($N103="F",Parameters!$J$4,Parameters!$K$4))*(1-Parameters!$L$4*$P103)*IF($D103="V1",Parameters!$M$4,IF($D103="V2",Parameters!$N$4,Parameters!$O$4))</f>
        <v>86</v>
      </c>
      <c r="U103" s="44" t="n">
        <f aca="false">MIN(100,T103*(1+INDEX(Response_Table!$E$4:$E$21,MATCH($F103&amp;"|mid",Response_Table!$A$4:$A$21,0))*$R103*INDEX(Parameters!$X$4:$AA$4,1,MATCH($E103,Parameters!$X$3:$AA$3,0))))</f>
        <v>78.3589088840323</v>
      </c>
      <c r="V103" s="44" t="n">
        <f aca="false">MAX(0,MIN(T103*(1+INDEX(Response_Table!$E$4:$E$21,MATCH($F103&amp;"|low",Response_Table!$A$4:$A$21,0))*$R103*INDEX(Parameters!$X$4:$AA$4,1,MATCH($E103,Parameters!$X$3:$AA$3,0))),T103*(1+INDEX(Response_Table!$E$4:$E$21,MATCH($F103&amp;"|high",Response_Table!$A$4:$A$21,0))*$R103*INDEX(Parameters!$X$4:$AA$4,1,MATCH($E103,Parameters!$X$3:$AA$3,0))))*(1-Inputs_General!$C$22*Parameters!$F$4))</f>
        <v>70.1968349510748</v>
      </c>
      <c r="W103" s="44" t="n">
        <f aca="false">MIN(100,MAX(T103*(1+INDEX(Response_Table!$E$4:$E$21,MATCH($F103&amp;"|low",Response_Table!$A$4:$A$21,0))*$R103*INDEX(Parameters!$X$4:$AA$4,1,MATCH($E103,Parameters!$X$3:$AA$3,0))),T103*(1+INDEX(Response_Table!$E$4:$E$21,MATCH($F103&amp;"|high",Response_Table!$A$4:$A$21,0))*$R103*INDEX(Parameters!$X$4:$AA$4,1,MATCH($E103,Parameters!$X$3:$AA$3,0))))*(1+Inputs_General!$C$22*Parameters!$F$4))</f>
        <v>87.3626344207189</v>
      </c>
      <c r="X103" s="45" t="n">
        <f aca="false">IF(T103=0,0,U103/T103-1)</f>
        <v>-0.0888498966972993</v>
      </c>
      <c r="Y103" s="44" t="n">
        <f aca="false">Parameters!$E$5*IF($N103="V",Parameters!$I$5,IF($N103="F",Parameters!$J$5,Parameters!$K$5))*(1-Parameters!$L$5*$P103)*IF($D103="V1",Parameters!$M$5,IF($D103="V2",Parameters!$N$5,Parameters!$O$5))</f>
        <v>72</v>
      </c>
      <c r="Z103" s="44" t="n">
        <f aca="false">MIN(100,Y103*(1+INDEX(Response_Table!$F$4:$F$21,MATCH($F103&amp;"|mid",Response_Table!$A$4:$A$21,0))*$R103*INDEX(Parameters!$X$5:$AA$5,1,MATCH($E103,Parameters!$X$3:$AA$3,0))))</f>
        <v>52.1883986347957</v>
      </c>
      <c r="AA103" s="44" t="n">
        <f aca="false">MAX(0,MIN(Y103*(1+INDEX(Response_Table!$F$4:$F$21,MATCH($F103&amp;"|low",Response_Table!$A$4:$A$21,0))*$R103*INDEX(Parameters!$X$5:$AA$5,1,MATCH($E103,Parameters!$X$3:$AA$3,0))),Y103*(1+INDEX(Response_Table!$F$4:$F$21,MATCH($F103&amp;"|high",Response_Table!$A$4:$A$21,0))*$R103*INDEX(Parameters!$X$5:$AA$5,1,MATCH($E103,Parameters!$X$3:$AA$3,0))))*(1-Inputs_General!$C$22*Parameters!$F$5))</f>
        <v>41.7766252052624</v>
      </c>
      <c r="AB103" s="44" t="n">
        <f aca="false">MIN(100,MAX(Y103*(1+INDEX(Response_Table!$F$4:$F$21,MATCH($F103&amp;"|low",Response_Table!$A$4:$A$21,0))*$R103*INDEX(Parameters!$X$5:$AA$5,1,MATCH($E103,Parameters!$X$3:$AA$3,0))),Y103*(1+INDEX(Response_Table!$F$4:$F$21,MATCH($F103&amp;"|high",Response_Table!$A$4:$A$21,0))*$R103*INDEX(Parameters!$X$5:$AA$5,1,MATCH($E103,Parameters!$X$3:$AA$3,0))))*(1+Inputs_General!$C$22*Parameters!$F$5))</f>
        <v>67.4088423430151</v>
      </c>
      <c r="AC103" s="45" t="n">
        <f aca="false">IF(Y103=0,0,Z103/Y103-1)</f>
        <v>-0.275161130072283</v>
      </c>
      <c r="AD103" s="44" t="n">
        <f aca="false">Parameters!$E$6*IF($N103="V",Parameters!$I$6,IF($N103="F",Parameters!$J$6,Parameters!$K$6))*(1-Parameters!$L$6*$P103)*IF($D103="V1",Parameters!$M$6,IF($D103="V2",Parameters!$N$6,Parameters!$O$6))</f>
        <v>19</v>
      </c>
      <c r="AE103" s="44" t="n">
        <f aca="false">AD103*(1+INDEX(Response_Table!$G$4:$G$21,MATCH($F103&amp;"|mid",Response_Table!$A$4:$A$21,0))*$R103*INDEX(Parameters!$X$6:$AA$6,1,MATCH($E103,Parameters!$X$3:$AA$3,0)))</f>
        <v>8.81590168479415</v>
      </c>
      <c r="AF103" s="44" t="n">
        <f aca="false">MAX(0,MIN(AD103*(1+INDEX(Response_Table!$G$4:$G$21,MATCH($F103&amp;"|low",Response_Table!$A$4:$A$21,0))*$R103*INDEX(Parameters!$X$6:$AA$6,1,MATCH($E103,Parameters!$X$3:$AA$3,0))),AD103*(1+INDEX(Response_Table!$G$4:$G$21,MATCH($F103&amp;"|high",Response_Table!$A$4:$A$21,0))*$R103*INDEX(Parameters!$X$6:$AA$6,1,MATCH($E103,Parameters!$X$3:$AA$3,0))))*(1-Inputs_General!$C$22*Parameters!$F$6))</f>
        <v>6.29998591086618</v>
      </c>
      <c r="AG103" s="44" t="n">
        <f aca="false">MAX(AD103*(1+INDEX(Response_Table!$G$4:$G$21,MATCH($F103&amp;"|low",Response_Table!$A$4:$A$21,0))*$R103*INDEX(Parameters!$X$6:$AA$6,1,MATCH($E103,Parameters!$X$3:$AA$3,0))),AD103*(1+INDEX(Response_Table!$G$4:$G$21,MATCH($F103&amp;"|high",Response_Table!$A$4:$A$21,0))*$R103*INDEX(Parameters!$X$6:$AA$6,1,MATCH($E103,Parameters!$X$3:$AA$3,0))))*(1+Inputs_General!$C$22*Parameters!$F$6)</f>
        <v>12.5182427903625</v>
      </c>
      <c r="AH103" s="45" t="n">
        <f aca="false">IF(AD103=0,0,AE103/AD103-1)</f>
        <v>-0.536005174484518</v>
      </c>
      <c r="AI103" s="46" t="n">
        <f aca="false">Parameters!$E$7*IF($N103="V",Parameters!$I$7,IF($N103="F",Parameters!$J$7,Parameters!$K$7))*(1-Parameters!$L$7*$P103)*IF($D103="V1",Parameters!$M$7,IF($D103="V2",Parameters!$N$7,Parameters!$O$7))*POWER($Q103/Inputs_General!$C$26,-Inputs_General!$C$25)</f>
        <v>0.464685683730118</v>
      </c>
      <c r="AJ103" s="46" t="n">
        <f aca="false">AI103*(1+INDEX(Response_Table!$H$4:$H$21,MATCH($F103&amp;"|mid",Response_Table!$A$4:$A$21,0))*$R103*INDEX(Parameters!$X$7:$AA$7,1,MATCH($E103,Parameters!$X$3:$AA$3,0)))</f>
        <v>0.283893436147021</v>
      </c>
      <c r="AK103" s="46" t="n">
        <f aca="false">MAX(0,MIN(AI103*(1+INDEX(Response_Table!$H$4:$H$21,MATCH($F103&amp;"|low",Response_Table!$A$4:$A$21,0))*$R103*INDEX(Parameters!$X$7:$AA$7,1,MATCH($E103,Parameters!$X$3:$AA$3,0))),AI103*(1+INDEX(Response_Table!$H$4:$H$21,MATCH($F103&amp;"|high",Response_Table!$A$4:$A$21,0))*$R103*INDEX(Parameters!$X$7:$AA$7,1,MATCH($E103,Parameters!$X$3:$AA$3,0))))*(1-Inputs_General!$C$22*Parameters!$F$7))</f>
        <v>0.181742416127299</v>
      </c>
      <c r="AL103" s="46" t="n">
        <f aca="false">MAX(AI103*(1+INDEX(Response_Table!$H$4:$H$21,MATCH($F103&amp;"|low",Response_Table!$A$4:$A$21,0))*$R103*INDEX(Parameters!$X$7:$AA$7,1,MATCH($E103,Parameters!$X$3:$AA$3,0))),AI103*(1+INDEX(Response_Table!$H$4:$H$21,MATCH($F103&amp;"|high",Response_Table!$A$4:$A$21,0))*$R103*INDEX(Parameters!$X$7:$AA$7,1,MATCH($E103,Parameters!$X$3:$AA$3,0))))*(1+Inputs_General!$C$22*Parameters!$F$7)</f>
        <v>0.415698006810297</v>
      </c>
      <c r="AM103" s="45" t="n">
        <f aca="false">IF(AI103=0,0,AJ103/AI103-1)</f>
        <v>-0.389063519521074</v>
      </c>
      <c r="AN103" s="43" t="n">
        <f aca="false">AI103*$Q103/Inputs_General!$C$13*1000</f>
        <v>4.38850387664553</v>
      </c>
      <c r="AO103" s="43" t="n">
        <f aca="false">AJ103*$Q103/Inputs_General!$C$13*1000*(1+Inputs_General!$C$21*$I103)</f>
        <v>2.9358013386977</v>
      </c>
      <c r="AP103" s="43" t="n">
        <f aca="false">AK103*$Q103/Inputs_General!$C$13*1000*(1+Inputs_General!$C$21*$H103)</f>
        <v>1.82794489225338</v>
      </c>
      <c r="AQ103" s="43" t="n">
        <f aca="false">AL103*$Q103/Inputs_General!$C$13*1000*(1+Inputs_General!$C$21*$J103)</f>
        <v>4.41659583145856</v>
      </c>
      <c r="AR103" s="45" t="n">
        <f aca="false">IF(AN103=0,0,AO103/AN103-1)</f>
        <v>-0.331024553875576</v>
      </c>
      <c r="AS103" s="42" t="n">
        <f aca="false">Parameters!$E$9*IF($N103="V",Parameters!$I$9,IF($N103="F",Parameters!$J$9,Parameters!$K$9))*(1-Parameters!$L$9*$P103)*IF($D103="V1",Parameters!$M$9,IF($D103="V2",Parameters!$N$9,Parameters!$O$9))</f>
        <v>285</v>
      </c>
      <c r="AT103" s="42" t="n">
        <f aca="false">AS103*(1+INDEX(Response_Table!$I$4:$I$21,MATCH($F103&amp;"|mid",Response_Table!$A$4:$A$21,0))*$R103*INDEX(Parameters!$X$9:$AA$9,1,MATCH($E103,Parameters!$X$3:$AA$3,0)))</f>
        <v>343.784117625715</v>
      </c>
      <c r="AU103" s="42" t="n">
        <f aca="false">MAX(0,MIN(AS103*(1+INDEX(Response_Table!$I$4:$I$21,MATCH($F103&amp;"|low",Response_Table!$A$4:$A$21,0))*$R103*INDEX(Parameters!$X$9:$AA$9,1,MATCH($E103,Parameters!$X$3:$AA$3,0))),AS103*(1+INDEX(Response_Table!$I$4:$I$21,MATCH($F103&amp;"|high",Response_Table!$A$4:$A$21,0))*$R103*INDEX(Parameters!$X$9:$AA$9,1,MATCH($E103,Parameters!$X$3:$AA$3,0))))*(1-Inputs_General!$C$22*Parameters!$F$9))</f>
        <v>300.715202647127</v>
      </c>
      <c r="AV103" s="42" t="n">
        <f aca="false">MAX(AS103*(1+INDEX(Response_Table!$I$4:$I$21,MATCH($F103&amp;"|low",Response_Table!$A$4:$A$21,0))*$R103*INDEX(Parameters!$X$9:$AA$9,1,MATCH($E103,Parameters!$X$3:$AA$3,0))),AS103*(1+INDEX(Response_Table!$I$4:$I$21,MATCH($F103&amp;"|high",Response_Table!$A$4:$A$21,0))*$R103*INDEX(Parameters!$X$9:$AA$9,1,MATCH($E103,Parameters!$X$3:$AA$3,0))))*(1+Inputs_General!$C$22*Parameters!$F$9)</f>
        <v>384.608036032929</v>
      </c>
      <c r="AW103" s="45" t="n">
        <f aca="false">IF(AS103=0,0,AT103/AS103-1)</f>
        <v>0.206260061844615</v>
      </c>
      <c r="AX103" s="43" t="n">
        <f aca="false">INDEX(Context!$AB$4:$AB$51,$K103)</f>
        <v>1.88260488051479</v>
      </c>
      <c r="AY103" s="43" t="n">
        <f aca="false">AX103*(1+INDEX(Response_Table!$J$4:$J$21,MATCH($F103&amp;"|mid",Response_Table!$A$4:$A$21,0))*$R103*INDEX(Parameters!$X$10:$AA$10,1,MATCH($E103,Parameters!$X$3:$AA$3,0)))</f>
        <v>1.59686010580444</v>
      </c>
      <c r="AZ103" s="43" t="n">
        <f aca="false">MAX(0,MIN(AX103*(1+INDEX(Response_Table!$J$4:$J$21,MATCH($F103&amp;"|low",Response_Table!$A$4:$A$21,0))*$R103*INDEX(Parameters!$X$10:$AA$10,1,MATCH($E103,Parameters!$X$3:$AA$3,0))),AX103*(1+INDEX(Response_Table!$J$4:$J$21,MATCH($F103&amp;"|high",Response_Table!$A$4:$A$21,0))*$R103*INDEX(Parameters!$X$10:$AA$10,1,MATCH($E103,Parameters!$X$3:$AA$3,0))))*(1-Inputs_General!$C$22*Parameters!$F$10))</f>
        <v>1.24415485765701</v>
      </c>
      <c r="BA103" s="43" t="n">
        <f aca="false">MAX(AX103*(1+INDEX(Response_Table!$J$4:$J$21,MATCH($F103&amp;"|low",Response_Table!$A$4:$A$21,0))*$R103*INDEX(Parameters!$X$10:$AA$10,1,MATCH($E103,Parameters!$X$3:$AA$3,0))),AX103*(1+INDEX(Response_Table!$J$4:$J$21,MATCH($F103&amp;"|high",Response_Table!$A$4:$A$21,0))*$R103*INDEX(Parameters!$X$10:$AA$10,1,MATCH($E103,Parameters!$X$3:$AA$3,0))))*(1+Inputs_General!$C$22*Parameters!$F$10)</f>
        <v>1.98756981541517</v>
      </c>
      <c r="BB103" s="45" t="n">
        <f aca="false">IF(AX103=0,0,AY103/AX103-1)</f>
        <v>-0.151781596695011</v>
      </c>
      <c r="BC103" s="46" t="n">
        <f aca="false">Parameters!$E$11*IF($N103="V",Parameters!$I$11,IF($N103="F",Parameters!$J$11,Parameters!$K$11))*(1-Parameters!$L$11*$P103)*IF($D103="V1",Parameters!$M$11,IF($D103="V2",Parameters!$N$11,Parameters!$O$11))</f>
        <v>1.1875</v>
      </c>
      <c r="BD103" s="46" t="n">
        <f aca="false">BC103*(1+INDEX(Response_Table!$K$4:$K$21,MATCH($F103&amp;"|mid",Response_Table!$A$4:$A$21,0))*$R103*INDEX(Parameters!$X$11:$AA$11,1,MATCH($E103,Parameters!$X$3:$AA$3,0)))</f>
        <v>0.888805523542861</v>
      </c>
      <c r="BE103" s="46" t="n">
        <f aca="false">MAX(0,MIN(BC103*(1+INDEX(Response_Table!$K$4:$K$21,MATCH($F103&amp;"|low",Response_Table!$A$4:$A$21,0))*$R103*INDEX(Parameters!$X$11:$AA$11,1,MATCH($E103,Parameters!$X$3:$AA$3,0))),BC103*(1+INDEX(Response_Table!$K$4:$K$21,MATCH($F103&amp;"|high",Response_Table!$A$4:$A$21,0))*$R103*INDEX(Parameters!$X$11:$AA$11,1,MATCH($E103,Parameters!$X$3:$AA$3,0))))*(1-Inputs_General!$C$22*Parameters!$F$11))</f>
        <v>0.709072249579934</v>
      </c>
      <c r="BF103" s="46" t="n">
        <f aca="false">MAX(BC103*(1+INDEX(Response_Table!$K$4:$K$21,MATCH($F103&amp;"|low",Response_Table!$A$4:$A$21,0))*$R103*INDEX(Parameters!$X$11:$AA$11,1,MATCH($E103,Parameters!$X$3:$AA$3,0))),BC103*(1+INDEX(Response_Table!$K$4:$K$21,MATCH($F103&amp;"|high",Response_Table!$A$4:$A$21,0))*$R103*INDEX(Parameters!$X$11:$AA$11,1,MATCH($E103,Parameters!$X$3:$AA$3,0))))*(1+Inputs_General!$C$22*Parameters!$F$11)</f>
        <v>1.10361462460822</v>
      </c>
      <c r="BG103" s="45" t="n">
        <f aca="false">IF(BC103=0,0,BD103/BC103-1)</f>
        <v>-0.251532190700749</v>
      </c>
      <c r="BH103" s="46" t="n">
        <f aca="false">Parameters!$E$12*IF($N103="V",Parameters!$I$12,IF($N103="F",Parameters!$J$12,Parameters!$K$12))*(1-Parameters!$L$12*$P103)*IF($D103="V1",Parameters!$M$12,IF($D103="V2",Parameters!$N$12,Parameters!$O$12))</f>
        <v>0.4275</v>
      </c>
      <c r="BI103" s="46" t="n">
        <f aca="false">BH103*(1+INDEX(Response_Table!$L$4:$L$21,MATCH($F103&amp;"|mid",Response_Table!$A$4:$A$21,0))*$R103*INDEX(Parameters!$X$12:$AA$12,1,MATCH($E103,Parameters!$X$3:$AA$3,0)))</f>
        <v>0.339539846127507</v>
      </c>
      <c r="BJ103" s="46" t="n">
        <f aca="false">MAX(0,MIN(BH103*(1+INDEX(Response_Table!$L$4:$L$21,MATCH($F103&amp;"|low",Response_Table!$A$4:$A$21,0))*$R103*INDEX(Parameters!$X$12:$AA$12,1,MATCH($E103,Parameters!$X$3:$AA$3,0))),BH103*(1+INDEX(Response_Table!$L$4:$L$21,MATCH($F103&amp;"|high",Response_Table!$A$4:$A$21,0))*$R103*INDEX(Parameters!$X$12:$AA$12,1,MATCH($E103,Parameters!$X$3:$AA$3,0))))*(1-Inputs_General!$C$22*Parameters!$F$12))</f>
        <v>0.26247922474299</v>
      </c>
      <c r="BK103" s="46" t="n">
        <f aca="false">MAX(BH103*(1+INDEX(Response_Table!$L$4:$L$21,MATCH($F103&amp;"|low",Response_Table!$A$4:$A$21,0))*$R103*INDEX(Parameters!$X$12:$AA$12,1,MATCH($E103,Parameters!$X$3:$AA$3,0))),BH103*(1+INDEX(Response_Table!$L$4:$L$21,MATCH($F103&amp;"|high",Response_Table!$A$4:$A$21,0))*$R103*INDEX(Parameters!$X$12:$AA$12,1,MATCH($E103,Parameters!$X$3:$AA$3,0))))*(1+Inputs_General!$C$22*Parameters!$F$12)</f>
        <v>0.428024690319199</v>
      </c>
      <c r="BL103" s="45" t="n">
        <f aca="false">IF(BH103=0,0,BI103/BH103-1)</f>
        <v>-0.205754745900568</v>
      </c>
      <c r="BM103" s="46" t="n">
        <f aca="false">Parameters!$E$13*IF($N103="V",Parameters!$I$13,IF($N103="F",Parameters!$J$13,Parameters!$K$13))*(1-Parameters!$L$13*$P103)*IF($D103="V1",Parameters!$M$13,IF($D103="V2",Parameters!$N$13,Parameters!$O$13))</f>
        <v>0.285</v>
      </c>
      <c r="BN103" s="46" t="n">
        <f aca="false">BM103*(1+INDEX(Response_Table!$M$4:$M$21,MATCH($F103&amp;"|mid",Response_Table!$A$4:$A$21,0))*$R103*INDEX(Parameters!$X$13:$AA$13,1,MATCH($E103,Parameters!$X$3:$AA$3,0)))</f>
        <v>0.245974804048153</v>
      </c>
      <c r="BO103" s="46" t="n">
        <f aca="false">MAX(0,MIN(BM103*(1+INDEX(Response_Table!$M$4:$M$21,MATCH($F103&amp;"|low",Response_Table!$A$4:$A$21,0))*$R103*INDEX(Parameters!$X$13:$AA$13,1,MATCH($E103,Parameters!$X$3:$AA$3,0))),BM103*(1+INDEX(Response_Table!$M$4:$M$21,MATCH($F103&amp;"|high",Response_Table!$A$4:$A$21,0))*$R103*INDEX(Parameters!$X$13:$AA$13,1,MATCH($E103,Parameters!$X$3:$AA$3,0))))*(1-Inputs_General!$C$22*Parameters!$F$13))</f>
        <v>0.190798686339391</v>
      </c>
      <c r="BP103" s="46" t="n">
        <f aca="false">MAX(BM103*(1+INDEX(Response_Table!$M$4:$M$21,MATCH($F103&amp;"|low",Response_Table!$A$4:$A$21,0))*$R103*INDEX(Parameters!$X$13:$AA$13,1,MATCH($E103,Parameters!$X$3:$AA$3,0))),BM103*(1+INDEX(Response_Table!$M$4:$M$21,MATCH($F103&amp;"|high",Response_Table!$A$4:$A$21,0))*$R103*INDEX(Parameters!$X$13:$AA$13,1,MATCH($E103,Parameters!$X$3:$AA$3,0))))*(1+Inputs_General!$C$22*Parameters!$F$13)</f>
        <v>0.310450316490952</v>
      </c>
      <c r="BQ103" s="45" t="n">
        <f aca="false">IF(BM103=0,0,BN103/BM103-1)</f>
        <v>-0.136930512111743</v>
      </c>
      <c r="BR103" s="44" t="n">
        <f aca="false">Parameters!$E$14*IF($N103="V",Parameters!$I$14,IF($N103="F",Parameters!$J$14,Parameters!$K$14))*(1-Parameters!$L$14*$P103)*IF($D103="V1",Parameters!$M$14,IF($D103="V2",Parameters!$N$14,Parameters!$O$14))*INDEX(Context!$AC$4:$AC$51,$K103)</f>
        <v>17.325</v>
      </c>
      <c r="BS103" s="44" t="n">
        <f aca="false">BR103*(1+INDEX(Response_Table!$N$4:$N$21,MATCH($F103&amp;"|mid",Response_Table!$A$4:$A$21,0))*$R103*INDEX(Parameters!$X$14:$AA$14,1,MATCH($E103,Parameters!$X$3:$AA$3,0)))</f>
        <v>21.2137646975207</v>
      </c>
      <c r="BT103" s="44" t="n">
        <f aca="false">MAX(0,MIN(BR103*(1+INDEX(Response_Table!$N$4:$N$21,MATCH($F103&amp;"|low",Response_Table!$A$4:$A$21,0))*$R103*INDEX(Parameters!$X$14:$AA$14,1,MATCH($E103,Parameters!$X$3:$AA$3,0))),BR103*(1+INDEX(Response_Table!$N$4:$N$21,MATCH($F103&amp;"|high",Response_Table!$A$4:$A$21,0))*$R103*INDEX(Parameters!$X$14:$AA$14,1,MATCH($E103,Parameters!$X$3:$AA$3,0))))*(1-Inputs_General!$C$22*Parameters!$F$14))</f>
        <v>10.3434533994397</v>
      </c>
      <c r="BU103" s="44" t="n">
        <f aca="false">MAX(BR103*(1+INDEX(Response_Table!$N$4:$N$21,MATCH($F103&amp;"|low",Response_Table!$A$4:$A$21,0))*$R103*INDEX(Parameters!$X$14:$AA$14,1,MATCH($E103,Parameters!$X$3:$AA$3,0))),BR103*(1+INDEX(Response_Table!$N$4:$N$21,MATCH($F103&amp;"|high",Response_Table!$A$4:$A$21,0))*$R103*INDEX(Parameters!$X$14:$AA$14,1,MATCH($E103,Parameters!$X$3:$AA$3,0))))*(1+Inputs_General!$C$22*Parameters!$F$14)</f>
        <v>32.5083560037398</v>
      </c>
      <c r="BV103" s="45" t="n">
        <f aca="false">IF(BR103=0,0,BS103/BR103-1)</f>
        <v>0.22445972280062</v>
      </c>
      <c r="BW103" s="43" t="n">
        <f aca="false">Parameters!$E$15*IF($N103="V",Parameters!$I$15,IF($N103="F",Parameters!$J$15,Parameters!$K$15))*(1-Parameters!$L$15*$P103)*IF($D103="V1",Parameters!$M$15,IF($D103="V2",Parameters!$N$15,Parameters!$O$15))</f>
        <v>11.664</v>
      </c>
      <c r="BX103" s="43" t="n">
        <f aca="false">BW103*(1+INDEX(Response_Table!$O$4:$O$21,MATCH($F103&amp;"|mid",Response_Table!$A$4:$A$21,0))*$R103*INDEX(Parameters!$X$15:$AA$15,1,MATCH($E103,Parameters!$X$3:$AA$3,0)))</f>
        <v>11.0094754483134</v>
      </c>
      <c r="BY103" s="43" t="n">
        <f aca="false">MAX(0,MIN(BW103*(1+INDEX(Response_Table!$O$4:$O$21,MATCH($F103&amp;"|low",Response_Table!$A$4:$A$21,0))*$R103*INDEX(Parameters!$X$15:$AA$15,1,MATCH($E103,Parameters!$X$3:$AA$3,0))),BW103*(1+INDEX(Response_Table!$O$4:$O$21,MATCH($F103&amp;"|high",Response_Table!$A$4:$A$21,0))*$R103*INDEX(Parameters!$X$15:$AA$15,1,MATCH($E103,Parameters!$X$3:$AA$3,0))))*(1-Inputs_General!$C$22*Parameters!$F$15))</f>
        <v>8.76152968000143</v>
      </c>
      <c r="BZ103" s="43" t="n">
        <f aca="false">MAX(BW103*(1+INDEX(Response_Table!$O$4:$O$21,MATCH($F103&amp;"|low",Response_Table!$A$4:$A$21,0))*$R103*INDEX(Parameters!$X$15:$AA$15,1,MATCH($E103,Parameters!$X$3:$AA$3,0))),BW103*(1+INDEX(Response_Table!$O$4:$O$21,MATCH($F103&amp;"|high",Response_Table!$A$4:$A$21,0))*$R103*INDEX(Parameters!$X$15:$AA$15,1,MATCH($E103,Parameters!$X$3:$AA$3,0))))*(1+Inputs_General!$C$22*Parameters!$F$15)</f>
        <v>13.3424305530355</v>
      </c>
      <c r="CA103" s="45" t="n">
        <f aca="false">IF(BW103=0,0,BX103/BW103-1)</f>
        <v>-0.0561149307001549</v>
      </c>
      <c r="CB103" s="46" t="n">
        <f aca="false">BD103+BI103</f>
        <v>1.22834536967037</v>
      </c>
      <c r="CC103" s="43" t="n">
        <f aca="false">BD103/BI103</f>
        <v>2.61767663995786</v>
      </c>
      <c r="CD103" s="46" t="n">
        <f aca="false">BN103/CB103</f>
        <v>0.200248895890056</v>
      </c>
      <c r="CE103" s="43" t="n">
        <f aca="false">AE103/AO103</f>
        <v>3.00289449718175</v>
      </c>
      <c r="CF103" s="44" t="n">
        <f aca="false">AE103/AJ103</f>
        <v>31.0535594075117</v>
      </c>
      <c r="CG103" s="44" t="n">
        <f aca="false">INDEX(Context!$V$4:$V$51,$K103)</f>
        <v>22.6257142857143</v>
      </c>
      <c r="CH103" s="44" t="n">
        <f aca="false">INDEX(Context!$Y$4:$Y$51,$K103)</f>
        <v>21.3177449518561</v>
      </c>
      <c r="CI103" s="44" t="n">
        <f aca="false">INDEX(Context!$Z$4:$Z$51,$K103)</f>
        <v>26.6257142857143</v>
      </c>
      <c r="CJ103" s="43" t="n">
        <f aca="false">INDEX(Context!$AA$4:$AA$51,$K103)</f>
        <v>0.12</v>
      </c>
      <c r="CK103" s="43" t="n">
        <f aca="false">MAX(0,MIN(1,1-(1-CJ103)*AO103/AN103))</f>
        <v>0.411301607410507</v>
      </c>
      <c r="CL103" s="44" t="n">
        <f aca="false">CH103+CK103*(CI103-CH103)</f>
        <v>23.5009212709576</v>
      </c>
      <c r="CM103" s="44" t="n">
        <f aca="false">CH103+MAX(0,MIN(1,1-(1-CJ103)*AQ103/AN103))*(CI103-CH103)</f>
        <v>21.9248009026353</v>
      </c>
      <c r="CN103" s="44" t="n">
        <f aca="false">CH103+MAX(0,MIN(1,1-(1-CJ103)*AP103/AN103))*(CI103-CH103)</f>
        <v>24.6800957742086</v>
      </c>
      <c r="CO103" s="44" t="n">
        <f aca="false">CL103-CG103</f>
        <v>0.875206985243334</v>
      </c>
      <c r="CP103" s="44" t="n">
        <f aca="false">CL103-(CH103+CJ103*(CI103-CH103))</f>
        <v>1.54621999903858</v>
      </c>
      <c r="CQ103" s="46" t="n">
        <f aca="false">CL103/CG103</f>
        <v>1.03868196045399</v>
      </c>
      <c r="CR103" s="43" t="n">
        <f aca="false">IF(CL103-CH103&lt;=0,"n/a",(CI103-CL103)/(CL103-CH103))</f>
        <v>1.43130583976039</v>
      </c>
      <c r="CS103" s="43" t="n">
        <f aca="false">IF(CI103-CL103&lt;=0,"n/a",(CL103-CH103)/(CI103-CL103))</f>
        <v>0.698662698230456</v>
      </c>
      <c r="CT103" s="43" t="n">
        <f aca="false">Inputs_General!$C$23+Inputs_General!$C$24*$I103</f>
        <v>1.36</v>
      </c>
      <c r="CU103" s="44" t="n">
        <f aca="false">3.29*CT103</f>
        <v>4.4744</v>
      </c>
    </row>
    <row r="104" customFormat="false" ht="15" hidden="false" customHeight="false" outlineLevel="0" collapsed="false">
      <c r="A104" s="9" t="str">
        <f aca="false">B104&amp;"|"&amp;E104&amp;"|"&amp;F104</f>
        <v>D2V2|11/02/2026|Very high</v>
      </c>
      <c r="B104" s="7" t="s">
        <v>347</v>
      </c>
      <c r="C104" s="9" t="s">
        <v>129</v>
      </c>
      <c r="D104" s="9" t="s">
        <v>146</v>
      </c>
      <c r="E104" s="9" t="s">
        <v>158</v>
      </c>
      <c r="F104" s="7" t="s">
        <v>285</v>
      </c>
      <c r="G104" s="9" t="s">
        <v>286</v>
      </c>
      <c r="H104" s="41" t="n">
        <f aca="false">INDEX(Severity_Classes!$C$4:$C$9,MATCH(F104,Severity_Classes!$A$4:$A$9,0))</f>
        <v>0.51</v>
      </c>
      <c r="I104" s="41" t="n">
        <f aca="false">INDEX(Severity_Classes!$D$4:$D$9,MATCH(F104,Severity_Classes!$A$4:$A$9,0))</f>
        <v>0.65</v>
      </c>
      <c r="J104" s="41" t="n">
        <f aca="false">INDEX(Severity_Classes!$E$4:$E$9,MATCH(F104,Severity_Classes!$A$4:$A$9,0))</f>
        <v>0.85</v>
      </c>
      <c r="K104" s="42" t="n">
        <f aca="false">MATCH(B104&amp;"|"&amp;E104,Context!$A$4:$A$51,0)</f>
        <v>17</v>
      </c>
      <c r="L104" s="42" t="n">
        <f aca="false">INDEX(Context!$H$4:$H$51,K104)</f>
        <v>55</v>
      </c>
      <c r="M104" s="42" t="n">
        <f aca="false">INDEX(Context!$I$4:$I$51,K104)</f>
        <v>6</v>
      </c>
      <c r="N104" s="9" t="str">
        <f aca="false">INDEX(Context!$L$4:$L$51,K104)</f>
        <v>V</v>
      </c>
      <c r="O104" s="9" t="str">
        <f aca="false">INDEX(Context!$M$4:$M$51,K104)</f>
        <v>3rd fully expanded leaf from top</v>
      </c>
      <c r="P104" s="43" t="n">
        <f aca="false">INDEX(Context!$R$4:$R$51,K104)</f>
        <v>0</v>
      </c>
      <c r="Q104" s="43" t="n">
        <f aca="false">INDEX(Context!$U$4:$U$51,K104)</f>
        <v>0.937791824040773</v>
      </c>
      <c r="R104" s="43" t="n">
        <f aca="false">INDEX(Context!$AD$4:$AD$51,K104)</f>
        <v>1.1</v>
      </c>
      <c r="S104" s="9" t="str">
        <f aca="false">INDEX(Context!$AI$4:$AN$51,K104,MATCH(F104,Severity_Classes!$A$4:$A$9,0))</f>
        <v>Unlikely (only via pre-inoculation natural infection)</v>
      </c>
      <c r="T104" s="44" t="n">
        <f aca="false">Parameters!$E$4*IF($N104="V",Parameters!$I$4,IF($N104="F",Parameters!$J$4,Parameters!$K$4))*(1-Parameters!$L$4*$P104)*IF($D104="V1",Parameters!$M$4,IF($D104="V2",Parameters!$N$4,Parameters!$O$4))</f>
        <v>86</v>
      </c>
      <c r="U104" s="44" t="n">
        <f aca="false">MIN(100,T104*(1+INDEX(Response_Table!$E$4:$E$21,MATCH($F104&amp;"|mid",Response_Table!$A$4:$A$21,0))*$R104*INDEX(Parameters!$X$4:$AA$4,1,MATCH($E104,Parameters!$X$3:$AA$3,0))))</f>
        <v>72.9446771246238</v>
      </c>
      <c r="V104" s="44" t="n">
        <f aca="false">MAX(0,MIN(T104*(1+INDEX(Response_Table!$E$4:$E$21,MATCH($F104&amp;"|low",Response_Table!$A$4:$A$21,0))*$R104*INDEX(Parameters!$X$4:$AA$4,1,MATCH($E104,Parameters!$X$3:$AA$3,0))),T104*(1+INDEX(Response_Table!$E$4:$E$21,MATCH($F104&amp;"|high",Response_Table!$A$4:$A$21,0))*$R104*INDEX(Parameters!$X$4:$AA$4,1,MATCH($E104,Parameters!$X$3:$AA$3,0))))*(1-Inputs_General!$C$22*Parameters!$F$4))</f>
        <v>67.2982398069725</v>
      </c>
      <c r="W104" s="44" t="n">
        <f aca="false">MIN(100,MAX(T104*(1+INDEX(Response_Table!$E$4:$E$21,MATCH($F104&amp;"|low",Response_Table!$A$4:$A$21,0))*$R104*INDEX(Parameters!$X$4:$AA$4,1,MATCH($E104,Parameters!$X$3:$AA$3,0))),T104*(1+INDEX(Response_Table!$E$4:$E$21,MATCH($F104&amp;"|high",Response_Table!$A$4:$A$21,0))*$R104*INDEX(Parameters!$X$4:$AA$4,1,MATCH($E104,Parameters!$X$3:$AA$3,0))))*(1+Inputs_General!$C$22*Parameters!$F$4))</f>
        <v>79.8607565196763</v>
      </c>
      <c r="X104" s="45" t="n">
        <f aca="false">IF(T104=0,0,U104/T104-1)</f>
        <v>-0.151806079946235</v>
      </c>
      <c r="Y104" s="44" t="n">
        <f aca="false">Parameters!$E$5*IF($N104="V",Parameters!$I$5,IF($N104="F",Parameters!$J$5,Parameters!$K$5))*(1-Parameters!$L$5*$P104)*IF($D104="V1",Parameters!$M$5,IF($D104="V2",Parameters!$N$5,Parameters!$O$5))</f>
        <v>72</v>
      </c>
      <c r="Z104" s="44" t="n">
        <f aca="false">MIN(100,Y104*(1+INDEX(Response_Table!$F$4:$F$21,MATCH($F104&amp;"|mid",Response_Table!$A$4:$A$21,0))*$R104*INDEX(Parameters!$X$5:$AA$5,1,MATCH($E104,Parameters!$X$3:$AA$3,0))))</f>
        <v>44.9894708664408</v>
      </c>
      <c r="AA104" s="44" t="n">
        <f aca="false">MAX(0,MIN(Y104*(1+INDEX(Response_Table!$F$4:$F$21,MATCH($F104&amp;"|low",Response_Table!$A$4:$A$21,0))*$R104*INDEX(Parameters!$X$5:$AA$5,1,MATCH($E104,Parameters!$X$3:$AA$3,0))),Y104*(1+INDEX(Response_Table!$F$4:$F$21,MATCH($F104&amp;"|high",Response_Table!$A$4:$A$21,0))*$R104*INDEX(Parameters!$X$5:$AA$5,1,MATCH($E104,Parameters!$X$3:$AA$3,0))))*(1-Inputs_General!$C$22*Parameters!$F$5))</f>
        <v>39.2679283314404</v>
      </c>
      <c r="AB104" s="44" t="n">
        <f aca="false">MIN(100,MAX(Y104*(1+INDEX(Response_Table!$F$4:$F$21,MATCH($F104&amp;"|low",Response_Table!$A$4:$A$21,0))*$R104*INDEX(Parameters!$X$5:$AA$5,1,MATCH($E104,Parameters!$X$3:$AA$3,0))),Y104*(1+INDEX(Response_Table!$F$4:$F$21,MATCH($F104&amp;"|high",Response_Table!$A$4:$A$21,0))*$R104*INDEX(Parameters!$X$5:$AA$5,1,MATCH($E104,Parameters!$X$3:$AA$3,0))))*(1+Inputs_General!$C$22*Parameters!$F$5))</f>
        <v>52.3669202679589</v>
      </c>
      <c r="AC104" s="45" t="n">
        <f aca="false">IF(Y104=0,0,Z104/Y104-1)</f>
        <v>-0.375146237966101</v>
      </c>
      <c r="AD104" s="44" t="n">
        <f aca="false">Parameters!$E$6*IF($N104="V",Parameters!$I$6,IF($N104="F",Parameters!$J$6,Parameters!$K$6))*(1-Parameters!$L$6*$P104)*IF($D104="V1",Parameters!$M$6,IF($D104="V2",Parameters!$N$6,Parameters!$O$6))</f>
        <v>19</v>
      </c>
      <c r="AE104" s="44" t="n">
        <f aca="false">AD104*(1+INDEX(Response_Table!$G$4:$G$21,MATCH($F104&amp;"|mid",Response_Table!$A$4:$A$21,0))*$R104*INDEX(Parameters!$X$6:$AA$6,1,MATCH($E104,Parameters!$X$3:$AA$3,0)))</f>
        <v>7.17815025372896</v>
      </c>
      <c r="AF104" s="44" t="n">
        <f aca="false">MAX(0,MIN(AD104*(1+INDEX(Response_Table!$G$4:$G$21,MATCH($F104&amp;"|low",Response_Table!$A$4:$A$21,0))*$R104*INDEX(Parameters!$X$6:$AA$6,1,MATCH($E104,Parameters!$X$3:$AA$3,0))),AD104*(1+INDEX(Response_Table!$G$4:$G$21,MATCH($F104&amp;"|high",Response_Table!$A$4:$A$21,0))*$R104*INDEX(Parameters!$X$6:$AA$6,1,MATCH($E104,Parameters!$X$3:$AA$3,0))))*(1-Inputs_General!$C$22*Parameters!$F$6))</f>
        <v>5.42387164139174</v>
      </c>
      <c r="AG104" s="44" t="n">
        <f aca="false">MAX(AD104*(1+INDEX(Response_Table!$G$4:$G$21,MATCH($F104&amp;"|low",Response_Table!$A$4:$A$21,0))*$R104*INDEX(Parameters!$X$6:$AA$6,1,MATCH($E104,Parameters!$X$3:$AA$3,0))),AD104*(1+INDEX(Response_Table!$G$4:$G$21,MATCH($F104&amp;"|high",Response_Table!$A$4:$A$21,0))*$R104*INDEX(Parameters!$X$6:$AA$6,1,MATCH($E104,Parameters!$X$3:$AA$3,0))))*(1+Inputs_General!$C$22*Parameters!$F$6)</f>
        <v>9.32733930551793</v>
      </c>
      <c r="AH104" s="45" t="n">
        <f aca="false">IF(AD104=0,0,AE104/AD104-1)</f>
        <v>-0.622202618224792</v>
      </c>
      <c r="AI104" s="46" t="n">
        <f aca="false">Parameters!$E$7*IF($N104="V",Parameters!$I$7,IF($N104="F",Parameters!$J$7,Parameters!$K$7))*(1-Parameters!$L$7*$P104)*IF($D104="V1",Parameters!$M$7,IF($D104="V2",Parameters!$N$7,Parameters!$O$7))*POWER($Q104/Inputs_General!$C$26,-Inputs_General!$C$25)</f>
        <v>0.464685683730118</v>
      </c>
      <c r="AJ104" s="46" t="n">
        <f aca="false">AI104*(1+INDEX(Response_Table!$H$4:$H$21,MATCH($F104&amp;"|mid",Response_Table!$A$4:$A$21,0))*$R104*INDEX(Parameters!$X$7:$AA$7,1,MATCH($E104,Parameters!$X$3:$AA$3,0)))</f>
        <v>0.236701950897336</v>
      </c>
      <c r="AK104" s="46" t="n">
        <f aca="false">MAX(0,MIN(AI104*(1+INDEX(Response_Table!$H$4:$H$21,MATCH($F104&amp;"|low",Response_Table!$A$4:$A$21,0))*$R104*INDEX(Parameters!$X$7:$AA$7,1,MATCH($E104,Parameters!$X$3:$AA$3,0))),AI104*(1+INDEX(Response_Table!$H$4:$H$21,MATCH($F104&amp;"|high",Response_Table!$A$4:$A$21,0))*$R104*INDEX(Parameters!$X$7:$AA$7,1,MATCH($E104,Parameters!$X$3:$AA$3,0))))*(1-Inputs_General!$C$22*Parameters!$F$7))</f>
        <v>0.154604311583672</v>
      </c>
      <c r="AL104" s="46" t="n">
        <f aca="false">MAX(AI104*(1+INDEX(Response_Table!$H$4:$H$21,MATCH($F104&amp;"|low",Response_Table!$A$4:$A$21,0))*$R104*INDEX(Parameters!$X$7:$AA$7,1,MATCH($E104,Parameters!$X$3:$AA$3,0))),AI104*(1+INDEX(Response_Table!$H$4:$H$21,MATCH($F104&amp;"|high",Response_Table!$A$4:$A$21,0))*$R104*INDEX(Parameters!$X$7:$AA$7,1,MATCH($E104,Parameters!$X$3:$AA$3,0))))*(1+Inputs_General!$C$22*Parameters!$F$7)</f>
        <v>0.332372789608898</v>
      </c>
      <c r="AM104" s="45" t="n">
        <f aca="false">IF(AI104=0,0,AJ104/AI104-1)</f>
        <v>-0.490619231052514</v>
      </c>
      <c r="AN104" s="43" t="n">
        <f aca="false">AI104*$Q104/Inputs_General!$C$13*1000</f>
        <v>4.38850387664553</v>
      </c>
      <c r="AO104" s="43" t="n">
        <f aca="false">AJ104*$Q104/Inputs_General!$C$13*1000*(1+Inputs_General!$C$21*$I104)</f>
        <v>2.59867514458711</v>
      </c>
      <c r="AP104" s="43" t="n">
        <f aca="false">AK104*$Q104/Inputs_General!$C$13*1000*(1+Inputs_General!$C$21*$H104)</f>
        <v>1.64624832259424</v>
      </c>
      <c r="AQ104" s="43" t="n">
        <f aca="false">AL104*$Q104/Inputs_General!$C$13*1000*(1+Inputs_General!$C$21*$J104)</f>
        <v>3.80596160737642</v>
      </c>
      <c r="AR104" s="45" t="n">
        <f aca="false">IF(AN104=0,0,AO104/AN104-1)</f>
        <v>-0.407844856098548</v>
      </c>
      <c r="AS104" s="42" t="n">
        <f aca="false">Parameters!$E$9*IF($N104="V",Parameters!$I$9,IF($N104="F",Parameters!$J$9,Parameters!$K$9))*(1-Parameters!$L$9*$P104)*IF($D104="V1",Parameters!$M$9,IF($D104="V2",Parameters!$N$9,Parameters!$O$9))</f>
        <v>285</v>
      </c>
      <c r="AT104" s="42" t="n">
        <f aca="false">AS104*(1+INDEX(Response_Table!$I$4:$I$21,MATCH($F104&amp;"|mid",Response_Table!$A$4:$A$21,0))*$R104*INDEX(Parameters!$X$9:$AA$9,1,MATCH($E104,Parameters!$X$3:$AA$3,0)))</f>
        <v>354.651655975154</v>
      </c>
      <c r="AU104" s="42" t="n">
        <f aca="false">MAX(0,MIN(AS104*(1+INDEX(Response_Table!$I$4:$I$21,MATCH($F104&amp;"|low",Response_Table!$A$4:$A$21,0))*$R104*INDEX(Parameters!$X$9:$AA$9,1,MATCH($E104,Parameters!$X$3:$AA$3,0))),AS104*(1+INDEX(Response_Table!$I$4:$I$21,MATCH($F104&amp;"|high",Response_Table!$A$4:$A$21,0))*$R104*INDEX(Parameters!$X$9:$AA$9,1,MATCH($E104,Parameters!$X$3:$AA$3,0))))*(1-Inputs_General!$C$22*Parameters!$F$9))</f>
        <v>315.866569445888</v>
      </c>
      <c r="AV104" s="42" t="n">
        <f aca="false">MAX(AS104*(1+INDEX(Response_Table!$I$4:$I$21,MATCH($F104&amp;"|low",Response_Table!$A$4:$A$21,0))*$R104*INDEX(Parameters!$X$9:$AA$9,1,MATCH($E104,Parameters!$X$3:$AA$3,0))),AS104*(1+INDEX(Response_Table!$I$4:$I$21,MATCH($F104&amp;"|high",Response_Table!$A$4:$A$21,0))*$R104*INDEX(Parameters!$X$9:$AA$9,1,MATCH($E104,Parameters!$X$3:$AA$3,0))))*(1+Inputs_General!$C$22*Parameters!$F$9)</f>
        <v>393.036846991285</v>
      </c>
      <c r="AW104" s="45" t="n">
        <f aca="false">IF(AS104=0,0,AT104/AS104-1)</f>
        <v>0.244391775351416</v>
      </c>
      <c r="AX104" s="43" t="n">
        <f aca="false">INDEX(Context!$AB$4:$AB$51,$K104)</f>
        <v>1.88260488051479</v>
      </c>
      <c r="AY104" s="43" t="n">
        <f aca="false">AX104*(1+INDEX(Response_Table!$J$4:$J$21,MATCH($F104&amp;"|mid",Response_Table!$A$4:$A$21,0))*$R104*INDEX(Parameters!$X$10:$AA$10,1,MATCH($E104,Parameters!$X$3:$AA$3,0)))</f>
        <v>1.5084101255779</v>
      </c>
      <c r="AZ104" s="43" t="n">
        <f aca="false">MAX(0,MIN(AX104*(1+INDEX(Response_Table!$J$4:$J$21,MATCH($F104&amp;"|low",Response_Table!$A$4:$A$21,0))*$R104*INDEX(Parameters!$X$10:$AA$10,1,MATCH($E104,Parameters!$X$3:$AA$3,0))),AX104*(1+INDEX(Response_Table!$J$4:$J$21,MATCH($F104&amp;"|high",Response_Table!$A$4:$A$21,0))*$R104*INDEX(Parameters!$X$10:$AA$10,1,MATCH($E104,Parameters!$X$3:$AA$3,0))))*(1-Inputs_General!$C$22*Parameters!$F$10))</f>
        <v>1.18167546994613</v>
      </c>
      <c r="BA104" s="43" t="n">
        <f aca="false">MAX(AX104*(1+INDEX(Response_Table!$J$4:$J$21,MATCH($F104&amp;"|low",Response_Table!$A$4:$A$21,0))*$R104*INDEX(Parameters!$X$10:$AA$10,1,MATCH($E104,Parameters!$X$3:$AA$3,0))),AX104*(1+INDEX(Response_Table!$J$4:$J$21,MATCH($F104&amp;"|high",Response_Table!$A$4:$A$21,0))*$R104*INDEX(Parameters!$X$10:$AA$10,1,MATCH($E104,Parameters!$X$3:$AA$3,0))))*(1+Inputs_General!$C$22*Parameters!$F$10)</f>
        <v>1.85220962931442</v>
      </c>
      <c r="BB104" s="45" t="n">
        <f aca="false">IF(AX104=0,0,AY104/AX104-1)</f>
        <v>-0.198764360386962</v>
      </c>
      <c r="BC104" s="46" t="n">
        <f aca="false">Parameters!$E$11*IF($N104="V",Parameters!$I$11,IF($N104="F",Parameters!$J$11,Parameters!$K$11))*(1-Parameters!$L$11*$P104)*IF($D104="V1",Parameters!$M$11,IF($D104="V2",Parameters!$N$11,Parameters!$O$11))</f>
        <v>1.1875</v>
      </c>
      <c r="BD104" s="46" t="n">
        <f aca="false">BC104*(1+INDEX(Response_Table!$K$4:$K$21,MATCH($F104&amp;"|mid",Response_Table!$A$4:$A$21,0))*$R104*INDEX(Parameters!$X$11:$AA$11,1,MATCH($E104,Parameters!$X$3:$AA$3,0)))</f>
        <v>0.816005529147429</v>
      </c>
      <c r="BE104" s="46" t="n">
        <f aca="false">MAX(0,MIN(BC104*(1+INDEX(Response_Table!$K$4:$K$21,MATCH($F104&amp;"|low",Response_Table!$A$4:$A$21,0))*$R104*INDEX(Parameters!$X$11:$AA$11,1,MATCH($E104,Parameters!$X$3:$AA$3,0))),BC104*(1+INDEX(Response_Table!$K$4:$K$21,MATCH($F104&amp;"|high",Response_Table!$A$4:$A$21,0))*$R104*INDEX(Parameters!$X$11:$AA$11,1,MATCH($E104,Parameters!$X$3:$AA$3,0))))*(1-Inputs_General!$C$22*Parameters!$F$11))</f>
        <v>0.66082589325739</v>
      </c>
      <c r="BF104" s="46" t="n">
        <f aca="false">MAX(BC104*(1+INDEX(Response_Table!$K$4:$K$21,MATCH($F104&amp;"|low",Response_Table!$A$4:$A$21,0))*$R104*INDEX(Parameters!$X$11:$AA$11,1,MATCH($E104,Parameters!$X$3:$AA$3,0))),BC104*(1+INDEX(Response_Table!$K$4:$K$21,MATCH($F104&amp;"|high",Response_Table!$A$4:$A$21,0))*$R104*INDEX(Parameters!$X$11:$AA$11,1,MATCH($E104,Parameters!$X$3:$AA$3,0))))*(1+Inputs_General!$C$22*Parameters!$F$11)</f>
        <v>0.985144626237494</v>
      </c>
      <c r="BG104" s="45" t="n">
        <f aca="false">IF(BC104=0,0,BD104/BC104-1)</f>
        <v>-0.312837449139007</v>
      </c>
      <c r="BH104" s="46" t="n">
        <f aca="false">Parameters!$E$12*IF($N104="V",Parameters!$I$12,IF($N104="F",Parameters!$J$12,Parameters!$K$12))*(1-Parameters!$L$12*$P104)*IF($D104="V1",Parameters!$M$12,IF($D104="V2",Parameters!$N$12,Parameters!$O$12))</f>
        <v>0.4275</v>
      </c>
      <c r="BI104" s="46" t="n">
        <f aca="false">BH104*(1+INDEX(Response_Table!$L$4:$L$21,MATCH($F104&amp;"|mid",Response_Table!$A$4:$A$21,0))*$R104*INDEX(Parameters!$X$12:$AA$12,1,MATCH($E104,Parameters!$X$3:$AA$3,0)))</f>
        <v>0.316579955094978</v>
      </c>
      <c r="BJ104" s="46" t="n">
        <f aca="false">MAX(0,MIN(BH104*(1+INDEX(Response_Table!$L$4:$L$21,MATCH($F104&amp;"|low",Response_Table!$A$4:$A$21,0))*$R104*INDEX(Parameters!$X$12:$AA$12,1,MATCH($E104,Parameters!$X$3:$AA$3,0))),BH104*(1+INDEX(Response_Table!$L$4:$L$21,MATCH($F104&amp;"|high",Response_Table!$A$4:$A$21,0))*$R104*INDEX(Parameters!$X$12:$AA$12,1,MATCH($E104,Parameters!$X$3:$AA$3,0))))*(1-Inputs_General!$C$22*Parameters!$F$12))</f>
        <v>0.247424463307107</v>
      </c>
      <c r="BK104" s="46" t="n">
        <f aca="false">MAX(BH104*(1+INDEX(Response_Table!$L$4:$L$21,MATCH($F104&amp;"|low",Response_Table!$A$4:$A$21,0))*$R104*INDEX(Parameters!$X$12:$AA$12,1,MATCH($E104,Parameters!$X$3:$AA$3,0))),BH104*(1+INDEX(Response_Table!$L$4:$L$21,MATCH($F104&amp;"|high",Response_Table!$A$4:$A$21,0))*$R104*INDEX(Parameters!$X$12:$AA$12,1,MATCH($E104,Parameters!$X$3:$AA$3,0))))*(1+Inputs_General!$C$22*Parameters!$F$12)</f>
        <v>0.390571969426514</v>
      </c>
      <c r="BL104" s="45" t="n">
        <f aca="false">IF(BH104=0,0,BI104/BH104-1)</f>
        <v>-0.25946209334508</v>
      </c>
      <c r="BM104" s="46" t="n">
        <f aca="false">Parameters!$E$13*IF($N104="V",Parameters!$I$13,IF($N104="F",Parameters!$J$13,Parameters!$K$13))*(1-Parameters!$L$13*$P104)*IF($D104="V1",Parameters!$M$13,IF($D104="V2",Parameters!$N$13,Parameters!$O$13))</f>
        <v>0.285</v>
      </c>
      <c r="BN104" s="46" t="n">
        <f aca="false">BM104*(1+INDEX(Response_Table!$M$4:$M$21,MATCH($F104&amp;"|mid",Response_Table!$A$4:$A$21,0))*$R104*INDEX(Parameters!$X$13:$AA$13,1,MATCH($E104,Parameters!$X$3:$AA$3,0)))</f>
        <v>0.231636975213411</v>
      </c>
      <c r="BO104" s="46" t="n">
        <f aca="false">MAX(0,MIN(BM104*(1+INDEX(Response_Table!$M$4:$M$21,MATCH($F104&amp;"|low",Response_Table!$A$4:$A$21,0))*$R104*INDEX(Parameters!$X$13:$AA$13,1,MATCH($E104,Parameters!$X$3:$AA$3,0))),BM104*(1+INDEX(Response_Table!$M$4:$M$21,MATCH($F104&amp;"|high",Response_Table!$A$4:$A$21,0))*$R104*INDEX(Parameters!$X$13:$AA$13,1,MATCH($E104,Parameters!$X$3:$AA$3,0))))*(1-Inputs_General!$C$22*Parameters!$F$13))</f>
        <v>0.182406430100928</v>
      </c>
      <c r="BP104" s="46" t="n">
        <f aca="false">MAX(BM104*(1+INDEX(Response_Table!$M$4:$M$21,MATCH($F104&amp;"|low",Response_Table!$A$4:$A$21,0))*$R104*INDEX(Parameters!$X$13:$AA$13,1,MATCH($E104,Parameters!$X$3:$AA$3,0))),BM104*(1+INDEX(Response_Table!$M$4:$M$21,MATCH($F104&amp;"|high",Response_Table!$A$4:$A$21,0))*$R104*INDEX(Parameters!$X$13:$AA$13,1,MATCH($E104,Parameters!$X$3:$AA$3,0))))*(1+Inputs_General!$C$22*Parameters!$F$13)</f>
        <v>0.284025252649468</v>
      </c>
      <c r="BQ104" s="45" t="n">
        <f aca="false">IF(BM104=0,0,BN104/BM104-1)</f>
        <v>-0.187238683461716</v>
      </c>
      <c r="BR104" s="44" t="n">
        <f aca="false">Parameters!$E$14*IF($N104="V",Parameters!$I$14,IF($N104="F",Parameters!$J$14,Parameters!$K$14))*(1-Parameters!$L$14*$P104)*IF($D104="V1",Parameters!$M$14,IF($D104="V2",Parameters!$N$14,Parameters!$O$14))*INDEX(Context!$AC$4:$AC$51,$K104)</f>
        <v>17.325</v>
      </c>
      <c r="BS104" s="44" t="n">
        <f aca="false">BR104*(1+INDEX(Response_Table!$N$4:$N$21,MATCH($F104&amp;"|mid",Response_Table!$A$4:$A$21,0))*$R104*INDEX(Parameters!$X$14:$AA$14,1,MATCH($E104,Parameters!$X$3:$AA$3,0)))</f>
        <v>22.228833564222</v>
      </c>
      <c r="BT104" s="44" t="n">
        <f aca="false">MAX(0,MIN(BR104*(1+INDEX(Response_Table!$N$4:$N$21,MATCH($F104&amp;"|low",Response_Table!$A$4:$A$21,0))*$R104*INDEX(Parameters!$X$14:$AA$14,1,MATCH($E104,Parameters!$X$3:$AA$3,0))),BR104*(1+INDEX(Response_Table!$N$4:$N$21,MATCH($F104&amp;"|high",Response_Table!$A$4:$A$21,0))*$R104*INDEX(Parameters!$X$14:$AA$14,1,MATCH($E104,Parameters!$X$3:$AA$3,0))))*(1-Inputs_General!$C$22*Parameters!$F$14))</f>
        <v>11.043858427483</v>
      </c>
      <c r="BU104" s="44" t="n">
        <f aca="false">MAX(BR104*(1+INDEX(Response_Table!$N$4:$N$21,MATCH($F104&amp;"|low",Response_Table!$A$4:$A$21,0))*$R104*INDEX(Parameters!$X$14:$AA$14,1,MATCH($E104,Parameters!$X$3:$AA$3,0))),BR104*(1+INDEX(Response_Table!$N$4:$N$21,MATCH($F104&amp;"|high",Response_Table!$A$4:$A$21,0))*$R104*INDEX(Parameters!$X$14:$AA$14,1,MATCH($E104,Parameters!$X$3:$AA$3,0))))*(1+Inputs_General!$C$22*Parameters!$F$14)</f>
        <v>33.7468834482145</v>
      </c>
      <c r="BV104" s="45" t="n">
        <f aca="false">IF(BR104=0,0,BS104/BR104-1)</f>
        <v>0.283049556376451</v>
      </c>
      <c r="BW104" s="43" t="n">
        <f aca="false">Parameters!$E$15*IF($N104="V",Parameters!$I$15,IF($N104="F",Parameters!$J$15,Parameters!$K$15))*(1-Parameters!$L$15*$P104)*IF($D104="V1",Parameters!$M$15,IF($D104="V2",Parameters!$N$15,Parameters!$O$15))</f>
        <v>11.664</v>
      </c>
      <c r="BX104" s="43" t="n">
        <f aca="false">BW104*(1+INDEX(Response_Table!$O$4:$O$21,MATCH($F104&amp;"|mid",Response_Table!$A$4:$A$21,0))*$R104*INDEX(Parameters!$X$15:$AA$15,1,MATCH($E104,Parameters!$X$3:$AA$3,0)))</f>
        <v>10.8386274936063</v>
      </c>
      <c r="BY104" s="43" t="n">
        <f aca="false">MAX(0,MIN(BW104*(1+INDEX(Response_Table!$O$4:$O$21,MATCH($F104&amp;"|low",Response_Table!$A$4:$A$21,0))*$R104*INDEX(Parameters!$X$15:$AA$15,1,MATCH($E104,Parameters!$X$3:$AA$3,0))),BW104*(1+INDEX(Response_Table!$O$4:$O$21,MATCH($F104&amp;"|high",Response_Table!$A$4:$A$21,0))*$R104*INDEX(Parameters!$X$15:$AA$15,1,MATCH($E104,Parameters!$X$3:$AA$3,0))))*(1-Inputs_General!$C$22*Parameters!$F$15))</f>
        <v>8.64950496715413</v>
      </c>
      <c r="BZ104" s="43" t="n">
        <f aca="false">MAX(BW104*(1+INDEX(Response_Table!$O$4:$O$21,MATCH($F104&amp;"|low",Response_Table!$A$4:$A$21,0))*$R104*INDEX(Parameters!$X$15:$AA$15,1,MATCH($E104,Parameters!$X$3:$AA$3,0))),BW104*(1+INDEX(Response_Table!$O$4:$O$21,MATCH($F104&amp;"|high",Response_Table!$A$4:$A$21,0))*$R104*INDEX(Parameters!$X$15:$AA$15,1,MATCH($E104,Parameters!$X$3:$AA$3,0))))*(1+Inputs_General!$C$22*Parameters!$F$15)</f>
        <v>13.0637393016848</v>
      </c>
      <c r="CA104" s="45" t="n">
        <f aca="false">IF(BW104=0,0,BX104/BW104-1)</f>
        <v>-0.0707623890941125</v>
      </c>
      <c r="CB104" s="46" t="n">
        <f aca="false">BD104+BI104</f>
        <v>1.13258548424241</v>
      </c>
      <c r="CC104" s="43" t="n">
        <f aca="false">BD104/BI104</f>
        <v>2.57756537018466</v>
      </c>
      <c r="CD104" s="46" t="n">
        <f aca="false">BN104/CB104</f>
        <v>0.204520522676797</v>
      </c>
      <c r="CE104" s="43" t="n">
        <f aca="false">AE104/AO104</f>
        <v>2.76223454427562</v>
      </c>
      <c r="CF104" s="44" t="n">
        <f aca="false">AE104/AJ104</f>
        <v>30.3256911340048</v>
      </c>
      <c r="CG104" s="44" t="n">
        <f aca="false">INDEX(Context!$V$4:$V$51,$K104)</f>
        <v>22.6257142857143</v>
      </c>
      <c r="CH104" s="44" t="n">
        <f aca="false">INDEX(Context!$Y$4:$Y$51,$K104)</f>
        <v>21.3177449518561</v>
      </c>
      <c r="CI104" s="44" t="n">
        <f aca="false">INDEX(Context!$Z$4:$Z$51,$K104)</f>
        <v>26.6257142857143</v>
      </c>
      <c r="CJ104" s="43" t="n">
        <f aca="false">INDEX(Context!$AA$4:$AA$51,$K104)</f>
        <v>0.12</v>
      </c>
      <c r="CK104" s="43" t="n">
        <f aca="false">MAX(0,MIN(1,1-(1-CJ104)*AO104/AN104))</f>
        <v>0.478903473366722</v>
      </c>
      <c r="CL104" s="44" t="n">
        <f aca="false">CH104+CK104*(CI104-CH104)</f>
        <v>23.8597499023648</v>
      </c>
      <c r="CM104" s="44" t="n">
        <f aca="false">CH104+MAX(0,MIN(1,1-(1-CJ104)*AQ104/AN104))*(CI104-CH104)</f>
        <v>22.5747445935901</v>
      </c>
      <c r="CN104" s="44" t="n">
        <f aca="false">CH104+MAX(0,MIN(1,1-(1-CJ104)*AP104/AN104))*(CI104-CH104)</f>
        <v>24.873489027421</v>
      </c>
      <c r="CO104" s="44" t="n">
        <f aca="false">CL104-CG104</f>
        <v>1.23403561665052</v>
      </c>
      <c r="CP104" s="44" t="n">
        <f aca="false">CL104-(CH104+CJ104*(CI104-CH104))</f>
        <v>1.90504863044577</v>
      </c>
      <c r="CQ104" s="46" t="n">
        <f aca="false">CL104/CG104</f>
        <v>1.05454128877733</v>
      </c>
      <c r="CR104" s="43" t="n">
        <f aca="false">IF(CL104-CH104&lt;=0,"n/a",(CI104-CL104)/(CL104-CH104))</f>
        <v>1.08810346053649</v>
      </c>
      <c r="CS104" s="43" t="n">
        <f aca="false">IF(CI104-CL104&lt;=0,"n/a",(CL104-CH104)/(CI104-CL104))</f>
        <v>0.919030254261801</v>
      </c>
      <c r="CT104" s="43" t="n">
        <f aca="false">Inputs_General!$C$23+Inputs_General!$C$24*$I104</f>
        <v>1.9</v>
      </c>
      <c r="CU104" s="44" t="n">
        <f aca="false">3.29*CT104</f>
        <v>6.251</v>
      </c>
    </row>
    <row r="105" customFormat="false" ht="15" hidden="false" customHeight="false" outlineLevel="0" collapsed="false">
      <c r="A105" s="33" t="str">
        <f aca="false">B105&amp;"|"&amp;E105&amp;"|"&amp;F105</f>
        <v>D2V2|24/02/2026|Healthy</v>
      </c>
      <c r="B105" s="34" t="s">
        <v>347</v>
      </c>
      <c r="C105" s="33" t="s">
        <v>129</v>
      </c>
      <c r="D105" s="33" t="s">
        <v>146</v>
      </c>
      <c r="E105" s="33" t="s">
        <v>160</v>
      </c>
      <c r="F105" s="34" t="s">
        <v>275</v>
      </c>
      <c r="G105" s="33" t="s">
        <v>276</v>
      </c>
      <c r="H105" s="35" t="n">
        <f aca="false">INDEX(Severity_Classes!$C$4:$C$9,MATCH(F105,Severity_Classes!$A$4:$A$9,0))</f>
        <v>0</v>
      </c>
      <c r="I105" s="35" t="n">
        <f aca="false">INDEX(Severity_Classes!$D$4:$D$9,MATCH(F105,Severity_Classes!$A$4:$A$9,0))</f>
        <v>0</v>
      </c>
      <c r="J105" s="35" t="n">
        <f aca="false">INDEX(Severity_Classes!$E$4:$E$9,MATCH(F105,Severity_Classes!$A$4:$A$9,0))</f>
        <v>0</v>
      </c>
      <c r="K105" s="36" t="n">
        <f aca="false">MATCH(B105&amp;"|"&amp;E105,Context!$A$4:$A$51,0)</f>
        <v>18</v>
      </c>
      <c r="L105" s="36" t="n">
        <f aca="false">INDEX(Context!$H$4:$H$51,K105)</f>
        <v>68</v>
      </c>
      <c r="M105" s="36" t="n">
        <f aca="false">INDEX(Context!$I$4:$I$51,K105)</f>
        <v>19</v>
      </c>
      <c r="N105" s="33" t="str">
        <f aca="false">INDEX(Context!$L$4:$L$51,K105)</f>
        <v>F</v>
      </c>
      <c r="O105" s="33" t="str">
        <f aca="false">INDEX(Context!$M$4:$M$51,K105)</f>
        <v>5th fully expanded leaf from top</v>
      </c>
      <c r="P105" s="37" t="n">
        <f aca="false">INDEX(Context!$R$4:$R$51,K105)</f>
        <v>0.0232142857142859</v>
      </c>
      <c r="Q105" s="37" t="n">
        <f aca="false">INDEX(Context!$U$4:$U$51,K105)</f>
        <v>1.19492600027053</v>
      </c>
      <c r="R105" s="37" t="n">
        <f aca="false">INDEX(Context!$AD$4:$AD$51,K105)</f>
        <v>1.1</v>
      </c>
      <c r="S105" s="33" t="str">
        <f aca="false">INDEX(Context!$AI$4:$AN$51,K105,MATCH(F105,Severity_Classes!$A$4:$A$9,0))</f>
        <v>Reference: healthy (uninoculated) control plot</v>
      </c>
      <c r="T105" s="38" t="n">
        <f aca="false">Parameters!$E$4*IF($N105="V",Parameters!$I$4,IF($N105="F",Parameters!$J$4,Parameters!$K$4))*(1-Parameters!$L$4*$P105)*IF($D105="V1",Parameters!$M$4,IF($D105="V2",Parameters!$N$4,Parameters!$O$4))</f>
        <v>85.0411767857143</v>
      </c>
      <c r="U105" s="38" t="n">
        <f aca="false">MIN(100,T105*(1+INDEX(Response_Table!$E$4:$E$21,MATCH($F105&amp;"|mid",Response_Table!$A$4:$A$21,0))*$R105*INDEX(Parameters!$X$4:$AA$4,1,MATCH($E105,Parameters!$X$3:$AA$3,0))))</f>
        <v>85.0411767857143</v>
      </c>
      <c r="V105" s="38" t="n">
        <f aca="false">MAX(0,MIN(T105*(1+INDEX(Response_Table!$E$4:$E$21,MATCH($F105&amp;"|low",Response_Table!$A$4:$A$21,0))*$R105*INDEX(Parameters!$X$4:$AA$4,1,MATCH($E105,Parameters!$X$3:$AA$3,0))),T105*(1+INDEX(Response_Table!$E$4:$E$21,MATCH($F105&amp;"|high",Response_Table!$A$4:$A$21,0))*$R105*INDEX(Parameters!$X$4:$AA$4,1,MATCH($E105,Parameters!$X$3:$AA$3,0))))*(1-Inputs_General!$C$22*Parameters!$F$4))</f>
        <v>79.4454673532143</v>
      </c>
      <c r="W105" s="38" t="n">
        <f aca="false">MIN(100,MAX(T105*(1+INDEX(Response_Table!$E$4:$E$21,MATCH($F105&amp;"|low",Response_Table!$A$4:$A$21,0))*$R105*INDEX(Parameters!$X$4:$AA$4,1,MATCH($E105,Parameters!$X$3:$AA$3,0))),T105*(1+INDEX(Response_Table!$E$4:$E$21,MATCH($F105&amp;"|high",Response_Table!$A$4:$A$21,0))*$R105*INDEX(Parameters!$X$4:$AA$4,1,MATCH($E105,Parameters!$X$3:$AA$3,0))))*(1+Inputs_General!$C$22*Parameters!$F$4))</f>
        <v>90.6368862182143</v>
      </c>
      <c r="X105" s="39" t="n">
        <f aca="false">IF(T105=0,0,U105/T105-1)</f>
        <v>0</v>
      </c>
      <c r="Y105" s="38" t="n">
        <f aca="false">Parameters!$E$5*IF($N105="V",Parameters!$I$5,IF($N105="F",Parameters!$J$5,Parameters!$K$5))*(1-Parameters!$L$5*$P105)*IF($D105="V1",Parameters!$M$5,IF($D105="V2",Parameters!$N$5,Parameters!$O$5))</f>
        <v>70.36344</v>
      </c>
      <c r="Z105" s="38" t="n">
        <f aca="false">MIN(100,Y105*(1+INDEX(Response_Table!$F$4:$F$21,MATCH($F105&amp;"|mid",Response_Table!$A$4:$A$21,0))*$R105*INDEX(Parameters!$X$5:$AA$5,1,MATCH($E105,Parameters!$X$3:$AA$3,0))))</f>
        <v>70.36344</v>
      </c>
      <c r="AA105" s="38" t="n">
        <f aca="false">MAX(0,MIN(Y105*(1+INDEX(Response_Table!$F$4:$F$21,MATCH($F105&amp;"|low",Response_Table!$A$4:$A$21,0))*$R105*INDEX(Parameters!$X$5:$AA$5,1,MATCH($E105,Parameters!$X$3:$AA$3,0))),Y105*(1+INDEX(Response_Table!$F$4:$F$21,MATCH($F105&amp;"|high",Response_Table!$A$4:$A$21,0))*$R105*INDEX(Parameters!$X$5:$AA$5,1,MATCH($E105,Parameters!$X$3:$AA$3,0))))*(1-Inputs_General!$C$22*Parameters!$F$5))</f>
        <v>62.261089884</v>
      </c>
      <c r="AB105" s="38" t="n">
        <f aca="false">MIN(100,MAX(Y105*(1+INDEX(Response_Table!$F$4:$F$21,MATCH($F105&amp;"|low",Response_Table!$A$4:$A$21,0))*$R105*INDEX(Parameters!$X$5:$AA$5,1,MATCH($E105,Parameters!$X$3:$AA$3,0))),Y105*(1+INDEX(Response_Table!$F$4:$F$21,MATCH($F105&amp;"|high",Response_Table!$A$4:$A$21,0))*$R105*INDEX(Parameters!$X$5:$AA$5,1,MATCH($E105,Parameters!$X$3:$AA$3,0))))*(1+Inputs_General!$C$22*Parameters!$F$5))</f>
        <v>78.465790116</v>
      </c>
      <c r="AC105" s="39" t="n">
        <f aca="false">IF(Y105=0,0,Z105/Y105-1)</f>
        <v>0</v>
      </c>
      <c r="AD105" s="38" t="n">
        <f aca="false">Parameters!$E$6*IF($N105="V",Parameters!$I$6,IF($N105="F",Parameters!$J$6,Parameters!$K$6))*(1-Parameters!$L$6*$P105)*IF($D105="V1",Parameters!$M$6,IF($D105="V2",Parameters!$N$6,Parameters!$O$6))</f>
        <v>18.9470714285714</v>
      </c>
      <c r="AE105" s="38" t="n">
        <f aca="false">AD105*(1+INDEX(Response_Table!$G$4:$G$21,MATCH($F105&amp;"|mid",Response_Table!$A$4:$A$21,0))*$R105*INDEX(Parameters!$X$6:$AA$6,1,MATCH($E105,Parameters!$X$3:$AA$3,0)))</f>
        <v>18.9470714285714</v>
      </c>
      <c r="AF105" s="38" t="n">
        <f aca="false">MAX(0,MIN(AD105*(1+INDEX(Response_Table!$G$4:$G$21,MATCH($F105&amp;"|low",Response_Table!$A$4:$A$21,0))*$R105*INDEX(Parameters!$X$6:$AA$6,1,MATCH($E105,Parameters!$X$3:$AA$3,0))),AD105*(1+INDEX(Response_Table!$G$4:$G$21,MATCH($F105&amp;"|high",Response_Table!$A$4:$A$21,0))*$R105*INDEX(Parameters!$X$6:$AA$6,1,MATCH($E105,Parameters!$X$3:$AA$3,0))))*(1-Inputs_General!$C$22*Parameters!$F$6))</f>
        <v>15.2069195285714</v>
      </c>
      <c r="AG105" s="38" t="n">
        <f aca="false">MAX(AD105*(1+INDEX(Response_Table!$G$4:$G$21,MATCH($F105&amp;"|low",Response_Table!$A$4:$A$21,0))*$R105*INDEX(Parameters!$X$6:$AA$6,1,MATCH($E105,Parameters!$X$3:$AA$3,0))),AD105*(1+INDEX(Response_Table!$G$4:$G$21,MATCH($F105&amp;"|high",Response_Table!$A$4:$A$21,0))*$R105*INDEX(Parameters!$X$6:$AA$6,1,MATCH($E105,Parameters!$X$3:$AA$3,0))))*(1+Inputs_General!$C$22*Parameters!$F$6)</f>
        <v>22.6872233285714</v>
      </c>
      <c r="AH105" s="39" t="n">
        <f aca="false">IF(AD105=0,0,AE105/AD105-1)</f>
        <v>0</v>
      </c>
      <c r="AI105" s="40" t="n">
        <f aca="false">Parameters!$E$7*IF($N105="V",Parameters!$I$7,IF($N105="F",Parameters!$J$7,Parameters!$K$7))*(1-Parameters!$L$7*$P105)*IF($D105="V1",Parameters!$M$7,IF($D105="V2",Parameters!$N$7,Parameters!$O$7))*POWER($Q105/Inputs_General!$C$26,-Inputs_General!$C$25)</f>
        <v>0.411663164578586</v>
      </c>
      <c r="AJ105" s="40" t="n">
        <f aca="false">AI105*(1+INDEX(Response_Table!$H$4:$H$21,MATCH($F105&amp;"|mid",Response_Table!$A$4:$A$21,0))*$R105*INDEX(Parameters!$X$7:$AA$7,1,MATCH($E105,Parameters!$X$3:$AA$3,0)))</f>
        <v>0.411663164578586</v>
      </c>
      <c r="AK105" s="40" t="n">
        <f aca="false">MAX(0,MIN(AI105*(1+INDEX(Response_Table!$H$4:$H$21,MATCH($F105&amp;"|low",Response_Table!$A$4:$A$21,0))*$R105*INDEX(Parameters!$X$7:$AA$7,1,MATCH($E105,Parameters!$X$3:$AA$3,0))),AI105*(1+INDEX(Response_Table!$H$4:$H$21,MATCH($F105&amp;"|high",Response_Table!$A$4:$A$21,0))*$R105*INDEX(Parameters!$X$7:$AA$7,1,MATCH($E105,Parameters!$X$3:$AA$3,0))))*(1-Inputs_General!$C$22*Parameters!$F$7))</f>
        <v>0.289769701546867</v>
      </c>
      <c r="AL105" s="40" t="n">
        <f aca="false">MAX(AI105*(1+INDEX(Response_Table!$H$4:$H$21,MATCH($F105&amp;"|low",Response_Table!$A$4:$A$21,0))*$R105*INDEX(Parameters!$X$7:$AA$7,1,MATCH($E105,Parameters!$X$3:$AA$3,0))),AI105*(1+INDEX(Response_Table!$H$4:$H$21,MATCH($F105&amp;"|high",Response_Table!$A$4:$A$21,0))*$R105*INDEX(Parameters!$X$7:$AA$7,1,MATCH($E105,Parameters!$X$3:$AA$3,0))))*(1+Inputs_General!$C$22*Parameters!$F$7)</f>
        <v>0.533556627610306</v>
      </c>
      <c r="AM105" s="39" t="n">
        <f aca="false">IF(AI105=0,0,AJ105/AI105-1)</f>
        <v>0</v>
      </c>
      <c r="AN105" s="37" t="n">
        <f aca="false">AI105*$Q105/Inputs_General!$C$13*1000</f>
        <v>4.95374641196979</v>
      </c>
      <c r="AO105" s="37" t="n">
        <f aca="false">AJ105*$Q105/Inputs_General!$C$13*1000*(1+Inputs_General!$C$21*$I105)</f>
        <v>4.95374641196979</v>
      </c>
      <c r="AP105" s="37" t="n">
        <f aca="false">AK105*$Q105/Inputs_General!$C$13*1000*(1+Inputs_General!$C$21*$H105)</f>
        <v>3.48694209938553</v>
      </c>
      <c r="AQ105" s="37" t="n">
        <f aca="false">AL105*$Q105/Inputs_General!$C$13*1000*(1+Inputs_General!$C$21*$J105)</f>
        <v>6.42055072455404</v>
      </c>
      <c r="AR105" s="39" t="n">
        <f aca="false">IF(AN105=0,0,AO105/AN105-1)</f>
        <v>0</v>
      </c>
      <c r="AS105" s="36" t="n">
        <f aca="false">Parameters!$E$9*IF($N105="V",Parameters!$I$9,IF($N105="F",Parameters!$J$9,Parameters!$K$9))*(1-Parameters!$L$9*$P105)*IF($D105="V1",Parameters!$M$9,IF($D105="V2",Parameters!$N$9,Parameters!$O$9))</f>
        <v>285</v>
      </c>
      <c r="AT105" s="36" t="n">
        <f aca="false">AS105*(1+INDEX(Response_Table!$I$4:$I$21,MATCH($F105&amp;"|mid",Response_Table!$A$4:$A$21,0))*$R105*INDEX(Parameters!$X$9:$AA$9,1,MATCH($E105,Parameters!$X$3:$AA$3,0)))</f>
        <v>285</v>
      </c>
      <c r="AU105" s="36" t="n">
        <f aca="false">MAX(0,MIN(AS105*(1+INDEX(Response_Table!$I$4:$I$21,MATCH($F105&amp;"|low",Response_Table!$A$4:$A$21,0))*$R105*INDEX(Parameters!$X$9:$AA$9,1,MATCH($E105,Parameters!$X$3:$AA$3,0))),AS105*(1+INDEX(Response_Table!$I$4:$I$21,MATCH($F105&amp;"|high",Response_Table!$A$4:$A$21,0))*$R105*INDEX(Parameters!$X$9:$AA$9,1,MATCH($E105,Parameters!$X$3:$AA$3,0))))*(1-Inputs_General!$C$22*Parameters!$F$9))</f>
        <v>256.8705</v>
      </c>
      <c r="AV105" s="36" t="n">
        <f aca="false">MAX(AS105*(1+INDEX(Response_Table!$I$4:$I$21,MATCH($F105&amp;"|low",Response_Table!$A$4:$A$21,0))*$R105*INDEX(Parameters!$X$9:$AA$9,1,MATCH($E105,Parameters!$X$3:$AA$3,0))),AS105*(1+INDEX(Response_Table!$I$4:$I$21,MATCH($F105&amp;"|high",Response_Table!$A$4:$A$21,0))*$R105*INDEX(Parameters!$X$9:$AA$9,1,MATCH($E105,Parameters!$X$3:$AA$3,0))))*(1+Inputs_General!$C$22*Parameters!$F$9)</f>
        <v>313.1295</v>
      </c>
      <c r="AW105" s="39" t="n">
        <f aca="false">IF(AS105=0,0,AT105/AS105-1)</f>
        <v>0</v>
      </c>
      <c r="AX105" s="37" t="n">
        <f aca="false">INDEX(Context!$AB$4:$AB$51,$K105)</f>
        <v>2.85275193829914</v>
      </c>
      <c r="AY105" s="37" t="n">
        <f aca="false">AX105*(1+INDEX(Response_Table!$J$4:$J$21,MATCH($F105&amp;"|mid",Response_Table!$A$4:$A$21,0))*$R105*INDEX(Parameters!$X$10:$AA$10,1,MATCH($E105,Parameters!$X$3:$AA$3,0)))</f>
        <v>2.85275193829914</v>
      </c>
      <c r="AZ105" s="37" t="n">
        <f aca="false">MAX(0,MIN(AX105*(1+INDEX(Response_Table!$J$4:$J$21,MATCH($F105&amp;"|low",Response_Table!$A$4:$A$21,0))*$R105*INDEX(Parameters!$X$10:$AA$10,1,MATCH($E105,Parameters!$X$3:$AA$3,0))),AX105*(1+INDEX(Response_Table!$J$4:$J$21,MATCH($F105&amp;"|high",Response_Table!$A$4:$A$21,0))*$R105*INDEX(Parameters!$X$10:$AA$10,1,MATCH($E105,Parameters!$X$3:$AA$3,0))))*(1-Inputs_General!$C$22*Parameters!$F$10))</f>
        <v>2.28961870567889</v>
      </c>
      <c r="BA105" s="37" t="n">
        <f aca="false">MAX(AX105*(1+INDEX(Response_Table!$J$4:$J$21,MATCH($F105&amp;"|low",Response_Table!$A$4:$A$21,0))*$R105*INDEX(Parameters!$X$10:$AA$10,1,MATCH($E105,Parameters!$X$3:$AA$3,0))),AX105*(1+INDEX(Response_Table!$J$4:$J$21,MATCH($F105&amp;"|high",Response_Table!$A$4:$A$21,0))*$R105*INDEX(Parameters!$X$10:$AA$10,1,MATCH($E105,Parameters!$X$3:$AA$3,0))))*(1+Inputs_General!$C$22*Parameters!$F$10)</f>
        <v>3.41588517091939</v>
      </c>
      <c r="BB105" s="39" t="n">
        <f aca="false">IF(AX105=0,0,AY105/AX105-1)</f>
        <v>0</v>
      </c>
      <c r="BC105" s="40" t="n">
        <f aca="false">Parameters!$E$11*IF($N105="V",Parameters!$I$11,IF($N105="F",Parameters!$J$11,Parameters!$K$11))*(1-Parameters!$L$11*$P105)*IF($D105="V1",Parameters!$M$11,IF($D105="V2",Parameters!$N$11,Parameters!$O$11))</f>
        <v>1.24825892857143</v>
      </c>
      <c r="BD105" s="40" t="n">
        <f aca="false">BC105*(1+INDEX(Response_Table!$K$4:$K$21,MATCH($F105&amp;"|mid",Response_Table!$A$4:$A$21,0))*$R105*INDEX(Parameters!$X$11:$AA$11,1,MATCH($E105,Parameters!$X$3:$AA$3,0)))</f>
        <v>1.24825892857143</v>
      </c>
      <c r="BE105" s="40" t="n">
        <f aca="false">MAX(0,MIN(BC105*(1+INDEX(Response_Table!$K$4:$K$21,MATCH($F105&amp;"|low",Response_Table!$A$4:$A$21,0))*$R105*INDEX(Parameters!$X$11:$AA$11,1,MATCH($E105,Parameters!$X$3:$AA$3,0))),BC105*(1+INDEX(Response_Table!$K$4:$K$21,MATCH($F105&amp;"|high",Response_Table!$A$4:$A$21,0))*$R105*INDEX(Parameters!$X$11:$AA$11,1,MATCH($E105,Parameters!$X$3:$AA$3,0))))*(1-Inputs_General!$C$22*Parameters!$F$11))</f>
        <v>1.04292033482143</v>
      </c>
      <c r="BF105" s="40" t="n">
        <f aca="false">MAX(BC105*(1+INDEX(Response_Table!$K$4:$K$21,MATCH($F105&amp;"|low",Response_Table!$A$4:$A$21,0))*$R105*INDEX(Parameters!$X$11:$AA$11,1,MATCH($E105,Parameters!$X$3:$AA$3,0))),BC105*(1+INDEX(Response_Table!$K$4:$K$21,MATCH($F105&amp;"|high",Response_Table!$A$4:$A$21,0))*$R105*INDEX(Parameters!$X$11:$AA$11,1,MATCH($E105,Parameters!$X$3:$AA$3,0))))*(1+Inputs_General!$C$22*Parameters!$F$11)</f>
        <v>1.45359752232143</v>
      </c>
      <c r="BG105" s="39" t="n">
        <f aca="false">IF(BC105=0,0,BD105/BC105-1)</f>
        <v>0</v>
      </c>
      <c r="BH105" s="40" t="n">
        <f aca="false">Parameters!$E$12*IF($N105="V",Parameters!$I$12,IF($N105="F",Parameters!$J$12,Parameters!$K$12))*(1-Parameters!$L$12*$P105)*IF($D105="V1",Parameters!$M$12,IF($D105="V2",Parameters!$N$12,Parameters!$O$12))</f>
        <v>0.449373214285714</v>
      </c>
      <c r="BI105" s="40" t="n">
        <f aca="false">BH105*(1+INDEX(Response_Table!$L$4:$L$21,MATCH($F105&amp;"|mid",Response_Table!$A$4:$A$21,0))*$R105*INDEX(Parameters!$X$12:$AA$12,1,MATCH($E105,Parameters!$X$3:$AA$3,0)))</f>
        <v>0.449373214285714</v>
      </c>
      <c r="BJ105" s="40" t="n">
        <f aca="false">MAX(0,MIN(BH105*(1+INDEX(Response_Table!$L$4:$L$21,MATCH($F105&amp;"|low",Response_Table!$A$4:$A$21,0))*$R105*INDEX(Parameters!$X$12:$AA$12,1,MATCH($E105,Parameters!$X$3:$AA$3,0))),BH105*(1+INDEX(Response_Table!$L$4:$L$21,MATCH($F105&amp;"|high",Response_Table!$A$4:$A$21,0))*$R105*INDEX(Parameters!$X$12:$AA$12,1,MATCH($E105,Parameters!$X$3:$AA$3,0))))*(1-Inputs_General!$C$22*Parameters!$F$12))</f>
        <v>0.360666941785714</v>
      </c>
      <c r="BK105" s="40" t="n">
        <f aca="false">MAX(BH105*(1+INDEX(Response_Table!$L$4:$L$21,MATCH($F105&amp;"|low",Response_Table!$A$4:$A$21,0))*$R105*INDEX(Parameters!$X$12:$AA$12,1,MATCH($E105,Parameters!$X$3:$AA$3,0))),BH105*(1+INDEX(Response_Table!$L$4:$L$21,MATCH($F105&amp;"|high",Response_Table!$A$4:$A$21,0))*$R105*INDEX(Parameters!$X$12:$AA$12,1,MATCH($E105,Parameters!$X$3:$AA$3,0))))*(1+Inputs_General!$C$22*Parameters!$F$12)</f>
        <v>0.538079486785714</v>
      </c>
      <c r="BL105" s="39" t="n">
        <f aca="false">IF(BH105=0,0,BI105/BH105-1)</f>
        <v>0</v>
      </c>
      <c r="BM105" s="40" t="n">
        <f aca="false">Parameters!$E$13*IF($N105="V",Parameters!$I$13,IF($N105="F",Parameters!$J$13,Parameters!$K$13))*(1-Parameters!$L$13*$P105)*IF($D105="V1",Parameters!$M$13,IF($D105="V2",Parameters!$N$13,Parameters!$O$13))</f>
        <v>0.299791071428571</v>
      </c>
      <c r="BN105" s="40" t="n">
        <f aca="false">BM105*(1+INDEX(Response_Table!$M$4:$M$21,MATCH($F105&amp;"|mid",Response_Table!$A$4:$A$21,0))*$R105*INDEX(Parameters!$X$13:$AA$13,1,MATCH($E105,Parameters!$X$3:$AA$3,0)))</f>
        <v>0.299791071428571</v>
      </c>
      <c r="BO105" s="40" t="n">
        <f aca="false">MAX(0,MIN(BM105*(1+INDEX(Response_Table!$M$4:$M$21,MATCH($F105&amp;"|low",Response_Table!$A$4:$A$21,0))*$R105*INDEX(Parameters!$X$13:$AA$13,1,MATCH($E105,Parameters!$X$3:$AA$3,0))),BM105*(1+INDEX(Response_Table!$M$4:$M$21,MATCH($F105&amp;"|high",Response_Table!$A$4:$A$21,0))*$R105*INDEX(Parameters!$X$13:$AA$13,1,MATCH($E105,Parameters!$X$3:$AA$3,0))))*(1-Inputs_General!$C$22*Parameters!$F$13))</f>
        <v>0.240612313928571</v>
      </c>
      <c r="BP105" s="40" t="n">
        <f aca="false">MAX(BM105*(1+INDEX(Response_Table!$M$4:$M$21,MATCH($F105&amp;"|low",Response_Table!$A$4:$A$21,0))*$R105*INDEX(Parameters!$X$13:$AA$13,1,MATCH($E105,Parameters!$X$3:$AA$3,0))),BM105*(1+INDEX(Response_Table!$M$4:$M$21,MATCH($F105&amp;"|high",Response_Table!$A$4:$A$21,0))*$R105*INDEX(Parameters!$X$13:$AA$13,1,MATCH($E105,Parameters!$X$3:$AA$3,0))))*(1+Inputs_General!$C$22*Parameters!$F$13)</f>
        <v>0.358969828928571</v>
      </c>
      <c r="BQ105" s="39" t="n">
        <f aca="false">IF(BM105=0,0,BN105/BM105-1)</f>
        <v>0</v>
      </c>
      <c r="BR105" s="38" t="n">
        <f aca="false">Parameters!$E$14*IF($N105="V",Parameters!$I$14,IF($N105="F",Parameters!$J$14,Parameters!$K$14))*(1-Parameters!$L$14*$P105)*IF($D105="V1",Parameters!$M$14,IF($D105="V2",Parameters!$N$14,Parameters!$O$14))*INDEX(Context!$AC$4:$AC$51,$K105)</f>
        <v>15</v>
      </c>
      <c r="BS105" s="38" t="n">
        <f aca="false">BR105*(1+INDEX(Response_Table!$N$4:$N$21,MATCH($F105&amp;"|mid",Response_Table!$A$4:$A$21,0))*$R105*INDEX(Parameters!$X$14:$AA$14,1,MATCH($E105,Parameters!$X$3:$AA$3,0)))</f>
        <v>15</v>
      </c>
      <c r="BT105" s="38" t="n">
        <f aca="false">MAX(0,MIN(BR105*(1+INDEX(Response_Table!$N$4:$N$21,MATCH($F105&amp;"|low",Response_Table!$A$4:$A$21,0))*$R105*INDEX(Parameters!$X$14:$AA$14,1,MATCH($E105,Parameters!$X$3:$AA$3,0))),BR105*(1+INDEX(Response_Table!$N$4:$N$21,MATCH($F105&amp;"|high",Response_Table!$A$4:$A$21,0))*$R105*INDEX(Parameters!$X$14:$AA$14,1,MATCH($E105,Parameters!$X$3:$AA$3,0))))*(1-Inputs_General!$C$22*Parameters!$F$14))</f>
        <v>7.5975</v>
      </c>
      <c r="BU105" s="38" t="n">
        <f aca="false">MAX(BR105*(1+INDEX(Response_Table!$N$4:$N$21,MATCH($F105&amp;"|low",Response_Table!$A$4:$A$21,0))*$R105*INDEX(Parameters!$X$14:$AA$14,1,MATCH($E105,Parameters!$X$3:$AA$3,0))),BR105*(1+INDEX(Response_Table!$N$4:$N$21,MATCH($F105&amp;"|high",Response_Table!$A$4:$A$21,0))*$R105*INDEX(Parameters!$X$14:$AA$14,1,MATCH($E105,Parameters!$X$3:$AA$3,0))))*(1+Inputs_General!$C$22*Parameters!$F$14)</f>
        <v>22.4025</v>
      </c>
      <c r="BV105" s="39" t="n">
        <f aca="false">IF(BR105=0,0,BS105/BR105-1)</f>
        <v>0</v>
      </c>
      <c r="BW105" s="37" t="n">
        <f aca="false">Parameters!$E$15*IF($N105="V",Parameters!$I$15,IF($N105="F",Parameters!$J$15,Parameters!$K$15))*(1-Parameters!$L$15*$P105)*IF($D105="V1",Parameters!$M$15,IF($D105="V2",Parameters!$N$15,Parameters!$O$15))</f>
        <v>10.7849571428571</v>
      </c>
      <c r="BX105" s="37" t="n">
        <f aca="false">BW105*(1+INDEX(Response_Table!$O$4:$O$21,MATCH($F105&amp;"|mid",Response_Table!$A$4:$A$21,0))*$R105*INDEX(Parameters!$X$15:$AA$15,1,MATCH($E105,Parameters!$X$3:$AA$3,0)))</f>
        <v>10.7849571428571</v>
      </c>
      <c r="BY105" s="37" t="n">
        <f aca="false">MAX(0,MIN(BW105*(1+INDEX(Response_Table!$O$4:$O$21,MATCH($F105&amp;"|low",Response_Table!$A$4:$A$21,0))*$R105*INDEX(Parameters!$X$15:$AA$15,1,MATCH($E105,Parameters!$X$3:$AA$3,0))),BW105*(1+INDEX(Response_Table!$O$4:$O$21,MATCH($F105&amp;"|high",Response_Table!$A$4:$A$21,0))*$R105*INDEX(Parameters!$X$15:$AA$15,1,MATCH($E105,Parameters!$X$3:$AA$3,0))))*(1-Inputs_General!$C$22*Parameters!$F$15))</f>
        <v>8.65600660285714</v>
      </c>
      <c r="BZ105" s="37" t="n">
        <f aca="false">MAX(BW105*(1+INDEX(Response_Table!$O$4:$O$21,MATCH($F105&amp;"|low",Response_Table!$A$4:$A$21,0))*$R105*INDEX(Parameters!$X$15:$AA$15,1,MATCH($E105,Parameters!$X$3:$AA$3,0))),BW105*(1+INDEX(Response_Table!$O$4:$O$21,MATCH($F105&amp;"|high",Response_Table!$A$4:$A$21,0))*$R105*INDEX(Parameters!$X$15:$AA$15,1,MATCH($E105,Parameters!$X$3:$AA$3,0))))*(1+Inputs_General!$C$22*Parameters!$F$15)</f>
        <v>12.9139076828571</v>
      </c>
      <c r="CA105" s="39" t="n">
        <f aca="false">IF(BW105=0,0,BX105/BW105-1)</f>
        <v>0</v>
      </c>
      <c r="CB105" s="40" t="n">
        <f aca="false">BD105+BI105</f>
        <v>1.69763214285714</v>
      </c>
      <c r="CC105" s="37" t="n">
        <f aca="false">BD105/BI105</f>
        <v>2.77777777777778</v>
      </c>
      <c r="CD105" s="40" t="n">
        <f aca="false">BN105/CB105</f>
        <v>0.176593658814694</v>
      </c>
      <c r="CE105" s="37" t="n">
        <f aca="false">AE105/AO105</f>
        <v>3.82479639708432</v>
      </c>
      <c r="CF105" s="38" t="n">
        <f aca="false">AE105/AJ105</f>
        <v>46.0256662700615</v>
      </c>
      <c r="CG105" s="38" t="n">
        <f aca="false">INDEX(Context!$V$4:$V$51,$K105)</f>
        <v>25.5785714285714</v>
      </c>
      <c r="CH105" s="38" t="n">
        <f aca="false">INDEX(Context!$Y$4:$Y$51,$K105)</f>
        <v>23.620522619794</v>
      </c>
      <c r="CI105" s="38" t="n">
        <f aca="false">INDEX(Context!$Z$4:$Z$51,$K105)</f>
        <v>29.5785714285714</v>
      </c>
      <c r="CJ105" s="37" t="n">
        <f aca="false">INDEX(Context!$AA$4:$AA$51,$K105)</f>
        <v>0.201160714285714</v>
      </c>
      <c r="CK105" s="37" t="n">
        <f aca="false">MAX(0,MIN(1,1-(1-CJ105)*AO105/AN105))</f>
        <v>0.201160714285714</v>
      </c>
      <c r="CL105" s="38" t="n">
        <f aca="false">CH105+CK105*(CI105-CH105)</f>
        <v>24.8190479739168</v>
      </c>
      <c r="CM105" s="38" t="n">
        <f aca="false">CH105+MAX(0,MIN(1,1-(1-CJ105)*AQ105/AN105))*(CI105-CH105)</f>
        <v>23.620522619794</v>
      </c>
      <c r="CN105" s="38" t="n">
        <f aca="false">CH105+MAX(0,MIN(1,1-(1-CJ105)*AP105/AN105))*(CI105-CH105)</f>
        <v>26.2283428688401</v>
      </c>
      <c r="CO105" s="38" t="n">
        <f aca="false">CL105-CG105</f>
        <v>-0.759523454654609</v>
      </c>
      <c r="CP105" s="38" t="n">
        <f aca="false">CL105-(CH105+CJ105*(CI105-CH105))</f>
        <v>0</v>
      </c>
      <c r="CQ105" s="40" t="n">
        <f aca="false">CL105/CG105</f>
        <v>0.970306259801272</v>
      </c>
      <c r="CR105" s="37" t="n">
        <f aca="false">IF(CL105-CH105&lt;=0,"n/a",(CI105-CL105)/(CL105-CH105))</f>
        <v>3.97114957834</v>
      </c>
      <c r="CS105" s="37" t="n">
        <f aca="false">IF(CI105-CL105&lt;=0,"n/a",(CL105-CH105)/(CI105-CL105))</f>
        <v>0.251816251257405</v>
      </c>
      <c r="CT105" s="37" t="n">
        <f aca="false">Inputs_General!$C$23+Inputs_General!$C$24*$I105</f>
        <v>0.6</v>
      </c>
      <c r="CU105" s="38" t="n">
        <f aca="false">3.29*CT105</f>
        <v>1.974</v>
      </c>
    </row>
    <row r="106" customFormat="false" ht="15" hidden="false" customHeight="false" outlineLevel="0" collapsed="false">
      <c r="A106" s="9" t="str">
        <f aca="false">B106&amp;"|"&amp;E106&amp;"|"&amp;F106</f>
        <v>D2V2|24/02/2026|Very low</v>
      </c>
      <c r="B106" s="7" t="s">
        <v>347</v>
      </c>
      <c r="C106" s="9" t="s">
        <v>129</v>
      </c>
      <c r="D106" s="9" t="s">
        <v>146</v>
      </c>
      <c r="E106" s="9" t="s">
        <v>160</v>
      </c>
      <c r="F106" s="7" t="s">
        <v>277</v>
      </c>
      <c r="G106" s="9" t="s">
        <v>278</v>
      </c>
      <c r="H106" s="41" t="n">
        <f aca="false">INDEX(Severity_Classes!$C$4:$C$9,MATCH(F106,Severity_Classes!$A$4:$A$9,0))</f>
        <v>0.01</v>
      </c>
      <c r="I106" s="41" t="n">
        <f aca="false">INDEX(Severity_Classes!$D$4:$D$9,MATCH(F106,Severity_Classes!$A$4:$A$9,0))</f>
        <v>0.03</v>
      </c>
      <c r="J106" s="41" t="n">
        <f aca="false">INDEX(Severity_Classes!$E$4:$E$9,MATCH(F106,Severity_Classes!$A$4:$A$9,0))</f>
        <v>0.05</v>
      </c>
      <c r="K106" s="42" t="n">
        <f aca="false">MATCH(B106&amp;"|"&amp;E106,Context!$A$4:$A$51,0)</f>
        <v>18</v>
      </c>
      <c r="L106" s="42" t="n">
        <f aca="false">INDEX(Context!$H$4:$H$51,K106)</f>
        <v>68</v>
      </c>
      <c r="M106" s="42" t="n">
        <f aca="false">INDEX(Context!$I$4:$I$51,K106)</f>
        <v>19</v>
      </c>
      <c r="N106" s="9" t="str">
        <f aca="false">INDEX(Context!$L$4:$L$51,K106)</f>
        <v>F</v>
      </c>
      <c r="O106" s="9" t="str">
        <f aca="false">INDEX(Context!$M$4:$M$51,K106)</f>
        <v>5th fully expanded leaf from top</v>
      </c>
      <c r="P106" s="43" t="n">
        <f aca="false">INDEX(Context!$R$4:$R$51,K106)</f>
        <v>0.0232142857142859</v>
      </c>
      <c r="Q106" s="43" t="n">
        <f aca="false">INDEX(Context!$U$4:$U$51,K106)</f>
        <v>1.19492600027053</v>
      </c>
      <c r="R106" s="43" t="n">
        <f aca="false">INDEX(Context!$AD$4:$AD$51,K106)</f>
        <v>1.1</v>
      </c>
      <c r="S106" s="9" t="str">
        <f aca="false">INDEX(Context!$AI$4:$AN$51,K106,MATCH(F106,Severity_Classes!$A$4:$A$9,0))</f>
        <v>Possible</v>
      </c>
      <c r="T106" s="44" t="n">
        <f aca="false">Parameters!$E$4*IF($N106="V",Parameters!$I$4,IF($N106="F",Parameters!$J$4,Parameters!$K$4))*(1-Parameters!$L$4*$P106)*IF($D106="V1",Parameters!$M$4,IF($D106="V2",Parameters!$N$4,Parameters!$O$4))</f>
        <v>85.0411767857143</v>
      </c>
      <c r="U106" s="44" t="n">
        <f aca="false">MIN(100,T106*(1+INDEX(Response_Table!$E$4:$E$21,MATCH($F106&amp;"|mid",Response_Table!$A$4:$A$21,0))*$R106*INDEX(Parameters!$X$4:$AA$4,1,MATCH($E106,Parameters!$X$3:$AA$3,0))))</f>
        <v>84.6378713280648</v>
      </c>
      <c r="V106" s="44" t="n">
        <f aca="false">MAX(0,MIN(T106*(1+INDEX(Response_Table!$E$4:$E$21,MATCH($F106&amp;"|low",Response_Table!$A$4:$A$21,0))*$R106*INDEX(Parameters!$X$4:$AA$4,1,MATCH($E106,Parameters!$X$3:$AA$3,0))),T106*(1+INDEX(Response_Table!$E$4:$E$21,MATCH($F106&amp;"|high",Response_Table!$A$4:$A$21,0))*$R106*INDEX(Parameters!$X$4:$AA$4,1,MATCH($E106,Parameters!$X$3:$AA$3,0))))*(1-Inputs_General!$C$22*Parameters!$F$4))</f>
        <v>78.7677739012085</v>
      </c>
      <c r="W106" s="44" t="n">
        <f aca="false">MIN(100,MAX(T106*(1+INDEX(Response_Table!$E$4:$E$21,MATCH($F106&amp;"|low",Response_Table!$A$4:$A$21,0))*$R106*INDEX(Parameters!$X$4:$AA$4,1,MATCH($E106,Parameters!$X$3:$AA$3,0))),T106*(1+INDEX(Response_Table!$E$4:$E$21,MATCH($F106&amp;"|high",Response_Table!$A$4:$A$21,0))*$R106*INDEX(Parameters!$X$4:$AA$4,1,MATCH($E106,Parameters!$X$3:$AA$3,0))))*(1+Inputs_General!$C$22*Parameters!$F$4))</f>
        <v>90.5040409765141</v>
      </c>
      <c r="X106" s="45" t="n">
        <f aca="false">IF(T106=0,0,U106/T106-1)</f>
        <v>-0.00474247268080141</v>
      </c>
      <c r="Y106" s="44" t="n">
        <f aca="false">Parameters!$E$5*IF($N106="V",Parameters!$I$5,IF($N106="F",Parameters!$J$5,Parameters!$K$5))*(1-Parameters!$L$5*$P106)*IF($D106="V1",Parameters!$M$5,IF($D106="V2",Parameters!$N$5,Parameters!$O$5))</f>
        <v>70.36344</v>
      </c>
      <c r="Z106" s="44" t="n">
        <f aca="false">MIN(100,Y106*(1+INDEX(Response_Table!$F$4:$F$21,MATCH($F106&amp;"|mid",Response_Table!$A$4:$A$21,0))*$R106*INDEX(Parameters!$X$5:$AA$5,1,MATCH($E106,Parameters!$X$3:$AA$3,0))))</f>
        <v>69.2982068463161</v>
      </c>
      <c r="AA106" s="44" t="n">
        <f aca="false">MAX(0,MIN(Y106*(1+INDEX(Response_Table!$F$4:$F$21,MATCH($F106&amp;"|low",Response_Table!$A$4:$A$21,0))*$R106*INDEX(Parameters!$X$5:$AA$5,1,MATCH($E106,Parameters!$X$3:$AA$3,0))),Y106*(1+INDEX(Response_Table!$F$4:$F$21,MATCH($F106&amp;"|high",Response_Table!$A$4:$A$21,0))*$R106*INDEX(Parameters!$X$5:$AA$5,1,MATCH($E106,Parameters!$X$3:$AA$3,0))))*(1-Inputs_General!$C$22*Parameters!$F$5))</f>
        <v>60.5422074844604</v>
      </c>
      <c r="AB106" s="44" t="n">
        <f aca="false">MIN(100,MAX(Y106*(1+INDEX(Response_Table!$F$4:$F$21,MATCH($F106&amp;"|low",Response_Table!$A$4:$A$21,0))*$R106*INDEX(Parameters!$X$5:$AA$5,1,MATCH($E106,Parameters!$X$3:$AA$3,0))),Y106*(1+INDEX(Response_Table!$F$4:$F$21,MATCH($F106&amp;"|high",Response_Table!$A$4:$A$21,0))*$R106*INDEX(Parameters!$X$5:$AA$5,1,MATCH($E106,Parameters!$X$3:$AA$3,0))))*(1+Inputs_General!$C$22*Parameters!$F$5))</f>
        <v>78.1037187894344</v>
      </c>
      <c r="AC106" s="45" t="n">
        <f aca="false">IF(Y106=0,0,Z106/Y106-1)</f>
        <v>-0.0151390147167892</v>
      </c>
      <c r="AD106" s="44" t="n">
        <f aca="false">Parameters!$E$6*IF($N106="V",Parameters!$I$6,IF($N106="F",Parameters!$J$6,Parameters!$K$6))*(1-Parameters!$L$6*$P106)*IF($D106="V1",Parameters!$M$6,IF($D106="V2",Parameters!$N$6,Parameters!$O$6))</f>
        <v>18.9470714285714</v>
      </c>
      <c r="AE106" s="44" t="n">
        <f aca="false">AD106*(1+INDEX(Response_Table!$G$4:$G$21,MATCH($F106&amp;"|mid",Response_Table!$A$4:$A$21,0))*$R106*INDEX(Parameters!$X$6:$AA$6,1,MATCH($E106,Parameters!$X$3:$AA$3,0)))</f>
        <v>17.0141162293823</v>
      </c>
      <c r="AF106" s="44" t="n">
        <f aca="false">MAX(0,MIN(AD106*(1+INDEX(Response_Table!$G$4:$G$21,MATCH($F106&amp;"|low",Response_Table!$A$4:$A$21,0))*$R106*INDEX(Parameters!$X$6:$AA$6,1,MATCH($E106,Parameters!$X$3:$AA$3,0))),AD106*(1+INDEX(Response_Table!$G$4:$G$21,MATCH($F106&amp;"|high",Response_Table!$A$4:$A$21,0))*$R106*INDEX(Parameters!$X$6:$AA$6,1,MATCH($E106,Parameters!$X$3:$AA$3,0))))*(1-Inputs_General!$C$22*Parameters!$F$6))</f>
        <v>12.7293779116446</v>
      </c>
      <c r="AG106" s="44" t="n">
        <f aca="false">MAX(AD106*(1+INDEX(Response_Table!$G$4:$G$21,MATCH($F106&amp;"|low",Response_Table!$A$4:$A$21,0))*$R106*INDEX(Parameters!$X$6:$AA$6,1,MATCH($E106,Parameters!$X$3:$AA$3,0))),AD106*(1+INDEX(Response_Table!$G$4:$G$21,MATCH($F106&amp;"|high",Response_Table!$A$4:$A$21,0))*$R106*INDEX(Parameters!$X$6:$AA$6,1,MATCH($E106,Parameters!$X$3:$AA$3,0))))*(1+Inputs_General!$C$22*Parameters!$F$6)</f>
        <v>21.8815323048898</v>
      </c>
      <c r="AH106" s="45" t="n">
        <f aca="false">IF(AD106=0,0,AE106/AD106-1)</f>
        <v>-0.102018679059517</v>
      </c>
      <c r="AI106" s="46" t="n">
        <f aca="false">Parameters!$E$7*IF($N106="V",Parameters!$I$7,IF($N106="F",Parameters!$J$7,Parameters!$K$7))*(1-Parameters!$L$7*$P106)*IF($D106="V1",Parameters!$M$7,IF($D106="V2",Parameters!$N$7,Parameters!$O$7))*POWER($Q106/Inputs_General!$C$26,-Inputs_General!$C$25)</f>
        <v>0.411663164578586</v>
      </c>
      <c r="AJ106" s="46" t="n">
        <f aca="false">AI106*(1+INDEX(Response_Table!$H$4:$H$21,MATCH($F106&amp;"|mid",Response_Table!$A$4:$A$21,0))*$R106*INDEX(Parameters!$X$7:$AA$7,1,MATCH($E106,Parameters!$X$3:$AA$3,0)))</f>
        <v>0.386329741719003</v>
      </c>
      <c r="AK106" s="46" t="n">
        <f aca="false">MAX(0,MIN(AI106*(1+INDEX(Response_Table!$H$4:$H$21,MATCH($F106&amp;"|low",Response_Table!$A$4:$A$21,0))*$R106*INDEX(Parameters!$X$7:$AA$7,1,MATCH($E106,Parameters!$X$3:$AA$3,0))),AI106*(1+INDEX(Response_Table!$H$4:$H$21,MATCH($F106&amp;"|high",Response_Table!$A$4:$A$21,0))*$R106*INDEX(Parameters!$X$7:$AA$7,1,MATCH($E106,Parameters!$X$3:$AA$3,0))))*(1-Inputs_General!$C$22*Parameters!$F$7))</f>
        <v>0.26091043675596</v>
      </c>
      <c r="AL106" s="46" t="n">
        <f aca="false">MAX(AI106*(1+INDEX(Response_Table!$H$4:$H$21,MATCH($F106&amp;"|low",Response_Table!$A$4:$A$21,0))*$R106*INDEX(Parameters!$X$7:$AA$7,1,MATCH($E106,Parameters!$X$3:$AA$3,0))),AI106*(1+INDEX(Response_Table!$H$4:$H$21,MATCH($F106&amp;"|high",Response_Table!$A$4:$A$21,0))*$R106*INDEX(Parameters!$X$7:$AA$7,1,MATCH($E106,Parameters!$X$3:$AA$3,0))))*(1+Inputs_General!$C$22*Parameters!$F$7)</f>
        <v>0.52228180587307</v>
      </c>
      <c r="AM106" s="45" t="n">
        <f aca="false">IF(AI106=0,0,AJ106/AI106-1)</f>
        <v>-0.0615392025310718</v>
      </c>
      <c r="AN106" s="43" t="n">
        <f aca="false">AI106*$Q106/Inputs_General!$C$13*1000</f>
        <v>4.95374641196979</v>
      </c>
      <c r="AO106" s="43" t="n">
        <f aca="false">AJ106*$Q106/Inputs_General!$C$13*1000*(1+Inputs_General!$C$21*$I106)</f>
        <v>4.68376353429778</v>
      </c>
      <c r="AP106" s="43" t="n">
        <f aca="false">AK106*$Q106/Inputs_General!$C$13*1000*(1+Inputs_General!$C$21*$H106)</f>
        <v>3.14751345703113</v>
      </c>
      <c r="AQ106" s="43" t="n">
        <f aca="false">AL106*$Q106/Inputs_General!$C$13*1000*(1+Inputs_General!$C$21*$J106)</f>
        <v>6.36343615984191</v>
      </c>
      <c r="AR106" s="45" t="n">
        <f aca="false">IF(AN106=0,0,AO106/AN106-1)</f>
        <v>-0.0545007465500547</v>
      </c>
      <c r="AS106" s="42" t="n">
        <f aca="false">Parameters!$E$9*IF($N106="V",Parameters!$I$9,IF($N106="F",Parameters!$J$9,Parameters!$K$9))*(1-Parameters!$L$9*$P106)*IF($D106="V1",Parameters!$M$9,IF($D106="V2",Parameters!$N$9,Parameters!$O$9))</f>
        <v>285</v>
      </c>
      <c r="AT106" s="42" t="n">
        <f aca="false">AS106*(1+INDEX(Response_Table!$I$4:$I$21,MATCH($F106&amp;"|mid",Response_Table!$A$4:$A$21,0))*$R106*INDEX(Parameters!$X$9:$AA$9,1,MATCH($E106,Parameters!$X$3:$AA$3,0)))</f>
        <v>295.635132926751</v>
      </c>
      <c r="AU106" s="42" t="n">
        <f aca="false">MAX(0,MIN(AS106*(1+INDEX(Response_Table!$I$4:$I$21,MATCH($F106&amp;"|low",Response_Table!$A$4:$A$21,0))*$R106*INDEX(Parameters!$X$9:$AA$9,1,MATCH($E106,Parameters!$X$3:$AA$3,0))),AS106*(1+INDEX(Response_Table!$I$4:$I$21,MATCH($F106&amp;"|high",Response_Table!$A$4:$A$21,0))*$R106*INDEX(Parameters!$X$9:$AA$9,1,MATCH($E106,Parameters!$X$3:$AA$3,0))))*(1-Inputs_General!$C$22*Parameters!$F$9))</f>
        <v>260.194272002174</v>
      </c>
      <c r="AV106" s="42" t="n">
        <f aca="false">MAX(AS106*(1+INDEX(Response_Table!$I$4:$I$21,MATCH($F106&amp;"|low",Response_Table!$A$4:$A$21,0))*$R106*INDEX(Parameters!$X$9:$AA$9,1,MATCH($E106,Parameters!$X$3:$AA$3,0))),AS106*(1+INDEX(Response_Table!$I$4:$I$21,MATCH($F106&amp;"|high",Response_Table!$A$4:$A$21,0))*$R106*INDEX(Parameters!$X$9:$AA$9,1,MATCH($E106,Parameters!$X$3:$AA$3,0))))*(1+Inputs_General!$C$22*Parameters!$F$9)</f>
        <v>331.860547055842</v>
      </c>
      <c r="AW106" s="45" t="n">
        <f aca="false">IF(AS106=0,0,AT106/AS106-1)</f>
        <v>0.037316255883338</v>
      </c>
      <c r="AX106" s="43" t="n">
        <f aca="false">INDEX(Context!$AB$4:$AB$51,$K106)</f>
        <v>2.85275193829914</v>
      </c>
      <c r="AY106" s="43" t="n">
        <f aca="false">AX106*(1+INDEX(Response_Table!$J$4:$J$21,MATCH($F106&amp;"|mid",Response_Table!$A$4:$A$21,0))*$R106*INDEX(Parameters!$X$10:$AA$10,1,MATCH($E106,Parameters!$X$3:$AA$3,0)))</f>
        <v>2.75071763313081</v>
      </c>
      <c r="AZ106" s="43" t="n">
        <f aca="false">MAX(0,MIN(AX106*(1+INDEX(Response_Table!$J$4:$J$21,MATCH($F106&amp;"|low",Response_Table!$A$4:$A$21,0))*$R106*INDEX(Parameters!$X$10:$AA$10,1,MATCH($E106,Parameters!$X$3:$AA$3,0))),AX106*(1+INDEX(Response_Table!$J$4:$J$21,MATCH($F106&amp;"|high",Response_Table!$A$4:$A$21,0))*$R106*INDEX(Parameters!$X$10:$AA$10,1,MATCH($E106,Parameters!$X$3:$AA$3,0))))*(1-Inputs_General!$C$22*Parameters!$F$10))</f>
        <v>2.15644524721922</v>
      </c>
      <c r="BA106" s="43" t="n">
        <f aca="false">MAX(AX106*(1+INDEX(Response_Table!$J$4:$J$21,MATCH($F106&amp;"|low",Response_Table!$A$4:$A$21,0))*$R106*INDEX(Parameters!$X$10:$AA$10,1,MATCH($E106,Parameters!$X$3:$AA$3,0))),AX106*(1+INDEX(Response_Table!$J$4:$J$21,MATCH($F106&amp;"|high",Response_Table!$A$4:$A$21,0))*$R106*INDEX(Parameters!$X$10:$AA$10,1,MATCH($E106,Parameters!$X$3:$AA$3,0))))*(1+Inputs_General!$C$22*Parameters!$F$10)</f>
        <v>3.37413761076069</v>
      </c>
      <c r="BB106" s="45" t="n">
        <f aca="false">IF(AX106=0,0,AY106/AX106-1)</f>
        <v>-0.0357669742673663</v>
      </c>
      <c r="BC106" s="46" t="n">
        <f aca="false">Parameters!$E$11*IF($N106="V",Parameters!$I$11,IF($N106="F",Parameters!$J$11,Parameters!$K$11))*(1-Parameters!$L$11*$P106)*IF($D106="V1",Parameters!$M$11,IF($D106="V2",Parameters!$N$11,Parameters!$O$11))</f>
        <v>1.24825892857143</v>
      </c>
      <c r="BD106" s="46" t="n">
        <f aca="false">BC106*(1+INDEX(Response_Table!$K$4:$K$21,MATCH($F106&amp;"|mid",Response_Table!$A$4:$A$21,0))*$R106*INDEX(Parameters!$X$11:$AA$11,1,MATCH($E106,Parameters!$X$3:$AA$3,0)))</f>
        <v>1.16656259297355</v>
      </c>
      <c r="BE106" s="46" t="n">
        <f aca="false">MAX(0,MIN(BC106*(1+INDEX(Response_Table!$K$4:$K$21,MATCH($F106&amp;"|low",Response_Table!$A$4:$A$21,0))*$R106*INDEX(Parameters!$X$11:$AA$11,1,MATCH($E106,Parameters!$X$3:$AA$3,0))),BC106*(1+INDEX(Response_Table!$K$4:$K$21,MATCH($F106&amp;"|high",Response_Table!$A$4:$A$21,0))*$R106*INDEX(Parameters!$X$11:$AA$11,1,MATCH($E106,Parameters!$X$3:$AA$3,0))))*(1-Inputs_General!$C$22*Parameters!$F$11))</f>
        <v>0.932665726702926</v>
      </c>
      <c r="BF106" s="46" t="n">
        <f aca="false">MAX(BC106*(1+INDEX(Response_Table!$K$4:$K$21,MATCH($F106&amp;"|low",Response_Table!$A$4:$A$21,0))*$R106*INDEX(Parameters!$X$11:$AA$11,1,MATCH($E106,Parameters!$X$3:$AA$3,0))),BC106*(1+INDEX(Response_Table!$K$4:$K$21,MATCH($F106&amp;"|high",Response_Table!$A$4:$A$21,0))*$R106*INDEX(Parameters!$X$11:$AA$11,1,MATCH($E106,Parameters!$X$3:$AA$3,0))))*(1+Inputs_General!$C$22*Parameters!$F$11)</f>
        <v>1.42086571302616</v>
      </c>
      <c r="BG106" s="45" t="n">
        <f aca="false">IF(BC106=0,0,BD106/BC106-1)</f>
        <v>-0.0654482285108752</v>
      </c>
      <c r="BH106" s="46" t="n">
        <f aca="false">Parameters!$E$12*IF($N106="V",Parameters!$I$12,IF($N106="F",Parameters!$J$12,Parameters!$K$12))*(1-Parameters!$L$12*$P106)*IF($D106="V1",Parameters!$M$12,IF($D106="V2",Parameters!$N$12,Parameters!$O$12))</f>
        <v>0.449373214285714</v>
      </c>
      <c r="BI106" s="46" t="n">
        <f aca="false">BH106*(1+INDEX(Response_Table!$L$4:$L$21,MATCH($F106&amp;"|mid",Response_Table!$A$4:$A$21,0))*$R106*INDEX(Parameters!$X$12:$AA$12,1,MATCH($E106,Parameters!$X$3:$AA$3,0)))</f>
        <v>0.425973617231434</v>
      </c>
      <c r="BJ106" s="46" t="n">
        <f aca="false">MAX(0,MIN(BH106*(1+INDEX(Response_Table!$L$4:$L$21,MATCH($F106&amp;"|low",Response_Table!$A$4:$A$21,0))*$R106*INDEX(Parameters!$X$12:$AA$12,1,MATCH($E106,Parameters!$X$3:$AA$3,0))),BH106*(1+INDEX(Response_Table!$L$4:$L$21,MATCH($F106&amp;"|high",Response_Table!$A$4:$A$21,0))*$R106*INDEX(Parameters!$X$12:$AA$12,1,MATCH($E106,Parameters!$X$3:$AA$3,0))))*(1-Inputs_General!$C$22*Parameters!$F$12))</f>
        <v>0.330272934750174</v>
      </c>
      <c r="BK106" s="46" t="n">
        <f aca="false">MAX(BH106*(1+INDEX(Response_Table!$L$4:$L$21,MATCH($F106&amp;"|low",Response_Table!$A$4:$A$21,0))*$R106*INDEX(Parameters!$X$12:$AA$12,1,MATCH($E106,Parameters!$X$3:$AA$3,0))),BH106*(1+INDEX(Response_Table!$L$4:$L$21,MATCH($F106&amp;"|high",Response_Table!$A$4:$A$21,0))*$R106*INDEX(Parameters!$X$12:$AA$12,1,MATCH($E106,Parameters!$X$3:$AA$3,0))))*(1+Inputs_General!$C$22*Parameters!$F$12)</f>
        <v>0.528458382240745</v>
      </c>
      <c r="BL106" s="45" t="n">
        <f aca="false">IF(BH106=0,0,BI106/BH106-1)</f>
        <v>-0.052071632910907</v>
      </c>
      <c r="BM106" s="46" t="n">
        <f aca="false">Parameters!$E$13*IF($N106="V",Parameters!$I$13,IF($N106="F",Parameters!$J$13,Parameters!$K$13))*(1-Parameters!$L$13*$P106)*IF($D106="V1",Parameters!$M$13,IF($D106="V2",Parameters!$N$13,Parameters!$O$13))</f>
        <v>0.299791071428571</v>
      </c>
      <c r="BN106" s="46" t="n">
        <f aca="false">BM106*(1+INDEX(Response_Table!$M$4:$M$21,MATCH($F106&amp;"|mid",Response_Table!$A$4:$A$21,0))*$R106*INDEX(Parameters!$X$13:$AA$13,1,MATCH($E106,Parameters!$X$3:$AA$3,0)))</f>
        <v>0.308360167765793</v>
      </c>
      <c r="BO106" s="46" t="n">
        <f aca="false">MAX(0,MIN(BM106*(1+INDEX(Response_Table!$M$4:$M$21,MATCH($F106&amp;"|low",Response_Table!$A$4:$A$21,0))*$R106*INDEX(Parameters!$X$13:$AA$13,1,MATCH($E106,Parameters!$X$3:$AA$3,0))),BM106*(1+INDEX(Response_Table!$M$4:$M$21,MATCH($F106&amp;"|high",Response_Table!$A$4:$A$21,0))*$R106*INDEX(Parameters!$X$13:$AA$13,1,MATCH($E106,Parameters!$X$3:$AA$3,0))))*(1-Inputs_General!$C$22*Parameters!$F$13))</f>
        <v>0.243993318517387</v>
      </c>
      <c r="BP106" s="46" t="n">
        <f aca="false">MAX(BM106*(1+INDEX(Response_Table!$M$4:$M$21,MATCH($F106&amp;"|low",Response_Table!$A$4:$A$21,0))*$R106*INDEX(Parameters!$X$13:$AA$13,1,MATCH($E106,Parameters!$X$3:$AA$3,0))),BM106*(1+INDEX(Response_Table!$M$4:$M$21,MATCH($F106&amp;"|high",Response_Table!$A$4:$A$21,0))*$R106*INDEX(Parameters!$X$13:$AA$13,1,MATCH($E106,Parameters!$X$3:$AA$3,0))))*(1+Inputs_General!$C$22*Parameters!$F$13)</f>
        <v>0.369520375611271</v>
      </c>
      <c r="BQ106" s="45" t="n">
        <f aca="false">IF(BM106=0,0,BN106/BM106-1)</f>
        <v>0.0285835608658662</v>
      </c>
      <c r="BR106" s="44" t="n">
        <f aca="false">Parameters!$E$14*IF($N106="V",Parameters!$I$14,IF($N106="F",Parameters!$J$14,Parameters!$K$14))*(1-Parameters!$L$14*$P106)*IF($D106="V1",Parameters!$M$14,IF($D106="V2",Parameters!$N$14,Parameters!$O$14))*INDEX(Context!$AC$4:$AC$51,$K106)</f>
        <v>15</v>
      </c>
      <c r="BS106" s="44" t="n">
        <f aca="false">BR106*(1+INDEX(Response_Table!$N$4:$N$21,MATCH($F106&amp;"|mid",Response_Table!$A$4:$A$21,0))*$R106*INDEX(Parameters!$X$14:$AA$14,1,MATCH($E106,Parameters!$X$3:$AA$3,0)))</f>
        <v>15.8520812658148</v>
      </c>
      <c r="BT106" s="44" t="n">
        <f aca="false">MAX(0,MIN(BR106*(1+INDEX(Response_Table!$N$4:$N$21,MATCH($F106&amp;"|low",Response_Table!$A$4:$A$21,0))*$R106*INDEX(Parameters!$X$14:$AA$14,1,MATCH($E106,Parameters!$X$3:$AA$3,0))),BR106*(1+INDEX(Response_Table!$N$4:$N$21,MATCH($F106&amp;"|high",Response_Table!$A$4:$A$21,0))*$R106*INDEX(Parameters!$X$14:$AA$14,1,MATCH($E106,Parameters!$X$3:$AA$3,0))))*(1-Inputs_General!$C$22*Parameters!$F$14))</f>
        <v>7.74569643885104</v>
      </c>
      <c r="BU106" s="44" t="n">
        <f aca="false">MAX(BR106*(1+INDEX(Response_Table!$N$4:$N$21,MATCH($F106&amp;"|low",Response_Table!$A$4:$A$21,0))*$R106*INDEX(Parameters!$X$14:$AA$14,1,MATCH($E106,Parameters!$X$3:$AA$3,0))),BR106*(1+INDEX(Response_Table!$N$4:$N$21,MATCH($F106&amp;"|high",Response_Table!$A$4:$A$21,0))*$R106*INDEX(Parameters!$X$14:$AA$14,1,MATCH($E106,Parameters!$X$3:$AA$3,0))))*(1+Inputs_General!$C$22*Parameters!$F$14)</f>
        <v>24.4620231083708</v>
      </c>
      <c r="BV106" s="45" t="n">
        <f aca="false">IF(BR106=0,0,BS106/BR106-1)</f>
        <v>0.0568054177209894</v>
      </c>
      <c r="BW106" s="43" t="n">
        <f aca="false">Parameters!$E$15*IF($N106="V",Parameters!$I$15,IF($N106="F",Parameters!$J$15,Parameters!$K$15))*(1-Parameters!$L$15*$P106)*IF($D106="V1",Parameters!$M$15,IF($D106="V2",Parameters!$N$15,Parameters!$O$15))</f>
        <v>10.7849571428571</v>
      </c>
      <c r="BX106" s="43" t="n">
        <f aca="false">BW106*(1+INDEX(Response_Table!$O$4:$O$21,MATCH($F106&amp;"|mid",Response_Table!$A$4:$A$21,0))*$R106*INDEX(Parameters!$X$15:$AA$15,1,MATCH($E106,Parameters!$X$3:$AA$3,0)))</f>
        <v>10.6317961439564</v>
      </c>
      <c r="BY106" s="43" t="n">
        <f aca="false">MAX(0,MIN(BW106*(1+INDEX(Response_Table!$O$4:$O$21,MATCH($F106&amp;"|low",Response_Table!$A$4:$A$21,0))*$R106*INDEX(Parameters!$X$15:$AA$15,1,MATCH($E106,Parameters!$X$3:$AA$3,0))),BW106*(1+INDEX(Response_Table!$O$4:$O$21,MATCH($F106&amp;"|high",Response_Table!$A$4:$A$21,0))*$R106*INDEX(Parameters!$X$15:$AA$15,1,MATCH($E106,Parameters!$X$3:$AA$3,0))))*(1-Inputs_General!$C$22*Parameters!$F$15))</f>
        <v>8.45706401135179</v>
      </c>
      <c r="BZ106" s="43" t="n">
        <f aca="false">MAX(BW106*(1+INDEX(Response_Table!$O$4:$O$21,MATCH($F106&amp;"|low",Response_Table!$A$4:$A$21,0))*$R106*INDEX(Parameters!$X$15:$AA$15,1,MATCH($E106,Parameters!$X$3:$AA$3,0))),BW106*(1+INDEX(Response_Table!$O$4:$O$21,MATCH($F106&amp;"|high",Response_Table!$A$4:$A$21,0))*$R106*INDEX(Parameters!$X$15:$AA$15,1,MATCH($E106,Parameters!$X$3:$AA$3,0))))*(1+Inputs_General!$C$22*Parameters!$F$15)</f>
        <v>12.850933180381</v>
      </c>
      <c r="CA106" s="45" t="n">
        <f aca="false">IF(BW106=0,0,BX106/BW106-1)</f>
        <v>-0.0142013544302475</v>
      </c>
      <c r="CB106" s="46" t="n">
        <f aca="false">BD106+BI106</f>
        <v>1.59253621020498</v>
      </c>
      <c r="CC106" s="43" t="n">
        <f aca="false">BD106/BI106</f>
        <v>2.73857944666969</v>
      </c>
      <c r="CD106" s="46" t="n">
        <f aca="false">BN106/CB106</f>
        <v>0.193628355694407</v>
      </c>
      <c r="CE106" s="43" t="n">
        <f aca="false">AE106/AO106</f>
        <v>3.6325736995032</v>
      </c>
      <c r="CF106" s="44" t="n">
        <f aca="false">AE106/AJ106</f>
        <v>44.0403996691445</v>
      </c>
      <c r="CG106" s="44" t="n">
        <f aca="false">INDEX(Context!$V$4:$V$51,$K106)</f>
        <v>25.5785714285714</v>
      </c>
      <c r="CH106" s="44" t="n">
        <f aca="false">INDEX(Context!$Y$4:$Y$51,$K106)</f>
        <v>23.620522619794</v>
      </c>
      <c r="CI106" s="44" t="n">
        <f aca="false">INDEX(Context!$Z$4:$Z$51,$K106)</f>
        <v>29.5785714285714</v>
      </c>
      <c r="CJ106" s="43" t="n">
        <f aca="false">INDEX(Context!$AA$4:$AA$51,$K106)</f>
        <v>0.201160714285714</v>
      </c>
      <c r="CK106" s="43" t="n">
        <f aca="false">MAX(0,MIN(1,1-(1-CJ106)*AO106/AN106))</f>
        <v>0.244698051730655</v>
      </c>
      <c r="CL106" s="44" t="n">
        <f aca="false">CH106+CK106*(CI106-CH106)</f>
        <v>25.078445555418</v>
      </c>
      <c r="CM106" s="44" t="n">
        <f aca="false">CH106+MAX(0,MIN(1,1-(1-CJ106)*AQ106/AN106))*(CI106-CH106)</f>
        <v>23.620522619794</v>
      </c>
      <c r="CN106" s="44" t="n">
        <f aca="false">CH106+MAX(0,MIN(1,1-(1-CJ106)*AP106/AN106))*(CI106-CH106)</f>
        <v>26.5544634349966</v>
      </c>
      <c r="CO106" s="44" t="n">
        <f aca="false">CL106-CG106</f>
        <v>-0.500125873153436</v>
      </c>
      <c r="CP106" s="44" t="n">
        <f aca="false">CL106-(CH106+CJ106*(CI106-CH106))</f>
        <v>0.259397581501172</v>
      </c>
      <c r="CQ106" s="46" t="n">
        <f aca="false">CL106/CG106</f>
        <v>0.980447466561999</v>
      </c>
      <c r="CR106" s="43" t="n">
        <f aca="false">IF(CL106-CH106&lt;=0,"n/a",(CI106-CL106)/(CL106-CH106))</f>
        <v>3.08666923552265</v>
      </c>
      <c r="CS106" s="43" t="n">
        <f aca="false">IF(CI106-CL106&lt;=0,"n/a",(CL106-CH106)/(CI106-CL106))</f>
        <v>0.323973812448574</v>
      </c>
      <c r="CT106" s="43" t="n">
        <f aca="false">Inputs_General!$C$23+Inputs_General!$C$24*$I106</f>
        <v>0.66</v>
      </c>
      <c r="CU106" s="44" t="n">
        <f aca="false">3.29*CT106</f>
        <v>2.1714</v>
      </c>
    </row>
    <row r="107" customFormat="false" ht="15" hidden="false" customHeight="false" outlineLevel="0" collapsed="false">
      <c r="A107" s="9" t="str">
        <f aca="false">B107&amp;"|"&amp;E107&amp;"|"&amp;F107</f>
        <v>D2V2|24/02/2026|Low</v>
      </c>
      <c r="B107" s="7" t="s">
        <v>347</v>
      </c>
      <c r="C107" s="9" t="s">
        <v>129</v>
      </c>
      <c r="D107" s="9" t="s">
        <v>146</v>
      </c>
      <c r="E107" s="9" t="s">
        <v>160</v>
      </c>
      <c r="F107" s="7" t="s">
        <v>279</v>
      </c>
      <c r="G107" s="9" t="s">
        <v>280</v>
      </c>
      <c r="H107" s="41" t="n">
        <f aca="false">INDEX(Severity_Classes!$C$4:$C$9,MATCH(F107,Severity_Classes!$A$4:$A$9,0))</f>
        <v>0.06</v>
      </c>
      <c r="I107" s="41" t="n">
        <f aca="false">INDEX(Severity_Classes!$D$4:$D$9,MATCH(F107,Severity_Classes!$A$4:$A$9,0))</f>
        <v>0.08</v>
      </c>
      <c r="J107" s="41" t="n">
        <f aca="false">INDEX(Severity_Classes!$E$4:$E$9,MATCH(F107,Severity_Classes!$A$4:$A$9,0))</f>
        <v>0.1</v>
      </c>
      <c r="K107" s="42" t="n">
        <f aca="false">MATCH(B107&amp;"|"&amp;E107,Context!$A$4:$A$51,0)</f>
        <v>18</v>
      </c>
      <c r="L107" s="42" t="n">
        <f aca="false">INDEX(Context!$H$4:$H$51,K107)</f>
        <v>68</v>
      </c>
      <c r="M107" s="42" t="n">
        <f aca="false">INDEX(Context!$I$4:$I$51,K107)</f>
        <v>19</v>
      </c>
      <c r="N107" s="9" t="str">
        <f aca="false">INDEX(Context!$L$4:$L$51,K107)</f>
        <v>F</v>
      </c>
      <c r="O107" s="9" t="str">
        <f aca="false">INDEX(Context!$M$4:$M$51,K107)</f>
        <v>5th fully expanded leaf from top</v>
      </c>
      <c r="P107" s="43" t="n">
        <f aca="false">INDEX(Context!$R$4:$R$51,K107)</f>
        <v>0.0232142857142859</v>
      </c>
      <c r="Q107" s="43" t="n">
        <f aca="false">INDEX(Context!$U$4:$U$51,K107)</f>
        <v>1.19492600027053</v>
      </c>
      <c r="R107" s="43" t="n">
        <f aca="false">INDEX(Context!$AD$4:$AD$51,K107)</f>
        <v>1.1</v>
      </c>
      <c r="S107" s="9" t="str">
        <f aca="false">INDEX(Context!$AI$4:$AN$51,K107,MATCH(F107,Severity_Classes!$A$4:$A$9,0))</f>
        <v>Likely</v>
      </c>
      <c r="T107" s="44" t="n">
        <f aca="false">Parameters!$E$4*IF($N107="V",Parameters!$I$4,IF($N107="F",Parameters!$J$4,Parameters!$K$4))*(1-Parameters!$L$4*$P107)*IF($D107="V1",Parameters!$M$4,IF($D107="V2",Parameters!$N$4,Parameters!$O$4))</f>
        <v>85.0411767857143</v>
      </c>
      <c r="U107" s="44" t="n">
        <f aca="false">MIN(100,T107*(1+INDEX(Response_Table!$E$4:$E$21,MATCH($F107&amp;"|mid",Response_Table!$A$4:$A$21,0))*$R107*INDEX(Parameters!$X$4:$AA$4,1,MATCH($E107,Parameters!$X$3:$AA$3,0))))</f>
        <v>83.7391548929552</v>
      </c>
      <c r="V107" s="44" t="n">
        <f aca="false">MAX(0,MIN(T107*(1+INDEX(Response_Table!$E$4:$E$21,MATCH($F107&amp;"|low",Response_Table!$A$4:$A$21,0))*$R107*INDEX(Parameters!$X$4:$AA$4,1,MATCH($E107,Parameters!$X$3:$AA$3,0))),T107*(1+INDEX(Response_Table!$E$4:$E$21,MATCH($F107&amp;"|high",Response_Table!$A$4:$A$21,0))*$R107*INDEX(Parameters!$X$4:$AA$4,1,MATCH($E107,Parameters!$X$3:$AA$3,0))))*(1-Inputs_General!$C$22*Parameters!$F$4))</f>
        <v>77.8041406889434</v>
      </c>
      <c r="W107" s="44" t="n">
        <f aca="false">MIN(100,MAX(T107*(1+INDEX(Response_Table!$E$4:$E$21,MATCH($F107&amp;"|low",Response_Table!$A$4:$A$21,0))*$R107*INDEX(Parameters!$X$4:$AA$4,1,MATCH($E107,Parameters!$X$3:$AA$3,0))),T107*(1+INDEX(Response_Table!$E$4:$E$21,MATCH($F107&amp;"|high",Response_Table!$A$4:$A$21,0))*$R107*INDEX(Parameters!$X$4:$AA$4,1,MATCH($E107,Parameters!$X$3:$AA$3,0))))*(1+Inputs_General!$C$22*Parameters!$F$4))</f>
        <v>89.6729022745987</v>
      </c>
      <c r="X107" s="45" t="n">
        <f aca="false">IF(T107=0,0,U107/T107-1)</f>
        <v>-0.0153104877186721</v>
      </c>
      <c r="Y107" s="44" t="n">
        <f aca="false">Parameters!$E$5*IF($N107="V",Parameters!$I$5,IF($N107="F",Parameters!$J$5,Parameters!$K$5))*(1-Parameters!$L$5*$P107)*IF($D107="V1",Parameters!$M$5,IF($D107="V2",Parameters!$N$5,Parameters!$O$5))</f>
        <v>70.36344</v>
      </c>
      <c r="Z107" s="44" t="n">
        <f aca="false">MIN(100,Y107*(1+INDEX(Response_Table!$F$4:$F$21,MATCH($F107&amp;"|mid",Response_Table!$A$4:$A$21,0))*$R107*INDEX(Parameters!$X$5:$AA$5,1,MATCH($E107,Parameters!$X$3:$AA$3,0))))</f>
        <v>66.806988223921</v>
      </c>
      <c r="AA107" s="44" t="n">
        <f aca="false">MAX(0,MIN(Y107*(1+INDEX(Response_Table!$F$4:$F$21,MATCH($F107&amp;"|low",Response_Table!$A$4:$A$21,0))*$R107*INDEX(Parameters!$X$5:$AA$5,1,MATCH($E107,Parameters!$X$3:$AA$3,0))),Y107*(1+INDEX(Response_Table!$F$4:$F$21,MATCH($F107&amp;"|high",Response_Table!$A$4:$A$21,0))*$R107*INDEX(Parameters!$X$5:$AA$5,1,MATCH($E107,Parameters!$X$3:$AA$3,0))))*(1-Inputs_General!$C$22*Parameters!$F$5))</f>
        <v>57.962361947652</v>
      </c>
      <c r="AB107" s="44" t="n">
        <f aca="false">MIN(100,MAX(Y107*(1+INDEX(Response_Table!$F$4:$F$21,MATCH($F107&amp;"|low",Response_Table!$A$4:$A$21,0))*$R107*INDEX(Parameters!$X$5:$AA$5,1,MATCH($E107,Parameters!$X$3:$AA$3,0))),Y107*(1+INDEX(Response_Table!$F$4:$F$21,MATCH($F107&amp;"|high",Response_Table!$A$4:$A$21,0))*$R107*INDEX(Parameters!$X$5:$AA$5,1,MATCH($E107,Parameters!$X$3:$AA$3,0))))*(1+Inputs_General!$C$22*Parameters!$F$5))</f>
        <v>75.7465722686016</v>
      </c>
      <c r="AC107" s="45" t="n">
        <f aca="false">IF(Y107=0,0,Z107/Y107-1)</f>
        <v>-0.0505440293436336</v>
      </c>
      <c r="AD107" s="44" t="n">
        <f aca="false">Parameters!$E$6*IF($N107="V",Parameters!$I$6,IF($N107="F",Parameters!$J$6,Parameters!$K$6))*(1-Parameters!$L$6*$P107)*IF($D107="V1",Parameters!$M$6,IF($D107="V2",Parameters!$N$6,Parameters!$O$6))</f>
        <v>18.9470714285714</v>
      </c>
      <c r="AE107" s="44" t="n">
        <f aca="false">AD107*(1+INDEX(Response_Table!$G$4:$G$21,MATCH($F107&amp;"|mid",Response_Table!$A$4:$A$21,0))*$R107*INDEX(Parameters!$X$6:$AA$6,1,MATCH($E107,Parameters!$X$3:$AA$3,0)))</f>
        <v>14.3089439319386</v>
      </c>
      <c r="AF107" s="44" t="n">
        <f aca="false">MAX(0,MIN(AD107*(1+INDEX(Response_Table!$G$4:$G$21,MATCH($F107&amp;"|low",Response_Table!$A$4:$A$21,0))*$R107*INDEX(Parameters!$X$6:$AA$6,1,MATCH($E107,Parameters!$X$3:$AA$3,0))),AD107*(1+INDEX(Response_Table!$G$4:$G$21,MATCH($F107&amp;"|high",Response_Table!$A$4:$A$21,0))*$R107*INDEX(Parameters!$X$6:$AA$6,1,MATCH($E107,Parameters!$X$3:$AA$3,0))))*(1-Inputs_General!$C$22*Parameters!$F$6))</f>
        <v>10.7411041913264</v>
      </c>
      <c r="AG107" s="44" t="n">
        <f aca="false">MAX(AD107*(1+INDEX(Response_Table!$G$4:$G$21,MATCH($F107&amp;"|low",Response_Table!$A$4:$A$21,0))*$R107*INDEX(Parameters!$X$6:$AA$6,1,MATCH($E107,Parameters!$X$3:$AA$3,0))),AD107*(1+INDEX(Response_Table!$G$4:$G$21,MATCH($F107&amp;"|high",Response_Table!$A$4:$A$21,0))*$R107*INDEX(Parameters!$X$6:$AA$6,1,MATCH($E107,Parameters!$X$3:$AA$3,0))))*(1+Inputs_General!$C$22*Parameters!$F$6)</f>
        <v>18.3443935263158</v>
      </c>
      <c r="AH107" s="45" t="n">
        <f aca="false">IF(AD107=0,0,AE107/AD107-1)</f>
        <v>-0.244793899369519</v>
      </c>
      <c r="AI107" s="46" t="n">
        <f aca="false">Parameters!$E$7*IF($N107="V",Parameters!$I$7,IF($N107="F",Parameters!$J$7,Parameters!$K$7))*(1-Parameters!$L$7*$P107)*IF($D107="V1",Parameters!$M$7,IF($D107="V2",Parameters!$N$7,Parameters!$O$7))*POWER($Q107/Inputs_General!$C$26,-Inputs_General!$C$25)</f>
        <v>0.411663164578586</v>
      </c>
      <c r="AJ107" s="46" t="n">
        <f aca="false">AI107*(1+INDEX(Response_Table!$H$4:$H$21,MATCH($F107&amp;"|mid",Response_Table!$A$4:$A$21,0))*$R107*INDEX(Parameters!$X$7:$AA$7,1,MATCH($E107,Parameters!$X$3:$AA$3,0)))</f>
        <v>0.348859387867022</v>
      </c>
      <c r="AK107" s="46" t="n">
        <f aca="false">MAX(0,MIN(AI107*(1+INDEX(Response_Table!$H$4:$H$21,MATCH($F107&amp;"|low",Response_Table!$A$4:$A$21,0))*$R107*INDEX(Parameters!$X$7:$AA$7,1,MATCH($E107,Parameters!$X$3:$AA$3,0))),AI107*(1+INDEX(Response_Table!$H$4:$H$21,MATCH($F107&amp;"|high",Response_Table!$A$4:$A$21,0))*$R107*INDEX(Parameters!$X$7:$AA$7,1,MATCH($E107,Parameters!$X$3:$AA$3,0))))*(1-Inputs_General!$C$22*Parameters!$F$7))</f>
        <v>0.236071037356664</v>
      </c>
      <c r="AL107" s="46" t="n">
        <f aca="false">MAX(AI107*(1+INDEX(Response_Table!$H$4:$H$21,MATCH($F107&amp;"|low",Response_Table!$A$4:$A$21,0))*$R107*INDEX(Parameters!$X$7:$AA$7,1,MATCH($E107,Parameters!$X$3:$AA$3,0))),AI107*(1+INDEX(Response_Table!$H$4:$H$21,MATCH($F107&amp;"|high",Response_Table!$A$4:$A$21,0))*$R107*INDEX(Parameters!$X$7:$AA$7,1,MATCH($E107,Parameters!$X$3:$AA$3,0))))*(1+Inputs_General!$C$22*Parameters!$F$7)</f>
        <v>0.470713368226858</v>
      </c>
      <c r="AM107" s="45" t="n">
        <f aca="false">IF(AI107=0,0,AJ107/AI107-1)</f>
        <v>-0.152561079337414</v>
      </c>
      <c r="AN107" s="43" t="n">
        <f aca="false">AI107*$Q107/Inputs_General!$C$13*1000</f>
        <v>4.95374641196979</v>
      </c>
      <c r="AO107" s="43" t="n">
        <f aca="false">AJ107*$Q107/Inputs_General!$C$13*1000*(1+Inputs_General!$C$21*$I107)</f>
        <v>4.28195746284775</v>
      </c>
      <c r="AP107" s="43" t="n">
        <f aca="false">AK107*$Q107/Inputs_General!$C$13*1000*(1+Inputs_General!$C$21*$H107)</f>
        <v>2.88337091394802</v>
      </c>
      <c r="AQ107" s="43" t="n">
        <f aca="false">AL107*$Q107/Inputs_General!$C$13*1000*(1+Inputs_General!$C$21*$J107)</f>
        <v>5.80593487843322</v>
      </c>
      <c r="AR107" s="45" t="n">
        <f aca="false">IF(AN107=0,0,AO107/AN107-1)</f>
        <v>-0.135612300924163</v>
      </c>
      <c r="AS107" s="42" t="n">
        <f aca="false">Parameters!$E$9*IF($N107="V",Parameters!$I$9,IF($N107="F",Parameters!$J$9,Parameters!$K$9))*(1-Parameters!$L$9*$P107)*IF($D107="V1",Parameters!$M$9,IF($D107="V2",Parameters!$N$9,Parameters!$O$9))</f>
        <v>285</v>
      </c>
      <c r="AT107" s="42" t="n">
        <f aca="false">AS107*(1+INDEX(Response_Table!$I$4:$I$21,MATCH($F107&amp;"|mid",Response_Table!$A$4:$A$21,0))*$R107*INDEX(Parameters!$X$9:$AA$9,1,MATCH($E107,Parameters!$X$3:$AA$3,0)))</f>
        <v>310.755683063219</v>
      </c>
      <c r="AU107" s="42" t="n">
        <f aca="false">MAX(0,MIN(AS107*(1+INDEX(Response_Table!$I$4:$I$21,MATCH($F107&amp;"|low",Response_Table!$A$4:$A$21,0))*$R107*INDEX(Parameters!$X$9:$AA$9,1,MATCH($E107,Parameters!$X$3:$AA$3,0))),AS107*(1+INDEX(Response_Table!$I$4:$I$21,MATCH($F107&amp;"|high",Response_Table!$A$4:$A$21,0))*$R107*INDEX(Parameters!$X$9:$AA$9,1,MATCH($E107,Parameters!$X$3:$AA$3,0))))*(1-Inputs_General!$C$22*Parameters!$F$9))</f>
        <v>274.957472644588</v>
      </c>
      <c r="AV107" s="42" t="n">
        <f aca="false">MAX(AS107*(1+INDEX(Response_Table!$I$4:$I$21,MATCH($F107&amp;"|low",Response_Table!$A$4:$A$21,0))*$R107*INDEX(Parameters!$X$9:$AA$9,1,MATCH($E107,Parameters!$X$3:$AA$3,0))),AS107*(1+INDEX(Response_Table!$I$4:$I$21,MATCH($F107&amp;"|high",Response_Table!$A$4:$A$21,0))*$R107*INDEX(Parameters!$X$9:$AA$9,1,MATCH($E107,Parameters!$X$3:$AA$3,0))))*(1+Inputs_General!$C$22*Parameters!$F$9)</f>
        <v>347.196231317812</v>
      </c>
      <c r="AW107" s="45" t="n">
        <f aca="false">IF(AS107=0,0,AT107/AS107-1)</f>
        <v>0.0903708177656819</v>
      </c>
      <c r="AX107" s="43" t="n">
        <f aca="false">INDEX(Context!$AB$4:$AB$51,$K107)</f>
        <v>2.85275193829914</v>
      </c>
      <c r="AY107" s="43" t="n">
        <f aca="false">AX107*(1+INDEX(Response_Table!$J$4:$J$21,MATCH($F107&amp;"|mid",Response_Table!$A$4:$A$21,0))*$R107*INDEX(Parameters!$X$10:$AA$10,1,MATCH($E107,Parameters!$X$3:$AA$3,0)))</f>
        <v>2.59677942152129</v>
      </c>
      <c r="AZ107" s="43" t="n">
        <f aca="false">MAX(0,MIN(AX107*(1+INDEX(Response_Table!$J$4:$J$21,MATCH($F107&amp;"|low",Response_Table!$A$4:$A$21,0))*$R107*INDEX(Parameters!$X$10:$AA$10,1,MATCH($E107,Parameters!$X$3:$AA$3,0))),AX107*(1+INDEX(Response_Table!$J$4:$J$21,MATCH($F107&amp;"|high",Response_Table!$A$4:$A$21,0))*$R107*INDEX(Parameters!$X$10:$AA$10,1,MATCH($E107,Parameters!$X$3:$AA$3,0))))*(1-Inputs_General!$C$22*Parameters!$F$10))</f>
        <v>2.03892008262208</v>
      </c>
      <c r="BA107" s="43" t="n">
        <f aca="false">MAX(AX107*(1+INDEX(Response_Table!$J$4:$J$21,MATCH($F107&amp;"|low",Response_Table!$A$4:$A$21,0))*$R107*INDEX(Parameters!$X$10:$AA$10,1,MATCH($E107,Parameters!$X$3:$AA$3,0))),AX107*(1+INDEX(Response_Table!$J$4:$J$21,MATCH($F107&amp;"|high",Response_Table!$A$4:$A$21,0))*$R107*INDEX(Parameters!$X$10:$AA$10,1,MATCH($E107,Parameters!$X$3:$AA$3,0))))*(1+Inputs_General!$C$22*Parameters!$F$10)</f>
        <v>3.18036141982967</v>
      </c>
      <c r="BB107" s="45" t="n">
        <f aca="false">IF(AX107=0,0,AY107/AX107-1)</f>
        <v>-0.089728277226399</v>
      </c>
      <c r="BC107" s="46" t="n">
        <f aca="false">Parameters!$E$11*IF($N107="V",Parameters!$I$11,IF($N107="F",Parameters!$J$11,Parameters!$K$11))*(1-Parameters!$L$11*$P107)*IF($D107="V1",Parameters!$M$11,IF($D107="V2",Parameters!$N$11,Parameters!$O$11))</f>
        <v>1.24825892857143</v>
      </c>
      <c r="BD107" s="46" t="n">
        <f aca="false">BC107*(1+INDEX(Response_Table!$K$4:$K$21,MATCH($F107&amp;"|mid",Response_Table!$A$4:$A$21,0))*$R107*INDEX(Parameters!$X$11:$AA$11,1,MATCH($E107,Parameters!$X$3:$AA$3,0)))</f>
        <v>1.04667947617951</v>
      </c>
      <c r="BE107" s="46" t="n">
        <f aca="false">MAX(0,MIN(BC107*(1+INDEX(Response_Table!$K$4:$K$21,MATCH($F107&amp;"|low",Response_Table!$A$4:$A$21,0))*$R107*INDEX(Parameters!$X$11:$AA$11,1,MATCH($E107,Parameters!$X$3:$AA$3,0))),BC107*(1+INDEX(Response_Table!$K$4:$K$21,MATCH($F107&amp;"|high",Response_Table!$A$4:$A$21,0))*$R107*INDEX(Parameters!$X$11:$AA$11,1,MATCH($E107,Parameters!$X$3:$AA$3,0))))*(1-Inputs_General!$C$22*Parameters!$F$11))</f>
        <v>0.838712947189841</v>
      </c>
      <c r="BF107" s="46" t="n">
        <f aca="false">MAX(BC107*(1+INDEX(Response_Table!$K$4:$K$21,MATCH($F107&amp;"|low",Response_Table!$A$4:$A$21,0))*$R107*INDEX(Parameters!$X$11:$AA$11,1,MATCH($E107,Parameters!$X$3:$AA$3,0))),BC107*(1+INDEX(Response_Table!$K$4:$K$21,MATCH($F107&amp;"|high",Response_Table!$A$4:$A$21,0))*$R107*INDEX(Parameters!$X$11:$AA$11,1,MATCH($E107,Parameters!$X$3:$AA$3,0))))*(1+Inputs_General!$C$22*Parameters!$F$11)</f>
        <v>1.27203506758558</v>
      </c>
      <c r="BG107" s="45" t="n">
        <f aca="false">IF(BC107=0,0,BD107/BC107-1)</f>
        <v>-0.161488492313542</v>
      </c>
      <c r="BH107" s="46" t="n">
        <f aca="false">Parameters!$E$12*IF($N107="V",Parameters!$I$12,IF($N107="F",Parameters!$J$12,Parameters!$K$12))*(1-Parameters!$L$12*$P107)*IF($D107="V1",Parameters!$M$12,IF($D107="V2",Parameters!$N$12,Parameters!$O$12))</f>
        <v>0.449373214285714</v>
      </c>
      <c r="BI107" s="46" t="n">
        <f aca="false">BH107*(1+INDEX(Response_Table!$L$4:$L$21,MATCH($F107&amp;"|mid",Response_Table!$A$4:$A$21,0))*$R107*INDEX(Parameters!$X$12:$AA$12,1,MATCH($E107,Parameters!$X$3:$AA$3,0)))</f>
        <v>0.391363561319232</v>
      </c>
      <c r="BJ107" s="46" t="n">
        <f aca="false">MAX(0,MIN(BH107*(1+INDEX(Response_Table!$L$4:$L$21,MATCH($F107&amp;"|low",Response_Table!$A$4:$A$21,0))*$R107*INDEX(Parameters!$X$12:$AA$12,1,MATCH($E107,Parameters!$X$3:$AA$3,0))),BH107*(1+INDEX(Response_Table!$L$4:$L$21,MATCH($F107&amp;"|high",Response_Table!$A$4:$A$21,0))*$R107*INDEX(Parameters!$X$12:$AA$12,1,MATCH($E107,Parameters!$X$3:$AA$3,0))))*(1-Inputs_General!$C$22*Parameters!$F$12))</f>
        <v>0.304112570459165</v>
      </c>
      <c r="BK107" s="46" t="n">
        <f aca="false">MAX(BH107*(1+INDEX(Response_Table!$L$4:$L$21,MATCH($F107&amp;"|low",Response_Table!$A$4:$A$21,0))*$R107*INDEX(Parameters!$X$12:$AA$12,1,MATCH($E107,Parameters!$X$3:$AA$3,0))),BH107*(1+INDEX(Response_Table!$L$4:$L$21,MATCH($F107&amp;"|high",Response_Table!$A$4:$A$21,0))*$R107*INDEX(Parameters!$X$12:$AA$12,1,MATCH($E107,Parameters!$X$3:$AA$3,0))))*(1+Inputs_General!$C$22*Parameters!$F$12)</f>
        <v>0.484453666123918</v>
      </c>
      <c r="BL107" s="45" t="n">
        <f aca="false">IF(BH107=0,0,BI107/BH107-1)</f>
        <v>-0.129090144054735</v>
      </c>
      <c r="BM107" s="46" t="n">
        <f aca="false">Parameters!$E$13*IF($N107="V",Parameters!$I$13,IF($N107="F",Parameters!$J$13,Parameters!$K$13))*(1-Parameters!$L$13*$P107)*IF($D107="V1",Parameters!$M$13,IF($D107="V2",Parameters!$N$13,Parameters!$O$13))</f>
        <v>0.299791071428571</v>
      </c>
      <c r="BN107" s="46" t="n">
        <f aca="false">BM107*(1+INDEX(Response_Table!$M$4:$M$21,MATCH($F107&amp;"|mid",Response_Table!$A$4:$A$21,0))*$R107*INDEX(Parameters!$X$13:$AA$13,1,MATCH($E107,Parameters!$X$3:$AA$3,0)))</f>
        <v>0.303868140538561</v>
      </c>
      <c r="BO107" s="46" t="n">
        <f aca="false">MAX(0,MIN(BM107*(1+INDEX(Response_Table!$M$4:$M$21,MATCH($F107&amp;"|low",Response_Table!$A$4:$A$21,0))*$R107*INDEX(Parameters!$X$13:$AA$13,1,MATCH($E107,Parameters!$X$3:$AA$3,0))),BM107*(1+INDEX(Response_Table!$M$4:$M$21,MATCH($F107&amp;"|high",Response_Table!$A$4:$A$21,0))*$R107*INDEX(Parameters!$X$13:$AA$13,1,MATCH($E107,Parameters!$X$3:$AA$3,0))))*(1-Inputs_General!$C$22*Parameters!$F$13))</f>
        <v>0.23964024429476</v>
      </c>
      <c r="BP107" s="46" t="n">
        <f aca="false">MAX(BM107*(1+INDEX(Response_Table!$M$4:$M$21,MATCH($F107&amp;"|low",Response_Table!$A$4:$A$21,0))*$R107*INDEX(Parameters!$X$13:$AA$13,1,MATCH($E107,Parameters!$X$3:$AA$3,0))),BM107*(1+INDEX(Response_Table!$M$4:$M$21,MATCH($F107&amp;"|high",Response_Table!$A$4:$A$21,0))*$R107*INDEX(Parameters!$X$13:$AA$13,1,MATCH($E107,Parameters!$X$3:$AA$3,0))))*(1+Inputs_General!$C$22*Parameters!$F$13)</f>
        <v>0.368295622084996</v>
      </c>
      <c r="BQ107" s="45" t="n">
        <f aca="false">IF(BM107=0,0,BN107/BM107-1)</f>
        <v>0.0135997015873786</v>
      </c>
      <c r="BR107" s="44" t="n">
        <f aca="false">Parameters!$E$14*IF($N107="V",Parameters!$I$14,IF($N107="F",Parameters!$J$14,Parameters!$K$14))*(1-Parameters!$L$14*$P107)*IF($D107="V1",Parameters!$M$14,IF($D107="V2",Parameters!$N$14,Parameters!$O$14))*INDEX(Context!$AC$4:$AC$51,$K107)</f>
        <v>15</v>
      </c>
      <c r="BS107" s="44" t="n">
        <f aca="false">BR107*(1+INDEX(Response_Table!$N$4:$N$21,MATCH($F107&amp;"|mid",Response_Table!$A$4:$A$21,0))*$R107*INDEX(Parameters!$X$14:$AA$14,1,MATCH($E107,Parameters!$X$3:$AA$3,0)))</f>
        <v>17.1123841754411</v>
      </c>
      <c r="BT107" s="44" t="n">
        <f aca="false">MAX(0,MIN(BR107*(1+INDEX(Response_Table!$N$4:$N$21,MATCH($F107&amp;"|low",Response_Table!$A$4:$A$21,0))*$R107*INDEX(Parameters!$X$14:$AA$14,1,MATCH($E107,Parameters!$X$3:$AA$3,0))),BR107*(1+INDEX(Response_Table!$N$4:$N$21,MATCH($F107&amp;"|high",Response_Table!$A$4:$A$21,0))*$R107*INDEX(Parameters!$X$14:$AA$14,1,MATCH($E107,Parameters!$X$3:$AA$3,0))))*(1-Inputs_General!$C$22*Parameters!$F$14))</f>
        <v>8.42351281540989</v>
      </c>
      <c r="BU107" s="44" t="n">
        <f aca="false">MAX(BR107*(1+INDEX(Response_Table!$N$4:$N$21,MATCH($F107&amp;"|low",Response_Table!$A$4:$A$21,0))*$R107*INDEX(Parameters!$X$14:$AA$14,1,MATCH($E107,Parameters!$X$3:$AA$3,0))),BR107*(1+INDEX(Response_Table!$N$4:$N$21,MATCH($F107&amp;"|high",Response_Table!$A$4:$A$21,0))*$R107*INDEX(Parameters!$X$14:$AA$14,1,MATCH($E107,Parameters!$X$3:$AA$3,0))))*(1+Inputs_General!$C$22*Parameters!$F$14)</f>
        <v>26.2346710753774</v>
      </c>
      <c r="BV107" s="45" t="n">
        <f aca="false">IF(BR107=0,0,BS107/BR107-1)</f>
        <v>0.140825611696075</v>
      </c>
      <c r="BW107" s="43" t="n">
        <f aca="false">Parameters!$E$15*IF($N107="V",Parameters!$I$15,IF($N107="F",Parameters!$J$15,Parameters!$K$15))*(1-Parameters!$L$15*$P107)*IF($D107="V1",Parameters!$M$15,IF($D107="V2",Parameters!$N$15,Parameters!$O$15))</f>
        <v>10.7849571428571</v>
      </c>
      <c r="BX107" s="43" t="n">
        <f aca="false">BW107*(1+INDEX(Response_Table!$O$4:$O$21,MATCH($F107&amp;"|mid",Response_Table!$A$4:$A$21,0))*$R107*INDEX(Parameters!$X$15:$AA$15,1,MATCH($E107,Parameters!$X$3:$AA$3,0)))</f>
        <v>10.4052575961674</v>
      </c>
      <c r="BY107" s="43" t="n">
        <f aca="false">MAX(0,MIN(BW107*(1+INDEX(Response_Table!$O$4:$O$21,MATCH($F107&amp;"|low",Response_Table!$A$4:$A$21,0))*$R107*INDEX(Parameters!$X$15:$AA$15,1,MATCH($E107,Parameters!$X$3:$AA$3,0))),BW107*(1+INDEX(Response_Table!$O$4:$O$21,MATCH($F107&amp;"|high",Response_Table!$A$4:$A$21,0))*$R107*INDEX(Parameters!$X$15:$AA$15,1,MATCH($E107,Parameters!$X$3:$AA$3,0))))*(1-Inputs_General!$C$22*Parameters!$F$15))</f>
        <v>8.28583253599246</v>
      </c>
      <c r="BZ107" s="43" t="n">
        <f aca="false">MAX(BW107*(1+INDEX(Response_Table!$O$4:$O$21,MATCH($F107&amp;"|low",Response_Table!$A$4:$A$21,0))*$R107*INDEX(Parameters!$X$15:$AA$15,1,MATCH($E107,Parameters!$X$3:$AA$3,0))),BW107*(1+INDEX(Response_Table!$O$4:$O$21,MATCH($F107&amp;"|high",Response_Table!$A$4:$A$21,0))*$R107*INDEX(Parameters!$X$15:$AA$15,1,MATCH($E107,Parameters!$X$3:$AA$3,0))))*(1+Inputs_General!$C$22*Parameters!$F$15)</f>
        <v>12.5629023112527</v>
      </c>
      <c r="CA107" s="45" t="n">
        <f aca="false">IF(BW107=0,0,BX107/BW107-1)</f>
        <v>-0.0352064029240187</v>
      </c>
      <c r="CB107" s="46" t="n">
        <f aca="false">BD107+BI107</f>
        <v>1.43804303749874</v>
      </c>
      <c r="CC107" s="43" t="n">
        <f aca="false">BD107/BI107</f>
        <v>2.67444284452876</v>
      </c>
      <c r="CD107" s="46" t="n">
        <f aca="false">BN107/CB107</f>
        <v>0.21130670822418</v>
      </c>
      <c r="CE107" s="43" t="n">
        <f aca="false">AE107/AO107</f>
        <v>3.34168287660251</v>
      </c>
      <c r="CF107" s="44" t="n">
        <f aca="false">AE107/AJ107</f>
        <v>41.0163648438004</v>
      </c>
      <c r="CG107" s="44" t="n">
        <f aca="false">INDEX(Context!$V$4:$V$51,$K107)</f>
        <v>25.5785714285714</v>
      </c>
      <c r="CH107" s="44" t="n">
        <f aca="false">INDEX(Context!$Y$4:$Y$51,$K107)</f>
        <v>23.620522619794</v>
      </c>
      <c r="CI107" s="44" t="n">
        <f aca="false">INDEX(Context!$Z$4:$Z$51,$K107)</f>
        <v>29.5785714285714</v>
      </c>
      <c r="CJ107" s="43" t="n">
        <f aca="false">INDEX(Context!$AA$4:$AA$51,$K107)</f>
        <v>0.201160714285714</v>
      </c>
      <c r="CK107" s="43" t="n">
        <f aca="false">MAX(0,MIN(1,1-(1-CJ107)*AO107/AN107))</f>
        <v>0.309493147890043</v>
      </c>
      <c r="CL107" s="44" t="n">
        <f aca="false">CH107+CK107*(CI107-CH107)</f>
        <v>25.4644979009051</v>
      </c>
      <c r="CM107" s="44" t="n">
        <f aca="false">CH107+MAX(0,MIN(1,1-(1-CJ107)*AQ107/AN107))*(CI107-CH107)</f>
        <v>24.0002715052388</v>
      </c>
      <c r="CN107" s="44" t="n">
        <f aca="false">CH107+MAX(0,MIN(1,1-(1-CJ107)*AP107/AN107))*(CI107-CH107)</f>
        <v>26.8082496655833</v>
      </c>
      <c r="CO107" s="44" t="n">
        <f aca="false">CL107-CG107</f>
        <v>-0.114073527666378</v>
      </c>
      <c r="CP107" s="44" t="n">
        <f aca="false">CL107-(CH107+CJ107*(CI107-CH107))</f>
        <v>0.645449926988231</v>
      </c>
      <c r="CQ107" s="46" t="n">
        <f aca="false">CL107/CG107</f>
        <v>0.995540269792434</v>
      </c>
      <c r="CR107" s="43" t="n">
        <f aca="false">IF(CL107-CH107&lt;=0,"n/a",(CI107-CL107)/(CL107-CH107))</f>
        <v>2.23108930461776</v>
      </c>
      <c r="CS107" s="43" t="n">
        <f aca="false">IF(CI107-CL107&lt;=0,"n/a",(CL107-CH107)/(CI107-CL107))</f>
        <v>0.448211552056777</v>
      </c>
      <c r="CT107" s="43" t="n">
        <f aca="false">Inputs_General!$C$23+Inputs_General!$C$24*$I107</f>
        <v>0.76</v>
      </c>
      <c r="CU107" s="44" t="n">
        <f aca="false">3.29*CT107</f>
        <v>2.5004</v>
      </c>
    </row>
    <row r="108" customFormat="false" ht="15" hidden="false" customHeight="false" outlineLevel="0" collapsed="false">
      <c r="A108" s="9" t="str">
        <f aca="false">B108&amp;"|"&amp;E108&amp;"|"&amp;F108</f>
        <v>D2V2|24/02/2026|Moderate</v>
      </c>
      <c r="B108" s="7" t="s">
        <v>347</v>
      </c>
      <c r="C108" s="9" t="s">
        <v>129</v>
      </c>
      <c r="D108" s="9" t="s">
        <v>146</v>
      </c>
      <c r="E108" s="9" t="s">
        <v>160</v>
      </c>
      <c r="F108" s="7" t="s">
        <v>281</v>
      </c>
      <c r="G108" s="9" t="s">
        <v>282</v>
      </c>
      <c r="H108" s="41" t="n">
        <f aca="false">INDEX(Severity_Classes!$C$4:$C$9,MATCH(F108,Severity_Classes!$A$4:$A$9,0))</f>
        <v>0.11</v>
      </c>
      <c r="I108" s="41" t="n">
        <f aca="false">INDEX(Severity_Classes!$D$4:$D$9,MATCH(F108,Severity_Classes!$A$4:$A$9,0))</f>
        <v>0.18</v>
      </c>
      <c r="J108" s="41" t="n">
        <f aca="false">INDEX(Severity_Classes!$E$4:$E$9,MATCH(F108,Severity_Classes!$A$4:$A$9,0))</f>
        <v>0.25</v>
      </c>
      <c r="K108" s="42" t="n">
        <f aca="false">MATCH(B108&amp;"|"&amp;E108,Context!$A$4:$A$51,0)</f>
        <v>18</v>
      </c>
      <c r="L108" s="42" t="n">
        <f aca="false">INDEX(Context!$H$4:$H$51,K108)</f>
        <v>68</v>
      </c>
      <c r="M108" s="42" t="n">
        <f aca="false">INDEX(Context!$I$4:$I$51,K108)</f>
        <v>19</v>
      </c>
      <c r="N108" s="9" t="str">
        <f aca="false">INDEX(Context!$L$4:$L$51,K108)</f>
        <v>F</v>
      </c>
      <c r="O108" s="9" t="str">
        <f aca="false">INDEX(Context!$M$4:$M$51,K108)</f>
        <v>5th fully expanded leaf from top</v>
      </c>
      <c r="P108" s="43" t="n">
        <f aca="false">INDEX(Context!$R$4:$R$51,K108)</f>
        <v>0.0232142857142859</v>
      </c>
      <c r="Q108" s="43" t="n">
        <f aca="false">INDEX(Context!$U$4:$U$51,K108)</f>
        <v>1.19492600027053</v>
      </c>
      <c r="R108" s="43" t="n">
        <f aca="false">INDEX(Context!$AD$4:$AD$51,K108)</f>
        <v>1.1</v>
      </c>
      <c r="S108" s="9" t="str">
        <f aca="false">INDEX(Context!$AI$4:$AN$51,K108,MATCH(F108,Severity_Classes!$A$4:$A$9,0))</f>
        <v>Likely</v>
      </c>
      <c r="T108" s="44" t="n">
        <f aca="false">Parameters!$E$4*IF($N108="V",Parameters!$I$4,IF($N108="F",Parameters!$J$4,Parameters!$K$4))*(1-Parameters!$L$4*$P108)*IF($D108="V1",Parameters!$M$4,IF($D108="V2",Parameters!$N$4,Parameters!$O$4))</f>
        <v>85.0411767857143</v>
      </c>
      <c r="U108" s="44" t="n">
        <f aca="false">MIN(100,T108*(1+INDEX(Response_Table!$E$4:$E$21,MATCH($F108&amp;"|mid",Response_Table!$A$4:$A$21,0))*$R108*INDEX(Parameters!$X$4:$AA$4,1,MATCH($E108,Parameters!$X$3:$AA$3,0))))</f>
        <v>80.7858082037682</v>
      </c>
      <c r="V108" s="44" t="n">
        <f aca="false">MAX(0,MIN(T108*(1+INDEX(Response_Table!$E$4:$E$21,MATCH($F108&amp;"|low",Response_Table!$A$4:$A$21,0))*$R108*INDEX(Parameters!$X$4:$AA$4,1,MATCH($E108,Parameters!$X$3:$AA$3,0))),T108*(1+INDEX(Response_Table!$E$4:$E$21,MATCH($F108&amp;"|high",Response_Table!$A$4:$A$21,0))*$R108*INDEX(Parameters!$X$4:$AA$4,1,MATCH($E108,Parameters!$X$3:$AA$3,0))))*(1-Inputs_General!$C$22*Parameters!$F$4))</f>
        <v>72.4921879106813</v>
      </c>
      <c r="W108" s="44" t="n">
        <f aca="false">MIN(100,MAX(T108*(1+INDEX(Response_Table!$E$4:$E$21,MATCH($F108&amp;"|low",Response_Table!$A$4:$A$21,0))*$R108*INDEX(Parameters!$X$4:$AA$4,1,MATCH($E108,Parameters!$X$3:$AA$3,0))),T108*(1+INDEX(Response_Table!$E$4:$E$21,MATCH($F108&amp;"|high",Response_Table!$A$4:$A$21,0))*$R108*INDEX(Parameters!$X$4:$AA$4,1,MATCH($E108,Parameters!$X$3:$AA$3,0))))*(1+Inputs_General!$C$22*Parameters!$F$4))</f>
        <v>88.4971222061501</v>
      </c>
      <c r="X108" s="45" t="n">
        <f aca="false">IF(T108=0,0,U108/T108-1)</f>
        <v>-0.0500389192951635</v>
      </c>
      <c r="Y108" s="44" t="n">
        <f aca="false">Parameters!$E$5*IF($N108="V",Parameters!$I$5,IF($N108="F",Parameters!$J$5,Parameters!$K$5))*(1-Parameters!$L$5*$P108)*IF($D108="V1",Parameters!$M$5,IF($D108="V2",Parameters!$N$5,Parameters!$O$5))</f>
        <v>70.36344</v>
      </c>
      <c r="Z108" s="44" t="n">
        <f aca="false">MIN(100,Y108*(1+INDEX(Response_Table!$F$4:$F$21,MATCH($F108&amp;"|mid",Response_Table!$A$4:$A$21,0))*$R108*INDEX(Parameters!$X$5:$AA$5,1,MATCH($E108,Parameters!$X$3:$AA$3,0))))</f>
        <v>58.2008385308993</v>
      </c>
      <c r="AA108" s="44" t="n">
        <f aca="false">MAX(0,MIN(Y108*(1+INDEX(Response_Table!$F$4:$F$21,MATCH($F108&amp;"|low",Response_Table!$A$4:$A$21,0))*$R108*INDEX(Parameters!$X$5:$AA$5,1,MATCH($E108,Parameters!$X$3:$AA$3,0))),Y108*(1+INDEX(Response_Table!$F$4:$F$21,MATCH($F108&amp;"|high",Response_Table!$A$4:$A$21,0))*$R108*INDEX(Parameters!$X$5:$AA$5,1,MATCH($E108,Parameters!$X$3:$AA$3,0))))*(1-Inputs_General!$C$22*Parameters!$F$5))</f>
        <v>43.534092784784</v>
      </c>
      <c r="AB108" s="44" t="n">
        <f aca="false">MIN(100,MAX(Y108*(1+INDEX(Response_Table!$F$4:$F$21,MATCH($F108&amp;"|low",Response_Table!$A$4:$A$21,0))*$R108*INDEX(Parameters!$X$5:$AA$5,1,MATCH($E108,Parameters!$X$3:$AA$3,0))),Y108*(1+INDEX(Response_Table!$F$4:$F$21,MATCH($F108&amp;"|high",Response_Table!$A$4:$A$21,0))*$R108*INDEX(Parameters!$X$5:$AA$5,1,MATCH($E108,Parameters!$X$3:$AA$3,0))))*(1+Inputs_General!$C$22*Parameters!$F$5))</f>
        <v>72.2397534096793</v>
      </c>
      <c r="AC108" s="45" t="n">
        <f aca="false">IF(Y108=0,0,Z108/Y108-1)</f>
        <v>-0.172853991634017</v>
      </c>
      <c r="AD108" s="44" t="n">
        <f aca="false">Parameters!$E$6*IF($N108="V",Parameters!$I$6,IF($N108="F",Parameters!$J$6,Parameters!$K$6))*(1-Parameters!$L$6*$P108)*IF($D108="V1",Parameters!$M$6,IF($D108="V2",Parameters!$N$6,Parameters!$O$6))</f>
        <v>18.9470714285714</v>
      </c>
      <c r="AE108" s="44" t="n">
        <f aca="false">AD108*(1+INDEX(Response_Table!$G$4:$G$21,MATCH($F108&amp;"|mid",Response_Table!$A$4:$A$21,0))*$R108*INDEX(Parameters!$X$6:$AA$6,1,MATCH($E108,Parameters!$X$3:$AA$3,0)))</f>
        <v>10.3957628266539</v>
      </c>
      <c r="AF108" s="44" t="n">
        <f aca="false">MAX(0,MIN(AD108*(1+INDEX(Response_Table!$G$4:$G$21,MATCH($F108&amp;"|low",Response_Table!$A$4:$A$21,0))*$R108*INDEX(Parameters!$X$6:$AA$6,1,MATCH($E108,Parameters!$X$3:$AA$3,0))),AD108*(1+INDEX(Response_Table!$G$4:$G$21,MATCH($F108&amp;"|high",Response_Table!$A$4:$A$21,0))*$R108*INDEX(Parameters!$X$6:$AA$6,1,MATCH($E108,Parameters!$X$3:$AA$3,0))))*(1-Inputs_General!$C$22*Parameters!$F$6))</f>
        <v>6.83731453862767</v>
      </c>
      <c r="AG108" s="44" t="n">
        <f aca="false">MAX(AD108*(1+INDEX(Response_Table!$G$4:$G$21,MATCH($F108&amp;"|low",Response_Table!$A$4:$A$21,0))*$R108*INDEX(Parameters!$X$6:$AA$6,1,MATCH($E108,Parameters!$X$3:$AA$3,0))),AD108*(1+INDEX(Response_Table!$G$4:$G$21,MATCH($F108&amp;"|high",Response_Table!$A$4:$A$21,0))*$R108*INDEX(Parameters!$X$6:$AA$6,1,MATCH($E108,Parameters!$X$3:$AA$3,0))))*(1+Inputs_General!$C$22*Parameters!$F$6)</f>
        <v>15.5057731655081</v>
      </c>
      <c r="AH108" s="45" t="n">
        <f aca="false">IF(AD108=0,0,AE108/AD108-1)</f>
        <v>-0.45132613945934</v>
      </c>
      <c r="AI108" s="46" t="n">
        <f aca="false">Parameters!$E$7*IF($N108="V",Parameters!$I$7,IF($N108="F",Parameters!$J$7,Parameters!$K$7))*(1-Parameters!$L$7*$P108)*IF($D108="V1",Parameters!$M$7,IF($D108="V2",Parameters!$N$7,Parameters!$O$7))*POWER($Q108/Inputs_General!$C$26,-Inputs_General!$C$25)</f>
        <v>0.411663164578586</v>
      </c>
      <c r="AJ108" s="46" t="n">
        <f aca="false">AI108*(1+INDEX(Response_Table!$H$4:$H$21,MATCH($F108&amp;"|mid",Response_Table!$A$4:$A$21,0))*$R108*INDEX(Parameters!$X$7:$AA$7,1,MATCH($E108,Parameters!$X$3:$AA$3,0)))</f>
        <v>0.288849634558213</v>
      </c>
      <c r="AK108" s="46" t="n">
        <f aca="false">MAX(0,MIN(AI108*(1+INDEX(Response_Table!$H$4:$H$21,MATCH($F108&amp;"|low",Response_Table!$A$4:$A$21,0))*$R108*INDEX(Parameters!$X$7:$AA$7,1,MATCH($E108,Parameters!$X$3:$AA$3,0))),AI108*(1+INDEX(Response_Table!$H$4:$H$21,MATCH($F108&amp;"|high",Response_Table!$A$4:$A$21,0))*$R108*INDEX(Parameters!$X$7:$AA$7,1,MATCH($E108,Parameters!$X$3:$AA$3,0))))*(1-Inputs_General!$C$22*Parameters!$F$7))</f>
        <v>0.180451788171925</v>
      </c>
      <c r="AL108" s="46" t="n">
        <f aca="false">MAX(AI108*(1+INDEX(Response_Table!$H$4:$H$21,MATCH($F108&amp;"|low",Response_Table!$A$4:$A$21,0))*$R108*INDEX(Parameters!$X$7:$AA$7,1,MATCH($E108,Parameters!$X$3:$AA$3,0))),AI108*(1+INDEX(Response_Table!$H$4:$H$21,MATCH($F108&amp;"|high",Response_Table!$A$4:$A$21,0))*$R108*INDEX(Parameters!$X$7:$AA$7,1,MATCH($E108,Parameters!$X$3:$AA$3,0))))*(1+Inputs_General!$C$22*Parameters!$F$7)</f>
        <v>0.426328002612986</v>
      </c>
      <c r="AM108" s="45" t="n">
        <f aca="false">IF(AI108=0,0,AJ108/AI108-1)</f>
        <v>-0.298334999552597</v>
      </c>
      <c r="AN108" s="43" t="n">
        <f aca="false">AI108*$Q108/Inputs_General!$C$13*1000</f>
        <v>4.95374641196979</v>
      </c>
      <c r="AO108" s="43" t="n">
        <f aca="false">AJ108*$Q108/Inputs_General!$C$13*1000*(1+Inputs_General!$C$21*$I108)</f>
        <v>3.6322846498978</v>
      </c>
      <c r="AP108" s="43" t="n">
        <f aca="false">AK108*$Q108/Inputs_General!$C$13*1000*(1+Inputs_General!$C$21*$H108)</f>
        <v>2.23118089781165</v>
      </c>
      <c r="AQ108" s="43" t="n">
        <f aca="false">AL108*$Q108/Inputs_General!$C$13*1000*(1+Inputs_General!$C$21*$J108)</f>
        <v>5.45085413797597</v>
      </c>
      <c r="AR108" s="45" t="n">
        <f aca="false">IF(AN108=0,0,AO108/AN108-1)</f>
        <v>-0.266760074532464</v>
      </c>
      <c r="AS108" s="42" t="n">
        <f aca="false">Parameters!$E$9*IF($N108="V",Parameters!$I$9,IF($N108="F",Parameters!$J$9,Parameters!$K$9))*(1-Parameters!$L$9*$P108)*IF($D108="V1",Parameters!$M$9,IF($D108="V2",Parameters!$N$9,Parameters!$O$9))</f>
        <v>285</v>
      </c>
      <c r="AT108" s="42" t="n">
        <f aca="false">AS108*(1+INDEX(Response_Table!$I$4:$I$21,MATCH($F108&amp;"|mid",Response_Table!$A$4:$A$21,0))*$R108*INDEX(Parameters!$X$9:$AA$9,1,MATCH($E108,Parameters!$X$3:$AA$3,0)))</f>
        <v>333.270950326965</v>
      </c>
      <c r="AU108" s="42" t="n">
        <f aca="false">MAX(0,MIN(AS108*(1+INDEX(Response_Table!$I$4:$I$21,MATCH($F108&amp;"|low",Response_Table!$A$4:$A$21,0))*$R108*INDEX(Parameters!$X$9:$AA$9,1,MATCH($E108,Parameters!$X$3:$AA$3,0))),AS108*(1+INDEX(Response_Table!$I$4:$I$21,MATCH($F108&amp;"|high",Response_Table!$A$4:$A$21,0))*$R108*INDEX(Parameters!$X$9:$AA$9,1,MATCH($E108,Parameters!$X$3:$AA$3,0))))*(1-Inputs_General!$C$22*Parameters!$F$9))</f>
        <v>287.044559024394</v>
      </c>
      <c r="AV108" s="42" t="n">
        <f aca="false">MAX(AS108*(1+INDEX(Response_Table!$I$4:$I$21,MATCH($F108&amp;"|low",Response_Table!$A$4:$A$21,0))*$R108*INDEX(Parameters!$X$9:$AA$9,1,MATCH($E108,Parameters!$X$3:$AA$3,0))),AS108*(1+INDEX(Response_Table!$I$4:$I$21,MATCH($F108&amp;"|high",Response_Table!$A$4:$A$21,0))*$R108*INDEX(Parameters!$X$9:$AA$9,1,MATCH($E108,Parameters!$X$3:$AA$3,0))))*(1+Inputs_General!$C$22*Parameters!$F$9)</f>
        <v>378.448246193483</v>
      </c>
      <c r="AW108" s="45" t="n">
        <f aca="false">IF(AS108=0,0,AT108/AS108-1)</f>
        <v>0.169371755533209</v>
      </c>
      <c r="AX108" s="43" t="n">
        <f aca="false">INDEX(Context!$AB$4:$AB$51,$K108)</f>
        <v>2.85275193829914</v>
      </c>
      <c r="AY108" s="43" t="n">
        <f aca="false">AX108*(1+INDEX(Response_Table!$J$4:$J$21,MATCH($F108&amp;"|mid",Response_Table!$A$4:$A$21,0))*$R108*INDEX(Parameters!$X$10:$AA$10,1,MATCH($E108,Parameters!$X$3:$AA$3,0)))</f>
        <v>2.34104222684035</v>
      </c>
      <c r="AZ108" s="43" t="n">
        <f aca="false">MAX(0,MIN(AX108*(1+INDEX(Response_Table!$J$4:$J$21,MATCH($F108&amp;"|low",Response_Table!$A$4:$A$21,0))*$R108*INDEX(Parameters!$X$10:$AA$10,1,MATCH($E108,Parameters!$X$3:$AA$3,0))),AX108*(1+INDEX(Response_Table!$J$4:$J$21,MATCH($F108&amp;"|high",Response_Table!$A$4:$A$21,0))*$R108*INDEX(Parameters!$X$10:$AA$10,1,MATCH($E108,Parameters!$X$3:$AA$3,0))))*(1-Inputs_General!$C$22*Parameters!$F$10))</f>
        <v>1.76290201305475</v>
      </c>
      <c r="BA108" s="43" t="n">
        <f aca="false">MAX(AX108*(1+INDEX(Response_Table!$J$4:$J$21,MATCH($F108&amp;"|low",Response_Table!$A$4:$A$21,0))*$R108*INDEX(Parameters!$X$10:$AA$10,1,MATCH($E108,Parameters!$X$3:$AA$3,0))),AX108*(1+INDEX(Response_Table!$J$4:$J$21,MATCH($F108&amp;"|high",Response_Table!$A$4:$A$21,0))*$R108*INDEX(Parameters!$X$10:$AA$10,1,MATCH($E108,Parameters!$X$3:$AA$3,0))))*(1+Inputs_General!$C$22*Parameters!$F$10)</f>
        <v>3.00935453153841</v>
      </c>
      <c r="BB108" s="45" t="n">
        <f aca="false">IF(AX108=0,0,AY108/AX108-1)</f>
        <v>-0.179374064947222</v>
      </c>
      <c r="BC108" s="46" t="n">
        <f aca="false">Parameters!$E$11*IF($N108="V",Parameters!$I$11,IF($N108="F",Parameters!$J$11,Parameters!$K$11))*(1-Parameters!$L$11*$P108)*IF($D108="V1",Parameters!$M$11,IF($D108="V2",Parameters!$N$11,Parameters!$O$11))</f>
        <v>1.24825892857143</v>
      </c>
      <c r="BD108" s="46" t="n">
        <f aca="false">BC108*(1+INDEX(Response_Table!$K$4:$K$21,MATCH($F108&amp;"|mid",Response_Table!$A$4:$A$21,0))*$R108*INDEX(Parameters!$X$11:$AA$11,1,MATCH($E108,Parameters!$X$3:$AA$3,0)))</f>
        <v>0.857468812980182</v>
      </c>
      <c r="BE108" s="46" t="n">
        <f aca="false">MAX(0,MIN(BC108*(1+INDEX(Response_Table!$K$4:$K$21,MATCH($F108&amp;"|low",Response_Table!$A$4:$A$21,0))*$R108*INDEX(Parameters!$X$11:$AA$11,1,MATCH($E108,Parameters!$X$3:$AA$3,0))),BC108*(1+INDEX(Response_Table!$K$4:$K$21,MATCH($F108&amp;"|high",Response_Table!$A$4:$A$21,0))*$R108*INDEX(Parameters!$X$11:$AA$11,1,MATCH($E108,Parameters!$X$3:$AA$3,0))))*(1-Inputs_General!$C$22*Parameters!$F$11))</f>
        <v>0.632291529721107</v>
      </c>
      <c r="BF108" s="46" t="n">
        <f aca="false">MAX(BC108*(1+INDEX(Response_Table!$K$4:$K$21,MATCH($F108&amp;"|low",Response_Table!$A$4:$A$21,0))*$R108*INDEX(Parameters!$X$11:$AA$11,1,MATCH($E108,Parameters!$X$3:$AA$3,0))),BC108*(1+INDEX(Response_Table!$K$4:$K$21,MATCH($F108&amp;"|high",Response_Table!$A$4:$A$21,0))*$R108*INDEX(Parameters!$X$11:$AA$11,1,MATCH($E108,Parameters!$X$3:$AA$3,0))))*(1+Inputs_General!$C$22*Parameters!$F$11)</f>
        <v>1.14520995746555</v>
      </c>
      <c r="BG108" s="45" t="n">
        <f aca="false">IF(BC108=0,0,BD108/BC108-1)</f>
        <v>-0.313068151684272</v>
      </c>
      <c r="BH108" s="46" t="n">
        <f aca="false">Parameters!$E$12*IF($N108="V",Parameters!$I$12,IF($N108="F",Parameters!$J$12,Parameters!$K$12))*(1-Parameters!$L$12*$P108)*IF($D108="V1",Parameters!$M$12,IF($D108="V2",Parameters!$N$12,Parameters!$O$12))</f>
        <v>0.449373214285714</v>
      </c>
      <c r="BI108" s="46" t="n">
        <f aca="false">BH108*(1+INDEX(Response_Table!$L$4:$L$21,MATCH($F108&amp;"|mid",Response_Table!$A$4:$A$21,0))*$R108*INDEX(Parameters!$X$12:$AA$12,1,MATCH($E108,Parameters!$X$3:$AA$3,0)))</f>
        <v>0.33593465009251</v>
      </c>
      <c r="BJ108" s="46" t="n">
        <f aca="false">MAX(0,MIN(BH108*(1+INDEX(Response_Table!$L$4:$L$21,MATCH($F108&amp;"|low",Response_Table!$A$4:$A$21,0))*$R108*INDEX(Parameters!$X$12:$AA$12,1,MATCH($E108,Parameters!$X$3:$AA$3,0))),BH108*(1+INDEX(Response_Table!$L$4:$L$21,MATCH($F108&amp;"|high",Response_Table!$A$4:$A$21,0))*$R108*INDEX(Parameters!$X$12:$AA$12,1,MATCH($E108,Parameters!$X$3:$AA$3,0))))*(1-Inputs_General!$C$22*Parameters!$F$12))</f>
        <v>0.245535476992629</v>
      </c>
      <c r="BK108" s="46" t="n">
        <f aca="false">MAX(BH108*(1+INDEX(Response_Table!$L$4:$L$21,MATCH($F108&amp;"|low",Response_Table!$A$4:$A$21,0))*$R108*INDEX(Parameters!$X$12:$AA$12,1,MATCH($E108,Parameters!$X$3:$AA$3,0))),BH108*(1+INDEX(Response_Table!$L$4:$L$21,MATCH($F108&amp;"|high",Response_Table!$A$4:$A$21,0))*$R108*INDEX(Parameters!$X$12:$AA$12,1,MATCH($E108,Parameters!$X$3:$AA$3,0))))*(1+Inputs_General!$C$22*Parameters!$F$12)</f>
        <v>0.446578455961845</v>
      </c>
      <c r="BL108" s="45" t="n">
        <f aca="false">IF(BH108=0,0,BI108/BH108-1)</f>
        <v>-0.252437307313736</v>
      </c>
      <c r="BM108" s="46" t="n">
        <f aca="false">Parameters!$E$13*IF($N108="V",Parameters!$I$13,IF($N108="F",Parameters!$J$13,Parameters!$K$13))*(1-Parameters!$L$13*$P108)*IF($D108="V1",Parameters!$M$13,IF($D108="V2",Parameters!$N$13,Parameters!$O$13))</f>
        <v>0.299791071428571</v>
      </c>
      <c r="BN108" s="46" t="n">
        <f aca="false">BM108*(1+INDEX(Response_Table!$M$4:$M$21,MATCH($F108&amp;"|mid",Response_Table!$A$4:$A$21,0))*$R108*INDEX(Parameters!$X$13:$AA$13,1,MATCH($E108,Parameters!$X$3:$AA$3,0)))</f>
        <v>0.271423750791189</v>
      </c>
      <c r="BO108" s="46" t="n">
        <f aca="false">MAX(0,MIN(BM108*(1+INDEX(Response_Table!$M$4:$M$21,MATCH($F108&amp;"|low",Response_Table!$A$4:$A$21,0))*$R108*INDEX(Parameters!$X$13:$AA$13,1,MATCH($E108,Parameters!$X$3:$AA$3,0))),BM108*(1+INDEX(Response_Table!$M$4:$M$21,MATCH($F108&amp;"|high",Response_Table!$A$4:$A$21,0))*$R108*INDEX(Parameters!$X$13:$AA$13,1,MATCH($E108,Parameters!$X$3:$AA$3,0))))*(1-Inputs_General!$C$22*Parameters!$F$13))</f>
        <v>0.199516230520746</v>
      </c>
      <c r="BP108" s="46" t="n">
        <f aca="false">MAX(BM108*(1+INDEX(Response_Table!$M$4:$M$21,MATCH($F108&amp;"|low",Response_Table!$A$4:$A$21,0))*$R108*INDEX(Parameters!$X$13:$AA$13,1,MATCH($E108,Parameters!$X$3:$AA$3,0))),BM108*(1+INDEX(Response_Table!$M$4:$M$21,MATCH($F108&amp;"|high",Response_Table!$A$4:$A$21,0))*$R108*INDEX(Parameters!$X$13:$AA$13,1,MATCH($E108,Parameters!$X$3:$AA$3,0))))*(1+Inputs_General!$C$22*Parameters!$F$13)</f>
        <v>0.353876682537635</v>
      </c>
      <c r="BQ108" s="45" t="n">
        <f aca="false">IF(BM108=0,0,BN108/BM108-1)</f>
        <v>-0.0946236340602346</v>
      </c>
      <c r="BR108" s="44" t="n">
        <f aca="false">Parameters!$E$14*IF($N108="V",Parameters!$I$14,IF($N108="F",Parameters!$J$14,Parameters!$K$14))*(1-Parameters!$L$14*$P108)*IF($D108="V1",Parameters!$M$14,IF($D108="V2",Parameters!$N$14,Parameters!$O$14))*INDEX(Context!$AC$4:$AC$51,$K108)</f>
        <v>15</v>
      </c>
      <c r="BS108" s="44" t="n">
        <f aca="false">BR108*(1+INDEX(Response_Table!$N$4:$N$21,MATCH($F108&amp;"|mid",Response_Table!$A$4:$A$21,0))*$R108*INDEX(Parameters!$X$14:$AA$14,1,MATCH($E108,Parameters!$X$3:$AA$3,0)))</f>
        <v>19.1307923014975</v>
      </c>
      <c r="BT108" s="44" t="n">
        <f aca="false">MAX(0,MIN(BR108*(1+INDEX(Response_Table!$N$4:$N$21,MATCH($F108&amp;"|low",Response_Table!$A$4:$A$21,0))*$R108*INDEX(Parameters!$X$14:$AA$14,1,MATCH($E108,Parameters!$X$3:$AA$3,0))),BR108*(1+INDEX(Response_Table!$N$4:$N$21,MATCH($F108&amp;"|high",Response_Table!$A$4:$A$21,0))*$R108*INDEX(Parameters!$X$14:$AA$14,1,MATCH($E108,Parameters!$X$3:$AA$3,0))))*(1-Inputs_General!$C$22*Parameters!$F$14))</f>
        <v>9.00691477726562</v>
      </c>
      <c r="BU108" s="44" t="n">
        <f aca="false">MAX(BR108*(1+INDEX(Response_Table!$N$4:$N$21,MATCH($F108&amp;"|low",Response_Table!$A$4:$A$21,0))*$R108*INDEX(Parameters!$X$14:$AA$14,1,MATCH($E108,Parameters!$X$3:$AA$3,0))),BR108*(1+INDEX(Response_Table!$N$4:$N$21,MATCH($F108&amp;"|high",Response_Table!$A$4:$A$21,0))*$R108*INDEX(Parameters!$X$14:$AA$14,1,MATCH($E108,Parameters!$X$3:$AA$3,0))))*(1+Inputs_General!$C$22*Parameters!$F$14)</f>
        <v>30.2039034794648</v>
      </c>
      <c r="BV108" s="45" t="n">
        <f aca="false">IF(BR108=0,0,BS108/BR108-1)</f>
        <v>0.275386153433167</v>
      </c>
      <c r="BW108" s="43" t="n">
        <f aca="false">Parameters!$E$15*IF($N108="V",Parameters!$I$15,IF($N108="F",Parameters!$J$15,Parameters!$K$15))*(1-Parameters!$L$15*$P108)*IF($D108="V1",Parameters!$M$15,IF($D108="V2",Parameters!$N$15,Parameters!$O$15))</f>
        <v>10.7849571428571</v>
      </c>
      <c r="BX108" s="43" t="n">
        <f aca="false">BW108*(1+INDEX(Response_Table!$O$4:$O$21,MATCH($F108&amp;"|mid",Response_Table!$A$4:$A$21,0))*$R108*INDEX(Parameters!$X$15:$AA$15,1,MATCH($E108,Parameters!$X$3:$AA$3,0)))</f>
        <v>10.0424501772289</v>
      </c>
      <c r="BY108" s="43" t="n">
        <f aca="false">MAX(0,MIN(BW108*(1+INDEX(Response_Table!$O$4:$O$21,MATCH($F108&amp;"|low",Response_Table!$A$4:$A$21,0))*$R108*INDEX(Parameters!$X$15:$AA$15,1,MATCH($E108,Parameters!$X$3:$AA$3,0))),BW108*(1+INDEX(Response_Table!$O$4:$O$21,MATCH($F108&amp;"|high",Response_Table!$A$4:$A$21,0))*$R108*INDEX(Parameters!$X$15:$AA$15,1,MATCH($E108,Parameters!$X$3:$AA$3,0))))*(1-Inputs_General!$C$22*Parameters!$F$15))</f>
        <v>7.90241883330241</v>
      </c>
      <c r="BZ108" s="43" t="n">
        <f aca="false">MAX(BW108*(1+INDEX(Response_Table!$O$4:$O$21,MATCH($F108&amp;"|low",Response_Table!$A$4:$A$21,0))*$R108*INDEX(Parameters!$X$15:$AA$15,1,MATCH($E108,Parameters!$X$3:$AA$3,0))),BW108*(1+INDEX(Response_Table!$O$4:$O$21,MATCH($F108&amp;"|high",Response_Table!$A$4:$A$21,0))*$R108*INDEX(Parameters!$X$15:$AA$15,1,MATCH($E108,Parameters!$X$3:$AA$3,0))))*(1+Inputs_General!$C$22*Parameters!$F$15)</f>
        <v>12.3149918447373</v>
      </c>
      <c r="CA108" s="45" t="n">
        <f aca="false">IF(BW108=0,0,BX108/BW108-1)</f>
        <v>-0.0688465383582917</v>
      </c>
      <c r="CB108" s="46" t="n">
        <f aca="false">BD108+BI108</f>
        <v>1.19340346307269</v>
      </c>
      <c r="CC108" s="43" t="n">
        <f aca="false">BD108/BI108</f>
        <v>2.55248695763909</v>
      </c>
      <c r="CD108" s="46" t="n">
        <f aca="false">BN108/CB108</f>
        <v>0.227436704509258</v>
      </c>
      <c r="CE108" s="43" t="n">
        <f aca="false">AE108/AO108</f>
        <v>2.8620451943232</v>
      </c>
      <c r="CF108" s="44" t="n">
        <f aca="false">AE108/AJ108</f>
        <v>35.9902232265377</v>
      </c>
      <c r="CG108" s="44" t="n">
        <f aca="false">INDEX(Context!$V$4:$V$51,$K108)</f>
        <v>25.5785714285714</v>
      </c>
      <c r="CH108" s="44" t="n">
        <f aca="false">INDEX(Context!$Y$4:$Y$51,$K108)</f>
        <v>23.620522619794</v>
      </c>
      <c r="CI108" s="44" t="n">
        <f aca="false">INDEX(Context!$Z$4:$Z$51,$K108)</f>
        <v>29.5785714285714</v>
      </c>
      <c r="CJ108" s="43" t="n">
        <f aca="false">INDEX(Context!$AA$4:$AA$51,$K108)</f>
        <v>0.201160714285714</v>
      </c>
      <c r="CK108" s="43" t="n">
        <f aca="false">MAX(0,MIN(1,1-(1-CJ108)*AO108/AN108))</f>
        <v>0.414259141682318</v>
      </c>
      <c r="CL108" s="44" t="n">
        <f aca="false">CH108+CK108*(CI108-CH108)</f>
        <v>26.0886988054195</v>
      </c>
      <c r="CM108" s="44" t="n">
        <f aca="false">CH108+MAX(0,MIN(1,1-(1-CJ108)*AQ108/AN108))*(CI108-CH108)</f>
        <v>24.3414304931957</v>
      </c>
      <c r="CN108" s="44" t="n">
        <f aca="false">CH108+MAX(0,MIN(1,1-(1-CJ108)*AP108/AN108))*(CI108-CH108)</f>
        <v>27.4348690805763</v>
      </c>
      <c r="CO108" s="44" t="n">
        <f aca="false">CL108-CG108</f>
        <v>0.510127376848068</v>
      </c>
      <c r="CP108" s="44" t="n">
        <f aca="false">CL108-(CH108+CJ108*(CI108-CH108))</f>
        <v>1.26965083150268</v>
      </c>
      <c r="CQ108" s="46" t="n">
        <f aca="false">CL108/CG108</f>
        <v>1.01994354447326</v>
      </c>
      <c r="CR108" s="43" t="n">
        <f aca="false">IF(CL108-CH108&lt;=0,"n/a",(CI108-CL108)/(CL108-CH108))</f>
        <v>1.41394793591995</v>
      </c>
      <c r="CS108" s="43" t="n">
        <f aca="false">IF(CI108-CL108&lt;=0,"n/a",(CL108-CH108)/(CI108-CL108))</f>
        <v>0.70723961936362</v>
      </c>
      <c r="CT108" s="43" t="n">
        <f aca="false">Inputs_General!$C$23+Inputs_General!$C$24*$I108</f>
        <v>0.96</v>
      </c>
      <c r="CU108" s="44" t="n">
        <f aca="false">3.29*CT108</f>
        <v>3.1584</v>
      </c>
    </row>
    <row r="109" customFormat="false" ht="15" hidden="false" customHeight="false" outlineLevel="0" collapsed="false">
      <c r="A109" s="9" t="str">
        <f aca="false">B109&amp;"|"&amp;E109&amp;"|"&amp;F109</f>
        <v>D2V2|24/02/2026|High</v>
      </c>
      <c r="B109" s="7" t="s">
        <v>347</v>
      </c>
      <c r="C109" s="9" t="s">
        <v>129</v>
      </c>
      <c r="D109" s="9" t="s">
        <v>146</v>
      </c>
      <c r="E109" s="9" t="s">
        <v>160</v>
      </c>
      <c r="F109" s="7" t="s">
        <v>283</v>
      </c>
      <c r="G109" s="9" t="s">
        <v>284</v>
      </c>
      <c r="H109" s="41" t="n">
        <f aca="false">INDEX(Severity_Classes!$C$4:$C$9,MATCH(F109,Severity_Classes!$A$4:$A$9,0))</f>
        <v>0.26</v>
      </c>
      <c r="I109" s="41" t="n">
        <f aca="false">INDEX(Severity_Classes!$D$4:$D$9,MATCH(F109,Severity_Classes!$A$4:$A$9,0))</f>
        <v>0.38</v>
      </c>
      <c r="J109" s="41" t="n">
        <f aca="false">INDEX(Severity_Classes!$E$4:$E$9,MATCH(F109,Severity_Classes!$A$4:$A$9,0))</f>
        <v>0.5</v>
      </c>
      <c r="K109" s="42" t="n">
        <f aca="false">MATCH(B109&amp;"|"&amp;E109,Context!$A$4:$A$51,0)</f>
        <v>18</v>
      </c>
      <c r="L109" s="42" t="n">
        <f aca="false">INDEX(Context!$H$4:$H$51,K109)</f>
        <v>68</v>
      </c>
      <c r="M109" s="42" t="n">
        <f aca="false">INDEX(Context!$I$4:$I$51,K109)</f>
        <v>19</v>
      </c>
      <c r="N109" s="9" t="str">
        <f aca="false">INDEX(Context!$L$4:$L$51,K109)</f>
        <v>F</v>
      </c>
      <c r="O109" s="9" t="str">
        <f aca="false">INDEX(Context!$M$4:$M$51,K109)</f>
        <v>5th fully expanded leaf from top</v>
      </c>
      <c r="P109" s="43" t="n">
        <f aca="false">INDEX(Context!$R$4:$R$51,K109)</f>
        <v>0.0232142857142859</v>
      </c>
      <c r="Q109" s="43" t="n">
        <f aca="false">INDEX(Context!$U$4:$U$51,K109)</f>
        <v>1.19492600027053</v>
      </c>
      <c r="R109" s="43" t="n">
        <f aca="false">INDEX(Context!$AD$4:$AD$51,K109)</f>
        <v>1.1</v>
      </c>
      <c r="S109" s="9" t="str">
        <f aca="false">INDEX(Context!$AI$4:$AN$51,K109,MATCH(F109,Severity_Classes!$A$4:$A$9,0))</f>
        <v>Likely</v>
      </c>
      <c r="T109" s="44" t="n">
        <f aca="false">Parameters!$E$4*IF($N109="V",Parameters!$I$4,IF($N109="F",Parameters!$J$4,Parameters!$K$4))*(1-Parameters!$L$4*$P109)*IF($D109="V1",Parameters!$M$4,IF($D109="V2",Parameters!$N$4,Parameters!$O$4))</f>
        <v>85.0411767857143</v>
      </c>
      <c r="U109" s="44" t="n">
        <f aca="false">MIN(100,T109*(1+INDEX(Response_Table!$E$4:$E$21,MATCH($F109&amp;"|mid",Response_Table!$A$4:$A$21,0))*$R109*INDEX(Parameters!$X$4:$AA$4,1,MATCH($E109,Parameters!$X$3:$AA$3,0))))</f>
        <v>69.9293772408593</v>
      </c>
      <c r="V109" s="44" t="n">
        <f aca="false">MAX(0,MIN(T109*(1+INDEX(Response_Table!$E$4:$E$21,MATCH($F109&amp;"|low",Response_Table!$A$4:$A$21,0))*$R109*INDEX(Parameters!$X$4:$AA$4,1,MATCH($E109,Parameters!$X$3:$AA$3,0))),T109*(1+INDEX(Response_Table!$E$4:$E$21,MATCH($F109&amp;"|high",Response_Table!$A$4:$A$21,0))*$R109*INDEX(Parameters!$X$4:$AA$4,1,MATCH($E109,Parameters!$X$3:$AA$3,0))))*(1-Inputs_General!$C$22*Parameters!$F$4))</f>
        <v>59.3829384810173</v>
      </c>
      <c r="W109" s="44" t="n">
        <f aca="false">MIN(100,MAX(T109*(1+INDEX(Response_Table!$E$4:$E$21,MATCH($F109&amp;"|low",Response_Table!$A$4:$A$21,0))*$R109*INDEX(Parameters!$X$4:$AA$4,1,MATCH($E109,Parameters!$X$3:$AA$3,0))),T109*(1+INDEX(Response_Table!$E$4:$E$21,MATCH($F109&amp;"|high",Response_Table!$A$4:$A$21,0))*$R109*INDEX(Parameters!$X$4:$AA$4,1,MATCH($E109,Parameters!$X$3:$AA$3,0))))*(1+Inputs_General!$C$22*Parameters!$F$4))</f>
        <v>82.1403518803457</v>
      </c>
      <c r="X109" s="45" t="n">
        <f aca="false">IF(T109=0,0,U109/T109-1)</f>
        <v>-0.177699793394599</v>
      </c>
      <c r="Y109" s="44" t="n">
        <f aca="false">Parameters!$E$5*IF($N109="V",Parameters!$I$5,IF($N109="F",Parameters!$J$5,Parameters!$K$5))*(1-Parameters!$L$5*$P109)*IF($D109="V1",Parameters!$M$5,IF($D109="V2",Parameters!$N$5,Parameters!$O$5))</f>
        <v>70.36344</v>
      </c>
      <c r="Z109" s="44" t="n">
        <f aca="false">MIN(100,Y109*(1+INDEX(Response_Table!$F$4:$F$21,MATCH($F109&amp;"|mid",Response_Table!$A$4:$A$21,0))*$R109*INDEX(Parameters!$X$5:$AA$5,1,MATCH($E109,Parameters!$X$3:$AA$3,0))))</f>
        <v>31.6408726676535</v>
      </c>
      <c r="AA109" s="44" t="n">
        <f aca="false">MAX(0,MIN(Y109*(1+INDEX(Response_Table!$F$4:$F$21,MATCH($F109&amp;"|low",Response_Table!$A$4:$A$21,0))*$R109*INDEX(Parameters!$X$5:$AA$5,1,MATCH($E109,Parameters!$X$3:$AA$3,0))),Y109*(1+INDEX(Response_Table!$F$4:$F$21,MATCH($F109&amp;"|high",Response_Table!$A$4:$A$21,0))*$R109*INDEX(Parameters!$X$5:$AA$5,1,MATCH($E109,Parameters!$X$3:$AA$3,0))))*(1-Inputs_General!$C$22*Parameters!$F$5))</f>
        <v>19.3929951446936</v>
      </c>
      <c r="AB109" s="44" t="n">
        <f aca="false">MIN(100,MAX(Y109*(1+INDEX(Response_Table!$F$4:$F$21,MATCH($F109&amp;"|low",Response_Table!$A$4:$A$21,0))*$R109*INDEX(Parameters!$X$5:$AA$5,1,MATCH($E109,Parameters!$X$3:$AA$3,0))),Y109*(1+INDEX(Response_Table!$F$4:$F$21,MATCH($F109&amp;"|high",Response_Table!$A$4:$A$21,0))*$R109*INDEX(Parameters!$X$5:$AA$5,1,MATCH($E109,Parameters!$X$3:$AA$3,0))))*(1+Inputs_General!$C$22*Parameters!$F$5))</f>
        <v>53.2874885971167</v>
      </c>
      <c r="AC109" s="45" t="n">
        <f aca="false">IF(Y109=0,0,Z109/Y109-1)</f>
        <v>-0.550322260144565</v>
      </c>
      <c r="AD109" s="44" t="n">
        <f aca="false">Parameters!$E$6*IF($N109="V",Parameters!$I$6,IF($N109="F",Parameters!$J$6,Parameters!$K$6))*(1-Parameters!$L$6*$P109)*IF($D109="V1",Parameters!$M$6,IF($D109="V2",Parameters!$N$6,Parameters!$O$6))</f>
        <v>18.9470714285714</v>
      </c>
      <c r="AE109" s="44" t="n">
        <f aca="false">AD109*(1+INDEX(Response_Table!$G$4:$G$21,MATCH($F109&amp;"|mid",Response_Table!$A$4:$A$21,0))*$R109*INDEX(Parameters!$X$6:$AA$6,1,MATCH($E109,Parameters!$X$3:$AA$3,0)))</f>
        <v>6.25241101976886</v>
      </c>
      <c r="AF109" s="44" t="n">
        <f aca="false">MAX(0,MIN(AD109*(1+INDEX(Response_Table!$G$4:$G$21,MATCH($F109&amp;"|low",Response_Table!$A$4:$A$21,0))*$R109*INDEX(Parameters!$X$6:$AA$6,1,MATCH($E109,Parameters!$X$3:$AA$3,0))),AD109*(1+INDEX(Response_Table!$G$4:$G$21,MATCH($F109&amp;"|high",Response_Table!$A$4:$A$21,0))*$R109*INDEX(Parameters!$X$6:$AA$6,1,MATCH($E109,Parameters!$X$3:$AA$3,0))))*(1-Inputs_General!$C$22*Parameters!$F$6))</f>
        <v>4.05131505550024</v>
      </c>
      <c r="AG109" s="44" t="n">
        <f aca="false">MAX(AD109*(1+INDEX(Response_Table!$G$4:$G$21,MATCH($F109&amp;"|low",Response_Table!$A$4:$A$21,0))*$R109*INDEX(Parameters!$X$6:$AA$6,1,MATCH($E109,Parameters!$X$3:$AA$3,0))),AD109*(1+INDEX(Response_Table!$G$4:$G$21,MATCH($F109&amp;"|high",Response_Table!$A$4:$A$21,0))*$R109*INDEX(Parameters!$X$6:$AA$6,1,MATCH($E109,Parameters!$X$3:$AA$3,0))))*(1+Inputs_General!$C$22*Parameters!$F$6)</f>
        <v>9.93240734609386</v>
      </c>
      <c r="AH109" s="45" t="n">
        <f aca="false">IF(AD109=0,0,AE109/AD109-1)</f>
        <v>-0.670006468105648</v>
      </c>
      <c r="AI109" s="46" t="n">
        <f aca="false">Parameters!$E$7*IF($N109="V",Parameters!$I$7,IF($N109="F",Parameters!$J$7,Parameters!$K$7))*(1-Parameters!$L$7*$P109)*IF($D109="V1",Parameters!$M$7,IF($D109="V2",Parameters!$N$7,Parameters!$O$7))*POWER($Q109/Inputs_General!$C$26,-Inputs_General!$C$25)</f>
        <v>0.411663164578586</v>
      </c>
      <c r="AJ109" s="46" t="n">
        <f aca="false">AI109*(1+INDEX(Response_Table!$H$4:$H$21,MATCH($F109&amp;"|mid",Response_Table!$A$4:$A$21,0))*$R109*INDEX(Parameters!$X$7:$AA$7,1,MATCH($E109,Parameters!$X$3:$AA$3,0)))</f>
        <v>0.211459264993426</v>
      </c>
      <c r="AK109" s="46" t="n">
        <f aca="false">MAX(0,MIN(AI109*(1+INDEX(Response_Table!$H$4:$H$21,MATCH($F109&amp;"|low",Response_Table!$A$4:$A$21,0))*$R109*INDEX(Parameters!$X$7:$AA$7,1,MATCH($E109,Parameters!$X$3:$AA$3,0))),AI109*(1+INDEX(Response_Table!$H$4:$H$21,MATCH($F109&amp;"|high",Response_Table!$A$4:$A$21,0))*$R109*INDEX(Parameters!$X$7:$AA$7,1,MATCH($E109,Parameters!$X$3:$AA$3,0))))*(1-Inputs_General!$C$22*Parameters!$F$7))</f>
        <v>0.128813662278162</v>
      </c>
      <c r="AL109" s="46" t="n">
        <f aca="false">MAX(AI109*(1+INDEX(Response_Table!$H$4:$H$21,MATCH($F109&amp;"|low",Response_Table!$A$4:$A$21,0))*$R109*INDEX(Parameters!$X$7:$AA$7,1,MATCH($E109,Parameters!$X$3:$AA$3,0))),AI109*(1+INDEX(Response_Table!$H$4:$H$21,MATCH($F109&amp;"|high",Response_Table!$A$4:$A$21,0))*$R109*INDEX(Parameters!$X$7:$AA$7,1,MATCH($E109,Parameters!$X$3:$AA$3,0))))*(1+Inputs_General!$C$22*Parameters!$F$7)</f>
        <v>0.326942318178776</v>
      </c>
      <c r="AM109" s="45" t="n">
        <f aca="false">IF(AI109=0,0,AJ109/AI109-1)</f>
        <v>-0.486329399401343</v>
      </c>
      <c r="AN109" s="43" t="n">
        <f aca="false">AI109*$Q109/Inputs_General!$C$13*1000</f>
        <v>4.95374641196979</v>
      </c>
      <c r="AO109" s="43" t="n">
        <f aca="false">AJ109*$Q109/Inputs_General!$C$13*1000*(1+Inputs_General!$C$21*$I109)</f>
        <v>2.78633031464171</v>
      </c>
      <c r="AP109" s="43" t="n">
        <f aca="false">AK109*$Q109/Inputs_General!$C$13*1000*(1+Inputs_General!$C$21*$H109)</f>
        <v>1.65083359387965</v>
      </c>
      <c r="AQ109" s="43" t="n">
        <f aca="false">AL109*$Q109/Inputs_General!$C$13*1000*(1+Inputs_General!$C$21*$J109)</f>
        <v>4.4260408978158</v>
      </c>
      <c r="AR109" s="45" t="n">
        <f aca="false">IF(AN109=0,0,AO109/AN109-1)</f>
        <v>-0.437530692344471</v>
      </c>
      <c r="AS109" s="42" t="n">
        <f aca="false">Parameters!$E$9*IF($N109="V",Parameters!$I$9,IF($N109="F",Parameters!$J$9,Parameters!$K$9))*(1-Parameters!$L$9*$P109)*IF($D109="V1",Parameters!$M$9,IF($D109="V2",Parameters!$N$9,Parameters!$O$9))</f>
        <v>285</v>
      </c>
      <c r="AT109" s="42" t="n">
        <f aca="false">AS109*(1+INDEX(Response_Table!$I$4:$I$21,MATCH($F109&amp;"|mid",Response_Table!$A$4:$A$21,0))*$R109*INDEX(Parameters!$X$9:$AA$9,1,MATCH($E109,Parameters!$X$3:$AA$3,0)))</f>
        <v>358.480147032144</v>
      </c>
      <c r="AU109" s="42" t="n">
        <f aca="false">MAX(0,MIN(AS109*(1+INDEX(Response_Table!$I$4:$I$21,MATCH($F109&amp;"|low",Response_Table!$A$4:$A$21,0))*$R109*INDEX(Parameters!$X$9:$AA$9,1,MATCH($E109,Parameters!$X$3:$AA$3,0))),AS109*(1+INDEX(Response_Table!$I$4:$I$21,MATCH($F109&amp;"|high",Response_Table!$A$4:$A$21,0))*$R109*INDEX(Parameters!$X$9:$AA$9,1,MATCH($E109,Parameters!$X$3:$AA$3,0))))*(1-Inputs_General!$C$22*Parameters!$F$9))</f>
        <v>311.676378308909</v>
      </c>
      <c r="AV109" s="42" t="n">
        <f aca="false">MAX(AS109*(1+INDEX(Response_Table!$I$4:$I$21,MATCH($F109&amp;"|low",Response_Table!$A$4:$A$21,0))*$R109*INDEX(Parameters!$X$9:$AA$9,1,MATCH($E109,Parameters!$X$3:$AA$3,0))),AS109*(1+INDEX(Response_Table!$I$4:$I$21,MATCH($F109&amp;"|high",Response_Table!$A$4:$A$21,0))*$R109*INDEX(Parameters!$X$9:$AA$9,1,MATCH($E109,Parameters!$X$3:$AA$3,0))))*(1+Inputs_General!$C$22*Parameters!$F$9)</f>
        <v>402.477670041161</v>
      </c>
      <c r="AW109" s="45" t="n">
        <f aca="false">IF(AS109=0,0,AT109/AS109-1)</f>
        <v>0.257825077305769</v>
      </c>
      <c r="AX109" s="43" t="n">
        <f aca="false">INDEX(Context!$AB$4:$AB$51,$K109)</f>
        <v>2.85275193829914</v>
      </c>
      <c r="AY109" s="43" t="n">
        <f aca="false">AX109*(1+INDEX(Response_Table!$J$4:$J$21,MATCH($F109&amp;"|mid",Response_Table!$A$4:$A$21,0))*$R109*INDEX(Parameters!$X$10:$AA$10,1,MATCH($E109,Parameters!$X$3:$AA$3,0)))</f>
        <v>1.98676144995948</v>
      </c>
      <c r="AZ109" s="43" t="n">
        <f aca="false">MAX(0,MIN(AX109*(1+INDEX(Response_Table!$J$4:$J$21,MATCH($F109&amp;"|low",Response_Table!$A$4:$A$21,0))*$R109*INDEX(Parameters!$X$10:$AA$10,1,MATCH($E109,Parameters!$X$3:$AA$3,0))),AX109*(1+INDEX(Response_Table!$J$4:$J$21,MATCH($F109&amp;"|high",Response_Table!$A$4:$A$21,0))*$R109*INDEX(Parameters!$X$10:$AA$10,1,MATCH($E109,Parameters!$X$3:$AA$3,0))))*(1-Inputs_General!$C$22*Parameters!$F$10))</f>
        <v>1.48097088373596</v>
      </c>
      <c r="BA109" s="43" t="n">
        <f aca="false">MAX(AX109*(1+INDEX(Response_Table!$J$4:$J$21,MATCH($F109&amp;"|low",Response_Table!$A$4:$A$21,0))*$R109*INDEX(Parameters!$X$10:$AA$10,1,MATCH($E109,Parameters!$X$3:$AA$3,0))),AX109*(1+INDEX(Response_Table!$J$4:$J$21,MATCH($F109&amp;"|high",Response_Table!$A$4:$A$21,0))*$R109*INDEX(Parameters!$X$10:$AA$10,1,MATCH($E109,Parameters!$X$3:$AA$3,0))))*(1+Inputs_General!$C$22*Parameters!$F$10)</f>
        <v>2.60772998286692</v>
      </c>
      <c r="BB109" s="45" t="n">
        <f aca="false">IF(AX109=0,0,AY109/AX109-1)</f>
        <v>-0.303563193390022</v>
      </c>
      <c r="BC109" s="46" t="n">
        <f aca="false">Parameters!$E$11*IF($N109="V",Parameters!$I$11,IF($N109="F",Parameters!$J$11,Parameters!$K$11))*(1-Parameters!$L$11*$P109)*IF($D109="V1",Parameters!$M$11,IF($D109="V2",Parameters!$N$11,Parameters!$O$11))</f>
        <v>1.24825892857143</v>
      </c>
      <c r="BD109" s="46" t="n">
        <f aca="false">BC109*(1+INDEX(Response_Table!$K$4:$K$21,MATCH($F109&amp;"|mid",Response_Table!$A$4:$A$21,0))*$R109*INDEX(Parameters!$X$11:$AA$11,1,MATCH($E109,Parameters!$X$3:$AA$3,0)))</f>
        <v>0.620304322840747</v>
      </c>
      <c r="BE109" s="46" t="n">
        <f aca="false">MAX(0,MIN(BC109*(1+INDEX(Response_Table!$K$4:$K$21,MATCH($F109&amp;"|low",Response_Table!$A$4:$A$21,0))*$R109*INDEX(Parameters!$X$11:$AA$11,1,MATCH($E109,Parameters!$X$3:$AA$3,0))),BC109*(1+INDEX(Response_Table!$K$4:$K$21,MATCH($F109&amp;"|high",Response_Table!$A$4:$A$21,0))*$R109*INDEX(Parameters!$X$11:$AA$11,1,MATCH($E109,Parameters!$X$3:$AA$3,0))))*(1-Inputs_General!$C$22*Parameters!$F$11))</f>
        <v>0.447784114088688</v>
      </c>
      <c r="BF109" s="46" t="n">
        <f aca="false">MAX(BC109*(1+INDEX(Response_Table!$K$4:$K$21,MATCH($F109&amp;"|low",Response_Table!$A$4:$A$21,0))*$R109*INDEX(Parameters!$X$11:$AA$11,1,MATCH($E109,Parameters!$X$3:$AA$3,0))),BC109*(1+INDEX(Response_Table!$K$4:$K$21,MATCH($F109&amp;"|high",Response_Table!$A$4:$A$21,0))*$R109*INDEX(Parameters!$X$11:$AA$11,1,MATCH($E109,Parameters!$X$3:$AA$3,0))))*(1+Inputs_General!$C$22*Parameters!$F$11)</f>
        <v>0.866565524195137</v>
      </c>
      <c r="BG109" s="45" t="n">
        <f aca="false">IF(BC109=0,0,BD109/BC109-1)</f>
        <v>-0.503064381401497</v>
      </c>
      <c r="BH109" s="46" t="n">
        <f aca="false">Parameters!$E$12*IF($N109="V",Parameters!$I$12,IF($N109="F",Parameters!$J$12,Parameters!$K$12))*(1-Parameters!$L$12*$P109)*IF($D109="V1",Parameters!$M$12,IF($D109="V2",Parameters!$N$12,Parameters!$O$12))</f>
        <v>0.449373214285714</v>
      </c>
      <c r="BI109" s="46" t="n">
        <f aca="false">BH109*(1+INDEX(Response_Table!$L$4:$L$21,MATCH($F109&amp;"|mid",Response_Table!$A$4:$A$21,0))*$R109*INDEX(Parameters!$X$12:$AA$12,1,MATCH($E109,Parameters!$X$3:$AA$3,0)))</f>
        <v>0.264451871245957</v>
      </c>
      <c r="BJ109" s="46" t="n">
        <f aca="false">MAX(0,MIN(BH109*(1+INDEX(Response_Table!$L$4:$L$21,MATCH($F109&amp;"|low",Response_Table!$A$4:$A$21,0))*$R109*INDEX(Parameters!$X$12:$AA$12,1,MATCH($E109,Parameters!$X$3:$AA$3,0))),BH109*(1+INDEX(Response_Table!$L$4:$L$21,MATCH($F109&amp;"|high",Response_Table!$A$4:$A$21,0))*$R109*INDEX(Parameters!$X$12:$AA$12,1,MATCH($E109,Parameters!$X$3:$AA$3,0))))*(1-Inputs_General!$C$22*Parameters!$F$12))</f>
        <v>0.191151223856296</v>
      </c>
      <c r="BK109" s="46" t="n">
        <f aca="false">MAX(BH109*(1+INDEX(Response_Table!$L$4:$L$21,MATCH($F109&amp;"|low",Response_Table!$A$4:$A$21,0))*$R109*INDEX(Parameters!$X$12:$AA$12,1,MATCH($E109,Parameters!$X$3:$AA$3,0))),BH109*(1+INDEX(Response_Table!$L$4:$L$21,MATCH($F109&amp;"|high",Response_Table!$A$4:$A$21,0))*$R109*INDEX(Parameters!$X$12:$AA$12,1,MATCH($E109,Parameters!$X$3:$AA$3,0))))*(1+Inputs_General!$C$22*Parameters!$F$12)</f>
        <v>0.361770014418431</v>
      </c>
      <c r="BL109" s="45" t="n">
        <f aca="false">IF(BH109=0,0,BI109/BH109-1)</f>
        <v>-0.411509491801136</v>
      </c>
      <c r="BM109" s="46" t="n">
        <f aca="false">Parameters!$E$13*IF($N109="V",Parameters!$I$13,IF($N109="F",Parameters!$J$13,Parameters!$K$13))*(1-Parameters!$L$13*$P109)*IF($D109="V1",Parameters!$M$13,IF($D109="V2",Parameters!$N$13,Parameters!$O$13))</f>
        <v>0.299791071428571</v>
      </c>
      <c r="BN109" s="46" t="n">
        <f aca="false">BM109*(1+INDEX(Response_Table!$M$4:$M$21,MATCH($F109&amp;"|mid",Response_Table!$A$4:$A$21,0))*$R109*INDEX(Parameters!$X$13:$AA$13,1,MATCH($E109,Parameters!$X$3:$AA$3,0)))</f>
        <v>0.217689981554087</v>
      </c>
      <c r="BO109" s="46" t="n">
        <f aca="false">MAX(0,MIN(BM109*(1+INDEX(Response_Table!$M$4:$M$21,MATCH($F109&amp;"|low",Response_Table!$A$4:$A$21,0))*$R109*INDEX(Parameters!$X$13:$AA$13,1,MATCH($E109,Parameters!$X$3:$AA$3,0))),BM109*(1+INDEX(Response_Table!$M$4:$M$21,MATCH($F109&amp;"|high",Response_Table!$A$4:$A$21,0))*$R109*INDEX(Parameters!$X$13:$AA$13,1,MATCH($E109,Parameters!$X$3:$AA$3,0))))*(1-Inputs_General!$C$22*Parameters!$F$13))</f>
        <v>0.160789388561603</v>
      </c>
      <c r="BP109" s="46" t="n">
        <f aca="false">MAX(BM109*(1+INDEX(Response_Table!$M$4:$M$21,MATCH($F109&amp;"|low",Response_Table!$A$4:$A$21,0))*$R109*INDEX(Parameters!$X$13:$AA$13,1,MATCH($E109,Parameters!$X$3:$AA$3,0))),BM109*(1+INDEX(Response_Table!$M$4:$M$21,MATCH($F109&amp;"|high",Response_Table!$A$4:$A$21,0))*$R109*INDEX(Parameters!$X$13:$AA$13,1,MATCH($E109,Parameters!$X$3:$AA$3,0))))*(1+Inputs_General!$C$22*Parameters!$F$13)</f>
        <v>0.294154613219932</v>
      </c>
      <c r="BQ109" s="45" t="n">
        <f aca="false">IF(BM109=0,0,BN109/BM109-1)</f>
        <v>-0.273861024223485</v>
      </c>
      <c r="BR109" s="44" t="n">
        <f aca="false">Parameters!$E$14*IF($N109="V",Parameters!$I$14,IF($N109="F",Parameters!$J$14,Parameters!$K$14))*(1-Parameters!$L$14*$P109)*IF($D109="V1",Parameters!$M$14,IF($D109="V2",Parameters!$N$14,Parameters!$O$14))*INDEX(Context!$AC$4:$AC$51,$K109)</f>
        <v>15</v>
      </c>
      <c r="BS109" s="44" t="n">
        <f aca="false">BR109*(1+INDEX(Response_Table!$N$4:$N$21,MATCH($F109&amp;"|mid",Response_Table!$A$4:$A$21,0))*$R109*INDEX(Parameters!$X$14:$AA$14,1,MATCH($E109,Parameters!$X$3:$AA$3,0)))</f>
        <v>21.7337916840186</v>
      </c>
      <c r="BT109" s="44" t="n">
        <f aca="false">MAX(0,MIN(BR109*(1+INDEX(Response_Table!$N$4:$N$21,MATCH($F109&amp;"|low",Response_Table!$A$4:$A$21,0))*$R109*INDEX(Parameters!$X$14:$AA$14,1,MATCH($E109,Parameters!$X$3:$AA$3,0))),BR109*(1+INDEX(Response_Table!$N$4:$N$21,MATCH($F109&amp;"|high",Response_Table!$A$4:$A$21,0))*$R109*INDEX(Parameters!$X$14:$AA$14,1,MATCH($E109,Parameters!$X$3:$AA$3,0))))*(1-Inputs_General!$C$22*Parameters!$F$14))</f>
        <v>10.3132418172117</v>
      </c>
      <c r="BU109" s="44" t="n">
        <f aca="false">MAX(BR109*(1+INDEX(Response_Table!$N$4:$N$21,MATCH($F109&amp;"|low",Response_Table!$A$4:$A$21,0))*$R109*INDEX(Parameters!$X$14:$AA$14,1,MATCH($E109,Parameters!$X$3:$AA$3,0))),BR109*(1+INDEX(Response_Table!$N$4:$N$21,MATCH($F109&amp;"|high",Response_Table!$A$4:$A$21,0))*$R109*INDEX(Parameters!$X$14:$AA$14,1,MATCH($E109,Parameters!$X$3:$AA$3,0))))*(1+Inputs_General!$C$22*Parameters!$F$14)</f>
        <v>33.8890255476014</v>
      </c>
      <c r="BV109" s="45" t="n">
        <f aca="false">IF(BR109=0,0,BS109/BR109-1)</f>
        <v>0.448919445601239</v>
      </c>
      <c r="BW109" s="43" t="n">
        <f aca="false">Parameters!$E$15*IF($N109="V",Parameters!$I$15,IF($N109="F",Parameters!$J$15,Parameters!$K$15))*(1-Parameters!$L$15*$P109)*IF($D109="V1",Parameters!$M$15,IF($D109="V2",Parameters!$N$15,Parameters!$O$15))</f>
        <v>10.7849571428571</v>
      </c>
      <c r="BX109" s="43" t="n">
        <f aca="false">BW109*(1+INDEX(Response_Table!$O$4:$O$21,MATCH($F109&amp;"|mid",Response_Table!$A$4:$A$21,0))*$R109*INDEX(Parameters!$X$15:$AA$15,1,MATCH($E109,Parameters!$X$3:$AA$3,0)))</f>
        <v>9.574562897506</v>
      </c>
      <c r="BY109" s="43" t="n">
        <f aca="false">MAX(0,MIN(BW109*(1+INDEX(Response_Table!$O$4:$O$21,MATCH($F109&amp;"|low",Response_Table!$A$4:$A$21,0))*$R109*INDEX(Parameters!$X$15:$AA$15,1,MATCH($E109,Parameters!$X$3:$AA$3,0))),BW109*(1+INDEX(Response_Table!$O$4:$O$21,MATCH($F109&amp;"|high",Response_Table!$A$4:$A$21,0))*$R109*INDEX(Parameters!$X$15:$AA$15,1,MATCH($E109,Parameters!$X$3:$AA$3,0))))*(1-Inputs_General!$C$22*Parameters!$F$15))</f>
        <v>7.54644917641004</v>
      </c>
      <c r="BZ109" s="43" t="n">
        <f aca="false">MAX(BW109*(1+INDEX(Response_Table!$O$4:$O$21,MATCH($F109&amp;"|low",Response_Table!$A$4:$A$21,0))*$R109*INDEX(Parameters!$X$15:$AA$15,1,MATCH($E109,Parameters!$X$3:$AA$3,0))),BW109*(1+INDEX(Response_Table!$O$4:$O$21,MATCH($F109&amp;"|high",Response_Table!$A$4:$A$21,0))*$R109*INDEX(Parameters!$X$15:$AA$15,1,MATCH($E109,Parameters!$X$3:$AA$3,0))))*(1+Inputs_General!$C$22*Parameters!$F$15)</f>
        <v>11.759882045544</v>
      </c>
      <c r="CA109" s="45" t="n">
        <f aca="false">IF(BW109=0,0,BX109/BW109-1)</f>
        <v>-0.11222986140031</v>
      </c>
      <c r="CB109" s="46" t="n">
        <f aca="false">BD109+BI109</f>
        <v>0.884756194086704</v>
      </c>
      <c r="CC109" s="43" t="n">
        <f aca="false">BD109/BI109</f>
        <v>2.34562274004038</v>
      </c>
      <c r="CD109" s="46" t="n">
        <f aca="false">BN109/CB109</f>
        <v>0.246045162508072</v>
      </c>
      <c r="CE109" s="43" t="n">
        <f aca="false">AE109/AO109</f>
        <v>2.24395901193533</v>
      </c>
      <c r="CF109" s="44" t="n">
        <f aca="false">AE109/AJ109</f>
        <v>29.56792184047</v>
      </c>
      <c r="CG109" s="44" t="n">
        <f aca="false">INDEX(Context!$V$4:$V$51,$K109)</f>
        <v>25.5785714285714</v>
      </c>
      <c r="CH109" s="44" t="n">
        <f aca="false">INDEX(Context!$Y$4:$Y$51,$K109)</f>
        <v>23.620522619794</v>
      </c>
      <c r="CI109" s="44" t="n">
        <f aca="false">INDEX(Context!$Z$4:$Z$51,$K109)</f>
        <v>29.5785714285714</v>
      </c>
      <c r="CJ109" s="43" t="n">
        <f aca="false">INDEX(Context!$AA$4:$AA$51,$K109)</f>
        <v>0.201160714285714</v>
      </c>
      <c r="CK109" s="43" t="n">
        <f aca="false">MAX(0,MIN(1,1-(1-CJ109)*AO109/AN109))</f>
        <v>0.550677420036248</v>
      </c>
      <c r="CL109" s="44" t="n">
        <f aca="false">CH109+CK109*(CI109-CH109)</f>
        <v>26.9014855662616</v>
      </c>
      <c r="CM109" s="44" t="n">
        <f aca="false">CH109+MAX(0,MIN(1,1-(1-CJ109)*AQ109/AN109))*(CI109-CH109)</f>
        <v>25.3260635865242</v>
      </c>
      <c r="CN109" s="44" t="n">
        <f aca="false">CH109+MAX(0,MIN(1,1-(1-CJ109)*AP109/AN109))*(CI109-CH109)</f>
        <v>27.9924625412015</v>
      </c>
      <c r="CO109" s="44" t="n">
        <f aca="false">CL109-CG109</f>
        <v>1.32291413769017</v>
      </c>
      <c r="CP109" s="44" t="n">
        <f aca="false">CL109-(CH109+CJ109*(CI109-CH109))</f>
        <v>2.08243759234478</v>
      </c>
      <c r="CQ109" s="46" t="n">
        <f aca="false">CL109/CG109</f>
        <v>1.05171962560084</v>
      </c>
      <c r="CR109" s="43" t="n">
        <f aca="false">IF(CL109-CH109&lt;=0,"n/a",(CI109-CL109)/(CL109-CH109))</f>
        <v>0.815945167924582</v>
      </c>
      <c r="CS109" s="43" t="n">
        <f aca="false">IF(CI109-CL109&lt;=0,"n/a",(CL109-CH109)/(CI109-CL109))</f>
        <v>1.22557254986089</v>
      </c>
      <c r="CT109" s="43" t="n">
        <f aca="false">Inputs_General!$C$23+Inputs_General!$C$24*$I109</f>
        <v>1.36</v>
      </c>
      <c r="CU109" s="44" t="n">
        <f aca="false">3.29*CT109</f>
        <v>4.4744</v>
      </c>
    </row>
    <row r="110" customFormat="false" ht="15" hidden="false" customHeight="false" outlineLevel="0" collapsed="false">
      <c r="A110" s="9" t="str">
        <f aca="false">B110&amp;"|"&amp;E110&amp;"|"&amp;F110</f>
        <v>D2V2|24/02/2026|Very high</v>
      </c>
      <c r="B110" s="7" t="s">
        <v>347</v>
      </c>
      <c r="C110" s="9" t="s">
        <v>129</v>
      </c>
      <c r="D110" s="9" t="s">
        <v>146</v>
      </c>
      <c r="E110" s="9" t="s">
        <v>160</v>
      </c>
      <c r="F110" s="7" t="s">
        <v>285</v>
      </c>
      <c r="G110" s="9" t="s">
        <v>286</v>
      </c>
      <c r="H110" s="41" t="n">
        <f aca="false">INDEX(Severity_Classes!$C$4:$C$9,MATCH(F110,Severity_Classes!$A$4:$A$9,0))</f>
        <v>0.51</v>
      </c>
      <c r="I110" s="41" t="n">
        <f aca="false">INDEX(Severity_Classes!$D$4:$D$9,MATCH(F110,Severity_Classes!$A$4:$A$9,0))</f>
        <v>0.65</v>
      </c>
      <c r="J110" s="41" t="n">
        <f aca="false">INDEX(Severity_Classes!$E$4:$E$9,MATCH(F110,Severity_Classes!$A$4:$A$9,0))</f>
        <v>0.85</v>
      </c>
      <c r="K110" s="42" t="n">
        <f aca="false">MATCH(B110&amp;"|"&amp;E110,Context!$A$4:$A$51,0)</f>
        <v>18</v>
      </c>
      <c r="L110" s="42" t="n">
        <f aca="false">INDEX(Context!$H$4:$H$51,K110)</f>
        <v>68</v>
      </c>
      <c r="M110" s="42" t="n">
        <f aca="false">INDEX(Context!$I$4:$I$51,K110)</f>
        <v>19</v>
      </c>
      <c r="N110" s="9" t="str">
        <f aca="false">INDEX(Context!$L$4:$L$51,K110)</f>
        <v>F</v>
      </c>
      <c r="O110" s="9" t="str">
        <f aca="false">INDEX(Context!$M$4:$M$51,K110)</f>
        <v>5th fully expanded leaf from top</v>
      </c>
      <c r="P110" s="43" t="n">
        <f aca="false">INDEX(Context!$R$4:$R$51,K110)</f>
        <v>0.0232142857142859</v>
      </c>
      <c r="Q110" s="43" t="n">
        <f aca="false">INDEX(Context!$U$4:$U$51,K110)</f>
        <v>1.19492600027053</v>
      </c>
      <c r="R110" s="43" t="n">
        <f aca="false">INDEX(Context!$AD$4:$AD$51,K110)</f>
        <v>1.1</v>
      </c>
      <c r="S110" s="9" t="str">
        <f aca="false">INDEX(Context!$AI$4:$AN$51,K110,MATCH(F110,Severity_Classes!$A$4:$A$9,0))</f>
        <v>Possible</v>
      </c>
      <c r="T110" s="44" t="n">
        <f aca="false">Parameters!$E$4*IF($N110="V",Parameters!$I$4,IF($N110="F",Parameters!$J$4,Parameters!$K$4))*(1-Parameters!$L$4*$P110)*IF($D110="V1",Parameters!$M$4,IF($D110="V2",Parameters!$N$4,Parameters!$O$4))</f>
        <v>85.0411767857143</v>
      </c>
      <c r="U110" s="44" t="n">
        <f aca="false">MIN(100,T110*(1+INDEX(Response_Table!$E$4:$E$21,MATCH($F110&amp;"|mid",Response_Table!$A$4:$A$21,0))*$R110*INDEX(Parameters!$X$4:$AA$4,1,MATCH($E110,Parameters!$X$3:$AA$3,0))))</f>
        <v>59.2216414220062</v>
      </c>
      <c r="V110" s="44" t="n">
        <f aca="false">MAX(0,MIN(T110*(1+INDEX(Response_Table!$E$4:$E$21,MATCH($F110&amp;"|low",Response_Table!$A$4:$A$21,0))*$R110*INDEX(Parameters!$X$4:$AA$4,1,MATCH($E110,Parameters!$X$3:$AA$3,0))),T110*(1+INDEX(Response_Table!$E$4:$E$21,MATCH($F110&amp;"|high",Response_Table!$A$4:$A$21,0))*$R110*INDEX(Parameters!$X$4:$AA$4,1,MATCH($E110,Parameters!$X$3:$AA$3,0))))*(1-Inputs_General!$C$22*Parameters!$F$4))</f>
        <v>53.6503816884635</v>
      </c>
      <c r="W110" s="44" t="n">
        <f aca="false">MIN(100,MAX(T110*(1+INDEX(Response_Table!$E$4:$E$21,MATCH($F110&amp;"|low",Response_Table!$A$4:$A$21,0))*$R110*INDEX(Parameters!$X$4:$AA$4,1,MATCH($E110,Parameters!$X$3:$AA$3,0))),T110*(1+INDEX(Response_Table!$E$4:$E$21,MATCH($F110&amp;"|high",Response_Table!$A$4:$A$21,0))*$R110*INDEX(Parameters!$X$4:$AA$4,1,MATCH($E110,Parameters!$X$3:$AA$3,0))))*(1+Inputs_General!$C$22*Parameters!$F$4))</f>
        <v>67.3038745592432</v>
      </c>
      <c r="X110" s="45" t="n">
        <f aca="false">IF(T110=0,0,U110/T110-1)</f>
        <v>-0.30361215989247</v>
      </c>
      <c r="Y110" s="44" t="n">
        <f aca="false">Parameters!$E$5*IF($N110="V",Parameters!$I$5,IF($N110="F",Parameters!$J$5,Parameters!$K$5))*(1-Parameters!$L$5*$P110)*IF($D110="V1",Parameters!$M$5,IF($D110="V2",Parameters!$N$5,Parameters!$O$5))</f>
        <v>70.36344</v>
      </c>
      <c r="Z110" s="44" t="n">
        <f aca="false">MIN(100,Y110*(1+INDEX(Response_Table!$F$4:$F$21,MATCH($F110&amp;"|mid",Response_Table!$A$4:$A$21,0))*$R110*INDEX(Parameters!$X$5:$AA$5,1,MATCH($E110,Parameters!$X$3:$AA$3,0))))</f>
        <v>17.5702803872931</v>
      </c>
      <c r="AA110" s="44" t="n">
        <f aca="false">MAX(0,MIN(Y110*(1+INDEX(Response_Table!$F$4:$F$21,MATCH($F110&amp;"|low",Response_Table!$A$4:$A$21,0))*$R110*INDEX(Parameters!$X$5:$AA$5,1,MATCH($E110,Parameters!$X$3:$AA$3,0))),Y110*(1+INDEX(Response_Table!$F$4:$F$21,MATCH($F110&amp;"|high",Response_Table!$A$4:$A$21,0))*$R110*INDEX(Parameters!$X$5:$AA$5,1,MATCH($E110,Parameters!$X$3:$AA$3,0))))*(1-Inputs_General!$C$22*Parameters!$F$5))</f>
        <v>14.4896467569336</v>
      </c>
      <c r="AB110" s="44" t="n">
        <f aca="false">MIN(100,MAX(Y110*(1+INDEX(Response_Table!$F$4:$F$21,MATCH($F110&amp;"|low",Response_Table!$A$4:$A$21,0))*$R110*INDEX(Parameters!$X$5:$AA$5,1,MATCH($E110,Parameters!$X$3:$AA$3,0))),Y110*(1+INDEX(Response_Table!$F$4:$F$21,MATCH($F110&amp;"|high",Response_Table!$A$4:$A$21,0))*$R110*INDEX(Parameters!$X$5:$AA$5,1,MATCH($E110,Parameters!$X$3:$AA$3,0))))*(1+Inputs_General!$C$22*Parameters!$F$5))</f>
        <v>23.8874502245365</v>
      </c>
      <c r="AC110" s="45" t="n">
        <f aca="false">IF(Y110=0,0,Z110/Y110-1)</f>
        <v>-0.750292475932201</v>
      </c>
      <c r="AD110" s="44" t="n">
        <f aca="false">Parameters!$E$6*IF($N110="V",Parameters!$I$6,IF($N110="F",Parameters!$J$6,Parameters!$K$6))*(1-Parameters!$L$6*$P110)*IF($D110="V1",Parameters!$M$6,IF($D110="V2",Parameters!$N$6,Parameters!$O$6))</f>
        <v>18.9470714285714</v>
      </c>
      <c r="AE110" s="44" t="n">
        <f aca="false">AD110*(1+INDEX(Response_Table!$G$4:$G$21,MATCH($F110&amp;"|mid",Response_Table!$A$4:$A$21,0))*$R110*INDEX(Parameters!$X$6:$AA$6,1,MATCH($E110,Parameters!$X$3:$AA$3,0)))</f>
        <v>4.21092461538482</v>
      </c>
      <c r="AF110" s="44" t="n">
        <f aca="false">MAX(0,MIN(AD110*(1+INDEX(Response_Table!$G$4:$G$21,MATCH($F110&amp;"|low",Response_Table!$A$4:$A$21,0))*$R110*INDEX(Parameters!$X$6:$AA$6,1,MATCH($E110,Parameters!$X$3:$AA$3,0))),AD110*(1+INDEX(Response_Table!$G$4:$G$21,MATCH($F110&amp;"|high",Response_Table!$A$4:$A$21,0))*$R110*INDEX(Parameters!$X$6:$AA$6,1,MATCH($E110,Parameters!$X$3:$AA$3,0))))*(1-Inputs_General!$C$22*Parameters!$F$6))</f>
        <v>2.95922297370269</v>
      </c>
      <c r="AG110" s="44" t="n">
        <f aca="false">MAX(AD110*(1+INDEX(Response_Table!$G$4:$G$21,MATCH($F110&amp;"|low",Response_Table!$A$4:$A$21,0))*$R110*INDEX(Parameters!$X$6:$AA$6,1,MATCH($E110,Parameters!$X$3:$AA$3,0))),AD110*(1+INDEX(Response_Table!$G$4:$G$21,MATCH($F110&amp;"|high",Response_Table!$A$4:$A$21,0))*$R110*INDEX(Parameters!$X$6:$AA$6,1,MATCH($E110,Parameters!$X$3:$AA$3,0))))*(1+Inputs_General!$C$22*Parameters!$F$6)</f>
        <v>5.95488917181569</v>
      </c>
      <c r="AH110" s="45" t="n">
        <f aca="false">IF(AD110=0,0,AE110/AD110-1)</f>
        <v>-0.77775327278099</v>
      </c>
      <c r="AI110" s="46" t="n">
        <f aca="false">Parameters!$E$7*IF($N110="V",Parameters!$I$7,IF($N110="F",Parameters!$J$7,Parameters!$K$7))*(1-Parameters!$L$7*$P110)*IF($D110="V1",Parameters!$M$7,IF($D110="V2",Parameters!$N$7,Parameters!$O$7))*POWER($Q110/Inputs_General!$C$26,-Inputs_General!$C$25)</f>
        <v>0.411663164578586</v>
      </c>
      <c r="AJ110" s="46" t="n">
        <f aca="false">AI110*(1+INDEX(Response_Table!$H$4:$H$21,MATCH($F110&amp;"|mid",Response_Table!$A$4:$A$21,0))*$R110*INDEX(Parameters!$X$7:$AA$7,1,MATCH($E110,Parameters!$X$3:$AA$3,0)))</f>
        <v>0.159200833005848</v>
      </c>
      <c r="AK110" s="46" t="n">
        <f aca="false">MAX(0,MIN(AI110*(1+INDEX(Response_Table!$H$4:$H$21,MATCH($F110&amp;"|low",Response_Table!$A$4:$A$21,0))*$R110*INDEX(Parameters!$X$7:$AA$7,1,MATCH($E110,Parameters!$X$3:$AA$3,0))),AI110*(1+INDEX(Response_Table!$H$4:$H$21,MATCH($F110&amp;"|high",Response_Table!$A$4:$A$21,0))*$R110*INDEX(Parameters!$X$7:$AA$7,1,MATCH($E110,Parameters!$X$3:$AA$3,0))))*(1-Inputs_General!$C$22*Parameters!$F$7))</f>
        <v>0.098761741194064</v>
      </c>
      <c r="AL110" s="46" t="n">
        <f aca="false">MAX(AI110*(1+INDEX(Response_Table!$H$4:$H$21,MATCH($F110&amp;"|low",Response_Table!$A$4:$A$21,0))*$R110*INDEX(Parameters!$X$7:$AA$7,1,MATCH($E110,Parameters!$X$3:$AA$3,0))),AI110*(1+INDEX(Response_Table!$H$4:$H$21,MATCH($F110&amp;"|high",Response_Table!$A$4:$A$21,0))*$R110*INDEX(Parameters!$X$7:$AA$7,1,MATCH($E110,Parameters!$X$3:$AA$3,0))))*(1+Inputs_General!$C$22*Parameters!$F$7)</f>
        <v>0.234670477762427</v>
      </c>
      <c r="AM110" s="45" t="n">
        <f aca="false">IF(AI110=0,0,AJ110/AI110-1)</f>
        <v>-0.613274038815643</v>
      </c>
      <c r="AN110" s="43" t="n">
        <f aca="false">AI110*$Q110/Inputs_General!$C$13*1000</f>
        <v>4.95374641196979</v>
      </c>
      <c r="AO110" s="43" t="n">
        <f aca="false">AJ110*$Q110/Inputs_General!$C$13*1000*(1+Inputs_General!$C$21*$I110)</f>
        <v>2.22705047331037</v>
      </c>
      <c r="AP110" s="43" t="n">
        <f aca="false">AK110*$Q110/Inputs_General!$C$13*1000*(1+Inputs_General!$C$21*$H110)</f>
        <v>1.33997609631254</v>
      </c>
      <c r="AQ110" s="43" t="n">
        <f aca="false">AL110*$Q110/Inputs_General!$C$13*1000*(1+Inputs_General!$C$21*$J110)</f>
        <v>3.42398589769644</v>
      </c>
      <c r="AR110" s="45" t="n">
        <f aca="false">IF(AN110=0,0,AO110/AN110-1)</f>
        <v>-0.550431070123185</v>
      </c>
      <c r="AS110" s="42" t="n">
        <f aca="false">Parameters!$E$9*IF($N110="V",Parameters!$I$9,IF($N110="F",Parameters!$J$9,Parameters!$K$9))*(1-Parameters!$L$9*$P110)*IF($D110="V1",Parameters!$M$9,IF($D110="V2",Parameters!$N$9,Parameters!$O$9))</f>
        <v>285</v>
      </c>
      <c r="AT110" s="42" t="n">
        <f aca="false">AS110*(1+INDEX(Response_Table!$I$4:$I$21,MATCH($F110&amp;"|mid",Response_Table!$A$4:$A$21,0))*$R110*INDEX(Parameters!$X$9:$AA$9,1,MATCH($E110,Parameters!$X$3:$AA$3,0)))</f>
        <v>372.064569968942</v>
      </c>
      <c r="AU110" s="42" t="n">
        <f aca="false">MAX(0,MIN(AS110*(1+INDEX(Response_Table!$I$4:$I$21,MATCH($F110&amp;"|low",Response_Table!$A$4:$A$21,0))*$R110*INDEX(Parameters!$X$9:$AA$9,1,MATCH($E110,Parameters!$X$3:$AA$3,0))),AS110*(1+INDEX(Response_Table!$I$4:$I$21,MATCH($F110&amp;"|high",Response_Table!$A$4:$A$21,0))*$R110*INDEX(Parameters!$X$9:$AA$9,1,MATCH($E110,Parameters!$X$3:$AA$3,0))))*(1-Inputs_General!$C$22*Parameters!$F$9))</f>
        <v>330.61558680736</v>
      </c>
      <c r="AV110" s="42" t="n">
        <f aca="false">MAX(AS110*(1+INDEX(Response_Table!$I$4:$I$21,MATCH($F110&amp;"|low",Response_Table!$A$4:$A$21,0))*$R110*INDEX(Parameters!$X$9:$AA$9,1,MATCH($E110,Parameters!$X$3:$AA$3,0))),AS110*(1+INDEX(Response_Table!$I$4:$I$21,MATCH($F110&amp;"|high",Response_Table!$A$4:$A$21,0))*$R110*INDEX(Parameters!$X$9:$AA$9,1,MATCH($E110,Parameters!$X$3:$AA$3,0))))*(1+Inputs_General!$C$22*Parameters!$F$9)</f>
        <v>413.013683739106</v>
      </c>
      <c r="AW110" s="45" t="n">
        <f aca="false">IF(AS110=0,0,AT110/AS110-1)</f>
        <v>0.30548971918927</v>
      </c>
      <c r="AX110" s="43" t="n">
        <f aca="false">INDEX(Context!$AB$4:$AB$51,$K110)</f>
        <v>2.85275193829914</v>
      </c>
      <c r="AY110" s="43" t="n">
        <f aca="false">AX110*(1+INDEX(Response_Table!$J$4:$J$21,MATCH($F110&amp;"|mid",Response_Table!$A$4:$A$21,0))*$R110*INDEX(Parameters!$X$10:$AA$10,1,MATCH($E110,Parameters!$X$3:$AA$3,0)))</f>
        <v>1.71870110958175</v>
      </c>
      <c r="AZ110" s="43" t="n">
        <f aca="false">MAX(0,MIN(AX110*(1+INDEX(Response_Table!$J$4:$J$21,MATCH($F110&amp;"|low",Response_Table!$A$4:$A$21,0))*$R110*INDEX(Parameters!$X$10:$AA$10,1,MATCH($E110,Parameters!$X$3:$AA$3,0))),AX110*(1+INDEX(Response_Table!$J$4:$J$21,MATCH($F110&amp;"|high",Response_Table!$A$4:$A$21,0))*$R110*INDEX(Parameters!$X$10:$AA$10,1,MATCH($E110,Parameters!$X$3:$AA$3,0))))*(1-Inputs_General!$C$22*Parameters!$F$10))</f>
        <v>1.29161814568586</v>
      </c>
      <c r="BA110" s="43" t="n">
        <f aca="false">MAX(AX110*(1+INDEX(Response_Table!$J$4:$J$21,MATCH($F110&amp;"|low",Response_Table!$A$4:$A$21,0))*$R110*INDEX(Parameters!$X$10:$AA$10,1,MATCH($E110,Parameters!$X$3:$AA$3,0))),AX110*(1+INDEX(Response_Table!$J$4:$J$21,MATCH($F110&amp;"|high",Response_Table!$A$4:$A$21,0))*$R110*INDEX(Parameters!$X$10:$AA$10,1,MATCH($E110,Parameters!$X$3:$AA$3,0))))*(1+Inputs_General!$C$22*Parameters!$F$10)</f>
        <v>2.19750154113265</v>
      </c>
      <c r="BB110" s="45" t="n">
        <f aca="false">IF(AX110=0,0,AY110/AX110-1)</f>
        <v>-0.397528720773924</v>
      </c>
      <c r="BC110" s="46" t="n">
        <f aca="false">Parameters!$E$11*IF($N110="V",Parameters!$I$11,IF($N110="F",Parameters!$J$11,Parameters!$K$11))*(1-Parameters!$L$11*$P110)*IF($D110="V1",Parameters!$M$11,IF($D110="V2",Parameters!$N$11,Parameters!$O$11))</f>
        <v>1.24825892857143</v>
      </c>
      <c r="BD110" s="46" t="n">
        <f aca="false">BC110*(1+INDEX(Response_Table!$K$4:$K$21,MATCH($F110&amp;"|mid",Response_Table!$A$4:$A$21,0))*$R110*INDEX(Parameters!$X$11:$AA$11,1,MATCH($E110,Parameters!$X$3:$AA$3,0)))</f>
        <v>0.467254650412878</v>
      </c>
      <c r="BE110" s="46" t="n">
        <f aca="false">MAX(0,MIN(BC110*(1+INDEX(Response_Table!$K$4:$K$21,MATCH($F110&amp;"|low",Response_Table!$A$4:$A$21,0))*$R110*INDEX(Parameters!$X$11:$AA$11,1,MATCH($E110,Parameters!$X$3:$AA$3,0))),BC110*(1+INDEX(Response_Table!$K$4:$K$21,MATCH($F110&amp;"|high",Response_Table!$A$4:$A$21,0))*$R110*INDEX(Parameters!$X$11:$AA$11,1,MATCH($E110,Parameters!$X$3:$AA$3,0))))*(1-Inputs_General!$C$22*Parameters!$F$11))</f>
        <v>0.346354311898111</v>
      </c>
      <c r="BF110" s="46" t="n">
        <f aca="false">MAX(BC110*(1+INDEX(Response_Table!$K$4:$K$21,MATCH($F110&amp;"|low",Response_Table!$A$4:$A$21,0))*$R110*INDEX(Parameters!$X$11:$AA$11,1,MATCH($E110,Parameters!$X$3:$AA$3,0))),BC110*(1+INDEX(Response_Table!$K$4:$K$21,MATCH($F110&amp;"|high",Response_Table!$A$4:$A$21,0))*$R110*INDEX(Parameters!$X$11:$AA$11,1,MATCH($E110,Parameters!$X$3:$AA$3,0))))*(1+Inputs_General!$C$22*Parameters!$F$11)</f>
        <v>0.617502394537712</v>
      </c>
      <c r="BG110" s="45" t="n">
        <f aca="false">IF(BC110=0,0,BD110/BC110-1)</f>
        <v>-0.625674898278014</v>
      </c>
      <c r="BH110" s="46" t="n">
        <f aca="false">Parameters!$E$12*IF($N110="V",Parameters!$I$12,IF($N110="F",Parameters!$J$12,Parameters!$K$12))*(1-Parameters!$L$12*$P110)*IF($D110="V1",Parameters!$M$12,IF($D110="V2",Parameters!$N$12,Parameters!$O$12))</f>
        <v>0.449373214285714</v>
      </c>
      <c r="BI110" s="46" t="n">
        <f aca="false">BH110*(1+INDEX(Response_Table!$L$4:$L$21,MATCH($F110&amp;"|mid",Response_Table!$A$4:$A$21,0))*$R110*INDEX(Parameters!$X$12:$AA$12,1,MATCH($E110,Parameters!$X$3:$AA$3,0)))</f>
        <v>0.216182584542157</v>
      </c>
      <c r="BJ110" s="46" t="n">
        <f aca="false">MAX(0,MIN(BH110*(1+INDEX(Response_Table!$L$4:$L$21,MATCH($F110&amp;"|low",Response_Table!$A$4:$A$21,0))*$R110*INDEX(Parameters!$X$12:$AA$12,1,MATCH($E110,Parameters!$X$3:$AA$3,0))),BH110*(1+INDEX(Response_Table!$L$4:$L$21,MATCH($F110&amp;"|high",Response_Table!$A$4:$A$21,0))*$R110*INDEX(Parameters!$X$12:$AA$12,1,MATCH($E110,Parameters!$X$3:$AA$3,0))))*(1-Inputs_General!$C$22*Parameters!$F$12))</f>
        <v>0.15950113479549</v>
      </c>
      <c r="BK110" s="46" t="n">
        <f aca="false">MAX(BH110*(1+INDEX(Response_Table!$L$4:$L$21,MATCH($F110&amp;"|low",Response_Table!$A$4:$A$21,0))*$R110*INDEX(Parameters!$X$12:$AA$12,1,MATCH($E110,Parameters!$X$3:$AA$3,0))),BH110*(1+INDEX(Response_Table!$L$4:$L$21,MATCH($F110&amp;"|high",Response_Table!$A$4:$A$21,0))*$R110*INDEX(Parameters!$X$12:$AA$12,1,MATCH($E110,Parameters!$X$3:$AA$3,0))))*(1+Inputs_General!$C$22*Parameters!$F$12)</f>
        <v>0.283032004728178</v>
      </c>
      <c r="BL110" s="45" t="n">
        <f aca="false">IF(BH110=0,0,BI110/BH110-1)</f>
        <v>-0.518924186690159</v>
      </c>
      <c r="BM110" s="46" t="n">
        <f aca="false">Parameters!$E$13*IF($N110="V",Parameters!$I$13,IF($N110="F",Parameters!$J$13,Parameters!$K$13))*(1-Parameters!$L$13*$P110)*IF($D110="V1",Parameters!$M$13,IF($D110="V2",Parameters!$N$13,Parameters!$O$13))</f>
        <v>0.299791071428571</v>
      </c>
      <c r="BN110" s="46" t="n">
        <f aca="false">BM110*(1+INDEX(Response_Table!$M$4:$M$21,MATCH($F110&amp;"|mid",Response_Table!$A$4:$A$21,0))*$R110*INDEX(Parameters!$X$13:$AA$13,1,MATCH($E110,Parameters!$X$3:$AA$3,0)))</f>
        <v>0.187526100372845</v>
      </c>
      <c r="BO110" s="46" t="n">
        <f aca="false">MAX(0,MIN(BM110*(1+INDEX(Response_Table!$M$4:$M$21,MATCH($F110&amp;"|low",Response_Table!$A$4:$A$21,0))*$R110*INDEX(Parameters!$X$13:$AA$13,1,MATCH($E110,Parameters!$X$3:$AA$3,0))),BM110*(1+INDEX(Response_Table!$M$4:$M$21,MATCH($F110&amp;"|high",Response_Table!$A$4:$A$21,0))*$R110*INDEX(Parameters!$X$13:$AA$13,1,MATCH($E110,Parameters!$X$3:$AA$3,0))))*(1-Inputs_General!$C$22*Parameters!$F$13))</f>
        <v>0.143133785126994</v>
      </c>
      <c r="BP110" s="46" t="n">
        <f aca="false">MAX(BM110*(1+INDEX(Response_Table!$M$4:$M$21,MATCH($F110&amp;"|low",Response_Table!$A$4:$A$21,0))*$R110*INDEX(Parameters!$X$13:$AA$13,1,MATCH($E110,Parameters!$X$3:$AA$3,0))),BM110*(1+INDEX(Response_Table!$M$4:$M$21,MATCH($F110&amp;"|high",Response_Table!$A$4:$A$21,0))*$R110*INDEX(Parameters!$X$13:$AA$13,1,MATCH($E110,Parameters!$X$3:$AA$3,0))))*(1+Inputs_General!$C$22*Parameters!$F$13)</f>
        <v>0.238561643384094</v>
      </c>
      <c r="BQ110" s="45" t="n">
        <f aca="false">IF(BM110=0,0,BN110/BM110-1)</f>
        <v>-0.374477366923432</v>
      </c>
      <c r="BR110" s="44" t="n">
        <f aca="false">Parameters!$E$14*IF($N110="V",Parameters!$I$14,IF($N110="F",Parameters!$J$14,Parameters!$K$14))*(1-Parameters!$L$14*$P110)*IF($D110="V1",Parameters!$M$14,IF($D110="V2",Parameters!$N$14,Parameters!$O$14))*INDEX(Context!$AC$4:$AC$51,$K110)</f>
        <v>15</v>
      </c>
      <c r="BS110" s="44" t="n">
        <f aca="false">BR110*(1+INDEX(Response_Table!$N$4:$N$21,MATCH($F110&amp;"|mid",Response_Table!$A$4:$A$21,0))*$R110*INDEX(Parameters!$X$14:$AA$14,1,MATCH($E110,Parameters!$X$3:$AA$3,0)))</f>
        <v>23.4914866912935</v>
      </c>
      <c r="BT110" s="44" t="n">
        <f aca="false">MAX(0,MIN(BR110*(1+INDEX(Response_Table!$N$4:$N$21,MATCH($F110&amp;"|low",Response_Table!$A$4:$A$21,0))*$R110*INDEX(Parameters!$X$14:$AA$14,1,MATCH($E110,Parameters!$X$3:$AA$3,0))),BR110*(1+INDEX(Response_Table!$N$4:$N$21,MATCH($F110&amp;"|high",Response_Table!$A$4:$A$21,0))*$R110*INDEX(Parameters!$X$14:$AA$14,1,MATCH($E110,Parameters!$X$3:$AA$3,0))))*(1-Inputs_General!$C$22*Parameters!$F$14))</f>
        <v>11.526064376594</v>
      </c>
      <c r="BU110" s="44" t="n">
        <f aca="false">MAX(BR110*(1+INDEX(Response_Table!$N$4:$N$21,MATCH($F110&amp;"|low",Response_Table!$A$4:$A$21,0))*$R110*INDEX(Parameters!$X$14:$AA$14,1,MATCH($E110,Parameters!$X$3:$AA$3,0))),BR110*(1+INDEX(Response_Table!$N$4:$N$21,MATCH($F110&amp;"|high",Response_Table!$A$4:$A$21,0))*$R110*INDEX(Parameters!$X$14:$AA$14,1,MATCH($E110,Parameters!$X$3:$AA$3,0))))*(1+Inputs_General!$C$22*Parameters!$F$14)</f>
        <v>36.0336618150901</v>
      </c>
      <c r="BV110" s="45" t="n">
        <f aca="false">IF(BR110=0,0,BS110/BR110-1)</f>
        <v>0.566099112752901</v>
      </c>
      <c r="BW110" s="43" t="n">
        <f aca="false">Parameters!$E$15*IF($N110="V",Parameters!$I$15,IF($N110="F",Parameters!$J$15,Parameters!$K$15))*(1-Parameters!$L$15*$P110)*IF($D110="V1",Parameters!$M$15,IF($D110="V2",Parameters!$N$15,Parameters!$O$15))</f>
        <v>10.7849571428571</v>
      </c>
      <c r="BX110" s="43" t="n">
        <f aca="false">BW110*(1+INDEX(Response_Table!$O$4:$O$21,MATCH($F110&amp;"|mid",Response_Table!$A$4:$A$21,0))*$R110*INDEX(Parameters!$X$15:$AA$15,1,MATCH($E110,Parameters!$X$3:$AA$3,0)))</f>
        <v>9.25861847544477</v>
      </c>
      <c r="BY110" s="43" t="n">
        <f aca="false">MAX(0,MIN(BW110*(1+INDEX(Response_Table!$O$4:$O$21,MATCH($F110&amp;"|low",Response_Table!$A$4:$A$21,0))*$R110*INDEX(Parameters!$X$15:$AA$15,1,MATCH($E110,Parameters!$X$3:$AA$3,0))),BW110*(1+INDEX(Response_Table!$O$4:$O$21,MATCH($F110&amp;"|high",Response_Table!$A$4:$A$21,0))*$R110*INDEX(Parameters!$X$15:$AA$15,1,MATCH($E110,Parameters!$X$3:$AA$3,0))))*(1-Inputs_General!$C$22*Parameters!$F$15))</f>
        <v>7.33928495710295</v>
      </c>
      <c r="BZ110" s="43" t="n">
        <f aca="false">MAX(BW110*(1+INDEX(Response_Table!$O$4:$O$21,MATCH($F110&amp;"|low",Response_Table!$A$4:$A$21,0))*$R110*INDEX(Parameters!$X$15:$AA$15,1,MATCH($E110,Parameters!$X$3:$AA$3,0))),BW110*(1+INDEX(Response_Table!$O$4:$O$21,MATCH($F110&amp;"|high",Response_Table!$A$4:$A$21,0))*$R110*INDEX(Parameters!$X$15:$AA$15,1,MATCH($E110,Parameters!$X$3:$AA$3,0))))*(1+Inputs_General!$C$22*Parameters!$F$15)</f>
        <v>11.2445059821169</v>
      </c>
      <c r="CA110" s="45" t="n">
        <f aca="false">IF(BW110=0,0,BX110/BW110-1)</f>
        <v>-0.141524778188225</v>
      </c>
      <c r="CB110" s="46" t="n">
        <f aca="false">BD110+BI110</f>
        <v>0.683437234955035</v>
      </c>
      <c r="CC110" s="43" t="n">
        <f aca="false">BD110/BI110</f>
        <v>2.16138895463043</v>
      </c>
      <c r="CD110" s="46" t="n">
        <f aca="false">BN110/CB110</f>
        <v>0.274386718752869</v>
      </c>
      <c r="CE110" s="43" t="n">
        <f aca="false">AE110/AO110</f>
        <v>1.8908078940508</v>
      </c>
      <c r="CF110" s="44" t="n">
        <f aca="false">AE110/AJ110</f>
        <v>26.450393103346</v>
      </c>
      <c r="CG110" s="44" t="n">
        <f aca="false">INDEX(Context!$V$4:$V$51,$K110)</f>
        <v>25.5785714285714</v>
      </c>
      <c r="CH110" s="44" t="n">
        <f aca="false">INDEX(Context!$Y$4:$Y$51,$K110)</f>
        <v>23.620522619794</v>
      </c>
      <c r="CI110" s="44" t="n">
        <f aca="false">INDEX(Context!$Z$4:$Z$51,$K110)</f>
        <v>29.5785714285714</v>
      </c>
      <c r="CJ110" s="43" t="n">
        <f aca="false">INDEX(Context!$AA$4:$AA$51,$K110)</f>
        <v>0.201160714285714</v>
      </c>
      <c r="CK110" s="43" t="n">
        <f aca="false">MAX(0,MIN(1,1-(1-CJ110)*AO110/AN110))</f>
        <v>0.640866677177869</v>
      </c>
      <c r="CL110" s="44" t="n">
        <f aca="false">CH110+CK110*(CI110-CH110)</f>
        <v>27.4388375623388</v>
      </c>
      <c r="CM110" s="44" t="n">
        <f aca="false">CH110+MAX(0,MIN(1,1-(1-CJ110)*AQ110/AN110))*(CI110-CH110)</f>
        <v>26.2888307286609</v>
      </c>
      <c r="CN110" s="44" t="n">
        <f aca="false">CH110+MAX(0,MIN(1,1-(1-CJ110)*AP110/AN110))*(CI110-CH110)</f>
        <v>28.2911321596444</v>
      </c>
      <c r="CO110" s="44" t="n">
        <f aca="false">CL110-CG110</f>
        <v>1.86026613376733</v>
      </c>
      <c r="CP110" s="44" t="n">
        <f aca="false">CL110-(CH110+CJ110*(CI110-CH110))</f>
        <v>2.61978958842193</v>
      </c>
      <c r="CQ110" s="46" t="n">
        <f aca="false">CL110/CG110</f>
        <v>1.07272752268289</v>
      </c>
      <c r="CR110" s="43" t="n">
        <f aca="false">IF(CL110-CH110&lt;=0,"n/a",(CI110-CL110)/(CL110-CH110))</f>
        <v>0.560386950377286</v>
      </c>
      <c r="CS110" s="43" t="n">
        <f aca="false">IF(CI110-CL110&lt;=0,"n/a",(CL110-CH110)/(CI110-CL110))</f>
        <v>1.78448123984104</v>
      </c>
      <c r="CT110" s="43" t="n">
        <f aca="false">Inputs_General!$C$23+Inputs_General!$C$24*$I110</f>
        <v>1.9</v>
      </c>
      <c r="CU110" s="44" t="n">
        <f aca="false">3.29*CT110</f>
        <v>6.251</v>
      </c>
    </row>
    <row r="111" customFormat="false" ht="15" hidden="false" customHeight="false" outlineLevel="0" collapsed="false">
      <c r="A111" s="33" t="str">
        <f aca="false">B111&amp;"|"&amp;E111&amp;"|"&amp;F111</f>
        <v>D2V2|03/03/2026|Healthy</v>
      </c>
      <c r="B111" s="34" t="s">
        <v>347</v>
      </c>
      <c r="C111" s="33" t="s">
        <v>129</v>
      </c>
      <c r="D111" s="33" t="s">
        <v>146</v>
      </c>
      <c r="E111" s="33" t="s">
        <v>162</v>
      </c>
      <c r="F111" s="34" t="s">
        <v>275</v>
      </c>
      <c r="G111" s="33" t="s">
        <v>276</v>
      </c>
      <c r="H111" s="35" t="n">
        <f aca="false">INDEX(Severity_Classes!$C$4:$C$9,MATCH(F111,Severity_Classes!$A$4:$A$9,0))</f>
        <v>0</v>
      </c>
      <c r="I111" s="35" t="n">
        <f aca="false">INDEX(Severity_Classes!$D$4:$D$9,MATCH(F111,Severity_Classes!$A$4:$A$9,0))</f>
        <v>0</v>
      </c>
      <c r="J111" s="35" t="n">
        <f aca="false">INDEX(Severity_Classes!$E$4:$E$9,MATCH(F111,Severity_Classes!$A$4:$A$9,0))</f>
        <v>0</v>
      </c>
      <c r="K111" s="36" t="n">
        <f aca="false">MATCH(B111&amp;"|"&amp;E111,Context!$A$4:$A$51,0)</f>
        <v>19</v>
      </c>
      <c r="L111" s="36" t="n">
        <f aca="false">INDEX(Context!$H$4:$H$51,K111)</f>
        <v>75</v>
      </c>
      <c r="M111" s="36" t="n">
        <f aca="false">INDEX(Context!$I$4:$I$51,K111)</f>
        <v>26</v>
      </c>
      <c r="N111" s="33" t="str">
        <f aca="false">INDEX(Context!$L$4:$L$51,K111)</f>
        <v>F</v>
      </c>
      <c r="O111" s="33" t="str">
        <f aca="false">INDEX(Context!$M$4:$M$51,K111)</f>
        <v>5th fully expanded leaf from top</v>
      </c>
      <c r="P111" s="37" t="n">
        <f aca="false">INDEX(Context!$R$4:$R$51,K111)</f>
        <v>0.433928571428571</v>
      </c>
      <c r="Q111" s="37" t="n">
        <f aca="false">INDEX(Context!$U$4:$U$51,K111)</f>
        <v>1.73951545534029</v>
      </c>
      <c r="R111" s="37" t="n">
        <f aca="false">INDEX(Context!$AD$4:$AD$51,K111)</f>
        <v>1.1</v>
      </c>
      <c r="S111" s="33" t="str">
        <f aca="false">INDEX(Context!$AI$4:$AN$51,K111,MATCH(F111,Severity_Classes!$A$4:$A$9,0))</f>
        <v>Reference: healthy (uninoculated) control plot</v>
      </c>
      <c r="T111" s="38" t="n">
        <f aca="false">Parameters!$E$4*IF($N111="V",Parameters!$I$4,IF($N111="F",Parameters!$J$4,Parameters!$K$4))*(1-Parameters!$L$4*$P111)*IF($D111="V1",Parameters!$M$4,IF($D111="V2",Parameters!$N$4,Parameters!$O$4))</f>
        <v>83.2927660714286</v>
      </c>
      <c r="U111" s="38" t="n">
        <f aca="false">MIN(100,T111*(1+INDEX(Response_Table!$E$4:$E$21,MATCH($F111&amp;"|mid",Response_Table!$A$4:$A$21,0))*$R111*INDEX(Parameters!$X$4:$AA$4,1,MATCH($E111,Parameters!$X$3:$AA$3,0))))</f>
        <v>83.2927660714286</v>
      </c>
      <c r="V111" s="38" t="n">
        <f aca="false">MAX(0,MIN(T111*(1+INDEX(Response_Table!$E$4:$E$21,MATCH($F111&amp;"|low",Response_Table!$A$4:$A$21,0))*$R111*INDEX(Parameters!$X$4:$AA$4,1,MATCH($E111,Parameters!$X$3:$AA$3,0))),T111*(1+INDEX(Response_Table!$E$4:$E$21,MATCH($F111&amp;"|high",Response_Table!$A$4:$A$21,0))*$R111*INDEX(Parameters!$X$4:$AA$4,1,MATCH($E111,Parameters!$X$3:$AA$3,0))))*(1-Inputs_General!$C$22*Parameters!$F$4))</f>
        <v>77.8121020639286</v>
      </c>
      <c r="W111" s="38" t="n">
        <f aca="false">MIN(100,MAX(T111*(1+INDEX(Response_Table!$E$4:$E$21,MATCH($F111&amp;"|low",Response_Table!$A$4:$A$21,0))*$R111*INDEX(Parameters!$X$4:$AA$4,1,MATCH($E111,Parameters!$X$3:$AA$3,0))),T111*(1+INDEX(Response_Table!$E$4:$E$21,MATCH($F111&amp;"|high",Response_Table!$A$4:$A$21,0))*$R111*INDEX(Parameters!$X$4:$AA$4,1,MATCH($E111,Parameters!$X$3:$AA$3,0))))*(1+Inputs_General!$C$22*Parameters!$F$4))</f>
        <v>88.7734300789286</v>
      </c>
      <c r="X111" s="39" t="n">
        <f aca="false">IF(T111=0,0,U111/T111-1)</f>
        <v>0</v>
      </c>
      <c r="Y111" s="38" t="n">
        <f aca="false">Parameters!$E$5*IF($N111="V",Parameters!$I$5,IF($N111="F",Parameters!$J$5,Parameters!$K$5))*(1-Parameters!$L$5*$P111)*IF($D111="V1",Parameters!$M$5,IF($D111="V2",Parameters!$N$5,Parameters!$O$5))</f>
        <v>66.88584</v>
      </c>
      <c r="Z111" s="38" t="n">
        <f aca="false">MIN(100,Y111*(1+INDEX(Response_Table!$F$4:$F$21,MATCH($F111&amp;"|mid",Response_Table!$A$4:$A$21,0))*$R111*INDEX(Parameters!$X$5:$AA$5,1,MATCH($E111,Parameters!$X$3:$AA$3,0))))</f>
        <v>66.88584</v>
      </c>
      <c r="AA111" s="38" t="n">
        <f aca="false">MAX(0,MIN(Y111*(1+INDEX(Response_Table!$F$4:$F$21,MATCH($F111&amp;"|low",Response_Table!$A$4:$A$21,0))*$R111*INDEX(Parameters!$X$5:$AA$5,1,MATCH($E111,Parameters!$X$3:$AA$3,0))),Y111*(1+INDEX(Response_Table!$F$4:$F$21,MATCH($F111&amp;"|high",Response_Table!$A$4:$A$21,0))*$R111*INDEX(Parameters!$X$5:$AA$5,1,MATCH($E111,Parameters!$X$3:$AA$3,0))))*(1-Inputs_General!$C$22*Parameters!$F$5))</f>
        <v>59.183935524</v>
      </c>
      <c r="AB111" s="38" t="n">
        <f aca="false">MIN(100,MAX(Y111*(1+INDEX(Response_Table!$F$4:$F$21,MATCH($F111&amp;"|low",Response_Table!$A$4:$A$21,0))*$R111*INDEX(Parameters!$X$5:$AA$5,1,MATCH($E111,Parameters!$X$3:$AA$3,0))),Y111*(1+INDEX(Response_Table!$F$4:$F$21,MATCH($F111&amp;"|high",Response_Table!$A$4:$A$21,0))*$R111*INDEX(Parameters!$X$5:$AA$5,1,MATCH($E111,Parameters!$X$3:$AA$3,0))))*(1+Inputs_General!$C$22*Parameters!$F$5))</f>
        <v>74.587744476</v>
      </c>
      <c r="AC111" s="39" t="n">
        <f aca="false">IF(Y111=0,0,Z111/Y111-1)</f>
        <v>0</v>
      </c>
      <c r="AD111" s="38" t="n">
        <f aca="false">Parameters!$E$6*IF($N111="V",Parameters!$I$6,IF($N111="F",Parameters!$J$6,Parameters!$K$6))*(1-Parameters!$L$6*$P111)*IF($D111="V1",Parameters!$M$6,IF($D111="V2",Parameters!$N$6,Parameters!$O$6))</f>
        <v>18.0106428571429</v>
      </c>
      <c r="AE111" s="38" t="n">
        <f aca="false">AD111*(1+INDEX(Response_Table!$G$4:$G$21,MATCH($F111&amp;"|mid",Response_Table!$A$4:$A$21,0))*$R111*INDEX(Parameters!$X$6:$AA$6,1,MATCH($E111,Parameters!$X$3:$AA$3,0)))</f>
        <v>18.0106428571429</v>
      </c>
      <c r="AF111" s="38" t="n">
        <f aca="false">MAX(0,MIN(AD111*(1+INDEX(Response_Table!$G$4:$G$21,MATCH($F111&amp;"|low",Response_Table!$A$4:$A$21,0))*$R111*INDEX(Parameters!$X$6:$AA$6,1,MATCH($E111,Parameters!$X$3:$AA$3,0))),AD111*(1+INDEX(Response_Table!$G$4:$G$21,MATCH($F111&amp;"|high",Response_Table!$A$4:$A$21,0))*$R111*INDEX(Parameters!$X$6:$AA$6,1,MATCH($E111,Parameters!$X$3:$AA$3,0))))*(1-Inputs_General!$C$22*Parameters!$F$6))</f>
        <v>14.4553419571429</v>
      </c>
      <c r="AG111" s="38" t="n">
        <f aca="false">MAX(AD111*(1+INDEX(Response_Table!$G$4:$G$21,MATCH($F111&amp;"|low",Response_Table!$A$4:$A$21,0))*$R111*INDEX(Parameters!$X$6:$AA$6,1,MATCH($E111,Parameters!$X$3:$AA$3,0))),AD111*(1+INDEX(Response_Table!$G$4:$G$21,MATCH($F111&amp;"|high",Response_Table!$A$4:$A$21,0))*$R111*INDEX(Parameters!$X$6:$AA$6,1,MATCH($E111,Parameters!$X$3:$AA$3,0))))*(1+Inputs_General!$C$22*Parameters!$F$6)</f>
        <v>21.5659437571429</v>
      </c>
      <c r="AH111" s="39" t="n">
        <f aca="false">IF(AD111=0,0,AE111/AD111-1)</f>
        <v>0</v>
      </c>
      <c r="AI111" s="40" t="n">
        <f aca="false">Parameters!$E$7*IF($N111="V",Parameters!$I$7,IF($N111="F",Parameters!$J$7,Parameters!$K$7))*(1-Parameters!$L$7*$P111)*IF($D111="V1",Parameters!$M$7,IF($D111="V2",Parameters!$N$7,Parameters!$O$7))*POWER($Q111/Inputs_General!$C$26,-Inputs_General!$C$25)</f>
        <v>0.341191629407368</v>
      </c>
      <c r="AJ111" s="40" t="n">
        <f aca="false">AI111*(1+INDEX(Response_Table!$H$4:$H$21,MATCH($F111&amp;"|mid",Response_Table!$A$4:$A$21,0))*$R111*INDEX(Parameters!$X$7:$AA$7,1,MATCH($E111,Parameters!$X$3:$AA$3,0)))</f>
        <v>0.341191629407368</v>
      </c>
      <c r="AK111" s="40" t="n">
        <f aca="false">MAX(0,MIN(AI111*(1+INDEX(Response_Table!$H$4:$H$21,MATCH($F111&amp;"|low",Response_Table!$A$4:$A$21,0))*$R111*INDEX(Parameters!$X$7:$AA$7,1,MATCH($E111,Parameters!$X$3:$AA$3,0))),AI111*(1+INDEX(Response_Table!$H$4:$H$21,MATCH($F111&amp;"|high",Response_Table!$A$4:$A$21,0))*$R111*INDEX(Parameters!$X$7:$AA$7,1,MATCH($E111,Parameters!$X$3:$AA$3,0))))*(1-Inputs_General!$C$22*Parameters!$F$7))</f>
        <v>0.240164787939846</v>
      </c>
      <c r="AL111" s="40" t="n">
        <f aca="false">MAX(AI111*(1+INDEX(Response_Table!$H$4:$H$21,MATCH($F111&amp;"|low",Response_Table!$A$4:$A$21,0))*$R111*INDEX(Parameters!$X$7:$AA$7,1,MATCH($E111,Parameters!$X$3:$AA$3,0))),AI111*(1+INDEX(Response_Table!$H$4:$H$21,MATCH($F111&amp;"|high",Response_Table!$A$4:$A$21,0))*$R111*INDEX(Parameters!$X$7:$AA$7,1,MATCH($E111,Parameters!$X$3:$AA$3,0))))*(1+Inputs_General!$C$22*Parameters!$F$7)</f>
        <v>0.44221847087489</v>
      </c>
      <c r="AM111" s="39" t="n">
        <f aca="false">IF(AI111=0,0,AJ111/AI111-1)</f>
        <v>0</v>
      </c>
      <c r="AN111" s="37" t="n">
        <f aca="false">AI111*$Q111/Inputs_General!$C$13*1000</f>
        <v>5.97691956280819</v>
      </c>
      <c r="AO111" s="37" t="n">
        <f aca="false">AJ111*$Q111/Inputs_General!$C$13*1000*(1+Inputs_General!$C$21*$I111)</f>
        <v>5.97691956280819</v>
      </c>
      <c r="AP111" s="37" t="n">
        <f aca="false">AK111*$Q111/Inputs_General!$C$13*1000*(1+Inputs_General!$C$21*$H111)</f>
        <v>4.20715368026068</v>
      </c>
      <c r="AQ111" s="37" t="n">
        <f aca="false">AL111*$Q111/Inputs_General!$C$13*1000*(1+Inputs_General!$C$21*$J111)</f>
        <v>7.74668544535569</v>
      </c>
      <c r="AR111" s="39" t="n">
        <f aca="false">IF(AN111=0,0,AO111/AN111-1)</f>
        <v>0</v>
      </c>
      <c r="AS111" s="36" t="n">
        <f aca="false">Parameters!$E$9*IF($N111="V",Parameters!$I$9,IF($N111="F",Parameters!$J$9,Parameters!$K$9))*(1-Parameters!$L$9*$P111)*IF($D111="V1",Parameters!$M$9,IF($D111="V2",Parameters!$N$9,Parameters!$O$9))</f>
        <v>285</v>
      </c>
      <c r="AT111" s="36" t="n">
        <f aca="false">AS111*(1+INDEX(Response_Table!$I$4:$I$21,MATCH($F111&amp;"|mid",Response_Table!$A$4:$A$21,0))*$R111*INDEX(Parameters!$X$9:$AA$9,1,MATCH($E111,Parameters!$X$3:$AA$3,0)))</f>
        <v>285</v>
      </c>
      <c r="AU111" s="36" t="n">
        <f aca="false">MAX(0,MIN(AS111*(1+INDEX(Response_Table!$I$4:$I$21,MATCH($F111&amp;"|low",Response_Table!$A$4:$A$21,0))*$R111*INDEX(Parameters!$X$9:$AA$9,1,MATCH($E111,Parameters!$X$3:$AA$3,0))),AS111*(1+INDEX(Response_Table!$I$4:$I$21,MATCH($F111&amp;"|high",Response_Table!$A$4:$A$21,0))*$R111*INDEX(Parameters!$X$9:$AA$9,1,MATCH($E111,Parameters!$X$3:$AA$3,0))))*(1-Inputs_General!$C$22*Parameters!$F$9))</f>
        <v>256.8705</v>
      </c>
      <c r="AV111" s="36" t="n">
        <f aca="false">MAX(AS111*(1+INDEX(Response_Table!$I$4:$I$21,MATCH($F111&amp;"|low",Response_Table!$A$4:$A$21,0))*$R111*INDEX(Parameters!$X$9:$AA$9,1,MATCH($E111,Parameters!$X$3:$AA$3,0))),AS111*(1+INDEX(Response_Table!$I$4:$I$21,MATCH($F111&amp;"|high",Response_Table!$A$4:$A$21,0))*$R111*INDEX(Parameters!$X$9:$AA$9,1,MATCH($E111,Parameters!$X$3:$AA$3,0))))*(1+Inputs_General!$C$22*Parameters!$F$9)</f>
        <v>313.1295</v>
      </c>
      <c r="AW111" s="39" t="n">
        <f aca="false">IF(AS111=0,0,AT111/AS111-1)</f>
        <v>0</v>
      </c>
      <c r="AX111" s="37" t="n">
        <f aca="false">INDEX(Context!$AB$4:$AB$51,$K111)</f>
        <v>3.07951475277641</v>
      </c>
      <c r="AY111" s="37" t="n">
        <f aca="false">AX111*(1+INDEX(Response_Table!$J$4:$J$21,MATCH($F111&amp;"|mid",Response_Table!$A$4:$A$21,0))*$R111*INDEX(Parameters!$X$10:$AA$10,1,MATCH($E111,Parameters!$X$3:$AA$3,0)))</f>
        <v>3.07951475277641</v>
      </c>
      <c r="AZ111" s="37" t="n">
        <f aca="false">MAX(0,MIN(AX111*(1+INDEX(Response_Table!$J$4:$J$21,MATCH($F111&amp;"|low",Response_Table!$A$4:$A$21,0))*$R111*INDEX(Parameters!$X$10:$AA$10,1,MATCH($E111,Parameters!$X$3:$AA$3,0))),AX111*(1+INDEX(Response_Table!$J$4:$J$21,MATCH($F111&amp;"|high",Response_Table!$A$4:$A$21,0))*$R111*INDEX(Parameters!$X$10:$AA$10,1,MATCH($E111,Parameters!$X$3:$AA$3,0))))*(1-Inputs_General!$C$22*Parameters!$F$10))</f>
        <v>2.47161854057835</v>
      </c>
      <c r="BA111" s="37" t="n">
        <f aca="false">MAX(AX111*(1+INDEX(Response_Table!$J$4:$J$21,MATCH($F111&amp;"|low",Response_Table!$A$4:$A$21,0))*$R111*INDEX(Parameters!$X$10:$AA$10,1,MATCH($E111,Parameters!$X$3:$AA$3,0))),AX111*(1+INDEX(Response_Table!$J$4:$J$21,MATCH($F111&amp;"|high",Response_Table!$A$4:$A$21,0))*$R111*INDEX(Parameters!$X$10:$AA$10,1,MATCH($E111,Parameters!$X$3:$AA$3,0))))*(1+Inputs_General!$C$22*Parameters!$F$10)</f>
        <v>3.68741096497448</v>
      </c>
      <c r="BB111" s="39" t="n">
        <f aca="false">IF(AX111=0,0,AY111/AX111-1)</f>
        <v>0</v>
      </c>
      <c r="BC111" s="40" t="n">
        <f aca="false">Parameters!$E$11*IF($N111="V",Parameters!$I$11,IF($N111="F",Parameters!$J$11,Parameters!$K$11))*(1-Parameters!$L$11*$P111)*IF($D111="V1",Parameters!$M$11,IF($D111="V2",Parameters!$N$11,Parameters!$O$11))</f>
        <v>1.21745535714286</v>
      </c>
      <c r="BD111" s="40" t="n">
        <f aca="false">BC111*(1+INDEX(Response_Table!$K$4:$K$21,MATCH($F111&amp;"|mid",Response_Table!$A$4:$A$21,0))*$R111*INDEX(Parameters!$X$11:$AA$11,1,MATCH($E111,Parameters!$X$3:$AA$3,0)))</f>
        <v>1.21745535714286</v>
      </c>
      <c r="BE111" s="40" t="n">
        <f aca="false">MAX(0,MIN(BC111*(1+INDEX(Response_Table!$K$4:$K$21,MATCH($F111&amp;"|low",Response_Table!$A$4:$A$21,0))*$R111*INDEX(Parameters!$X$11:$AA$11,1,MATCH($E111,Parameters!$X$3:$AA$3,0))),BC111*(1+INDEX(Response_Table!$K$4:$K$21,MATCH($F111&amp;"|high",Response_Table!$A$4:$A$21,0))*$R111*INDEX(Parameters!$X$11:$AA$11,1,MATCH($E111,Parameters!$X$3:$AA$3,0))))*(1-Inputs_General!$C$22*Parameters!$F$11))</f>
        <v>1.01718395089286</v>
      </c>
      <c r="BF111" s="40" t="n">
        <f aca="false">MAX(BC111*(1+INDEX(Response_Table!$K$4:$K$21,MATCH($F111&amp;"|low",Response_Table!$A$4:$A$21,0))*$R111*INDEX(Parameters!$X$11:$AA$11,1,MATCH($E111,Parameters!$X$3:$AA$3,0))),BC111*(1+INDEX(Response_Table!$K$4:$K$21,MATCH($F111&amp;"|high",Response_Table!$A$4:$A$21,0))*$R111*INDEX(Parameters!$X$11:$AA$11,1,MATCH($E111,Parameters!$X$3:$AA$3,0))))*(1+Inputs_General!$C$22*Parameters!$F$11)</f>
        <v>1.41772676339286</v>
      </c>
      <c r="BG111" s="39" t="n">
        <f aca="false">IF(BC111=0,0,BD111/BC111-1)</f>
        <v>0</v>
      </c>
      <c r="BH111" s="40" t="n">
        <f aca="false">Parameters!$E$12*IF($N111="V",Parameters!$I$12,IF($N111="F",Parameters!$J$12,Parameters!$K$12))*(1-Parameters!$L$12*$P111)*IF($D111="V1",Parameters!$M$12,IF($D111="V2",Parameters!$N$12,Parameters!$O$12))</f>
        <v>0.438283928571429</v>
      </c>
      <c r="BI111" s="40" t="n">
        <f aca="false">BH111*(1+INDEX(Response_Table!$L$4:$L$21,MATCH($F111&amp;"|mid",Response_Table!$A$4:$A$21,0))*$R111*INDEX(Parameters!$X$12:$AA$12,1,MATCH($E111,Parameters!$X$3:$AA$3,0)))</f>
        <v>0.438283928571429</v>
      </c>
      <c r="BJ111" s="40" t="n">
        <f aca="false">MAX(0,MIN(BH111*(1+INDEX(Response_Table!$L$4:$L$21,MATCH($F111&amp;"|low",Response_Table!$A$4:$A$21,0))*$R111*INDEX(Parameters!$X$12:$AA$12,1,MATCH($E111,Parameters!$X$3:$AA$3,0))),BH111*(1+INDEX(Response_Table!$L$4:$L$21,MATCH($F111&amp;"|high",Response_Table!$A$4:$A$21,0))*$R111*INDEX(Parameters!$X$12:$AA$12,1,MATCH($E111,Parameters!$X$3:$AA$3,0))))*(1-Inputs_General!$C$22*Parameters!$F$12))</f>
        <v>0.351766681071429</v>
      </c>
      <c r="BK111" s="40" t="n">
        <f aca="false">MAX(BH111*(1+INDEX(Response_Table!$L$4:$L$21,MATCH($F111&amp;"|low",Response_Table!$A$4:$A$21,0))*$R111*INDEX(Parameters!$X$12:$AA$12,1,MATCH($E111,Parameters!$X$3:$AA$3,0))),BH111*(1+INDEX(Response_Table!$L$4:$L$21,MATCH($F111&amp;"|high",Response_Table!$A$4:$A$21,0))*$R111*INDEX(Parameters!$X$12:$AA$12,1,MATCH($E111,Parameters!$X$3:$AA$3,0))))*(1+Inputs_General!$C$22*Parameters!$F$12)</f>
        <v>0.524801176071429</v>
      </c>
      <c r="BL111" s="39" t="n">
        <f aca="false">IF(BH111=0,0,BI111/BH111-1)</f>
        <v>0</v>
      </c>
      <c r="BM111" s="40" t="n">
        <f aca="false">Parameters!$E$13*IF($N111="V",Parameters!$I$13,IF($N111="F",Parameters!$J$13,Parameters!$K$13))*(1-Parameters!$L$13*$P111)*IF($D111="V1",Parameters!$M$13,IF($D111="V2",Parameters!$N$13,Parameters!$O$13))</f>
        <v>0.296094642857143</v>
      </c>
      <c r="BN111" s="40" t="n">
        <f aca="false">BM111*(1+INDEX(Response_Table!$M$4:$M$21,MATCH($F111&amp;"|mid",Response_Table!$A$4:$A$21,0))*$R111*INDEX(Parameters!$X$13:$AA$13,1,MATCH($E111,Parameters!$X$3:$AA$3,0)))</f>
        <v>0.296094642857143</v>
      </c>
      <c r="BO111" s="40" t="n">
        <f aca="false">MAX(0,MIN(BM111*(1+INDEX(Response_Table!$M$4:$M$21,MATCH($F111&amp;"|low",Response_Table!$A$4:$A$21,0))*$R111*INDEX(Parameters!$X$13:$AA$13,1,MATCH($E111,Parameters!$X$3:$AA$3,0))),BM111*(1+INDEX(Response_Table!$M$4:$M$21,MATCH($F111&amp;"|high",Response_Table!$A$4:$A$21,0))*$R111*INDEX(Parameters!$X$13:$AA$13,1,MATCH($E111,Parameters!$X$3:$AA$3,0))))*(1-Inputs_General!$C$22*Parameters!$F$13))</f>
        <v>0.237645560357143</v>
      </c>
      <c r="BP111" s="40" t="n">
        <f aca="false">MAX(BM111*(1+INDEX(Response_Table!$M$4:$M$21,MATCH($F111&amp;"|low",Response_Table!$A$4:$A$21,0))*$R111*INDEX(Parameters!$X$13:$AA$13,1,MATCH($E111,Parameters!$X$3:$AA$3,0))),BM111*(1+INDEX(Response_Table!$M$4:$M$21,MATCH($F111&amp;"|high",Response_Table!$A$4:$A$21,0))*$R111*INDEX(Parameters!$X$13:$AA$13,1,MATCH($E111,Parameters!$X$3:$AA$3,0))))*(1+Inputs_General!$C$22*Parameters!$F$13)</f>
        <v>0.354543725357143</v>
      </c>
      <c r="BQ111" s="39" t="n">
        <f aca="false">IF(BM111=0,0,BN111/BM111-1)</f>
        <v>0</v>
      </c>
      <c r="BR111" s="38" t="n">
        <f aca="false">Parameters!$E$14*IF($N111="V",Parameters!$I$14,IF($N111="F",Parameters!$J$14,Parameters!$K$14))*(1-Parameters!$L$14*$P111)*IF($D111="V1",Parameters!$M$14,IF($D111="V2",Parameters!$N$14,Parameters!$O$14))*INDEX(Context!$AC$4:$AC$51,$K111)</f>
        <v>15</v>
      </c>
      <c r="BS111" s="38" t="n">
        <f aca="false">BR111*(1+INDEX(Response_Table!$N$4:$N$21,MATCH($F111&amp;"|mid",Response_Table!$A$4:$A$21,0))*$R111*INDEX(Parameters!$X$14:$AA$14,1,MATCH($E111,Parameters!$X$3:$AA$3,0)))</f>
        <v>15</v>
      </c>
      <c r="BT111" s="38" t="n">
        <f aca="false">MAX(0,MIN(BR111*(1+INDEX(Response_Table!$N$4:$N$21,MATCH($F111&amp;"|low",Response_Table!$A$4:$A$21,0))*$R111*INDEX(Parameters!$X$14:$AA$14,1,MATCH($E111,Parameters!$X$3:$AA$3,0))),BR111*(1+INDEX(Response_Table!$N$4:$N$21,MATCH($F111&amp;"|high",Response_Table!$A$4:$A$21,0))*$R111*INDEX(Parameters!$X$14:$AA$14,1,MATCH($E111,Parameters!$X$3:$AA$3,0))))*(1-Inputs_General!$C$22*Parameters!$F$14))</f>
        <v>7.5975</v>
      </c>
      <c r="BU111" s="38" t="n">
        <f aca="false">MAX(BR111*(1+INDEX(Response_Table!$N$4:$N$21,MATCH($F111&amp;"|low",Response_Table!$A$4:$A$21,0))*$R111*INDEX(Parameters!$X$14:$AA$14,1,MATCH($E111,Parameters!$X$3:$AA$3,0))),BR111*(1+INDEX(Response_Table!$N$4:$N$21,MATCH($F111&amp;"|high",Response_Table!$A$4:$A$21,0))*$R111*INDEX(Parameters!$X$14:$AA$14,1,MATCH($E111,Parameters!$X$3:$AA$3,0))))*(1+Inputs_General!$C$22*Parameters!$F$14)</f>
        <v>22.4025</v>
      </c>
      <c r="BV111" s="39" t="n">
        <f aca="false">IF(BR111=0,0,BS111/BR111-1)</f>
        <v>0</v>
      </c>
      <c r="BW111" s="37" t="n">
        <f aca="false">Parameters!$E$15*IF($N111="V",Parameters!$I$15,IF($N111="F",Parameters!$J$15,Parameters!$K$15))*(1-Parameters!$L$15*$P111)*IF($D111="V1",Parameters!$M$15,IF($D111="V2",Parameters!$N$15,Parameters!$O$15))</f>
        <v>10.5188142857143</v>
      </c>
      <c r="BX111" s="37" t="n">
        <f aca="false">BW111*(1+INDEX(Response_Table!$O$4:$O$21,MATCH($F111&amp;"|mid",Response_Table!$A$4:$A$21,0))*$R111*INDEX(Parameters!$X$15:$AA$15,1,MATCH($E111,Parameters!$X$3:$AA$3,0)))</f>
        <v>10.5188142857143</v>
      </c>
      <c r="BY111" s="37" t="n">
        <f aca="false">MAX(0,MIN(BW111*(1+INDEX(Response_Table!$O$4:$O$21,MATCH($F111&amp;"|low",Response_Table!$A$4:$A$21,0))*$R111*INDEX(Parameters!$X$15:$AA$15,1,MATCH($E111,Parameters!$X$3:$AA$3,0))),BW111*(1+INDEX(Response_Table!$O$4:$O$21,MATCH($F111&amp;"|high",Response_Table!$A$4:$A$21,0))*$R111*INDEX(Parameters!$X$15:$AA$15,1,MATCH($E111,Parameters!$X$3:$AA$3,0))))*(1-Inputs_General!$C$22*Parameters!$F$15))</f>
        <v>8.44240034571429</v>
      </c>
      <c r="BZ111" s="37" t="n">
        <f aca="false">MAX(BW111*(1+INDEX(Response_Table!$O$4:$O$21,MATCH($F111&amp;"|low",Response_Table!$A$4:$A$21,0))*$R111*INDEX(Parameters!$X$15:$AA$15,1,MATCH($E111,Parameters!$X$3:$AA$3,0))),BW111*(1+INDEX(Response_Table!$O$4:$O$21,MATCH($F111&amp;"|high",Response_Table!$A$4:$A$21,0))*$R111*INDEX(Parameters!$X$15:$AA$15,1,MATCH($E111,Parameters!$X$3:$AA$3,0))))*(1+Inputs_General!$C$22*Parameters!$F$15)</f>
        <v>12.5952282257143</v>
      </c>
      <c r="CA111" s="39" t="n">
        <f aca="false">IF(BW111=0,0,BX111/BW111-1)</f>
        <v>0</v>
      </c>
      <c r="CB111" s="40" t="n">
        <f aca="false">BD111+BI111</f>
        <v>1.65573928571429</v>
      </c>
      <c r="CC111" s="37" t="n">
        <f aca="false">BD111/BI111</f>
        <v>2.77777777777778</v>
      </c>
      <c r="CD111" s="40" t="n">
        <f aca="false">BN111/CB111</f>
        <v>0.178829267030049</v>
      </c>
      <c r="CE111" s="37" t="n">
        <f aca="false">AE111/AO111</f>
        <v>3.01336544149186</v>
      </c>
      <c r="CF111" s="38" t="n">
        <f aca="false">AE111/AJ111</f>
        <v>52.7874698697222</v>
      </c>
      <c r="CG111" s="38" t="n">
        <f aca="false">INDEX(Context!$V$4:$V$51,$K111)</f>
        <v>28.62</v>
      </c>
      <c r="CH111" s="38" t="n">
        <f aca="false">INDEX(Context!$Y$4:$Y$51,$K111)</f>
        <v>25.3060134606718</v>
      </c>
      <c r="CI111" s="38" t="n">
        <f aca="false">INDEX(Context!$Z$4:$Z$51,$K111)</f>
        <v>32.62</v>
      </c>
      <c r="CJ111" s="37" t="n">
        <f aca="false">INDEX(Context!$AA$4:$AA$51,$K111)</f>
        <v>0.221696428571429</v>
      </c>
      <c r="CK111" s="37" t="n">
        <f aca="false">MAX(0,MIN(1,1-(1-CJ111)*AO111/AN111))</f>
        <v>0.221696428571429</v>
      </c>
      <c r="CL111" s="38" t="n">
        <f aca="false">CH111+CK111*(CI111-CH111)</f>
        <v>26.9274981550603</v>
      </c>
      <c r="CM111" s="38" t="n">
        <f aca="false">CH111+MAX(0,MIN(1,1-(1-CJ111)*AQ111/AN111))*(CI111-CH111)</f>
        <v>25.3060134606718</v>
      </c>
      <c r="CN111" s="38" t="n">
        <f aca="false">CH111+MAX(0,MIN(1,1-(1-CJ111)*AP111/AN111))*(CI111-CH111)</f>
        <v>28.613047951347</v>
      </c>
      <c r="CO111" s="38" t="n">
        <f aca="false">CL111-CG111</f>
        <v>-1.69250184493966</v>
      </c>
      <c r="CP111" s="38" t="n">
        <f aca="false">CL111-(CH111+CJ111*(CI111-CH111))</f>
        <v>0</v>
      </c>
      <c r="CQ111" s="40" t="n">
        <f aca="false">CL111/CG111</f>
        <v>0.940862968380864</v>
      </c>
      <c r="CR111" s="37" t="n">
        <f aca="false">IF(CL111-CH111&lt;=0,"n/a",(CI111-CL111)/(CL111-CH111))</f>
        <v>3.5106725734998</v>
      </c>
      <c r="CS111" s="37" t="n">
        <f aca="false">IF(CI111-CL111&lt;=0,"n/a",(CL111-CH111)/(CI111-CL111))</f>
        <v>0.284845703797178</v>
      </c>
      <c r="CT111" s="37" t="n">
        <f aca="false">Inputs_General!$C$23+Inputs_General!$C$24*$I111</f>
        <v>0.6</v>
      </c>
      <c r="CU111" s="38" t="n">
        <f aca="false">3.29*CT111</f>
        <v>1.974</v>
      </c>
    </row>
    <row r="112" customFormat="false" ht="15" hidden="false" customHeight="false" outlineLevel="0" collapsed="false">
      <c r="A112" s="9" t="str">
        <f aca="false">B112&amp;"|"&amp;E112&amp;"|"&amp;F112</f>
        <v>D2V2|03/03/2026|Very low</v>
      </c>
      <c r="B112" s="7" t="s">
        <v>347</v>
      </c>
      <c r="C112" s="9" t="s">
        <v>129</v>
      </c>
      <c r="D112" s="9" t="s">
        <v>146</v>
      </c>
      <c r="E112" s="9" t="s">
        <v>162</v>
      </c>
      <c r="F112" s="7" t="s">
        <v>277</v>
      </c>
      <c r="G112" s="9" t="s">
        <v>278</v>
      </c>
      <c r="H112" s="41" t="n">
        <f aca="false">INDEX(Severity_Classes!$C$4:$C$9,MATCH(F112,Severity_Classes!$A$4:$A$9,0))</f>
        <v>0.01</v>
      </c>
      <c r="I112" s="41" t="n">
        <f aca="false">INDEX(Severity_Classes!$D$4:$D$9,MATCH(F112,Severity_Classes!$A$4:$A$9,0))</f>
        <v>0.03</v>
      </c>
      <c r="J112" s="41" t="n">
        <f aca="false">INDEX(Severity_Classes!$E$4:$E$9,MATCH(F112,Severity_Classes!$A$4:$A$9,0))</f>
        <v>0.05</v>
      </c>
      <c r="K112" s="42" t="n">
        <f aca="false">MATCH(B112&amp;"|"&amp;E112,Context!$A$4:$A$51,0)</f>
        <v>19</v>
      </c>
      <c r="L112" s="42" t="n">
        <f aca="false">INDEX(Context!$H$4:$H$51,K112)</f>
        <v>75</v>
      </c>
      <c r="M112" s="42" t="n">
        <f aca="false">INDEX(Context!$I$4:$I$51,K112)</f>
        <v>26</v>
      </c>
      <c r="N112" s="9" t="str">
        <f aca="false">INDEX(Context!$L$4:$L$51,K112)</f>
        <v>F</v>
      </c>
      <c r="O112" s="9" t="str">
        <f aca="false">INDEX(Context!$M$4:$M$51,K112)</f>
        <v>5th fully expanded leaf from top</v>
      </c>
      <c r="P112" s="43" t="n">
        <f aca="false">INDEX(Context!$R$4:$R$51,K112)</f>
        <v>0.433928571428571</v>
      </c>
      <c r="Q112" s="43" t="n">
        <f aca="false">INDEX(Context!$U$4:$U$51,K112)</f>
        <v>1.73951545534029</v>
      </c>
      <c r="R112" s="43" t="n">
        <f aca="false">INDEX(Context!$AD$4:$AD$51,K112)</f>
        <v>1.1</v>
      </c>
      <c r="S112" s="9" t="str">
        <f aca="false">INDEX(Context!$AI$4:$AN$51,K112,MATCH(F112,Severity_Classes!$A$4:$A$9,0))</f>
        <v>Unlikely</v>
      </c>
      <c r="T112" s="44" t="n">
        <f aca="false">Parameters!$E$4*IF($N112="V",Parameters!$I$4,IF($N112="F",Parameters!$J$4,Parameters!$K$4))*(1-Parameters!$L$4*$P112)*IF($D112="V1",Parameters!$M$4,IF($D112="V2",Parameters!$N$4,Parameters!$O$4))</f>
        <v>83.2927660714286</v>
      </c>
      <c r="U112" s="44" t="n">
        <f aca="false">MIN(100,T112*(1+INDEX(Response_Table!$E$4:$E$21,MATCH($F112&amp;"|mid",Response_Table!$A$4:$A$21,0))*$R112*INDEX(Parameters!$X$4:$AA$4,1,MATCH($E112,Parameters!$X$3:$AA$3,0))))</f>
        <v>82.8977524038264</v>
      </c>
      <c r="V112" s="44" t="n">
        <f aca="false">MAX(0,MIN(T112*(1+INDEX(Response_Table!$E$4:$E$21,MATCH($F112&amp;"|low",Response_Table!$A$4:$A$21,0))*$R112*INDEX(Parameters!$X$4:$AA$4,1,MATCH($E112,Parameters!$X$3:$AA$3,0))),T112*(1+INDEX(Response_Table!$E$4:$E$21,MATCH($F112&amp;"|high",Response_Table!$A$4:$A$21,0))*$R112*INDEX(Parameters!$X$4:$AA$4,1,MATCH($E112,Parameters!$X$3:$AA$3,0))))*(1-Inputs_General!$C$22*Parameters!$F$4))</f>
        <v>77.1483417033647</v>
      </c>
      <c r="W112" s="44" t="n">
        <f aca="false">MIN(100,MAX(T112*(1+INDEX(Response_Table!$E$4:$E$21,MATCH($F112&amp;"|low",Response_Table!$A$4:$A$21,0))*$R112*INDEX(Parameters!$X$4:$AA$4,1,MATCH($E112,Parameters!$X$3:$AA$3,0))),T112*(1+INDEX(Response_Table!$E$4:$E$21,MATCH($F112&amp;"|high",Response_Table!$A$4:$A$21,0))*$R112*INDEX(Parameters!$X$4:$AA$4,1,MATCH($E112,Parameters!$X$3:$AA$3,0))))*(1+Inputs_General!$C$22*Parameters!$F$4))</f>
        <v>88.6433160793479</v>
      </c>
      <c r="X112" s="45" t="n">
        <f aca="false">IF(T112=0,0,U112/T112-1)</f>
        <v>-0.00474247268080141</v>
      </c>
      <c r="Y112" s="44" t="n">
        <f aca="false">Parameters!$E$5*IF($N112="V",Parameters!$I$5,IF($N112="F",Parameters!$J$5,Parameters!$K$5))*(1-Parameters!$L$5*$P112)*IF($D112="V1",Parameters!$M$5,IF($D112="V2",Parameters!$N$5,Parameters!$O$5))</f>
        <v>66.88584</v>
      </c>
      <c r="Z112" s="44" t="n">
        <f aca="false">MIN(100,Y112*(1+INDEX(Response_Table!$F$4:$F$21,MATCH($F112&amp;"|mid",Response_Table!$A$4:$A$21,0))*$R112*INDEX(Parameters!$X$5:$AA$5,1,MATCH($E112,Parameters!$X$3:$AA$3,0))))</f>
        <v>65.8732542838952</v>
      </c>
      <c r="AA112" s="44" t="n">
        <f aca="false">MAX(0,MIN(Y112*(1+INDEX(Response_Table!$F$4:$F$21,MATCH($F112&amp;"|low",Response_Table!$A$4:$A$21,0))*$R112*INDEX(Parameters!$X$5:$AA$5,1,MATCH($E112,Parameters!$X$3:$AA$3,0))),Y112*(1+INDEX(Response_Table!$F$4:$F$21,MATCH($F112&amp;"|high",Response_Table!$A$4:$A$21,0))*$R112*INDEX(Parameters!$X$5:$AA$5,1,MATCH($E112,Parameters!$X$3:$AA$3,0))))*(1-Inputs_General!$C$22*Parameters!$F$5))</f>
        <v>57.5500061260851</v>
      </c>
      <c r="AB112" s="44" t="n">
        <f aca="false">MIN(100,MAX(Y112*(1+INDEX(Response_Table!$F$4:$F$21,MATCH($F112&amp;"|low",Response_Table!$A$4:$A$21,0))*$R112*INDEX(Parameters!$X$5:$AA$5,1,MATCH($E112,Parameters!$X$3:$AA$3,0))),Y112*(1+INDEX(Response_Table!$F$4:$F$21,MATCH($F112&amp;"|high",Response_Table!$A$4:$A$21,0))*$R112*INDEX(Parameters!$X$5:$AA$5,1,MATCH($E112,Parameters!$X$3:$AA$3,0))))*(1+Inputs_General!$C$22*Parameters!$F$5))</f>
        <v>74.2435679431691</v>
      </c>
      <c r="AC112" s="45" t="n">
        <f aca="false">IF(Y112=0,0,Z112/Y112-1)</f>
        <v>-0.0151390147167895</v>
      </c>
      <c r="AD112" s="44" t="n">
        <f aca="false">Parameters!$E$6*IF($N112="V",Parameters!$I$6,IF($N112="F",Parameters!$J$6,Parameters!$K$6))*(1-Parameters!$L$6*$P112)*IF($D112="V1",Parameters!$M$6,IF($D112="V2",Parameters!$N$6,Parameters!$O$6))</f>
        <v>18.0106428571429</v>
      </c>
      <c r="AE112" s="44" t="n">
        <f aca="false">AD112*(1+INDEX(Response_Table!$G$4:$G$21,MATCH($F112&amp;"|mid",Response_Table!$A$4:$A$21,0))*$R112*INDEX(Parameters!$X$6:$AA$6,1,MATCH($E112,Parameters!$X$3:$AA$3,0)))</f>
        <v>16.1732208638444</v>
      </c>
      <c r="AF112" s="44" t="n">
        <f aca="false">MAX(0,MIN(AD112*(1+INDEX(Response_Table!$G$4:$G$21,MATCH($F112&amp;"|low",Response_Table!$A$4:$A$21,0))*$R112*INDEX(Parameters!$X$6:$AA$6,1,MATCH($E112,Parameters!$X$3:$AA$3,0))),AD112*(1+INDEX(Response_Table!$G$4:$G$21,MATCH($F112&amp;"|high",Response_Table!$A$4:$A$21,0))*$R112*INDEX(Parameters!$X$6:$AA$6,1,MATCH($E112,Parameters!$X$3:$AA$3,0))))*(1-Inputs_General!$C$22*Parameters!$F$6))</f>
        <v>12.1002488550559</v>
      </c>
      <c r="AG112" s="44" t="n">
        <f aca="false">MAX(AD112*(1+INDEX(Response_Table!$G$4:$G$21,MATCH($F112&amp;"|low",Response_Table!$A$4:$A$21,0))*$R112*INDEX(Parameters!$X$6:$AA$6,1,MATCH($E112,Parameters!$X$3:$AA$3,0))),AD112*(1+INDEX(Response_Table!$G$4:$G$21,MATCH($F112&amp;"|high",Response_Table!$A$4:$A$21,0))*$R112*INDEX(Parameters!$X$6:$AA$6,1,MATCH($E112,Parameters!$X$3:$AA$3,0))))*(1+Inputs_General!$C$22*Parameters!$F$6)</f>
        <v>20.8000727181572</v>
      </c>
      <c r="AH112" s="45" t="n">
        <f aca="false">IF(AD112=0,0,AE112/AD112-1)</f>
        <v>-0.102018679059517</v>
      </c>
      <c r="AI112" s="46" t="n">
        <f aca="false">Parameters!$E$7*IF($N112="V",Parameters!$I$7,IF($N112="F",Parameters!$J$7,Parameters!$K$7))*(1-Parameters!$L$7*$P112)*IF($D112="V1",Parameters!$M$7,IF($D112="V2",Parameters!$N$7,Parameters!$O$7))*POWER($Q112/Inputs_General!$C$26,-Inputs_General!$C$25)</f>
        <v>0.341191629407368</v>
      </c>
      <c r="AJ112" s="46" t="n">
        <f aca="false">AI112*(1+INDEX(Response_Table!$H$4:$H$21,MATCH($F112&amp;"|mid",Response_Table!$A$4:$A$21,0))*$R112*INDEX(Parameters!$X$7:$AA$7,1,MATCH($E112,Parameters!$X$3:$AA$3,0)))</f>
        <v>0.320194968623362</v>
      </c>
      <c r="AK112" s="46" t="n">
        <f aca="false">MAX(0,MIN(AI112*(1+INDEX(Response_Table!$H$4:$H$21,MATCH($F112&amp;"|low",Response_Table!$A$4:$A$21,0))*$R112*INDEX(Parameters!$X$7:$AA$7,1,MATCH($E112,Parameters!$X$3:$AA$3,0))),AI112*(1+INDEX(Response_Table!$H$4:$H$21,MATCH($F112&amp;"|high",Response_Table!$A$4:$A$21,0))*$R112*INDEX(Parameters!$X$7:$AA$7,1,MATCH($E112,Parameters!$X$3:$AA$3,0))))*(1-Inputs_General!$C$22*Parameters!$F$7))</f>
        <v>0.216245864837781</v>
      </c>
      <c r="AL112" s="46" t="n">
        <f aca="false">MAX(AI112*(1+INDEX(Response_Table!$H$4:$H$21,MATCH($F112&amp;"|low",Response_Table!$A$4:$A$21,0))*$R112*INDEX(Parameters!$X$7:$AA$7,1,MATCH($E112,Parameters!$X$3:$AA$3,0))),AI112*(1+INDEX(Response_Table!$H$4:$H$21,MATCH($F112&amp;"|high",Response_Table!$A$4:$A$21,0))*$R112*INDEX(Parameters!$X$7:$AA$7,1,MATCH($E112,Parameters!$X$3:$AA$3,0))))*(1+Inputs_General!$C$22*Parameters!$F$7)</f>
        <v>0.432873756237273</v>
      </c>
      <c r="AM112" s="45" t="n">
        <f aca="false">IF(AI112=0,0,AJ112/AI112-1)</f>
        <v>-0.0615392025310718</v>
      </c>
      <c r="AN112" s="43" t="n">
        <f aca="false">AI112*$Q112/Inputs_General!$C$13*1000</f>
        <v>5.97691956280819</v>
      </c>
      <c r="AO112" s="43" t="n">
        <f aca="false">AJ112*$Q112/Inputs_General!$C$13*1000*(1+Inputs_General!$C$21*$I112)</f>
        <v>5.65117298456552</v>
      </c>
      <c r="AP112" s="43" t="n">
        <f aca="false">AK112*$Q112/Inputs_General!$C$13*1000*(1+Inputs_General!$C$21*$H112)</f>
        <v>3.79761763946469</v>
      </c>
      <c r="AQ112" s="43" t="n">
        <f aca="false">AL112*$Q112/Inputs_General!$C$13*1000*(1+Inputs_General!$C$21*$J112)</f>
        <v>7.6777741344488</v>
      </c>
      <c r="AR112" s="45" t="n">
        <f aca="false">IF(AN112=0,0,AO112/AN112-1)</f>
        <v>-0.0545007465500549</v>
      </c>
      <c r="AS112" s="42" t="n">
        <f aca="false">Parameters!$E$9*IF($N112="V",Parameters!$I$9,IF($N112="F",Parameters!$J$9,Parameters!$K$9))*(1-Parameters!$L$9*$P112)*IF($D112="V1",Parameters!$M$9,IF($D112="V2",Parameters!$N$9,Parameters!$O$9))</f>
        <v>285</v>
      </c>
      <c r="AT112" s="42" t="n">
        <f aca="false">AS112*(1+INDEX(Response_Table!$I$4:$I$21,MATCH($F112&amp;"|mid",Response_Table!$A$4:$A$21,0))*$R112*INDEX(Parameters!$X$9:$AA$9,1,MATCH($E112,Parameters!$X$3:$AA$3,0)))</f>
        <v>295.635132926751</v>
      </c>
      <c r="AU112" s="42" t="n">
        <f aca="false">MAX(0,MIN(AS112*(1+INDEX(Response_Table!$I$4:$I$21,MATCH($F112&amp;"|low",Response_Table!$A$4:$A$21,0))*$R112*INDEX(Parameters!$X$9:$AA$9,1,MATCH($E112,Parameters!$X$3:$AA$3,0))),AS112*(1+INDEX(Response_Table!$I$4:$I$21,MATCH($F112&amp;"|high",Response_Table!$A$4:$A$21,0))*$R112*INDEX(Parameters!$X$9:$AA$9,1,MATCH($E112,Parameters!$X$3:$AA$3,0))))*(1-Inputs_General!$C$22*Parameters!$F$9))</f>
        <v>260.194272002174</v>
      </c>
      <c r="AV112" s="42" t="n">
        <f aca="false">MAX(AS112*(1+INDEX(Response_Table!$I$4:$I$21,MATCH($F112&amp;"|low",Response_Table!$A$4:$A$21,0))*$R112*INDEX(Parameters!$X$9:$AA$9,1,MATCH($E112,Parameters!$X$3:$AA$3,0))),AS112*(1+INDEX(Response_Table!$I$4:$I$21,MATCH($F112&amp;"|high",Response_Table!$A$4:$A$21,0))*$R112*INDEX(Parameters!$X$9:$AA$9,1,MATCH($E112,Parameters!$X$3:$AA$3,0))))*(1+Inputs_General!$C$22*Parameters!$F$9)</f>
        <v>331.860547055842</v>
      </c>
      <c r="AW112" s="45" t="n">
        <f aca="false">IF(AS112=0,0,AT112/AS112-1)</f>
        <v>0.037316255883338</v>
      </c>
      <c r="AX112" s="43" t="n">
        <f aca="false">INDEX(Context!$AB$4:$AB$51,$K112)</f>
        <v>3.07951475277641</v>
      </c>
      <c r="AY112" s="43" t="n">
        <f aca="false">AX112*(1+INDEX(Response_Table!$J$4:$J$21,MATCH($F112&amp;"|mid",Response_Table!$A$4:$A$21,0))*$R112*INDEX(Parameters!$X$10:$AA$10,1,MATCH($E112,Parameters!$X$3:$AA$3,0)))</f>
        <v>2.96936982785789</v>
      </c>
      <c r="AZ112" s="43" t="n">
        <f aca="false">MAX(0,MIN(AX112*(1+INDEX(Response_Table!$J$4:$J$21,MATCH($F112&amp;"|low",Response_Table!$A$4:$A$21,0))*$R112*INDEX(Parameters!$X$10:$AA$10,1,MATCH($E112,Parameters!$X$3:$AA$3,0))),AX112*(1+INDEX(Response_Table!$J$4:$J$21,MATCH($F112&amp;"|high",Response_Table!$A$4:$A$21,0))*$R112*INDEX(Parameters!$X$10:$AA$10,1,MATCH($E112,Parameters!$X$3:$AA$3,0))))*(1-Inputs_General!$C$22*Parameters!$F$10))</f>
        <v>2.32785923767544</v>
      </c>
      <c r="BA112" s="43" t="n">
        <f aca="false">MAX(AX112*(1+INDEX(Response_Table!$J$4:$J$21,MATCH($F112&amp;"|low",Response_Table!$A$4:$A$21,0))*$R112*INDEX(Parameters!$X$10:$AA$10,1,MATCH($E112,Parameters!$X$3:$AA$3,0))),AX112*(1+INDEX(Response_Table!$J$4:$J$21,MATCH($F112&amp;"|high",Response_Table!$A$4:$A$21,0))*$R112*INDEX(Parameters!$X$10:$AA$10,1,MATCH($E112,Parameters!$X$3:$AA$3,0))))*(1+Inputs_General!$C$22*Parameters!$F$10)</f>
        <v>3.64234492692359</v>
      </c>
      <c r="BB112" s="45" t="n">
        <f aca="false">IF(AX112=0,0,AY112/AX112-1)</f>
        <v>-0.0357669742673663</v>
      </c>
      <c r="BC112" s="46" t="n">
        <f aca="false">Parameters!$E$11*IF($N112="V",Parameters!$I$11,IF($N112="F",Parameters!$J$11,Parameters!$K$11))*(1-Parameters!$L$11*$P112)*IF($D112="V1",Parameters!$M$11,IF($D112="V2",Parameters!$N$11,Parameters!$O$11))</f>
        <v>1.21745535714286</v>
      </c>
      <c r="BD112" s="46" t="n">
        <f aca="false">BC112*(1+INDEX(Response_Table!$K$4:$K$21,MATCH($F112&amp;"|mid",Response_Table!$A$4:$A$21,0))*$R112*INDEX(Parameters!$X$11:$AA$11,1,MATCH($E112,Parameters!$X$3:$AA$3,0)))</f>
        <v>1.13777506072678</v>
      </c>
      <c r="BE112" s="46" t="n">
        <f aca="false">MAX(0,MIN(BC112*(1+INDEX(Response_Table!$K$4:$K$21,MATCH($F112&amp;"|low",Response_Table!$A$4:$A$21,0))*$R112*INDEX(Parameters!$X$11:$AA$11,1,MATCH($E112,Parameters!$X$3:$AA$3,0))),BC112*(1+INDEX(Response_Table!$K$4:$K$21,MATCH($F112&amp;"|high",Response_Table!$A$4:$A$21,0))*$R112*INDEX(Parameters!$X$11:$AA$11,1,MATCH($E112,Parameters!$X$3:$AA$3,0))))*(1-Inputs_General!$C$22*Parameters!$F$11))</f>
        <v>0.909650120986928</v>
      </c>
      <c r="BF112" s="46" t="n">
        <f aca="false">MAX(BC112*(1+INDEX(Response_Table!$K$4:$K$21,MATCH($F112&amp;"|low",Response_Table!$A$4:$A$21,0))*$R112*INDEX(Parameters!$X$11:$AA$11,1,MATCH($E112,Parameters!$X$3:$AA$3,0))),BC112*(1+INDEX(Response_Table!$K$4:$K$21,MATCH($F112&amp;"|high",Response_Table!$A$4:$A$21,0))*$R112*INDEX(Parameters!$X$11:$AA$11,1,MATCH($E112,Parameters!$X$3:$AA$3,0))))*(1+Inputs_General!$C$22*Parameters!$F$11)</f>
        <v>1.38580268445108</v>
      </c>
      <c r="BG112" s="45" t="n">
        <f aca="false">IF(BC112=0,0,BD112/BC112-1)</f>
        <v>-0.0654482285108751</v>
      </c>
      <c r="BH112" s="46" t="n">
        <f aca="false">Parameters!$E$12*IF($N112="V",Parameters!$I$12,IF($N112="F",Parameters!$J$12,Parameters!$K$12))*(1-Parameters!$L$12*$P112)*IF($D112="V1",Parameters!$M$12,IF($D112="V2",Parameters!$N$12,Parameters!$O$12))</f>
        <v>0.438283928571429</v>
      </c>
      <c r="BI112" s="46" t="n">
        <f aca="false">BH112*(1+INDEX(Response_Table!$L$4:$L$21,MATCH($F112&amp;"|mid",Response_Table!$A$4:$A$21,0))*$R112*INDEX(Parameters!$X$12:$AA$12,1,MATCH($E112,Parameters!$X$3:$AA$3,0)))</f>
        <v>0.415461768732107</v>
      </c>
      <c r="BJ112" s="46" t="n">
        <f aca="false">MAX(0,MIN(BH112*(1+INDEX(Response_Table!$L$4:$L$21,MATCH($F112&amp;"|low",Response_Table!$A$4:$A$21,0))*$R112*INDEX(Parameters!$X$12:$AA$12,1,MATCH($E112,Parameters!$X$3:$AA$3,0))),BH112*(1+INDEX(Response_Table!$L$4:$L$21,MATCH($F112&amp;"|high",Response_Table!$A$4:$A$21,0))*$R112*INDEX(Parameters!$X$12:$AA$12,1,MATCH($E112,Parameters!$X$3:$AA$3,0))))*(1-Inputs_General!$C$22*Parameters!$F$12))</f>
        <v>0.322122713907657</v>
      </c>
      <c r="BK112" s="46" t="n">
        <f aca="false">MAX(BH112*(1+INDEX(Response_Table!$L$4:$L$21,MATCH($F112&amp;"|low",Response_Table!$A$4:$A$21,0))*$R112*INDEX(Parameters!$X$12:$AA$12,1,MATCH($E112,Parameters!$X$3:$AA$3,0))),BH112*(1+INDEX(Response_Table!$L$4:$L$21,MATCH($F112&amp;"|high",Response_Table!$A$4:$A$21,0))*$R112*INDEX(Parameters!$X$12:$AA$12,1,MATCH($E112,Parameters!$X$3:$AA$3,0))))*(1+Inputs_General!$C$22*Parameters!$F$12)</f>
        <v>0.515417493726525</v>
      </c>
      <c r="BL112" s="45" t="n">
        <f aca="false">IF(BH112=0,0,BI112/BH112-1)</f>
        <v>-0.052071632910907</v>
      </c>
      <c r="BM112" s="46" t="n">
        <f aca="false">Parameters!$E$13*IF($N112="V",Parameters!$I$13,IF($N112="F",Parameters!$J$13,Parameters!$K$13))*(1-Parameters!$L$13*$P112)*IF($D112="V1",Parameters!$M$13,IF($D112="V2",Parameters!$N$13,Parameters!$O$13))</f>
        <v>0.296094642857143</v>
      </c>
      <c r="BN112" s="46" t="n">
        <f aca="false">BM112*(1+INDEX(Response_Table!$M$4:$M$21,MATCH($F112&amp;"|mid",Response_Table!$A$4:$A$21,0))*$R112*INDEX(Parameters!$X$13:$AA$13,1,MATCH($E112,Parameters!$X$3:$AA$3,0)))</f>
        <v>0.304558082103307</v>
      </c>
      <c r="BO112" s="46" t="n">
        <f aca="false">MAX(0,MIN(BM112*(1+INDEX(Response_Table!$M$4:$M$21,MATCH($F112&amp;"|low",Response_Table!$A$4:$A$21,0))*$R112*INDEX(Parameters!$X$13:$AA$13,1,MATCH($E112,Parameters!$X$3:$AA$3,0))),BM112*(1+INDEX(Response_Table!$M$4:$M$21,MATCH($F112&amp;"|high",Response_Table!$A$4:$A$21,0))*$R112*INDEX(Parameters!$X$13:$AA$13,1,MATCH($E112,Parameters!$X$3:$AA$3,0))))*(1-Inputs_General!$C$22*Parameters!$F$13))</f>
        <v>0.240984877106815</v>
      </c>
      <c r="BP112" s="46" t="n">
        <f aca="false">MAX(BM112*(1+INDEX(Response_Table!$M$4:$M$21,MATCH($F112&amp;"|low",Response_Table!$A$4:$A$21,0))*$R112*INDEX(Parameters!$X$13:$AA$13,1,MATCH($E112,Parameters!$X$3:$AA$3,0))),BM112*(1+INDEX(Response_Table!$M$4:$M$21,MATCH($F112&amp;"|high",Response_Table!$A$4:$A$21,0))*$R112*INDEX(Parameters!$X$13:$AA$13,1,MATCH($E112,Parameters!$X$3:$AA$3,0))))*(1+Inputs_General!$C$22*Parameters!$F$13)</f>
        <v>0.36496418363522</v>
      </c>
      <c r="BQ112" s="45" t="n">
        <f aca="false">IF(BM112=0,0,BN112/BM112-1)</f>
        <v>0.0285835608658662</v>
      </c>
      <c r="BR112" s="44" t="n">
        <f aca="false">Parameters!$E$14*IF($N112="V",Parameters!$I$14,IF($N112="F",Parameters!$J$14,Parameters!$K$14))*(1-Parameters!$L$14*$P112)*IF($D112="V1",Parameters!$M$14,IF($D112="V2",Parameters!$N$14,Parameters!$O$14))*INDEX(Context!$AC$4:$AC$51,$K112)</f>
        <v>15</v>
      </c>
      <c r="BS112" s="44" t="n">
        <f aca="false">BR112*(1+INDEX(Response_Table!$N$4:$N$21,MATCH($F112&amp;"|mid",Response_Table!$A$4:$A$21,0))*$R112*INDEX(Parameters!$X$14:$AA$14,1,MATCH($E112,Parameters!$X$3:$AA$3,0)))</f>
        <v>15.8520812658148</v>
      </c>
      <c r="BT112" s="44" t="n">
        <f aca="false">MAX(0,MIN(BR112*(1+INDEX(Response_Table!$N$4:$N$21,MATCH($F112&amp;"|low",Response_Table!$A$4:$A$21,0))*$R112*INDEX(Parameters!$X$14:$AA$14,1,MATCH($E112,Parameters!$X$3:$AA$3,0))),BR112*(1+INDEX(Response_Table!$N$4:$N$21,MATCH($F112&amp;"|high",Response_Table!$A$4:$A$21,0))*$R112*INDEX(Parameters!$X$14:$AA$14,1,MATCH($E112,Parameters!$X$3:$AA$3,0))))*(1-Inputs_General!$C$22*Parameters!$F$14))</f>
        <v>7.74569643885104</v>
      </c>
      <c r="BU112" s="44" t="n">
        <f aca="false">MAX(BR112*(1+INDEX(Response_Table!$N$4:$N$21,MATCH($F112&amp;"|low",Response_Table!$A$4:$A$21,0))*$R112*INDEX(Parameters!$X$14:$AA$14,1,MATCH($E112,Parameters!$X$3:$AA$3,0))),BR112*(1+INDEX(Response_Table!$N$4:$N$21,MATCH($F112&amp;"|high",Response_Table!$A$4:$A$21,0))*$R112*INDEX(Parameters!$X$14:$AA$14,1,MATCH($E112,Parameters!$X$3:$AA$3,0))))*(1+Inputs_General!$C$22*Parameters!$F$14)</f>
        <v>24.4620231083708</v>
      </c>
      <c r="BV112" s="45" t="n">
        <f aca="false">IF(BR112=0,0,BS112/BR112-1)</f>
        <v>0.0568054177209894</v>
      </c>
      <c r="BW112" s="43" t="n">
        <f aca="false">Parameters!$E$15*IF($N112="V",Parameters!$I$15,IF($N112="F",Parameters!$J$15,Parameters!$K$15))*(1-Parameters!$L$15*$P112)*IF($D112="V1",Parameters!$M$15,IF($D112="V2",Parameters!$N$15,Parameters!$O$15))</f>
        <v>10.5188142857143</v>
      </c>
      <c r="BX112" s="43" t="n">
        <f aca="false">BW112*(1+INDEX(Response_Table!$O$4:$O$21,MATCH($F112&amp;"|mid",Response_Table!$A$4:$A$21,0))*$R112*INDEX(Parameters!$X$15:$AA$15,1,MATCH($E112,Parameters!$X$3:$AA$3,0)))</f>
        <v>10.3694328758569</v>
      </c>
      <c r="BY112" s="43" t="n">
        <f aca="false">MAX(0,MIN(BW112*(1+INDEX(Response_Table!$O$4:$O$21,MATCH($F112&amp;"|low",Response_Table!$A$4:$A$21,0))*$R112*INDEX(Parameters!$X$15:$AA$15,1,MATCH($E112,Parameters!$X$3:$AA$3,0))),BW112*(1+INDEX(Response_Table!$O$4:$O$21,MATCH($F112&amp;"|high",Response_Table!$A$4:$A$21,0))*$R112*INDEX(Parameters!$X$15:$AA$15,1,MATCH($E112,Parameters!$X$3:$AA$3,0))))*(1-Inputs_General!$C$22*Parameters!$F$15))</f>
        <v>8.24836710609687</v>
      </c>
      <c r="BZ112" s="43" t="n">
        <f aca="false">MAX(BW112*(1+INDEX(Response_Table!$O$4:$O$21,MATCH($F112&amp;"|low",Response_Table!$A$4:$A$21,0))*$R112*INDEX(Parameters!$X$15:$AA$15,1,MATCH($E112,Parameters!$X$3:$AA$3,0))),BW112*(1+INDEX(Response_Table!$O$4:$O$21,MATCH($F112&amp;"|high",Response_Table!$A$4:$A$21,0))*$R112*INDEX(Parameters!$X$15:$AA$15,1,MATCH($E112,Parameters!$X$3:$AA$3,0))))*(1+Inputs_General!$C$22*Parameters!$F$15)</f>
        <v>12.5338077594567</v>
      </c>
      <c r="CA112" s="45" t="n">
        <f aca="false">IF(BW112=0,0,BX112/BW112-1)</f>
        <v>-0.0142013544302474</v>
      </c>
      <c r="CB112" s="46" t="n">
        <f aca="false">BD112+BI112</f>
        <v>1.55323682945889</v>
      </c>
      <c r="CC112" s="43" t="n">
        <f aca="false">BD112/BI112</f>
        <v>2.73857944666969</v>
      </c>
      <c r="CD112" s="46" t="n">
        <f aca="false">BN112/CB112</f>
        <v>0.196079616660524</v>
      </c>
      <c r="CE112" s="43" t="n">
        <f aca="false">AE112/AO112</f>
        <v>2.8619228093029</v>
      </c>
      <c r="CF112" s="44" t="n">
        <f aca="false">AE112/AJ112</f>
        <v>50.5105402916828</v>
      </c>
      <c r="CG112" s="44" t="n">
        <f aca="false">INDEX(Context!$V$4:$V$51,$K112)</f>
        <v>28.62</v>
      </c>
      <c r="CH112" s="44" t="n">
        <f aca="false">INDEX(Context!$Y$4:$Y$51,$K112)</f>
        <v>25.3060134606718</v>
      </c>
      <c r="CI112" s="44" t="n">
        <f aca="false">INDEX(Context!$Z$4:$Z$51,$K112)</f>
        <v>32.62</v>
      </c>
      <c r="CJ112" s="43" t="n">
        <f aca="false">INDEX(Context!$AA$4:$AA$51,$K112)</f>
        <v>0.221696428571429</v>
      </c>
      <c r="CK112" s="43" t="n">
        <f aca="false">MAX(0,MIN(1,1-(1-CJ112)*AO112/AN112))</f>
        <v>0.26411455425686</v>
      </c>
      <c r="CL112" s="44" t="n">
        <f aca="false">CH112+CK112*(CI112-CH112)</f>
        <v>27.2377437553471</v>
      </c>
      <c r="CM112" s="44" t="n">
        <f aca="false">CH112+MAX(0,MIN(1,1-(1-CJ112)*AQ112/AN112))*(CI112-CH112)</f>
        <v>25.3075804557682</v>
      </c>
      <c r="CN112" s="44" t="n">
        <f aca="false">CH112+MAX(0,MIN(1,1-(1-CJ112)*AP112/AN112))*(CI112-CH112)</f>
        <v>29.0030958084918</v>
      </c>
      <c r="CO112" s="44" t="n">
        <f aca="false">CL112-CG112</f>
        <v>-1.38225624465289</v>
      </c>
      <c r="CP112" s="44" t="n">
        <f aca="false">CL112-(CH112+CJ112*(CI112-CH112))</f>
        <v>0.310245600286777</v>
      </c>
      <c r="CQ112" s="46" t="n">
        <f aca="false">CL112/CG112</f>
        <v>0.951703136105769</v>
      </c>
      <c r="CR112" s="43" t="n">
        <f aca="false">IF(CL112-CH112&lt;=0,"n/a",(CI112-CL112)/(CL112-CH112))</f>
        <v>2.78623587334558</v>
      </c>
      <c r="CS112" s="43" t="n">
        <f aca="false">IF(CI112-CL112&lt;=0,"n/a",(CL112-CH112)/(CI112-CL112))</f>
        <v>0.358907158423471</v>
      </c>
      <c r="CT112" s="43" t="n">
        <f aca="false">Inputs_General!$C$23+Inputs_General!$C$24*$I112</f>
        <v>0.66</v>
      </c>
      <c r="CU112" s="44" t="n">
        <f aca="false">3.29*CT112</f>
        <v>2.1714</v>
      </c>
    </row>
    <row r="113" customFormat="false" ht="15" hidden="false" customHeight="false" outlineLevel="0" collapsed="false">
      <c r="A113" s="9" t="str">
        <f aca="false">B113&amp;"|"&amp;E113&amp;"|"&amp;F113</f>
        <v>D2V2|03/03/2026|Low</v>
      </c>
      <c r="B113" s="7" t="s">
        <v>347</v>
      </c>
      <c r="C113" s="9" t="s">
        <v>129</v>
      </c>
      <c r="D113" s="9" t="s">
        <v>146</v>
      </c>
      <c r="E113" s="9" t="s">
        <v>162</v>
      </c>
      <c r="F113" s="7" t="s">
        <v>279</v>
      </c>
      <c r="G113" s="9" t="s">
        <v>280</v>
      </c>
      <c r="H113" s="41" t="n">
        <f aca="false">INDEX(Severity_Classes!$C$4:$C$9,MATCH(F113,Severity_Classes!$A$4:$A$9,0))</f>
        <v>0.06</v>
      </c>
      <c r="I113" s="41" t="n">
        <f aca="false">INDEX(Severity_Classes!$D$4:$D$9,MATCH(F113,Severity_Classes!$A$4:$A$9,0))</f>
        <v>0.08</v>
      </c>
      <c r="J113" s="41" t="n">
        <f aca="false">INDEX(Severity_Classes!$E$4:$E$9,MATCH(F113,Severity_Classes!$A$4:$A$9,0))</f>
        <v>0.1</v>
      </c>
      <c r="K113" s="42" t="n">
        <f aca="false">MATCH(B113&amp;"|"&amp;E113,Context!$A$4:$A$51,0)</f>
        <v>19</v>
      </c>
      <c r="L113" s="42" t="n">
        <f aca="false">INDEX(Context!$H$4:$H$51,K113)</f>
        <v>75</v>
      </c>
      <c r="M113" s="42" t="n">
        <f aca="false">INDEX(Context!$I$4:$I$51,K113)</f>
        <v>26</v>
      </c>
      <c r="N113" s="9" t="str">
        <f aca="false">INDEX(Context!$L$4:$L$51,K113)</f>
        <v>F</v>
      </c>
      <c r="O113" s="9" t="str">
        <f aca="false">INDEX(Context!$M$4:$M$51,K113)</f>
        <v>5th fully expanded leaf from top</v>
      </c>
      <c r="P113" s="43" t="n">
        <f aca="false">INDEX(Context!$R$4:$R$51,K113)</f>
        <v>0.433928571428571</v>
      </c>
      <c r="Q113" s="43" t="n">
        <f aca="false">INDEX(Context!$U$4:$U$51,K113)</f>
        <v>1.73951545534029</v>
      </c>
      <c r="R113" s="43" t="n">
        <f aca="false">INDEX(Context!$AD$4:$AD$51,K113)</f>
        <v>1.1</v>
      </c>
      <c r="S113" s="9" t="str">
        <f aca="false">INDEX(Context!$AI$4:$AN$51,K113,MATCH(F113,Severity_Classes!$A$4:$A$9,0))</f>
        <v>Possible</v>
      </c>
      <c r="T113" s="44" t="n">
        <f aca="false">Parameters!$E$4*IF($N113="V",Parameters!$I$4,IF($N113="F",Parameters!$J$4,Parameters!$K$4))*(1-Parameters!$L$4*$P113)*IF($D113="V1",Parameters!$M$4,IF($D113="V2",Parameters!$N$4,Parameters!$O$4))</f>
        <v>83.2927660714286</v>
      </c>
      <c r="U113" s="44" t="n">
        <f aca="false">MIN(100,T113*(1+INDEX(Response_Table!$E$4:$E$21,MATCH($F113&amp;"|mid",Response_Table!$A$4:$A$21,0))*$R113*INDEX(Parameters!$X$4:$AA$4,1,MATCH($E113,Parameters!$X$3:$AA$3,0))))</f>
        <v>82.0175131994377</v>
      </c>
      <c r="V113" s="44" t="n">
        <f aca="false">MAX(0,MIN(T113*(1+INDEX(Response_Table!$E$4:$E$21,MATCH($F113&amp;"|low",Response_Table!$A$4:$A$21,0))*$R113*INDEX(Parameters!$X$4:$AA$4,1,MATCH($E113,Parameters!$X$3:$AA$3,0))),T113*(1+INDEX(Response_Table!$E$4:$E$21,MATCH($F113&amp;"|high",Response_Table!$A$4:$A$21,0))*$R113*INDEX(Parameters!$X$4:$AA$4,1,MATCH($E113,Parameters!$X$3:$AA$3,0))))*(1-Inputs_General!$C$22*Parameters!$F$4))</f>
        <v>76.2045203833694</v>
      </c>
      <c r="W113" s="44" t="n">
        <f aca="false">MIN(100,MAX(T113*(1+INDEX(Response_Table!$E$4:$E$21,MATCH($F113&amp;"|low",Response_Table!$A$4:$A$21,0))*$R113*INDEX(Parameters!$X$4:$AA$4,1,MATCH($E113,Parameters!$X$3:$AA$3,0))),T113*(1+INDEX(Response_Table!$E$4:$E$21,MATCH($F113&amp;"|high",Response_Table!$A$4:$A$21,0))*$R113*INDEX(Parameters!$X$4:$AA$4,1,MATCH($E113,Parameters!$X$3:$AA$3,0))))*(1+Inputs_General!$C$22*Parameters!$F$4))</f>
        <v>87.8292652384713</v>
      </c>
      <c r="X113" s="45" t="n">
        <f aca="false">IF(T113=0,0,U113/T113-1)</f>
        <v>-0.0153104877186722</v>
      </c>
      <c r="Y113" s="44" t="n">
        <f aca="false">Parameters!$E$5*IF($N113="V",Parameters!$I$5,IF($N113="F",Parameters!$J$5,Parameters!$K$5))*(1-Parameters!$L$5*$P113)*IF($D113="V1",Parameters!$M$5,IF($D113="V2",Parameters!$N$5,Parameters!$O$5))</f>
        <v>66.88584</v>
      </c>
      <c r="Z113" s="44" t="n">
        <f aca="false">MIN(100,Y113*(1+INDEX(Response_Table!$F$4:$F$21,MATCH($F113&amp;"|mid",Response_Table!$A$4:$A$21,0))*$R113*INDEX(Parameters!$X$5:$AA$5,1,MATCH($E113,Parameters!$X$3:$AA$3,0))))</f>
        <v>63.5051601403664</v>
      </c>
      <c r="AA113" s="44" t="n">
        <f aca="false">MAX(0,MIN(Y113*(1+INDEX(Response_Table!$F$4:$F$21,MATCH($F113&amp;"|low",Response_Table!$A$4:$A$21,0))*$R113*INDEX(Parameters!$X$5:$AA$5,1,MATCH($E113,Parameters!$X$3:$AA$3,0))),Y113*(1+INDEX(Response_Table!$F$4:$F$21,MATCH($F113&amp;"|high",Response_Table!$A$4:$A$21,0))*$R113*INDEX(Parameters!$X$5:$AA$5,1,MATCH($E113,Parameters!$X$3:$AA$3,0))))*(1-Inputs_General!$C$22*Parameters!$F$5))</f>
        <v>55.09766531103</v>
      </c>
      <c r="AB113" s="44" t="n">
        <f aca="false">MIN(100,MAX(Y113*(1+INDEX(Response_Table!$F$4:$F$21,MATCH($F113&amp;"|low",Response_Table!$A$4:$A$21,0))*$R113*INDEX(Parameters!$X$5:$AA$5,1,MATCH($E113,Parameters!$X$3:$AA$3,0))),Y113*(1+INDEX(Response_Table!$F$4:$F$21,MATCH($F113&amp;"|high",Response_Table!$A$4:$A$21,0))*$R113*INDEX(Parameters!$X$5:$AA$5,1,MATCH($E113,Parameters!$X$3:$AA$3,0))))*(1+Inputs_General!$C$22*Parameters!$F$5))</f>
        <v>72.0029196029376</v>
      </c>
      <c r="AC113" s="45" t="n">
        <f aca="false">IF(Y113=0,0,Z113/Y113-1)</f>
        <v>-0.0505440293436337</v>
      </c>
      <c r="AD113" s="44" t="n">
        <f aca="false">Parameters!$E$6*IF($N113="V",Parameters!$I$6,IF($N113="F",Parameters!$J$6,Parameters!$K$6))*(1-Parameters!$L$6*$P113)*IF($D113="V1",Parameters!$M$6,IF($D113="V2",Parameters!$N$6,Parameters!$O$6))</f>
        <v>18.0106428571429</v>
      </c>
      <c r="AE113" s="44" t="n">
        <f aca="false">AD113*(1+INDEX(Response_Table!$G$4:$G$21,MATCH($F113&amp;"|mid",Response_Table!$A$4:$A$21,0))*$R113*INDEX(Parameters!$X$6:$AA$6,1,MATCH($E113,Parameters!$X$3:$AA$3,0)))</f>
        <v>13.6017473619911</v>
      </c>
      <c r="AF113" s="44" t="n">
        <f aca="false">MAX(0,MIN(AD113*(1+INDEX(Response_Table!$G$4:$G$21,MATCH($F113&amp;"|low",Response_Table!$A$4:$A$21,0))*$R113*INDEX(Parameters!$X$6:$AA$6,1,MATCH($E113,Parameters!$X$3:$AA$3,0))),AD113*(1+INDEX(Response_Table!$G$4:$G$21,MATCH($F113&amp;"|high",Response_Table!$A$4:$A$21,0))*$R113*INDEX(Parameters!$X$6:$AA$6,1,MATCH($E113,Parameters!$X$3:$AA$3,0))))*(1-Inputs_General!$C$22*Parameters!$F$6))</f>
        <v>10.2102423696793</v>
      </c>
      <c r="AG113" s="44" t="n">
        <f aca="false">MAX(AD113*(1+INDEX(Response_Table!$G$4:$G$21,MATCH($F113&amp;"|low",Response_Table!$A$4:$A$21,0))*$R113*INDEX(Parameters!$X$6:$AA$6,1,MATCH($E113,Parameters!$X$3:$AA$3,0))),AD113*(1+INDEX(Response_Table!$G$4:$G$21,MATCH($F113&amp;"|high",Response_Table!$A$4:$A$21,0))*$R113*INDEX(Parameters!$X$6:$AA$6,1,MATCH($E113,Parameters!$X$3:$AA$3,0))))*(1+Inputs_General!$C$22*Parameters!$F$6)</f>
        <v>17.4377513421486</v>
      </c>
      <c r="AH113" s="45" t="n">
        <f aca="false">IF(AD113=0,0,AE113/AD113-1)</f>
        <v>-0.244793899369519</v>
      </c>
      <c r="AI113" s="46" t="n">
        <f aca="false">Parameters!$E$7*IF($N113="V",Parameters!$I$7,IF($N113="F",Parameters!$J$7,Parameters!$K$7))*(1-Parameters!$L$7*$P113)*IF($D113="V1",Parameters!$M$7,IF($D113="V2",Parameters!$N$7,Parameters!$O$7))*POWER($Q113/Inputs_General!$C$26,-Inputs_General!$C$25)</f>
        <v>0.341191629407368</v>
      </c>
      <c r="AJ113" s="46" t="n">
        <f aca="false">AI113*(1+INDEX(Response_Table!$H$4:$H$21,MATCH($F113&amp;"|mid",Response_Table!$A$4:$A$21,0))*$R113*INDEX(Parameters!$X$7:$AA$7,1,MATCH($E113,Parameters!$X$3:$AA$3,0)))</f>
        <v>0.289139066164089</v>
      </c>
      <c r="AK113" s="46" t="n">
        <f aca="false">MAX(0,MIN(AI113*(1+INDEX(Response_Table!$H$4:$H$21,MATCH($F113&amp;"|low",Response_Table!$A$4:$A$21,0))*$R113*INDEX(Parameters!$X$7:$AA$7,1,MATCH($E113,Parameters!$X$3:$AA$3,0))),AI113*(1+INDEX(Response_Table!$H$4:$H$21,MATCH($F113&amp;"|high",Response_Table!$A$4:$A$21,0))*$R113*INDEX(Parameters!$X$7:$AA$7,1,MATCH($E113,Parameters!$X$3:$AA$3,0))))*(1-Inputs_General!$C$22*Parameters!$F$7))</f>
        <v>0.195658656936336</v>
      </c>
      <c r="AL113" s="46" t="n">
        <f aca="false">MAX(AI113*(1+INDEX(Response_Table!$H$4:$H$21,MATCH($F113&amp;"|low",Response_Table!$A$4:$A$21,0))*$R113*INDEX(Parameters!$X$7:$AA$7,1,MATCH($E113,Parameters!$X$3:$AA$3,0))),AI113*(1+INDEX(Response_Table!$H$4:$H$21,MATCH($F113&amp;"|high",Response_Table!$A$4:$A$21,0))*$R113*INDEX(Parameters!$X$7:$AA$7,1,MATCH($E113,Parameters!$X$3:$AA$3,0))))*(1+Inputs_General!$C$22*Parameters!$F$7)</f>
        <v>0.390133183894555</v>
      </c>
      <c r="AM113" s="45" t="n">
        <f aca="false">IF(AI113=0,0,AJ113/AI113-1)</f>
        <v>-0.152561079337414</v>
      </c>
      <c r="AN113" s="43" t="n">
        <f aca="false">AI113*$Q113/Inputs_General!$C$13*1000</f>
        <v>5.97691956280819</v>
      </c>
      <c r="AO113" s="43" t="n">
        <f aca="false">AJ113*$Q113/Inputs_General!$C$13*1000*(1+Inputs_General!$C$21*$I113)</f>
        <v>5.16637574845713</v>
      </c>
      <c r="AP113" s="43" t="n">
        <f aca="false">AK113*$Q113/Inputs_General!$C$13*1000*(1+Inputs_General!$C$21*$H113)</f>
        <v>3.47891768960279</v>
      </c>
      <c r="AQ113" s="43" t="n">
        <f aca="false">AL113*$Q113/Inputs_General!$C$13*1000*(1+Inputs_General!$C$21*$J113)</f>
        <v>7.00512357101044</v>
      </c>
      <c r="AR113" s="45" t="n">
        <f aca="false">IF(AN113=0,0,AO113/AN113-1)</f>
        <v>-0.135612300924163</v>
      </c>
      <c r="AS113" s="42" t="n">
        <f aca="false">Parameters!$E$9*IF($N113="V",Parameters!$I$9,IF($N113="F",Parameters!$J$9,Parameters!$K$9))*(1-Parameters!$L$9*$P113)*IF($D113="V1",Parameters!$M$9,IF($D113="V2",Parameters!$N$9,Parameters!$O$9))</f>
        <v>285</v>
      </c>
      <c r="AT113" s="42" t="n">
        <f aca="false">AS113*(1+INDEX(Response_Table!$I$4:$I$21,MATCH($F113&amp;"|mid",Response_Table!$A$4:$A$21,0))*$R113*INDEX(Parameters!$X$9:$AA$9,1,MATCH($E113,Parameters!$X$3:$AA$3,0)))</f>
        <v>310.755683063219</v>
      </c>
      <c r="AU113" s="42" t="n">
        <f aca="false">MAX(0,MIN(AS113*(1+INDEX(Response_Table!$I$4:$I$21,MATCH($F113&amp;"|low",Response_Table!$A$4:$A$21,0))*$R113*INDEX(Parameters!$X$9:$AA$9,1,MATCH($E113,Parameters!$X$3:$AA$3,0))),AS113*(1+INDEX(Response_Table!$I$4:$I$21,MATCH($F113&amp;"|high",Response_Table!$A$4:$A$21,0))*$R113*INDEX(Parameters!$X$9:$AA$9,1,MATCH($E113,Parameters!$X$3:$AA$3,0))))*(1-Inputs_General!$C$22*Parameters!$F$9))</f>
        <v>274.957472644588</v>
      </c>
      <c r="AV113" s="42" t="n">
        <f aca="false">MAX(AS113*(1+INDEX(Response_Table!$I$4:$I$21,MATCH($F113&amp;"|low",Response_Table!$A$4:$A$21,0))*$R113*INDEX(Parameters!$X$9:$AA$9,1,MATCH($E113,Parameters!$X$3:$AA$3,0))),AS113*(1+INDEX(Response_Table!$I$4:$I$21,MATCH($F113&amp;"|high",Response_Table!$A$4:$A$21,0))*$R113*INDEX(Parameters!$X$9:$AA$9,1,MATCH($E113,Parameters!$X$3:$AA$3,0))))*(1+Inputs_General!$C$22*Parameters!$F$9)</f>
        <v>347.196231317812</v>
      </c>
      <c r="AW113" s="45" t="n">
        <f aca="false">IF(AS113=0,0,AT113/AS113-1)</f>
        <v>0.0903708177656819</v>
      </c>
      <c r="AX113" s="43" t="n">
        <f aca="false">INDEX(Context!$AB$4:$AB$51,$K113)</f>
        <v>3.07951475277641</v>
      </c>
      <c r="AY113" s="43" t="n">
        <f aca="false">AX113*(1+INDEX(Response_Table!$J$4:$J$21,MATCH($F113&amp;"|mid",Response_Table!$A$4:$A$21,0))*$R113*INDEX(Parameters!$X$10:$AA$10,1,MATCH($E113,Parameters!$X$3:$AA$3,0)))</f>
        <v>2.80319519931651</v>
      </c>
      <c r="AZ113" s="43" t="n">
        <f aca="false">MAX(0,MIN(AX113*(1+INDEX(Response_Table!$J$4:$J$21,MATCH($F113&amp;"|low",Response_Table!$A$4:$A$21,0))*$R113*INDEX(Parameters!$X$10:$AA$10,1,MATCH($E113,Parameters!$X$3:$AA$3,0))),AX113*(1+INDEX(Response_Table!$J$4:$J$21,MATCH($F113&amp;"|high",Response_Table!$A$4:$A$21,0))*$R113*INDEX(Parameters!$X$10:$AA$10,1,MATCH($E113,Parameters!$X$3:$AA$3,0))))*(1-Inputs_General!$C$22*Parameters!$F$10))</f>
        <v>2.2009920981459</v>
      </c>
      <c r="BA113" s="43" t="n">
        <f aca="false">MAX(AX113*(1+INDEX(Response_Table!$J$4:$J$21,MATCH($F113&amp;"|low",Response_Table!$A$4:$A$21,0))*$R113*INDEX(Parameters!$X$10:$AA$10,1,MATCH($E113,Parameters!$X$3:$AA$3,0))),AX113*(1+INDEX(Response_Table!$J$4:$J$21,MATCH($F113&amp;"|high",Response_Table!$A$4:$A$21,0))*$R113*INDEX(Parameters!$X$10:$AA$10,1,MATCH($E113,Parameters!$X$3:$AA$3,0))))*(1+Inputs_General!$C$22*Parameters!$F$10)</f>
        <v>3.43316563211793</v>
      </c>
      <c r="BB113" s="45" t="n">
        <f aca="false">IF(AX113=0,0,AY113/AX113-1)</f>
        <v>-0.089728277226399</v>
      </c>
      <c r="BC113" s="46" t="n">
        <f aca="false">Parameters!$E$11*IF($N113="V",Parameters!$I$11,IF($N113="F",Parameters!$J$11,Parameters!$K$11))*(1-Parameters!$L$11*$P113)*IF($D113="V1",Parameters!$M$11,IF($D113="V2",Parameters!$N$11,Parameters!$O$11))</f>
        <v>1.21745535714286</v>
      </c>
      <c r="BD113" s="46" t="n">
        <f aca="false">BC113*(1+INDEX(Response_Table!$K$4:$K$21,MATCH($F113&amp;"|mid",Response_Table!$A$4:$A$21,0))*$R113*INDEX(Parameters!$X$11:$AA$11,1,MATCH($E113,Parameters!$X$3:$AA$3,0)))</f>
        <v>1.02085032705881</v>
      </c>
      <c r="BE113" s="46" t="n">
        <f aca="false">MAX(0,MIN(BC113*(1+INDEX(Response_Table!$K$4:$K$21,MATCH($F113&amp;"|low",Response_Table!$A$4:$A$21,0))*$R113*INDEX(Parameters!$X$11:$AA$11,1,MATCH($E113,Parameters!$X$3:$AA$3,0))),BC113*(1+INDEX(Response_Table!$K$4:$K$21,MATCH($F113&amp;"|high",Response_Table!$A$4:$A$21,0))*$R113*INDEX(Parameters!$X$11:$AA$11,1,MATCH($E113,Parameters!$X$3:$AA$3,0))))*(1-Inputs_General!$C$22*Parameters!$F$11))</f>
        <v>0.818015835728842</v>
      </c>
      <c r="BF113" s="46" t="n">
        <f aca="false">MAX(BC113*(1+INDEX(Response_Table!$K$4:$K$21,MATCH($F113&amp;"|low",Response_Table!$A$4:$A$21,0))*$R113*INDEX(Parameters!$X$11:$AA$11,1,MATCH($E113,Parameters!$X$3:$AA$3,0))),BC113*(1+INDEX(Response_Table!$K$4:$K$21,MATCH($F113&amp;"|high",Response_Table!$A$4:$A$21,0))*$R113*INDEX(Parameters!$X$11:$AA$11,1,MATCH($E113,Parameters!$X$3:$AA$3,0))))*(1+Inputs_General!$C$22*Parameters!$F$11)</f>
        <v>1.24064476692988</v>
      </c>
      <c r="BG113" s="45" t="n">
        <f aca="false">IF(BC113=0,0,BD113/BC113-1)</f>
        <v>-0.161488492313542</v>
      </c>
      <c r="BH113" s="46" t="n">
        <f aca="false">Parameters!$E$12*IF($N113="V",Parameters!$I$12,IF($N113="F",Parameters!$J$12,Parameters!$K$12))*(1-Parameters!$L$12*$P113)*IF($D113="V1",Parameters!$M$12,IF($D113="V2",Parameters!$N$12,Parameters!$O$12))</f>
        <v>0.438283928571429</v>
      </c>
      <c r="BI113" s="46" t="n">
        <f aca="false">BH113*(1+INDEX(Response_Table!$L$4:$L$21,MATCH($F113&amp;"|mid",Response_Table!$A$4:$A$21,0))*$R113*INDEX(Parameters!$X$12:$AA$12,1,MATCH($E113,Parameters!$X$3:$AA$3,0)))</f>
        <v>0.381705793095268</v>
      </c>
      <c r="BJ113" s="46" t="n">
        <f aca="false">MAX(0,MIN(BH113*(1+INDEX(Response_Table!$L$4:$L$21,MATCH($F113&amp;"|low",Response_Table!$A$4:$A$21,0))*$R113*INDEX(Parameters!$X$12:$AA$12,1,MATCH($E113,Parameters!$X$3:$AA$3,0))),BH113*(1+INDEX(Response_Table!$L$4:$L$21,MATCH($F113&amp;"|high",Response_Table!$A$4:$A$21,0))*$R113*INDEX(Parameters!$X$12:$AA$12,1,MATCH($E113,Parameters!$X$3:$AA$3,0))))*(1-Inputs_General!$C$22*Parameters!$F$12))</f>
        <v>0.296607914916916</v>
      </c>
      <c r="BK113" s="46" t="n">
        <f aca="false">MAX(BH113*(1+INDEX(Response_Table!$L$4:$L$21,MATCH($F113&amp;"|low",Response_Table!$A$4:$A$21,0))*$R113*INDEX(Parameters!$X$12:$AA$12,1,MATCH($E113,Parameters!$X$3:$AA$3,0))),BH113*(1+INDEX(Response_Table!$L$4:$L$21,MATCH($F113&amp;"|high",Response_Table!$A$4:$A$21,0))*$R113*INDEX(Parameters!$X$12:$AA$12,1,MATCH($E113,Parameters!$X$3:$AA$3,0))))*(1+Inputs_General!$C$22*Parameters!$F$12)</f>
        <v>0.472498692066284</v>
      </c>
      <c r="BL113" s="45" t="n">
        <f aca="false">IF(BH113=0,0,BI113/BH113-1)</f>
        <v>-0.129090144054735</v>
      </c>
      <c r="BM113" s="46" t="n">
        <f aca="false">Parameters!$E$13*IF($N113="V",Parameters!$I$13,IF($N113="F",Parameters!$J$13,Parameters!$K$13))*(1-Parameters!$L$13*$P113)*IF($D113="V1",Parameters!$M$13,IF($D113="V2",Parameters!$N$13,Parameters!$O$13))</f>
        <v>0.296094642857143</v>
      </c>
      <c r="BN113" s="46" t="n">
        <f aca="false">BM113*(1+INDEX(Response_Table!$M$4:$M$21,MATCH($F113&amp;"|mid",Response_Table!$A$4:$A$21,0))*$R113*INDEX(Parameters!$X$13:$AA$13,1,MATCH($E113,Parameters!$X$3:$AA$3,0)))</f>
        <v>0.300121441641621</v>
      </c>
      <c r="BO113" s="46" t="n">
        <f aca="false">MAX(0,MIN(BM113*(1+INDEX(Response_Table!$M$4:$M$21,MATCH($F113&amp;"|low",Response_Table!$A$4:$A$21,0))*$R113*INDEX(Parameters!$X$13:$AA$13,1,MATCH($E113,Parameters!$X$3:$AA$3,0))),BM113*(1+INDEX(Response_Table!$M$4:$M$21,MATCH($F113&amp;"|high",Response_Table!$A$4:$A$21,0))*$R113*INDEX(Parameters!$X$13:$AA$13,1,MATCH($E113,Parameters!$X$3:$AA$3,0))))*(1-Inputs_General!$C$22*Parameters!$F$13))</f>
        <v>0.236685476357029</v>
      </c>
      <c r="BP113" s="46" t="n">
        <f aca="false">MAX(BM113*(1+INDEX(Response_Table!$M$4:$M$21,MATCH($F113&amp;"|low",Response_Table!$A$4:$A$21,0))*$R113*INDEX(Parameters!$X$13:$AA$13,1,MATCH($E113,Parameters!$X$3:$AA$3,0))),BM113*(1+INDEX(Response_Table!$M$4:$M$21,MATCH($F113&amp;"|high",Response_Table!$A$4:$A$21,0))*$R113*INDEX(Parameters!$X$13:$AA$13,1,MATCH($E113,Parameters!$X$3:$AA$3,0))))*(1+Inputs_General!$C$22*Parameters!$F$13)</f>
        <v>0.363754531338965</v>
      </c>
      <c r="BQ113" s="45" t="n">
        <f aca="false">IF(BM113=0,0,BN113/BM113-1)</f>
        <v>0.0135997015873786</v>
      </c>
      <c r="BR113" s="44" t="n">
        <f aca="false">Parameters!$E$14*IF($N113="V",Parameters!$I$14,IF($N113="F",Parameters!$J$14,Parameters!$K$14))*(1-Parameters!$L$14*$P113)*IF($D113="V1",Parameters!$M$14,IF($D113="V2",Parameters!$N$14,Parameters!$O$14))*INDEX(Context!$AC$4:$AC$51,$K113)</f>
        <v>15</v>
      </c>
      <c r="BS113" s="44" t="n">
        <f aca="false">BR113*(1+INDEX(Response_Table!$N$4:$N$21,MATCH($F113&amp;"|mid",Response_Table!$A$4:$A$21,0))*$R113*INDEX(Parameters!$X$14:$AA$14,1,MATCH($E113,Parameters!$X$3:$AA$3,0)))</f>
        <v>17.1123841754411</v>
      </c>
      <c r="BT113" s="44" t="n">
        <f aca="false">MAX(0,MIN(BR113*(1+INDEX(Response_Table!$N$4:$N$21,MATCH($F113&amp;"|low",Response_Table!$A$4:$A$21,0))*$R113*INDEX(Parameters!$X$14:$AA$14,1,MATCH($E113,Parameters!$X$3:$AA$3,0))),BR113*(1+INDEX(Response_Table!$N$4:$N$21,MATCH($F113&amp;"|high",Response_Table!$A$4:$A$21,0))*$R113*INDEX(Parameters!$X$14:$AA$14,1,MATCH($E113,Parameters!$X$3:$AA$3,0))))*(1-Inputs_General!$C$22*Parameters!$F$14))</f>
        <v>8.42351281540989</v>
      </c>
      <c r="BU113" s="44" t="n">
        <f aca="false">MAX(BR113*(1+INDEX(Response_Table!$N$4:$N$21,MATCH($F113&amp;"|low",Response_Table!$A$4:$A$21,0))*$R113*INDEX(Parameters!$X$14:$AA$14,1,MATCH($E113,Parameters!$X$3:$AA$3,0))),BR113*(1+INDEX(Response_Table!$N$4:$N$21,MATCH($F113&amp;"|high",Response_Table!$A$4:$A$21,0))*$R113*INDEX(Parameters!$X$14:$AA$14,1,MATCH($E113,Parameters!$X$3:$AA$3,0))))*(1+Inputs_General!$C$22*Parameters!$F$14)</f>
        <v>26.2346710753774</v>
      </c>
      <c r="BV113" s="45" t="n">
        <f aca="false">IF(BR113=0,0,BS113/BR113-1)</f>
        <v>0.140825611696075</v>
      </c>
      <c r="BW113" s="43" t="n">
        <f aca="false">Parameters!$E$15*IF($N113="V",Parameters!$I$15,IF($N113="F",Parameters!$J$15,Parameters!$K$15))*(1-Parameters!$L$15*$P113)*IF($D113="V1",Parameters!$M$15,IF($D113="V2",Parameters!$N$15,Parameters!$O$15))</f>
        <v>10.5188142857143</v>
      </c>
      <c r="BX113" s="43" t="n">
        <f aca="false">BW113*(1+INDEX(Response_Table!$O$4:$O$21,MATCH($F113&amp;"|mid",Response_Table!$A$4:$A$21,0))*$R113*INDEX(Parameters!$X$15:$AA$15,1,MATCH($E113,Parameters!$X$3:$AA$3,0)))</f>
        <v>10.1484846716885</v>
      </c>
      <c r="BY113" s="43" t="n">
        <f aca="false">MAX(0,MIN(BW113*(1+INDEX(Response_Table!$O$4:$O$21,MATCH($F113&amp;"|low",Response_Table!$A$4:$A$21,0))*$R113*INDEX(Parameters!$X$15:$AA$15,1,MATCH($E113,Parameters!$X$3:$AA$3,0))),BW113*(1+INDEX(Response_Table!$O$4:$O$21,MATCH($F113&amp;"|high",Response_Table!$A$4:$A$21,0))*$R113*INDEX(Parameters!$X$15:$AA$15,1,MATCH($E113,Parameters!$X$3:$AA$3,0))))*(1-Inputs_General!$C$22*Parameters!$F$15))</f>
        <v>8.08136114906657</v>
      </c>
      <c r="BZ113" s="43" t="n">
        <f aca="false">MAX(BW113*(1+INDEX(Response_Table!$O$4:$O$21,MATCH($F113&amp;"|low",Response_Table!$A$4:$A$21,0))*$R113*INDEX(Parameters!$X$15:$AA$15,1,MATCH($E113,Parameters!$X$3:$AA$3,0))),BW113*(1+INDEX(Response_Table!$O$4:$O$21,MATCH($F113&amp;"|high",Response_Table!$A$4:$A$21,0))*$R113*INDEX(Parameters!$X$15:$AA$15,1,MATCH($E113,Parameters!$X$3:$AA$3,0))))*(1+Inputs_General!$C$22*Parameters!$F$15)</f>
        <v>12.2528846940443</v>
      </c>
      <c r="CA113" s="45" t="n">
        <f aca="false">IF(BW113=0,0,BX113/BW113-1)</f>
        <v>-0.0352064029240187</v>
      </c>
      <c r="CB113" s="46" t="n">
        <f aca="false">BD113+BI113</f>
        <v>1.40255612015408</v>
      </c>
      <c r="CC113" s="43" t="n">
        <f aca="false">BD113/BI113</f>
        <v>2.67444284452876</v>
      </c>
      <c r="CD113" s="46" t="n">
        <f aca="false">BN113/CB113</f>
        <v>0.213981770375542</v>
      </c>
      <c r="CE113" s="43" t="n">
        <f aca="false">AE113/AO113</f>
        <v>2.63274450489844</v>
      </c>
      <c r="CF113" s="44" t="n">
        <f aca="false">AE113/AJ113</f>
        <v>47.0422331455964</v>
      </c>
      <c r="CG113" s="44" t="n">
        <f aca="false">INDEX(Context!$V$4:$V$51,$K113)</f>
        <v>28.62</v>
      </c>
      <c r="CH113" s="44" t="n">
        <f aca="false">INDEX(Context!$Y$4:$Y$51,$K113)</f>
        <v>25.3060134606718</v>
      </c>
      <c r="CI113" s="44" t="n">
        <f aca="false">INDEX(Context!$Z$4:$Z$51,$K113)</f>
        <v>32.62</v>
      </c>
      <c r="CJ113" s="43" t="n">
        <f aca="false">INDEX(Context!$AA$4:$AA$51,$K113)</f>
        <v>0.221696428571429</v>
      </c>
      <c r="CK113" s="43" t="n">
        <f aca="false">MAX(0,MIN(1,1-(1-CJ113)*AO113/AN113))</f>
        <v>0.327243966710351</v>
      </c>
      <c r="CL113" s="44" t="n">
        <f aca="false">CH113+CK113*(CI113-CH113)</f>
        <v>27.6994714282676</v>
      </c>
      <c r="CM113" s="44" t="n">
        <f aca="false">CH113+MAX(0,MIN(1,1-(1-CJ113)*AQ113/AN113))*(CI113-CH113)</f>
        <v>25.9482222668442</v>
      </c>
      <c r="CN113" s="44" t="n">
        <f aca="false">CH113+MAX(0,MIN(1,1-(1-CJ113)*AP113/AN113))*(CI113-CH113)</f>
        <v>29.3066301012837</v>
      </c>
      <c r="CO113" s="44" t="n">
        <f aca="false">CL113-CG113</f>
        <v>-0.920528571732351</v>
      </c>
      <c r="CP113" s="44" t="n">
        <f aca="false">CL113-(CH113+CJ113*(CI113-CH113))</f>
        <v>0.771973273207312</v>
      </c>
      <c r="CQ113" s="46" t="n">
        <f aca="false">CL113/CG113</f>
        <v>0.967836178485942</v>
      </c>
      <c r="CR113" s="43" t="n">
        <f aca="false">IF(CL113-CH113&lt;=0,"n/a",(CI113-CL113)/(CL113-CH113))</f>
        <v>2.05582409983777</v>
      </c>
      <c r="CS113" s="43" t="n">
        <f aca="false">IF(CI113-CL113&lt;=0,"n/a",(CL113-CH113)/(CI113-CL113))</f>
        <v>0.486422938654582</v>
      </c>
      <c r="CT113" s="43" t="n">
        <f aca="false">Inputs_General!$C$23+Inputs_General!$C$24*$I113</f>
        <v>0.76</v>
      </c>
      <c r="CU113" s="44" t="n">
        <f aca="false">3.29*CT113</f>
        <v>2.5004</v>
      </c>
    </row>
    <row r="114" customFormat="false" ht="15" hidden="false" customHeight="false" outlineLevel="0" collapsed="false">
      <c r="A114" s="9" t="str">
        <f aca="false">B114&amp;"|"&amp;E114&amp;"|"&amp;F114</f>
        <v>D2V2|03/03/2026|Moderate</v>
      </c>
      <c r="B114" s="7" t="s">
        <v>347</v>
      </c>
      <c r="C114" s="9" t="s">
        <v>129</v>
      </c>
      <c r="D114" s="9" t="s">
        <v>146</v>
      </c>
      <c r="E114" s="9" t="s">
        <v>162</v>
      </c>
      <c r="F114" s="7" t="s">
        <v>281</v>
      </c>
      <c r="G114" s="9" t="s">
        <v>282</v>
      </c>
      <c r="H114" s="41" t="n">
        <f aca="false">INDEX(Severity_Classes!$C$4:$C$9,MATCH(F114,Severity_Classes!$A$4:$A$9,0))</f>
        <v>0.11</v>
      </c>
      <c r="I114" s="41" t="n">
        <f aca="false">INDEX(Severity_Classes!$D$4:$D$9,MATCH(F114,Severity_Classes!$A$4:$A$9,0))</f>
        <v>0.18</v>
      </c>
      <c r="J114" s="41" t="n">
        <f aca="false">INDEX(Severity_Classes!$E$4:$E$9,MATCH(F114,Severity_Classes!$A$4:$A$9,0))</f>
        <v>0.25</v>
      </c>
      <c r="K114" s="42" t="n">
        <f aca="false">MATCH(B114&amp;"|"&amp;E114,Context!$A$4:$A$51,0)</f>
        <v>19</v>
      </c>
      <c r="L114" s="42" t="n">
        <f aca="false">INDEX(Context!$H$4:$H$51,K114)</f>
        <v>75</v>
      </c>
      <c r="M114" s="42" t="n">
        <f aca="false">INDEX(Context!$I$4:$I$51,K114)</f>
        <v>26</v>
      </c>
      <c r="N114" s="9" t="str">
        <f aca="false">INDEX(Context!$L$4:$L$51,K114)</f>
        <v>F</v>
      </c>
      <c r="O114" s="9" t="str">
        <f aca="false">INDEX(Context!$M$4:$M$51,K114)</f>
        <v>5th fully expanded leaf from top</v>
      </c>
      <c r="P114" s="43" t="n">
        <f aca="false">INDEX(Context!$R$4:$R$51,K114)</f>
        <v>0.433928571428571</v>
      </c>
      <c r="Q114" s="43" t="n">
        <f aca="false">INDEX(Context!$U$4:$U$51,K114)</f>
        <v>1.73951545534029</v>
      </c>
      <c r="R114" s="43" t="n">
        <f aca="false">INDEX(Context!$AD$4:$AD$51,K114)</f>
        <v>1.1</v>
      </c>
      <c r="S114" s="9" t="str">
        <f aca="false">INDEX(Context!$AI$4:$AN$51,K114,MATCH(F114,Severity_Classes!$A$4:$A$9,0))</f>
        <v>Likely</v>
      </c>
      <c r="T114" s="44" t="n">
        <f aca="false">Parameters!$E$4*IF($N114="V",Parameters!$I$4,IF($N114="F",Parameters!$J$4,Parameters!$K$4))*(1-Parameters!$L$4*$P114)*IF($D114="V1",Parameters!$M$4,IF($D114="V2",Parameters!$N$4,Parameters!$O$4))</f>
        <v>83.2927660714286</v>
      </c>
      <c r="U114" s="44" t="n">
        <f aca="false">MIN(100,T114*(1+INDEX(Response_Table!$E$4:$E$21,MATCH($F114&amp;"|mid",Response_Table!$A$4:$A$21,0))*$R114*INDEX(Parameters!$X$4:$AA$4,1,MATCH($E114,Parameters!$X$3:$AA$3,0))))</f>
        <v>79.1248860721094</v>
      </c>
      <c r="V114" s="44" t="n">
        <f aca="false">MAX(0,MIN(T114*(1+INDEX(Response_Table!$E$4:$E$21,MATCH($F114&amp;"|low",Response_Table!$A$4:$A$21,0))*$R114*INDEX(Parameters!$X$4:$AA$4,1,MATCH($E114,Parameters!$X$3:$AA$3,0))),T114*(1+INDEX(Response_Table!$E$4:$E$21,MATCH($F114&amp;"|high",Response_Table!$A$4:$A$21,0))*$R114*INDEX(Parameters!$X$4:$AA$4,1,MATCH($E114,Parameters!$X$3:$AA$3,0))))*(1-Inputs_General!$C$22*Parameters!$F$4))</f>
        <v>71.0017791130182</v>
      </c>
      <c r="W114" s="44" t="n">
        <f aca="false">MIN(100,MAX(T114*(1+INDEX(Response_Table!$E$4:$E$21,MATCH($F114&amp;"|low",Response_Table!$A$4:$A$21,0))*$R114*INDEX(Parameters!$X$4:$AA$4,1,MATCH($E114,Parameters!$X$3:$AA$3,0))),T114*(1+INDEX(Response_Table!$E$4:$E$21,MATCH($F114&amp;"|high",Response_Table!$A$4:$A$21,0))*$R114*INDEX(Parameters!$X$4:$AA$4,1,MATCH($E114,Parameters!$X$3:$AA$3,0))))*(1+Inputs_General!$C$22*Parameters!$F$4))</f>
        <v>86.6776587121468</v>
      </c>
      <c r="X114" s="45" t="n">
        <f aca="false">IF(T114=0,0,U114/T114-1)</f>
        <v>-0.0500389192951635</v>
      </c>
      <c r="Y114" s="44" t="n">
        <f aca="false">Parameters!$E$5*IF($N114="V",Parameters!$I$5,IF($N114="F",Parameters!$J$5,Parameters!$K$5))*(1-Parameters!$L$5*$P114)*IF($D114="V1",Parameters!$M$5,IF($D114="V2",Parameters!$N$5,Parameters!$O$5))</f>
        <v>66.88584</v>
      </c>
      <c r="Z114" s="44" t="n">
        <f aca="false">MIN(100,Y114*(1+INDEX(Response_Table!$F$4:$F$21,MATCH($F114&amp;"|mid",Response_Table!$A$4:$A$21,0))*$R114*INDEX(Parameters!$X$5:$AA$5,1,MATCH($E114,Parameters!$X$3:$AA$3,0))))</f>
        <v>55.3243555722058</v>
      </c>
      <c r="AA114" s="44" t="n">
        <f aca="false">MAX(0,MIN(Y114*(1+INDEX(Response_Table!$F$4:$F$21,MATCH($F114&amp;"|low",Response_Table!$A$4:$A$21,0))*$R114*INDEX(Parameters!$X$5:$AA$5,1,MATCH($E114,Parameters!$X$3:$AA$3,0))),Y114*(1+INDEX(Response_Table!$F$4:$F$21,MATCH($F114&amp;"|high",Response_Table!$A$4:$A$21,0))*$R114*INDEX(Parameters!$X$5:$AA$5,1,MATCH($E114,Parameters!$X$3:$AA$3,0))))*(1-Inputs_General!$C$22*Parameters!$F$5))</f>
        <v>41.3824901759808</v>
      </c>
      <c r="AB114" s="44" t="n">
        <f aca="false">MIN(100,MAX(Y114*(1+INDEX(Response_Table!$F$4:$F$21,MATCH($F114&amp;"|low",Response_Table!$A$4:$A$21,0))*$R114*INDEX(Parameters!$X$5:$AA$5,1,MATCH($E114,Parameters!$X$3:$AA$3,0))),Y114*(1+INDEX(Response_Table!$F$4:$F$21,MATCH($F114&amp;"|high",Response_Table!$A$4:$A$21,0))*$R114*INDEX(Parameters!$X$5:$AA$5,1,MATCH($E114,Parameters!$X$3:$AA$3,0))))*(1+Inputs_General!$C$22*Parameters!$F$5))</f>
        <v>68.6694196332536</v>
      </c>
      <c r="AC114" s="45" t="n">
        <f aca="false">IF(Y114=0,0,Z114/Y114-1)</f>
        <v>-0.172853991634017</v>
      </c>
      <c r="AD114" s="44" t="n">
        <f aca="false">Parameters!$E$6*IF($N114="V",Parameters!$I$6,IF($N114="F",Parameters!$J$6,Parameters!$K$6))*(1-Parameters!$L$6*$P114)*IF($D114="V1",Parameters!$M$6,IF($D114="V2",Parameters!$N$6,Parameters!$O$6))</f>
        <v>18.0106428571429</v>
      </c>
      <c r="AE114" s="44" t="n">
        <f aca="false">AD114*(1+INDEX(Response_Table!$G$4:$G$21,MATCH($F114&amp;"|mid",Response_Table!$A$4:$A$21,0))*$R114*INDEX(Parameters!$X$6:$AA$6,1,MATCH($E114,Parameters!$X$3:$AA$3,0)))</f>
        <v>9.88196894724764</v>
      </c>
      <c r="AF114" s="44" t="n">
        <f aca="false">MAX(0,MIN(AD114*(1+INDEX(Response_Table!$G$4:$G$21,MATCH($F114&amp;"|low",Response_Table!$A$4:$A$21,0))*$R114*INDEX(Parameters!$X$6:$AA$6,1,MATCH($E114,Parameters!$X$3:$AA$3,0))),AD114*(1+INDEX(Response_Table!$G$4:$G$21,MATCH($F114&amp;"|high",Response_Table!$A$4:$A$21,0))*$R114*INDEX(Parameters!$X$6:$AA$6,1,MATCH($E114,Parameters!$X$3:$AA$3,0))))*(1-Inputs_General!$C$22*Parameters!$F$6))</f>
        <v>6.49939125006288</v>
      </c>
      <c r="AG114" s="44" t="n">
        <f aca="false">MAX(AD114*(1+INDEX(Response_Table!$G$4:$G$21,MATCH($F114&amp;"|low",Response_Table!$A$4:$A$21,0))*$R114*INDEX(Parameters!$X$6:$AA$6,1,MATCH($E114,Parameters!$X$3:$AA$3,0))),AD114*(1+INDEX(Response_Table!$G$4:$G$21,MATCH($F114&amp;"|high",Response_Table!$A$4:$A$21,0))*$R114*INDEX(Parameters!$X$6:$AA$6,1,MATCH($E114,Parameters!$X$3:$AA$3,0))))*(1+Inputs_General!$C$22*Parameters!$F$6)</f>
        <v>14.7394252331107</v>
      </c>
      <c r="AH114" s="45" t="n">
        <f aca="false">IF(AD114=0,0,AE114/AD114-1)</f>
        <v>-0.45132613945934</v>
      </c>
      <c r="AI114" s="46" t="n">
        <f aca="false">Parameters!$E$7*IF($N114="V",Parameters!$I$7,IF($N114="F",Parameters!$J$7,Parameters!$K$7))*(1-Parameters!$L$7*$P114)*IF($D114="V1",Parameters!$M$7,IF($D114="V2",Parameters!$N$7,Parameters!$O$7))*POWER($Q114/Inputs_General!$C$26,-Inputs_General!$C$25)</f>
        <v>0.341191629407368</v>
      </c>
      <c r="AJ114" s="46" t="n">
        <f aca="false">AI114*(1+INDEX(Response_Table!$H$4:$H$21,MATCH($F114&amp;"|mid",Response_Table!$A$4:$A$21,0))*$R114*INDEX(Parameters!$X$7:$AA$7,1,MATCH($E114,Parameters!$X$3:$AA$3,0)))</f>
        <v>0.239402224800771</v>
      </c>
      <c r="AK114" s="46" t="n">
        <f aca="false">MAX(0,MIN(AI114*(1+INDEX(Response_Table!$H$4:$H$21,MATCH($F114&amp;"|low",Response_Table!$A$4:$A$21,0))*$R114*INDEX(Parameters!$X$7:$AA$7,1,MATCH($E114,Parameters!$X$3:$AA$3,0))),AI114*(1+INDEX(Response_Table!$H$4:$H$21,MATCH($F114&amp;"|high",Response_Table!$A$4:$A$21,0))*$R114*INDEX(Parameters!$X$7:$AA$7,1,MATCH($E114,Parameters!$X$3:$AA$3,0))))*(1-Inputs_General!$C$22*Parameters!$F$7))</f>
        <v>0.149560720835635</v>
      </c>
      <c r="AL114" s="46" t="n">
        <f aca="false">MAX(AI114*(1+INDEX(Response_Table!$H$4:$H$21,MATCH($F114&amp;"|low",Response_Table!$A$4:$A$21,0))*$R114*INDEX(Parameters!$X$7:$AA$7,1,MATCH($E114,Parameters!$X$3:$AA$3,0))),AI114*(1+INDEX(Response_Table!$H$4:$H$21,MATCH($F114&amp;"|high",Response_Table!$A$4:$A$21,0))*$R114*INDEX(Parameters!$X$7:$AA$7,1,MATCH($E114,Parameters!$X$3:$AA$3,0))))*(1+Inputs_General!$C$22*Parameters!$F$7)</f>
        <v>0.353346032362206</v>
      </c>
      <c r="AM114" s="45" t="n">
        <f aca="false">IF(AI114=0,0,AJ114/AI114-1)</f>
        <v>-0.298334999552597</v>
      </c>
      <c r="AN114" s="43" t="n">
        <f aca="false">AI114*$Q114/Inputs_General!$C$13*1000</f>
        <v>5.97691956280819</v>
      </c>
      <c r="AO114" s="43" t="n">
        <f aca="false">AJ114*$Q114/Inputs_General!$C$13*1000*(1+Inputs_General!$C$21*$I114)</f>
        <v>4.38251605475893</v>
      </c>
      <c r="AP114" s="43" t="n">
        <f aca="false">AK114*$Q114/Inputs_General!$C$13*1000*(1+Inputs_General!$C$21*$H114)</f>
        <v>2.69202087617393</v>
      </c>
      <c r="AQ114" s="43" t="n">
        <f aca="false">AL114*$Q114/Inputs_General!$C$13*1000*(1+Inputs_General!$C$21*$J114)</f>
        <v>6.57670256445925</v>
      </c>
      <c r="AR114" s="45" t="n">
        <f aca="false">IF(AN114=0,0,AO114/AN114-1)</f>
        <v>-0.266760074532465</v>
      </c>
      <c r="AS114" s="42" t="n">
        <f aca="false">Parameters!$E$9*IF($N114="V",Parameters!$I$9,IF($N114="F",Parameters!$J$9,Parameters!$K$9))*(1-Parameters!$L$9*$P114)*IF($D114="V1",Parameters!$M$9,IF($D114="V2",Parameters!$N$9,Parameters!$O$9))</f>
        <v>285</v>
      </c>
      <c r="AT114" s="42" t="n">
        <f aca="false">AS114*(1+INDEX(Response_Table!$I$4:$I$21,MATCH($F114&amp;"|mid",Response_Table!$A$4:$A$21,0))*$R114*INDEX(Parameters!$X$9:$AA$9,1,MATCH($E114,Parameters!$X$3:$AA$3,0)))</f>
        <v>333.270950326965</v>
      </c>
      <c r="AU114" s="42" t="n">
        <f aca="false">MAX(0,MIN(AS114*(1+INDEX(Response_Table!$I$4:$I$21,MATCH($F114&amp;"|low",Response_Table!$A$4:$A$21,0))*$R114*INDEX(Parameters!$X$9:$AA$9,1,MATCH($E114,Parameters!$X$3:$AA$3,0))),AS114*(1+INDEX(Response_Table!$I$4:$I$21,MATCH($F114&amp;"|high",Response_Table!$A$4:$A$21,0))*$R114*INDEX(Parameters!$X$9:$AA$9,1,MATCH($E114,Parameters!$X$3:$AA$3,0))))*(1-Inputs_General!$C$22*Parameters!$F$9))</f>
        <v>287.044559024394</v>
      </c>
      <c r="AV114" s="42" t="n">
        <f aca="false">MAX(AS114*(1+INDEX(Response_Table!$I$4:$I$21,MATCH($F114&amp;"|low",Response_Table!$A$4:$A$21,0))*$R114*INDEX(Parameters!$X$9:$AA$9,1,MATCH($E114,Parameters!$X$3:$AA$3,0))),AS114*(1+INDEX(Response_Table!$I$4:$I$21,MATCH($F114&amp;"|high",Response_Table!$A$4:$A$21,0))*$R114*INDEX(Parameters!$X$9:$AA$9,1,MATCH($E114,Parameters!$X$3:$AA$3,0))))*(1+Inputs_General!$C$22*Parameters!$F$9)</f>
        <v>378.448246193483</v>
      </c>
      <c r="AW114" s="45" t="n">
        <f aca="false">IF(AS114=0,0,AT114/AS114-1)</f>
        <v>0.169371755533209</v>
      </c>
      <c r="AX114" s="43" t="n">
        <f aca="false">INDEX(Context!$AB$4:$AB$51,$K114)</f>
        <v>3.07951475277641</v>
      </c>
      <c r="AY114" s="43" t="n">
        <f aca="false">AX114*(1+INDEX(Response_Table!$J$4:$J$21,MATCH($F114&amp;"|mid",Response_Table!$A$4:$A$21,0))*$R114*INDEX(Parameters!$X$10:$AA$10,1,MATCH($E114,Parameters!$X$3:$AA$3,0)))</f>
        <v>2.52712967350597</v>
      </c>
      <c r="AZ114" s="43" t="n">
        <f aca="false">MAX(0,MIN(AX114*(1+INDEX(Response_Table!$J$4:$J$21,MATCH($F114&amp;"|low",Response_Table!$A$4:$A$21,0))*$R114*INDEX(Parameters!$X$10:$AA$10,1,MATCH($E114,Parameters!$X$3:$AA$3,0))),AX114*(1+INDEX(Response_Table!$J$4:$J$21,MATCH($F114&amp;"|high",Response_Table!$A$4:$A$21,0))*$R114*INDEX(Parameters!$X$10:$AA$10,1,MATCH($E114,Parameters!$X$3:$AA$3,0))))*(1-Inputs_General!$C$22*Parameters!$F$10))</f>
        <v>1.90303358803014</v>
      </c>
      <c r="BA114" s="43" t="n">
        <f aca="false">MAX(AX114*(1+INDEX(Response_Table!$J$4:$J$21,MATCH($F114&amp;"|low",Response_Table!$A$4:$A$21,0))*$R114*INDEX(Parameters!$X$10:$AA$10,1,MATCH($E114,Parameters!$X$3:$AA$3,0))),AX114*(1+INDEX(Response_Table!$J$4:$J$21,MATCH($F114&amp;"|high",Response_Table!$A$4:$A$21,0))*$R114*INDEX(Parameters!$X$10:$AA$10,1,MATCH($E114,Parameters!$X$3:$AA$3,0))))*(1+Inputs_General!$C$22*Parameters!$F$10)</f>
        <v>3.24856555236712</v>
      </c>
      <c r="BB114" s="45" t="n">
        <f aca="false">IF(AX114=0,0,AY114/AX114-1)</f>
        <v>-0.179374064947222</v>
      </c>
      <c r="BC114" s="46" t="n">
        <f aca="false">Parameters!$E$11*IF($N114="V",Parameters!$I$11,IF($N114="F",Parameters!$J$11,Parameters!$K$11))*(1-Parameters!$L$11*$P114)*IF($D114="V1",Parameters!$M$11,IF($D114="V2",Parameters!$N$11,Parameters!$O$11))</f>
        <v>1.21745535714286</v>
      </c>
      <c r="BD114" s="46" t="n">
        <f aca="false">BC114*(1+INDEX(Response_Table!$K$4:$K$21,MATCH($F114&amp;"|mid",Response_Table!$A$4:$A$21,0))*$R114*INDEX(Parameters!$X$11:$AA$11,1,MATCH($E114,Parameters!$X$3:$AA$3,0)))</f>
        <v>0.836308858724028</v>
      </c>
      <c r="BE114" s="46" t="n">
        <f aca="false">MAX(0,MIN(BC114*(1+INDEX(Response_Table!$K$4:$K$21,MATCH($F114&amp;"|low",Response_Table!$A$4:$A$21,0))*$R114*INDEX(Parameters!$X$11:$AA$11,1,MATCH($E114,Parameters!$X$3:$AA$3,0))),BC114*(1+INDEX(Response_Table!$K$4:$K$21,MATCH($F114&amp;"|high",Response_Table!$A$4:$A$21,0))*$R114*INDEX(Parameters!$X$11:$AA$11,1,MATCH($E114,Parameters!$X$3:$AA$3,0))))*(1-Inputs_General!$C$22*Parameters!$F$11))</f>
        <v>0.61668832684898</v>
      </c>
      <c r="BF114" s="46" t="n">
        <f aca="false">MAX(BC114*(1+INDEX(Response_Table!$K$4:$K$21,MATCH($F114&amp;"|low",Response_Table!$A$4:$A$21,0))*$R114*INDEX(Parameters!$X$11:$AA$11,1,MATCH($E114,Parameters!$X$3:$AA$3,0))),BC114*(1+INDEX(Response_Table!$K$4:$K$21,MATCH($F114&amp;"|high",Response_Table!$A$4:$A$21,0))*$R114*INDEX(Parameters!$X$11:$AA$11,1,MATCH($E114,Parameters!$X$3:$AA$3,0))))*(1+Inputs_General!$C$22*Parameters!$F$11)</f>
        <v>1.11694934909492</v>
      </c>
      <c r="BG114" s="45" t="n">
        <f aca="false">IF(BC114=0,0,BD114/BC114-1)</f>
        <v>-0.313068151684272</v>
      </c>
      <c r="BH114" s="46" t="n">
        <f aca="false">Parameters!$E$12*IF($N114="V",Parameters!$I$12,IF($N114="F",Parameters!$J$12,Parameters!$K$12))*(1-Parameters!$L$12*$P114)*IF($D114="V1",Parameters!$M$12,IF($D114="V2",Parameters!$N$12,Parameters!$O$12))</f>
        <v>0.438283928571429</v>
      </c>
      <c r="BI114" s="46" t="n">
        <f aca="false">BH114*(1+INDEX(Response_Table!$L$4:$L$21,MATCH($F114&amp;"|mid",Response_Table!$A$4:$A$21,0))*$R114*INDEX(Parameters!$X$12:$AA$12,1,MATCH($E114,Parameters!$X$3:$AA$3,0)))</f>
        <v>0.327644713803971</v>
      </c>
      <c r="BJ114" s="46" t="n">
        <f aca="false">MAX(0,MIN(BH114*(1+INDEX(Response_Table!$L$4:$L$21,MATCH($F114&amp;"|low",Response_Table!$A$4:$A$21,0))*$R114*INDEX(Parameters!$X$12:$AA$12,1,MATCH($E114,Parameters!$X$3:$AA$3,0))),BH114*(1+INDEX(Response_Table!$L$4:$L$21,MATCH($F114&amp;"|high",Response_Table!$A$4:$A$21,0))*$R114*INDEX(Parameters!$X$12:$AA$12,1,MATCH($E114,Parameters!$X$3:$AA$3,0))))*(1-Inputs_General!$C$22*Parameters!$F$12))</f>
        <v>0.239476341799864</v>
      </c>
      <c r="BK114" s="46" t="n">
        <f aca="false">MAX(BH114*(1+INDEX(Response_Table!$L$4:$L$21,MATCH($F114&amp;"|low",Response_Table!$A$4:$A$21,0))*$R114*INDEX(Parameters!$X$12:$AA$12,1,MATCH($E114,Parameters!$X$3:$AA$3,0))),BH114*(1+INDEX(Response_Table!$L$4:$L$21,MATCH($F114&amp;"|high",Response_Table!$A$4:$A$21,0))*$R114*INDEX(Parameters!$X$12:$AA$12,1,MATCH($E114,Parameters!$X$3:$AA$3,0))))*(1+Inputs_General!$C$22*Parameters!$F$12)</f>
        <v>0.43555813713871</v>
      </c>
      <c r="BL114" s="45" t="n">
        <f aca="false">IF(BH114=0,0,BI114/BH114-1)</f>
        <v>-0.252437307313736</v>
      </c>
      <c r="BM114" s="46" t="n">
        <f aca="false">Parameters!$E$13*IF($N114="V",Parameters!$I$13,IF($N114="F",Parameters!$J$13,Parameters!$K$13))*(1-Parameters!$L$13*$P114)*IF($D114="V1",Parameters!$M$13,IF($D114="V2",Parameters!$N$13,Parameters!$O$13))</f>
        <v>0.296094642857143</v>
      </c>
      <c r="BN114" s="46" t="n">
        <f aca="false">BM114*(1+INDEX(Response_Table!$M$4:$M$21,MATCH($F114&amp;"|mid",Response_Table!$A$4:$A$21,0))*$R114*INDEX(Parameters!$X$13:$AA$13,1,MATCH($E114,Parameters!$X$3:$AA$3,0)))</f>
        <v>0.268077091724233</v>
      </c>
      <c r="BO114" s="46" t="n">
        <f aca="false">MAX(0,MIN(BM114*(1+INDEX(Response_Table!$M$4:$M$21,MATCH($F114&amp;"|low",Response_Table!$A$4:$A$21,0))*$R114*INDEX(Parameters!$X$13:$AA$13,1,MATCH($E114,Parameters!$X$3:$AA$3,0))),BM114*(1+INDEX(Response_Table!$M$4:$M$21,MATCH($F114&amp;"|high",Response_Table!$A$4:$A$21,0))*$R114*INDEX(Parameters!$X$13:$AA$13,1,MATCH($E114,Parameters!$X$3:$AA$3,0))))*(1-Inputs_General!$C$22*Parameters!$F$13))</f>
        <v>0.197056192296638</v>
      </c>
      <c r="BP114" s="46" t="n">
        <f aca="false">MAX(BM114*(1+INDEX(Response_Table!$M$4:$M$21,MATCH($F114&amp;"|low",Response_Table!$A$4:$A$21,0))*$R114*INDEX(Parameters!$X$13:$AA$13,1,MATCH($E114,Parameters!$X$3:$AA$3,0))),BM114*(1+INDEX(Response_Table!$M$4:$M$21,MATCH($F114&amp;"|high",Response_Table!$A$4:$A$21,0))*$R114*INDEX(Parameters!$X$13:$AA$13,1,MATCH($E114,Parameters!$X$3:$AA$3,0))))*(1+Inputs_General!$C$22*Parameters!$F$13)</f>
        <v>0.349513377540387</v>
      </c>
      <c r="BQ114" s="45" t="n">
        <f aca="false">IF(BM114=0,0,BN114/BM114-1)</f>
        <v>-0.0946236340602347</v>
      </c>
      <c r="BR114" s="44" t="n">
        <f aca="false">Parameters!$E$14*IF($N114="V",Parameters!$I$14,IF($N114="F",Parameters!$J$14,Parameters!$K$14))*(1-Parameters!$L$14*$P114)*IF($D114="V1",Parameters!$M$14,IF($D114="V2",Parameters!$N$14,Parameters!$O$14))*INDEX(Context!$AC$4:$AC$51,$K114)</f>
        <v>15</v>
      </c>
      <c r="BS114" s="44" t="n">
        <f aca="false">BR114*(1+INDEX(Response_Table!$N$4:$N$21,MATCH($F114&amp;"|mid",Response_Table!$A$4:$A$21,0))*$R114*INDEX(Parameters!$X$14:$AA$14,1,MATCH($E114,Parameters!$X$3:$AA$3,0)))</f>
        <v>19.1307923014975</v>
      </c>
      <c r="BT114" s="44" t="n">
        <f aca="false">MAX(0,MIN(BR114*(1+INDEX(Response_Table!$N$4:$N$21,MATCH($F114&amp;"|low",Response_Table!$A$4:$A$21,0))*$R114*INDEX(Parameters!$X$14:$AA$14,1,MATCH($E114,Parameters!$X$3:$AA$3,0))),BR114*(1+INDEX(Response_Table!$N$4:$N$21,MATCH($F114&amp;"|high",Response_Table!$A$4:$A$21,0))*$R114*INDEX(Parameters!$X$14:$AA$14,1,MATCH($E114,Parameters!$X$3:$AA$3,0))))*(1-Inputs_General!$C$22*Parameters!$F$14))</f>
        <v>9.00691477726562</v>
      </c>
      <c r="BU114" s="44" t="n">
        <f aca="false">MAX(BR114*(1+INDEX(Response_Table!$N$4:$N$21,MATCH($F114&amp;"|low",Response_Table!$A$4:$A$21,0))*$R114*INDEX(Parameters!$X$14:$AA$14,1,MATCH($E114,Parameters!$X$3:$AA$3,0))),BR114*(1+INDEX(Response_Table!$N$4:$N$21,MATCH($F114&amp;"|high",Response_Table!$A$4:$A$21,0))*$R114*INDEX(Parameters!$X$14:$AA$14,1,MATCH($E114,Parameters!$X$3:$AA$3,0))))*(1+Inputs_General!$C$22*Parameters!$F$14)</f>
        <v>30.2039034794648</v>
      </c>
      <c r="BV114" s="45" t="n">
        <f aca="false">IF(BR114=0,0,BS114/BR114-1)</f>
        <v>0.275386153433167</v>
      </c>
      <c r="BW114" s="43" t="n">
        <f aca="false">Parameters!$E$15*IF($N114="V",Parameters!$I$15,IF($N114="F",Parameters!$J$15,Parameters!$K$15))*(1-Parameters!$L$15*$P114)*IF($D114="V1",Parameters!$M$15,IF($D114="V2",Parameters!$N$15,Parameters!$O$15))</f>
        <v>10.5188142857143</v>
      </c>
      <c r="BX114" s="43" t="n">
        <f aca="false">BW114*(1+INDEX(Response_Table!$O$4:$O$21,MATCH($F114&amp;"|mid",Response_Table!$A$4:$A$21,0))*$R114*INDEX(Parameters!$X$15:$AA$15,1,MATCH($E114,Parameters!$X$3:$AA$3,0)))</f>
        <v>9.79463033450911</v>
      </c>
      <c r="BY114" s="43" t="n">
        <f aca="false">MAX(0,MIN(BW114*(1+INDEX(Response_Table!$O$4:$O$21,MATCH($F114&amp;"|low",Response_Table!$A$4:$A$21,0))*$R114*INDEX(Parameters!$X$15:$AA$15,1,MATCH($E114,Parameters!$X$3:$AA$3,0))),BW114*(1+INDEX(Response_Table!$O$4:$O$21,MATCH($F114&amp;"|high",Response_Table!$A$4:$A$21,0))*$R114*INDEX(Parameters!$X$15:$AA$15,1,MATCH($E114,Parameters!$X$3:$AA$3,0))))*(1-Inputs_General!$C$22*Parameters!$F$15))</f>
        <v>7.70740903411859</v>
      </c>
      <c r="BZ114" s="43" t="n">
        <f aca="false">MAX(BW114*(1+INDEX(Response_Table!$O$4:$O$21,MATCH($F114&amp;"|low",Response_Table!$A$4:$A$21,0))*$R114*INDEX(Parameters!$X$15:$AA$15,1,MATCH($E114,Parameters!$X$3:$AA$3,0))),BW114*(1+INDEX(Response_Table!$O$4:$O$21,MATCH($F114&amp;"|high",Response_Table!$A$4:$A$21,0))*$R114*INDEX(Parameters!$X$15:$AA$15,1,MATCH($E114,Parameters!$X$3:$AA$3,0))))*(1+Inputs_General!$C$22*Parameters!$F$15)</f>
        <v>12.011091970882</v>
      </c>
      <c r="CA114" s="45" t="n">
        <f aca="false">IF(BW114=0,0,BX114/BW114-1)</f>
        <v>-0.0688465383582917</v>
      </c>
      <c r="CB114" s="46" t="n">
        <f aca="false">BD114+BI114</f>
        <v>1.163953572528</v>
      </c>
      <c r="CC114" s="43" t="n">
        <f aca="false">BD114/BI114</f>
        <v>2.55248695763909</v>
      </c>
      <c r="CD114" s="46" t="n">
        <f aca="false">BN114/CB114</f>
        <v>0.230315966247686</v>
      </c>
      <c r="CE114" s="43" t="n">
        <f aca="false">AE114/AO114</f>
        <v>2.25486200706941</v>
      </c>
      <c r="CF114" s="44" t="n">
        <f aca="false">AE114/AJ114</f>
        <v>41.2776821747223</v>
      </c>
      <c r="CG114" s="44" t="n">
        <f aca="false">INDEX(Context!$V$4:$V$51,$K114)</f>
        <v>28.62</v>
      </c>
      <c r="CH114" s="44" t="n">
        <f aca="false">INDEX(Context!$Y$4:$Y$51,$K114)</f>
        <v>25.3060134606718</v>
      </c>
      <c r="CI114" s="44" t="n">
        <f aca="false">INDEX(Context!$Z$4:$Z$51,$K114)</f>
        <v>32.62</v>
      </c>
      <c r="CJ114" s="43" t="n">
        <f aca="false">INDEX(Context!$AA$4:$AA$51,$K114)</f>
        <v>0.221696428571429</v>
      </c>
      <c r="CK114" s="43" t="n">
        <f aca="false">MAX(0,MIN(1,1-(1-CJ114)*AO114/AN114))</f>
        <v>0.429316747294598</v>
      </c>
      <c r="CL114" s="44" t="n">
        <f aca="false">CH114+CK114*(CI114-CH114)</f>
        <v>28.4460303714926</v>
      </c>
      <c r="CM114" s="44" t="n">
        <f aca="false">CH114+MAX(0,MIN(1,1-(1-CJ114)*AQ114/AN114))*(CI114-CH114)</f>
        <v>26.3562564296894</v>
      </c>
      <c r="CN114" s="44" t="n">
        <f aca="false">CH114+MAX(0,MIN(1,1-(1-CJ114)*AP114/AN114))*(CI114-CH114)</f>
        <v>30.0560816398479</v>
      </c>
      <c r="CO114" s="44" t="n">
        <f aca="false">CL114-CG114</f>
        <v>-0.173969628507365</v>
      </c>
      <c r="CP114" s="44" t="n">
        <f aca="false">CL114-(CH114+CJ114*(CI114-CH114))</f>
        <v>1.5185322164323</v>
      </c>
      <c r="CQ114" s="46" t="n">
        <f aca="false">CL114/CG114</f>
        <v>0.993921396627975</v>
      </c>
      <c r="CR114" s="43" t="n">
        <f aca="false">IF(CL114-CH114&lt;=0,"n/a",(CI114-CL114)/(CL114-CH114))</f>
        <v>1.32928253160783</v>
      </c>
      <c r="CS114" s="43" t="n">
        <f aca="false">IF(CI114-CL114&lt;=0,"n/a",(CL114-CH114)/(CI114-CL114))</f>
        <v>0.752285519610682</v>
      </c>
      <c r="CT114" s="43" t="n">
        <f aca="false">Inputs_General!$C$23+Inputs_General!$C$24*$I114</f>
        <v>0.96</v>
      </c>
      <c r="CU114" s="44" t="n">
        <f aca="false">3.29*CT114</f>
        <v>3.1584</v>
      </c>
    </row>
    <row r="115" customFormat="false" ht="15" hidden="false" customHeight="false" outlineLevel="0" collapsed="false">
      <c r="A115" s="9" t="str">
        <f aca="false">B115&amp;"|"&amp;E115&amp;"|"&amp;F115</f>
        <v>D2V2|03/03/2026|High</v>
      </c>
      <c r="B115" s="7" t="s">
        <v>347</v>
      </c>
      <c r="C115" s="9" t="s">
        <v>129</v>
      </c>
      <c r="D115" s="9" t="s">
        <v>146</v>
      </c>
      <c r="E115" s="9" t="s">
        <v>162</v>
      </c>
      <c r="F115" s="7" t="s">
        <v>283</v>
      </c>
      <c r="G115" s="9" t="s">
        <v>284</v>
      </c>
      <c r="H115" s="41" t="n">
        <f aca="false">INDEX(Severity_Classes!$C$4:$C$9,MATCH(F115,Severity_Classes!$A$4:$A$9,0))</f>
        <v>0.26</v>
      </c>
      <c r="I115" s="41" t="n">
        <f aca="false">INDEX(Severity_Classes!$D$4:$D$9,MATCH(F115,Severity_Classes!$A$4:$A$9,0))</f>
        <v>0.38</v>
      </c>
      <c r="J115" s="41" t="n">
        <f aca="false">INDEX(Severity_Classes!$E$4:$E$9,MATCH(F115,Severity_Classes!$A$4:$A$9,0))</f>
        <v>0.5</v>
      </c>
      <c r="K115" s="42" t="n">
        <f aca="false">MATCH(B115&amp;"|"&amp;E115,Context!$A$4:$A$51,0)</f>
        <v>19</v>
      </c>
      <c r="L115" s="42" t="n">
        <f aca="false">INDEX(Context!$H$4:$H$51,K115)</f>
        <v>75</v>
      </c>
      <c r="M115" s="42" t="n">
        <f aca="false">INDEX(Context!$I$4:$I$51,K115)</f>
        <v>26</v>
      </c>
      <c r="N115" s="9" t="str">
        <f aca="false">INDEX(Context!$L$4:$L$51,K115)</f>
        <v>F</v>
      </c>
      <c r="O115" s="9" t="str">
        <f aca="false">INDEX(Context!$M$4:$M$51,K115)</f>
        <v>5th fully expanded leaf from top</v>
      </c>
      <c r="P115" s="43" t="n">
        <f aca="false">INDEX(Context!$R$4:$R$51,K115)</f>
        <v>0.433928571428571</v>
      </c>
      <c r="Q115" s="43" t="n">
        <f aca="false">INDEX(Context!$U$4:$U$51,K115)</f>
        <v>1.73951545534029</v>
      </c>
      <c r="R115" s="43" t="n">
        <f aca="false">INDEX(Context!$AD$4:$AD$51,K115)</f>
        <v>1.1</v>
      </c>
      <c r="S115" s="9" t="str">
        <f aca="false">INDEX(Context!$AI$4:$AN$51,K115,MATCH(F115,Severity_Classes!$A$4:$A$9,0))</f>
        <v>Likely</v>
      </c>
      <c r="T115" s="44" t="n">
        <f aca="false">Parameters!$E$4*IF($N115="V",Parameters!$I$4,IF($N115="F",Parameters!$J$4,Parameters!$K$4))*(1-Parameters!$L$4*$P115)*IF($D115="V1",Parameters!$M$4,IF($D115="V2",Parameters!$N$4,Parameters!$O$4))</f>
        <v>83.2927660714286</v>
      </c>
      <c r="U115" s="44" t="n">
        <f aca="false">MIN(100,T115*(1+INDEX(Response_Table!$E$4:$E$21,MATCH($F115&amp;"|mid",Response_Table!$A$4:$A$21,0))*$R115*INDEX(Parameters!$X$4:$AA$4,1,MATCH($E115,Parameters!$X$3:$AA$3,0))))</f>
        <v>68.4916587492711</v>
      </c>
      <c r="V115" s="44" t="n">
        <f aca="false">MAX(0,MIN(T115*(1+INDEX(Response_Table!$E$4:$E$21,MATCH($F115&amp;"|low",Response_Table!$A$4:$A$21,0))*$R115*INDEX(Parameters!$X$4:$AA$4,1,MATCH($E115,Parameters!$X$3:$AA$3,0))),T115*(1+INDEX(Response_Table!$E$4:$E$21,MATCH($F115&amp;"|high",Response_Table!$A$4:$A$21,0))*$R115*INDEX(Parameters!$X$4:$AA$4,1,MATCH($E115,Parameters!$X$3:$AA$3,0))))*(1-Inputs_General!$C$22*Parameters!$F$4))</f>
        <v>58.1620503205959</v>
      </c>
      <c r="W115" s="44" t="n">
        <f aca="false">MIN(100,MAX(T115*(1+INDEX(Response_Table!$E$4:$E$21,MATCH($F115&amp;"|low",Response_Table!$A$4:$A$21,0))*$R115*INDEX(Parameters!$X$4:$AA$4,1,MATCH($E115,Parameters!$X$3:$AA$3,0))),T115*(1+INDEX(Response_Table!$E$4:$E$21,MATCH($F115&amp;"|high",Response_Table!$A$4:$A$21,0))*$R115*INDEX(Parameters!$X$4:$AA$4,1,MATCH($E115,Parameters!$X$3:$AA$3,0))))*(1+Inputs_General!$C$22*Parameters!$F$4))</f>
        <v>80.4515809022033</v>
      </c>
      <c r="X115" s="45" t="n">
        <f aca="false">IF(T115=0,0,U115/T115-1)</f>
        <v>-0.177699793394599</v>
      </c>
      <c r="Y115" s="44" t="n">
        <f aca="false">Parameters!$E$5*IF($N115="V",Parameters!$I$5,IF($N115="F",Parameters!$J$5,Parameters!$K$5))*(1-Parameters!$L$5*$P115)*IF($D115="V1",Parameters!$M$5,IF($D115="V2",Parameters!$N$5,Parameters!$O$5))</f>
        <v>66.88584</v>
      </c>
      <c r="Z115" s="44" t="n">
        <f aca="false">MIN(100,Y115*(1+INDEX(Response_Table!$F$4:$F$21,MATCH($F115&amp;"|mid",Response_Table!$A$4:$A$21,0))*$R115*INDEX(Parameters!$X$5:$AA$5,1,MATCH($E115,Parameters!$X$3:$AA$3,0))))</f>
        <v>30.0770733595323</v>
      </c>
      <c r="AA115" s="44" t="n">
        <f aca="false">MAX(0,MIN(Y115*(1+INDEX(Response_Table!$F$4:$F$21,MATCH($F115&amp;"|low",Response_Table!$A$4:$A$21,0))*$R115*INDEX(Parameters!$X$5:$AA$5,1,MATCH($E115,Parameters!$X$3:$AA$3,0))),Y115*(1+INDEX(Response_Table!$F$4:$F$21,MATCH($F115&amp;"|high",Response_Table!$A$4:$A$21,0))*$R115*INDEX(Parameters!$X$5:$AA$5,1,MATCH($E115,Parameters!$X$3:$AA$3,0))))*(1-Inputs_General!$C$22*Parameters!$F$5))</f>
        <v>18.4345275098652</v>
      </c>
      <c r="AB115" s="44" t="n">
        <f aca="false">MIN(100,MAX(Y115*(1+INDEX(Response_Table!$F$4:$F$21,MATCH($F115&amp;"|low",Response_Table!$A$4:$A$21,0))*$R115*INDEX(Parameters!$X$5:$AA$5,1,MATCH($E115,Parameters!$X$3:$AA$3,0))),Y115*(1+INDEX(Response_Table!$F$4:$F$21,MATCH($F115&amp;"|high",Response_Table!$A$4:$A$21,0))*$R115*INDEX(Parameters!$X$5:$AA$5,1,MATCH($E115,Parameters!$X$3:$AA$3,0))))*(1+Inputs_General!$C$22*Parameters!$F$5))</f>
        <v>50.6538400667815</v>
      </c>
      <c r="AC115" s="45" t="n">
        <f aca="false">IF(Y115=0,0,Z115/Y115-1)</f>
        <v>-0.550322260144565</v>
      </c>
      <c r="AD115" s="44" t="n">
        <f aca="false">Parameters!$E$6*IF($N115="V",Parameters!$I$6,IF($N115="F",Parameters!$J$6,Parameters!$K$6))*(1-Parameters!$L$6*$P115)*IF($D115="V1",Parameters!$M$6,IF($D115="V2",Parameters!$N$6,Parameters!$O$6))</f>
        <v>18.0106428571429</v>
      </c>
      <c r="AE115" s="44" t="n">
        <f aca="false">AD115*(1+INDEX(Response_Table!$G$4:$G$21,MATCH($F115&amp;"|mid",Response_Table!$A$4:$A$21,0))*$R115*INDEX(Parameters!$X$6:$AA$6,1,MATCH($E115,Parameters!$X$3:$AA$3,0)))</f>
        <v>5.94339564811636</v>
      </c>
      <c r="AF115" s="44" t="n">
        <f aca="false">MAX(0,MIN(AD115*(1+INDEX(Response_Table!$G$4:$G$21,MATCH($F115&amp;"|low",Response_Table!$A$4:$A$21,0))*$R115*INDEX(Parameters!$X$6:$AA$6,1,MATCH($E115,Parameters!$X$3:$AA$3,0))),AD115*(1+INDEX(Response_Table!$G$4:$G$21,MATCH($F115&amp;"|high",Response_Table!$A$4:$A$21,0))*$R115*INDEX(Parameters!$X$6:$AA$6,1,MATCH($E115,Parameters!$X$3:$AA$3,0))))*(1-Inputs_General!$C$22*Parameters!$F$6))</f>
        <v>3.85108531634867</v>
      </c>
      <c r="AG115" s="44" t="n">
        <f aca="false">MAX(AD115*(1+INDEX(Response_Table!$G$4:$G$21,MATCH($F115&amp;"|low",Response_Table!$A$4:$A$21,0))*$R115*INDEX(Parameters!$X$6:$AA$6,1,MATCH($E115,Parameters!$X$3:$AA$3,0))),AD115*(1+INDEX(Response_Table!$G$4:$G$21,MATCH($F115&amp;"|high",Response_Table!$A$4:$A$21,0))*$R115*INDEX(Parameters!$X$6:$AA$6,1,MATCH($E115,Parameters!$X$3:$AA$3,0))))*(1+Inputs_General!$C$22*Parameters!$F$6)</f>
        <v>9.44151406704474</v>
      </c>
      <c r="AH115" s="45" t="n">
        <f aca="false">IF(AD115=0,0,AE115/AD115-1)</f>
        <v>-0.670006468105648</v>
      </c>
      <c r="AI115" s="46" t="n">
        <f aca="false">Parameters!$E$7*IF($N115="V",Parameters!$I$7,IF($N115="F",Parameters!$J$7,Parameters!$K$7))*(1-Parameters!$L$7*$P115)*IF($D115="V1",Parameters!$M$7,IF($D115="V2",Parameters!$N$7,Parameters!$O$7))*POWER($Q115/Inputs_General!$C$26,-Inputs_General!$C$25)</f>
        <v>0.341191629407368</v>
      </c>
      <c r="AJ115" s="46" t="n">
        <f aca="false">AI115*(1+INDEX(Response_Table!$H$4:$H$21,MATCH($F115&amp;"|mid",Response_Table!$A$4:$A$21,0))*$R115*INDEX(Parameters!$X$7:$AA$7,1,MATCH($E115,Parameters!$X$3:$AA$3,0)))</f>
        <v>0.175260109196917</v>
      </c>
      <c r="AK115" s="46" t="n">
        <f aca="false">MAX(0,MIN(AI115*(1+INDEX(Response_Table!$H$4:$H$21,MATCH($F115&amp;"|low",Response_Table!$A$4:$A$21,0))*$R115*INDEX(Parameters!$X$7:$AA$7,1,MATCH($E115,Parameters!$X$3:$AA$3,0))),AI115*(1+INDEX(Response_Table!$H$4:$H$21,MATCH($F115&amp;"|high",Response_Table!$A$4:$A$21,0))*$R115*INDEX(Parameters!$X$7:$AA$7,1,MATCH($E115,Parameters!$X$3:$AA$3,0))))*(1-Inputs_General!$C$22*Parameters!$F$7))</f>
        <v>0.106762389993304</v>
      </c>
      <c r="AL115" s="46" t="n">
        <f aca="false">MAX(AI115*(1+INDEX(Response_Table!$H$4:$H$21,MATCH($F115&amp;"|low",Response_Table!$A$4:$A$21,0))*$R115*INDEX(Parameters!$X$7:$AA$7,1,MATCH($E115,Parameters!$X$3:$AA$3,0))),AI115*(1+INDEX(Response_Table!$H$4:$H$21,MATCH($F115&amp;"|high",Response_Table!$A$4:$A$21,0))*$R115*INDEX(Parameters!$X$7:$AA$7,1,MATCH($E115,Parameters!$X$3:$AA$3,0))))*(1+Inputs_General!$C$22*Parameters!$F$7)</f>
        <v>0.27097392203121</v>
      </c>
      <c r="AM115" s="45" t="n">
        <f aca="false">IF(AI115=0,0,AJ115/AI115-1)</f>
        <v>-0.486329399401343</v>
      </c>
      <c r="AN115" s="43" t="n">
        <f aca="false">AI115*$Q115/Inputs_General!$C$13*1000</f>
        <v>5.97691956280819</v>
      </c>
      <c r="AO115" s="43" t="n">
        <f aca="false">AJ115*$Q115/Inputs_General!$C$13*1000*(1+Inputs_General!$C$21*$I115)</f>
        <v>3.36183380840551</v>
      </c>
      <c r="AP115" s="43" t="n">
        <f aca="false">AK115*$Q115/Inputs_General!$C$13*1000*(1+Inputs_General!$C$21*$H115)</f>
        <v>1.9918055511196</v>
      </c>
      <c r="AQ115" s="43" t="n">
        <f aca="false">AL115*$Q115/Inputs_General!$C$13*1000*(1+Inputs_General!$C$21*$J115)</f>
        <v>5.34021894298486</v>
      </c>
      <c r="AR115" s="45" t="n">
        <f aca="false">IF(AN115=0,0,AO115/AN115-1)</f>
        <v>-0.43753069234447</v>
      </c>
      <c r="AS115" s="42" t="n">
        <f aca="false">Parameters!$E$9*IF($N115="V",Parameters!$I$9,IF($N115="F",Parameters!$J$9,Parameters!$K$9))*(1-Parameters!$L$9*$P115)*IF($D115="V1",Parameters!$M$9,IF($D115="V2",Parameters!$N$9,Parameters!$O$9))</f>
        <v>285</v>
      </c>
      <c r="AT115" s="42" t="n">
        <f aca="false">AS115*(1+INDEX(Response_Table!$I$4:$I$21,MATCH($F115&amp;"|mid",Response_Table!$A$4:$A$21,0))*$R115*INDEX(Parameters!$X$9:$AA$9,1,MATCH($E115,Parameters!$X$3:$AA$3,0)))</f>
        <v>358.480147032144</v>
      </c>
      <c r="AU115" s="42" t="n">
        <f aca="false">MAX(0,MIN(AS115*(1+INDEX(Response_Table!$I$4:$I$21,MATCH($F115&amp;"|low",Response_Table!$A$4:$A$21,0))*$R115*INDEX(Parameters!$X$9:$AA$9,1,MATCH($E115,Parameters!$X$3:$AA$3,0))),AS115*(1+INDEX(Response_Table!$I$4:$I$21,MATCH($F115&amp;"|high",Response_Table!$A$4:$A$21,0))*$R115*INDEX(Parameters!$X$9:$AA$9,1,MATCH($E115,Parameters!$X$3:$AA$3,0))))*(1-Inputs_General!$C$22*Parameters!$F$9))</f>
        <v>311.676378308909</v>
      </c>
      <c r="AV115" s="42" t="n">
        <f aca="false">MAX(AS115*(1+INDEX(Response_Table!$I$4:$I$21,MATCH($F115&amp;"|low",Response_Table!$A$4:$A$21,0))*$R115*INDEX(Parameters!$X$9:$AA$9,1,MATCH($E115,Parameters!$X$3:$AA$3,0))),AS115*(1+INDEX(Response_Table!$I$4:$I$21,MATCH($F115&amp;"|high",Response_Table!$A$4:$A$21,0))*$R115*INDEX(Parameters!$X$9:$AA$9,1,MATCH($E115,Parameters!$X$3:$AA$3,0))))*(1+Inputs_General!$C$22*Parameters!$F$9)</f>
        <v>402.477670041161</v>
      </c>
      <c r="AW115" s="45" t="n">
        <f aca="false">IF(AS115=0,0,AT115/AS115-1)</f>
        <v>0.257825077305769</v>
      </c>
      <c r="AX115" s="43" t="n">
        <f aca="false">INDEX(Context!$AB$4:$AB$51,$K115)</f>
        <v>3.07951475277641</v>
      </c>
      <c r="AY115" s="43" t="n">
        <f aca="false">AX115*(1+INDEX(Response_Table!$J$4:$J$21,MATCH($F115&amp;"|mid",Response_Table!$A$4:$A$21,0))*$R115*INDEX(Parameters!$X$10:$AA$10,1,MATCH($E115,Parameters!$X$3:$AA$3,0)))</f>
        <v>2.14468742033192</v>
      </c>
      <c r="AZ115" s="43" t="n">
        <f aca="false">MAX(0,MIN(AX115*(1+INDEX(Response_Table!$J$4:$J$21,MATCH($F115&amp;"|low",Response_Table!$A$4:$A$21,0))*$R115*INDEX(Parameters!$X$10:$AA$10,1,MATCH($E115,Parameters!$X$3:$AA$3,0))),AX115*(1+INDEX(Response_Table!$J$4:$J$21,MATCH($F115&amp;"|high",Response_Table!$A$4:$A$21,0))*$R115*INDEX(Parameters!$X$10:$AA$10,1,MATCH($E115,Parameters!$X$3:$AA$3,0))))*(1-Inputs_General!$C$22*Parameters!$F$10))</f>
        <v>1.59869199409479</v>
      </c>
      <c r="BA115" s="43" t="n">
        <f aca="false">MAX(AX115*(1+INDEX(Response_Table!$J$4:$J$21,MATCH($F115&amp;"|low",Response_Table!$A$4:$A$21,0))*$R115*INDEX(Parameters!$X$10:$AA$10,1,MATCH($E115,Parameters!$X$3:$AA$3,0))),AX115*(1+INDEX(Response_Table!$J$4:$J$21,MATCH($F115&amp;"|high",Response_Table!$A$4:$A$21,0))*$R115*INDEX(Parameters!$X$10:$AA$10,1,MATCH($E115,Parameters!$X$3:$AA$3,0))))*(1+Inputs_General!$C$22*Parameters!$F$10)</f>
        <v>2.81501621142847</v>
      </c>
      <c r="BB115" s="45" t="n">
        <f aca="false">IF(AX115=0,0,AY115/AX115-1)</f>
        <v>-0.303563193390022</v>
      </c>
      <c r="BC115" s="46" t="n">
        <f aca="false">Parameters!$E$11*IF($N115="V",Parameters!$I$11,IF($N115="F",Parameters!$J$11,Parameters!$K$11))*(1-Parameters!$L$11*$P115)*IF($D115="V1",Parameters!$M$11,IF($D115="V2",Parameters!$N$11,Parameters!$O$11))</f>
        <v>1.21745535714286</v>
      </c>
      <c r="BD115" s="46" t="n">
        <f aca="false">BC115*(1+INDEX(Response_Table!$K$4:$K$21,MATCH($F115&amp;"|mid",Response_Table!$A$4:$A$21,0))*$R115*INDEX(Parameters!$X$11:$AA$11,1,MATCH($E115,Parameters!$X$3:$AA$3,0)))</f>
        <v>0.604996931017847</v>
      </c>
      <c r="BE115" s="46" t="n">
        <f aca="false">MAX(0,MIN(BC115*(1+INDEX(Response_Table!$K$4:$K$21,MATCH($F115&amp;"|low",Response_Table!$A$4:$A$21,0))*$R115*INDEX(Parameters!$X$11:$AA$11,1,MATCH($E115,Parameters!$X$3:$AA$3,0))),BC115*(1+INDEX(Response_Table!$K$4:$K$21,MATCH($F115&amp;"|high",Response_Table!$A$4:$A$21,0))*$R115*INDEX(Parameters!$X$11:$AA$11,1,MATCH($E115,Parameters!$X$3:$AA$3,0))))*(1-Inputs_General!$C$22*Parameters!$F$11))</f>
        <v>0.436734042963864</v>
      </c>
      <c r="BF115" s="46" t="n">
        <f aca="false">MAX(BC115*(1+INDEX(Response_Table!$K$4:$K$21,MATCH($F115&amp;"|low",Response_Table!$A$4:$A$21,0))*$R115*INDEX(Parameters!$X$11:$AA$11,1,MATCH($E115,Parameters!$X$3:$AA$3,0))),BC115*(1+INDEX(Response_Table!$K$4:$K$21,MATCH($F115&amp;"|high",Response_Table!$A$4:$A$21,0))*$R115*INDEX(Parameters!$X$11:$AA$11,1,MATCH($E115,Parameters!$X$3:$AA$3,0))))*(1+Inputs_General!$C$22*Parameters!$F$11)</f>
        <v>0.845181088313207</v>
      </c>
      <c r="BG115" s="45" t="n">
        <f aca="false">IF(BC115=0,0,BD115/BC115-1)</f>
        <v>-0.503064381401497</v>
      </c>
      <c r="BH115" s="46" t="n">
        <f aca="false">Parameters!$E$12*IF($N115="V",Parameters!$I$12,IF($N115="F",Parameters!$J$12,Parameters!$K$12))*(1-Parameters!$L$12*$P115)*IF($D115="V1",Parameters!$M$12,IF($D115="V2",Parameters!$N$12,Parameters!$O$12))</f>
        <v>0.438283928571429</v>
      </c>
      <c r="BI115" s="46" t="n">
        <f aca="false">BH115*(1+INDEX(Response_Table!$L$4:$L$21,MATCH($F115&amp;"|mid",Response_Table!$A$4:$A$21,0))*$R115*INDEX(Parameters!$X$12:$AA$12,1,MATCH($E115,Parameters!$X$3:$AA$3,0)))</f>
        <v>0.257925931860395</v>
      </c>
      <c r="BJ115" s="46" t="n">
        <f aca="false">MAX(0,MIN(BH115*(1+INDEX(Response_Table!$L$4:$L$21,MATCH($F115&amp;"|low",Response_Table!$A$4:$A$21,0))*$R115*INDEX(Parameters!$X$12:$AA$12,1,MATCH($E115,Parameters!$X$3:$AA$3,0))),BH115*(1+INDEX(Response_Table!$L$4:$L$21,MATCH($F115&amp;"|high",Response_Table!$A$4:$A$21,0))*$R115*INDEX(Parameters!$X$12:$AA$12,1,MATCH($E115,Parameters!$X$3:$AA$3,0))))*(1-Inputs_General!$C$22*Parameters!$F$12))</f>
        <v>0.186434141332036</v>
      </c>
      <c r="BK115" s="46" t="n">
        <f aca="false">MAX(BH115*(1+INDEX(Response_Table!$L$4:$L$21,MATCH($F115&amp;"|low",Response_Table!$A$4:$A$21,0))*$R115*INDEX(Parameters!$X$12:$AA$12,1,MATCH($E115,Parameters!$X$3:$AA$3,0))),BH115*(1+INDEX(Response_Table!$L$4:$L$21,MATCH($F115&amp;"|high",Response_Table!$A$4:$A$21,0))*$R115*INDEX(Parameters!$X$12:$AA$12,1,MATCH($E115,Parameters!$X$3:$AA$3,0))))*(1+Inputs_General!$C$22*Parameters!$F$12)</f>
        <v>0.352842532928187</v>
      </c>
      <c r="BL115" s="45" t="n">
        <f aca="false">IF(BH115=0,0,BI115/BH115-1)</f>
        <v>-0.411509491801136</v>
      </c>
      <c r="BM115" s="46" t="n">
        <f aca="false">Parameters!$E$13*IF($N115="V",Parameters!$I$13,IF($N115="F",Parameters!$J$13,Parameters!$K$13))*(1-Parameters!$L$13*$P115)*IF($D115="V1",Parameters!$M$13,IF($D115="V2",Parameters!$N$13,Parameters!$O$13))</f>
        <v>0.296094642857143</v>
      </c>
      <c r="BN115" s="46" t="n">
        <f aca="false">BM115*(1+INDEX(Response_Table!$M$4:$M$21,MATCH($F115&amp;"|mid",Response_Table!$A$4:$A$21,0))*$R115*INDEX(Parameters!$X$13:$AA$13,1,MATCH($E115,Parameters!$X$3:$AA$3,0)))</f>
        <v>0.215005860697199</v>
      </c>
      <c r="BO115" s="46" t="n">
        <f aca="false">MAX(0,MIN(BM115*(1+INDEX(Response_Table!$M$4:$M$21,MATCH($F115&amp;"|low",Response_Table!$A$4:$A$21,0))*$R115*INDEX(Parameters!$X$13:$AA$13,1,MATCH($E115,Parameters!$X$3:$AA$3,0))),BM115*(1+INDEX(Response_Table!$M$4:$M$21,MATCH($F115&amp;"|high",Response_Table!$A$4:$A$21,0))*$R115*INDEX(Parameters!$X$13:$AA$13,1,MATCH($E115,Parameters!$X$3:$AA$3,0))))*(1-Inputs_General!$C$22*Parameters!$F$13))</f>
        <v>0.15880685290092</v>
      </c>
      <c r="BP115" s="46" t="n">
        <f aca="false">MAX(BM115*(1+INDEX(Response_Table!$M$4:$M$21,MATCH($F115&amp;"|low",Response_Table!$A$4:$A$21,0))*$R115*INDEX(Parameters!$X$13:$AA$13,1,MATCH($E115,Parameters!$X$3:$AA$3,0))),BM115*(1+INDEX(Response_Table!$M$4:$M$21,MATCH($F115&amp;"|high",Response_Table!$A$4:$A$21,0))*$R115*INDEX(Parameters!$X$13:$AA$13,1,MATCH($E115,Parameters!$X$3:$AA$3,0))))*(1+Inputs_General!$C$22*Parameters!$F$13)</f>
        <v>0.290527682265843</v>
      </c>
      <c r="BQ115" s="45" t="n">
        <f aca="false">IF(BM115=0,0,BN115/BM115-1)</f>
        <v>-0.273861024223485</v>
      </c>
      <c r="BR115" s="44" t="n">
        <f aca="false">Parameters!$E$14*IF($N115="V",Parameters!$I$14,IF($N115="F",Parameters!$J$14,Parameters!$K$14))*(1-Parameters!$L$14*$P115)*IF($D115="V1",Parameters!$M$14,IF($D115="V2",Parameters!$N$14,Parameters!$O$14))*INDEX(Context!$AC$4:$AC$51,$K115)</f>
        <v>15</v>
      </c>
      <c r="BS115" s="44" t="n">
        <f aca="false">BR115*(1+INDEX(Response_Table!$N$4:$N$21,MATCH($F115&amp;"|mid",Response_Table!$A$4:$A$21,0))*$R115*INDEX(Parameters!$X$14:$AA$14,1,MATCH($E115,Parameters!$X$3:$AA$3,0)))</f>
        <v>21.7337916840186</v>
      </c>
      <c r="BT115" s="44" t="n">
        <f aca="false">MAX(0,MIN(BR115*(1+INDEX(Response_Table!$N$4:$N$21,MATCH($F115&amp;"|low",Response_Table!$A$4:$A$21,0))*$R115*INDEX(Parameters!$X$14:$AA$14,1,MATCH($E115,Parameters!$X$3:$AA$3,0))),BR115*(1+INDEX(Response_Table!$N$4:$N$21,MATCH($F115&amp;"|high",Response_Table!$A$4:$A$21,0))*$R115*INDEX(Parameters!$X$14:$AA$14,1,MATCH($E115,Parameters!$X$3:$AA$3,0))))*(1-Inputs_General!$C$22*Parameters!$F$14))</f>
        <v>10.3132418172117</v>
      </c>
      <c r="BU115" s="44" t="n">
        <f aca="false">MAX(BR115*(1+INDEX(Response_Table!$N$4:$N$21,MATCH($F115&amp;"|low",Response_Table!$A$4:$A$21,0))*$R115*INDEX(Parameters!$X$14:$AA$14,1,MATCH($E115,Parameters!$X$3:$AA$3,0))),BR115*(1+INDEX(Response_Table!$N$4:$N$21,MATCH($F115&amp;"|high",Response_Table!$A$4:$A$21,0))*$R115*INDEX(Parameters!$X$14:$AA$14,1,MATCH($E115,Parameters!$X$3:$AA$3,0))))*(1+Inputs_General!$C$22*Parameters!$F$14)</f>
        <v>33.8890255476014</v>
      </c>
      <c r="BV115" s="45" t="n">
        <f aca="false">IF(BR115=0,0,BS115/BR115-1)</f>
        <v>0.448919445601239</v>
      </c>
      <c r="BW115" s="43" t="n">
        <f aca="false">Parameters!$E$15*IF($N115="V",Parameters!$I$15,IF($N115="F",Parameters!$J$15,Parameters!$K$15))*(1-Parameters!$L$15*$P115)*IF($D115="V1",Parameters!$M$15,IF($D115="V2",Parameters!$N$15,Parameters!$O$15))</f>
        <v>10.5188142857143</v>
      </c>
      <c r="BX115" s="43" t="n">
        <f aca="false">BW115*(1+INDEX(Response_Table!$O$4:$O$21,MATCH($F115&amp;"|mid",Response_Table!$A$4:$A$21,0))*$R115*INDEX(Parameters!$X$15:$AA$15,1,MATCH($E115,Parameters!$X$3:$AA$3,0)))</f>
        <v>9.33828921633297</v>
      </c>
      <c r="BY115" s="43" t="n">
        <f aca="false">MAX(0,MIN(BW115*(1+INDEX(Response_Table!$O$4:$O$21,MATCH($F115&amp;"|low",Response_Table!$A$4:$A$21,0))*$R115*INDEX(Parameters!$X$15:$AA$15,1,MATCH($E115,Parameters!$X$3:$AA$3,0))),BW115*(1+INDEX(Response_Table!$O$4:$O$21,MATCH($F115&amp;"|high",Response_Table!$A$4:$A$21,0))*$R115*INDEX(Parameters!$X$15:$AA$15,1,MATCH($E115,Parameters!$X$3:$AA$3,0))))*(1-Inputs_General!$C$22*Parameters!$F$15))</f>
        <v>7.36022372196553</v>
      </c>
      <c r="BZ115" s="43" t="n">
        <f aca="false">MAX(BW115*(1+INDEX(Response_Table!$O$4:$O$21,MATCH($F115&amp;"|low",Response_Table!$A$4:$A$21,0))*$R115*INDEX(Parameters!$X$15:$AA$15,1,MATCH($E115,Parameters!$X$3:$AA$3,0))),BW115*(1+INDEX(Response_Table!$O$4:$O$21,MATCH($F115&amp;"|high",Response_Table!$A$4:$A$21,0))*$R115*INDEX(Parameters!$X$15:$AA$15,1,MATCH($E115,Parameters!$X$3:$AA$3,0))))*(1+Inputs_General!$C$22*Parameters!$F$15)</f>
        <v>11.4696807433222</v>
      </c>
      <c r="CA115" s="45" t="n">
        <f aca="false">IF(BW115=0,0,BX115/BW115-1)</f>
        <v>-0.11222986140031</v>
      </c>
      <c r="CB115" s="46" t="n">
        <f aca="false">BD115+BI115</f>
        <v>0.862922862878242</v>
      </c>
      <c r="CC115" s="43" t="n">
        <f aca="false">BD115/BI115</f>
        <v>2.34562274004038</v>
      </c>
      <c r="CD115" s="46" t="n">
        <f aca="false">BN115/CB115</f>
        <v>0.249160000211439</v>
      </c>
      <c r="CE115" s="43" t="n">
        <f aca="false">AE115/AO115</f>
        <v>1.76790287290711</v>
      </c>
      <c r="CF115" s="44" t="n">
        <f aca="false">AE115/AJ115</f>
        <v>33.9118563565342</v>
      </c>
      <c r="CG115" s="44" t="n">
        <f aca="false">INDEX(Context!$V$4:$V$51,$K115)</f>
        <v>28.62</v>
      </c>
      <c r="CH115" s="44" t="n">
        <f aca="false">INDEX(Context!$Y$4:$Y$51,$K115)</f>
        <v>25.3060134606718</v>
      </c>
      <c r="CI115" s="44" t="n">
        <f aca="false">INDEX(Context!$Z$4:$Z$51,$K115)</f>
        <v>32.62</v>
      </c>
      <c r="CJ115" s="43" t="n">
        <f aca="false">INDEX(Context!$AA$4:$AA$51,$K115)</f>
        <v>0.221696428571429</v>
      </c>
      <c r="CK115" s="43" t="n">
        <f aca="false">MAX(0,MIN(1,1-(1-CJ115)*AO115/AN115))</f>
        <v>0.562228129032745</v>
      </c>
      <c r="CL115" s="44" t="n">
        <f aca="false">CH115+CK115*(CI115-CH115)</f>
        <v>29.418142428449</v>
      </c>
      <c r="CM115" s="44" t="n">
        <f aca="false">CH115+MAX(0,MIN(1,1-(1-CJ115)*AQ115/AN115))*(CI115-CH115)</f>
        <v>27.5339007366798</v>
      </c>
      <c r="CN115" s="44" t="n">
        <f aca="false">CH115+MAX(0,MIN(1,1-(1-CJ115)*AP115/AN115))*(CI115-CH115)</f>
        <v>30.7229765156849</v>
      </c>
      <c r="CO115" s="44" t="n">
        <f aca="false">CL115-CG115</f>
        <v>0.798142428448962</v>
      </c>
      <c r="CP115" s="44" t="n">
        <f aca="false">CL115-(CH115+CJ115*(CI115-CH115))</f>
        <v>2.49064427338863</v>
      </c>
      <c r="CQ115" s="46" t="n">
        <f aca="false">CL115/CG115</f>
        <v>1.02788757611632</v>
      </c>
      <c r="CR115" s="43" t="n">
        <f aca="false">IF(CL115-CH115&lt;=0,"n/a",(CI115-CL115)/(CL115-CH115))</f>
        <v>0.778637439788713</v>
      </c>
      <c r="CS115" s="43" t="n">
        <f aca="false">IF(CI115-CL115&lt;=0,"n/a",(CL115-CH115)/(CI115-CL115))</f>
        <v>1.28429478072793</v>
      </c>
      <c r="CT115" s="43" t="n">
        <f aca="false">Inputs_General!$C$23+Inputs_General!$C$24*$I115</f>
        <v>1.36</v>
      </c>
      <c r="CU115" s="44" t="n">
        <f aca="false">3.29*CT115</f>
        <v>4.4744</v>
      </c>
    </row>
    <row r="116" customFormat="false" ht="15" hidden="false" customHeight="false" outlineLevel="0" collapsed="false">
      <c r="A116" s="9" t="str">
        <f aca="false">B116&amp;"|"&amp;E116&amp;"|"&amp;F116</f>
        <v>D2V2|03/03/2026|Very high</v>
      </c>
      <c r="B116" s="7" t="s">
        <v>347</v>
      </c>
      <c r="C116" s="9" t="s">
        <v>129</v>
      </c>
      <c r="D116" s="9" t="s">
        <v>146</v>
      </c>
      <c r="E116" s="9" t="s">
        <v>162</v>
      </c>
      <c r="F116" s="7" t="s">
        <v>285</v>
      </c>
      <c r="G116" s="9" t="s">
        <v>286</v>
      </c>
      <c r="H116" s="41" t="n">
        <f aca="false">INDEX(Severity_Classes!$C$4:$C$9,MATCH(F116,Severity_Classes!$A$4:$A$9,0))</f>
        <v>0.51</v>
      </c>
      <c r="I116" s="41" t="n">
        <f aca="false">INDEX(Severity_Classes!$D$4:$D$9,MATCH(F116,Severity_Classes!$A$4:$A$9,0))</f>
        <v>0.65</v>
      </c>
      <c r="J116" s="41" t="n">
        <f aca="false">INDEX(Severity_Classes!$E$4:$E$9,MATCH(F116,Severity_Classes!$A$4:$A$9,0))</f>
        <v>0.85</v>
      </c>
      <c r="K116" s="42" t="n">
        <f aca="false">MATCH(B116&amp;"|"&amp;E116,Context!$A$4:$A$51,0)</f>
        <v>19</v>
      </c>
      <c r="L116" s="42" t="n">
        <f aca="false">INDEX(Context!$H$4:$H$51,K116)</f>
        <v>75</v>
      </c>
      <c r="M116" s="42" t="n">
        <f aca="false">INDEX(Context!$I$4:$I$51,K116)</f>
        <v>26</v>
      </c>
      <c r="N116" s="9" t="str">
        <f aca="false">INDEX(Context!$L$4:$L$51,K116)</f>
        <v>F</v>
      </c>
      <c r="O116" s="9" t="str">
        <f aca="false">INDEX(Context!$M$4:$M$51,K116)</f>
        <v>5th fully expanded leaf from top</v>
      </c>
      <c r="P116" s="43" t="n">
        <f aca="false">INDEX(Context!$R$4:$R$51,K116)</f>
        <v>0.433928571428571</v>
      </c>
      <c r="Q116" s="43" t="n">
        <f aca="false">INDEX(Context!$U$4:$U$51,K116)</f>
        <v>1.73951545534029</v>
      </c>
      <c r="R116" s="43" t="n">
        <f aca="false">INDEX(Context!$AD$4:$AD$51,K116)</f>
        <v>1.1</v>
      </c>
      <c r="S116" s="9" t="str">
        <f aca="false">INDEX(Context!$AI$4:$AN$51,K116,MATCH(F116,Severity_Classes!$A$4:$A$9,0))</f>
        <v>Likely</v>
      </c>
      <c r="T116" s="44" t="n">
        <f aca="false">Parameters!$E$4*IF($N116="V",Parameters!$I$4,IF($N116="F",Parameters!$J$4,Parameters!$K$4))*(1-Parameters!$L$4*$P116)*IF($D116="V1",Parameters!$M$4,IF($D116="V2",Parameters!$N$4,Parameters!$O$4))</f>
        <v>83.2927660714286</v>
      </c>
      <c r="U116" s="44" t="n">
        <f aca="false">MIN(100,T116*(1+INDEX(Response_Table!$E$4:$E$21,MATCH($F116&amp;"|mid",Response_Table!$A$4:$A$21,0))*$R116*INDEX(Parameters!$X$4:$AA$4,1,MATCH($E116,Parameters!$X$3:$AA$3,0))))</f>
        <v>58.0040694610639</v>
      </c>
      <c r="V116" s="44" t="n">
        <f aca="false">MAX(0,MIN(T116*(1+INDEX(Response_Table!$E$4:$E$21,MATCH($F116&amp;"|low",Response_Table!$A$4:$A$21,0))*$R116*INDEX(Parameters!$X$4:$AA$4,1,MATCH($E116,Parameters!$X$3:$AA$3,0))),T116*(1+INDEX(Response_Table!$E$4:$E$21,MATCH($F116&amp;"|high",Response_Table!$A$4:$A$21,0))*$R116*INDEX(Parameters!$X$4:$AA$4,1,MATCH($E116,Parameters!$X$3:$AA$3,0))))*(1-Inputs_General!$C$22*Parameters!$F$4))</f>
        <v>52.5473524770264</v>
      </c>
      <c r="W116" s="44" t="n">
        <f aca="false">MIN(100,MAX(T116*(1+INDEX(Response_Table!$E$4:$E$21,MATCH($F116&amp;"|low",Response_Table!$A$4:$A$21,0))*$R116*INDEX(Parameters!$X$4:$AA$4,1,MATCH($E116,Parameters!$X$3:$AA$3,0))),T116*(1+INDEX(Response_Table!$E$4:$E$21,MATCH($F116&amp;"|high",Response_Table!$A$4:$A$21,0))*$R116*INDEX(Parameters!$X$4:$AA$4,1,MATCH($E116,Parameters!$X$3:$AA$3,0))))*(1+Inputs_General!$C$22*Parameters!$F$4))</f>
        <v>65.9201352950414</v>
      </c>
      <c r="X116" s="45" t="n">
        <f aca="false">IF(T116=0,0,U116/T116-1)</f>
        <v>-0.30361215989247</v>
      </c>
      <c r="Y116" s="44" t="n">
        <f aca="false">Parameters!$E$5*IF($N116="V",Parameters!$I$5,IF($N116="F",Parameters!$J$5,Parameters!$K$5))*(1-Parameters!$L$5*$P116)*IF($D116="V1",Parameters!$M$5,IF($D116="V2",Parameters!$N$5,Parameters!$O$5))</f>
        <v>66.88584</v>
      </c>
      <c r="Z116" s="44" t="n">
        <f aca="false">MIN(100,Y116*(1+INDEX(Response_Table!$F$4:$F$21,MATCH($F116&amp;"|mid",Response_Table!$A$4:$A$21,0))*$R116*INDEX(Parameters!$X$5:$AA$5,1,MATCH($E116,Parameters!$X$3:$AA$3,0))))</f>
        <v>16.701897501595</v>
      </c>
      <c r="AA116" s="44" t="n">
        <f aca="false">MAX(0,MIN(Y116*(1+INDEX(Response_Table!$F$4:$F$21,MATCH($F116&amp;"|low",Response_Table!$A$4:$A$21,0))*$R116*INDEX(Parameters!$X$5:$AA$5,1,MATCH($E116,Parameters!$X$3:$AA$3,0))),Y116*(1+INDEX(Response_Table!$F$4:$F$21,MATCH($F116&amp;"|high",Response_Table!$A$4:$A$21,0))*$R116*INDEX(Parameters!$X$5:$AA$5,1,MATCH($E116,Parameters!$X$3:$AA$3,0))))*(1-Inputs_General!$C$22*Parameters!$F$5))</f>
        <v>13.7735192401164</v>
      </c>
      <c r="AB116" s="44" t="n">
        <f aca="false">MIN(100,MAX(Y116*(1+INDEX(Response_Table!$F$4:$F$21,MATCH($F116&amp;"|low",Response_Table!$A$4:$A$21,0))*$R116*INDEX(Parameters!$X$5:$AA$5,1,MATCH($E116,Parameters!$X$3:$AA$3,0))),Y116*(1+INDEX(Response_Table!$F$4:$F$21,MATCH($F116&amp;"|high",Response_Table!$A$4:$A$21,0))*$R116*INDEX(Parameters!$X$5:$AA$5,1,MATCH($E116,Parameters!$X$3:$AA$3,0))))*(1+Inputs_General!$C$22*Parameters!$F$5))</f>
        <v>22.7068513666516</v>
      </c>
      <c r="AC116" s="45" t="n">
        <f aca="false">IF(Y116=0,0,Z116/Y116-1)</f>
        <v>-0.750292475932201</v>
      </c>
      <c r="AD116" s="44" t="n">
        <f aca="false">Parameters!$E$6*IF($N116="V",Parameters!$I$6,IF($N116="F",Parameters!$J$6,Parameters!$K$6))*(1-Parameters!$L$6*$P116)*IF($D116="V1",Parameters!$M$6,IF($D116="V2",Parameters!$N$6,Parameters!$O$6))</f>
        <v>18.0106428571429</v>
      </c>
      <c r="AE116" s="44" t="n">
        <f aca="false">AD116*(1+INDEX(Response_Table!$G$4:$G$21,MATCH($F116&amp;"|mid",Response_Table!$A$4:$A$21,0))*$R116*INDEX(Parameters!$X$6:$AA$6,1,MATCH($E116,Parameters!$X$3:$AA$3,0)))</f>
        <v>4.00280643011045</v>
      </c>
      <c r="AF116" s="44" t="n">
        <f aca="false">MAX(0,MIN(AD116*(1+INDEX(Response_Table!$G$4:$G$21,MATCH($F116&amp;"|low",Response_Table!$A$4:$A$21,0))*$R116*INDEX(Parameters!$X$6:$AA$6,1,MATCH($E116,Parameters!$X$3:$AA$3,0))),AD116*(1+INDEX(Response_Table!$G$4:$G$21,MATCH($F116&amp;"|high",Response_Table!$A$4:$A$21,0))*$R116*INDEX(Parameters!$X$6:$AA$6,1,MATCH($E116,Parameters!$X$3:$AA$3,0))))*(1-Inputs_General!$C$22*Parameters!$F$6))</f>
        <v>2.81296813150981</v>
      </c>
      <c r="AG116" s="44" t="n">
        <f aca="false">MAX(AD116*(1+INDEX(Response_Table!$G$4:$G$21,MATCH($F116&amp;"|low",Response_Table!$A$4:$A$21,0))*$R116*INDEX(Parameters!$X$6:$AA$6,1,MATCH($E116,Parameters!$X$3:$AA$3,0))),AD116*(1+INDEX(Response_Table!$G$4:$G$21,MATCH($F116&amp;"|high",Response_Table!$A$4:$A$21,0))*$R116*INDEX(Parameters!$X$6:$AA$6,1,MATCH($E116,Parameters!$X$3:$AA$3,0))))*(1+Inputs_General!$C$22*Parameters!$F$6)</f>
        <v>5.66057833960075</v>
      </c>
      <c r="AH116" s="45" t="n">
        <f aca="false">IF(AD116=0,0,AE116/AD116-1)</f>
        <v>-0.77775327278099</v>
      </c>
      <c r="AI116" s="46" t="n">
        <f aca="false">Parameters!$E$7*IF($N116="V",Parameters!$I$7,IF($N116="F",Parameters!$J$7,Parameters!$K$7))*(1-Parameters!$L$7*$P116)*IF($D116="V1",Parameters!$M$7,IF($D116="V2",Parameters!$N$7,Parameters!$O$7))*POWER($Q116/Inputs_General!$C$26,-Inputs_General!$C$25)</f>
        <v>0.341191629407368</v>
      </c>
      <c r="AJ116" s="46" t="n">
        <f aca="false">AI116*(1+INDEX(Response_Table!$H$4:$H$21,MATCH($F116&amp;"|mid",Response_Table!$A$4:$A$21,0))*$R116*INDEX(Parameters!$X$7:$AA$7,1,MATCH($E116,Parameters!$X$3:$AA$3,0)))</f>
        <v>0.131947660830621</v>
      </c>
      <c r="AK116" s="46" t="n">
        <f aca="false">MAX(0,MIN(AI116*(1+INDEX(Response_Table!$H$4:$H$21,MATCH($F116&amp;"|low",Response_Table!$A$4:$A$21,0))*$R116*INDEX(Parameters!$X$7:$AA$7,1,MATCH($E116,Parameters!$X$3:$AA$3,0))),AI116*(1+INDEX(Response_Table!$H$4:$H$21,MATCH($F116&amp;"|high",Response_Table!$A$4:$A$21,0))*$R116*INDEX(Parameters!$X$7:$AA$7,1,MATCH($E116,Parameters!$X$3:$AA$3,0))))*(1-Inputs_General!$C$22*Parameters!$F$7))</f>
        <v>0.0818549782942233</v>
      </c>
      <c r="AL116" s="46" t="n">
        <f aca="false">MAX(AI116*(1+INDEX(Response_Table!$H$4:$H$21,MATCH($F116&amp;"|low",Response_Table!$A$4:$A$21,0))*$R116*INDEX(Parameters!$X$7:$AA$7,1,MATCH($E116,Parameters!$X$3:$AA$3,0))),AI116*(1+INDEX(Response_Table!$H$4:$H$21,MATCH($F116&amp;"|high",Response_Table!$A$4:$A$21,0))*$R116*INDEX(Parameters!$X$7:$AA$7,1,MATCH($E116,Parameters!$X$3:$AA$3,0))))*(1+Inputs_General!$C$22*Parameters!$F$7)</f>
        <v>0.19449785545795</v>
      </c>
      <c r="AM116" s="45" t="n">
        <f aca="false">IF(AI116=0,0,AJ116/AI116-1)</f>
        <v>-0.613274038815643</v>
      </c>
      <c r="AN116" s="43" t="n">
        <f aca="false">AI116*$Q116/Inputs_General!$C$13*1000</f>
        <v>5.97691956280819</v>
      </c>
      <c r="AO116" s="43" t="n">
        <f aca="false">AJ116*$Q116/Inputs_General!$C$13*1000*(1+Inputs_General!$C$21*$I116)</f>
        <v>2.68703733181148</v>
      </c>
      <c r="AP116" s="43" t="n">
        <f aca="false">AK116*$Q116/Inputs_General!$C$13*1000*(1+Inputs_General!$C$21*$H116)</f>
        <v>1.61674189142862</v>
      </c>
      <c r="AQ116" s="43" t="n">
        <f aca="false">AL116*$Q116/Inputs_General!$C$13*1000*(1+Inputs_General!$C$21*$J116)</f>
        <v>4.13119416958278</v>
      </c>
      <c r="AR116" s="45" t="n">
        <f aca="false">IF(AN116=0,0,AO116/AN116-1)</f>
        <v>-0.550431070123185</v>
      </c>
      <c r="AS116" s="42" t="n">
        <f aca="false">Parameters!$E$9*IF($N116="V",Parameters!$I$9,IF($N116="F",Parameters!$J$9,Parameters!$K$9))*(1-Parameters!$L$9*$P116)*IF($D116="V1",Parameters!$M$9,IF($D116="V2",Parameters!$N$9,Parameters!$O$9))</f>
        <v>285</v>
      </c>
      <c r="AT116" s="42" t="n">
        <f aca="false">AS116*(1+INDEX(Response_Table!$I$4:$I$21,MATCH($F116&amp;"|mid",Response_Table!$A$4:$A$21,0))*$R116*INDEX(Parameters!$X$9:$AA$9,1,MATCH($E116,Parameters!$X$3:$AA$3,0)))</f>
        <v>372.064569968942</v>
      </c>
      <c r="AU116" s="42" t="n">
        <f aca="false">MAX(0,MIN(AS116*(1+INDEX(Response_Table!$I$4:$I$21,MATCH($F116&amp;"|low",Response_Table!$A$4:$A$21,0))*$R116*INDEX(Parameters!$X$9:$AA$9,1,MATCH($E116,Parameters!$X$3:$AA$3,0))),AS116*(1+INDEX(Response_Table!$I$4:$I$21,MATCH($F116&amp;"|high",Response_Table!$A$4:$A$21,0))*$R116*INDEX(Parameters!$X$9:$AA$9,1,MATCH($E116,Parameters!$X$3:$AA$3,0))))*(1-Inputs_General!$C$22*Parameters!$F$9))</f>
        <v>330.61558680736</v>
      </c>
      <c r="AV116" s="42" t="n">
        <f aca="false">MAX(AS116*(1+INDEX(Response_Table!$I$4:$I$21,MATCH($F116&amp;"|low",Response_Table!$A$4:$A$21,0))*$R116*INDEX(Parameters!$X$9:$AA$9,1,MATCH($E116,Parameters!$X$3:$AA$3,0))),AS116*(1+INDEX(Response_Table!$I$4:$I$21,MATCH($F116&amp;"|high",Response_Table!$A$4:$A$21,0))*$R116*INDEX(Parameters!$X$9:$AA$9,1,MATCH($E116,Parameters!$X$3:$AA$3,0))))*(1+Inputs_General!$C$22*Parameters!$F$9)</f>
        <v>413.013683739106</v>
      </c>
      <c r="AW116" s="45" t="n">
        <f aca="false">IF(AS116=0,0,AT116/AS116-1)</f>
        <v>0.30548971918927</v>
      </c>
      <c r="AX116" s="43" t="n">
        <f aca="false">INDEX(Context!$AB$4:$AB$51,$K116)</f>
        <v>3.07951475277641</v>
      </c>
      <c r="AY116" s="43" t="n">
        <f aca="false">AX116*(1+INDEX(Response_Table!$J$4:$J$21,MATCH($F116&amp;"|mid",Response_Table!$A$4:$A$21,0))*$R116*INDEX(Parameters!$X$10:$AA$10,1,MATCH($E116,Parameters!$X$3:$AA$3,0)))</f>
        <v>1.85531919250078</v>
      </c>
      <c r="AZ116" s="43" t="n">
        <f aca="false">MAX(0,MIN(AX116*(1+INDEX(Response_Table!$J$4:$J$21,MATCH($F116&amp;"|low",Response_Table!$A$4:$A$21,0))*$R116*INDEX(Parameters!$X$10:$AA$10,1,MATCH($E116,Parameters!$X$3:$AA$3,0))),AX116*(1+INDEX(Response_Table!$J$4:$J$21,MATCH($F116&amp;"|high",Response_Table!$A$4:$A$21,0))*$R116*INDEX(Parameters!$X$10:$AA$10,1,MATCH($E116,Parameters!$X$3:$AA$3,0))))*(1-Inputs_General!$C$22*Parameters!$F$10))</f>
        <v>1.39428776866061</v>
      </c>
      <c r="BA116" s="43" t="n">
        <f aca="false">MAX(AX116*(1+INDEX(Response_Table!$J$4:$J$21,MATCH($F116&amp;"|low",Response_Table!$A$4:$A$21,0))*$R116*INDEX(Parameters!$X$10:$AA$10,1,MATCH($E116,Parameters!$X$3:$AA$3,0))),AX116*(1+INDEX(Response_Table!$J$4:$J$21,MATCH($F116&amp;"|high",Response_Table!$A$4:$A$21,0))*$R116*INDEX(Parameters!$X$10:$AA$10,1,MATCH($E116,Parameters!$X$3:$AA$3,0))))*(1+Inputs_General!$C$22*Parameters!$F$10)</f>
        <v>2.37217906131777</v>
      </c>
      <c r="BB116" s="45" t="n">
        <f aca="false">IF(AX116=0,0,AY116/AX116-1)</f>
        <v>-0.397528720773924</v>
      </c>
      <c r="BC116" s="46" t="n">
        <f aca="false">Parameters!$E$11*IF($N116="V",Parameters!$I$11,IF($N116="F",Parameters!$J$11,Parameters!$K$11))*(1-Parameters!$L$11*$P116)*IF($D116="V1",Parameters!$M$11,IF($D116="V2",Parameters!$N$11,Parameters!$O$11))</f>
        <v>1.21745535714286</v>
      </c>
      <c r="BD116" s="46" t="n">
        <f aca="false">BC116*(1+INDEX(Response_Table!$K$4:$K$21,MATCH($F116&amp;"|mid",Response_Table!$A$4:$A$21,0))*$R116*INDEX(Parameters!$X$11:$AA$11,1,MATCH($E116,Parameters!$X$3:$AA$3,0)))</f>
        <v>0.455724100404477</v>
      </c>
      <c r="BE116" s="46" t="n">
        <f aca="false">MAX(0,MIN(BC116*(1+INDEX(Response_Table!$K$4:$K$21,MATCH($F116&amp;"|low",Response_Table!$A$4:$A$21,0))*$R116*INDEX(Parameters!$X$11:$AA$11,1,MATCH($E116,Parameters!$X$3:$AA$3,0))),BC116*(1+INDEX(Response_Table!$K$4:$K$21,MATCH($F116&amp;"|high",Response_Table!$A$4:$A$21,0))*$R116*INDEX(Parameters!$X$11:$AA$11,1,MATCH($E116,Parameters!$X$3:$AA$3,0))))*(1-Inputs_General!$C$22*Parameters!$F$11))</f>
        <v>0.337807247229119</v>
      </c>
      <c r="BF116" s="46" t="n">
        <f aca="false">MAX(BC116*(1+INDEX(Response_Table!$K$4:$K$21,MATCH($F116&amp;"|low",Response_Table!$A$4:$A$21,0))*$R116*INDEX(Parameters!$X$11:$AA$11,1,MATCH($E116,Parameters!$X$3:$AA$3,0))),BC116*(1+INDEX(Response_Table!$K$4:$K$21,MATCH($F116&amp;"|high",Response_Table!$A$4:$A$21,0))*$R116*INDEX(Parameters!$X$11:$AA$11,1,MATCH($E116,Parameters!$X$3:$AA$3,0))))*(1+Inputs_General!$C$22*Parameters!$F$11)</f>
        <v>0.60226414654118</v>
      </c>
      <c r="BG116" s="45" t="n">
        <f aca="false">IF(BC116=0,0,BD116/BC116-1)</f>
        <v>-0.625674898278014</v>
      </c>
      <c r="BH116" s="46" t="n">
        <f aca="false">Parameters!$E$12*IF($N116="V",Parameters!$I$12,IF($N116="F",Parameters!$J$12,Parameters!$K$12))*(1-Parameters!$L$12*$P116)*IF($D116="V1",Parameters!$M$12,IF($D116="V2",Parameters!$N$12,Parameters!$O$12))</f>
        <v>0.438283928571429</v>
      </c>
      <c r="BI116" s="46" t="n">
        <f aca="false">BH116*(1+INDEX(Response_Table!$L$4:$L$21,MATCH($F116&amp;"|mid",Response_Table!$A$4:$A$21,0))*$R116*INDEX(Parameters!$X$12:$AA$12,1,MATCH($E116,Parameters!$X$3:$AA$3,0)))</f>
        <v>0.210847797398132</v>
      </c>
      <c r="BJ116" s="46" t="n">
        <f aca="false">MAX(0,MIN(BH116*(1+INDEX(Response_Table!$L$4:$L$21,MATCH($F116&amp;"|low",Response_Table!$A$4:$A$21,0))*$R116*INDEX(Parameters!$X$12:$AA$12,1,MATCH($E116,Parameters!$X$3:$AA$3,0))),BH116*(1+INDEX(Response_Table!$L$4:$L$21,MATCH($F116&amp;"|high",Response_Table!$A$4:$A$21,0))*$R116*INDEX(Parameters!$X$12:$AA$12,1,MATCH($E116,Parameters!$X$3:$AA$3,0))))*(1-Inputs_General!$C$22*Parameters!$F$12))</f>
        <v>0.155565088766775</v>
      </c>
      <c r="BK116" s="46" t="n">
        <f aca="false">MAX(BH116*(1+INDEX(Response_Table!$L$4:$L$21,MATCH($F116&amp;"|low",Response_Table!$A$4:$A$21,0))*$R116*INDEX(Parameters!$X$12:$AA$12,1,MATCH($E116,Parameters!$X$3:$AA$3,0))),BH116*(1+INDEX(Response_Table!$L$4:$L$21,MATCH($F116&amp;"|high",Response_Table!$A$4:$A$21,0))*$R116*INDEX(Parameters!$X$12:$AA$12,1,MATCH($E116,Parameters!$X$3:$AA$3,0))))*(1+Inputs_General!$C$22*Parameters!$F$12)</f>
        <v>0.27604755913387</v>
      </c>
      <c r="BL116" s="45" t="n">
        <f aca="false">IF(BH116=0,0,BI116/BH116-1)</f>
        <v>-0.518924186690159</v>
      </c>
      <c r="BM116" s="46" t="n">
        <f aca="false">Parameters!$E$13*IF($N116="V",Parameters!$I$13,IF($N116="F",Parameters!$J$13,Parameters!$K$13))*(1-Parameters!$L$13*$P116)*IF($D116="V1",Parameters!$M$13,IF($D116="V2",Parameters!$N$13,Parameters!$O$13))</f>
        <v>0.296094642857143</v>
      </c>
      <c r="BN116" s="46" t="n">
        <f aca="false">BM116*(1+INDEX(Response_Table!$M$4:$M$21,MATCH($F116&amp;"|mid",Response_Table!$A$4:$A$21,0))*$R116*INDEX(Parameters!$X$13:$AA$13,1,MATCH($E116,Parameters!$X$3:$AA$3,0)))</f>
        <v>0.185213900639866</v>
      </c>
      <c r="BO116" s="46" t="n">
        <f aca="false">MAX(0,MIN(BM116*(1+INDEX(Response_Table!$M$4:$M$21,MATCH($F116&amp;"|low",Response_Table!$A$4:$A$21,0))*$R116*INDEX(Parameters!$X$13:$AA$13,1,MATCH($E116,Parameters!$X$3:$AA$3,0))),BM116*(1+INDEX(Response_Table!$M$4:$M$21,MATCH($F116&amp;"|high",Response_Table!$A$4:$A$21,0))*$R116*INDEX(Parameters!$X$13:$AA$13,1,MATCH($E116,Parameters!$X$3:$AA$3,0))))*(1-Inputs_General!$C$22*Parameters!$F$13))</f>
        <v>0.141368943331143</v>
      </c>
      <c r="BP116" s="46" t="n">
        <f aca="false">MAX(BM116*(1+INDEX(Response_Table!$M$4:$M$21,MATCH($F116&amp;"|low",Response_Table!$A$4:$A$21,0))*$R116*INDEX(Parameters!$X$13:$AA$13,1,MATCH($E116,Parameters!$X$3:$AA$3,0))),BM116*(1+INDEX(Response_Table!$M$4:$M$21,MATCH($F116&amp;"|high",Response_Table!$A$4:$A$21,0))*$R116*INDEX(Parameters!$X$13:$AA$13,1,MATCH($E116,Parameters!$X$3:$AA$3,0))))*(1+Inputs_General!$C$22*Parameters!$F$13)</f>
        <v>0.235620174612359</v>
      </c>
      <c r="BQ116" s="45" t="n">
        <f aca="false">IF(BM116=0,0,BN116/BM116-1)</f>
        <v>-0.374477366923432</v>
      </c>
      <c r="BR116" s="44" t="n">
        <f aca="false">Parameters!$E$14*IF($N116="V",Parameters!$I$14,IF($N116="F",Parameters!$J$14,Parameters!$K$14))*(1-Parameters!$L$14*$P116)*IF($D116="V1",Parameters!$M$14,IF($D116="V2",Parameters!$N$14,Parameters!$O$14))*INDEX(Context!$AC$4:$AC$51,$K116)</f>
        <v>15</v>
      </c>
      <c r="BS116" s="44" t="n">
        <f aca="false">BR116*(1+INDEX(Response_Table!$N$4:$N$21,MATCH($F116&amp;"|mid",Response_Table!$A$4:$A$21,0))*$R116*INDEX(Parameters!$X$14:$AA$14,1,MATCH($E116,Parameters!$X$3:$AA$3,0)))</f>
        <v>23.4914866912935</v>
      </c>
      <c r="BT116" s="44" t="n">
        <f aca="false">MAX(0,MIN(BR116*(1+INDEX(Response_Table!$N$4:$N$21,MATCH($F116&amp;"|low",Response_Table!$A$4:$A$21,0))*$R116*INDEX(Parameters!$X$14:$AA$14,1,MATCH($E116,Parameters!$X$3:$AA$3,0))),BR116*(1+INDEX(Response_Table!$N$4:$N$21,MATCH($F116&amp;"|high",Response_Table!$A$4:$A$21,0))*$R116*INDEX(Parameters!$X$14:$AA$14,1,MATCH($E116,Parameters!$X$3:$AA$3,0))))*(1-Inputs_General!$C$22*Parameters!$F$14))</f>
        <v>11.526064376594</v>
      </c>
      <c r="BU116" s="44" t="n">
        <f aca="false">MAX(BR116*(1+INDEX(Response_Table!$N$4:$N$21,MATCH($F116&amp;"|low",Response_Table!$A$4:$A$21,0))*$R116*INDEX(Parameters!$X$14:$AA$14,1,MATCH($E116,Parameters!$X$3:$AA$3,0))),BR116*(1+INDEX(Response_Table!$N$4:$N$21,MATCH($F116&amp;"|high",Response_Table!$A$4:$A$21,0))*$R116*INDEX(Parameters!$X$14:$AA$14,1,MATCH($E116,Parameters!$X$3:$AA$3,0))))*(1+Inputs_General!$C$22*Parameters!$F$14)</f>
        <v>36.0336618150901</v>
      </c>
      <c r="BV116" s="45" t="n">
        <f aca="false">IF(BR116=0,0,BS116/BR116-1)</f>
        <v>0.566099112752901</v>
      </c>
      <c r="BW116" s="43" t="n">
        <f aca="false">Parameters!$E$15*IF($N116="V",Parameters!$I$15,IF($N116="F",Parameters!$J$15,Parameters!$K$15))*(1-Parameters!$L$15*$P116)*IF($D116="V1",Parameters!$M$15,IF($D116="V2",Parameters!$N$15,Parameters!$O$15))</f>
        <v>10.5188142857143</v>
      </c>
      <c r="BX116" s="43" t="n">
        <f aca="false">BW116*(1+INDEX(Response_Table!$O$4:$O$21,MATCH($F116&amp;"|mid",Response_Table!$A$4:$A$21,0))*$R116*INDEX(Parameters!$X$15:$AA$15,1,MATCH($E116,Parameters!$X$3:$AA$3,0)))</f>
        <v>9.03014142712544</v>
      </c>
      <c r="BY116" s="43" t="n">
        <f aca="false">MAX(0,MIN(BW116*(1+INDEX(Response_Table!$O$4:$O$21,MATCH($F116&amp;"|low",Response_Table!$A$4:$A$21,0))*$R116*INDEX(Parameters!$X$15:$AA$15,1,MATCH($E116,Parameters!$X$3:$AA$3,0))),BW116*(1+INDEX(Response_Table!$O$4:$O$21,MATCH($F116&amp;"|high",Response_Table!$A$4:$A$21,0))*$R116*INDEX(Parameters!$X$15:$AA$15,1,MATCH($E116,Parameters!$X$3:$AA$3,0))))*(1-Inputs_General!$C$22*Parameters!$F$15))</f>
        <v>7.15817174153837</v>
      </c>
      <c r="BZ116" s="43" t="n">
        <f aca="false">MAX(BW116*(1+INDEX(Response_Table!$O$4:$O$21,MATCH($F116&amp;"|low",Response_Table!$A$4:$A$21,0))*$R116*INDEX(Parameters!$X$15:$AA$15,1,MATCH($E116,Parameters!$X$3:$AA$3,0))),BW116*(1+INDEX(Response_Table!$O$4:$O$21,MATCH($F116&amp;"|high",Response_Table!$A$4:$A$21,0))*$R116*INDEX(Parameters!$X$15:$AA$15,1,MATCH($E116,Parameters!$X$3:$AA$3,0))))*(1+Inputs_General!$C$22*Parameters!$F$15)</f>
        <v>10.9670227330321</v>
      </c>
      <c r="CA116" s="45" t="n">
        <f aca="false">IF(BW116=0,0,BX116/BW116-1)</f>
        <v>-0.141524778188225</v>
      </c>
      <c r="CB116" s="46" t="n">
        <f aca="false">BD116+BI116</f>
        <v>0.666571897802609</v>
      </c>
      <c r="CC116" s="43" t="n">
        <f aca="false">BD116/BI116</f>
        <v>2.16138895463043</v>
      </c>
      <c r="CD116" s="46" t="n">
        <f aca="false">BN116/CB116</f>
        <v>0.277860349724364</v>
      </c>
      <c r="CE116" s="43" t="n">
        <f aca="false">AE116/AO116</f>
        <v>1.48967280161007</v>
      </c>
      <c r="CF116" s="44" t="n">
        <f aca="false">AE116/AJ116</f>
        <v>30.3363197567312</v>
      </c>
      <c r="CG116" s="44" t="n">
        <f aca="false">INDEX(Context!$V$4:$V$51,$K116)</f>
        <v>28.62</v>
      </c>
      <c r="CH116" s="44" t="n">
        <f aca="false">INDEX(Context!$Y$4:$Y$51,$K116)</f>
        <v>25.3060134606718</v>
      </c>
      <c r="CI116" s="44" t="n">
        <f aca="false">INDEX(Context!$Z$4:$Z$51,$K116)</f>
        <v>32.62</v>
      </c>
      <c r="CJ116" s="43" t="n">
        <f aca="false">INDEX(Context!$AA$4:$AA$51,$K116)</f>
        <v>0.221696428571429</v>
      </c>
      <c r="CK116" s="43" t="n">
        <f aca="false">MAX(0,MIN(1,1-(1-CJ116)*AO116/AN116))</f>
        <v>0.650098896273554</v>
      </c>
      <c r="CL116" s="44" t="n">
        <f aca="false">CH116+CK116*(CI116-CH116)</f>
        <v>30.0608280372487</v>
      </c>
      <c r="CM116" s="44" t="n">
        <f aca="false">CH116+MAX(0,MIN(1,1-(1-CJ116)*AQ116/AN116))*(CI116-CH116)</f>
        <v>28.6853928524504</v>
      </c>
      <c r="CN116" s="44" t="n">
        <f aca="false">CH116+MAX(0,MIN(1,1-(1-CJ116)*AP116/AN116))*(CI116-CH116)</f>
        <v>31.0801923945879</v>
      </c>
      <c r="CO116" s="44" t="n">
        <f aca="false">CL116-CG116</f>
        <v>1.44082803724868</v>
      </c>
      <c r="CP116" s="44" t="n">
        <f aca="false">CL116-(CH116+CJ116*(CI116-CH116))</f>
        <v>3.13332988218834</v>
      </c>
      <c r="CQ116" s="46" t="n">
        <f aca="false">CL116/CG116</f>
        <v>1.05034339752791</v>
      </c>
      <c r="CR116" s="43" t="n">
        <f aca="false">IF(CL116-CH116&lt;=0,"n/a",(CI116-CL116)/(CL116-CH116))</f>
        <v>0.538227500049796</v>
      </c>
      <c r="CS116" s="43" t="n">
        <f aca="false">IF(CI116-CL116&lt;=0,"n/a",(CL116-CH116)/(CI116-CL116))</f>
        <v>1.85795040184212</v>
      </c>
      <c r="CT116" s="43" t="n">
        <f aca="false">Inputs_General!$C$23+Inputs_General!$C$24*$I116</f>
        <v>1.9</v>
      </c>
      <c r="CU116" s="44" t="n">
        <f aca="false">3.29*CT116</f>
        <v>6.251</v>
      </c>
    </row>
    <row r="117" customFormat="false" ht="15" hidden="false" customHeight="false" outlineLevel="0" collapsed="false">
      <c r="A117" s="33" t="str">
        <f aca="false">B117&amp;"|"&amp;E117&amp;"|"&amp;F117</f>
        <v>D2V2|13/03/2026|Healthy</v>
      </c>
      <c r="B117" s="34" t="s">
        <v>347</v>
      </c>
      <c r="C117" s="33" t="s">
        <v>129</v>
      </c>
      <c r="D117" s="33" t="s">
        <v>146</v>
      </c>
      <c r="E117" s="33" t="s">
        <v>164</v>
      </c>
      <c r="F117" s="34" t="s">
        <v>275</v>
      </c>
      <c r="G117" s="33" t="s">
        <v>276</v>
      </c>
      <c r="H117" s="35" t="n">
        <f aca="false">INDEX(Severity_Classes!$C$4:$C$9,MATCH(F117,Severity_Classes!$A$4:$A$9,0))</f>
        <v>0</v>
      </c>
      <c r="I117" s="35" t="n">
        <f aca="false">INDEX(Severity_Classes!$D$4:$D$9,MATCH(F117,Severity_Classes!$A$4:$A$9,0))</f>
        <v>0</v>
      </c>
      <c r="J117" s="35" t="n">
        <f aca="false">INDEX(Severity_Classes!$E$4:$E$9,MATCH(F117,Severity_Classes!$A$4:$A$9,0))</f>
        <v>0</v>
      </c>
      <c r="K117" s="36" t="n">
        <f aca="false">MATCH(B117&amp;"|"&amp;E117,Context!$A$4:$A$51,0)</f>
        <v>20</v>
      </c>
      <c r="L117" s="36" t="n">
        <f aca="false">INDEX(Context!$H$4:$H$51,K117)</f>
        <v>85</v>
      </c>
      <c r="M117" s="36" t="n">
        <f aca="false">INDEX(Context!$I$4:$I$51,K117)</f>
        <v>36</v>
      </c>
      <c r="N117" s="33" t="str">
        <f aca="false">INDEX(Context!$L$4:$L$51,K117)</f>
        <v>P</v>
      </c>
      <c r="O117" s="33" t="str">
        <f aca="false">INDEX(Context!$M$4:$M$51,K117)</f>
        <v>5th fully expanded leaf from top</v>
      </c>
      <c r="P117" s="37" t="n">
        <f aca="false">INDEX(Context!$R$4:$R$51,K117)</f>
        <v>0.953571428571428</v>
      </c>
      <c r="Q117" s="37" t="n">
        <f aca="false">INDEX(Context!$U$4:$U$51,K117)</f>
        <v>2.18945736698217</v>
      </c>
      <c r="R117" s="37" t="n">
        <f aca="false">INDEX(Context!$AD$4:$AD$51,K117)</f>
        <v>1.1</v>
      </c>
      <c r="S117" s="33" t="str">
        <f aca="false">INDEX(Context!$AI$4:$AN$51,K117,MATCH(F117,Severity_Classes!$A$4:$A$9,0))</f>
        <v>Reference: healthy (uninoculated) control plot</v>
      </c>
      <c r="T117" s="38" t="n">
        <f aca="false">Parameters!$E$4*IF($N117="V",Parameters!$I$4,IF($N117="F",Parameters!$J$4,Parameters!$K$4))*(1-Parameters!$L$4*$P117)*IF($D117="V1",Parameters!$M$4,IF($D117="V2",Parameters!$N$4,Parameters!$O$4))</f>
        <v>77.8046607142857</v>
      </c>
      <c r="U117" s="38" t="n">
        <f aca="false">MIN(100,T117*(1+INDEX(Response_Table!$E$4:$E$21,MATCH($F117&amp;"|mid",Response_Table!$A$4:$A$21,0))*$R117*INDEX(Parameters!$X$4:$AA$4,1,MATCH($E117,Parameters!$X$3:$AA$3,0))))</f>
        <v>77.8046607142857</v>
      </c>
      <c r="V117" s="38" t="n">
        <f aca="false">MAX(0,MIN(T117*(1+INDEX(Response_Table!$E$4:$E$21,MATCH($F117&amp;"|low",Response_Table!$A$4:$A$21,0))*$R117*INDEX(Parameters!$X$4:$AA$4,1,MATCH($E117,Parameters!$X$3:$AA$3,0))),T117*(1+INDEX(Response_Table!$E$4:$E$21,MATCH($F117&amp;"|high",Response_Table!$A$4:$A$21,0))*$R117*INDEX(Parameters!$X$4:$AA$4,1,MATCH($E117,Parameters!$X$3:$AA$3,0))))*(1-Inputs_General!$C$22*Parameters!$F$4))</f>
        <v>72.6851140392857</v>
      </c>
      <c r="W117" s="38" t="n">
        <f aca="false">MIN(100,MAX(T117*(1+INDEX(Response_Table!$E$4:$E$21,MATCH($F117&amp;"|low",Response_Table!$A$4:$A$21,0))*$R117*INDEX(Parameters!$X$4:$AA$4,1,MATCH($E117,Parameters!$X$3:$AA$3,0))),T117*(1+INDEX(Response_Table!$E$4:$E$21,MATCH($F117&amp;"|high",Response_Table!$A$4:$A$21,0))*$R117*INDEX(Parameters!$X$4:$AA$4,1,MATCH($E117,Parameters!$X$3:$AA$3,0))))*(1+Inputs_General!$C$22*Parameters!$F$4))</f>
        <v>82.9242073892857</v>
      </c>
      <c r="X117" s="39" t="n">
        <f aca="false">IF(T117=0,0,U117/T117-1)</f>
        <v>0</v>
      </c>
      <c r="Y117" s="38" t="n">
        <f aca="false">Parameters!$E$5*IF($N117="V",Parameters!$I$5,IF($N117="F",Parameters!$J$5,Parameters!$K$5))*(1-Parameters!$L$5*$P117)*IF($D117="V1",Parameters!$M$5,IF($D117="V2",Parameters!$N$5,Parameters!$O$5))</f>
        <v>58.6602514285714</v>
      </c>
      <c r="Z117" s="38" t="n">
        <f aca="false">MIN(100,Y117*(1+INDEX(Response_Table!$F$4:$F$21,MATCH($F117&amp;"|mid",Response_Table!$A$4:$A$21,0))*$R117*INDEX(Parameters!$X$5:$AA$5,1,MATCH($E117,Parameters!$X$3:$AA$3,0))))</f>
        <v>58.6602514285714</v>
      </c>
      <c r="AA117" s="38" t="n">
        <f aca="false">MAX(0,MIN(Y117*(1+INDEX(Response_Table!$F$4:$F$21,MATCH($F117&amp;"|low",Response_Table!$A$4:$A$21,0))*$R117*INDEX(Parameters!$X$5:$AA$5,1,MATCH($E117,Parameters!$X$3:$AA$3,0))),Y117*(1+INDEX(Response_Table!$F$4:$F$21,MATCH($F117&amp;"|high",Response_Table!$A$4:$A$21,0))*$R117*INDEX(Parameters!$X$5:$AA$5,1,MATCH($E117,Parameters!$X$3:$AA$3,0))))*(1-Inputs_General!$C$22*Parameters!$F$5))</f>
        <v>51.9055234765714</v>
      </c>
      <c r="AB117" s="38" t="n">
        <f aca="false">MIN(100,MAX(Y117*(1+INDEX(Response_Table!$F$4:$F$21,MATCH($F117&amp;"|low",Response_Table!$A$4:$A$21,0))*$R117*INDEX(Parameters!$X$5:$AA$5,1,MATCH($E117,Parameters!$X$3:$AA$3,0))),Y117*(1+INDEX(Response_Table!$F$4:$F$21,MATCH($F117&amp;"|high",Response_Table!$A$4:$A$21,0))*$R117*INDEX(Parameters!$X$5:$AA$5,1,MATCH($E117,Parameters!$X$3:$AA$3,0))))*(1+Inputs_General!$C$22*Parameters!$F$5))</f>
        <v>65.4149793805714</v>
      </c>
      <c r="AC117" s="39" t="n">
        <f aca="false">IF(Y117=0,0,Z117/Y117-1)</f>
        <v>0</v>
      </c>
      <c r="AD117" s="38" t="n">
        <f aca="false">Parameters!$E$6*IF($N117="V",Parameters!$I$6,IF($N117="F",Parameters!$J$6,Parameters!$K$6))*(1-Parameters!$L$6*$P117)*IF($D117="V1",Parameters!$M$6,IF($D117="V2",Parameters!$N$6,Parameters!$O$6))</f>
        <v>14.3019785714286</v>
      </c>
      <c r="AE117" s="38" t="n">
        <f aca="false">AD117*(1+INDEX(Response_Table!$G$4:$G$21,MATCH($F117&amp;"|mid",Response_Table!$A$4:$A$21,0))*$R117*INDEX(Parameters!$X$6:$AA$6,1,MATCH($E117,Parameters!$X$3:$AA$3,0)))</f>
        <v>14.3019785714286</v>
      </c>
      <c r="AF117" s="38" t="n">
        <f aca="false">MAX(0,MIN(AD117*(1+INDEX(Response_Table!$G$4:$G$21,MATCH($F117&amp;"|low",Response_Table!$A$4:$A$21,0))*$R117*INDEX(Parameters!$X$6:$AA$6,1,MATCH($E117,Parameters!$X$3:$AA$3,0))),AD117*(1+INDEX(Response_Table!$G$4:$G$21,MATCH($F117&amp;"|high",Response_Table!$A$4:$A$21,0))*$R117*INDEX(Parameters!$X$6:$AA$6,1,MATCH($E117,Parameters!$X$3:$AA$3,0))))*(1-Inputs_General!$C$22*Parameters!$F$6))</f>
        <v>11.4787680014286</v>
      </c>
      <c r="AG117" s="38" t="n">
        <f aca="false">MAX(AD117*(1+INDEX(Response_Table!$G$4:$G$21,MATCH($F117&amp;"|low",Response_Table!$A$4:$A$21,0))*$R117*INDEX(Parameters!$X$6:$AA$6,1,MATCH($E117,Parameters!$X$3:$AA$3,0))),AD117*(1+INDEX(Response_Table!$G$4:$G$21,MATCH($F117&amp;"|high",Response_Table!$A$4:$A$21,0))*$R117*INDEX(Parameters!$X$6:$AA$6,1,MATCH($E117,Parameters!$X$3:$AA$3,0))))*(1+Inputs_General!$C$22*Parameters!$F$6)</f>
        <v>17.1251891414286</v>
      </c>
      <c r="AH117" s="39" t="n">
        <f aca="false">IF(AD117=0,0,AE117/AD117-1)</f>
        <v>0</v>
      </c>
      <c r="AI117" s="40" t="n">
        <f aca="false">Parameters!$E$7*IF($N117="V",Parameters!$I$7,IF($N117="F",Parameters!$J$7,Parameters!$K$7))*(1-Parameters!$L$7*$P117)*IF($D117="V1",Parameters!$M$7,IF($D117="V2",Parameters!$N$7,Parameters!$O$7))*POWER($Q117/Inputs_General!$C$26,-Inputs_General!$C$25)</f>
        <v>0.258501574676089</v>
      </c>
      <c r="AJ117" s="40" t="n">
        <f aca="false">AI117*(1+INDEX(Response_Table!$H$4:$H$21,MATCH($F117&amp;"|mid",Response_Table!$A$4:$A$21,0))*$R117*INDEX(Parameters!$X$7:$AA$7,1,MATCH($E117,Parameters!$X$3:$AA$3,0)))</f>
        <v>0.258501574676089</v>
      </c>
      <c r="AK117" s="40" t="n">
        <f aca="false">MAX(0,MIN(AI117*(1+INDEX(Response_Table!$H$4:$H$21,MATCH($F117&amp;"|low",Response_Table!$A$4:$A$21,0))*$R117*INDEX(Parameters!$X$7:$AA$7,1,MATCH($E117,Parameters!$X$3:$AA$3,0))),AI117*(1+INDEX(Response_Table!$H$4:$H$21,MATCH($F117&amp;"|high",Response_Table!$A$4:$A$21,0))*$R117*INDEX(Parameters!$X$7:$AA$7,1,MATCH($E117,Parameters!$X$3:$AA$3,0))))*(1-Inputs_General!$C$22*Parameters!$F$7))</f>
        <v>0.181959258414499</v>
      </c>
      <c r="AL117" s="40" t="n">
        <f aca="false">MAX(AI117*(1+INDEX(Response_Table!$H$4:$H$21,MATCH($F117&amp;"|low",Response_Table!$A$4:$A$21,0))*$R117*INDEX(Parameters!$X$7:$AA$7,1,MATCH($E117,Parameters!$X$3:$AA$3,0))),AI117*(1+INDEX(Response_Table!$H$4:$H$21,MATCH($F117&amp;"|high",Response_Table!$A$4:$A$21,0))*$R117*INDEX(Parameters!$X$7:$AA$7,1,MATCH($E117,Parameters!$X$3:$AA$3,0))))*(1+Inputs_General!$C$22*Parameters!$F$7)</f>
        <v>0.335043890937679</v>
      </c>
      <c r="AM117" s="39" t="n">
        <f aca="false">IF(AI117=0,0,AJ117/AI117-1)</f>
        <v>0</v>
      </c>
      <c r="AN117" s="37" t="n">
        <f aca="false">AI117*$Q117/Inputs_General!$C$13*1000</f>
        <v>5.69967952720096</v>
      </c>
      <c r="AO117" s="37" t="n">
        <f aca="false">AJ117*$Q117/Inputs_General!$C$13*1000*(1+Inputs_General!$C$21*$I117)</f>
        <v>5.69967952720096</v>
      </c>
      <c r="AP117" s="37" t="n">
        <f aca="false">AK117*$Q117/Inputs_General!$C$13*1000*(1+Inputs_General!$C$21*$H117)</f>
        <v>4.01200441919675</v>
      </c>
      <c r="AQ117" s="37" t="n">
        <f aca="false">AL117*$Q117/Inputs_General!$C$13*1000*(1+Inputs_General!$C$21*$J117)</f>
        <v>7.38735463520516</v>
      </c>
      <c r="AR117" s="39" t="n">
        <f aca="false">IF(AN117=0,0,AO117/AN117-1)</f>
        <v>0</v>
      </c>
      <c r="AS117" s="36" t="n">
        <f aca="false">Parameters!$E$9*IF($N117="V",Parameters!$I$9,IF($N117="F",Parameters!$J$9,Parameters!$K$9))*(1-Parameters!$L$9*$P117)*IF($D117="V1",Parameters!$M$9,IF($D117="V2",Parameters!$N$9,Parameters!$O$9))</f>
        <v>293.55</v>
      </c>
      <c r="AT117" s="36" t="n">
        <f aca="false">AS117*(1+INDEX(Response_Table!$I$4:$I$21,MATCH($F117&amp;"|mid",Response_Table!$A$4:$A$21,0))*$R117*INDEX(Parameters!$X$9:$AA$9,1,MATCH($E117,Parameters!$X$3:$AA$3,0)))</f>
        <v>293.55</v>
      </c>
      <c r="AU117" s="36" t="n">
        <f aca="false">MAX(0,MIN(AS117*(1+INDEX(Response_Table!$I$4:$I$21,MATCH($F117&amp;"|low",Response_Table!$A$4:$A$21,0))*$R117*INDEX(Parameters!$X$9:$AA$9,1,MATCH($E117,Parameters!$X$3:$AA$3,0))),AS117*(1+INDEX(Response_Table!$I$4:$I$21,MATCH($F117&amp;"|high",Response_Table!$A$4:$A$21,0))*$R117*INDEX(Parameters!$X$9:$AA$9,1,MATCH($E117,Parameters!$X$3:$AA$3,0))))*(1-Inputs_General!$C$22*Parameters!$F$9))</f>
        <v>264.576615</v>
      </c>
      <c r="AV117" s="36" t="n">
        <f aca="false">MAX(AS117*(1+INDEX(Response_Table!$I$4:$I$21,MATCH($F117&amp;"|low",Response_Table!$A$4:$A$21,0))*$R117*INDEX(Parameters!$X$9:$AA$9,1,MATCH($E117,Parameters!$X$3:$AA$3,0))),AS117*(1+INDEX(Response_Table!$I$4:$I$21,MATCH($F117&amp;"|high",Response_Table!$A$4:$A$21,0))*$R117*INDEX(Parameters!$X$9:$AA$9,1,MATCH($E117,Parameters!$X$3:$AA$3,0))))*(1+Inputs_General!$C$22*Parameters!$F$9)</f>
        <v>322.523385</v>
      </c>
      <c r="AW117" s="39" t="n">
        <f aca="false">IF(AS117=0,0,AT117/AS117-1)</f>
        <v>0</v>
      </c>
      <c r="AX117" s="37" t="n">
        <f aca="false">INDEX(Context!$AB$4:$AB$51,$K117)</f>
        <v>3.08824606193307</v>
      </c>
      <c r="AY117" s="37" t="n">
        <f aca="false">AX117*(1+INDEX(Response_Table!$J$4:$J$21,MATCH($F117&amp;"|mid",Response_Table!$A$4:$A$21,0))*$R117*INDEX(Parameters!$X$10:$AA$10,1,MATCH($E117,Parameters!$X$3:$AA$3,0)))</f>
        <v>3.08824606193307</v>
      </c>
      <c r="AZ117" s="37" t="n">
        <f aca="false">MAX(0,MIN(AX117*(1+INDEX(Response_Table!$J$4:$J$21,MATCH($F117&amp;"|low",Response_Table!$A$4:$A$21,0))*$R117*INDEX(Parameters!$X$10:$AA$10,1,MATCH($E117,Parameters!$X$3:$AA$3,0))),AX117*(1+INDEX(Response_Table!$J$4:$J$21,MATCH($F117&amp;"|high",Response_Table!$A$4:$A$21,0))*$R117*INDEX(Parameters!$X$10:$AA$10,1,MATCH($E117,Parameters!$X$3:$AA$3,0))))*(1-Inputs_General!$C$22*Parameters!$F$10))</f>
        <v>2.47862628930749</v>
      </c>
      <c r="BA117" s="37" t="n">
        <f aca="false">MAX(AX117*(1+INDEX(Response_Table!$J$4:$J$21,MATCH($F117&amp;"|low",Response_Table!$A$4:$A$21,0))*$R117*INDEX(Parameters!$X$10:$AA$10,1,MATCH($E117,Parameters!$X$3:$AA$3,0))),AX117*(1+INDEX(Response_Table!$J$4:$J$21,MATCH($F117&amp;"|high",Response_Table!$A$4:$A$21,0))*$R117*INDEX(Parameters!$X$10:$AA$10,1,MATCH($E117,Parameters!$X$3:$AA$3,0))))*(1+Inputs_General!$C$22*Parameters!$F$10)</f>
        <v>3.69786583455866</v>
      </c>
      <c r="BB117" s="39" t="n">
        <f aca="false">IF(AX117=0,0,AY117/AX117-1)</f>
        <v>0</v>
      </c>
      <c r="BC117" s="40" t="n">
        <f aca="false">Parameters!$E$11*IF($N117="V",Parameters!$I$11,IF($N117="F",Parameters!$J$11,Parameters!$K$11))*(1-Parameters!$L$11*$P117)*IF($D117="V1",Parameters!$M$11,IF($D117="V2",Parameters!$N$11,Parameters!$O$11))</f>
        <v>1.00170982142857</v>
      </c>
      <c r="BD117" s="40" t="n">
        <f aca="false">BC117*(1+INDEX(Response_Table!$K$4:$K$21,MATCH($F117&amp;"|mid",Response_Table!$A$4:$A$21,0))*$R117*INDEX(Parameters!$X$11:$AA$11,1,MATCH($E117,Parameters!$X$3:$AA$3,0)))</f>
        <v>1.00170982142857</v>
      </c>
      <c r="BE117" s="40" t="n">
        <f aca="false">MAX(0,MIN(BC117*(1+INDEX(Response_Table!$K$4:$K$21,MATCH($F117&amp;"|low",Response_Table!$A$4:$A$21,0))*$R117*INDEX(Parameters!$X$11:$AA$11,1,MATCH($E117,Parameters!$X$3:$AA$3,0))),BC117*(1+INDEX(Response_Table!$K$4:$K$21,MATCH($F117&amp;"|high",Response_Table!$A$4:$A$21,0))*$R117*INDEX(Parameters!$X$11:$AA$11,1,MATCH($E117,Parameters!$X$3:$AA$3,0))))*(1-Inputs_General!$C$22*Parameters!$F$11))</f>
        <v>0.836928555803572</v>
      </c>
      <c r="BF117" s="40" t="n">
        <f aca="false">MAX(BC117*(1+INDEX(Response_Table!$K$4:$K$21,MATCH($F117&amp;"|low",Response_Table!$A$4:$A$21,0))*$R117*INDEX(Parameters!$X$11:$AA$11,1,MATCH($E117,Parameters!$X$3:$AA$3,0))),BC117*(1+INDEX(Response_Table!$K$4:$K$21,MATCH($F117&amp;"|high",Response_Table!$A$4:$A$21,0))*$R117*INDEX(Parameters!$X$11:$AA$11,1,MATCH($E117,Parameters!$X$3:$AA$3,0))))*(1+Inputs_General!$C$22*Parameters!$F$11)</f>
        <v>1.16649108705357</v>
      </c>
      <c r="BG117" s="39" t="n">
        <f aca="false">IF(BC117=0,0,BD117/BC117-1)</f>
        <v>0</v>
      </c>
      <c r="BH117" s="40" t="n">
        <f aca="false">Parameters!$E$12*IF($N117="V",Parameters!$I$12,IF($N117="F",Parameters!$J$12,Parameters!$K$12))*(1-Parameters!$L$12*$P117)*IF($D117="V1",Parameters!$M$12,IF($D117="V2",Parameters!$N$12,Parameters!$O$12))</f>
        <v>0.373343142857143</v>
      </c>
      <c r="BI117" s="40" t="n">
        <f aca="false">BH117*(1+INDEX(Response_Table!$L$4:$L$21,MATCH($F117&amp;"|mid",Response_Table!$A$4:$A$21,0))*$R117*INDEX(Parameters!$X$12:$AA$12,1,MATCH($E117,Parameters!$X$3:$AA$3,0)))</f>
        <v>0.373343142857143</v>
      </c>
      <c r="BJ117" s="40" t="n">
        <f aca="false">MAX(0,MIN(BH117*(1+INDEX(Response_Table!$L$4:$L$21,MATCH($F117&amp;"|low",Response_Table!$A$4:$A$21,0))*$R117*INDEX(Parameters!$X$12:$AA$12,1,MATCH($E117,Parameters!$X$3:$AA$3,0))),BH117*(1+INDEX(Response_Table!$L$4:$L$21,MATCH($F117&amp;"|high",Response_Table!$A$4:$A$21,0))*$R117*INDEX(Parameters!$X$12:$AA$12,1,MATCH($E117,Parameters!$X$3:$AA$3,0))))*(1-Inputs_General!$C$22*Parameters!$F$12))</f>
        <v>0.299645206457143</v>
      </c>
      <c r="BK117" s="40" t="n">
        <f aca="false">MAX(BH117*(1+INDEX(Response_Table!$L$4:$L$21,MATCH($F117&amp;"|low",Response_Table!$A$4:$A$21,0))*$R117*INDEX(Parameters!$X$12:$AA$12,1,MATCH($E117,Parameters!$X$3:$AA$3,0))),BH117*(1+INDEX(Response_Table!$L$4:$L$21,MATCH($F117&amp;"|high",Response_Table!$A$4:$A$21,0))*$R117*INDEX(Parameters!$X$12:$AA$12,1,MATCH($E117,Parameters!$X$3:$AA$3,0))))*(1+Inputs_General!$C$22*Parameters!$F$12)</f>
        <v>0.447041079257143</v>
      </c>
      <c r="BL117" s="39" t="n">
        <f aca="false">IF(BH117=0,0,BI117/BH117-1)</f>
        <v>0</v>
      </c>
      <c r="BM117" s="40" t="n">
        <f aca="false">Parameters!$E$13*IF($N117="V",Parameters!$I$13,IF($N117="F",Parameters!$J$13,Parameters!$K$13))*(1-Parameters!$L$13*$P117)*IF($D117="V1",Parameters!$M$13,IF($D117="V2",Parameters!$N$13,Parameters!$O$13))</f>
        <v>0.262276071428571</v>
      </c>
      <c r="BN117" s="40" t="n">
        <f aca="false">BM117*(1+INDEX(Response_Table!$M$4:$M$21,MATCH($F117&amp;"|mid",Response_Table!$A$4:$A$21,0))*$R117*INDEX(Parameters!$X$13:$AA$13,1,MATCH($E117,Parameters!$X$3:$AA$3,0)))</f>
        <v>0.262276071428571</v>
      </c>
      <c r="BO117" s="40" t="n">
        <f aca="false">MAX(0,MIN(BM117*(1+INDEX(Response_Table!$M$4:$M$21,MATCH($F117&amp;"|low",Response_Table!$A$4:$A$21,0))*$R117*INDEX(Parameters!$X$13:$AA$13,1,MATCH($E117,Parameters!$X$3:$AA$3,0))),BM117*(1+INDEX(Response_Table!$M$4:$M$21,MATCH($F117&amp;"|high",Response_Table!$A$4:$A$21,0))*$R117*INDEX(Parameters!$X$13:$AA$13,1,MATCH($E117,Parameters!$X$3:$AA$3,0))))*(1-Inputs_General!$C$22*Parameters!$F$13))</f>
        <v>0.210502774928571</v>
      </c>
      <c r="BP117" s="40" t="n">
        <f aca="false">MAX(BM117*(1+INDEX(Response_Table!$M$4:$M$21,MATCH($F117&amp;"|low",Response_Table!$A$4:$A$21,0))*$R117*INDEX(Parameters!$X$13:$AA$13,1,MATCH($E117,Parameters!$X$3:$AA$3,0))),BM117*(1+INDEX(Response_Table!$M$4:$M$21,MATCH($F117&amp;"|high",Response_Table!$A$4:$A$21,0))*$R117*INDEX(Parameters!$X$13:$AA$13,1,MATCH($E117,Parameters!$X$3:$AA$3,0))))*(1+Inputs_General!$C$22*Parameters!$F$13)</f>
        <v>0.314049367928571</v>
      </c>
      <c r="BQ117" s="39" t="n">
        <f aca="false">IF(BM117=0,0,BN117/BM117-1)</f>
        <v>0</v>
      </c>
      <c r="BR117" s="38" t="n">
        <f aca="false">Parameters!$E$14*IF($N117="V",Parameters!$I$14,IF($N117="F",Parameters!$J$14,Parameters!$K$14))*(1-Parameters!$L$14*$P117)*IF($D117="V1",Parameters!$M$14,IF($D117="V2",Parameters!$N$14,Parameters!$O$14))*INDEX(Context!$AC$4:$AC$51,$K117)</f>
        <v>17.25</v>
      </c>
      <c r="BS117" s="38" t="n">
        <f aca="false">BR117*(1+INDEX(Response_Table!$N$4:$N$21,MATCH($F117&amp;"|mid",Response_Table!$A$4:$A$21,0))*$R117*INDEX(Parameters!$X$14:$AA$14,1,MATCH($E117,Parameters!$X$3:$AA$3,0)))</f>
        <v>17.25</v>
      </c>
      <c r="BT117" s="38" t="n">
        <f aca="false">MAX(0,MIN(BR117*(1+INDEX(Response_Table!$N$4:$N$21,MATCH($F117&amp;"|low",Response_Table!$A$4:$A$21,0))*$R117*INDEX(Parameters!$X$14:$AA$14,1,MATCH($E117,Parameters!$X$3:$AA$3,0))),BR117*(1+INDEX(Response_Table!$N$4:$N$21,MATCH($F117&amp;"|high",Response_Table!$A$4:$A$21,0))*$R117*INDEX(Parameters!$X$14:$AA$14,1,MATCH($E117,Parameters!$X$3:$AA$3,0))))*(1-Inputs_General!$C$22*Parameters!$F$14))</f>
        <v>8.737125</v>
      </c>
      <c r="BU117" s="38" t="n">
        <f aca="false">MAX(BR117*(1+INDEX(Response_Table!$N$4:$N$21,MATCH($F117&amp;"|low",Response_Table!$A$4:$A$21,0))*$R117*INDEX(Parameters!$X$14:$AA$14,1,MATCH($E117,Parameters!$X$3:$AA$3,0))),BR117*(1+INDEX(Response_Table!$N$4:$N$21,MATCH($F117&amp;"|high",Response_Table!$A$4:$A$21,0))*$R117*INDEX(Parameters!$X$14:$AA$14,1,MATCH($E117,Parameters!$X$3:$AA$3,0))))*(1+Inputs_General!$C$22*Parameters!$F$14)</f>
        <v>25.762875</v>
      </c>
      <c r="BV117" s="39" t="n">
        <f aca="false">IF(BR117=0,0,BS117/BR117-1)</f>
        <v>0</v>
      </c>
      <c r="BW117" s="37" t="n">
        <f aca="false">Parameters!$E$15*IF($N117="V",Parameters!$I$15,IF($N117="F",Parameters!$J$15,Parameters!$K$15))*(1-Parameters!$L$15*$P117)*IF($D117="V1",Parameters!$M$15,IF($D117="V2",Parameters!$N$15,Parameters!$O$15))</f>
        <v>8.34931028571429</v>
      </c>
      <c r="BX117" s="37" t="n">
        <f aca="false">BW117*(1+INDEX(Response_Table!$O$4:$O$21,MATCH($F117&amp;"|mid",Response_Table!$A$4:$A$21,0))*$R117*INDEX(Parameters!$X$15:$AA$15,1,MATCH($E117,Parameters!$X$3:$AA$3,0)))</f>
        <v>8.34931028571429</v>
      </c>
      <c r="BY117" s="37" t="n">
        <f aca="false">MAX(0,MIN(BW117*(1+INDEX(Response_Table!$O$4:$O$21,MATCH($F117&amp;"|low",Response_Table!$A$4:$A$21,0))*$R117*INDEX(Parameters!$X$15:$AA$15,1,MATCH($E117,Parameters!$X$3:$AA$3,0))),BW117*(1+INDEX(Response_Table!$O$4:$O$21,MATCH($F117&amp;"|high",Response_Table!$A$4:$A$21,0))*$R117*INDEX(Parameters!$X$15:$AA$15,1,MATCH($E117,Parameters!$X$3:$AA$3,0))))*(1-Inputs_General!$C$22*Parameters!$F$15))</f>
        <v>6.70115643531429</v>
      </c>
      <c r="BZ117" s="37" t="n">
        <f aca="false">MAX(BW117*(1+INDEX(Response_Table!$O$4:$O$21,MATCH($F117&amp;"|low",Response_Table!$A$4:$A$21,0))*$R117*INDEX(Parameters!$X$15:$AA$15,1,MATCH($E117,Parameters!$X$3:$AA$3,0))),BW117*(1+INDEX(Response_Table!$O$4:$O$21,MATCH($F117&amp;"|high",Response_Table!$A$4:$A$21,0))*$R117*INDEX(Parameters!$X$15:$AA$15,1,MATCH($E117,Parameters!$X$3:$AA$3,0))))*(1+Inputs_General!$C$22*Parameters!$F$15)</f>
        <v>9.99746413611429</v>
      </c>
      <c r="CA117" s="39" t="n">
        <f aca="false">IF(BW117=0,0,BX117/BW117-1)</f>
        <v>0</v>
      </c>
      <c r="CB117" s="40" t="n">
        <f aca="false">BD117+BI117</f>
        <v>1.37505296428571</v>
      </c>
      <c r="CC117" s="37" t="n">
        <f aca="false">BD117/BI117</f>
        <v>2.68308080808081</v>
      </c>
      <c r="CD117" s="40" t="n">
        <f aca="false">BN117/CB117</f>
        <v>0.190738886603407</v>
      </c>
      <c r="CE117" s="37" t="n">
        <f aca="false">AE117/AO117</f>
        <v>2.5092601264991</v>
      </c>
      <c r="CF117" s="38" t="n">
        <f aca="false">AE117/AJ117</f>
        <v>55.3264659580872</v>
      </c>
      <c r="CG117" s="38" t="n">
        <f aca="false">INDEX(Context!$V$4:$V$51,$K117)</f>
        <v>32.7871428571429</v>
      </c>
      <c r="CH117" s="38" t="n">
        <f aca="false">INDEX(Context!$Y$4:$Y$51,$K117)</f>
        <v>28.36912210206</v>
      </c>
      <c r="CI117" s="38" t="n">
        <f aca="false">INDEX(Context!$Z$4:$Z$51,$K117)</f>
        <v>36.7871428571429</v>
      </c>
      <c r="CJ117" s="37" t="n">
        <f aca="false">INDEX(Context!$AA$4:$AA$51,$K117)</f>
        <v>0.347678571428571</v>
      </c>
      <c r="CK117" s="37" t="n">
        <f aca="false">MAX(0,MIN(1,1-(1-CJ117)*AO117/AN117))</f>
        <v>0.347678571428571</v>
      </c>
      <c r="CL117" s="38" t="n">
        <f aca="false">CH117+CK117*(CI117-CH117)</f>
        <v>31.2958875324433</v>
      </c>
      <c r="CM117" s="38" t="n">
        <f aca="false">CH117+MAX(0,MIN(1,1-(1-CJ117)*AQ117/AN117))*(CI117-CH117)</f>
        <v>29.6699268307998</v>
      </c>
      <c r="CN117" s="38" t="n">
        <f aca="false">CH117+MAX(0,MIN(1,1-(1-CJ117)*AP117/AN117))*(CI117-CH117)</f>
        <v>32.9218482340868</v>
      </c>
      <c r="CO117" s="38" t="n">
        <f aca="false">CL117-CG117</f>
        <v>-1.49125532469956</v>
      </c>
      <c r="CP117" s="38" t="n">
        <f aca="false">CL117-(CH117+CJ117*(CI117-CH117))</f>
        <v>0</v>
      </c>
      <c r="CQ117" s="40" t="n">
        <f aca="false">CL117/CG117</f>
        <v>0.954517069962542</v>
      </c>
      <c r="CR117" s="37" t="n">
        <f aca="false">IF(CL117-CH117&lt;=0,"n/a",(CI117-CL117)/(CL117-CH117))</f>
        <v>1.87621982537237</v>
      </c>
      <c r="CS117" s="37" t="n">
        <f aca="false">IF(CI117-CL117&lt;=0,"n/a",(CL117-CH117)/(CI117-CL117))</f>
        <v>0.53298658636737</v>
      </c>
      <c r="CT117" s="37" t="n">
        <f aca="false">Inputs_General!$C$23+Inputs_General!$C$24*$I117</f>
        <v>0.6</v>
      </c>
      <c r="CU117" s="38" t="n">
        <f aca="false">3.29*CT117</f>
        <v>1.974</v>
      </c>
    </row>
    <row r="118" customFormat="false" ht="15" hidden="false" customHeight="false" outlineLevel="0" collapsed="false">
      <c r="A118" s="9" t="str">
        <f aca="false">B118&amp;"|"&amp;E118&amp;"|"&amp;F118</f>
        <v>D2V2|13/03/2026|Very low</v>
      </c>
      <c r="B118" s="7" t="s">
        <v>347</v>
      </c>
      <c r="C118" s="9" t="s">
        <v>129</v>
      </c>
      <c r="D118" s="9" t="s">
        <v>146</v>
      </c>
      <c r="E118" s="9" t="s">
        <v>164</v>
      </c>
      <c r="F118" s="7" t="s">
        <v>277</v>
      </c>
      <c r="G118" s="9" t="s">
        <v>278</v>
      </c>
      <c r="H118" s="41" t="n">
        <f aca="false">INDEX(Severity_Classes!$C$4:$C$9,MATCH(F118,Severity_Classes!$A$4:$A$9,0))</f>
        <v>0.01</v>
      </c>
      <c r="I118" s="41" t="n">
        <f aca="false">INDEX(Severity_Classes!$D$4:$D$9,MATCH(F118,Severity_Classes!$A$4:$A$9,0))</f>
        <v>0.03</v>
      </c>
      <c r="J118" s="41" t="n">
        <f aca="false">INDEX(Severity_Classes!$E$4:$E$9,MATCH(F118,Severity_Classes!$A$4:$A$9,0))</f>
        <v>0.05</v>
      </c>
      <c r="K118" s="42" t="n">
        <f aca="false">MATCH(B118&amp;"|"&amp;E118,Context!$A$4:$A$51,0)</f>
        <v>20</v>
      </c>
      <c r="L118" s="42" t="n">
        <f aca="false">INDEX(Context!$H$4:$H$51,K118)</f>
        <v>85</v>
      </c>
      <c r="M118" s="42" t="n">
        <f aca="false">INDEX(Context!$I$4:$I$51,K118)</f>
        <v>36</v>
      </c>
      <c r="N118" s="9" t="str">
        <f aca="false">INDEX(Context!$L$4:$L$51,K118)</f>
        <v>P</v>
      </c>
      <c r="O118" s="9" t="str">
        <f aca="false">INDEX(Context!$M$4:$M$51,K118)</f>
        <v>5th fully expanded leaf from top</v>
      </c>
      <c r="P118" s="43" t="n">
        <f aca="false">INDEX(Context!$R$4:$R$51,K118)</f>
        <v>0.953571428571428</v>
      </c>
      <c r="Q118" s="43" t="n">
        <f aca="false">INDEX(Context!$U$4:$U$51,K118)</f>
        <v>2.18945736698217</v>
      </c>
      <c r="R118" s="43" t="n">
        <f aca="false">INDEX(Context!$AD$4:$AD$51,K118)</f>
        <v>1.1</v>
      </c>
      <c r="S118" s="9" t="str">
        <f aca="false">INDEX(Context!$AI$4:$AN$51,K118,MATCH(F118,Severity_Classes!$A$4:$A$9,0))</f>
        <v>Unlikely</v>
      </c>
      <c r="T118" s="44" t="n">
        <f aca="false">Parameters!$E$4*IF($N118="V",Parameters!$I$4,IF($N118="F",Parameters!$J$4,Parameters!$K$4))*(1-Parameters!$L$4*$P118)*IF($D118="V1",Parameters!$M$4,IF($D118="V2",Parameters!$N$4,Parameters!$O$4))</f>
        <v>77.8046607142857</v>
      </c>
      <c r="U118" s="44" t="n">
        <f aca="false">MIN(100,T118*(1+INDEX(Response_Table!$E$4:$E$21,MATCH($F118&amp;"|mid",Response_Table!$A$4:$A$21,0))*$R118*INDEX(Parameters!$X$4:$AA$4,1,MATCH($E118,Parameters!$X$3:$AA$3,0))))</f>
        <v>77.4356742364092</v>
      </c>
      <c r="V118" s="44" t="n">
        <f aca="false">MAX(0,MIN(T118*(1+INDEX(Response_Table!$E$4:$E$21,MATCH($F118&amp;"|low",Response_Table!$A$4:$A$21,0))*$R118*INDEX(Parameters!$X$4:$AA$4,1,MATCH($E118,Parameters!$X$3:$AA$3,0))),T118*(1+INDEX(Response_Table!$E$4:$E$21,MATCH($F118&amp;"|high",Response_Table!$A$4:$A$21,0))*$R118*INDEX(Parameters!$X$4:$AA$4,1,MATCH($E118,Parameters!$X$3:$AA$3,0))))*(1-Inputs_General!$C$22*Parameters!$F$4))</f>
        <v>72.0650884105898</v>
      </c>
      <c r="W118" s="44" t="n">
        <f aca="false">MIN(100,MAX(T118*(1+INDEX(Response_Table!$E$4:$E$21,MATCH($F118&amp;"|low",Response_Table!$A$4:$A$21,0))*$R118*INDEX(Parameters!$X$4:$AA$4,1,MATCH($E118,Parameters!$X$3:$AA$3,0))),T118*(1+INDEX(Response_Table!$E$4:$E$21,MATCH($F118&amp;"|high",Response_Table!$A$4:$A$21,0))*$R118*INDEX(Parameters!$X$4:$AA$4,1,MATCH($E118,Parameters!$X$3:$AA$3,0))))*(1+Inputs_General!$C$22*Parameters!$F$4))</f>
        <v>82.8026665152215</v>
      </c>
      <c r="X118" s="45" t="n">
        <f aca="false">IF(T118=0,0,U118/T118-1)</f>
        <v>-0.0047424726808013</v>
      </c>
      <c r="Y118" s="44" t="n">
        <f aca="false">Parameters!$E$5*IF($N118="V",Parameters!$I$5,IF($N118="F",Parameters!$J$5,Parameters!$K$5))*(1-Parameters!$L$5*$P118)*IF($D118="V1",Parameters!$M$5,IF($D118="V2",Parameters!$N$5,Parameters!$O$5))</f>
        <v>58.6602514285714</v>
      </c>
      <c r="Z118" s="44" t="n">
        <f aca="false">MIN(100,Y118*(1+INDEX(Response_Table!$F$4:$F$21,MATCH($F118&amp;"|mid",Response_Table!$A$4:$A$21,0))*$R118*INDEX(Parameters!$X$5:$AA$5,1,MATCH($E118,Parameters!$X$3:$AA$3,0))))</f>
        <v>57.7721930189037</v>
      </c>
      <c r="AA118" s="44" t="n">
        <f aca="false">MAX(0,MIN(Y118*(1+INDEX(Response_Table!$F$4:$F$21,MATCH($F118&amp;"|low",Response_Table!$A$4:$A$21,0))*$R118*INDEX(Parameters!$X$5:$AA$5,1,MATCH($E118,Parameters!$X$3:$AA$3,0))),Y118*(1+INDEX(Response_Table!$F$4:$F$21,MATCH($F118&amp;"|high",Response_Table!$A$4:$A$21,0))*$R118*INDEX(Parameters!$X$5:$AA$5,1,MATCH($E118,Parameters!$X$3:$AA$3,0))))*(1-Inputs_General!$C$22*Parameters!$F$5))</f>
        <v>50.4725339335199</v>
      </c>
      <c r="AB118" s="44" t="n">
        <f aca="false">MIN(100,MAX(Y118*(1+INDEX(Response_Table!$F$4:$F$21,MATCH($F118&amp;"|low",Response_Table!$A$4:$A$21,0))*$R118*INDEX(Parameters!$X$5:$AA$5,1,MATCH($E118,Parameters!$X$3:$AA$3,0))),Y118*(1+INDEX(Response_Table!$F$4:$F$21,MATCH($F118&amp;"|high",Response_Table!$A$4:$A$21,0))*$R118*INDEX(Parameters!$X$5:$AA$5,1,MATCH($E118,Parameters!$X$3:$AA$3,0))))*(1+Inputs_General!$C$22*Parameters!$F$5))</f>
        <v>65.1131295129212</v>
      </c>
      <c r="AC118" s="45" t="n">
        <f aca="false">IF(Y118=0,0,Z118/Y118-1)</f>
        <v>-0.0151390147167894</v>
      </c>
      <c r="AD118" s="44" t="n">
        <f aca="false">Parameters!$E$6*IF($N118="V",Parameters!$I$6,IF($N118="F",Parameters!$J$6,Parameters!$K$6))*(1-Parameters!$L$6*$P118)*IF($D118="V1",Parameters!$M$6,IF($D118="V2",Parameters!$N$6,Parameters!$O$6))</f>
        <v>14.3019785714286</v>
      </c>
      <c r="AE118" s="44" t="n">
        <f aca="false">AD118*(1+INDEX(Response_Table!$G$4:$G$21,MATCH($F118&amp;"|mid",Response_Table!$A$4:$A$21,0))*$R118*INDEX(Parameters!$X$6:$AA$6,1,MATCH($E118,Parameters!$X$3:$AA$3,0)))</f>
        <v>12.8429096096339</v>
      </c>
      <c r="AF118" s="44" t="n">
        <f aca="false">MAX(0,MIN(AD118*(1+INDEX(Response_Table!$G$4:$G$21,MATCH($F118&amp;"|low",Response_Table!$A$4:$A$21,0))*$R118*INDEX(Parameters!$X$6:$AA$6,1,MATCH($E118,Parameters!$X$3:$AA$3,0))),AD118*(1+INDEX(Response_Table!$G$4:$G$21,MATCH($F118&amp;"|high",Response_Table!$A$4:$A$21,0))*$R118*INDEX(Parameters!$X$6:$AA$6,1,MATCH($E118,Parameters!$X$3:$AA$3,0))))*(1-Inputs_General!$C$22*Parameters!$F$6))</f>
        <v>9.60862425659221</v>
      </c>
      <c r="AG118" s="44" t="n">
        <f aca="false">MAX(AD118*(1+INDEX(Response_Table!$G$4:$G$21,MATCH($F118&amp;"|low",Response_Table!$A$4:$A$21,0))*$R118*INDEX(Parameters!$X$6:$AA$6,1,MATCH($E118,Parameters!$X$3:$AA$3,0))),AD118*(1+INDEX(Response_Table!$G$4:$G$21,MATCH($F118&amp;"|high",Response_Table!$A$4:$A$21,0))*$R118*INDEX(Parameters!$X$6:$AA$6,1,MATCH($E118,Parameters!$X$3:$AA$3,0))))*(1+Inputs_General!$C$22*Parameters!$F$6)</f>
        <v>16.5170225548757</v>
      </c>
      <c r="AH118" s="45" t="n">
        <f aca="false">IF(AD118=0,0,AE118/AD118-1)</f>
        <v>-0.102018679059517</v>
      </c>
      <c r="AI118" s="46" t="n">
        <f aca="false">Parameters!$E$7*IF($N118="V",Parameters!$I$7,IF($N118="F",Parameters!$J$7,Parameters!$K$7))*(1-Parameters!$L$7*$P118)*IF($D118="V1",Parameters!$M$7,IF($D118="V2",Parameters!$N$7,Parameters!$O$7))*POWER($Q118/Inputs_General!$C$26,-Inputs_General!$C$25)</f>
        <v>0.258501574676089</v>
      </c>
      <c r="AJ118" s="46" t="n">
        <f aca="false">AI118*(1+INDEX(Response_Table!$H$4:$H$21,MATCH($F118&amp;"|mid",Response_Table!$A$4:$A$21,0))*$R118*INDEX(Parameters!$X$7:$AA$7,1,MATCH($E118,Parameters!$X$3:$AA$3,0)))</f>
        <v>0.242593593917496</v>
      </c>
      <c r="AK118" s="46" t="n">
        <f aca="false">MAX(0,MIN(AI118*(1+INDEX(Response_Table!$H$4:$H$21,MATCH($F118&amp;"|low",Response_Table!$A$4:$A$21,0))*$R118*INDEX(Parameters!$X$7:$AA$7,1,MATCH($E118,Parameters!$X$3:$AA$3,0))),AI118*(1+INDEX(Response_Table!$H$4:$H$21,MATCH($F118&amp;"|high",Response_Table!$A$4:$A$21,0))*$R118*INDEX(Parameters!$X$7:$AA$7,1,MATCH($E118,Parameters!$X$3:$AA$3,0))))*(1-Inputs_General!$C$22*Parameters!$F$7))</f>
        <v>0.163837244995882</v>
      </c>
      <c r="AL118" s="46" t="n">
        <f aca="false">MAX(AI118*(1+INDEX(Response_Table!$H$4:$H$21,MATCH($F118&amp;"|low",Response_Table!$A$4:$A$21,0))*$R118*INDEX(Parameters!$X$7:$AA$7,1,MATCH($E118,Parameters!$X$3:$AA$3,0))),AI118*(1+INDEX(Response_Table!$H$4:$H$21,MATCH($F118&amp;"|high",Response_Table!$A$4:$A$21,0))*$R118*INDEX(Parameters!$X$7:$AA$7,1,MATCH($E118,Parameters!$X$3:$AA$3,0))))*(1+Inputs_General!$C$22*Parameters!$F$7)</f>
        <v>0.327963929882015</v>
      </c>
      <c r="AM118" s="45" t="n">
        <f aca="false">IF(AI118=0,0,AJ118/AI118-1)</f>
        <v>-0.0615392025310718</v>
      </c>
      <c r="AN118" s="43" t="n">
        <f aca="false">AI118*$Q118/Inputs_General!$C$13*1000</f>
        <v>5.69967952720096</v>
      </c>
      <c r="AO118" s="43" t="n">
        <f aca="false">AJ118*$Q118/Inputs_General!$C$13*1000*(1+Inputs_General!$C$21*$I118)</f>
        <v>5.38904273787244</v>
      </c>
      <c r="AP118" s="43" t="n">
        <f aca="false">AK118*$Q118/Inputs_General!$C$13*1000*(1+Inputs_General!$C$21*$H118)</f>
        <v>3.62146475025077</v>
      </c>
      <c r="AQ118" s="43" t="n">
        <f aca="false">AL118*$Q118/Inputs_General!$C$13*1000*(1+Inputs_General!$C$21*$J118)</f>
        <v>7.32163978262245</v>
      </c>
      <c r="AR118" s="45" t="n">
        <f aca="false">IF(AN118=0,0,AO118/AN118-1)</f>
        <v>-0.0545007465500548</v>
      </c>
      <c r="AS118" s="42" t="n">
        <f aca="false">Parameters!$E$9*IF($N118="V",Parameters!$I$9,IF($N118="F",Parameters!$J$9,Parameters!$K$9))*(1-Parameters!$L$9*$P118)*IF($D118="V1",Parameters!$M$9,IF($D118="V2",Parameters!$N$9,Parameters!$O$9))</f>
        <v>293.55</v>
      </c>
      <c r="AT118" s="42" t="n">
        <f aca="false">AS118*(1+INDEX(Response_Table!$I$4:$I$21,MATCH($F118&amp;"|mid",Response_Table!$A$4:$A$21,0))*$R118*INDEX(Parameters!$X$9:$AA$9,1,MATCH($E118,Parameters!$X$3:$AA$3,0)))</f>
        <v>304.504186914554</v>
      </c>
      <c r="AU118" s="42" t="n">
        <f aca="false">MAX(0,MIN(AS118*(1+INDEX(Response_Table!$I$4:$I$21,MATCH($F118&amp;"|low",Response_Table!$A$4:$A$21,0))*$R118*INDEX(Parameters!$X$9:$AA$9,1,MATCH($E118,Parameters!$X$3:$AA$3,0))),AS118*(1+INDEX(Response_Table!$I$4:$I$21,MATCH($F118&amp;"|high",Response_Table!$A$4:$A$21,0))*$R118*INDEX(Parameters!$X$9:$AA$9,1,MATCH($E118,Parameters!$X$3:$AA$3,0))))*(1-Inputs_General!$C$22*Parameters!$F$9))</f>
        <v>268.000100162239</v>
      </c>
      <c r="AV118" s="42" t="n">
        <f aca="false">MAX(AS118*(1+INDEX(Response_Table!$I$4:$I$21,MATCH($F118&amp;"|low",Response_Table!$A$4:$A$21,0))*$R118*INDEX(Parameters!$X$9:$AA$9,1,MATCH($E118,Parameters!$X$3:$AA$3,0))),AS118*(1+INDEX(Response_Table!$I$4:$I$21,MATCH($F118&amp;"|high",Response_Table!$A$4:$A$21,0))*$R118*INDEX(Parameters!$X$9:$AA$9,1,MATCH($E118,Parameters!$X$3:$AA$3,0))))*(1+Inputs_General!$C$22*Parameters!$F$9)</f>
        <v>341.816363467518</v>
      </c>
      <c r="AW118" s="45" t="n">
        <f aca="false">IF(AS118=0,0,AT118/AS118-1)</f>
        <v>0.037316255883338</v>
      </c>
      <c r="AX118" s="43" t="n">
        <f aca="false">INDEX(Context!$AB$4:$AB$51,$K118)</f>
        <v>3.08824606193307</v>
      </c>
      <c r="AY118" s="43" t="n">
        <f aca="false">AX118*(1+INDEX(Response_Table!$J$4:$J$21,MATCH($F118&amp;"|mid",Response_Table!$A$4:$A$21,0))*$R118*INDEX(Parameters!$X$10:$AA$10,1,MATCH($E118,Parameters!$X$3:$AA$3,0)))</f>
        <v>2.97778884450462</v>
      </c>
      <c r="AZ118" s="43" t="n">
        <f aca="false">MAX(0,MIN(AX118*(1+INDEX(Response_Table!$J$4:$J$21,MATCH($F118&amp;"|low",Response_Table!$A$4:$A$21,0))*$R118*INDEX(Parameters!$X$10:$AA$10,1,MATCH($E118,Parameters!$X$3:$AA$3,0))),AX118*(1+INDEX(Response_Table!$J$4:$J$21,MATCH($F118&amp;"|high",Response_Table!$A$4:$A$21,0))*$R118*INDEX(Parameters!$X$10:$AA$10,1,MATCH($E118,Parameters!$X$3:$AA$3,0))))*(1-Inputs_General!$C$22*Parameters!$F$10))</f>
        <v>2.33445938747469</v>
      </c>
      <c r="BA118" s="43" t="n">
        <f aca="false">MAX(AX118*(1+INDEX(Response_Table!$J$4:$J$21,MATCH($F118&amp;"|low",Response_Table!$A$4:$A$21,0))*$R118*INDEX(Parameters!$X$10:$AA$10,1,MATCH($E118,Parameters!$X$3:$AA$3,0))),AX118*(1+INDEX(Response_Table!$J$4:$J$21,MATCH($F118&amp;"|high",Response_Table!$A$4:$A$21,0))*$R118*INDEX(Parameters!$X$10:$AA$10,1,MATCH($E118,Parameters!$X$3:$AA$3,0))))*(1+Inputs_General!$C$22*Parameters!$F$10)</f>
        <v>3.65267202134114</v>
      </c>
      <c r="BB118" s="45" t="n">
        <f aca="false">IF(AX118=0,0,AY118/AX118-1)</f>
        <v>-0.0357669742673663</v>
      </c>
      <c r="BC118" s="46" t="n">
        <f aca="false">Parameters!$E$11*IF($N118="V",Parameters!$I$11,IF($N118="F",Parameters!$J$11,Parameters!$K$11))*(1-Parameters!$L$11*$P118)*IF($D118="V1",Parameters!$M$11,IF($D118="V2",Parameters!$N$11,Parameters!$O$11))</f>
        <v>1.00170982142857</v>
      </c>
      <c r="BD118" s="46" t="n">
        <f aca="false">BC118*(1+INDEX(Response_Table!$K$4:$K$21,MATCH($F118&amp;"|mid",Response_Table!$A$4:$A$21,0))*$R118*INDEX(Parameters!$X$11:$AA$11,1,MATCH($E118,Parameters!$X$3:$AA$3,0)))</f>
        <v>0.936149688134127</v>
      </c>
      <c r="BE118" s="46" t="n">
        <f aca="false">MAX(0,MIN(BC118*(1+INDEX(Response_Table!$K$4:$K$21,MATCH($F118&amp;"|low",Response_Table!$A$4:$A$21,0))*$R118*INDEX(Parameters!$X$11:$AA$11,1,MATCH($E118,Parameters!$X$3:$AA$3,0))),BC118*(1+INDEX(Response_Table!$K$4:$K$21,MATCH($F118&amp;"|high",Response_Table!$A$4:$A$21,0))*$R118*INDEX(Parameters!$X$11:$AA$11,1,MATCH($E118,Parameters!$X$3:$AA$3,0))))*(1-Inputs_General!$C$22*Parameters!$F$11))</f>
        <v>0.748450819909097</v>
      </c>
      <c r="BF118" s="46" t="n">
        <f aca="false">MAX(BC118*(1+INDEX(Response_Table!$K$4:$K$21,MATCH($F118&amp;"|low",Response_Table!$A$4:$A$21,0))*$R118*INDEX(Parameters!$X$11:$AA$11,1,MATCH($E118,Parameters!$X$3:$AA$3,0))),BC118*(1+INDEX(Response_Table!$K$4:$K$21,MATCH($F118&amp;"|high",Response_Table!$A$4:$A$21,0))*$R118*INDEX(Parameters!$X$11:$AA$11,1,MATCH($E118,Parameters!$X$3:$AA$3,0))))*(1+Inputs_General!$C$22*Parameters!$F$11)</f>
        <v>1.14022428127016</v>
      </c>
      <c r="BG118" s="45" t="n">
        <f aca="false">IF(BC118=0,0,BD118/BC118-1)</f>
        <v>-0.0654482285108751</v>
      </c>
      <c r="BH118" s="46" t="n">
        <f aca="false">Parameters!$E$12*IF($N118="V",Parameters!$I$12,IF($N118="F",Parameters!$J$12,Parameters!$K$12))*(1-Parameters!$L$12*$P118)*IF($D118="V1",Parameters!$M$12,IF($D118="V2",Parameters!$N$12,Parameters!$O$12))</f>
        <v>0.373343142857143</v>
      </c>
      <c r="BI118" s="46" t="n">
        <f aca="false">BH118*(1+INDEX(Response_Table!$L$4:$L$21,MATCH($F118&amp;"|mid",Response_Table!$A$4:$A$21,0))*$R118*INDEX(Parameters!$X$12:$AA$12,1,MATCH($E118,Parameters!$X$3:$AA$3,0)))</f>
        <v>0.353902555772481</v>
      </c>
      <c r="BJ118" s="46" t="n">
        <f aca="false">MAX(0,MIN(BH118*(1+INDEX(Response_Table!$L$4:$L$21,MATCH($F118&amp;"|low",Response_Table!$A$4:$A$21,0))*$R118*INDEX(Parameters!$X$12:$AA$12,1,MATCH($E118,Parameters!$X$3:$AA$3,0))),BH118*(1+INDEX(Response_Table!$L$4:$L$21,MATCH($F118&amp;"|high",Response_Table!$A$4:$A$21,0))*$R118*INDEX(Parameters!$X$12:$AA$12,1,MATCH($E118,Parameters!$X$3:$AA$3,0))))*(1-Inputs_General!$C$22*Parameters!$F$12))</f>
        <v>0.274393603224165</v>
      </c>
      <c r="BK118" s="46" t="n">
        <f aca="false">MAX(BH118*(1+INDEX(Response_Table!$L$4:$L$21,MATCH($F118&amp;"|low",Response_Table!$A$4:$A$21,0))*$R118*INDEX(Parameters!$X$12:$AA$12,1,MATCH($E118,Parameters!$X$3:$AA$3,0))),BH118*(1+INDEX(Response_Table!$L$4:$L$21,MATCH($F118&amp;"|high",Response_Table!$A$4:$A$21,0))*$R118*INDEX(Parameters!$X$12:$AA$12,1,MATCH($E118,Parameters!$X$3:$AA$3,0))))*(1+Inputs_General!$C$22*Parameters!$F$12)</f>
        <v>0.43904778260664</v>
      </c>
      <c r="BL118" s="45" t="n">
        <f aca="false">IF(BH118=0,0,BI118/BH118-1)</f>
        <v>-0.052071632910907</v>
      </c>
      <c r="BM118" s="46" t="n">
        <f aca="false">Parameters!$E$13*IF($N118="V",Parameters!$I$13,IF($N118="F",Parameters!$J$13,Parameters!$K$13))*(1-Parameters!$L$13*$P118)*IF($D118="V1",Parameters!$M$13,IF($D118="V2",Parameters!$N$13,Parameters!$O$13))</f>
        <v>0.262276071428571</v>
      </c>
      <c r="BN118" s="46" t="n">
        <f aca="false">BM118*(1+INDEX(Response_Table!$M$4:$M$21,MATCH($F118&amp;"|mid",Response_Table!$A$4:$A$21,0))*$R118*INDEX(Parameters!$X$13:$AA$13,1,MATCH($E118,Parameters!$X$3:$AA$3,0)))</f>
        <v>0.26977285547991</v>
      </c>
      <c r="BO118" s="46" t="n">
        <f aca="false">MAX(0,MIN(BM118*(1+INDEX(Response_Table!$M$4:$M$21,MATCH($F118&amp;"|low",Response_Table!$A$4:$A$21,0))*$R118*INDEX(Parameters!$X$13:$AA$13,1,MATCH($E118,Parameters!$X$3:$AA$3,0))),BM118*(1+INDEX(Response_Table!$M$4:$M$21,MATCH($F118&amp;"|high",Response_Table!$A$4:$A$21,0))*$R118*INDEX(Parameters!$X$13:$AA$13,1,MATCH($E118,Parameters!$X$3:$AA$3,0))))*(1-Inputs_General!$C$22*Parameters!$F$13))</f>
        <v>0.213460690242096</v>
      </c>
      <c r="BP118" s="46" t="n">
        <f aca="false">MAX(BM118*(1+INDEX(Response_Table!$M$4:$M$21,MATCH($F118&amp;"|low",Response_Table!$A$4:$A$21,0))*$R118*INDEX(Parameters!$X$13:$AA$13,1,MATCH($E118,Parameters!$X$3:$AA$3,0))),BM118*(1+INDEX(Response_Table!$M$4:$M$21,MATCH($F118&amp;"|high",Response_Table!$A$4:$A$21,0))*$R118*INDEX(Parameters!$X$13:$AA$13,1,MATCH($E118,Parameters!$X$3:$AA$3,0))))*(1+Inputs_General!$C$22*Parameters!$F$13)</f>
        <v>0.3232796492781</v>
      </c>
      <c r="BQ118" s="45" t="n">
        <f aca="false">IF(BM118=0,0,BN118/BM118-1)</f>
        <v>0.0285835608658662</v>
      </c>
      <c r="BR118" s="44" t="n">
        <f aca="false">Parameters!$E$14*IF($N118="V",Parameters!$I$14,IF($N118="F",Parameters!$J$14,Parameters!$K$14))*(1-Parameters!$L$14*$P118)*IF($D118="V1",Parameters!$M$14,IF($D118="V2",Parameters!$N$14,Parameters!$O$14))*INDEX(Context!$AC$4:$AC$51,$K118)</f>
        <v>17.25</v>
      </c>
      <c r="BS118" s="44" t="n">
        <f aca="false">BR118*(1+INDEX(Response_Table!$N$4:$N$21,MATCH($F118&amp;"|mid",Response_Table!$A$4:$A$21,0))*$R118*INDEX(Parameters!$X$14:$AA$14,1,MATCH($E118,Parameters!$X$3:$AA$3,0)))</f>
        <v>18.2298934556871</v>
      </c>
      <c r="BT118" s="44" t="n">
        <f aca="false">MAX(0,MIN(BR118*(1+INDEX(Response_Table!$N$4:$N$21,MATCH($F118&amp;"|low",Response_Table!$A$4:$A$21,0))*$R118*INDEX(Parameters!$X$14:$AA$14,1,MATCH($E118,Parameters!$X$3:$AA$3,0))),BR118*(1+INDEX(Response_Table!$N$4:$N$21,MATCH($F118&amp;"|high",Response_Table!$A$4:$A$21,0))*$R118*INDEX(Parameters!$X$14:$AA$14,1,MATCH($E118,Parameters!$X$3:$AA$3,0))))*(1-Inputs_General!$C$22*Parameters!$F$14))</f>
        <v>8.90755090467869</v>
      </c>
      <c r="BU118" s="44" t="n">
        <f aca="false">MAX(BR118*(1+INDEX(Response_Table!$N$4:$N$21,MATCH($F118&amp;"|low",Response_Table!$A$4:$A$21,0))*$R118*INDEX(Parameters!$X$14:$AA$14,1,MATCH($E118,Parameters!$X$3:$AA$3,0))),BR118*(1+INDEX(Response_Table!$N$4:$N$21,MATCH($F118&amp;"|high",Response_Table!$A$4:$A$21,0))*$R118*INDEX(Parameters!$X$14:$AA$14,1,MATCH($E118,Parameters!$X$3:$AA$3,0))))*(1+Inputs_General!$C$22*Parameters!$F$14)</f>
        <v>28.1313265746265</v>
      </c>
      <c r="BV118" s="45" t="n">
        <f aca="false">IF(BR118=0,0,BS118/BR118-1)</f>
        <v>0.0568054177209894</v>
      </c>
      <c r="BW118" s="43" t="n">
        <f aca="false">Parameters!$E$15*IF($N118="V",Parameters!$I$15,IF($N118="F",Parameters!$J$15,Parameters!$K$15))*(1-Parameters!$L$15*$P118)*IF($D118="V1",Parameters!$M$15,IF($D118="V2",Parameters!$N$15,Parameters!$O$15))</f>
        <v>8.34931028571429</v>
      </c>
      <c r="BX118" s="43" t="n">
        <f aca="false">BW118*(1+INDEX(Response_Table!$O$4:$O$21,MATCH($F118&amp;"|mid",Response_Table!$A$4:$A$21,0))*$R118*INDEX(Parameters!$X$15:$AA$15,1,MATCH($E118,Parameters!$X$3:$AA$3,0)))</f>
        <v>8.23073877109875</v>
      </c>
      <c r="BY118" s="43" t="n">
        <f aca="false">MAX(0,MIN(BW118*(1+INDEX(Response_Table!$O$4:$O$21,MATCH($F118&amp;"|low",Response_Table!$A$4:$A$21,0))*$R118*INDEX(Parameters!$X$15:$AA$15,1,MATCH($E118,Parameters!$X$3:$AA$3,0))),BW118*(1+INDEX(Response_Table!$O$4:$O$21,MATCH($F118&amp;"|high",Response_Table!$A$4:$A$21,0))*$R118*INDEX(Parameters!$X$15:$AA$15,1,MATCH($E118,Parameters!$X$3:$AA$3,0))))*(1-Inputs_General!$C$22*Parameters!$F$15))</f>
        <v>6.5471425246867</v>
      </c>
      <c r="BZ118" s="43" t="n">
        <f aca="false">MAX(BW118*(1+INDEX(Response_Table!$O$4:$O$21,MATCH($F118&amp;"|low",Response_Table!$A$4:$A$21,0))*$R118*INDEX(Parameters!$X$15:$AA$15,1,MATCH($E118,Parameters!$X$3:$AA$3,0))),BW118*(1+INDEX(Response_Table!$O$4:$O$21,MATCH($F118&amp;"|high",Response_Table!$A$4:$A$21,0))*$R118*INDEX(Parameters!$X$15:$AA$15,1,MATCH($E118,Parameters!$X$3:$AA$3,0))))*(1+Inputs_General!$C$22*Parameters!$F$15)</f>
        <v>9.94871163257651</v>
      </c>
      <c r="CA118" s="45" t="n">
        <f aca="false">IF(BW118=0,0,BX118/BW118-1)</f>
        <v>-0.0142013544302474</v>
      </c>
      <c r="CB118" s="46" t="n">
        <f aca="false">BD118+BI118</f>
        <v>1.29005224390661</v>
      </c>
      <c r="CC118" s="43" t="n">
        <f aca="false">BD118/BI118</f>
        <v>2.64521878371504</v>
      </c>
      <c r="CD118" s="46" t="n">
        <f aca="false">BN118/CB118</f>
        <v>0.20911777546541</v>
      </c>
      <c r="CE118" s="43" t="n">
        <f aca="false">AE118/AO118</f>
        <v>2.38315230261176</v>
      </c>
      <c r="CF118" s="44" t="n">
        <f aca="false">AE118/AJ118</f>
        <v>52.9400195703505</v>
      </c>
      <c r="CG118" s="44" t="n">
        <f aca="false">INDEX(Context!$V$4:$V$51,$K118)</f>
        <v>32.7871428571429</v>
      </c>
      <c r="CH118" s="44" t="n">
        <f aca="false">INDEX(Context!$Y$4:$Y$51,$K118)</f>
        <v>28.36912210206</v>
      </c>
      <c r="CI118" s="44" t="n">
        <f aca="false">INDEX(Context!$Z$4:$Z$51,$K118)</f>
        <v>36.7871428571429</v>
      </c>
      <c r="CJ118" s="43" t="n">
        <f aca="false">INDEX(Context!$AA$4:$AA$51,$K118)</f>
        <v>0.347678571428571</v>
      </c>
      <c r="CK118" s="43" t="n">
        <f aca="false">MAX(0,MIN(1,1-(1-CJ118)*AO118/AN118))</f>
        <v>0.383230576276312</v>
      </c>
      <c r="CL118" s="44" t="n">
        <f aca="false">CH118+CK118*(CI118-CH118)</f>
        <v>31.5951650471364</v>
      </c>
      <c r="CM118" s="44" t="n">
        <f aca="false">CH118+MAX(0,MIN(1,1-(1-CJ118)*AQ118/AN118))*(CI118-CH118)</f>
        <v>29.733238642005</v>
      </c>
      <c r="CN118" s="44" t="n">
        <f aca="false">CH118+MAX(0,MIN(1,1-(1-CJ118)*AP118/AN118))*(CI118-CH118)</f>
        <v>33.2981067634254</v>
      </c>
      <c r="CO118" s="44" t="n">
        <f aca="false">CL118-CG118</f>
        <v>-1.19197781000647</v>
      </c>
      <c r="CP118" s="44" t="n">
        <f aca="false">CL118-(CH118+CJ118*(CI118-CH118))</f>
        <v>0.299277514693088</v>
      </c>
      <c r="CQ118" s="46" t="n">
        <f aca="false">CL118/CG118</f>
        <v>0.963644962441526</v>
      </c>
      <c r="CR118" s="43" t="n">
        <f aca="false">IF(CL118-CH118&lt;=0,"n/a",(CI118-CL118)/(CL118-CH118))</f>
        <v>1.6093951315591</v>
      </c>
      <c r="CS118" s="43" t="n">
        <f aca="false">IF(CI118-CL118&lt;=0,"n/a",(CL118-CH118)/(CI118-CL118))</f>
        <v>0.621351450859211</v>
      </c>
      <c r="CT118" s="43" t="n">
        <f aca="false">Inputs_General!$C$23+Inputs_General!$C$24*$I118</f>
        <v>0.66</v>
      </c>
      <c r="CU118" s="44" t="n">
        <f aca="false">3.29*CT118</f>
        <v>2.1714</v>
      </c>
    </row>
    <row r="119" customFormat="false" ht="15" hidden="false" customHeight="false" outlineLevel="0" collapsed="false">
      <c r="A119" s="9" t="str">
        <f aca="false">B119&amp;"|"&amp;E119&amp;"|"&amp;F119</f>
        <v>D2V2|13/03/2026|Low</v>
      </c>
      <c r="B119" s="7" t="s">
        <v>347</v>
      </c>
      <c r="C119" s="9" t="s">
        <v>129</v>
      </c>
      <c r="D119" s="9" t="s">
        <v>146</v>
      </c>
      <c r="E119" s="9" t="s">
        <v>164</v>
      </c>
      <c r="F119" s="7" t="s">
        <v>279</v>
      </c>
      <c r="G119" s="9" t="s">
        <v>280</v>
      </c>
      <c r="H119" s="41" t="n">
        <f aca="false">INDEX(Severity_Classes!$C$4:$C$9,MATCH(F119,Severity_Classes!$A$4:$A$9,0))</f>
        <v>0.06</v>
      </c>
      <c r="I119" s="41" t="n">
        <f aca="false">INDEX(Severity_Classes!$D$4:$D$9,MATCH(F119,Severity_Classes!$A$4:$A$9,0))</f>
        <v>0.08</v>
      </c>
      <c r="J119" s="41" t="n">
        <f aca="false">INDEX(Severity_Classes!$E$4:$E$9,MATCH(F119,Severity_Classes!$A$4:$A$9,0))</f>
        <v>0.1</v>
      </c>
      <c r="K119" s="42" t="n">
        <f aca="false">MATCH(B119&amp;"|"&amp;E119,Context!$A$4:$A$51,0)</f>
        <v>20</v>
      </c>
      <c r="L119" s="42" t="n">
        <f aca="false">INDEX(Context!$H$4:$H$51,K119)</f>
        <v>85</v>
      </c>
      <c r="M119" s="42" t="n">
        <f aca="false">INDEX(Context!$I$4:$I$51,K119)</f>
        <v>36</v>
      </c>
      <c r="N119" s="9" t="str">
        <f aca="false">INDEX(Context!$L$4:$L$51,K119)</f>
        <v>P</v>
      </c>
      <c r="O119" s="9" t="str">
        <f aca="false">INDEX(Context!$M$4:$M$51,K119)</f>
        <v>5th fully expanded leaf from top</v>
      </c>
      <c r="P119" s="43" t="n">
        <f aca="false">INDEX(Context!$R$4:$R$51,K119)</f>
        <v>0.953571428571428</v>
      </c>
      <c r="Q119" s="43" t="n">
        <f aca="false">INDEX(Context!$U$4:$U$51,K119)</f>
        <v>2.18945736698217</v>
      </c>
      <c r="R119" s="43" t="n">
        <f aca="false">INDEX(Context!$AD$4:$AD$51,K119)</f>
        <v>1.1</v>
      </c>
      <c r="S119" s="9" t="str">
        <f aca="false">INDEX(Context!$AI$4:$AN$51,K119,MATCH(F119,Severity_Classes!$A$4:$A$9,0))</f>
        <v>Possible</v>
      </c>
      <c r="T119" s="44" t="n">
        <f aca="false">Parameters!$E$4*IF($N119="V",Parameters!$I$4,IF($N119="F",Parameters!$J$4,Parameters!$K$4))*(1-Parameters!$L$4*$P119)*IF($D119="V1",Parameters!$M$4,IF($D119="V2",Parameters!$N$4,Parameters!$O$4))</f>
        <v>77.8046607142857</v>
      </c>
      <c r="U119" s="44" t="n">
        <f aca="false">MIN(100,T119*(1+INDEX(Response_Table!$E$4:$E$21,MATCH($F119&amp;"|mid",Response_Table!$A$4:$A$21,0))*$R119*INDEX(Parameters!$X$4:$AA$4,1,MATCH($E119,Parameters!$X$3:$AA$3,0))))</f>
        <v>76.6134334119642</v>
      </c>
      <c r="V119" s="44" t="n">
        <f aca="false">MAX(0,MIN(T119*(1+INDEX(Response_Table!$E$4:$E$21,MATCH($F119&amp;"|low",Response_Table!$A$4:$A$21,0))*$R119*INDEX(Parameters!$X$4:$AA$4,1,MATCH($E119,Parameters!$X$3:$AA$3,0))),T119*(1+INDEX(Response_Table!$E$4:$E$21,MATCH($F119&amp;"|high",Response_Table!$A$4:$A$21,0))*$R119*INDEX(Parameters!$X$4:$AA$4,1,MATCH($E119,Parameters!$X$3:$AA$3,0))))*(1-Inputs_General!$C$22*Parameters!$F$4))</f>
        <v>71.1834548541513</v>
      </c>
      <c r="W119" s="44" t="n">
        <f aca="false">MIN(100,MAX(T119*(1+INDEX(Response_Table!$E$4:$E$21,MATCH($F119&amp;"|low",Response_Table!$A$4:$A$21,0))*$R119*INDEX(Parameters!$X$4:$AA$4,1,MATCH($E119,Parameters!$X$3:$AA$3,0))),T119*(1+INDEX(Response_Table!$E$4:$E$21,MATCH($F119&amp;"|high",Response_Table!$A$4:$A$21,0))*$R119*INDEX(Parameters!$X$4:$AA$4,1,MATCH($E119,Parameters!$X$3:$AA$3,0))))*(1+Inputs_General!$C$22*Parameters!$F$4))</f>
        <v>82.0422529467218</v>
      </c>
      <c r="X119" s="45" t="n">
        <f aca="false">IF(T119=0,0,U119/T119-1)</f>
        <v>-0.0153104877186722</v>
      </c>
      <c r="Y119" s="44" t="n">
        <f aca="false">Parameters!$E$5*IF($N119="V",Parameters!$I$5,IF($N119="F",Parameters!$J$5,Parameters!$K$5))*(1-Parameters!$L$5*$P119)*IF($D119="V1",Parameters!$M$5,IF($D119="V2",Parameters!$N$5,Parameters!$O$5))</f>
        <v>58.6602514285714</v>
      </c>
      <c r="Z119" s="44" t="n">
        <f aca="false">MIN(100,Y119*(1+INDEX(Response_Table!$F$4:$F$21,MATCH($F119&amp;"|mid",Response_Table!$A$4:$A$21,0))*$R119*INDEX(Parameters!$X$5:$AA$5,1,MATCH($E119,Parameters!$X$3:$AA$3,0))))</f>
        <v>55.6953259590608</v>
      </c>
      <c r="AA119" s="44" t="n">
        <f aca="false">MAX(0,MIN(Y119*(1+INDEX(Response_Table!$F$4:$F$21,MATCH($F119&amp;"|low",Response_Table!$A$4:$A$21,0))*$R119*INDEX(Parameters!$X$5:$AA$5,1,MATCH($E119,Parameters!$X$3:$AA$3,0))),Y119*(1+INDEX(Response_Table!$F$4:$F$21,MATCH($F119&amp;"|high",Response_Table!$A$4:$A$21,0))*$R119*INDEX(Parameters!$X$5:$AA$5,1,MATCH($E119,Parameters!$X$3:$AA$3,0))))*(1-Inputs_General!$C$22*Parameters!$F$5))</f>
        <v>48.321780817469</v>
      </c>
      <c r="AB119" s="44" t="n">
        <f aca="false">MIN(100,MAX(Y119*(1+INDEX(Response_Table!$F$4:$F$21,MATCH($F119&amp;"|low",Response_Table!$A$4:$A$21,0))*$R119*INDEX(Parameters!$X$5:$AA$5,1,MATCH($E119,Parameters!$X$3:$AA$3,0))),Y119*(1+INDEX(Response_Table!$F$4:$F$21,MATCH($F119&amp;"|high",Response_Table!$A$4:$A$21,0))*$R119*INDEX(Parameters!$X$5:$AA$5,1,MATCH($E119,Parameters!$X$3:$AA$3,0))))*(1+Inputs_General!$C$22*Parameters!$F$5))</f>
        <v>63.1480350325201</v>
      </c>
      <c r="AC119" s="45" t="n">
        <f aca="false">IF(Y119=0,0,Z119/Y119-1)</f>
        <v>-0.0505440293436337</v>
      </c>
      <c r="AD119" s="44" t="n">
        <f aca="false">Parameters!$E$6*IF($N119="V",Parameters!$I$6,IF($N119="F",Parameters!$J$6,Parameters!$K$6))*(1-Parameters!$L$6*$P119)*IF($D119="V1",Parameters!$M$6,IF($D119="V2",Parameters!$N$6,Parameters!$O$6))</f>
        <v>14.3019785714286</v>
      </c>
      <c r="AE119" s="44" t="n">
        <f aca="false">AD119*(1+INDEX(Response_Table!$G$4:$G$21,MATCH($F119&amp;"|mid",Response_Table!$A$4:$A$21,0))*$R119*INDEX(Parameters!$X$6:$AA$6,1,MATCH($E119,Parameters!$X$3:$AA$3,0)))</f>
        <v>10.8009414682293</v>
      </c>
      <c r="AF119" s="44" t="n">
        <f aca="false">MAX(0,MIN(AD119*(1+INDEX(Response_Table!$G$4:$G$21,MATCH($F119&amp;"|low",Response_Table!$A$4:$A$21,0))*$R119*INDEX(Parameters!$X$6:$AA$6,1,MATCH($E119,Parameters!$X$3:$AA$3,0))),AD119*(1+INDEX(Response_Table!$G$4:$G$21,MATCH($F119&amp;"|high",Response_Table!$A$4:$A$21,0))*$R119*INDEX(Parameters!$X$6:$AA$6,1,MATCH($E119,Parameters!$X$3:$AA$3,0))))*(1-Inputs_General!$C$22*Parameters!$F$6))</f>
        <v>8.10779874646909</v>
      </c>
      <c r="AG119" s="44" t="n">
        <f aca="false">MAX(AD119*(1+INDEX(Response_Table!$G$4:$G$21,MATCH($F119&amp;"|low",Response_Table!$A$4:$A$21,0))*$R119*INDEX(Parameters!$X$6:$AA$6,1,MATCH($E119,Parameters!$X$3:$AA$3,0))),AD119*(1+INDEX(Response_Table!$G$4:$G$21,MATCH($F119&amp;"|high",Response_Table!$A$4:$A$21,0))*$R119*INDEX(Parameters!$X$6:$AA$6,1,MATCH($E119,Parameters!$X$3:$AA$3,0))))*(1+Inputs_General!$C$22*Parameters!$F$6)</f>
        <v>13.8470541005926</v>
      </c>
      <c r="AH119" s="45" t="n">
        <f aca="false">IF(AD119=0,0,AE119/AD119-1)</f>
        <v>-0.244793899369519</v>
      </c>
      <c r="AI119" s="46" t="n">
        <f aca="false">Parameters!$E$7*IF($N119="V",Parameters!$I$7,IF($N119="F",Parameters!$J$7,Parameters!$K$7))*(1-Parameters!$L$7*$P119)*IF($D119="V1",Parameters!$M$7,IF($D119="V2",Parameters!$N$7,Parameters!$O$7))*POWER($Q119/Inputs_General!$C$26,-Inputs_General!$C$25)</f>
        <v>0.258501574676089</v>
      </c>
      <c r="AJ119" s="46" t="n">
        <f aca="false">AI119*(1+INDEX(Response_Table!$H$4:$H$21,MATCH($F119&amp;"|mid",Response_Table!$A$4:$A$21,0))*$R119*INDEX(Parameters!$X$7:$AA$7,1,MATCH($E119,Parameters!$X$3:$AA$3,0)))</f>
        <v>0.219064295433084</v>
      </c>
      <c r="AK119" s="46" t="n">
        <f aca="false">MAX(0,MIN(AI119*(1+INDEX(Response_Table!$H$4:$H$21,MATCH($F119&amp;"|low",Response_Table!$A$4:$A$21,0))*$R119*INDEX(Parameters!$X$7:$AA$7,1,MATCH($E119,Parameters!$X$3:$AA$3,0))),AI119*(1+INDEX(Response_Table!$H$4:$H$21,MATCH($F119&amp;"|high",Response_Table!$A$4:$A$21,0))*$R119*INDEX(Parameters!$X$7:$AA$7,1,MATCH($E119,Parameters!$X$3:$AA$3,0))))*(1-Inputs_General!$C$22*Parameters!$F$7))</f>
        <v>0.148239483497596</v>
      </c>
      <c r="AL119" s="46" t="n">
        <f aca="false">MAX(AI119*(1+INDEX(Response_Table!$H$4:$H$21,MATCH($F119&amp;"|low",Response_Table!$A$4:$A$21,0))*$R119*INDEX(Parameters!$X$7:$AA$7,1,MATCH($E119,Parameters!$X$3:$AA$3,0))),AI119*(1+INDEX(Response_Table!$H$4:$H$21,MATCH($F119&amp;"|high",Response_Table!$A$4:$A$21,0))*$R119*INDEX(Parameters!$X$7:$AA$7,1,MATCH($E119,Parameters!$X$3:$AA$3,0))))*(1+Inputs_General!$C$22*Parameters!$F$7)</f>
        <v>0.295581818772371</v>
      </c>
      <c r="AM119" s="45" t="n">
        <f aca="false">IF(AI119=0,0,AJ119/AI119-1)</f>
        <v>-0.152561079337414</v>
      </c>
      <c r="AN119" s="43" t="n">
        <f aca="false">AI119*$Q119/Inputs_General!$C$13*1000</f>
        <v>5.69967952720096</v>
      </c>
      <c r="AO119" s="43" t="n">
        <f aca="false">AJ119*$Q119/Inputs_General!$C$13*1000*(1+Inputs_General!$C$21*$I119)</f>
        <v>4.92673287198689</v>
      </c>
      <c r="AP119" s="43" t="n">
        <f aca="false">AK119*$Q119/Inputs_General!$C$13*1000*(1+Inputs_General!$C$21*$H119)</f>
        <v>3.31754773071264</v>
      </c>
      <c r="AQ119" s="43" t="n">
        <f aca="false">AL119*$Q119/Inputs_General!$C$13*1000*(1+Inputs_General!$C$21*$J119)</f>
        <v>6.6801901855346</v>
      </c>
      <c r="AR119" s="45" t="n">
        <f aca="false">IF(AN119=0,0,AO119/AN119-1)</f>
        <v>-0.135612300924163</v>
      </c>
      <c r="AS119" s="42" t="n">
        <f aca="false">Parameters!$E$9*IF($N119="V",Parameters!$I$9,IF($N119="F",Parameters!$J$9,Parameters!$K$9))*(1-Parameters!$L$9*$P119)*IF($D119="V1",Parameters!$M$9,IF($D119="V2",Parameters!$N$9,Parameters!$O$9))</f>
        <v>293.55</v>
      </c>
      <c r="AT119" s="42" t="n">
        <f aca="false">AS119*(1+INDEX(Response_Table!$I$4:$I$21,MATCH($F119&amp;"|mid",Response_Table!$A$4:$A$21,0))*$R119*INDEX(Parameters!$X$9:$AA$9,1,MATCH($E119,Parameters!$X$3:$AA$3,0)))</f>
        <v>320.078353555116</v>
      </c>
      <c r="AU119" s="42" t="n">
        <f aca="false">MAX(0,MIN(AS119*(1+INDEX(Response_Table!$I$4:$I$21,MATCH($F119&amp;"|low",Response_Table!$A$4:$A$21,0))*$R119*INDEX(Parameters!$X$9:$AA$9,1,MATCH($E119,Parameters!$X$3:$AA$3,0))),AS119*(1+INDEX(Response_Table!$I$4:$I$21,MATCH($F119&amp;"|high",Response_Table!$A$4:$A$21,0))*$R119*INDEX(Parameters!$X$9:$AA$9,1,MATCH($E119,Parameters!$X$3:$AA$3,0))))*(1-Inputs_General!$C$22*Parameters!$F$9))</f>
        <v>283.206196823926</v>
      </c>
      <c r="AV119" s="42" t="n">
        <f aca="false">MAX(AS119*(1+INDEX(Response_Table!$I$4:$I$21,MATCH($F119&amp;"|low",Response_Table!$A$4:$A$21,0))*$R119*INDEX(Parameters!$X$9:$AA$9,1,MATCH($E119,Parameters!$X$3:$AA$3,0))),AS119*(1+INDEX(Response_Table!$I$4:$I$21,MATCH($F119&amp;"|high",Response_Table!$A$4:$A$21,0))*$R119*INDEX(Parameters!$X$9:$AA$9,1,MATCH($E119,Parameters!$X$3:$AA$3,0))))*(1+Inputs_General!$C$22*Parameters!$F$9)</f>
        <v>357.612118257346</v>
      </c>
      <c r="AW119" s="45" t="n">
        <f aca="false">IF(AS119=0,0,AT119/AS119-1)</f>
        <v>0.0903708177656819</v>
      </c>
      <c r="AX119" s="43" t="n">
        <f aca="false">INDEX(Context!$AB$4:$AB$51,$K119)</f>
        <v>3.08824606193307</v>
      </c>
      <c r="AY119" s="43" t="n">
        <f aca="false">AX119*(1+INDEX(Response_Table!$J$4:$J$21,MATCH($F119&amp;"|mid",Response_Table!$A$4:$A$21,0))*$R119*INDEX(Parameters!$X$10:$AA$10,1,MATCH($E119,Parameters!$X$3:$AA$3,0)))</f>
        <v>2.81114306314461</v>
      </c>
      <c r="AZ119" s="43" t="n">
        <f aca="false">MAX(0,MIN(AX119*(1+INDEX(Response_Table!$J$4:$J$21,MATCH($F119&amp;"|low",Response_Table!$A$4:$A$21,0))*$R119*INDEX(Parameters!$X$10:$AA$10,1,MATCH($E119,Parameters!$X$3:$AA$3,0))),AX119*(1+INDEX(Response_Table!$J$4:$J$21,MATCH($F119&amp;"|high",Response_Table!$A$4:$A$21,0))*$R119*INDEX(Parameters!$X$10:$AA$10,1,MATCH($E119,Parameters!$X$3:$AA$3,0))))*(1-Inputs_General!$C$22*Parameters!$F$10))</f>
        <v>2.20723254315203</v>
      </c>
      <c r="BA119" s="43" t="n">
        <f aca="false">MAX(AX119*(1+INDEX(Response_Table!$J$4:$J$21,MATCH($F119&amp;"|low",Response_Table!$A$4:$A$21,0))*$R119*INDEX(Parameters!$X$10:$AA$10,1,MATCH($E119,Parameters!$X$3:$AA$3,0))),AX119*(1+INDEX(Response_Table!$J$4:$J$21,MATCH($F119&amp;"|high",Response_Table!$A$4:$A$21,0))*$R119*INDEX(Parameters!$X$10:$AA$10,1,MATCH($E119,Parameters!$X$3:$AA$3,0))))*(1+Inputs_General!$C$22*Parameters!$F$10)</f>
        <v>3.44289964313153</v>
      </c>
      <c r="BB119" s="45" t="n">
        <f aca="false">IF(AX119=0,0,AY119/AX119-1)</f>
        <v>-0.089728277226399</v>
      </c>
      <c r="BC119" s="46" t="n">
        <f aca="false">Parameters!$E$11*IF($N119="V",Parameters!$I$11,IF($N119="F",Parameters!$J$11,Parameters!$K$11))*(1-Parameters!$L$11*$P119)*IF($D119="V1",Parameters!$M$11,IF($D119="V2",Parameters!$N$11,Parameters!$O$11))</f>
        <v>1.00170982142857</v>
      </c>
      <c r="BD119" s="46" t="n">
        <f aca="false">BC119*(1+INDEX(Response_Table!$K$4:$K$21,MATCH($F119&amp;"|mid",Response_Table!$A$4:$A$21,0))*$R119*INDEX(Parameters!$X$11:$AA$11,1,MATCH($E119,Parameters!$X$3:$AA$3,0)))</f>
        <v>0.839945212630404</v>
      </c>
      <c r="BE119" s="46" t="n">
        <f aca="false">MAX(0,MIN(BC119*(1+INDEX(Response_Table!$K$4:$K$21,MATCH($F119&amp;"|low",Response_Table!$A$4:$A$21,0))*$R119*INDEX(Parameters!$X$11:$AA$11,1,MATCH($E119,Parameters!$X$3:$AA$3,0))),BC119*(1+INDEX(Response_Table!$K$4:$K$21,MATCH($F119&amp;"|high",Response_Table!$A$4:$A$21,0))*$R119*INDEX(Parameters!$X$11:$AA$11,1,MATCH($E119,Parameters!$X$3:$AA$3,0))))*(1-Inputs_General!$C$22*Parameters!$F$11))</f>
        <v>0.673055066804828</v>
      </c>
      <c r="BF119" s="46" t="n">
        <f aca="false">MAX(BC119*(1+INDEX(Response_Table!$K$4:$K$21,MATCH($F119&amp;"|low",Response_Table!$A$4:$A$21,0))*$R119*INDEX(Parameters!$X$11:$AA$11,1,MATCH($E119,Parameters!$X$3:$AA$3,0))),BC119*(1+INDEX(Response_Table!$K$4:$K$21,MATCH($F119&amp;"|high",Response_Table!$A$4:$A$21,0))*$R119*INDEX(Parameters!$X$11:$AA$11,1,MATCH($E119,Parameters!$X$3:$AA$3,0))))*(1+Inputs_General!$C$22*Parameters!$F$11)</f>
        <v>1.02078983072871</v>
      </c>
      <c r="BG119" s="45" t="n">
        <f aca="false">IF(BC119=0,0,BD119/BC119-1)</f>
        <v>-0.161488492313542</v>
      </c>
      <c r="BH119" s="46" t="n">
        <f aca="false">Parameters!$E$12*IF($N119="V",Parameters!$I$12,IF($N119="F",Parameters!$J$12,Parameters!$K$12))*(1-Parameters!$L$12*$P119)*IF($D119="V1",Parameters!$M$12,IF($D119="V2",Parameters!$N$12,Parameters!$O$12))</f>
        <v>0.373343142857143</v>
      </c>
      <c r="BI119" s="46" t="n">
        <f aca="false">BH119*(1+INDEX(Response_Table!$L$4:$L$21,MATCH($F119&amp;"|mid",Response_Table!$A$4:$A$21,0))*$R119*INDEX(Parameters!$X$12:$AA$12,1,MATCH($E119,Parameters!$X$3:$AA$3,0)))</f>
        <v>0.325148222763867</v>
      </c>
      <c r="BJ119" s="46" t="n">
        <f aca="false">MAX(0,MIN(BH119*(1+INDEX(Response_Table!$L$4:$L$21,MATCH($F119&amp;"|low",Response_Table!$A$4:$A$21,0))*$R119*INDEX(Parameters!$X$12:$AA$12,1,MATCH($E119,Parameters!$X$3:$AA$3,0))),BH119*(1+INDEX(Response_Table!$L$4:$L$21,MATCH($F119&amp;"|high",Response_Table!$A$4:$A$21,0))*$R119*INDEX(Parameters!$X$12:$AA$12,1,MATCH($E119,Parameters!$X$3:$AA$3,0))))*(1-Inputs_General!$C$22*Parameters!$F$12))</f>
        <v>0.25265934690402</v>
      </c>
      <c r="BK119" s="46" t="n">
        <f aca="false">MAX(BH119*(1+INDEX(Response_Table!$L$4:$L$21,MATCH($F119&amp;"|low",Response_Table!$A$4:$A$21,0))*$R119*INDEX(Parameters!$X$12:$AA$12,1,MATCH($E119,Parameters!$X$3:$AA$3,0))),BH119*(1+INDEX(Response_Table!$L$4:$L$21,MATCH($F119&amp;"|high",Response_Table!$A$4:$A$21,0))*$R119*INDEX(Parameters!$X$12:$AA$12,1,MATCH($E119,Parameters!$X$3:$AA$3,0))))*(1+Inputs_General!$C$22*Parameters!$F$12)</f>
        <v>0.402488284858857</v>
      </c>
      <c r="BL119" s="45" t="n">
        <f aca="false">IF(BH119=0,0,BI119/BH119-1)</f>
        <v>-0.129090144054735</v>
      </c>
      <c r="BM119" s="46" t="n">
        <f aca="false">Parameters!$E$13*IF($N119="V",Parameters!$I$13,IF($N119="F",Parameters!$J$13,Parameters!$K$13))*(1-Parameters!$L$13*$P119)*IF($D119="V1",Parameters!$M$13,IF($D119="V2",Parameters!$N$13,Parameters!$O$13))</f>
        <v>0.262276071428571</v>
      </c>
      <c r="BN119" s="46" t="n">
        <f aca="false">BM119*(1+INDEX(Response_Table!$M$4:$M$21,MATCH($F119&amp;"|mid",Response_Table!$A$4:$A$21,0))*$R119*INDEX(Parameters!$X$13:$AA$13,1,MATCH($E119,Parameters!$X$3:$AA$3,0)))</f>
        <v>0.26584294773351</v>
      </c>
      <c r="BO119" s="46" t="n">
        <f aca="false">MAX(0,MIN(BM119*(1+INDEX(Response_Table!$M$4:$M$21,MATCH($F119&amp;"|low",Response_Table!$A$4:$A$21,0))*$R119*INDEX(Parameters!$X$13:$AA$13,1,MATCH($E119,Parameters!$X$3:$AA$3,0))),BM119*(1+INDEX(Response_Table!$M$4:$M$21,MATCH($F119&amp;"|high",Response_Table!$A$4:$A$21,0))*$R119*INDEX(Parameters!$X$13:$AA$13,1,MATCH($E119,Parameters!$X$3:$AA$3,0))))*(1-Inputs_General!$C$22*Parameters!$F$13))</f>
        <v>0.209652347317448</v>
      </c>
      <c r="BP119" s="46" t="n">
        <f aca="false">MAX(BM119*(1+INDEX(Response_Table!$M$4:$M$21,MATCH($F119&amp;"|low",Response_Table!$A$4:$A$21,0))*$R119*INDEX(Parameters!$X$13:$AA$13,1,MATCH($E119,Parameters!$X$3:$AA$3,0))),BM119*(1+INDEX(Response_Table!$M$4:$M$21,MATCH($F119&amp;"|high",Response_Table!$A$4:$A$21,0))*$R119*INDEX(Parameters!$X$13:$AA$13,1,MATCH($E119,Parameters!$X$3:$AA$3,0))))*(1+Inputs_General!$C$22*Parameters!$F$13)</f>
        <v>0.322208157916436</v>
      </c>
      <c r="BQ119" s="45" t="n">
        <f aca="false">IF(BM119=0,0,BN119/BM119-1)</f>
        <v>0.0135997015873786</v>
      </c>
      <c r="BR119" s="44" t="n">
        <f aca="false">Parameters!$E$14*IF($N119="V",Parameters!$I$14,IF($N119="F",Parameters!$J$14,Parameters!$K$14))*(1-Parameters!$L$14*$P119)*IF($D119="V1",Parameters!$M$14,IF($D119="V2",Parameters!$N$14,Parameters!$O$14))*INDEX(Context!$AC$4:$AC$51,$K119)</f>
        <v>17.25</v>
      </c>
      <c r="BS119" s="44" t="n">
        <f aca="false">BR119*(1+INDEX(Response_Table!$N$4:$N$21,MATCH($F119&amp;"|mid",Response_Table!$A$4:$A$21,0))*$R119*INDEX(Parameters!$X$14:$AA$14,1,MATCH($E119,Parameters!$X$3:$AA$3,0)))</f>
        <v>19.6792418017573</v>
      </c>
      <c r="BT119" s="44" t="n">
        <f aca="false">MAX(0,MIN(BR119*(1+INDEX(Response_Table!$N$4:$N$21,MATCH($F119&amp;"|low",Response_Table!$A$4:$A$21,0))*$R119*INDEX(Parameters!$X$14:$AA$14,1,MATCH($E119,Parameters!$X$3:$AA$3,0))),BR119*(1+INDEX(Response_Table!$N$4:$N$21,MATCH($F119&amp;"|high",Response_Table!$A$4:$A$21,0))*$R119*INDEX(Parameters!$X$14:$AA$14,1,MATCH($E119,Parameters!$X$3:$AA$3,0))))*(1-Inputs_General!$C$22*Parameters!$F$14))</f>
        <v>9.68703973772137</v>
      </c>
      <c r="BU119" s="44" t="n">
        <f aca="false">MAX(BR119*(1+INDEX(Response_Table!$N$4:$N$21,MATCH($F119&amp;"|low",Response_Table!$A$4:$A$21,0))*$R119*INDEX(Parameters!$X$14:$AA$14,1,MATCH($E119,Parameters!$X$3:$AA$3,0))),BR119*(1+INDEX(Response_Table!$N$4:$N$21,MATCH($F119&amp;"|high",Response_Table!$A$4:$A$21,0))*$R119*INDEX(Parameters!$X$14:$AA$14,1,MATCH($E119,Parameters!$X$3:$AA$3,0))))*(1+Inputs_General!$C$22*Parameters!$F$14)</f>
        <v>30.169871736684</v>
      </c>
      <c r="BV119" s="45" t="n">
        <f aca="false">IF(BR119=0,0,BS119/BR119-1)</f>
        <v>0.140825611696075</v>
      </c>
      <c r="BW119" s="43" t="n">
        <f aca="false">Parameters!$E$15*IF($N119="V",Parameters!$I$15,IF($N119="F",Parameters!$J$15,Parameters!$K$15))*(1-Parameters!$L$15*$P119)*IF($D119="V1",Parameters!$M$15,IF($D119="V2",Parameters!$N$15,Parameters!$O$15))</f>
        <v>8.34931028571429</v>
      </c>
      <c r="BX119" s="43" t="n">
        <f aca="false">BW119*(1+INDEX(Response_Table!$O$4:$O$21,MATCH($F119&amp;"|mid",Response_Table!$A$4:$A$21,0))*$R119*INDEX(Parameters!$X$15:$AA$15,1,MATCH($E119,Parameters!$X$3:$AA$3,0)))</f>
        <v>8.05536110365778</v>
      </c>
      <c r="BY119" s="43" t="n">
        <f aca="false">MAX(0,MIN(BW119*(1+INDEX(Response_Table!$O$4:$O$21,MATCH($F119&amp;"|low",Response_Table!$A$4:$A$21,0))*$R119*INDEX(Parameters!$X$15:$AA$15,1,MATCH($E119,Parameters!$X$3:$AA$3,0))),BW119*(1+INDEX(Response_Table!$O$4:$O$21,MATCH($F119&amp;"|high",Response_Table!$A$4:$A$21,0))*$R119*INDEX(Parameters!$X$15:$AA$15,1,MATCH($E119,Parameters!$X$3:$AA$3,0))))*(1-Inputs_General!$C$22*Parameters!$F$15))</f>
        <v>6.41458152332913</v>
      </c>
      <c r="BZ119" s="43" t="n">
        <f aca="false">MAX(BW119*(1+INDEX(Response_Table!$O$4:$O$21,MATCH($F119&amp;"|low",Response_Table!$A$4:$A$21,0))*$R119*INDEX(Parameters!$X$15:$AA$15,1,MATCH($E119,Parameters!$X$3:$AA$3,0))),BW119*(1+INDEX(Response_Table!$O$4:$O$21,MATCH($F119&amp;"|high",Response_Table!$A$4:$A$21,0))*$R119*INDEX(Parameters!$X$15:$AA$15,1,MATCH($E119,Parameters!$X$3:$AA$3,0))))*(1+Inputs_General!$C$22*Parameters!$F$15)</f>
        <v>9.72572891077598</v>
      </c>
      <c r="CA119" s="45" t="n">
        <f aca="false">IF(BW119=0,0,BX119/BW119-1)</f>
        <v>-0.0352064029240186</v>
      </c>
      <c r="CB119" s="46" t="n">
        <f aca="false">BD119+BI119</f>
        <v>1.16509343539427</v>
      </c>
      <c r="CC119" s="43" t="n">
        <f aca="false">BD119/BI119</f>
        <v>2.58326865664709</v>
      </c>
      <c r="CD119" s="46" t="n">
        <f aca="false">BN119/CB119</f>
        <v>0.228173071495805</v>
      </c>
      <c r="CE119" s="43" t="n">
        <f aca="false">AE119/AO119</f>
        <v>2.19231319190102</v>
      </c>
      <c r="CF119" s="44" t="n">
        <f aca="false">AE119/AJ119</f>
        <v>49.304892186452</v>
      </c>
      <c r="CG119" s="44" t="n">
        <f aca="false">INDEX(Context!$V$4:$V$51,$K119)</f>
        <v>32.7871428571429</v>
      </c>
      <c r="CH119" s="44" t="n">
        <f aca="false">INDEX(Context!$Y$4:$Y$51,$K119)</f>
        <v>28.36912210206</v>
      </c>
      <c r="CI119" s="44" t="n">
        <f aca="false">INDEX(Context!$Z$4:$Z$51,$K119)</f>
        <v>36.7871428571429</v>
      </c>
      <c r="CJ119" s="43" t="n">
        <f aca="false">INDEX(Context!$AA$4:$AA$51,$K119)</f>
        <v>0.347678571428571</v>
      </c>
      <c r="CK119" s="43" t="n">
        <f aca="false">MAX(0,MIN(1,1-(1-CJ119)*AO119/AN119))</f>
        <v>0.43614138129928</v>
      </c>
      <c r="CL119" s="44" t="n">
        <f aca="false">CH119+CK119*(CI119-CH119)</f>
        <v>32.0405693019879</v>
      </c>
      <c r="CM119" s="44" t="n">
        <f aca="false">CH119+MAX(0,MIN(1,1-(1-CJ119)*AQ119/AN119))*(CI119-CH119)</f>
        <v>30.3512318991215</v>
      </c>
      <c r="CN119" s="44" t="n">
        <f aca="false">CH119+MAX(0,MIN(1,1-(1-CJ119)*AP119/AN119))*(CI119-CH119)</f>
        <v>33.590910234891</v>
      </c>
      <c r="CO119" s="44" t="n">
        <f aca="false">CL119-CG119</f>
        <v>-0.746573555154996</v>
      </c>
      <c r="CP119" s="44" t="n">
        <f aca="false">CL119-(CH119+CJ119*(CI119-CH119))</f>
        <v>0.744681769544563</v>
      </c>
      <c r="CQ119" s="46" t="n">
        <f aca="false">CL119/CG119</f>
        <v>0.977229685477387</v>
      </c>
      <c r="CR119" s="43" t="n">
        <f aca="false">IF(CL119-CH119&lt;=0,"n/a",(CI119-CL119)/(CL119-CH119))</f>
        <v>1.29283448642495</v>
      </c>
      <c r="CS119" s="43" t="n">
        <f aca="false">IF(CI119-CL119&lt;=0,"n/a",(CL119-CH119)/(CI119-CL119))</f>
        <v>0.773494217937582</v>
      </c>
      <c r="CT119" s="43" t="n">
        <f aca="false">Inputs_General!$C$23+Inputs_General!$C$24*$I119</f>
        <v>0.76</v>
      </c>
      <c r="CU119" s="44" t="n">
        <f aca="false">3.29*CT119</f>
        <v>2.5004</v>
      </c>
    </row>
    <row r="120" customFormat="false" ht="15" hidden="false" customHeight="false" outlineLevel="0" collapsed="false">
      <c r="A120" s="9" t="str">
        <f aca="false">B120&amp;"|"&amp;E120&amp;"|"&amp;F120</f>
        <v>D2V2|13/03/2026|Moderate</v>
      </c>
      <c r="B120" s="7" t="s">
        <v>347</v>
      </c>
      <c r="C120" s="9" t="s">
        <v>129</v>
      </c>
      <c r="D120" s="9" t="s">
        <v>146</v>
      </c>
      <c r="E120" s="9" t="s">
        <v>164</v>
      </c>
      <c r="F120" s="7" t="s">
        <v>281</v>
      </c>
      <c r="G120" s="9" t="s">
        <v>282</v>
      </c>
      <c r="H120" s="41" t="n">
        <f aca="false">INDEX(Severity_Classes!$C$4:$C$9,MATCH(F120,Severity_Classes!$A$4:$A$9,0))</f>
        <v>0.11</v>
      </c>
      <c r="I120" s="41" t="n">
        <f aca="false">INDEX(Severity_Classes!$D$4:$D$9,MATCH(F120,Severity_Classes!$A$4:$A$9,0))</f>
        <v>0.18</v>
      </c>
      <c r="J120" s="41" t="n">
        <f aca="false">INDEX(Severity_Classes!$E$4:$E$9,MATCH(F120,Severity_Classes!$A$4:$A$9,0))</f>
        <v>0.25</v>
      </c>
      <c r="K120" s="42" t="n">
        <f aca="false">MATCH(B120&amp;"|"&amp;E120,Context!$A$4:$A$51,0)</f>
        <v>20</v>
      </c>
      <c r="L120" s="42" t="n">
        <f aca="false">INDEX(Context!$H$4:$H$51,K120)</f>
        <v>85</v>
      </c>
      <c r="M120" s="42" t="n">
        <f aca="false">INDEX(Context!$I$4:$I$51,K120)</f>
        <v>36</v>
      </c>
      <c r="N120" s="9" t="str">
        <f aca="false">INDEX(Context!$L$4:$L$51,K120)</f>
        <v>P</v>
      </c>
      <c r="O120" s="9" t="str">
        <f aca="false">INDEX(Context!$M$4:$M$51,K120)</f>
        <v>5th fully expanded leaf from top</v>
      </c>
      <c r="P120" s="43" t="n">
        <f aca="false">INDEX(Context!$R$4:$R$51,K120)</f>
        <v>0.953571428571428</v>
      </c>
      <c r="Q120" s="43" t="n">
        <f aca="false">INDEX(Context!$U$4:$U$51,K120)</f>
        <v>2.18945736698217</v>
      </c>
      <c r="R120" s="43" t="n">
        <f aca="false">INDEX(Context!$AD$4:$AD$51,K120)</f>
        <v>1.1</v>
      </c>
      <c r="S120" s="9" t="str">
        <f aca="false">INDEX(Context!$AI$4:$AN$51,K120,MATCH(F120,Severity_Classes!$A$4:$A$9,0))</f>
        <v>Likely</v>
      </c>
      <c r="T120" s="44" t="n">
        <f aca="false">Parameters!$E$4*IF($N120="V",Parameters!$I$4,IF($N120="F",Parameters!$J$4,Parameters!$K$4))*(1-Parameters!$L$4*$P120)*IF($D120="V1",Parameters!$M$4,IF($D120="V2",Parameters!$N$4,Parameters!$O$4))</f>
        <v>77.8046607142857</v>
      </c>
      <c r="U120" s="44" t="n">
        <f aca="false">MIN(100,T120*(1+INDEX(Response_Table!$E$4:$E$21,MATCH($F120&amp;"|mid",Response_Table!$A$4:$A$21,0))*$R120*INDEX(Parameters!$X$4:$AA$4,1,MATCH($E120,Parameters!$X$3:$AA$3,0))))</f>
        <v>73.911399576016</v>
      </c>
      <c r="V120" s="44" t="n">
        <f aca="false">MAX(0,MIN(T120*(1+INDEX(Response_Table!$E$4:$E$21,MATCH($F120&amp;"|low",Response_Table!$A$4:$A$21,0))*$R120*INDEX(Parameters!$X$4:$AA$4,1,MATCH($E120,Parameters!$X$3:$AA$3,0))),T120*(1+INDEX(Response_Table!$E$4:$E$21,MATCH($F120&amp;"|high",Response_Table!$A$4:$A$21,0))*$R120*INDEX(Parameters!$X$4:$AA$4,1,MATCH($E120,Parameters!$X$3:$AA$3,0))))*(1-Inputs_General!$C$22*Parameters!$F$4))</f>
        <v>66.3235187706655</v>
      </c>
      <c r="W120" s="44" t="n">
        <f aca="false">MIN(100,MAX(T120*(1+INDEX(Response_Table!$E$4:$E$21,MATCH($F120&amp;"|low",Response_Table!$A$4:$A$21,0))*$R120*INDEX(Parameters!$X$4:$AA$4,1,MATCH($E120,Parameters!$X$3:$AA$3,0))),T120*(1+INDEX(Response_Table!$E$4:$E$21,MATCH($F120&amp;"|high",Response_Table!$A$4:$A$21,0))*$R120*INDEX(Parameters!$X$4:$AA$4,1,MATCH($E120,Parameters!$X$3:$AA$3,0))))*(1+Inputs_General!$C$22*Parameters!$F$4))</f>
        <v>80.966525013996</v>
      </c>
      <c r="X120" s="45" t="n">
        <f aca="false">IF(T120=0,0,U120/T120-1)</f>
        <v>-0.0500389192951635</v>
      </c>
      <c r="Y120" s="44" t="n">
        <f aca="false">Parameters!$E$5*IF($N120="V",Parameters!$I$5,IF($N120="F",Parameters!$J$5,Parameters!$K$5))*(1-Parameters!$L$5*$P120)*IF($D120="V1",Parameters!$M$5,IF($D120="V2",Parameters!$N$5,Parameters!$O$5))</f>
        <v>58.6602514285714</v>
      </c>
      <c r="Z120" s="44" t="n">
        <f aca="false">MIN(100,Y120*(1+INDEX(Response_Table!$F$4:$F$21,MATCH($F120&amp;"|mid",Response_Table!$A$4:$A$21,0))*$R120*INDEX(Parameters!$X$5:$AA$5,1,MATCH($E120,Parameters!$X$3:$AA$3,0))))</f>
        <v>48.5205928188878</v>
      </c>
      <c r="AA120" s="44" t="n">
        <f aca="false">MAX(0,MIN(Y120*(1+INDEX(Response_Table!$F$4:$F$21,MATCH($F120&amp;"|low",Response_Table!$A$4:$A$21,0))*$R120*INDEX(Parameters!$X$5:$AA$5,1,MATCH($E120,Parameters!$X$3:$AA$3,0))),Y120*(1+INDEX(Response_Table!$F$4:$F$21,MATCH($F120&amp;"|high",Response_Table!$A$4:$A$21,0))*$R120*INDEX(Parameters!$X$5:$AA$5,1,MATCH($E120,Parameters!$X$3:$AA$3,0))))*(1-Inputs_General!$C$22*Parameters!$F$5))</f>
        <v>36.2932913523015</v>
      </c>
      <c r="AB120" s="44" t="n">
        <f aca="false">MIN(100,MAX(Y120*(1+INDEX(Response_Table!$F$4:$F$21,MATCH($F120&amp;"|low",Response_Table!$A$4:$A$21,0))*$R120*INDEX(Parameters!$X$5:$AA$5,1,MATCH($E120,Parameters!$X$3:$AA$3,0))),Y120*(1+INDEX(Response_Table!$F$4:$F$21,MATCH($F120&amp;"|high",Response_Table!$A$4:$A$21,0))*$R120*INDEX(Parameters!$X$5:$AA$5,1,MATCH($E120,Parameters!$X$3:$AA$3,0))))*(1+Inputs_General!$C$22*Parameters!$F$5))</f>
        <v>60.2244872926876</v>
      </c>
      <c r="AC120" s="45" t="n">
        <f aca="false">IF(Y120=0,0,Z120/Y120-1)</f>
        <v>-0.172853991634017</v>
      </c>
      <c r="AD120" s="44" t="n">
        <f aca="false">Parameters!$E$6*IF($N120="V",Parameters!$I$6,IF($N120="F",Parameters!$J$6,Parameters!$K$6))*(1-Parameters!$L$6*$P120)*IF($D120="V1",Parameters!$M$6,IF($D120="V2",Parameters!$N$6,Parameters!$O$6))</f>
        <v>14.3019785714286</v>
      </c>
      <c r="AE120" s="44" t="n">
        <f aca="false">AD120*(1+INDEX(Response_Table!$G$4:$G$21,MATCH($F120&amp;"|mid",Response_Table!$A$4:$A$21,0))*$R120*INDEX(Parameters!$X$6:$AA$6,1,MATCH($E120,Parameters!$X$3:$AA$3,0)))</f>
        <v>7.84712179615551</v>
      </c>
      <c r="AF120" s="44" t="n">
        <f aca="false">MAX(0,MIN(AD120*(1+INDEX(Response_Table!$G$4:$G$21,MATCH($F120&amp;"|low",Response_Table!$A$4:$A$21,0))*$R120*INDEX(Parameters!$X$6:$AA$6,1,MATCH($E120,Parameters!$X$3:$AA$3,0))),AD120*(1+INDEX(Response_Table!$G$4:$G$21,MATCH($F120&amp;"|high",Response_Table!$A$4:$A$21,0))*$R120*INDEX(Parameters!$X$6:$AA$6,1,MATCH($E120,Parameters!$X$3:$AA$3,0))))*(1-Inputs_General!$C$22*Parameters!$F$6))</f>
        <v>5.16106810417735</v>
      </c>
      <c r="AG120" s="44" t="n">
        <f aca="false">MAX(AD120*(1+INDEX(Response_Table!$G$4:$G$21,MATCH($F120&amp;"|low",Response_Table!$A$4:$A$21,0))*$R120*INDEX(Parameters!$X$6:$AA$6,1,MATCH($E120,Parameters!$X$3:$AA$3,0))),AD120*(1+INDEX(Response_Table!$G$4:$G$21,MATCH($F120&amp;"|high",Response_Table!$A$4:$A$21,0))*$R120*INDEX(Parameters!$X$6:$AA$6,1,MATCH($E120,Parameters!$X$3:$AA$3,0))))*(1+Inputs_General!$C$22*Parameters!$F$6)</f>
        <v>11.7043542260636</v>
      </c>
      <c r="AH120" s="45" t="n">
        <f aca="false">IF(AD120=0,0,AE120/AD120-1)</f>
        <v>-0.45132613945934</v>
      </c>
      <c r="AI120" s="46" t="n">
        <f aca="false">Parameters!$E$7*IF($N120="V",Parameters!$I$7,IF($N120="F",Parameters!$J$7,Parameters!$K$7))*(1-Parameters!$L$7*$P120)*IF($D120="V1",Parameters!$M$7,IF($D120="V2",Parameters!$N$7,Parameters!$O$7))*POWER($Q120/Inputs_General!$C$26,-Inputs_General!$C$25)</f>
        <v>0.258501574676089</v>
      </c>
      <c r="AJ120" s="46" t="n">
        <f aca="false">AI120*(1+INDEX(Response_Table!$H$4:$H$21,MATCH($F120&amp;"|mid",Response_Table!$A$4:$A$21,0))*$R120*INDEX(Parameters!$X$7:$AA$7,1,MATCH($E120,Parameters!$X$3:$AA$3,0)))</f>
        <v>0.181381507510752</v>
      </c>
      <c r="AK120" s="46" t="n">
        <f aca="false">MAX(0,MIN(AI120*(1+INDEX(Response_Table!$H$4:$H$21,MATCH($F120&amp;"|low",Response_Table!$A$4:$A$21,0))*$R120*INDEX(Parameters!$X$7:$AA$7,1,MATCH($E120,Parameters!$X$3:$AA$3,0))),AI120*(1+INDEX(Response_Table!$H$4:$H$21,MATCH($F120&amp;"|high",Response_Table!$A$4:$A$21,0))*$R120*INDEX(Parameters!$X$7:$AA$7,1,MATCH($E120,Parameters!$X$3:$AA$3,0))))*(1-Inputs_General!$C$22*Parameters!$F$7))</f>
        <v>0.113313688008279</v>
      </c>
      <c r="AL120" s="46" t="n">
        <f aca="false">MAX(AI120*(1+INDEX(Response_Table!$H$4:$H$21,MATCH($F120&amp;"|low",Response_Table!$A$4:$A$21,0))*$R120*INDEX(Parameters!$X$7:$AA$7,1,MATCH($E120,Parameters!$X$3:$AA$3,0))),AI120*(1+INDEX(Response_Table!$H$4:$H$21,MATCH($F120&amp;"|high",Response_Table!$A$4:$A$21,0))*$R120*INDEX(Parameters!$X$7:$AA$7,1,MATCH($E120,Parameters!$X$3:$AA$3,0))))*(1+Inputs_General!$C$22*Parameters!$F$7)</f>
        <v>0.267710277446818</v>
      </c>
      <c r="AM120" s="45" t="n">
        <f aca="false">IF(AI120=0,0,AJ120/AI120-1)</f>
        <v>-0.298334999552597</v>
      </c>
      <c r="AN120" s="43" t="n">
        <f aca="false">AI120*$Q120/Inputs_General!$C$13*1000</f>
        <v>5.69967952720096</v>
      </c>
      <c r="AO120" s="43" t="n">
        <f aca="false">AJ120*$Q120/Inputs_General!$C$13*1000*(1+Inputs_General!$C$21*$I120)</f>
        <v>4.17923259171367</v>
      </c>
      <c r="AP120" s="43" t="n">
        <f aca="false">AK120*$Q120/Inputs_General!$C$13*1000*(1+Inputs_General!$C$21*$H120)</f>
        <v>2.56715120782337</v>
      </c>
      <c r="AQ120" s="43" t="n">
        <f aca="false">AL120*$Q120/Inputs_General!$C$13*1000*(1+Inputs_General!$C$21*$J120)</f>
        <v>6.2716415319343</v>
      </c>
      <c r="AR120" s="45" t="n">
        <f aca="false">IF(AN120=0,0,AO120/AN120-1)</f>
        <v>-0.266760074532464</v>
      </c>
      <c r="AS120" s="42" t="n">
        <f aca="false">Parameters!$E$9*IF($N120="V",Parameters!$I$9,IF($N120="F",Parameters!$J$9,Parameters!$K$9))*(1-Parameters!$L$9*$P120)*IF($D120="V1",Parameters!$M$9,IF($D120="V2",Parameters!$N$9,Parameters!$O$9))</f>
        <v>293.55</v>
      </c>
      <c r="AT120" s="42" t="n">
        <f aca="false">AS120*(1+INDEX(Response_Table!$I$4:$I$21,MATCH($F120&amp;"|mid",Response_Table!$A$4:$A$21,0))*$R120*INDEX(Parameters!$X$9:$AA$9,1,MATCH($E120,Parameters!$X$3:$AA$3,0)))</f>
        <v>343.269078836774</v>
      </c>
      <c r="AU120" s="42" t="n">
        <f aca="false">MAX(0,MIN(AS120*(1+INDEX(Response_Table!$I$4:$I$21,MATCH($F120&amp;"|low",Response_Table!$A$4:$A$21,0))*$R120*INDEX(Parameters!$X$9:$AA$9,1,MATCH($E120,Parameters!$X$3:$AA$3,0))),AS120*(1+INDEX(Response_Table!$I$4:$I$21,MATCH($F120&amp;"|high",Response_Table!$A$4:$A$21,0))*$R120*INDEX(Parameters!$X$9:$AA$9,1,MATCH($E120,Parameters!$X$3:$AA$3,0))))*(1-Inputs_General!$C$22*Parameters!$F$9))</f>
        <v>295.655895795126</v>
      </c>
      <c r="AV120" s="42" t="n">
        <f aca="false">MAX(AS120*(1+INDEX(Response_Table!$I$4:$I$21,MATCH($F120&amp;"|low",Response_Table!$A$4:$A$21,0))*$R120*INDEX(Parameters!$X$9:$AA$9,1,MATCH($E120,Parameters!$X$3:$AA$3,0))),AS120*(1+INDEX(Response_Table!$I$4:$I$21,MATCH($F120&amp;"|high",Response_Table!$A$4:$A$21,0))*$R120*INDEX(Parameters!$X$9:$AA$9,1,MATCH($E120,Parameters!$X$3:$AA$3,0))))*(1+Inputs_General!$C$22*Parameters!$F$9)</f>
        <v>389.801693579288</v>
      </c>
      <c r="AW120" s="45" t="n">
        <f aca="false">IF(AS120=0,0,AT120/AS120-1)</f>
        <v>0.169371755533209</v>
      </c>
      <c r="AX120" s="43" t="n">
        <f aca="false">INDEX(Context!$AB$4:$AB$51,$K120)</f>
        <v>3.08824606193307</v>
      </c>
      <c r="AY120" s="43" t="n">
        <f aca="false">AX120*(1+INDEX(Response_Table!$J$4:$J$21,MATCH($F120&amp;"|mid",Response_Table!$A$4:$A$21,0))*$R120*INDEX(Parameters!$X$10:$AA$10,1,MATCH($E120,Parameters!$X$3:$AA$3,0)))</f>
        <v>2.53429481224689</v>
      </c>
      <c r="AZ120" s="43" t="n">
        <f aca="false">MAX(0,MIN(AX120*(1+INDEX(Response_Table!$J$4:$J$21,MATCH($F120&amp;"|low",Response_Table!$A$4:$A$21,0))*$R120*INDEX(Parameters!$X$10:$AA$10,1,MATCH($E120,Parameters!$X$3:$AA$3,0))),AX120*(1+INDEX(Response_Table!$J$4:$J$21,MATCH($F120&amp;"|high",Response_Table!$A$4:$A$21,0))*$R120*INDEX(Parameters!$X$10:$AA$10,1,MATCH($E120,Parameters!$X$3:$AA$3,0))))*(1-Inputs_General!$C$22*Parameters!$F$10))</f>
        <v>1.90842923504811</v>
      </c>
      <c r="BA120" s="43" t="n">
        <f aca="false">MAX(AX120*(1+INDEX(Response_Table!$J$4:$J$21,MATCH($F120&amp;"|low",Response_Table!$A$4:$A$21,0))*$R120*INDEX(Parameters!$X$10:$AA$10,1,MATCH($E120,Parameters!$X$3:$AA$3,0))),AX120*(1+INDEX(Response_Table!$J$4:$J$21,MATCH($F120&amp;"|high",Response_Table!$A$4:$A$21,0))*$R120*INDEX(Parameters!$X$10:$AA$10,1,MATCH($E120,Parameters!$X$3:$AA$3,0))))*(1+Inputs_General!$C$22*Parameters!$F$10)</f>
        <v>3.25777616911374</v>
      </c>
      <c r="BB120" s="45" t="n">
        <f aca="false">IF(AX120=0,0,AY120/AX120-1)</f>
        <v>-0.179374064947222</v>
      </c>
      <c r="BC120" s="46" t="n">
        <f aca="false">Parameters!$E$11*IF($N120="V",Parameters!$I$11,IF($N120="F",Parameters!$J$11,Parameters!$K$11))*(1-Parameters!$L$11*$P120)*IF($D120="V1",Parameters!$M$11,IF($D120="V2",Parameters!$N$11,Parameters!$O$11))</f>
        <v>1.00170982142857</v>
      </c>
      <c r="BD120" s="46" t="n">
        <f aca="false">BC120*(1+INDEX(Response_Table!$K$4:$K$21,MATCH($F120&amp;"|mid",Response_Table!$A$4:$A$21,0))*$R120*INDEX(Parameters!$X$11:$AA$11,1,MATCH($E120,Parameters!$X$3:$AA$3,0)))</f>
        <v>0.688106379109947</v>
      </c>
      <c r="BE120" s="46" t="n">
        <f aca="false">MAX(0,MIN(BC120*(1+INDEX(Response_Table!$K$4:$K$21,MATCH($F120&amp;"|low",Response_Table!$A$4:$A$21,0))*$R120*INDEX(Parameters!$X$11:$AA$11,1,MATCH($E120,Parameters!$X$3:$AA$3,0))),BC120*(1+INDEX(Response_Table!$K$4:$K$21,MATCH($F120&amp;"|high",Response_Table!$A$4:$A$21,0))*$R120*INDEX(Parameters!$X$11:$AA$11,1,MATCH($E120,Parameters!$X$3:$AA$3,0))))*(1-Inputs_General!$C$22*Parameters!$F$11))</f>
        <v>0.507404850732847</v>
      </c>
      <c r="BF120" s="46" t="n">
        <f aca="false">MAX(BC120*(1+INDEX(Response_Table!$K$4:$K$21,MATCH($F120&amp;"|low",Response_Table!$A$4:$A$21,0))*$R120*INDEX(Parameters!$X$11:$AA$11,1,MATCH($E120,Parameters!$X$3:$AA$3,0))),BC120*(1+INDEX(Response_Table!$K$4:$K$21,MATCH($F120&amp;"|high",Response_Table!$A$4:$A$21,0))*$R120*INDEX(Parameters!$X$11:$AA$11,1,MATCH($E120,Parameters!$X$3:$AA$3,0))))*(1+Inputs_General!$C$22*Parameters!$F$11)</f>
        <v>0.919014505511223</v>
      </c>
      <c r="BG120" s="45" t="n">
        <f aca="false">IF(BC120=0,0,BD120/BC120-1)</f>
        <v>-0.313068151684272</v>
      </c>
      <c r="BH120" s="46" t="n">
        <f aca="false">Parameters!$E$12*IF($N120="V",Parameters!$I$12,IF($N120="F",Parameters!$J$12,Parameters!$K$12))*(1-Parameters!$L$12*$P120)*IF($D120="V1",Parameters!$M$12,IF($D120="V2",Parameters!$N$12,Parameters!$O$12))</f>
        <v>0.373343142857143</v>
      </c>
      <c r="BI120" s="46" t="n">
        <f aca="false">BH120*(1+INDEX(Response_Table!$L$4:$L$21,MATCH($F120&amp;"|mid",Response_Table!$A$4:$A$21,0))*$R120*INDEX(Parameters!$X$12:$AA$12,1,MATCH($E120,Parameters!$X$3:$AA$3,0)))</f>
        <v>0.279097405170238</v>
      </c>
      <c r="BJ120" s="46" t="n">
        <f aca="false">MAX(0,MIN(BH120*(1+INDEX(Response_Table!$L$4:$L$21,MATCH($F120&amp;"|low",Response_Table!$A$4:$A$21,0))*$R120*INDEX(Parameters!$X$12:$AA$12,1,MATCH($E120,Parameters!$X$3:$AA$3,0))),BH120*(1+INDEX(Response_Table!$L$4:$L$21,MATCH($F120&amp;"|high",Response_Table!$A$4:$A$21,0))*$R120*INDEX(Parameters!$X$12:$AA$12,1,MATCH($E120,Parameters!$X$3:$AA$3,0))))*(1-Inputs_General!$C$22*Parameters!$F$12))</f>
        <v>0.203992992348387</v>
      </c>
      <c r="BK120" s="46" t="n">
        <f aca="false">MAX(BH120*(1+INDEX(Response_Table!$L$4:$L$21,MATCH($F120&amp;"|low",Response_Table!$A$4:$A$21,0))*$R120*INDEX(Parameters!$X$12:$AA$12,1,MATCH($E120,Parameters!$X$3:$AA$3,0))),BH120*(1+INDEX(Response_Table!$L$4:$L$21,MATCH($F120&amp;"|high",Response_Table!$A$4:$A$21,0))*$R120*INDEX(Parameters!$X$12:$AA$12,1,MATCH($E120,Parameters!$X$3:$AA$3,0))))*(1+Inputs_General!$C$22*Parameters!$F$12)</f>
        <v>0.371021233533246</v>
      </c>
      <c r="BL120" s="45" t="n">
        <f aca="false">IF(BH120=0,0,BI120/BH120-1)</f>
        <v>-0.252437307313736</v>
      </c>
      <c r="BM120" s="46" t="n">
        <f aca="false">Parameters!$E$13*IF($N120="V",Parameters!$I$13,IF($N120="F",Parameters!$J$13,Parameters!$K$13))*(1-Parameters!$L$13*$P120)*IF($D120="V1",Parameters!$M$13,IF($D120="V2",Parameters!$N$13,Parameters!$O$13))</f>
        <v>0.262276071428571</v>
      </c>
      <c r="BN120" s="46" t="n">
        <f aca="false">BM120*(1+INDEX(Response_Table!$M$4:$M$21,MATCH($F120&amp;"|mid",Response_Table!$A$4:$A$21,0))*$R120*INDEX(Parameters!$X$13:$AA$13,1,MATCH($E120,Parameters!$X$3:$AA$3,0)))</f>
        <v>0.237458556422958</v>
      </c>
      <c r="BO120" s="46" t="n">
        <f aca="false">MAX(0,MIN(BM120*(1+INDEX(Response_Table!$M$4:$M$21,MATCH($F120&amp;"|low",Response_Table!$A$4:$A$21,0))*$R120*INDEX(Parameters!$X$13:$AA$13,1,MATCH($E120,Parameters!$X$3:$AA$3,0))),BM120*(1+INDEX(Response_Table!$M$4:$M$21,MATCH($F120&amp;"|high",Response_Table!$A$4:$A$21,0))*$R120*INDEX(Parameters!$X$13:$AA$13,1,MATCH($E120,Parameters!$X$3:$AA$3,0))))*(1-Inputs_General!$C$22*Parameters!$F$13))</f>
        <v>0.174549338237001</v>
      </c>
      <c r="BP120" s="46" t="n">
        <f aca="false">MAX(BM120*(1+INDEX(Response_Table!$M$4:$M$21,MATCH($F120&amp;"|low",Response_Table!$A$4:$A$21,0))*$R120*INDEX(Parameters!$X$13:$AA$13,1,MATCH($E120,Parameters!$X$3:$AA$3,0))),BM120*(1+INDEX(Response_Table!$M$4:$M$21,MATCH($F120&amp;"|high",Response_Table!$A$4:$A$21,0))*$R120*INDEX(Parameters!$X$13:$AA$13,1,MATCH($E120,Parameters!$X$3:$AA$3,0))))*(1+Inputs_General!$C$22*Parameters!$F$13)</f>
        <v>0.309593563356874</v>
      </c>
      <c r="BQ120" s="45" t="n">
        <f aca="false">IF(BM120=0,0,BN120/BM120-1)</f>
        <v>-0.0946236340602347</v>
      </c>
      <c r="BR120" s="44" t="n">
        <f aca="false">Parameters!$E$14*IF($N120="V",Parameters!$I$14,IF($N120="F",Parameters!$J$14,Parameters!$K$14))*(1-Parameters!$L$14*$P120)*IF($D120="V1",Parameters!$M$14,IF($D120="V2",Parameters!$N$14,Parameters!$O$14))*INDEX(Context!$AC$4:$AC$51,$K120)</f>
        <v>17.25</v>
      </c>
      <c r="BS120" s="44" t="n">
        <f aca="false">BR120*(1+INDEX(Response_Table!$N$4:$N$21,MATCH($F120&amp;"|mid",Response_Table!$A$4:$A$21,0))*$R120*INDEX(Parameters!$X$14:$AA$14,1,MATCH($E120,Parameters!$X$3:$AA$3,0)))</f>
        <v>22.0004111467221</v>
      </c>
      <c r="BT120" s="44" t="n">
        <f aca="false">MAX(0,MIN(BR120*(1+INDEX(Response_Table!$N$4:$N$21,MATCH($F120&amp;"|low",Response_Table!$A$4:$A$21,0))*$R120*INDEX(Parameters!$X$14:$AA$14,1,MATCH($E120,Parameters!$X$3:$AA$3,0))),BR120*(1+INDEX(Response_Table!$N$4:$N$21,MATCH($F120&amp;"|high",Response_Table!$A$4:$A$21,0))*$R120*INDEX(Parameters!$X$14:$AA$14,1,MATCH($E120,Parameters!$X$3:$AA$3,0))))*(1-Inputs_General!$C$22*Parameters!$F$14))</f>
        <v>10.3579519938555</v>
      </c>
      <c r="BU120" s="44" t="n">
        <f aca="false">MAX(BR120*(1+INDEX(Response_Table!$N$4:$N$21,MATCH($F120&amp;"|low",Response_Table!$A$4:$A$21,0))*$R120*INDEX(Parameters!$X$14:$AA$14,1,MATCH($E120,Parameters!$X$3:$AA$3,0))),BR120*(1+INDEX(Response_Table!$N$4:$N$21,MATCH($F120&amp;"|high",Response_Table!$A$4:$A$21,0))*$R120*INDEX(Parameters!$X$14:$AA$14,1,MATCH($E120,Parameters!$X$3:$AA$3,0))))*(1+Inputs_General!$C$22*Parameters!$F$14)</f>
        <v>34.7344890013845</v>
      </c>
      <c r="BV120" s="45" t="n">
        <f aca="false">IF(BR120=0,0,BS120/BR120-1)</f>
        <v>0.275386153433167</v>
      </c>
      <c r="BW120" s="43" t="n">
        <f aca="false">Parameters!$E$15*IF($N120="V",Parameters!$I$15,IF($N120="F",Parameters!$J$15,Parameters!$K$15))*(1-Parameters!$L$15*$P120)*IF($D120="V1",Parameters!$M$15,IF($D120="V2",Parameters!$N$15,Parameters!$O$15))</f>
        <v>8.34931028571429</v>
      </c>
      <c r="BX120" s="43" t="n">
        <f aca="false">BW120*(1+INDEX(Response_Table!$O$4:$O$21,MATCH($F120&amp;"|mid",Response_Table!$A$4:$A$21,0))*$R120*INDEX(Parameters!$X$15:$AA$15,1,MATCH($E120,Parameters!$X$3:$AA$3,0)))</f>
        <v>7.77448917486358</v>
      </c>
      <c r="BY120" s="43" t="n">
        <f aca="false">MAX(0,MIN(BW120*(1+INDEX(Response_Table!$O$4:$O$21,MATCH($F120&amp;"|low",Response_Table!$A$4:$A$21,0))*$R120*INDEX(Parameters!$X$15:$AA$15,1,MATCH($E120,Parameters!$X$3:$AA$3,0))),BW120*(1+INDEX(Response_Table!$O$4:$O$21,MATCH($F120&amp;"|high",Response_Table!$A$4:$A$21,0))*$R120*INDEX(Parameters!$X$15:$AA$15,1,MATCH($E120,Parameters!$X$3:$AA$3,0))))*(1-Inputs_General!$C$22*Parameters!$F$15))</f>
        <v>6.1177569806675</v>
      </c>
      <c r="BZ120" s="43" t="n">
        <f aca="false">MAX(BW120*(1+INDEX(Response_Table!$O$4:$O$21,MATCH($F120&amp;"|low",Response_Table!$A$4:$A$21,0))*$R120*INDEX(Parameters!$X$15:$AA$15,1,MATCH($E120,Parameters!$X$3:$AA$3,0))),BW120*(1+INDEX(Response_Table!$O$4:$O$21,MATCH($F120&amp;"|high",Response_Table!$A$4:$A$21,0))*$R120*INDEX(Parameters!$X$15:$AA$15,1,MATCH($E120,Parameters!$X$3:$AA$3,0))))*(1+Inputs_General!$C$22*Parameters!$F$15)</f>
        <v>9.5338059035173</v>
      </c>
      <c r="CA120" s="45" t="n">
        <f aca="false">IF(BW120=0,0,BX120/BW120-1)</f>
        <v>-0.0688465383582917</v>
      </c>
      <c r="CB120" s="46" t="n">
        <f aca="false">BD120+BI120</f>
        <v>0.967203784280185</v>
      </c>
      <c r="CC120" s="43" t="n">
        <f aca="false">BD120/BI120</f>
        <v>2.46547035681048</v>
      </c>
      <c r="CD120" s="46" t="n">
        <f aca="false">BN120/CB120</f>
        <v>0.245510367393445</v>
      </c>
      <c r="CE120" s="43" t="n">
        <f aca="false">AE120/AO120</f>
        <v>1.87764658318236</v>
      </c>
      <c r="CF120" s="44" t="n">
        <f aca="false">AE120/AJ120</f>
        <v>43.2630751825146</v>
      </c>
      <c r="CG120" s="44" t="n">
        <f aca="false">INDEX(Context!$V$4:$V$51,$K120)</f>
        <v>32.7871428571429</v>
      </c>
      <c r="CH120" s="44" t="n">
        <f aca="false">INDEX(Context!$Y$4:$Y$51,$K120)</f>
        <v>28.36912210206</v>
      </c>
      <c r="CI120" s="44" t="n">
        <f aca="false">INDEX(Context!$Z$4:$Z$51,$K120)</f>
        <v>36.7871428571429</v>
      </c>
      <c r="CJ120" s="43" t="n">
        <f aca="false">INDEX(Context!$AA$4:$AA$51,$K120)</f>
        <v>0.347678571428571</v>
      </c>
      <c r="CK120" s="43" t="n">
        <f aca="false">MAX(0,MIN(1,1-(1-CJ120)*AO120/AN120))</f>
        <v>0.521691884333409</v>
      </c>
      <c r="CL120" s="44" t="n">
        <f aca="false">CH120+CK120*(CI120-CH120)</f>
        <v>32.7607352121369</v>
      </c>
      <c r="CM120" s="44" t="n">
        <f aca="false">CH120+MAX(0,MIN(1,1-(1-CJ120)*AQ120/AN120))*(CI120-CH120)</f>
        <v>30.7448408658669</v>
      </c>
      <c r="CN120" s="44" t="n">
        <f aca="false">CH120+MAX(0,MIN(1,1-(1-CJ120)*AP120/AN120))*(CI120-CH120)</f>
        <v>34.313866478709</v>
      </c>
      <c r="CO120" s="44" t="n">
        <f aca="false">CL120-CG120</f>
        <v>-0.0264076450059108</v>
      </c>
      <c r="CP120" s="44" t="n">
        <f aca="false">CL120-(CH120+CJ120*(CI120-CH120))</f>
        <v>1.46484767969365</v>
      </c>
      <c r="CQ120" s="46" t="n">
        <f aca="false">CL120/CG120</f>
        <v>0.999194573155674</v>
      </c>
      <c r="CR120" s="43" t="n">
        <f aca="false">IF(CL120-CH120&lt;=0,"n/a",(CI120-CL120)/(CL120-CH120))</f>
        <v>0.916840246188125</v>
      </c>
      <c r="CS120" s="43" t="n">
        <f aca="false">IF(CI120-CL120&lt;=0,"n/a",(CL120-CH120)/(CI120-CL120))</f>
        <v>1.09070255604247</v>
      </c>
      <c r="CT120" s="43" t="n">
        <f aca="false">Inputs_General!$C$23+Inputs_General!$C$24*$I120</f>
        <v>0.96</v>
      </c>
      <c r="CU120" s="44" t="n">
        <f aca="false">3.29*CT120</f>
        <v>3.1584</v>
      </c>
    </row>
    <row r="121" customFormat="false" ht="15" hidden="false" customHeight="false" outlineLevel="0" collapsed="false">
      <c r="A121" s="9" t="str">
        <f aca="false">B121&amp;"|"&amp;E121&amp;"|"&amp;F121</f>
        <v>D2V2|13/03/2026|High</v>
      </c>
      <c r="B121" s="7" t="s">
        <v>347</v>
      </c>
      <c r="C121" s="9" t="s">
        <v>129</v>
      </c>
      <c r="D121" s="9" t="s">
        <v>146</v>
      </c>
      <c r="E121" s="9" t="s">
        <v>164</v>
      </c>
      <c r="F121" s="7" t="s">
        <v>283</v>
      </c>
      <c r="G121" s="9" t="s">
        <v>284</v>
      </c>
      <c r="H121" s="41" t="n">
        <f aca="false">INDEX(Severity_Classes!$C$4:$C$9,MATCH(F121,Severity_Classes!$A$4:$A$9,0))</f>
        <v>0.26</v>
      </c>
      <c r="I121" s="41" t="n">
        <f aca="false">INDEX(Severity_Classes!$D$4:$D$9,MATCH(F121,Severity_Classes!$A$4:$A$9,0))</f>
        <v>0.38</v>
      </c>
      <c r="J121" s="41" t="n">
        <f aca="false">INDEX(Severity_Classes!$E$4:$E$9,MATCH(F121,Severity_Classes!$A$4:$A$9,0))</f>
        <v>0.5</v>
      </c>
      <c r="K121" s="42" t="n">
        <f aca="false">MATCH(B121&amp;"|"&amp;E121,Context!$A$4:$A$51,0)</f>
        <v>20</v>
      </c>
      <c r="L121" s="42" t="n">
        <f aca="false">INDEX(Context!$H$4:$H$51,K121)</f>
        <v>85</v>
      </c>
      <c r="M121" s="42" t="n">
        <f aca="false">INDEX(Context!$I$4:$I$51,K121)</f>
        <v>36</v>
      </c>
      <c r="N121" s="9" t="str">
        <f aca="false">INDEX(Context!$L$4:$L$51,K121)</f>
        <v>P</v>
      </c>
      <c r="O121" s="9" t="str">
        <f aca="false">INDEX(Context!$M$4:$M$51,K121)</f>
        <v>5th fully expanded leaf from top</v>
      </c>
      <c r="P121" s="43" t="n">
        <f aca="false">INDEX(Context!$R$4:$R$51,K121)</f>
        <v>0.953571428571428</v>
      </c>
      <c r="Q121" s="43" t="n">
        <f aca="false">INDEX(Context!$U$4:$U$51,K121)</f>
        <v>2.18945736698217</v>
      </c>
      <c r="R121" s="43" t="n">
        <f aca="false">INDEX(Context!$AD$4:$AD$51,K121)</f>
        <v>1.1</v>
      </c>
      <c r="S121" s="9" t="str">
        <f aca="false">INDEX(Context!$AI$4:$AN$51,K121,MATCH(F121,Severity_Classes!$A$4:$A$9,0))</f>
        <v>Likely</v>
      </c>
      <c r="T121" s="44" t="n">
        <f aca="false">Parameters!$E$4*IF($N121="V",Parameters!$I$4,IF($N121="F",Parameters!$J$4,Parameters!$K$4))*(1-Parameters!$L$4*$P121)*IF($D121="V1",Parameters!$M$4,IF($D121="V2",Parameters!$N$4,Parameters!$O$4))</f>
        <v>77.8046607142857</v>
      </c>
      <c r="U121" s="44" t="n">
        <f aca="false">MIN(100,T121*(1+INDEX(Response_Table!$E$4:$E$21,MATCH($F121&amp;"|mid",Response_Table!$A$4:$A$21,0))*$R121*INDEX(Parameters!$X$4:$AA$4,1,MATCH($E121,Parameters!$X$3:$AA$3,0))))</f>
        <v>63.9787885802203</v>
      </c>
      <c r="V121" s="44" t="n">
        <f aca="false">MAX(0,MIN(T121*(1+INDEX(Response_Table!$E$4:$E$21,MATCH($F121&amp;"|low",Response_Table!$A$4:$A$21,0))*$R121*INDEX(Parameters!$X$4:$AA$4,1,MATCH($E121,Parameters!$X$3:$AA$3,0))),T121*(1+INDEX(Response_Table!$E$4:$E$21,MATCH($F121&amp;"|high",Response_Table!$A$4:$A$21,0))*$R121*INDEX(Parameters!$X$4:$AA$4,1,MATCH($E121,Parameters!$X$3:$AA$3,0))))*(1-Inputs_General!$C$22*Parameters!$F$4))</f>
        <v>54.3297912301349</v>
      </c>
      <c r="W121" s="44" t="n">
        <f aca="false">MIN(100,MAX(T121*(1+INDEX(Response_Table!$E$4:$E$21,MATCH($F121&amp;"|low",Response_Table!$A$4:$A$21,0))*$R121*INDEX(Parameters!$X$4:$AA$4,1,MATCH($E121,Parameters!$X$3:$AA$3,0))),T121*(1+INDEX(Response_Table!$E$4:$E$21,MATCH($F121&amp;"|high",Response_Table!$A$4:$A$21,0))*$R121*INDEX(Parameters!$X$4:$AA$4,1,MATCH($E121,Parameters!$X$3:$AA$3,0))))*(1+Inputs_General!$C$22*Parameters!$F$4))</f>
        <v>75.1506793597889</v>
      </c>
      <c r="X121" s="45" t="n">
        <f aca="false">IF(T121=0,0,U121/T121-1)</f>
        <v>-0.177699793394599</v>
      </c>
      <c r="Y121" s="44" t="n">
        <f aca="false">Parameters!$E$5*IF($N121="V",Parameters!$I$5,IF($N121="F",Parameters!$J$5,Parameters!$K$5))*(1-Parameters!$L$5*$P121)*IF($D121="V1",Parameters!$M$5,IF($D121="V2",Parameters!$N$5,Parameters!$O$5))</f>
        <v>58.6602514285714</v>
      </c>
      <c r="Z121" s="44" t="n">
        <f aca="false">MIN(100,Y121*(1+INDEX(Response_Table!$F$4:$F$21,MATCH($F121&amp;"|mid",Response_Table!$A$4:$A$21,0))*$R121*INDEX(Parameters!$X$5:$AA$5,1,MATCH($E121,Parameters!$X$3:$AA$3,0))))</f>
        <v>26.3782092817516</v>
      </c>
      <c r="AA121" s="44" t="n">
        <f aca="false">MAX(0,MIN(Y121*(1+INDEX(Response_Table!$F$4:$F$21,MATCH($F121&amp;"|low",Response_Table!$A$4:$A$21,0))*$R121*INDEX(Parameters!$X$5:$AA$5,1,MATCH($E121,Parameters!$X$3:$AA$3,0))),Y121*(1+INDEX(Response_Table!$F$4:$F$21,MATCH($F121&amp;"|high",Response_Table!$A$4:$A$21,0))*$R121*INDEX(Parameters!$X$5:$AA$5,1,MATCH($E121,Parameters!$X$3:$AA$3,0))))*(1-Inputs_General!$C$22*Parameters!$F$5))</f>
        <v>16.1674581450365</v>
      </c>
      <c r="AB121" s="44" t="n">
        <f aca="false">MIN(100,MAX(Y121*(1+INDEX(Response_Table!$F$4:$F$21,MATCH($F121&amp;"|low",Response_Table!$A$4:$A$21,0))*$R121*INDEX(Parameters!$X$5:$AA$5,1,MATCH($E121,Parameters!$X$3:$AA$3,0))),Y121*(1+INDEX(Response_Table!$F$4:$F$21,MATCH($F121&amp;"|high",Response_Table!$A$4:$A$21,0))*$R121*INDEX(Parameters!$X$5:$AA$5,1,MATCH($E121,Parameters!$X$3:$AA$3,0))))*(1+Inputs_General!$C$22*Parameters!$F$5))</f>
        <v>44.4244550736007</v>
      </c>
      <c r="AC121" s="45" t="n">
        <f aca="false">IF(Y121=0,0,Z121/Y121-1)</f>
        <v>-0.550322260144565</v>
      </c>
      <c r="AD121" s="44" t="n">
        <f aca="false">Parameters!$E$6*IF($N121="V",Parameters!$I$6,IF($N121="F",Parameters!$J$6,Parameters!$K$6))*(1-Parameters!$L$6*$P121)*IF($D121="V1",Parameters!$M$6,IF($D121="V2",Parameters!$N$6,Parameters!$O$6))</f>
        <v>14.3019785714286</v>
      </c>
      <c r="AE121" s="44" t="n">
        <f aca="false">AD121*(1+INDEX(Response_Table!$G$4:$G$21,MATCH($F121&amp;"|mid",Response_Table!$A$4:$A$21,0))*$R121*INDEX(Parameters!$X$6:$AA$6,1,MATCH($E121,Parameters!$X$3:$AA$3,0)))</f>
        <v>4.71956042186306</v>
      </c>
      <c r="AF121" s="44" t="n">
        <f aca="false">MAX(0,MIN(AD121*(1+INDEX(Response_Table!$G$4:$G$21,MATCH($F121&amp;"|low",Response_Table!$A$4:$A$21,0))*$R121*INDEX(Parameters!$X$6:$AA$6,1,MATCH($E121,Parameters!$X$3:$AA$3,0))),AD121*(1+INDEX(Response_Table!$G$4:$G$21,MATCH($F121&amp;"|high",Response_Table!$A$4:$A$21,0))*$R121*INDEX(Parameters!$X$6:$AA$6,1,MATCH($E121,Parameters!$X$3:$AA$3,0))))*(1-Inputs_General!$C$22*Parameters!$F$6))</f>
        <v>3.05808849290009</v>
      </c>
      <c r="AG121" s="44" t="n">
        <f aca="false">MAX(AD121*(1+INDEX(Response_Table!$G$4:$G$21,MATCH($F121&amp;"|low",Response_Table!$A$4:$A$21,0))*$R121*INDEX(Parameters!$X$6:$AA$6,1,MATCH($E121,Parameters!$X$3:$AA$3,0))),AD121*(1+INDEX(Response_Table!$G$4:$G$21,MATCH($F121&amp;"|high",Response_Table!$A$4:$A$21,0))*$R121*INDEX(Parameters!$X$6:$AA$6,1,MATCH($E121,Parameters!$X$3:$AA$3,0))))*(1+Inputs_General!$C$22*Parameters!$F$6)</f>
        <v>7.49736325014977</v>
      </c>
      <c r="AH121" s="45" t="n">
        <f aca="false">IF(AD121=0,0,AE121/AD121-1)</f>
        <v>-0.670006468105648</v>
      </c>
      <c r="AI121" s="46" t="n">
        <f aca="false">Parameters!$E$7*IF($N121="V",Parameters!$I$7,IF($N121="F",Parameters!$J$7,Parameters!$K$7))*(1-Parameters!$L$7*$P121)*IF($D121="V1",Parameters!$M$7,IF($D121="V2",Parameters!$N$7,Parameters!$O$7))*POWER($Q121/Inputs_General!$C$26,-Inputs_General!$C$25)</f>
        <v>0.258501574676089</v>
      </c>
      <c r="AJ121" s="46" t="n">
        <f aca="false">AI121*(1+INDEX(Response_Table!$H$4:$H$21,MATCH($F121&amp;"|mid",Response_Table!$A$4:$A$21,0))*$R121*INDEX(Parameters!$X$7:$AA$7,1,MATCH($E121,Parameters!$X$3:$AA$3,0)))</f>
        <v>0.132784659119565</v>
      </c>
      <c r="AK121" s="46" t="n">
        <f aca="false">MAX(0,MIN(AI121*(1+INDEX(Response_Table!$H$4:$H$21,MATCH($F121&amp;"|low",Response_Table!$A$4:$A$21,0))*$R121*INDEX(Parameters!$X$7:$AA$7,1,MATCH($E121,Parameters!$X$3:$AA$3,0))),AI121*(1+INDEX(Response_Table!$H$4:$H$21,MATCH($F121&amp;"|high",Response_Table!$A$4:$A$21,0))*$R121*INDEX(Parameters!$X$7:$AA$7,1,MATCH($E121,Parameters!$X$3:$AA$3,0))))*(1-Inputs_General!$C$22*Parameters!$F$7))</f>
        <v>0.0808878165545517</v>
      </c>
      <c r="AL121" s="46" t="n">
        <f aca="false">MAX(AI121*(1+INDEX(Response_Table!$H$4:$H$21,MATCH($F121&amp;"|low",Response_Table!$A$4:$A$21,0))*$R121*INDEX(Parameters!$X$7:$AA$7,1,MATCH($E121,Parameters!$X$3:$AA$3,0))),AI121*(1+INDEX(Response_Table!$H$4:$H$21,MATCH($F121&amp;"|high",Response_Table!$A$4:$A$21,0))*$R121*INDEX(Parameters!$X$7:$AA$7,1,MATCH($E121,Parameters!$X$3:$AA$3,0))))*(1+Inputs_General!$C$22*Parameters!$F$7)</f>
        <v>0.205301594481939</v>
      </c>
      <c r="AM121" s="45" t="n">
        <f aca="false">IF(AI121=0,0,AJ121/AI121-1)</f>
        <v>-0.486329399401343</v>
      </c>
      <c r="AN121" s="43" t="n">
        <f aca="false">AI121*$Q121/Inputs_General!$C$13*1000</f>
        <v>5.69967952720096</v>
      </c>
      <c r="AO121" s="43" t="n">
        <f aca="false">AJ121*$Q121/Inputs_General!$C$13*1000*(1+Inputs_General!$C$21*$I121)</f>
        <v>3.20589479752312</v>
      </c>
      <c r="AP121" s="43" t="n">
        <f aca="false">AK121*$Q121/Inputs_General!$C$13*1000*(1+Inputs_General!$C$21*$H121)</f>
        <v>1.89941544345424</v>
      </c>
      <c r="AQ121" s="43" t="n">
        <f aca="false">AL121*$Q121/Inputs_General!$C$13*1000*(1+Inputs_General!$C$21*$J121)</f>
        <v>5.09251233185424</v>
      </c>
      <c r="AR121" s="45" t="n">
        <f aca="false">IF(AN121=0,0,AO121/AN121-1)</f>
        <v>-0.43753069234447</v>
      </c>
      <c r="AS121" s="42" t="n">
        <f aca="false">Parameters!$E$9*IF($N121="V",Parameters!$I$9,IF($N121="F",Parameters!$J$9,Parameters!$K$9))*(1-Parameters!$L$9*$P121)*IF($D121="V1",Parameters!$M$9,IF($D121="V2",Parameters!$N$9,Parameters!$O$9))</f>
        <v>293.55</v>
      </c>
      <c r="AT121" s="42" t="n">
        <f aca="false">AS121*(1+INDEX(Response_Table!$I$4:$I$21,MATCH($F121&amp;"|mid",Response_Table!$A$4:$A$21,0))*$R121*INDEX(Parameters!$X$9:$AA$9,1,MATCH($E121,Parameters!$X$3:$AA$3,0)))</f>
        <v>369.234551443109</v>
      </c>
      <c r="AU121" s="42" t="n">
        <f aca="false">MAX(0,MIN(AS121*(1+INDEX(Response_Table!$I$4:$I$21,MATCH($F121&amp;"|low",Response_Table!$A$4:$A$21,0))*$R121*INDEX(Parameters!$X$9:$AA$9,1,MATCH($E121,Parameters!$X$3:$AA$3,0))),AS121*(1+INDEX(Response_Table!$I$4:$I$21,MATCH($F121&amp;"|high",Response_Table!$A$4:$A$21,0))*$R121*INDEX(Parameters!$X$9:$AA$9,1,MATCH($E121,Parameters!$X$3:$AA$3,0))))*(1-Inputs_General!$C$22*Parameters!$F$9))</f>
        <v>321.026669658177</v>
      </c>
      <c r="AV121" s="42" t="n">
        <f aca="false">MAX(AS121*(1+INDEX(Response_Table!$I$4:$I$21,MATCH($F121&amp;"|low",Response_Table!$A$4:$A$21,0))*$R121*INDEX(Parameters!$X$9:$AA$9,1,MATCH($E121,Parameters!$X$3:$AA$3,0))),AS121*(1+INDEX(Response_Table!$I$4:$I$21,MATCH($F121&amp;"|high",Response_Table!$A$4:$A$21,0))*$R121*INDEX(Parameters!$X$9:$AA$9,1,MATCH($E121,Parameters!$X$3:$AA$3,0))))*(1+Inputs_General!$C$22*Parameters!$F$9)</f>
        <v>414.552000142396</v>
      </c>
      <c r="AW121" s="45" t="n">
        <f aca="false">IF(AS121=0,0,AT121/AS121-1)</f>
        <v>0.257825077305769</v>
      </c>
      <c r="AX121" s="43" t="n">
        <f aca="false">INDEX(Context!$AB$4:$AB$51,$K121)</f>
        <v>3.08824606193307</v>
      </c>
      <c r="AY121" s="43" t="n">
        <f aca="false">AX121*(1+INDEX(Response_Table!$J$4:$J$21,MATCH($F121&amp;"|mid",Response_Table!$A$4:$A$21,0))*$R121*INDEX(Parameters!$X$10:$AA$10,1,MATCH($E121,Parameters!$X$3:$AA$3,0)))</f>
        <v>2.15076822539851</v>
      </c>
      <c r="AZ121" s="43" t="n">
        <f aca="false">MAX(0,MIN(AX121*(1+INDEX(Response_Table!$J$4:$J$21,MATCH($F121&amp;"|low",Response_Table!$A$4:$A$21,0))*$R121*INDEX(Parameters!$X$10:$AA$10,1,MATCH($E121,Parameters!$X$3:$AA$3,0))),AX121*(1+INDEX(Response_Table!$J$4:$J$21,MATCH($F121&amp;"|high",Response_Table!$A$4:$A$21,0))*$R121*INDEX(Parameters!$X$10:$AA$10,1,MATCH($E121,Parameters!$X$3:$AA$3,0))))*(1-Inputs_General!$C$22*Parameters!$F$10))</f>
        <v>1.60322474524791</v>
      </c>
      <c r="BA121" s="43" t="n">
        <f aca="false">MAX(AX121*(1+INDEX(Response_Table!$J$4:$J$21,MATCH($F121&amp;"|low",Response_Table!$A$4:$A$21,0))*$R121*INDEX(Parameters!$X$10:$AA$10,1,MATCH($E121,Parameters!$X$3:$AA$3,0))),AX121*(1+INDEX(Response_Table!$J$4:$J$21,MATCH($F121&amp;"|high",Response_Table!$A$4:$A$21,0))*$R121*INDEX(Parameters!$X$10:$AA$10,1,MATCH($E121,Parameters!$X$3:$AA$3,0))))*(1+Inputs_General!$C$22*Parameters!$F$10)</f>
        <v>2.82299759122242</v>
      </c>
      <c r="BB121" s="45" t="n">
        <f aca="false">IF(AX121=0,0,AY121/AX121-1)</f>
        <v>-0.303563193390022</v>
      </c>
      <c r="BC121" s="46" t="n">
        <f aca="false">Parameters!$E$11*IF($N121="V",Parameters!$I$11,IF($N121="F",Parameters!$J$11,Parameters!$K$11))*(1-Parameters!$L$11*$P121)*IF($D121="V1",Parameters!$M$11,IF($D121="V2",Parameters!$N$11,Parameters!$O$11))</f>
        <v>1.00170982142857</v>
      </c>
      <c r="BD121" s="46" t="n">
        <f aca="false">BC121*(1+INDEX(Response_Table!$K$4:$K$21,MATCH($F121&amp;"|mid",Response_Table!$A$4:$A$21,0))*$R121*INDEX(Parameters!$X$11:$AA$11,1,MATCH($E121,Parameters!$X$3:$AA$3,0)))</f>
        <v>0.497785289767803</v>
      </c>
      <c r="BE121" s="46" t="n">
        <f aca="false">MAX(0,MIN(BC121*(1+INDEX(Response_Table!$K$4:$K$21,MATCH($F121&amp;"|low",Response_Table!$A$4:$A$21,0))*$R121*INDEX(Parameters!$X$11:$AA$11,1,MATCH($E121,Parameters!$X$3:$AA$3,0))),BC121*(1+INDEX(Response_Table!$K$4:$K$21,MATCH($F121&amp;"|high",Response_Table!$A$4:$A$21,0))*$R121*INDEX(Parameters!$X$11:$AA$11,1,MATCH($E121,Parameters!$X$3:$AA$3,0))))*(1-Inputs_General!$C$22*Parameters!$F$11))</f>
        <v>0.359340305681349</v>
      </c>
      <c r="BF121" s="46" t="n">
        <f aca="false">MAX(BC121*(1+INDEX(Response_Table!$K$4:$K$21,MATCH($F121&amp;"|low",Response_Table!$A$4:$A$21,0))*$R121*INDEX(Parameters!$X$11:$AA$11,1,MATCH($E121,Parameters!$X$3:$AA$3,0))),BC121*(1+INDEX(Response_Table!$K$4:$K$21,MATCH($F121&amp;"|high",Response_Table!$A$4:$A$21,0))*$R121*INDEX(Parameters!$X$11:$AA$11,1,MATCH($E121,Parameters!$X$3:$AA$3,0))))*(1+Inputs_General!$C$22*Parameters!$F$11)</f>
        <v>0.695406358912333</v>
      </c>
      <c r="BG121" s="45" t="n">
        <f aca="false">IF(BC121=0,0,BD121/BC121-1)</f>
        <v>-0.503064381401497</v>
      </c>
      <c r="BH121" s="46" t="n">
        <f aca="false">Parameters!$E$12*IF($N121="V",Parameters!$I$12,IF($N121="F",Parameters!$J$12,Parameters!$K$12))*(1-Parameters!$L$12*$P121)*IF($D121="V1",Parameters!$M$12,IF($D121="V2",Parameters!$N$12,Parameters!$O$12))</f>
        <v>0.373343142857143</v>
      </c>
      <c r="BI121" s="46" t="n">
        <f aca="false">BH121*(1+INDEX(Response_Table!$L$4:$L$21,MATCH($F121&amp;"|mid",Response_Table!$A$4:$A$21,0))*$R121*INDEX(Parameters!$X$12:$AA$12,1,MATCH($E121,Parameters!$X$3:$AA$3,0)))</f>
        <v>0.219708895872561</v>
      </c>
      <c r="BJ121" s="46" t="n">
        <f aca="false">MAX(0,MIN(BH121*(1+INDEX(Response_Table!$L$4:$L$21,MATCH($F121&amp;"|low",Response_Table!$A$4:$A$21,0))*$R121*INDEX(Parameters!$X$12:$AA$12,1,MATCH($E121,Parameters!$X$3:$AA$3,0))),BH121*(1+INDEX(Response_Table!$L$4:$L$21,MATCH($F121&amp;"|high",Response_Table!$A$4:$A$21,0))*$R121*INDEX(Parameters!$X$12:$AA$12,1,MATCH($E121,Parameters!$X$3:$AA$3,0))))*(1-Inputs_General!$C$22*Parameters!$F$12))</f>
        <v>0.158810085707789</v>
      </c>
      <c r="BK121" s="46" t="n">
        <f aca="false">MAX(BH121*(1+INDEX(Response_Table!$L$4:$L$21,MATCH($F121&amp;"|low",Response_Table!$A$4:$A$21,0))*$R121*INDEX(Parameters!$X$12:$AA$12,1,MATCH($E121,Parameters!$X$3:$AA$3,0))),BH121*(1+INDEX(Response_Table!$L$4:$L$21,MATCH($F121&amp;"|high",Response_Table!$A$4:$A$21,0))*$R121*INDEX(Parameters!$X$12:$AA$12,1,MATCH($E121,Parameters!$X$3:$AA$3,0))))*(1+Inputs_General!$C$22*Parameters!$F$12)</f>
        <v>0.30056164871584</v>
      </c>
      <c r="BL121" s="45" t="n">
        <f aca="false">IF(BH121=0,0,BI121/BH121-1)</f>
        <v>-0.411509491801136</v>
      </c>
      <c r="BM121" s="46" t="n">
        <f aca="false">Parameters!$E$13*IF($N121="V",Parameters!$I$13,IF($N121="F",Parameters!$J$13,Parameters!$K$13))*(1-Parameters!$L$13*$P121)*IF($D121="V1",Parameters!$M$13,IF($D121="V2",Parameters!$N$13,Parameters!$O$13))</f>
        <v>0.262276071428571</v>
      </c>
      <c r="BN121" s="46" t="n">
        <f aca="false">BM121*(1+INDEX(Response_Table!$M$4:$M$21,MATCH($F121&amp;"|mid",Response_Table!$A$4:$A$21,0))*$R121*INDEX(Parameters!$X$13:$AA$13,1,MATCH($E121,Parameters!$X$3:$AA$3,0)))</f>
        <v>0.190448877877831</v>
      </c>
      <c r="BO121" s="46" t="n">
        <f aca="false">MAX(0,MIN(BM121*(1+INDEX(Response_Table!$M$4:$M$21,MATCH($F121&amp;"|low",Response_Table!$A$4:$A$21,0))*$R121*INDEX(Parameters!$X$13:$AA$13,1,MATCH($E121,Parameters!$X$3:$AA$3,0))),BM121*(1+INDEX(Response_Table!$M$4:$M$21,MATCH($F121&amp;"|high",Response_Table!$A$4:$A$21,0))*$R121*INDEX(Parameters!$X$13:$AA$13,1,MATCH($E121,Parameters!$X$3:$AA$3,0))))*(1-Inputs_General!$C$22*Parameters!$F$13))</f>
        <v>0.140668662873728</v>
      </c>
      <c r="BP121" s="46" t="n">
        <f aca="false">MAX(BM121*(1+INDEX(Response_Table!$M$4:$M$21,MATCH($F121&amp;"|low",Response_Table!$A$4:$A$21,0))*$R121*INDEX(Parameters!$X$13:$AA$13,1,MATCH($E121,Parameters!$X$3:$AA$3,0))),BM121*(1+INDEX(Response_Table!$M$4:$M$21,MATCH($F121&amp;"|high",Response_Table!$A$4:$A$21,0))*$R121*INDEX(Parameters!$X$13:$AA$13,1,MATCH($E121,Parameters!$X$3:$AA$3,0))))*(1+Inputs_General!$C$22*Parameters!$F$13)</f>
        <v>0.257344943531103</v>
      </c>
      <c r="BQ121" s="45" t="n">
        <f aca="false">IF(BM121=0,0,BN121/BM121-1)</f>
        <v>-0.273861024223485</v>
      </c>
      <c r="BR121" s="44" t="n">
        <f aca="false">Parameters!$E$14*IF($N121="V",Parameters!$I$14,IF($N121="F",Parameters!$J$14,Parameters!$K$14))*(1-Parameters!$L$14*$P121)*IF($D121="V1",Parameters!$M$14,IF($D121="V2",Parameters!$N$14,Parameters!$O$14))*INDEX(Context!$AC$4:$AC$51,$K121)</f>
        <v>17.25</v>
      </c>
      <c r="BS121" s="44" t="n">
        <f aca="false">BR121*(1+INDEX(Response_Table!$N$4:$N$21,MATCH($F121&amp;"|mid",Response_Table!$A$4:$A$21,0))*$R121*INDEX(Parameters!$X$14:$AA$14,1,MATCH($E121,Parameters!$X$3:$AA$3,0)))</f>
        <v>24.9938604366214</v>
      </c>
      <c r="BT121" s="44" t="n">
        <f aca="false">MAX(0,MIN(BR121*(1+INDEX(Response_Table!$N$4:$N$21,MATCH($F121&amp;"|low",Response_Table!$A$4:$A$21,0))*$R121*INDEX(Parameters!$X$14:$AA$14,1,MATCH($E121,Parameters!$X$3:$AA$3,0))),BR121*(1+INDEX(Response_Table!$N$4:$N$21,MATCH($F121&amp;"|high",Response_Table!$A$4:$A$21,0))*$R121*INDEX(Parameters!$X$14:$AA$14,1,MATCH($E121,Parameters!$X$3:$AA$3,0))))*(1-Inputs_General!$C$22*Parameters!$F$14))</f>
        <v>11.8602280897934</v>
      </c>
      <c r="BU121" s="44" t="n">
        <f aca="false">MAX(BR121*(1+INDEX(Response_Table!$N$4:$N$21,MATCH($F121&amp;"|low",Response_Table!$A$4:$A$21,0))*$R121*INDEX(Parameters!$X$14:$AA$14,1,MATCH($E121,Parameters!$X$3:$AA$3,0))),BR121*(1+INDEX(Response_Table!$N$4:$N$21,MATCH($F121&amp;"|high",Response_Table!$A$4:$A$21,0))*$R121*INDEX(Parameters!$X$14:$AA$14,1,MATCH($E121,Parameters!$X$3:$AA$3,0))))*(1+Inputs_General!$C$22*Parameters!$F$14)</f>
        <v>38.9723793797416</v>
      </c>
      <c r="BV121" s="45" t="n">
        <f aca="false">IF(BR121=0,0,BS121/BR121-1)</f>
        <v>0.44891944560124</v>
      </c>
      <c r="BW121" s="43" t="n">
        <f aca="false">Parameters!$E$15*IF($N121="V",Parameters!$I$15,IF($N121="F",Parameters!$J$15,Parameters!$K$15))*(1-Parameters!$L$15*$P121)*IF($D121="V1",Parameters!$M$15,IF($D121="V2",Parameters!$N$15,Parameters!$O$15))</f>
        <v>8.34931028571429</v>
      </c>
      <c r="BX121" s="43" t="n">
        <f aca="false">BW121*(1+INDEX(Response_Table!$O$4:$O$21,MATCH($F121&amp;"|mid",Response_Table!$A$4:$A$21,0))*$R121*INDEX(Parameters!$X$15:$AA$15,1,MATCH($E121,Parameters!$X$3:$AA$3,0)))</f>
        <v>7.41226834956039</v>
      </c>
      <c r="BY121" s="43" t="n">
        <f aca="false">MAX(0,MIN(BW121*(1+INDEX(Response_Table!$O$4:$O$21,MATCH($F121&amp;"|low",Response_Table!$A$4:$A$21,0))*$R121*INDEX(Parameters!$X$15:$AA$15,1,MATCH($E121,Parameters!$X$3:$AA$3,0))),BW121*(1+INDEX(Response_Table!$O$4:$O$21,MATCH($F121&amp;"|high",Response_Table!$A$4:$A$21,0))*$R121*INDEX(Parameters!$X$15:$AA$15,1,MATCH($E121,Parameters!$X$3:$AA$3,0))))*(1-Inputs_General!$C$22*Parameters!$F$15))</f>
        <v>5.842178591405</v>
      </c>
      <c r="BZ121" s="43" t="n">
        <f aca="false">MAX(BW121*(1+INDEX(Response_Table!$O$4:$O$21,MATCH($F121&amp;"|low",Response_Table!$A$4:$A$21,0))*$R121*INDEX(Parameters!$X$15:$AA$15,1,MATCH($E121,Parameters!$X$3:$AA$3,0))),BW121*(1+INDEX(Response_Table!$O$4:$O$21,MATCH($F121&amp;"|high",Response_Table!$A$4:$A$21,0))*$R121*INDEX(Parameters!$X$15:$AA$15,1,MATCH($E121,Parameters!$X$3:$AA$3,0))))*(1+Inputs_General!$C$22*Parameters!$F$15)</f>
        <v>9.10406066719295</v>
      </c>
      <c r="CA121" s="45" t="n">
        <f aca="false">IF(BW121=0,0,BX121/BW121-1)</f>
        <v>-0.11222986140031</v>
      </c>
      <c r="CB121" s="46" t="n">
        <f aca="false">BD121+BI121</f>
        <v>0.717494185640364</v>
      </c>
      <c r="CC121" s="43" t="n">
        <f aca="false">BD121/BI121</f>
        <v>2.26565832844809</v>
      </c>
      <c r="CD121" s="46" t="n">
        <f aca="false">BN121/CB121</f>
        <v>0.265436127134403</v>
      </c>
      <c r="CE121" s="43" t="n">
        <f aca="false">AE121/AO121</f>
        <v>1.47215074727636</v>
      </c>
      <c r="CF121" s="44" t="n">
        <f aca="false">AE121/AJ121</f>
        <v>35.5429644746337</v>
      </c>
      <c r="CG121" s="44" t="n">
        <f aca="false">INDEX(Context!$V$4:$V$51,$K121)</f>
        <v>32.7871428571429</v>
      </c>
      <c r="CH121" s="44" t="n">
        <f aca="false">INDEX(Context!$Y$4:$Y$51,$K121)</f>
        <v>28.36912210206</v>
      </c>
      <c r="CI121" s="44" t="n">
        <f aca="false">INDEX(Context!$Z$4:$Z$51,$K121)</f>
        <v>36.7871428571429</v>
      </c>
      <c r="CJ121" s="43" t="n">
        <f aca="false">INDEX(Context!$AA$4:$AA$51,$K121)</f>
        <v>0.347678571428571</v>
      </c>
      <c r="CK121" s="43" t="n">
        <f aca="false">MAX(0,MIN(1,1-(1-CJ121)*AO121/AN121))</f>
        <v>0.633089217702562</v>
      </c>
      <c r="CL121" s="44" t="n">
        <f aca="false">CH121+CK121*(CI121-CH121)</f>
        <v>33.6984802764994</v>
      </c>
      <c r="CM121" s="44" t="n">
        <f aca="false">CH121+MAX(0,MIN(1,1-(1-CJ121)*AQ121/AN121))*(CI121-CH121)</f>
        <v>31.88085201659</v>
      </c>
      <c r="CN121" s="44" t="n">
        <f aca="false">CH121+MAX(0,MIN(1,1-(1-CJ121)*AP121/AN121))*(CI121-CH121)</f>
        <v>34.9571846782824</v>
      </c>
      <c r="CO121" s="44" t="n">
        <f aca="false">CL121-CG121</f>
        <v>0.911337419356499</v>
      </c>
      <c r="CP121" s="44" t="n">
        <f aca="false">CL121-(CH121+CJ121*(CI121-CH121))</f>
        <v>2.40259274405606</v>
      </c>
      <c r="CQ121" s="46" t="n">
        <f aca="false">CL121/CG121</f>
        <v>1.02779557289659</v>
      </c>
      <c r="CR121" s="43" t="n">
        <f aca="false">IF(CL121-CH121&lt;=0,"n/a",(CI121-CL121)/(CL121-CH121))</f>
        <v>0.579556201618678</v>
      </c>
      <c r="CS121" s="43" t="n">
        <f aca="false">IF(CI121-CL121&lt;=0,"n/a",(CL121-CH121)/(CI121-CL121))</f>
        <v>1.72545819923424</v>
      </c>
      <c r="CT121" s="43" t="n">
        <f aca="false">Inputs_General!$C$23+Inputs_General!$C$24*$I121</f>
        <v>1.36</v>
      </c>
      <c r="CU121" s="44" t="n">
        <f aca="false">3.29*CT121</f>
        <v>4.4744</v>
      </c>
    </row>
    <row r="122" customFormat="false" ht="15" hidden="false" customHeight="false" outlineLevel="0" collapsed="false">
      <c r="A122" s="9" t="str">
        <f aca="false">B122&amp;"|"&amp;E122&amp;"|"&amp;F122</f>
        <v>D2V2|13/03/2026|Very high</v>
      </c>
      <c r="B122" s="7" t="s">
        <v>347</v>
      </c>
      <c r="C122" s="9" t="s">
        <v>129</v>
      </c>
      <c r="D122" s="9" t="s">
        <v>146</v>
      </c>
      <c r="E122" s="9" t="s">
        <v>164</v>
      </c>
      <c r="F122" s="7" t="s">
        <v>285</v>
      </c>
      <c r="G122" s="9" t="s">
        <v>286</v>
      </c>
      <c r="H122" s="41" t="n">
        <f aca="false">INDEX(Severity_Classes!$C$4:$C$9,MATCH(F122,Severity_Classes!$A$4:$A$9,0))</f>
        <v>0.51</v>
      </c>
      <c r="I122" s="41" t="n">
        <f aca="false">INDEX(Severity_Classes!$D$4:$D$9,MATCH(F122,Severity_Classes!$A$4:$A$9,0))</f>
        <v>0.65</v>
      </c>
      <c r="J122" s="41" t="n">
        <f aca="false">INDEX(Severity_Classes!$E$4:$E$9,MATCH(F122,Severity_Classes!$A$4:$A$9,0))</f>
        <v>0.85</v>
      </c>
      <c r="K122" s="42" t="n">
        <f aca="false">MATCH(B122&amp;"|"&amp;E122,Context!$A$4:$A$51,0)</f>
        <v>20</v>
      </c>
      <c r="L122" s="42" t="n">
        <f aca="false">INDEX(Context!$H$4:$H$51,K122)</f>
        <v>85</v>
      </c>
      <c r="M122" s="42" t="n">
        <f aca="false">INDEX(Context!$I$4:$I$51,K122)</f>
        <v>36</v>
      </c>
      <c r="N122" s="9" t="str">
        <f aca="false">INDEX(Context!$L$4:$L$51,K122)</f>
        <v>P</v>
      </c>
      <c r="O122" s="9" t="str">
        <f aca="false">INDEX(Context!$M$4:$M$51,K122)</f>
        <v>5th fully expanded leaf from top</v>
      </c>
      <c r="P122" s="43" t="n">
        <f aca="false">INDEX(Context!$R$4:$R$51,K122)</f>
        <v>0.953571428571428</v>
      </c>
      <c r="Q122" s="43" t="n">
        <f aca="false">INDEX(Context!$U$4:$U$51,K122)</f>
        <v>2.18945736698217</v>
      </c>
      <c r="R122" s="43" t="n">
        <f aca="false">INDEX(Context!$AD$4:$AD$51,K122)</f>
        <v>1.1</v>
      </c>
      <c r="S122" s="9" t="str">
        <f aca="false">INDEX(Context!$AI$4:$AN$51,K122,MATCH(F122,Severity_Classes!$A$4:$A$9,0))</f>
        <v>Likely</v>
      </c>
      <c r="T122" s="44" t="n">
        <f aca="false">Parameters!$E$4*IF($N122="V",Parameters!$I$4,IF($N122="F",Parameters!$J$4,Parameters!$K$4))*(1-Parameters!$L$4*$P122)*IF($D122="V1",Parameters!$M$4,IF($D122="V2",Parameters!$N$4,Parameters!$O$4))</f>
        <v>77.8046607142857</v>
      </c>
      <c r="U122" s="44" t="n">
        <f aca="false">MIN(100,T122*(1+INDEX(Response_Table!$E$4:$E$21,MATCH($F122&amp;"|mid",Response_Table!$A$4:$A$21,0))*$R122*INDEX(Parameters!$X$4:$AA$4,1,MATCH($E122,Parameters!$X$3:$AA$3,0))))</f>
        <v>54.1822196251207</v>
      </c>
      <c r="V122" s="44" t="n">
        <f aca="false">MAX(0,MIN(T122*(1+INDEX(Response_Table!$E$4:$E$21,MATCH($F122&amp;"|low",Response_Table!$A$4:$A$21,0))*$R122*INDEX(Parameters!$X$4:$AA$4,1,MATCH($E122,Parameters!$X$3:$AA$3,0))),T122*(1+INDEX(Response_Table!$E$4:$E$21,MATCH($F122&amp;"|high",Response_Table!$A$4:$A$21,0))*$R122*INDEX(Parameters!$X$4:$AA$4,1,MATCH($E122,Parameters!$X$3:$AA$3,0))))*(1-Inputs_General!$C$22*Parameters!$F$4))</f>
        <v>49.0850421200197</v>
      </c>
      <c r="W122" s="44" t="n">
        <f aca="false">MIN(100,MAX(T122*(1+INDEX(Response_Table!$E$4:$E$21,MATCH($F122&amp;"|low",Response_Table!$A$4:$A$21,0))*$R122*INDEX(Parameters!$X$4:$AA$4,1,MATCH($E122,Parameters!$X$3:$AA$3,0))),T122*(1+INDEX(Response_Table!$E$4:$E$21,MATCH($F122&amp;"|high",Response_Table!$A$4:$A$21,0))*$R122*INDEX(Parameters!$X$4:$AA$4,1,MATCH($E122,Parameters!$X$3:$AA$3,0))))*(1+Inputs_General!$C$22*Parameters!$F$4))</f>
        <v>61.5767011083792</v>
      </c>
      <c r="X122" s="45" t="n">
        <f aca="false">IF(T122=0,0,U122/T122-1)</f>
        <v>-0.30361215989247</v>
      </c>
      <c r="Y122" s="44" t="n">
        <f aca="false">Parameters!$E$5*IF($N122="V",Parameters!$I$5,IF($N122="F",Parameters!$J$5,Parameters!$K$5))*(1-Parameters!$L$5*$P122)*IF($D122="V1",Parameters!$M$5,IF($D122="V2",Parameters!$N$5,Parameters!$O$5))</f>
        <v>58.6602514285714</v>
      </c>
      <c r="Z122" s="44" t="n">
        <f aca="false">MIN(100,Y122*(1+INDEX(Response_Table!$F$4:$F$21,MATCH($F122&amp;"|mid",Response_Table!$A$4:$A$21,0))*$R122*INDEX(Parameters!$X$5:$AA$5,1,MATCH($E122,Parameters!$X$3:$AA$3,0))))</f>
        <v>14.6479061454231</v>
      </c>
      <c r="AA122" s="44" t="n">
        <f aca="false">MAX(0,MIN(Y122*(1+INDEX(Response_Table!$F$4:$F$21,MATCH($F122&amp;"|low",Response_Table!$A$4:$A$21,0))*$R122*INDEX(Parameters!$X$5:$AA$5,1,MATCH($E122,Parameters!$X$3:$AA$3,0))),Y122*(1+INDEX(Response_Table!$F$4:$F$21,MATCH($F122&amp;"|high",Response_Table!$A$4:$A$21,0))*$R122*INDEX(Parameters!$X$5:$AA$5,1,MATCH($E122,Parameters!$X$3:$AA$3,0))))*(1-Inputs_General!$C$22*Parameters!$F$5))</f>
        <v>12.0796584401347</v>
      </c>
      <c r="AB122" s="44" t="n">
        <f aca="false">MIN(100,MAX(Y122*(1+INDEX(Response_Table!$F$4:$F$21,MATCH($F122&amp;"|low",Response_Table!$A$4:$A$21,0))*$R122*INDEX(Parameters!$X$5:$AA$5,1,MATCH($E122,Parameters!$X$3:$AA$3,0))),Y122*(1+INDEX(Response_Table!$F$4:$F$21,MATCH($F122&amp;"|high",Response_Table!$A$4:$A$21,0))*$R122*INDEX(Parameters!$X$5:$AA$5,1,MATCH($E122,Parameters!$X$3:$AA$3,0))))*(1+Inputs_General!$C$22*Parameters!$F$5))</f>
        <v>19.9143736599404</v>
      </c>
      <c r="AC122" s="45" t="n">
        <f aca="false">IF(Y122=0,0,Z122/Y122-1)</f>
        <v>-0.750292475932201</v>
      </c>
      <c r="AD122" s="44" t="n">
        <f aca="false">Parameters!$E$6*IF($N122="V",Parameters!$I$6,IF($N122="F",Parameters!$J$6,Parameters!$K$6))*(1-Parameters!$L$6*$P122)*IF($D122="V1",Parameters!$M$6,IF($D122="V2",Parameters!$N$6,Parameters!$O$6))</f>
        <v>14.3019785714286</v>
      </c>
      <c r="AE122" s="44" t="n">
        <f aca="false">AD122*(1+INDEX(Response_Table!$G$4:$G$21,MATCH($F122&amp;"|mid",Response_Table!$A$4:$A$21,0))*$R122*INDEX(Parameters!$X$6:$AA$6,1,MATCH($E122,Parameters!$X$3:$AA$3,0)))</f>
        <v>3.17856793025642</v>
      </c>
      <c r="AF122" s="44" t="n">
        <f aca="false">MAX(0,MIN(AD122*(1+INDEX(Response_Table!$G$4:$G$21,MATCH($F122&amp;"|low",Response_Table!$A$4:$A$21,0))*$R122*INDEX(Parameters!$X$6:$AA$6,1,MATCH($E122,Parameters!$X$3:$AA$3,0))),AD122*(1+INDEX(Response_Table!$G$4:$G$21,MATCH($F122&amp;"|high",Response_Table!$A$4:$A$21,0))*$R122*INDEX(Parameters!$X$6:$AA$6,1,MATCH($E122,Parameters!$X$3:$AA$3,0))))*(1-Inputs_General!$C$22*Parameters!$F$6))</f>
        <v>2.23373536736416</v>
      </c>
      <c r="AG122" s="44" t="n">
        <f aca="false">MAX(AD122*(1+INDEX(Response_Table!$G$4:$G$21,MATCH($F122&amp;"|low",Response_Table!$A$4:$A$21,0))*$R122*INDEX(Parameters!$X$6:$AA$6,1,MATCH($E122,Parameters!$X$3:$AA$3,0))),AD122*(1+INDEX(Response_Table!$G$4:$G$21,MATCH($F122&amp;"|high",Response_Table!$A$4:$A$21,0))*$R122*INDEX(Parameters!$X$6:$AA$6,1,MATCH($E122,Parameters!$X$3:$AA$3,0))))*(1+Inputs_General!$C$22*Parameters!$F$6)</f>
        <v>4.49497948279818</v>
      </c>
      <c r="AH122" s="45" t="n">
        <f aca="false">IF(AD122=0,0,AE122/AD122-1)</f>
        <v>-0.77775327278099</v>
      </c>
      <c r="AI122" s="46" t="n">
        <f aca="false">Parameters!$E$7*IF($N122="V",Parameters!$I$7,IF($N122="F",Parameters!$J$7,Parameters!$K$7))*(1-Parameters!$L$7*$P122)*IF($D122="V1",Parameters!$M$7,IF($D122="V2",Parameters!$N$7,Parameters!$O$7))*POWER($Q122/Inputs_General!$C$26,-Inputs_General!$C$25)</f>
        <v>0.258501574676089</v>
      </c>
      <c r="AJ122" s="46" t="n">
        <f aca="false">AI122*(1+INDEX(Response_Table!$H$4:$H$21,MATCH($F122&amp;"|mid",Response_Table!$A$4:$A$21,0))*$R122*INDEX(Parameters!$X$7:$AA$7,1,MATCH($E122,Parameters!$X$3:$AA$3,0)))</f>
        <v>0.0999692699342804</v>
      </c>
      <c r="AK122" s="46" t="n">
        <f aca="false">MAX(0,MIN(AI122*(1+INDEX(Response_Table!$H$4:$H$21,MATCH($F122&amp;"|low",Response_Table!$A$4:$A$21,0))*$R122*INDEX(Parameters!$X$7:$AA$7,1,MATCH($E122,Parameters!$X$3:$AA$3,0))),AI122*(1+INDEX(Response_Table!$H$4:$H$21,MATCH($F122&amp;"|high",Response_Table!$A$4:$A$21,0))*$R122*INDEX(Parameters!$X$7:$AA$7,1,MATCH($E122,Parameters!$X$3:$AA$3,0))))*(1-Inputs_General!$C$22*Parameters!$F$7))</f>
        <v>0.0620168813076892</v>
      </c>
      <c r="AL122" s="46" t="n">
        <f aca="false">MAX(AI122*(1+INDEX(Response_Table!$H$4:$H$21,MATCH($F122&amp;"|low",Response_Table!$A$4:$A$21,0))*$R122*INDEX(Parameters!$X$7:$AA$7,1,MATCH($E122,Parameters!$X$3:$AA$3,0))),AI122*(1+INDEX(Response_Table!$H$4:$H$21,MATCH($F122&amp;"|high",Response_Table!$A$4:$A$21,0))*$R122*INDEX(Parameters!$X$7:$AA$7,1,MATCH($E122,Parameters!$X$3:$AA$3,0))))*(1+Inputs_General!$C$22*Parameters!$F$7)</f>
        <v>0.147360009957843</v>
      </c>
      <c r="AM122" s="45" t="n">
        <f aca="false">IF(AI122=0,0,AJ122/AI122-1)</f>
        <v>-0.613274038815643</v>
      </c>
      <c r="AN122" s="43" t="n">
        <f aca="false">AI122*$Q122/Inputs_General!$C$13*1000</f>
        <v>5.69967952720096</v>
      </c>
      <c r="AO122" s="43" t="n">
        <f aca="false">AJ122*$Q122/Inputs_General!$C$13*1000*(1+Inputs_General!$C$21*$I122)</f>
        <v>2.56239882568453</v>
      </c>
      <c r="AP122" s="43" t="n">
        <f aca="false">AK122*$Q122/Inputs_General!$C$13*1000*(1+Inputs_General!$C$21*$H122)</f>
        <v>1.54174915063008</v>
      </c>
      <c r="AQ122" s="43" t="n">
        <f aca="false">AL122*$Q122/Inputs_General!$C$13*1000*(1+Inputs_General!$C$21*$J122)</f>
        <v>3.93956829832253</v>
      </c>
      <c r="AR122" s="45" t="n">
        <f aca="false">IF(AN122=0,0,AO122/AN122-1)</f>
        <v>-0.550431070123185</v>
      </c>
      <c r="AS122" s="42" t="n">
        <f aca="false">Parameters!$E$9*IF($N122="V",Parameters!$I$9,IF($N122="F",Parameters!$J$9,Parameters!$K$9))*(1-Parameters!$L$9*$P122)*IF($D122="V1",Parameters!$M$9,IF($D122="V2",Parameters!$N$9,Parameters!$O$9))</f>
        <v>293.55</v>
      </c>
      <c r="AT122" s="42" t="n">
        <f aca="false">AS122*(1+INDEX(Response_Table!$I$4:$I$21,MATCH($F122&amp;"|mid",Response_Table!$A$4:$A$21,0))*$R122*INDEX(Parameters!$X$9:$AA$9,1,MATCH($E122,Parameters!$X$3:$AA$3,0)))</f>
        <v>383.22650706801</v>
      </c>
      <c r="AU122" s="42" t="n">
        <f aca="false">MAX(0,MIN(AS122*(1+INDEX(Response_Table!$I$4:$I$21,MATCH($F122&amp;"|low",Response_Table!$A$4:$A$21,0))*$R122*INDEX(Parameters!$X$9:$AA$9,1,MATCH($E122,Parameters!$X$3:$AA$3,0))),AS122*(1+INDEX(Response_Table!$I$4:$I$21,MATCH($F122&amp;"|high",Response_Table!$A$4:$A$21,0))*$R122*INDEX(Parameters!$X$9:$AA$9,1,MATCH($E122,Parameters!$X$3:$AA$3,0))))*(1-Inputs_General!$C$22*Parameters!$F$9))</f>
        <v>340.534054411581</v>
      </c>
      <c r="AV122" s="42" t="n">
        <f aca="false">MAX(AS122*(1+INDEX(Response_Table!$I$4:$I$21,MATCH($F122&amp;"|low",Response_Table!$A$4:$A$21,0))*$R122*INDEX(Parameters!$X$9:$AA$9,1,MATCH($E122,Parameters!$X$3:$AA$3,0))),AS122*(1+INDEX(Response_Table!$I$4:$I$21,MATCH($F122&amp;"|high",Response_Table!$A$4:$A$21,0))*$R122*INDEX(Parameters!$X$9:$AA$9,1,MATCH($E122,Parameters!$X$3:$AA$3,0))))*(1+Inputs_General!$C$22*Parameters!$F$9)</f>
        <v>425.404094251279</v>
      </c>
      <c r="AW122" s="45" t="n">
        <f aca="false">IF(AS122=0,0,AT122/AS122-1)</f>
        <v>0.30548971918927</v>
      </c>
      <c r="AX122" s="43" t="n">
        <f aca="false">INDEX(Context!$AB$4:$AB$51,$K122)</f>
        <v>3.08824606193307</v>
      </c>
      <c r="AY122" s="43" t="n">
        <f aca="false">AX122*(1+INDEX(Response_Table!$J$4:$J$21,MATCH($F122&amp;"|mid",Response_Table!$A$4:$A$21,0))*$R122*INDEX(Parameters!$X$10:$AA$10,1,MATCH($E122,Parameters!$X$3:$AA$3,0)))</f>
        <v>1.86057955549771</v>
      </c>
      <c r="AZ122" s="43" t="n">
        <f aca="false">MAX(0,MIN(AX122*(1+INDEX(Response_Table!$J$4:$J$21,MATCH($F122&amp;"|low",Response_Table!$A$4:$A$21,0))*$R122*INDEX(Parameters!$X$10:$AA$10,1,MATCH($E122,Parameters!$X$3:$AA$3,0))),AX122*(1+INDEX(Response_Table!$J$4:$J$21,MATCH($F122&amp;"|high",Response_Table!$A$4:$A$21,0))*$R122*INDEX(Parameters!$X$10:$AA$10,1,MATCH($E122,Parameters!$X$3:$AA$3,0))))*(1-Inputs_General!$C$22*Parameters!$F$10))</f>
        <v>1.39824097510346</v>
      </c>
      <c r="BA122" s="43" t="n">
        <f aca="false">MAX(AX122*(1+INDEX(Response_Table!$J$4:$J$21,MATCH($F122&amp;"|low",Response_Table!$A$4:$A$21,0))*$R122*INDEX(Parameters!$X$10:$AA$10,1,MATCH($E122,Parameters!$X$3:$AA$3,0))),AX122*(1+INDEX(Response_Table!$J$4:$J$21,MATCH($F122&amp;"|high",Response_Table!$A$4:$A$21,0))*$R122*INDEX(Parameters!$X$10:$AA$10,1,MATCH($E122,Parameters!$X$3:$AA$3,0))))*(1+Inputs_General!$C$22*Parameters!$F$10)</f>
        <v>2.3789048705514</v>
      </c>
      <c r="BB122" s="45" t="n">
        <f aca="false">IF(AX122=0,0,AY122/AX122-1)</f>
        <v>-0.397528720773924</v>
      </c>
      <c r="BC122" s="46" t="n">
        <f aca="false">Parameters!$E$11*IF($N122="V",Parameters!$I$11,IF($N122="F",Parameters!$J$11,Parameters!$K$11))*(1-Parameters!$L$11*$P122)*IF($D122="V1",Parameters!$M$11,IF($D122="V2",Parameters!$N$11,Parameters!$O$11))</f>
        <v>1.00170982142857</v>
      </c>
      <c r="BD122" s="46" t="n">
        <f aca="false">BC122*(1+INDEX(Response_Table!$K$4:$K$21,MATCH($F122&amp;"|mid",Response_Table!$A$4:$A$21,0))*$R122*INDEX(Parameters!$X$11:$AA$11,1,MATCH($E122,Parameters!$X$3:$AA$3,0)))</f>
        <v>0.374965130802163</v>
      </c>
      <c r="BE122" s="46" t="n">
        <f aca="false">MAX(0,MIN(BC122*(1+INDEX(Response_Table!$K$4:$K$21,MATCH($F122&amp;"|low",Response_Table!$A$4:$A$21,0))*$R122*INDEX(Parameters!$X$11:$AA$11,1,MATCH($E122,Parameters!$X$3:$AA$3,0))),BC122*(1+INDEX(Response_Table!$K$4:$K$21,MATCH($F122&amp;"|high",Response_Table!$A$4:$A$21,0))*$R122*INDEX(Parameters!$X$11:$AA$11,1,MATCH($E122,Parameters!$X$3:$AA$3,0))))*(1-Inputs_General!$C$22*Parameters!$F$11))</f>
        <v>0.277944349510511</v>
      </c>
      <c r="BF122" s="46" t="n">
        <f aca="false">MAX(BC122*(1+INDEX(Response_Table!$K$4:$K$21,MATCH($F122&amp;"|low",Response_Table!$A$4:$A$21,0))*$R122*INDEX(Parameters!$X$11:$AA$11,1,MATCH($E122,Parameters!$X$3:$AA$3,0))),BC122*(1+INDEX(Response_Table!$K$4:$K$21,MATCH($F122&amp;"|high",Response_Table!$A$4:$A$21,0))*$R122*INDEX(Parameters!$X$11:$AA$11,1,MATCH($E122,Parameters!$X$3:$AA$3,0))))*(1+Inputs_General!$C$22*Parameters!$F$11)</f>
        <v>0.495536782638516</v>
      </c>
      <c r="BG122" s="45" t="n">
        <f aca="false">IF(BC122=0,0,BD122/BC122-1)</f>
        <v>-0.625674898278014</v>
      </c>
      <c r="BH122" s="46" t="n">
        <f aca="false">Parameters!$E$12*IF($N122="V",Parameters!$I$12,IF($N122="F",Parameters!$J$12,Parameters!$K$12))*(1-Parameters!$L$12*$P122)*IF($D122="V1",Parameters!$M$12,IF($D122="V2",Parameters!$N$12,Parameters!$O$12))</f>
        <v>0.373343142857143</v>
      </c>
      <c r="BI122" s="46" t="n">
        <f aca="false">BH122*(1+INDEX(Response_Table!$L$4:$L$21,MATCH($F122&amp;"|mid",Response_Table!$A$4:$A$21,0))*$R122*INDEX(Parameters!$X$12:$AA$12,1,MATCH($E122,Parameters!$X$3:$AA$3,0)))</f>
        <v>0.179606356093652</v>
      </c>
      <c r="BJ122" s="46" t="n">
        <f aca="false">MAX(0,MIN(BH122*(1+INDEX(Response_Table!$L$4:$L$21,MATCH($F122&amp;"|low",Response_Table!$A$4:$A$21,0))*$R122*INDEX(Parameters!$X$12:$AA$12,1,MATCH($E122,Parameters!$X$3:$AA$3,0))),BH122*(1+INDEX(Response_Table!$L$4:$L$21,MATCH($F122&amp;"|high",Response_Table!$A$4:$A$21,0))*$R122*INDEX(Parameters!$X$12:$AA$12,1,MATCH($E122,Parameters!$X$3:$AA$3,0))))*(1-Inputs_General!$C$22*Parameters!$F$12))</f>
        <v>0.132514918692879</v>
      </c>
      <c r="BK122" s="46" t="n">
        <f aca="false">MAX(BH122*(1+INDEX(Response_Table!$L$4:$L$21,MATCH($F122&amp;"|low",Response_Table!$A$4:$A$21,0))*$R122*INDEX(Parameters!$X$12:$AA$12,1,MATCH($E122,Parameters!$X$3:$AA$3,0))),BH122*(1+INDEX(Response_Table!$L$4:$L$21,MATCH($F122&amp;"|high",Response_Table!$A$4:$A$21,0))*$R122*INDEX(Parameters!$X$12:$AA$12,1,MATCH($E122,Parameters!$X$3:$AA$3,0))))*(1+Inputs_General!$C$22*Parameters!$F$12)</f>
        <v>0.235145431047413</v>
      </c>
      <c r="BL122" s="45" t="n">
        <f aca="false">IF(BH122=0,0,BI122/BH122-1)</f>
        <v>-0.518924186690159</v>
      </c>
      <c r="BM122" s="46" t="n">
        <f aca="false">Parameters!$E$13*IF($N122="V",Parameters!$I$13,IF($N122="F",Parameters!$J$13,Parameters!$K$13))*(1-Parameters!$L$13*$P122)*IF($D122="V1",Parameters!$M$13,IF($D122="V2",Parameters!$N$13,Parameters!$O$13))</f>
        <v>0.262276071428571</v>
      </c>
      <c r="BN122" s="46" t="n">
        <f aca="false">BM122*(1+INDEX(Response_Table!$M$4:$M$21,MATCH($F122&amp;"|mid",Response_Table!$A$4:$A$21,0))*$R122*INDEX(Parameters!$X$13:$AA$13,1,MATCH($E122,Parameters!$X$3:$AA$3,0)))</f>
        <v>0.164059618792978</v>
      </c>
      <c r="BO122" s="46" t="n">
        <f aca="false">MAX(0,MIN(BM122*(1+INDEX(Response_Table!$M$4:$M$21,MATCH($F122&amp;"|low",Response_Table!$A$4:$A$21,0))*$R122*INDEX(Parameters!$X$13:$AA$13,1,MATCH($E122,Parameters!$X$3:$AA$3,0))),BM122*(1+INDEX(Response_Table!$M$4:$M$21,MATCH($F122&amp;"|high",Response_Table!$A$4:$A$21,0))*$R122*INDEX(Parameters!$X$13:$AA$13,1,MATCH($E122,Parameters!$X$3:$AA$3,0))))*(1-Inputs_General!$C$22*Parameters!$F$13))</f>
        <v>0.125222431318318</v>
      </c>
      <c r="BP122" s="46" t="n">
        <f aca="false">MAX(BM122*(1+INDEX(Response_Table!$M$4:$M$21,MATCH($F122&amp;"|low",Response_Table!$A$4:$A$21,0))*$R122*INDEX(Parameters!$X$13:$AA$13,1,MATCH($E122,Parameters!$X$3:$AA$3,0))),BM122*(1+INDEX(Response_Table!$M$4:$M$21,MATCH($F122&amp;"|high",Response_Table!$A$4:$A$21,0))*$R122*INDEX(Parameters!$X$13:$AA$13,1,MATCH($E122,Parameters!$X$3:$AA$3,0))))*(1+Inputs_General!$C$22*Parameters!$F$13)</f>
        <v>0.208708719449744</v>
      </c>
      <c r="BQ122" s="45" t="n">
        <f aca="false">IF(BM122=0,0,BN122/BM122-1)</f>
        <v>-0.374477366923432</v>
      </c>
      <c r="BR122" s="44" t="n">
        <f aca="false">Parameters!$E$14*IF($N122="V",Parameters!$I$14,IF($N122="F",Parameters!$J$14,Parameters!$K$14))*(1-Parameters!$L$14*$P122)*IF($D122="V1",Parameters!$M$14,IF($D122="V2",Parameters!$N$14,Parameters!$O$14))*INDEX(Context!$AC$4:$AC$51,$K122)</f>
        <v>17.25</v>
      </c>
      <c r="BS122" s="44" t="n">
        <f aca="false">BR122*(1+INDEX(Response_Table!$N$4:$N$21,MATCH($F122&amp;"|mid",Response_Table!$A$4:$A$21,0))*$R122*INDEX(Parameters!$X$14:$AA$14,1,MATCH($E122,Parameters!$X$3:$AA$3,0)))</f>
        <v>27.0152096949875</v>
      </c>
      <c r="BT122" s="44" t="n">
        <f aca="false">MAX(0,MIN(BR122*(1+INDEX(Response_Table!$N$4:$N$21,MATCH($F122&amp;"|low",Response_Table!$A$4:$A$21,0))*$R122*INDEX(Parameters!$X$14:$AA$14,1,MATCH($E122,Parameters!$X$3:$AA$3,0))),BR122*(1+INDEX(Response_Table!$N$4:$N$21,MATCH($F122&amp;"|high",Response_Table!$A$4:$A$21,0))*$R122*INDEX(Parameters!$X$14:$AA$14,1,MATCH($E122,Parameters!$X$3:$AA$3,0))))*(1-Inputs_General!$C$22*Parameters!$F$14))</f>
        <v>13.2549740330831</v>
      </c>
      <c r="BU122" s="44" t="n">
        <f aca="false">MAX(BR122*(1+INDEX(Response_Table!$N$4:$N$21,MATCH($F122&amp;"|low",Response_Table!$A$4:$A$21,0))*$R122*INDEX(Parameters!$X$14:$AA$14,1,MATCH($E122,Parameters!$X$3:$AA$3,0))),BR122*(1+INDEX(Response_Table!$N$4:$N$21,MATCH($F122&amp;"|high",Response_Table!$A$4:$A$21,0))*$R122*INDEX(Parameters!$X$14:$AA$14,1,MATCH($E122,Parameters!$X$3:$AA$3,0))))*(1+Inputs_General!$C$22*Parameters!$F$14)</f>
        <v>41.4387110873536</v>
      </c>
      <c r="BV122" s="45" t="n">
        <f aca="false">IF(BR122=0,0,BS122/BR122-1)</f>
        <v>0.566099112752901</v>
      </c>
      <c r="BW122" s="43" t="n">
        <f aca="false">Parameters!$E$15*IF($N122="V",Parameters!$I$15,IF($N122="F",Parameters!$J$15,Parameters!$K$15))*(1-Parameters!$L$15*$P122)*IF($D122="V1",Parameters!$M$15,IF($D122="V2",Parameters!$N$15,Parameters!$O$15))</f>
        <v>8.34931028571429</v>
      </c>
      <c r="BX122" s="43" t="n">
        <f aca="false">BW122*(1+INDEX(Response_Table!$O$4:$O$21,MATCH($F122&amp;"|mid",Response_Table!$A$4:$A$21,0))*$R122*INDEX(Parameters!$X$15:$AA$15,1,MATCH($E122,Parameters!$X$3:$AA$3,0)))</f>
        <v>7.1676759995039</v>
      </c>
      <c r="BY122" s="43" t="n">
        <f aca="false">MAX(0,MIN(BW122*(1+INDEX(Response_Table!$O$4:$O$21,MATCH($F122&amp;"|low",Response_Table!$A$4:$A$21,0))*$R122*INDEX(Parameters!$X$15:$AA$15,1,MATCH($E122,Parameters!$X$3:$AA$3,0))),BW122*(1+INDEX(Response_Table!$O$4:$O$21,MATCH($F122&amp;"|high",Response_Table!$A$4:$A$21,0))*$R122*INDEX(Parameters!$X$15:$AA$15,1,MATCH($E122,Parameters!$X$3:$AA$3,0))))*(1-Inputs_General!$C$22*Parameters!$F$15))</f>
        <v>5.68179980415704</v>
      </c>
      <c r="BZ122" s="43" t="n">
        <f aca="false">MAX(BW122*(1+INDEX(Response_Table!$O$4:$O$21,MATCH($F122&amp;"|low",Response_Table!$A$4:$A$21,0))*$R122*INDEX(Parameters!$X$15:$AA$15,1,MATCH($E122,Parameters!$X$3:$AA$3,0))),BW122*(1+INDEX(Response_Table!$O$4:$O$21,MATCH($F122&amp;"|high",Response_Table!$A$4:$A$21,0))*$R122*INDEX(Parameters!$X$15:$AA$15,1,MATCH($E122,Parameters!$X$3:$AA$3,0))))*(1+Inputs_General!$C$22*Parameters!$F$15)</f>
        <v>8.70507580240535</v>
      </c>
      <c r="CA122" s="45" t="n">
        <f aca="false">IF(BW122=0,0,BX122/BW122-1)</f>
        <v>-0.141524778188225</v>
      </c>
      <c r="CB122" s="46" t="n">
        <f aca="false">BD122+BI122</f>
        <v>0.554571486895815</v>
      </c>
      <c r="CC122" s="43" t="n">
        <f aca="false">BD122/BI122</f>
        <v>2.08770524026803</v>
      </c>
      <c r="CD122" s="46" t="n">
        <f aca="false">BN122/CB122</f>
        <v>0.295831326834514</v>
      </c>
      <c r="CE122" s="43" t="n">
        <f aca="false">AE122/AO122</f>
        <v>1.24046573015709</v>
      </c>
      <c r="CF122" s="44" t="n">
        <f aca="false">AE122/AJ122</f>
        <v>31.7954500652651</v>
      </c>
      <c r="CG122" s="44" t="n">
        <f aca="false">INDEX(Context!$V$4:$V$51,$K122)</f>
        <v>32.7871428571429</v>
      </c>
      <c r="CH122" s="44" t="n">
        <f aca="false">INDEX(Context!$Y$4:$Y$51,$K122)</f>
        <v>28.36912210206</v>
      </c>
      <c r="CI122" s="44" t="n">
        <f aca="false">INDEX(Context!$Z$4:$Z$51,$K122)</f>
        <v>36.7871428571429</v>
      </c>
      <c r="CJ122" s="43" t="n">
        <f aca="false">INDEX(Context!$AA$4:$AA$51,$K122)</f>
        <v>0.347678571428571</v>
      </c>
      <c r="CK122" s="43" t="n">
        <f aca="false">MAX(0,MIN(1,1-(1-CJ122)*AO122/AN122))</f>
        <v>0.706736553421428</v>
      </c>
      <c r="CL122" s="44" t="n">
        <f aca="false">CH122+CK122*(CI122-CH122)</f>
        <v>34.3184450771373</v>
      </c>
      <c r="CM122" s="44" t="n">
        <f aca="false">CH122+MAX(0,MIN(1,1-(1-CJ122)*AQ122/AN122))*(CI122-CH122)</f>
        <v>32.991635532224</v>
      </c>
      <c r="CN122" s="44" t="n">
        <f aca="false">CH122+MAX(0,MIN(1,1-(1-CJ122)*AP122/AN122))*(CI122-CH122)</f>
        <v>35.3017719354367</v>
      </c>
      <c r="CO122" s="44" t="n">
        <f aca="false">CL122-CG122</f>
        <v>1.53130221999446</v>
      </c>
      <c r="CP122" s="44" t="n">
        <f aca="false">CL122-(CH122+CJ122*(CI122-CH122))</f>
        <v>3.02255754469402</v>
      </c>
      <c r="CQ122" s="46" t="n">
        <f aca="false">CL122/CG122</f>
        <v>1.04670435074708</v>
      </c>
      <c r="CR122" s="43" t="n">
        <f aca="false">IF(CL122-CH122&lt;=0,"n/a",(CI122-CL122)/(CL122-CH122))</f>
        <v>0.414954405794968</v>
      </c>
      <c r="CS122" s="43" t="n">
        <f aca="false">IF(CI122-CL122&lt;=0,"n/a",(CL122-CH122)/(CI122-CL122))</f>
        <v>2.40990331958087</v>
      </c>
      <c r="CT122" s="43" t="n">
        <f aca="false">Inputs_General!$C$23+Inputs_General!$C$24*$I122</f>
        <v>1.9</v>
      </c>
      <c r="CU122" s="44" t="n">
        <f aca="false">3.29*CT122</f>
        <v>6.251</v>
      </c>
    </row>
    <row r="123" customFormat="false" ht="15" hidden="false" customHeight="false" outlineLevel="0" collapsed="false">
      <c r="A123" s="33" t="str">
        <f aca="false">B123&amp;"|"&amp;E123&amp;"|"&amp;F123</f>
        <v>D2V3|11/02/2026|Healthy</v>
      </c>
      <c r="B123" s="34" t="s">
        <v>348</v>
      </c>
      <c r="C123" s="33" t="s">
        <v>129</v>
      </c>
      <c r="D123" s="33" t="s">
        <v>150</v>
      </c>
      <c r="E123" s="33" t="s">
        <v>158</v>
      </c>
      <c r="F123" s="34" t="s">
        <v>275</v>
      </c>
      <c r="G123" s="33" t="s">
        <v>276</v>
      </c>
      <c r="H123" s="35" t="n">
        <f aca="false">INDEX(Severity_Classes!$C$4:$C$9,MATCH(F123,Severity_Classes!$A$4:$A$9,0))</f>
        <v>0</v>
      </c>
      <c r="I123" s="35" t="n">
        <f aca="false">INDEX(Severity_Classes!$D$4:$D$9,MATCH(F123,Severity_Classes!$A$4:$A$9,0))</f>
        <v>0</v>
      </c>
      <c r="J123" s="35" t="n">
        <f aca="false">INDEX(Severity_Classes!$E$4:$E$9,MATCH(F123,Severity_Classes!$A$4:$A$9,0))</f>
        <v>0</v>
      </c>
      <c r="K123" s="36" t="n">
        <f aca="false">MATCH(B123&amp;"|"&amp;E123,Context!$A$4:$A$51,0)</f>
        <v>21</v>
      </c>
      <c r="L123" s="36" t="n">
        <f aca="false">INDEX(Context!$H$4:$H$51,K123)</f>
        <v>55</v>
      </c>
      <c r="M123" s="36" t="n">
        <f aca="false">INDEX(Context!$I$4:$I$51,K123)</f>
        <v>6</v>
      </c>
      <c r="N123" s="33" t="str">
        <f aca="false">INDEX(Context!$L$4:$L$51,K123)</f>
        <v>V</v>
      </c>
      <c r="O123" s="33" t="str">
        <f aca="false">INDEX(Context!$M$4:$M$51,K123)</f>
        <v>3rd fully expanded leaf from top</v>
      </c>
      <c r="P123" s="37" t="n">
        <f aca="false">INDEX(Context!$R$4:$R$51,K123)</f>
        <v>0</v>
      </c>
      <c r="Q123" s="37" t="n">
        <f aca="false">INDEX(Context!$U$4:$U$51,K123)</f>
        <v>0.937791824040773</v>
      </c>
      <c r="R123" s="37" t="n">
        <f aca="false">INDEX(Context!$AD$4:$AD$51,K123)</f>
        <v>0.85</v>
      </c>
      <c r="S123" s="33" t="str">
        <f aca="false">INDEX(Context!$AI$4:$AN$51,K123,MATCH(F123,Severity_Classes!$A$4:$A$9,0))</f>
        <v>Reference: healthy (uninoculated) control plot</v>
      </c>
      <c r="T123" s="38" t="n">
        <f aca="false">Parameters!$E$4*IF($N123="V",Parameters!$I$4,IF($N123="F",Parameters!$J$4,Parameters!$K$4))*(1-Parameters!$L$4*$P123)*IF($D123="V1",Parameters!$M$4,IF($D123="V2",Parameters!$N$4,Parameters!$O$4))</f>
        <v>86</v>
      </c>
      <c r="U123" s="38" t="n">
        <f aca="false">MIN(100,T123*(1+INDEX(Response_Table!$E$4:$E$21,MATCH($F123&amp;"|mid",Response_Table!$A$4:$A$21,0))*$R123*INDEX(Parameters!$X$4:$AA$4,1,MATCH($E123,Parameters!$X$3:$AA$3,0))))</f>
        <v>86</v>
      </c>
      <c r="V123" s="38" t="n">
        <f aca="false">MAX(0,MIN(T123*(1+INDEX(Response_Table!$E$4:$E$21,MATCH($F123&amp;"|low",Response_Table!$A$4:$A$21,0))*$R123*INDEX(Parameters!$X$4:$AA$4,1,MATCH($E123,Parameters!$X$3:$AA$3,0))),T123*(1+INDEX(Response_Table!$E$4:$E$21,MATCH($F123&amp;"|high",Response_Table!$A$4:$A$21,0))*$R123*INDEX(Parameters!$X$4:$AA$4,1,MATCH($E123,Parameters!$X$3:$AA$3,0))))*(1-Inputs_General!$C$22*Parameters!$F$4))</f>
        <v>80.3412</v>
      </c>
      <c r="W123" s="38" t="n">
        <f aca="false">MIN(100,MAX(T123*(1+INDEX(Response_Table!$E$4:$E$21,MATCH($F123&amp;"|low",Response_Table!$A$4:$A$21,0))*$R123*INDEX(Parameters!$X$4:$AA$4,1,MATCH($E123,Parameters!$X$3:$AA$3,0))),T123*(1+INDEX(Response_Table!$E$4:$E$21,MATCH($F123&amp;"|high",Response_Table!$A$4:$A$21,0))*$R123*INDEX(Parameters!$X$4:$AA$4,1,MATCH($E123,Parameters!$X$3:$AA$3,0))))*(1+Inputs_General!$C$22*Parameters!$F$4))</f>
        <v>91.6588</v>
      </c>
      <c r="X123" s="39" t="n">
        <f aca="false">IF(T123=0,0,U123/T123-1)</f>
        <v>0</v>
      </c>
      <c r="Y123" s="38" t="n">
        <f aca="false">Parameters!$E$5*IF($N123="V",Parameters!$I$5,IF($N123="F",Parameters!$J$5,Parameters!$K$5))*(1-Parameters!$L$5*$P123)*IF($D123="V1",Parameters!$M$5,IF($D123="V2",Parameters!$N$5,Parameters!$O$5))</f>
        <v>72</v>
      </c>
      <c r="Z123" s="38" t="n">
        <f aca="false">MIN(100,Y123*(1+INDEX(Response_Table!$F$4:$F$21,MATCH($F123&amp;"|mid",Response_Table!$A$4:$A$21,0))*$R123*INDEX(Parameters!$X$5:$AA$5,1,MATCH($E123,Parameters!$X$3:$AA$3,0))))</f>
        <v>72</v>
      </c>
      <c r="AA123" s="38" t="n">
        <f aca="false">MAX(0,MIN(Y123*(1+INDEX(Response_Table!$F$4:$F$21,MATCH($F123&amp;"|low",Response_Table!$A$4:$A$21,0))*$R123*INDEX(Parameters!$X$5:$AA$5,1,MATCH($E123,Parameters!$X$3:$AA$3,0))),Y123*(1+INDEX(Response_Table!$F$4:$F$21,MATCH($F123&amp;"|high",Response_Table!$A$4:$A$21,0))*$R123*INDEX(Parameters!$X$5:$AA$5,1,MATCH($E123,Parameters!$X$3:$AA$3,0))))*(1-Inputs_General!$C$22*Parameters!$F$5))</f>
        <v>63.7092</v>
      </c>
      <c r="AB123" s="38" t="n">
        <f aca="false">MIN(100,MAX(Y123*(1+INDEX(Response_Table!$F$4:$F$21,MATCH($F123&amp;"|low",Response_Table!$A$4:$A$21,0))*$R123*INDEX(Parameters!$X$5:$AA$5,1,MATCH($E123,Parameters!$X$3:$AA$3,0))),Y123*(1+INDEX(Response_Table!$F$4:$F$21,MATCH($F123&amp;"|high",Response_Table!$A$4:$A$21,0))*$R123*INDEX(Parameters!$X$5:$AA$5,1,MATCH($E123,Parameters!$X$3:$AA$3,0))))*(1+Inputs_General!$C$22*Parameters!$F$5))</f>
        <v>80.2908</v>
      </c>
      <c r="AC123" s="39" t="n">
        <f aca="false">IF(Y123=0,0,Z123/Y123-1)</f>
        <v>0</v>
      </c>
      <c r="AD123" s="38" t="n">
        <f aca="false">Parameters!$E$6*IF($N123="V",Parameters!$I$6,IF($N123="F",Parameters!$J$6,Parameters!$K$6))*(1-Parameters!$L$6*$P123)*IF($D123="V1",Parameters!$M$6,IF($D123="V2",Parameters!$N$6,Parameters!$O$6))</f>
        <v>19.57</v>
      </c>
      <c r="AE123" s="38" t="n">
        <f aca="false">AD123*(1+INDEX(Response_Table!$G$4:$G$21,MATCH($F123&amp;"|mid",Response_Table!$A$4:$A$21,0))*$R123*INDEX(Parameters!$X$6:$AA$6,1,MATCH($E123,Parameters!$X$3:$AA$3,0)))</f>
        <v>19.57</v>
      </c>
      <c r="AF123" s="38" t="n">
        <f aca="false">MAX(0,MIN(AD123*(1+INDEX(Response_Table!$G$4:$G$21,MATCH($F123&amp;"|low",Response_Table!$A$4:$A$21,0))*$R123*INDEX(Parameters!$X$6:$AA$6,1,MATCH($E123,Parameters!$X$3:$AA$3,0))),AD123*(1+INDEX(Response_Table!$G$4:$G$21,MATCH($F123&amp;"|high",Response_Table!$A$4:$A$21,0))*$R123*INDEX(Parameters!$X$6:$AA$6,1,MATCH($E123,Parameters!$X$3:$AA$3,0))))*(1-Inputs_General!$C$22*Parameters!$F$6))</f>
        <v>15.706882</v>
      </c>
      <c r="AG123" s="38" t="n">
        <f aca="false">MAX(AD123*(1+INDEX(Response_Table!$G$4:$G$21,MATCH($F123&amp;"|low",Response_Table!$A$4:$A$21,0))*$R123*INDEX(Parameters!$X$6:$AA$6,1,MATCH($E123,Parameters!$X$3:$AA$3,0))),AD123*(1+INDEX(Response_Table!$G$4:$G$21,MATCH($F123&amp;"|high",Response_Table!$A$4:$A$21,0))*$R123*INDEX(Parameters!$X$6:$AA$6,1,MATCH($E123,Parameters!$X$3:$AA$3,0))))*(1+Inputs_General!$C$22*Parameters!$F$6)</f>
        <v>23.433118</v>
      </c>
      <c r="AH123" s="39" t="n">
        <f aca="false">IF(AD123=0,0,AE123/AD123-1)</f>
        <v>0</v>
      </c>
      <c r="AI123" s="40" t="n">
        <f aca="false">Parameters!$E$7*IF($N123="V",Parameters!$I$7,IF($N123="F",Parameters!$J$7,Parameters!$K$7))*(1-Parameters!$L$7*$P123)*IF($D123="V1",Parameters!$M$7,IF($D123="V2",Parameters!$N$7,Parameters!$O$7))*POWER($Q123/Inputs_General!$C$26,-Inputs_General!$C$25)</f>
        <v>0.464685683730118</v>
      </c>
      <c r="AJ123" s="40" t="n">
        <f aca="false">AI123*(1+INDEX(Response_Table!$H$4:$H$21,MATCH($F123&amp;"|mid",Response_Table!$A$4:$A$21,0))*$R123*INDEX(Parameters!$X$7:$AA$7,1,MATCH($E123,Parameters!$X$3:$AA$3,0)))</f>
        <v>0.464685683730118</v>
      </c>
      <c r="AK123" s="40" t="n">
        <f aca="false">MAX(0,MIN(AI123*(1+INDEX(Response_Table!$H$4:$H$21,MATCH($F123&amp;"|low",Response_Table!$A$4:$A$21,0))*$R123*INDEX(Parameters!$X$7:$AA$7,1,MATCH($E123,Parameters!$X$3:$AA$3,0))),AI123*(1+INDEX(Response_Table!$H$4:$H$21,MATCH($F123&amp;"|high",Response_Table!$A$4:$A$21,0))*$R123*INDEX(Parameters!$X$7:$AA$7,1,MATCH($E123,Parameters!$X$3:$AA$3,0))))*(1-Inputs_General!$C$22*Parameters!$F$7))</f>
        <v>0.32709225277763</v>
      </c>
      <c r="AL123" s="40" t="n">
        <f aca="false">MAX(AI123*(1+INDEX(Response_Table!$H$4:$H$21,MATCH($F123&amp;"|low",Response_Table!$A$4:$A$21,0))*$R123*INDEX(Parameters!$X$7:$AA$7,1,MATCH($E123,Parameters!$X$3:$AA$3,0))),AI123*(1+INDEX(Response_Table!$H$4:$H$21,MATCH($F123&amp;"|high",Response_Table!$A$4:$A$21,0))*$R123*INDEX(Parameters!$X$7:$AA$7,1,MATCH($E123,Parameters!$X$3:$AA$3,0))))*(1+Inputs_General!$C$22*Parameters!$F$7)</f>
        <v>0.602279114682606</v>
      </c>
      <c r="AM123" s="39" t="n">
        <f aca="false">IF(AI123=0,0,AJ123/AI123-1)</f>
        <v>0</v>
      </c>
      <c r="AN123" s="37" t="n">
        <f aca="false">AI123*$Q123/Inputs_General!$C$13*1000</f>
        <v>4.38850387664553</v>
      </c>
      <c r="AO123" s="37" t="n">
        <f aca="false">AJ123*$Q123/Inputs_General!$C$13*1000*(1+Inputs_General!$C$21*$I123)</f>
        <v>4.38850387664553</v>
      </c>
      <c r="AP123" s="37" t="n">
        <f aca="false">AK123*$Q123/Inputs_General!$C$13*1000*(1+Inputs_General!$C$21*$H123)</f>
        <v>3.08906787877079</v>
      </c>
      <c r="AQ123" s="37" t="n">
        <f aca="false">AL123*$Q123/Inputs_General!$C$13*1000*(1+Inputs_General!$C$21*$J123)</f>
        <v>5.68793987452027</v>
      </c>
      <c r="AR123" s="39" t="n">
        <f aca="false">IF(AN123=0,0,AO123/AN123-1)</f>
        <v>0</v>
      </c>
      <c r="AS123" s="36" t="n">
        <f aca="false">Parameters!$E$9*IF($N123="V",Parameters!$I$9,IF($N123="F",Parameters!$J$9,Parameters!$K$9))*(1-Parameters!$L$9*$P123)*IF($D123="V1",Parameters!$M$9,IF($D123="V2",Parameters!$N$9,Parameters!$O$9))</f>
        <v>285</v>
      </c>
      <c r="AT123" s="36" t="n">
        <f aca="false">AS123*(1+INDEX(Response_Table!$I$4:$I$21,MATCH($F123&amp;"|mid",Response_Table!$A$4:$A$21,0))*$R123*INDEX(Parameters!$X$9:$AA$9,1,MATCH($E123,Parameters!$X$3:$AA$3,0)))</f>
        <v>285</v>
      </c>
      <c r="AU123" s="36" t="n">
        <f aca="false">MAX(0,MIN(AS123*(1+INDEX(Response_Table!$I$4:$I$21,MATCH($F123&amp;"|low",Response_Table!$A$4:$A$21,0))*$R123*INDEX(Parameters!$X$9:$AA$9,1,MATCH($E123,Parameters!$X$3:$AA$3,0))),AS123*(1+INDEX(Response_Table!$I$4:$I$21,MATCH($F123&amp;"|high",Response_Table!$A$4:$A$21,0))*$R123*INDEX(Parameters!$X$9:$AA$9,1,MATCH($E123,Parameters!$X$3:$AA$3,0))))*(1-Inputs_General!$C$22*Parameters!$F$9))</f>
        <v>256.8705</v>
      </c>
      <c r="AV123" s="36" t="n">
        <f aca="false">MAX(AS123*(1+INDEX(Response_Table!$I$4:$I$21,MATCH($F123&amp;"|low",Response_Table!$A$4:$A$21,0))*$R123*INDEX(Parameters!$X$9:$AA$9,1,MATCH($E123,Parameters!$X$3:$AA$3,0))),AS123*(1+INDEX(Response_Table!$I$4:$I$21,MATCH($F123&amp;"|high",Response_Table!$A$4:$A$21,0))*$R123*INDEX(Parameters!$X$9:$AA$9,1,MATCH($E123,Parameters!$X$3:$AA$3,0))))*(1+Inputs_General!$C$22*Parameters!$F$9)</f>
        <v>313.1295</v>
      </c>
      <c r="AW123" s="39" t="n">
        <f aca="false">IF(AS123=0,0,AT123/AS123-1)</f>
        <v>0</v>
      </c>
      <c r="AX123" s="37" t="n">
        <f aca="false">INDEX(Context!$AB$4:$AB$51,$K123)</f>
        <v>1.88260488051479</v>
      </c>
      <c r="AY123" s="37" t="n">
        <f aca="false">AX123*(1+INDEX(Response_Table!$J$4:$J$21,MATCH($F123&amp;"|mid",Response_Table!$A$4:$A$21,0))*$R123*INDEX(Parameters!$X$10:$AA$10,1,MATCH($E123,Parameters!$X$3:$AA$3,0)))</f>
        <v>1.88260488051479</v>
      </c>
      <c r="AZ123" s="37" t="n">
        <f aca="false">MAX(0,MIN(AX123*(1+INDEX(Response_Table!$J$4:$J$21,MATCH($F123&amp;"|low",Response_Table!$A$4:$A$21,0))*$R123*INDEX(Parameters!$X$10:$AA$10,1,MATCH($E123,Parameters!$X$3:$AA$3,0))),AX123*(1+INDEX(Response_Table!$J$4:$J$21,MATCH($F123&amp;"|high",Response_Table!$A$4:$A$21,0))*$R123*INDEX(Parameters!$X$10:$AA$10,1,MATCH($E123,Parameters!$X$3:$AA$3,0))))*(1-Inputs_General!$C$22*Parameters!$F$10))</f>
        <v>1.51097867710117</v>
      </c>
      <c r="BA123" s="37" t="n">
        <f aca="false">MAX(AX123*(1+INDEX(Response_Table!$J$4:$J$21,MATCH($F123&amp;"|low",Response_Table!$A$4:$A$21,0))*$R123*INDEX(Parameters!$X$10:$AA$10,1,MATCH($E123,Parameters!$X$3:$AA$3,0))),AX123*(1+INDEX(Response_Table!$J$4:$J$21,MATCH($F123&amp;"|high",Response_Table!$A$4:$A$21,0))*$R123*INDEX(Parameters!$X$10:$AA$10,1,MATCH($E123,Parameters!$X$3:$AA$3,0))))*(1+Inputs_General!$C$22*Parameters!$F$10)</f>
        <v>2.25423108392841</v>
      </c>
      <c r="BB123" s="39" t="n">
        <f aca="false">IF(AX123=0,0,AY123/AX123-1)</f>
        <v>0</v>
      </c>
      <c r="BC123" s="40" t="n">
        <f aca="false">Parameters!$E$11*IF($N123="V",Parameters!$I$11,IF($N123="F",Parameters!$J$11,Parameters!$K$11))*(1-Parameters!$L$11*$P123)*IF($D123="V1",Parameters!$M$11,IF($D123="V2",Parameters!$N$11,Parameters!$O$11))</f>
        <v>1.223125</v>
      </c>
      <c r="BD123" s="40" t="n">
        <f aca="false">BC123*(1+INDEX(Response_Table!$K$4:$K$21,MATCH($F123&amp;"|mid",Response_Table!$A$4:$A$21,0))*$R123*INDEX(Parameters!$X$11:$AA$11,1,MATCH($E123,Parameters!$X$3:$AA$3,0)))</f>
        <v>1.223125</v>
      </c>
      <c r="BE123" s="40" t="n">
        <f aca="false">MAX(0,MIN(BC123*(1+INDEX(Response_Table!$K$4:$K$21,MATCH($F123&amp;"|low",Response_Table!$A$4:$A$21,0))*$R123*INDEX(Parameters!$X$11:$AA$11,1,MATCH($E123,Parameters!$X$3:$AA$3,0))),BC123*(1+INDEX(Response_Table!$K$4:$K$21,MATCH($F123&amp;"|high",Response_Table!$A$4:$A$21,0))*$R123*INDEX(Parameters!$X$11:$AA$11,1,MATCH($E123,Parameters!$X$3:$AA$3,0))))*(1-Inputs_General!$C$22*Parameters!$F$11))</f>
        <v>1.0219209375</v>
      </c>
      <c r="BF123" s="40" t="n">
        <f aca="false">MAX(BC123*(1+INDEX(Response_Table!$K$4:$K$21,MATCH($F123&amp;"|low",Response_Table!$A$4:$A$21,0))*$R123*INDEX(Parameters!$X$11:$AA$11,1,MATCH($E123,Parameters!$X$3:$AA$3,0))),BC123*(1+INDEX(Response_Table!$K$4:$K$21,MATCH($F123&amp;"|high",Response_Table!$A$4:$A$21,0))*$R123*INDEX(Parameters!$X$11:$AA$11,1,MATCH($E123,Parameters!$X$3:$AA$3,0))))*(1+Inputs_General!$C$22*Parameters!$F$11)</f>
        <v>1.4243290625</v>
      </c>
      <c r="BG123" s="39" t="n">
        <f aca="false">IF(BC123=0,0,BD123/BC123-1)</f>
        <v>0</v>
      </c>
      <c r="BH123" s="40" t="n">
        <f aca="false">Parameters!$E$12*IF($N123="V",Parameters!$I$12,IF($N123="F",Parameters!$J$12,Parameters!$K$12))*(1-Parameters!$L$12*$P123)*IF($D123="V1",Parameters!$M$12,IF($D123="V2",Parameters!$N$12,Parameters!$O$12))</f>
        <v>0.440325</v>
      </c>
      <c r="BI123" s="40" t="n">
        <f aca="false">BH123*(1+INDEX(Response_Table!$L$4:$L$21,MATCH($F123&amp;"|mid",Response_Table!$A$4:$A$21,0))*$R123*INDEX(Parameters!$X$12:$AA$12,1,MATCH($E123,Parameters!$X$3:$AA$3,0)))</f>
        <v>0.440325</v>
      </c>
      <c r="BJ123" s="40" t="n">
        <f aca="false">MAX(0,MIN(BH123*(1+INDEX(Response_Table!$L$4:$L$21,MATCH($F123&amp;"|low",Response_Table!$A$4:$A$21,0))*$R123*INDEX(Parameters!$X$12:$AA$12,1,MATCH($E123,Parameters!$X$3:$AA$3,0))),BH123*(1+INDEX(Response_Table!$L$4:$L$21,MATCH($F123&amp;"|high",Response_Table!$A$4:$A$21,0))*$R123*INDEX(Parameters!$X$12:$AA$12,1,MATCH($E123,Parameters!$X$3:$AA$3,0))))*(1-Inputs_General!$C$22*Parameters!$F$12))</f>
        <v>0.353404845</v>
      </c>
      <c r="BK123" s="40" t="n">
        <f aca="false">MAX(BH123*(1+INDEX(Response_Table!$L$4:$L$21,MATCH($F123&amp;"|low",Response_Table!$A$4:$A$21,0))*$R123*INDEX(Parameters!$X$12:$AA$12,1,MATCH($E123,Parameters!$X$3:$AA$3,0))),BH123*(1+INDEX(Response_Table!$L$4:$L$21,MATCH($F123&amp;"|high",Response_Table!$A$4:$A$21,0))*$R123*INDEX(Parameters!$X$12:$AA$12,1,MATCH($E123,Parameters!$X$3:$AA$3,0))))*(1+Inputs_General!$C$22*Parameters!$F$12)</f>
        <v>0.527245155</v>
      </c>
      <c r="BL123" s="39" t="n">
        <f aca="false">IF(BH123=0,0,BI123/BH123-1)</f>
        <v>0</v>
      </c>
      <c r="BM123" s="40" t="n">
        <f aca="false">Parameters!$E$13*IF($N123="V",Parameters!$I$13,IF($N123="F",Parameters!$J$13,Parameters!$K$13))*(1-Parameters!$L$13*$P123)*IF($D123="V1",Parameters!$M$13,IF($D123="V2",Parameters!$N$13,Parameters!$O$13))</f>
        <v>0.29355</v>
      </c>
      <c r="BN123" s="40" t="n">
        <f aca="false">BM123*(1+INDEX(Response_Table!$M$4:$M$21,MATCH($F123&amp;"|mid",Response_Table!$A$4:$A$21,0))*$R123*INDEX(Parameters!$X$13:$AA$13,1,MATCH($E123,Parameters!$X$3:$AA$3,0)))</f>
        <v>0.29355</v>
      </c>
      <c r="BO123" s="40" t="n">
        <f aca="false">MAX(0,MIN(BM123*(1+INDEX(Response_Table!$M$4:$M$21,MATCH($F123&amp;"|low",Response_Table!$A$4:$A$21,0))*$R123*INDEX(Parameters!$X$13:$AA$13,1,MATCH($E123,Parameters!$X$3:$AA$3,0))),BM123*(1+INDEX(Response_Table!$M$4:$M$21,MATCH($F123&amp;"|high",Response_Table!$A$4:$A$21,0))*$R123*INDEX(Parameters!$X$13:$AA$13,1,MATCH($E123,Parameters!$X$3:$AA$3,0))))*(1-Inputs_General!$C$22*Parameters!$F$13))</f>
        <v>0.23560323</v>
      </c>
      <c r="BP123" s="40" t="n">
        <f aca="false">MAX(BM123*(1+INDEX(Response_Table!$M$4:$M$21,MATCH($F123&amp;"|low",Response_Table!$A$4:$A$21,0))*$R123*INDEX(Parameters!$X$13:$AA$13,1,MATCH($E123,Parameters!$X$3:$AA$3,0))),BM123*(1+INDEX(Response_Table!$M$4:$M$21,MATCH($F123&amp;"|high",Response_Table!$A$4:$A$21,0))*$R123*INDEX(Parameters!$X$13:$AA$13,1,MATCH($E123,Parameters!$X$3:$AA$3,0))))*(1+Inputs_General!$C$22*Parameters!$F$13)</f>
        <v>0.35149677</v>
      </c>
      <c r="BQ123" s="39" t="n">
        <f aca="false">IF(BM123=0,0,BN123/BM123-1)</f>
        <v>0</v>
      </c>
      <c r="BR123" s="38" t="n">
        <f aca="false">Parameters!$E$14*IF($N123="V",Parameters!$I$14,IF($N123="F",Parameters!$J$14,Parameters!$K$14))*(1-Parameters!$L$14*$P123)*IF($D123="V1",Parameters!$M$14,IF($D123="V2",Parameters!$N$14,Parameters!$O$14))*INDEX(Context!$AC$4:$AC$51,$K123)</f>
        <v>17.325</v>
      </c>
      <c r="BS123" s="38" t="n">
        <f aca="false">BR123*(1+INDEX(Response_Table!$N$4:$N$21,MATCH($F123&amp;"|mid",Response_Table!$A$4:$A$21,0))*$R123*INDEX(Parameters!$X$14:$AA$14,1,MATCH($E123,Parameters!$X$3:$AA$3,0)))</f>
        <v>17.325</v>
      </c>
      <c r="BT123" s="38" t="n">
        <f aca="false">MAX(0,MIN(BR123*(1+INDEX(Response_Table!$N$4:$N$21,MATCH($F123&amp;"|low",Response_Table!$A$4:$A$21,0))*$R123*INDEX(Parameters!$X$14:$AA$14,1,MATCH($E123,Parameters!$X$3:$AA$3,0))),BR123*(1+INDEX(Response_Table!$N$4:$N$21,MATCH($F123&amp;"|high",Response_Table!$A$4:$A$21,0))*$R123*INDEX(Parameters!$X$14:$AA$14,1,MATCH($E123,Parameters!$X$3:$AA$3,0))))*(1-Inputs_General!$C$22*Parameters!$F$14))</f>
        <v>8.7751125</v>
      </c>
      <c r="BU123" s="38" t="n">
        <f aca="false">MAX(BR123*(1+INDEX(Response_Table!$N$4:$N$21,MATCH($F123&amp;"|low",Response_Table!$A$4:$A$21,0))*$R123*INDEX(Parameters!$X$14:$AA$14,1,MATCH($E123,Parameters!$X$3:$AA$3,0))),BR123*(1+INDEX(Response_Table!$N$4:$N$21,MATCH($F123&amp;"|high",Response_Table!$A$4:$A$21,0))*$R123*INDEX(Parameters!$X$14:$AA$14,1,MATCH($E123,Parameters!$X$3:$AA$3,0))))*(1+Inputs_General!$C$22*Parameters!$F$14)</f>
        <v>25.8748875</v>
      </c>
      <c r="BV123" s="39" t="n">
        <f aca="false">IF(BR123=0,0,BS123/BR123-1)</f>
        <v>0</v>
      </c>
      <c r="BW123" s="37" t="n">
        <f aca="false">Parameters!$E$15*IF($N123="V",Parameters!$I$15,IF($N123="F",Parameters!$J$15,Parameters!$K$15))*(1-Parameters!$L$15*$P123)*IF($D123="V1",Parameters!$M$15,IF($D123="V2",Parameters!$N$15,Parameters!$O$15))</f>
        <v>10.8</v>
      </c>
      <c r="BX123" s="37" t="n">
        <f aca="false">BW123*(1+INDEX(Response_Table!$O$4:$O$21,MATCH($F123&amp;"|mid",Response_Table!$A$4:$A$21,0))*$R123*INDEX(Parameters!$X$15:$AA$15,1,MATCH($E123,Parameters!$X$3:$AA$3,0)))</f>
        <v>10.8</v>
      </c>
      <c r="BY123" s="37" t="n">
        <f aca="false">MAX(0,MIN(BW123*(1+INDEX(Response_Table!$O$4:$O$21,MATCH($F123&amp;"|low",Response_Table!$A$4:$A$21,0))*$R123*INDEX(Parameters!$X$15:$AA$15,1,MATCH($E123,Parameters!$X$3:$AA$3,0))),BW123*(1+INDEX(Response_Table!$O$4:$O$21,MATCH($F123&amp;"|high",Response_Table!$A$4:$A$21,0))*$R123*INDEX(Parameters!$X$15:$AA$15,1,MATCH($E123,Parameters!$X$3:$AA$3,0))))*(1-Inputs_General!$C$22*Parameters!$F$15))</f>
        <v>8.66808</v>
      </c>
      <c r="BZ123" s="37" t="n">
        <f aca="false">MAX(BW123*(1+INDEX(Response_Table!$O$4:$O$21,MATCH($F123&amp;"|low",Response_Table!$A$4:$A$21,0))*$R123*INDEX(Parameters!$X$15:$AA$15,1,MATCH($E123,Parameters!$X$3:$AA$3,0))),BW123*(1+INDEX(Response_Table!$O$4:$O$21,MATCH($F123&amp;"|high",Response_Table!$A$4:$A$21,0))*$R123*INDEX(Parameters!$X$15:$AA$15,1,MATCH($E123,Parameters!$X$3:$AA$3,0))))*(1+Inputs_General!$C$22*Parameters!$F$15)</f>
        <v>12.93192</v>
      </c>
      <c r="CA123" s="39" t="n">
        <f aca="false">IF(BW123=0,0,BX123/BW123-1)</f>
        <v>0</v>
      </c>
      <c r="CB123" s="40" t="n">
        <f aca="false">BD123+BI123</f>
        <v>1.66345</v>
      </c>
      <c r="CC123" s="37" t="n">
        <f aca="false">BD123/BI123</f>
        <v>2.77777777777778</v>
      </c>
      <c r="CD123" s="40" t="n">
        <f aca="false">BN123/CB123</f>
        <v>0.176470588235294</v>
      </c>
      <c r="CE123" s="37" t="n">
        <f aca="false">AE123/AO123</f>
        <v>4.45937853767122</v>
      </c>
      <c r="CF123" s="38" t="n">
        <f aca="false">AE123/AJ123</f>
        <v>42.1144887505636</v>
      </c>
      <c r="CG123" s="38" t="n">
        <f aca="false">INDEX(Context!$V$4:$V$51,$K123)</f>
        <v>22.6257142857143</v>
      </c>
      <c r="CH123" s="38" t="n">
        <f aca="false">INDEX(Context!$Y$4:$Y$51,$K123)</f>
        <v>21.3177449518561</v>
      </c>
      <c r="CI123" s="38" t="n">
        <f aca="false">INDEX(Context!$Z$4:$Z$51,$K123)</f>
        <v>26.6257142857143</v>
      </c>
      <c r="CJ123" s="37" t="n">
        <f aca="false">INDEX(Context!$AA$4:$AA$51,$K123)</f>
        <v>0.12</v>
      </c>
      <c r="CK123" s="37" t="n">
        <f aca="false">MAX(0,MIN(1,1-(1-CJ123)*AO123/AN123))</f>
        <v>0.12</v>
      </c>
      <c r="CL123" s="38" t="n">
        <f aca="false">CH123+CK123*(CI123-CH123)</f>
        <v>21.954701271919</v>
      </c>
      <c r="CM123" s="38" t="n">
        <f aca="false">CH123+MAX(0,MIN(1,1-(1-CJ123)*AQ123/AN123))*(CI123-CH123)</f>
        <v>21.3177449518561</v>
      </c>
      <c r="CN123" s="38" t="n">
        <f aca="false">CH123+MAX(0,MIN(1,1-(1-CJ123)*AP123/AN123))*(CI123-CH123)</f>
        <v>23.3377882253038</v>
      </c>
      <c r="CO123" s="38" t="n">
        <f aca="false">CL123-CG123</f>
        <v>-0.67101301379525</v>
      </c>
      <c r="CP123" s="38" t="n">
        <f aca="false">CL123-(CH123+CJ123*(CI123-CH123))</f>
        <v>0</v>
      </c>
      <c r="CQ123" s="40" t="n">
        <f aca="false">CL123/CG123</f>
        <v>0.970342902534621</v>
      </c>
      <c r="CR123" s="37" t="n">
        <f aca="false">IF(CL123-CH123&lt;=0,"n/a",(CI123-CL123)/(CL123-CH123))</f>
        <v>7.33333333333333</v>
      </c>
      <c r="CS123" s="37" t="n">
        <f aca="false">IF(CI123-CL123&lt;=0,"n/a",(CL123-CH123)/(CI123-CL123))</f>
        <v>0.136363636363636</v>
      </c>
      <c r="CT123" s="37" t="n">
        <f aca="false">Inputs_General!$C$23+Inputs_General!$C$24*$I123</f>
        <v>0.6</v>
      </c>
      <c r="CU123" s="38" t="n">
        <f aca="false">3.29*CT123</f>
        <v>1.974</v>
      </c>
    </row>
    <row r="124" customFormat="false" ht="15" hidden="false" customHeight="false" outlineLevel="0" collapsed="false">
      <c r="A124" s="9" t="str">
        <f aca="false">B124&amp;"|"&amp;E124&amp;"|"&amp;F124</f>
        <v>D2V3|11/02/2026|Very low</v>
      </c>
      <c r="B124" s="7" t="s">
        <v>348</v>
      </c>
      <c r="C124" s="9" t="s">
        <v>129</v>
      </c>
      <c r="D124" s="9" t="s">
        <v>150</v>
      </c>
      <c r="E124" s="9" t="s">
        <v>158</v>
      </c>
      <c r="F124" s="7" t="s">
        <v>277</v>
      </c>
      <c r="G124" s="9" t="s">
        <v>278</v>
      </c>
      <c r="H124" s="41" t="n">
        <f aca="false">INDEX(Severity_Classes!$C$4:$C$9,MATCH(F124,Severity_Classes!$A$4:$A$9,0))</f>
        <v>0.01</v>
      </c>
      <c r="I124" s="41" t="n">
        <f aca="false">INDEX(Severity_Classes!$D$4:$D$9,MATCH(F124,Severity_Classes!$A$4:$A$9,0))</f>
        <v>0.03</v>
      </c>
      <c r="J124" s="41" t="n">
        <f aca="false">INDEX(Severity_Classes!$E$4:$E$9,MATCH(F124,Severity_Classes!$A$4:$A$9,0))</f>
        <v>0.05</v>
      </c>
      <c r="K124" s="42" t="n">
        <f aca="false">MATCH(B124&amp;"|"&amp;E124,Context!$A$4:$A$51,0)</f>
        <v>21</v>
      </c>
      <c r="L124" s="42" t="n">
        <f aca="false">INDEX(Context!$H$4:$H$51,K124)</f>
        <v>55</v>
      </c>
      <c r="M124" s="42" t="n">
        <f aca="false">INDEX(Context!$I$4:$I$51,K124)</f>
        <v>6</v>
      </c>
      <c r="N124" s="9" t="str">
        <f aca="false">INDEX(Context!$L$4:$L$51,K124)</f>
        <v>V</v>
      </c>
      <c r="O124" s="9" t="str">
        <f aca="false">INDEX(Context!$M$4:$M$51,K124)</f>
        <v>3rd fully expanded leaf from top</v>
      </c>
      <c r="P124" s="43" t="n">
        <f aca="false">INDEX(Context!$R$4:$R$51,K124)</f>
        <v>0</v>
      </c>
      <c r="Q124" s="43" t="n">
        <f aca="false">INDEX(Context!$U$4:$U$51,K124)</f>
        <v>0.937791824040773</v>
      </c>
      <c r="R124" s="43" t="n">
        <f aca="false">INDEX(Context!$AD$4:$AD$51,K124)</f>
        <v>0.85</v>
      </c>
      <c r="S124" s="9" t="str">
        <f aca="false">INDEX(Context!$AI$4:$AN$51,K124,MATCH(F124,Severity_Classes!$A$4:$A$9,0))</f>
        <v>Likely</v>
      </c>
      <c r="T124" s="44" t="n">
        <f aca="false">Parameters!$E$4*IF($N124="V",Parameters!$I$4,IF($N124="F",Parameters!$J$4,Parameters!$K$4))*(1-Parameters!$L$4*$P124)*IF($D124="V1",Parameters!$M$4,IF($D124="V2",Parameters!$N$4,Parameters!$O$4))</f>
        <v>86</v>
      </c>
      <c r="U124" s="44" t="n">
        <f aca="false">MIN(100,T124*(1+INDEX(Response_Table!$E$4:$E$21,MATCH($F124&amp;"|mid",Response_Table!$A$4:$A$21,0))*$R124*INDEX(Parameters!$X$4:$AA$4,1,MATCH($E124,Parameters!$X$3:$AA$3,0))))</f>
        <v>85.8424205668334</v>
      </c>
      <c r="V124" s="44" t="n">
        <f aca="false">MAX(0,MIN(T124*(1+INDEX(Response_Table!$E$4:$E$21,MATCH($F124&amp;"|low",Response_Table!$A$4:$A$21,0))*$R124*INDEX(Parameters!$X$4:$AA$4,1,MATCH($E124,Parameters!$X$3:$AA$3,0))),T124*(1+INDEX(Response_Table!$E$4:$E$21,MATCH($F124&amp;"|high",Response_Table!$A$4:$A$21,0))*$R124*INDEX(Parameters!$X$4:$AA$4,1,MATCH($E124,Parameters!$X$3:$AA$3,0))))*(1-Inputs_General!$C$22*Parameters!$F$4))</f>
        <v>80.076411740872</v>
      </c>
      <c r="W124" s="44" t="n">
        <f aca="false">MIN(100,MAX(T124*(1+INDEX(Response_Table!$E$4:$E$21,MATCH($F124&amp;"|low",Response_Table!$A$4:$A$21,0))*$R124*INDEX(Parameters!$X$4:$AA$4,1,MATCH($E124,Parameters!$X$3:$AA$3,0))),T124*(1+INDEX(Response_Table!$E$4:$E$21,MATCH($F124&amp;"|high",Response_Table!$A$4:$A$21,0))*$R124*INDEX(Parameters!$X$4:$AA$4,1,MATCH($E124,Parameters!$X$3:$AA$3,0))))*(1+Inputs_General!$C$22*Parameters!$F$4))</f>
        <v>91.6068947319483</v>
      </c>
      <c r="X124" s="45" t="n">
        <f aca="false">IF(T124=0,0,U124/T124-1)</f>
        <v>-0.00183231899030967</v>
      </c>
      <c r="Y124" s="44" t="n">
        <f aca="false">Parameters!$E$5*IF($N124="V",Parameters!$I$5,IF($N124="F",Parameters!$J$5,Parameters!$K$5))*(1-Parameters!$L$5*$P124)*IF($D124="V1",Parameters!$M$5,IF($D124="V2",Parameters!$N$5,Parameters!$O$5))</f>
        <v>72</v>
      </c>
      <c r="Z124" s="44" t="n">
        <f aca="false">MIN(100,Y124*(1+INDEX(Response_Table!$F$4:$F$21,MATCH($F124&amp;"|mid",Response_Table!$A$4:$A$21,0))*$R124*INDEX(Parameters!$X$5:$AA$5,1,MATCH($E124,Parameters!$X$3:$AA$3,0))))</f>
        <v>71.5788601360602</v>
      </c>
      <c r="AA124" s="44" t="n">
        <f aca="false">MAX(0,MIN(Y124*(1+INDEX(Response_Table!$F$4:$F$21,MATCH($F124&amp;"|low",Response_Table!$A$4:$A$21,0))*$R124*INDEX(Parameters!$X$5:$AA$5,1,MATCH($E124,Parameters!$X$3:$AA$3,0))),Y124*(1+INDEX(Response_Table!$F$4:$F$21,MATCH($F124&amp;"|high",Response_Table!$A$4:$A$21,0))*$R124*INDEX(Parameters!$X$5:$AA$5,1,MATCH($E124,Parameters!$X$3:$AA$3,0))))*(1-Inputs_General!$C$22*Parameters!$F$5))</f>
        <v>63.0296399455958</v>
      </c>
      <c r="AB124" s="44" t="n">
        <f aca="false">MIN(100,MAX(Y124*(1+INDEX(Response_Table!$F$4:$F$21,MATCH($F124&amp;"|low",Response_Table!$A$4:$A$21,0))*$R124*INDEX(Parameters!$X$5:$AA$5,1,MATCH($E124,Parameters!$X$3:$AA$3,0))),Y124*(1+INDEX(Response_Table!$F$4:$F$21,MATCH($F124&amp;"|high",Response_Table!$A$4:$A$21,0))*$R124*INDEX(Parameters!$X$5:$AA$5,1,MATCH($E124,Parameters!$X$3:$AA$3,0))))*(1+Inputs_General!$C$22*Parameters!$F$5))</f>
        <v>80.1476551225814</v>
      </c>
      <c r="AC124" s="45" t="n">
        <f aca="false">IF(Y124=0,0,Z124/Y124-1)</f>
        <v>-0.00584916477694142</v>
      </c>
      <c r="AD124" s="44" t="n">
        <f aca="false">Parameters!$E$6*IF($N124="V",Parameters!$I$6,IF($N124="F",Parameters!$J$6,Parameters!$K$6))*(1-Parameters!$L$6*$P124)*IF($D124="V1",Parameters!$M$6,IF($D124="V2",Parameters!$N$6,Parameters!$O$6))</f>
        <v>19.57</v>
      </c>
      <c r="AE124" s="44" t="n">
        <f aca="false">AD124*(1+INDEX(Response_Table!$G$4:$G$21,MATCH($F124&amp;"|mid",Response_Table!$A$4:$A$21,0))*$R124*INDEX(Parameters!$X$6:$AA$6,1,MATCH($E124,Parameters!$X$3:$AA$3,0)))</f>
        <v>18.3357965695887</v>
      </c>
      <c r="AF124" s="44" t="n">
        <f aca="false">MAX(0,MIN(AD124*(1+INDEX(Response_Table!$G$4:$G$21,MATCH($F124&amp;"|low",Response_Table!$A$4:$A$21,0))*$R124*INDEX(Parameters!$X$6:$AA$6,1,MATCH($E124,Parameters!$X$3:$AA$3,0))),AD124*(1+INDEX(Response_Table!$G$4:$G$21,MATCH($F124&amp;"|high",Response_Table!$A$4:$A$21,0))*$R124*INDEX(Parameters!$X$6:$AA$6,1,MATCH($E124,Parameters!$X$3:$AA$3,0))))*(1-Inputs_General!$C$22*Parameters!$F$6))</f>
        <v>14.124956891813</v>
      </c>
      <c r="AG124" s="44" t="n">
        <f aca="false">MAX(AD124*(1+INDEX(Response_Table!$G$4:$G$21,MATCH($F124&amp;"|low",Response_Table!$A$4:$A$21,0))*$R124*INDEX(Parameters!$X$6:$AA$6,1,MATCH($E124,Parameters!$X$3:$AA$3,0))),AD124*(1+INDEX(Response_Table!$G$4:$G$21,MATCH($F124&amp;"|high",Response_Table!$A$4:$A$21,0))*$R124*INDEX(Parameters!$X$6:$AA$6,1,MATCH($E124,Parameters!$X$3:$AA$3,0))))*(1+Inputs_General!$C$22*Parameters!$F$6)</f>
        <v>22.9186794730768</v>
      </c>
      <c r="AH124" s="45" t="n">
        <f aca="false">IF(AD124=0,0,AE124/AD124-1)</f>
        <v>-0.0630660925095196</v>
      </c>
      <c r="AI124" s="46" t="n">
        <f aca="false">Parameters!$E$7*IF($N124="V",Parameters!$I$7,IF($N124="F",Parameters!$J$7,Parameters!$K$7))*(1-Parameters!$L$7*$P124)*IF($D124="V1",Parameters!$M$7,IF($D124="V2",Parameters!$N$7,Parameters!$O$7))*POWER($Q124/Inputs_General!$C$26,-Inputs_General!$C$25)</f>
        <v>0.464685683730118</v>
      </c>
      <c r="AJ124" s="46" t="n">
        <f aca="false">AI124*(1+INDEX(Response_Table!$H$4:$H$21,MATCH($F124&amp;"|mid",Response_Table!$A$4:$A$21,0))*$R124*INDEX(Parameters!$X$7:$AA$7,1,MATCH($E124,Parameters!$X$3:$AA$3,0)))</f>
        <v>0.447007917589242</v>
      </c>
      <c r="AK124" s="46" t="n">
        <f aca="false">MAX(0,MIN(AI124*(1+INDEX(Response_Table!$H$4:$H$21,MATCH($F124&amp;"|low",Response_Table!$A$4:$A$21,0))*$R124*INDEX(Parameters!$X$7:$AA$7,1,MATCH($E124,Parameters!$X$3:$AA$3,0))),AI124*(1+INDEX(Response_Table!$H$4:$H$21,MATCH($F124&amp;"|high",Response_Table!$A$4:$A$21,0))*$R124*INDEX(Parameters!$X$7:$AA$7,1,MATCH($E124,Parameters!$X$3:$AA$3,0))))*(1-Inputs_General!$C$22*Parameters!$F$7))</f>
        <v>0.306954139708623</v>
      </c>
      <c r="AL124" s="46" t="n">
        <f aca="false">MAX(AI124*(1+INDEX(Response_Table!$H$4:$H$21,MATCH($F124&amp;"|low",Response_Table!$A$4:$A$21,0))*$R124*INDEX(Parameters!$X$7:$AA$7,1,MATCH($E124,Parameters!$X$3:$AA$3,0))),AI124*(1+INDEX(Response_Table!$H$4:$H$21,MATCH($F124&amp;"|high",Response_Table!$A$4:$A$21,0))*$R124*INDEX(Parameters!$X$7:$AA$7,1,MATCH($E124,Parameters!$X$3:$AA$3,0))))*(1+Inputs_General!$C$22*Parameters!$F$7)</f>
        <v>0.594411497935526</v>
      </c>
      <c r="AM124" s="45" t="n">
        <f aca="false">IF(AI124=0,0,AJ124/AI124-1)</f>
        <v>-0.0380424161101172</v>
      </c>
      <c r="AN124" s="43" t="n">
        <f aca="false">AI124*$Q124/Inputs_General!$C$13*1000</f>
        <v>4.38850387664553</v>
      </c>
      <c r="AO124" s="43" t="n">
        <f aca="false">AJ124*$Q124/Inputs_General!$C$13*1000*(1+Inputs_General!$C$21*$I124)</f>
        <v>4.25321624546484</v>
      </c>
      <c r="AP124" s="43" t="n">
        <f aca="false">AK124*$Q124/Inputs_General!$C$13*1000*(1+Inputs_General!$C$21*$H124)</f>
        <v>2.90613021430666</v>
      </c>
      <c r="AQ124" s="43" t="n">
        <f aca="false">AL124*$Q124/Inputs_General!$C$13*1000*(1+Inputs_General!$C$21*$J124)</f>
        <v>5.68380836773174</v>
      </c>
      <c r="AR124" s="45" t="n">
        <f aca="false">IF(AN124=0,0,AO124/AN124-1)</f>
        <v>-0.0308277342309431</v>
      </c>
      <c r="AS124" s="42" t="n">
        <f aca="false">Parameters!$E$9*IF($N124="V",Parameters!$I$9,IF($N124="F",Parameters!$J$9,Parameters!$K$9))*(1-Parameters!$L$9*$P124)*IF($D124="V1",Parameters!$M$9,IF($D124="V2",Parameters!$N$9,Parameters!$O$9))</f>
        <v>285</v>
      </c>
      <c r="AT124" s="42" t="n">
        <f aca="false">AS124*(1+INDEX(Response_Table!$I$4:$I$21,MATCH($F124&amp;"|mid",Response_Table!$A$4:$A$21,0))*$R124*INDEX(Parameters!$X$9:$AA$9,1,MATCH($E124,Parameters!$X$3:$AA$3,0)))</f>
        <v>291.574445809265</v>
      </c>
      <c r="AU124" s="42" t="n">
        <f aca="false">MAX(0,MIN(AS124*(1+INDEX(Response_Table!$I$4:$I$21,MATCH($F124&amp;"|low",Response_Table!$A$4:$A$21,0))*$R124*INDEX(Parameters!$X$9:$AA$9,1,MATCH($E124,Parameters!$X$3:$AA$3,0))),AS124*(1+INDEX(Response_Table!$I$4:$I$21,MATCH($F124&amp;"|high",Response_Table!$A$4:$A$21,0))*$R124*INDEX(Parameters!$X$9:$AA$9,1,MATCH($E124,Parameters!$X$3:$AA$3,0))))*(1-Inputs_General!$C$22*Parameters!$F$9))</f>
        <v>258.925195419526</v>
      </c>
      <c r="AV124" s="42" t="n">
        <f aca="false">MAX(AS124*(1+INDEX(Response_Table!$I$4:$I$21,MATCH($F124&amp;"|low",Response_Table!$A$4:$A$21,0))*$R124*INDEX(Parameters!$X$9:$AA$9,1,MATCH($E124,Parameters!$X$3:$AA$3,0))),AS124*(1+INDEX(Response_Table!$I$4:$I$21,MATCH($F124&amp;"|high",Response_Table!$A$4:$A$21,0))*$R124*INDEX(Parameters!$X$9:$AA$9,1,MATCH($E124,Parameters!$X$3:$AA$3,0))))*(1+Inputs_General!$C$22*Parameters!$F$9)</f>
        <v>324.70869272543</v>
      </c>
      <c r="AW124" s="45" t="n">
        <f aca="false">IF(AS124=0,0,AT124/AS124-1)</f>
        <v>0.0230682309096999</v>
      </c>
      <c r="AX124" s="43" t="n">
        <f aca="false">INDEX(Context!$AB$4:$AB$51,$K124)</f>
        <v>1.88260488051479</v>
      </c>
      <c r="AY124" s="43" t="n">
        <f aca="false">AX124*(1+INDEX(Response_Table!$J$4:$J$21,MATCH($F124&amp;"|mid",Response_Table!$A$4:$A$21,0))*$R124*INDEX(Parameters!$X$10:$AA$10,1,MATCH($E124,Parameters!$X$3:$AA$3,0)))</f>
        <v>1.85658905402868</v>
      </c>
      <c r="AZ124" s="43" t="n">
        <f aca="false">MAX(0,MIN(AX124*(1+INDEX(Response_Table!$J$4:$J$21,MATCH($F124&amp;"|low",Response_Table!$A$4:$A$21,0))*$R124*INDEX(Parameters!$X$10:$AA$10,1,MATCH($E124,Parameters!$X$3:$AA$3,0))),AX124*(1+INDEX(Response_Table!$J$4:$J$21,MATCH($F124&amp;"|high",Response_Table!$A$4:$A$21,0))*$R124*INDEX(Parameters!$X$10:$AA$10,1,MATCH($E124,Parameters!$X$3:$AA$3,0))))*(1-Inputs_General!$C$22*Parameters!$F$10))</f>
        <v>1.47702325806709</v>
      </c>
      <c r="BA124" s="43" t="n">
        <f aca="false">MAX(AX124*(1+INDEX(Response_Table!$J$4:$J$21,MATCH($F124&amp;"|low",Response_Table!$A$4:$A$21,0))*$R124*INDEX(Parameters!$X$10:$AA$10,1,MATCH($E124,Parameters!$X$3:$AA$3,0))),AX124*(1+INDEX(Response_Table!$J$4:$J$21,MATCH($F124&amp;"|high",Response_Table!$A$4:$A$21,0))*$R124*INDEX(Parameters!$X$10:$AA$10,1,MATCH($E124,Parameters!$X$3:$AA$3,0))))*(1+Inputs_General!$C$22*Parameters!$F$10)</f>
        <v>2.24358665135728</v>
      </c>
      <c r="BB124" s="45" t="n">
        <f aca="false">IF(AX124=0,0,AY124/AX124-1)</f>
        <v>-0.0138190582396642</v>
      </c>
      <c r="BC124" s="46" t="n">
        <f aca="false">Parameters!$E$11*IF($N124="V",Parameters!$I$11,IF($N124="F",Parameters!$J$11,Parameters!$K$11))*(1-Parameters!$L$11*$P124)*IF($D124="V1",Parameters!$M$11,IF($D124="V2",Parameters!$N$11,Parameters!$O$11))</f>
        <v>1.223125</v>
      </c>
      <c r="BD124" s="46" t="n">
        <f aca="false">BC124*(1+INDEX(Response_Table!$K$4:$K$21,MATCH($F124&amp;"|mid",Response_Table!$A$4:$A$21,0))*$R124*INDEX(Parameters!$X$11:$AA$11,1,MATCH($E124,Parameters!$X$3:$AA$3,0)))</f>
        <v>1.19219606371693</v>
      </c>
      <c r="BE124" s="46" t="n">
        <f aca="false">MAX(0,MIN(BC124*(1+INDEX(Response_Table!$K$4:$K$21,MATCH($F124&amp;"|low",Response_Table!$A$4:$A$21,0))*$R124*INDEX(Parameters!$X$11:$AA$11,1,MATCH($E124,Parameters!$X$3:$AA$3,0))),BC124*(1+INDEX(Response_Table!$K$4:$K$21,MATCH($F124&amp;"|high",Response_Table!$A$4:$A$21,0))*$R124*INDEX(Parameters!$X$11:$AA$11,1,MATCH($E124,Parameters!$X$3:$AA$3,0))))*(1-Inputs_General!$C$22*Parameters!$F$11))</f>
        <v>0.980180292409174</v>
      </c>
      <c r="BF124" s="46" t="n">
        <f aca="false">MAX(BC124*(1+INDEX(Response_Table!$K$4:$K$21,MATCH($F124&amp;"|low",Response_Table!$A$4:$A$21,0))*$R124*INDEX(Parameters!$X$11:$AA$11,1,MATCH($E124,Parameters!$X$3:$AA$3,0))),BC124*(1+INDEX(Response_Table!$K$4:$K$21,MATCH($F124&amp;"|high",Response_Table!$A$4:$A$21,0))*$R124*INDEX(Parameters!$X$11:$AA$11,1,MATCH($E124,Parameters!$X$3:$AA$3,0))))*(1+Inputs_General!$C$22*Parameters!$F$11)</f>
        <v>1.41193731889591</v>
      </c>
      <c r="BG124" s="45" t="n">
        <f aca="false">IF(BC124=0,0,BD124/BC124-1)</f>
        <v>-0.0252868155610199</v>
      </c>
      <c r="BH124" s="46" t="n">
        <f aca="false">Parameters!$E$12*IF($N124="V",Parameters!$I$12,IF($N124="F",Parameters!$J$12,Parameters!$K$12))*(1-Parameters!$L$12*$P124)*IF($D124="V1",Parameters!$M$12,IF($D124="V2",Parameters!$N$12,Parameters!$O$12))</f>
        <v>0.440325</v>
      </c>
      <c r="BI124" s="46" t="n">
        <f aca="false">BH124*(1+INDEX(Response_Table!$L$4:$L$21,MATCH($F124&amp;"|mid",Response_Table!$A$4:$A$21,0))*$R124*INDEX(Parameters!$X$12:$AA$12,1,MATCH($E124,Parameters!$X$3:$AA$3,0)))</f>
        <v>0.431466283864877</v>
      </c>
      <c r="BJ124" s="46" t="n">
        <f aca="false">MAX(0,MIN(BH124*(1+INDEX(Response_Table!$L$4:$L$21,MATCH($F124&amp;"|low",Response_Table!$A$4:$A$21,0))*$R124*INDEX(Parameters!$X$12:$AA$12,1,MATCH($E124,Parameters!$X$3:$AA$3,0))),BH124*(1+INDEX(Response_Table!$L$4:$L$21,MATCH($F124&amp;"|high",Response_Table!$A$4:$A$21,0))*$R124*INDEX(Parameters!$X$12:$AA$12,1,MATCH($E124,Parameters!$X$3:$AA$3,0))))*(1-Inputs_General!$C$22*Parameters!$F$12))</f>
        <v>0.34189815623471</v>
      </c>
      <c r="BK124" s="46" t="n">
        <f aca="false">MAX(BH124*(1+INDEX(Response_Table!$L$4:$L$21,MATCH($F124&amp;"|low",Response_Table!$A$4:$A$21,0))*$R124*INDEX(Parameters!$X$12:$AA$12,1,MATCH($E124,Parameters!$X$3:$AA$3,0))),BH124*(1+INDEX(Response_Table!$L$4:$L$21,MATCH($F124&amp;"|high",Response_Table!$A$4:$A$21,0))*$R124*INDEX(Parameters!$X$12:$AA$12,1,MATCH($E124,Parameters!$X$3:$AA$3,0))))*(1+Inputs_General!$C$22*Parameters!$F$12)</f>
        <v>0.523602757488944</v>
      </c>
      <c r="BL124" s="45" t="n">
        <f aca="false">IF(BH124=0,0,BI124/BH124-1)</f>
        <v>-0.0201185854428505</v>
      </c>
      <c r="BM124" s="46" t="n">
        <f aca="false">Parameters!$E$13*IF($N124="V",Parameters!$I$13,IF($N124="F",Parameters!$J$13,Parameters!$K$13))*(1-Parameters!$L$13*$P124)*IF($D124="V1",Parameters!$M$13,IF($D124="V2",Parameters!$N$13,Parameters!$O$13))</f>
        <v>0.29355</v>
      </c>
      <c r="BN124" s="46" t="n">
        <f aca="false">BM124*(1+INDEX(Response_Table!$M$4:$M$21,MATCH($F124&amp;"|mid",Response_Table!$A$4:$A$21,0))*$R124*INDEX(Parameters!$X$13:$AA$13,1,MATCH($E124,Parameters!$X$3:$AA$3,0)))</f>
        <v>0.296791863021977</v>
      </c>
      <c r="BO124" s="46" t="n">
        <f aca="false">MAX(0,MIN(BM124*(1+INDEX(Response_Table!$M$4:$M$21,MATCH($F124&amp;"|low",Response_Table!$A$4:$A$21,0))*$R124*INDEX(Parameters!$X$13:$AA$13,1,MATCH($E124,Parameters!$X$3:$AA$3,0))),BM124*(1+INDEX(Response_Table!$M$4:$M$21,MATCH($F124&amp;"|high",Response_Table!$A$4:$A$21,0))*$R124*INDEX(Parameters!$X$13:$AA$13,1,MATCH($E124,Parameters!$X$3:$AA$3,0))))*(1-Inputs_General!$C$22*Parameters!$F$13))</f>
        <v>0.23688233264073</v>
      </c>
      <c r="BP124" s="46" t="n">
        <f aca="false">MAX(BM124*(1+INDEX(Response_Table!$M$4:$M$21,MATCH($F124&amp;"|low",Response_Table!$A$4:$A$21,0))*$R124*INDEX(Parameters!$X$13:$AA$13,1,MATCH($E124,Parameters!$X$3:$AA$3,0))),BM124*(1+INDEX(Response_Table!$M$4:$M$21,MATCH($F124&amp;"|high",Response_Table!$A$4:$A$21,0))*$R124*INDEX(Parameters!$X$13:$AA$13,1,MATCH($E124,Parameters!$X$3:$AA$3,0))))*(1+Inputs_General!$C$22*Parameters!$F$13)</f>
        <v>0.355488255893759</v>
      </c>
      <c r="BQ124" s="45" t="n">
        <f aca="false">IF(BM124=0,0,BN124/BM124-1)</f>
        <v>0.0110436485163574</v>
      </c>
      <c r="BR124" s="44" t="n">
        <f aca="false">Parameters!$E$14*IF($N124="V",Parameters!$I$14,IF($N124="F",Parameters!$J$14,Parameters!$K$14))*(1-Parameters!$L$14*$P124)*IF($D124="V1",Parameters!$M$14,IF($D124="V2",Parameters!$N$14,Parameters!$O$14))*INDEX(Context!$AC$4:$AC$51,$K124)</f>
        <v>17.325</v>
      </c>
      <c r="BS124" s="44" t="n">
        <f aca="false">BR124*(1+INDEX(Response_Table!$N$4:$N$21,MATCH($F124&amp;"|mid",Response_Table!$A$4:$A$21,0))*$R124*INDEX(Parameters!$X$14:$AA$14,1,MATCH($E124,Parameters!$X$3:$AA$3,0)))</f>
        <v>17.7052412648699</v>
      </c>
      <c r="BT124" s="44" t="n">
        <f aca="false">MAX(0,MIN(BR124*(1+INDEX(Response_Table!$N$4:$N$21,MATCH($F124&amp;"|low",Response_Table!$A$4:$A$21,0))*$R124*INDEX(Parameters!$X$14:$AA$14,1,MATCH($E124,Parameters!$X$3:$AA$3,0))),BR124*(1+INDEX(Response_Table!$N$4:$N$21,MATCH($F124&amp;"|high",Response_Table!$A$4:$A$21,0))*$R124*INDEX(Parameters!$X$14:$AA$14,1,MATCH($E124,Parameters!$X$3:$AA$3,0))))*(1-Inputs_General!$C$22*Parameters!$F$14))</f>
        <v>8.84124516083727</v>
      </c>
      <c r="BU124" s="44" t="n">
        <f aca="false">MAX(BR124*(1+INDEX(Response_Table!$N$4:$N$21,MATCH($F124&amp;"|low",Response_Table!$A$4:$A$21,0))*$R124*INDEX(Parameters!$X$14:$AA$14,1,MATCH($E124,Parameters!$X$3:$AA$3,0))),BR124*(1+INDEX(Response_Table!$N$4:$N$21,MATCH($F124&amp;"|high",Response_Table!$A$4:$A$21,0))*$R124*INDEX(Parameters!$X$14:$AA$14,1,MATCH($E124,Parameters!$X$3:$AA$3,0))))*(1+Inputs_General!$C$22*Parameters!$F$14)</f>
        <v>26.7939496871105</v>
      </c>
      <c r="BV124" s="45" t="n">
        <f aca="false">IF(BR124=0,0,BS124/BR124-1)</f>
        <v>0.0219475477558369</v>
      </c>
      <c r="BW124" s="43" t="n">
        <f aca="false">Parameters!$E$15*IF($N124="V",Parameters!$I$15,IF($N124="F",Parameters!$J$15,Parameters!$K$15))*(1-Parameters!$L$15*$P124)*IF($D124="V1",Parameters!$M$15,IF($D124="V2",Parameters!$N$15,Parameters!$O$15))</f>
        <v>10.8</v>
      </c>
      <c r="BX124" s="43" t="n">
        <f aca="false">BW124*(1+INDEX(Response_Table!$O$4:$O$21,MATCH($F124&amp;"|mid",Response_Table!$A$4:$A$21,0))*$R124*INDEX(Parameters!$X$15:$AA$15,1,MATCH($E124,Parameters!$X$3:$AA$3,0)))</f>
        <v>10.7407416210592</v>
      </c>
      <c r="BY124" s="43" t="n">
        <f aca="false">MAX(0,MIN(BW124*(1+INDEX(Response_Table!$O$4:$O$21,MATCH($F124&amp;"|low",Response_Table!$A$4:$A$21,0))*$R124*INDEX(Parameters!$X$15:$AA$15,1,MATCH($E124,Parameters!$X$3:$AA$3,0))),BW124*(1+INDEX(Response_Table!$O$4:$O$21,MATCH($F124&amp;"|high",Response_Table!$A$4:$A$21,0))*$R124*INDEX(Parameters!$X$15:$AA$15,1,MATCH($E124,Parameters!$X$3:$AA$3,0))))*(1-Inputs_General!$C$22*Parameters!$F$15))</f>
        <v>8.59110860676352</v>
      </c>
      <c r="BZ124" s="43" t="n">
        <f aca="false">MAX(BW124*(1+INDEX(Response_Table!$O$4:$O$21,MATCH($F124&amp;"|low",Response_Table!$A$4:$A$21,0))*$R124*INDEX(Parameters!$X$15:$AA$15,1,MATCH($E124,Parameters!$X$3:$AA$3,0))),BW124*(1+INDEX(Response_Table!$O$4:$O$21,MATCH($F124&amp;"|high",Response_Table!$A$4:$A$21,0))*$R124*INDEX(Parameters!$X$15:$AA$15,1,MATCH($E124,Parameters!$X$3:$AA$3,0))))*(1+Inputs_General!$C$22*Parameters!$F$15)</f>
        <v>12.9075550052682</v>
      </c>
      <c r="CA124" s="45" t="n">
        <f aca="false">IF(BW124=0,0,BX124/BW124-1)</f>
        <v>-0.00548688693895916</v>
      </c>
      <c r="CB124" s="46" t="n">
        <f aca="false">BD124+BI124</f>
        <v>1.6236623475818</v>
      </c>
      <c r="CC124" s="43" t="n">
        <f aca="false">BD124/BI124</f>
        <v>2.76312682659183</v>
      </c>
      <c r="CD124" s="46" t="n">
        <f aca="false">BN124/CB124</f>
        <v>0.182791615180338</v>
      </c>
      <c r="CE124" s="43" t="n">
        <f aca="false">AE124/AO124</f>
        <v>4.31104263488601</v>
      </c>
      <c r="CF124" s="44" t="n">
        <f aca="false">AE124/AJ124</f>
        <v>41.0189525690629</v>
      </c>
      <c r="CG124" s="44" t="n">
        <f aca="false">INDEX(Context!$V$4:$V$51,$K124)</f>
        <v>22.6257142857143</v>
      </c>
      <c r="CH124" s="44" t="n">
        <f aca="false">INDEX(Context!$Y$4:$Y$51,$K124)</f>
        <v>21.3177449518561</v>
      </c>
      <c r="CI124" s="44" t="n">
        <f aca="false">INDEX(Context!$Z$4:$Z$51,$K124)</f>
        <v>26.6257142857143</v>
      </c>
      <c r="CJ124" s="43" t="n">
        <f aca="false">INDEX(Context!$AA$4:$AA$51,$K124)</f>
        <v>0.12</v>
      </c>
      <c r="CK124" s="43" t="n">
        <f aca="false">MAX(0,MIN(1,1-(1-CJ124)*AO124/AN124))</f>
        <v>0.14712840612323</v>
      </c>
      <c r="CL124" s="44" t="n">
        <f aca="false">CH124+CK124*(CI124-CH124)</f>
        <v>22.0986980196976</v>
      </c>
      <c r="CM124" s="44" t="n">
        <f aca="false">CH124+MAX(0,MIN(1,1-(1-CJ124)*AQ124/AN124))*(CI124-CH124)</f>
        <v>21.3177449518561</v>
      </c>
      <c r="CN124" s="44" t="n">
        <f aca="false">CH124+MAX(0,MIN(1,1-(1-CJ124)*AP124/AN124))*(CI124-CH124)</f>
        <v>23.5325024685731</v>
      </c>
      <c r="CO124" s="44" t="n">
        <f aca="false">CL124-CG124</f>
        <v>-0.527016266016695</v>
      </c>
      <c r="CP124" s="44" t="n">
        <f aca="false">CL124-(CH124+CJ124*(CI124-CH124))</f>
        <v>0.143996747778555</v>
      </c>
      <c r="CQ124" s="46" t="n">
        <f aca="false">CL124/CG124</f>
        <v>0.976707198749104</v>
      </c>
      <c r="CR124" s="43" t="n">
        <f aca="false">IF(CL124-CH124&lt;=0,"n/a",(CI124-CL124)/(CL124-CH124))</f>
        <v>5.79678402253902</v>
      </c>
      <c r="CS124" s="43" t="n">
        <f aca="false">IF(CI124-CL124&lt;=0,"n/a",(CL124-CH124)/(CI124-CL124))</f>
        <v>0.172509445946547</v>
      </c>
      <c r="CT124" s="43" t="n">
        <f aca="false">Inputs_General!$C$23+Inputs_General!$C$24*$I124</f>
        <v>0.66</v>
      </c>
      <c r="CU124" s="44" t="n">
        <f aca="false">3.29*CT124</f>
        <v>2.1714</v>
      </c>
    </row>
    <row r="125" customFormat="false" ht="15" hidden="false" customHeight="false" outlineLevel="0" collapsed="false">
      <c r="A125" s="9" t="str">
        <f aca="false">B125&amp;"|"&amp;E125&amp;"|"&amp;F125</f>
        <v>D2V3|11/02/2026|Low</v>
      </c>
      <c r="B125" s="7" t="s">
        <v>348</v>
      </c>
      <c r="C125" s="9" t="s">
        <v>129</v>
      </c>
      <c r="D125" s="9" t="s">
        <v>150</v>
      </c>
      <c r="E125" s="9" t="s">
        <v>158</v>
      </c>
      <c r="F125" s="7" t="s">
        <v>279</v>
      </c>
      <c r="G125" s="9" t="s">
        <v>280</v>
      </c>
      <c r="H125" s="41" t="n">
        <f aca="false">INDEX(Severity_Classes!$C$4:$C$9,MATCH(F125,Severity_Classes!$A$4:$A$9,0))</f>
        <v>0.06</v>
      </c>
      <c r="I125" s="41" t="n">
        <f aca="false">INDEX(Severity_Classes!$D$4:$D$9,MATCH(F125,Severity_Classes!$A$4:$A$9,0))</f>
        <v>0.08</v>
      </c>
      <c r="J125" s="41" t="n">
        <f aca="false">INDEX(Severity_Classes!$E$4:$E$9,MATCH(F125,Severity_Classes!$A$4:$A$9,0))</f>
        <v>0.1</v>
      </c>
      <c r="K125" s="42" t="n">
        <f aca="false">MATCH(B125&amp;"|"&amp;E125,Context!$A$4:$A$51,0)</f>
        <v>21</v>
      </c>
      <c r="L125" s="42" t="n">
        <f aca="false">INDEX(Context!$H$4:$H$51,K125)</f>
        <v>55</v>
      </c>
      <c r="M125" s="42" t="n">
        <f aca="false">INDEX(Context!$I$4:$I$51,K125)</f>
        <v>6</v>
      </c>
      <c r="N125" s="9" t="str">
        <f aca="false">INDEX(Context!$L$4:$L$51,K125)</f>
        <v>V</v>
      </c>
      <c r="O125" s="9" t="str">
        <f aca="false">INDEX(Context!$M$4:$M$51,K125)</f>
        <v>3rd fully expanded leaf from top</v>
      </c>
      <c r="P125" s="43" t="n">
        <f aca="false">INDEX(Context!$R$4:$R$51,K125)</f>
        <v>0</v>
      </c>
      <c r="Q125" s="43" t="n">
        <f aca="false">INDEX(Context!$U$4:$U$51,K125)</f>
        <v>0.937791824040773</v>
      </c>
      <c r="R125" s="43" t="n">
        <f aca="false">INDEX(Context!$AD$4:$AD$51,K125)</f>
        <v>0.85</v>
      </c>
      <c r="S125" s="9" t="str">
        <f aca="false">INDEX(Context!$AI$4:$AN$51,K125,MATCH(F125,Severity_Classes!$A$4:$A$9,0))</f>
        <v>Likely</v>
      </c>
      <c r="T125" s="44" t="n">
        <f aca="false">Parameters!$E$4*IF($N125="V",Parameters!$I$4,IF($N125="F",Parameters!$J$4,Parameters!$K$4))*(1-Parameters!$L$4*$P125)*IF($D125="V1",Parameters!$M$4,IF($D125="V2",Parameters!$N$4,Parameters!$O$4))</f>
        <v>86</v>
      </c>
      <c r="U125" s="44" t="n">
        <f aca="false">MIN(100,T125*(1+INDEX(Response_Table!$E$4:$E$21,MATCH($F125&amp;"|mid",Response_Table!$A$4:$A$21,0))*$R125*INDEX(Parameters!$X$4:$AA$4,1,MATCH($E125,Parameters!$X$3:$AA$3,0))))</f>
        <v>85.4912742489841</v>
      </c>
      <c r="V125" s="44" t="n">
        <f aca="false">MAX(0,MIN(T125*(1+INDEX(Response_Table!$E$4:$E$21,MATCH($F125&amp;"|low",Response_Table!$A$4:$A$21,0))*$R125*INDEX(Parameters!$X$4:$AA$4,1,MATCH($E125,Parameters!$X$3:$AA$3,0))),T125*(1+INDEX(Response_Table!$E$4:$E$21,MATCH($F125&amp;"|high",Response_Table!$A$4:$A$21,0))*$R125*INDEX(Parameters!$X$4:$AA$4,1,MATCH($E125,Parameters!$X$3:$AA$3,0))))*(1-Inputs_General!$C$22*Parameters!$F$4))</f>
        <v>79.6999011519644</v>
      </c>
      <c r="W125" s="44" t="n">
        <f aca="false">MIN(100,MAX(T125*(1+INDEX(Response_Table!$E$4:$E$21,MATCH($F125&amp;"|low",Response_Table!$A$4:$A$21,0))*$R125*INDEX(Parameters!$X$4:$AA$4,1,MATCH($E125,Parameters!$X$3:$AA$3,0))),T125*(1+INDEX(Response_Table!$E$4:$E$21,MATCH($F125&amp;"|high",Response_Table!$A$4:$A$21,0))*$R125*INDEX(Parameters!$X$4:$AA$4,1,MATCH($E125,Parameters!$X$3:$AA$3,0))))*(1+Inputs_General!$C$22*Parameters!$F$4))</f>
        <v>91.2821523734045</v>
      </c>
      <c r="X125" s="45" t="n">
        <f aca="false">IF(T125=0,0,U125/T125-1)</f>
        <v>-0.00591541570948695</v>
      </c>
      <c r="Y125" s="44" t="n">
        <f aca="false">Parameters!$E$5*IF($N125="V",Parameters!$I$5,IF($N125="F",Parameters!$J$5,Parameters!$K$5))*(1-Parameters!$L$5*$P125)*IF($D125="V1",Parameters!$M$5,IF($D125="V2",Parameters!$N$5,Parameters!$O$5))</f>
        <v>72</v>
      </c>
      <c r="Z125" s="44" t="n">
        <f aca="false">MIN(100,Y125*(1+INDEX(Response_Table!$F$4:$F$21,MATCH($F125&amp;"|mid",Response_Table!$A$4:$A$21,0))*$R125*INDEX(Parameters!$X$5:$AA$5,1,MATCH($E125,Parameters!$X$3:$AA$3,0))))</f>
        <v>70.5939570018953</v>
      </c>
      <c r="AA125" s="44" t="n">
        <f aca="false">MAX(0,MIN(Y125*(1+INDEX(Response_Table!$F$4:$F$21,MATCH($F125&amp;"|low",Response_Table!$A$4:$A$21,0))*$R125*INDEX(Parameters!$X$5:$AA$5,1,MATCH($E125,Parameters!$X$3:$AA$3,0))),Y125*(1+INDEX(Response_Table!$F$4:$F$21,MATCH($F125&amp;"|high",Response_Table!$A$4:$A$21,0))*$R125*INDEX(Parameters!$X$5:$AA$5,1,MATCH($E125,Parameters!$X$3:$AA$3,0))))*(1-Inputs_General!$C$22*Parameters!$F$5))</f>
        <v>62.0096981660899</v>
      </c>
      <c r="AB125" s="44" t="n">
        <f aca="false">MIN(100,MAX(Y125*(1+INDEX(Response_Table!$F$4:$F$21,MATCH($F125&amp;"|low",Response_Table!$A$4:$A$21,0))*$R125*INDEX(Parameters!$X$5:$AA$5,1,MATCH($E125,Parameters!$X$3:$AA$3,0))),Y125*(1+INDEX(Response_Table!$F$4:$F$21,MATCH($F125&amp;"|high",Response_Table!$A$4:$A$21,0))*$R125*INDEX(Parameters!$X$5:$AA$5,1,MATCH($E125,Parameters!$X$3:$AA$3,0))))*(1+Inputs_General!$C$22*Parameters!$F$5))</f>
        <v>79.2157573857933</v>
      </c>
      <c r="AC125" s="45" t="n">
        <f aca="false">IF(Y125=0,0,Z125/Y125-1)</f>
        <v>-0.0195283749736768</v>
      </c>
      <c r="AD125" s="44" t="n">
        <f aca="false">Parameters!$E$6*IF($N125="V",Parameters!$I$6,IF($N125="F",Parameters!$J$6,Parameters!$K$6))*(1-Parameters!$L$6*$P125)*IF($D125="V1",Parameters!$M$6,IF($D125="V2",Parameters!$N$6,Parameters!$O$6))</f>
        <v>19.57</v>
      </c>
      <c r="AE125" s="44" t="n">
        <f aca="false">AD125*(1+INDEX(Response_Table!$G$4:$G$21,MATCH($F125&amp;"|mid",Response_Table!$A$4:$A$21,0))*$R125*INDEX(Parameters!$X$6:$AA$6,1,MATCH($E125,Parameters!$X$3:$AA$3,0)))</f>
        <v>16.6085279134093</v>
      </c>
      <c r="AF125" s="44" t="n">
        <f aca="false">MAX(0,MIN(AD125*(1+INDEX(Response_Table!$G$4:$G$21,MATCH($F125&amp;"|low",Response_Table!$A$4:$A$21,0))*$R125*INDEX(Parameters!$X$6:$AA$6,1,MATCH($E125,Parameters!$X$3:$AA$3,0))),AD125*(1+INDEX(Response_Table!$G$4:$G$21,MATCH($F125&amp;"|high",Response_Table!$A$4:$A$21,0))*$R125*INDEX(Parameters!$X$6:$AA$6,1,MATCH($E125,Parameters!$X$3:$AA$3,0))))*(1-Inputs_General!$C$22*Parameters!$F$6))</f>
        <v>12.8554322555242</v>
      </c>
      <c r="AG125" s="44" t="n">
        <f aca="false">MAX(AD125*(1+INDEX(Response_Table!$G$4:$G$21,MATCH($F125&amp;"|low",Response_Table!$A$4:$A$21,0))*$R125*INDEX(Parameters!$X$6:$AA$6,1,MATCH($E125,Parameters!$X$3:$AA$3,0))),AD125*(1+INDEX(Response_Table!$G$4:$G$21,MATCH($F125&amp;"|high",Response_Table!$A$4:$A$21,0))*$R125*INDEX(Parameters!$X$6:$AA$6,1,MATCH($E125,Parameters!$X$3:$AA$3,0))))*(1+Inputs_General!$C$22*Parameters!$F$6)</f>
        <v>20.6601952535832</v>
      </c>
      <c r="AH125" s="45" t="n">
        <f aca="false">IF(AD125=0,0,AE125/AD125-1)</f>
        <v>-0.151327137792066</v>
      </c>
      <c r="AI125" s="46" t="n">
        <f aca="false">Parameters!$E$7*IF($N125="V",Parameters!$I$7,IF($N125="F",Parameters!$J$7,Parameters!$K$7))*(1-Parameters!$L$7*$P125)*IF($D125="V1",Parameters!$M$7,IF($D125="V2",Parameters!$N$7,Parameters!$O$7))*POWER($Q125/Inputs_General!$C$26,-Inputs_General!$C$25)</f>
        <v>0.464685683730118</v>
      </c>
      <c r="AJ125" s="46" t="n">
        <f aca="false">AI125*(1+INDEX(Response_Table!$H$4:$H$21,MATCH($F125&amp;"|mid",Response_Table!$A$4:$A$21,0))*$R125*INDEX(Parameters!$X$7:$AA$7,1,MATCH($E125,Parameters!$X$3:$AA$3,0)))</f>
        <v>0.420860951335111</v>
      </c>
      <c r="AK125" s="46" t="n">
        <f aca="false">MAX(0,MIN(AI125*(1+INDEX(Response_Table!$H$4:$H$21,MATCH($F125&amp;"|low",Response_Table!$A$4:$A$21,0))*$R125*INDEX(Parameters!$X$7:$AA$7,1,MATCH($E125,Parameters!$X$3:$AA$3,0))),AI125*(1+INDEX(Response_Table!$H$4:$H$21,MATCH($F125&amp;"|high",Response_Table!$A$4:$A$21,0))*$R125*INDEX(Parameters!$X$7:$AA$7,1,MATCH($E125,Parameters!$X$3:$AA$3,0))))*(1-Inputs_General!$C$22*Parameters!$F$7))</f>
        <v>0.28962110515998</v>
      </c>
      <c r="AL125" s="46" t="n">
        <f aca="false">MAX(AI125*(1+INDEX(Response_Table!$H$4:$H$21,MATCH($F125&amp;"|low",Response_Table!$A$4:$A$21,0))*$R125*INDEX(Parameters!$X$7:$AA$7,1,MATCH($E125,Parameters!$X$3:$AA$3,0))),AI125*(1+INDEX(Response_Table!$H$4:$H$21,MATCH($F125&amp;"|high",Response_Table!$A$4:$A$21,0))*$R125*INDEX(Parameters!$X$7:$AA$7,1,MATCH($E125,Parameters!$X$3:$AA$3,0))))*(1+Inputs_General!$C$22*Parameters!$F$7)</f>
        <v>0.558426831117588</v>
      </c>
      <c r="AM125" s="45" t="n">
        <f aca="false">IF(AI125=0,0,AJ125/AI125-1)</f>
        <v>-0.0943104854085833</v>
      </c>
      <c r="AN125" s="43" t="n">
        <f aca="false">AI125*$Q125/Inputs_General!$C$13*1000</f>
        <v>4.38850387664553</v>
      </c>
      <c r="AO125" s="43" t="n">
        <f aca="false">AJ125*$Q125/Inputs_General!$C$13*1000*(1+Inputs_General!$C$21*$I125)</f>
        <v>4.05411438473807</v>
      </c>
      <c r="AP125" s="43" t="n">
        <f aca="false">AK125*$Q125/Inputs_General!$C$13*1000*(1+Inputs_General!$C$21*$H125)</f>
        <v>2.77621721103738</v>
      </c>
      <c r="AQ125" s="43" t="n">
        <f aca="false">AL125*$Q125/Inputs_General!$C$13*1000*(1+Inputs_General!$C$21*$J125)</f>
        <v>5.40564269346171</v>
      </c>
      <c r="AR125" s="45" t="n">
        <f aca="false">IF(AN125=0,0,AO125/AN125-1)</f>
        <v>-0.0761966951167549</v>
      </c>
      <c r="AS125" s="42" t="n">
        <f aca="false">Parameters!$E$9*IF($N125="V",Parameters!$I$9,IF($N125="F",Parameters!$J$9,Parameters!$K$9))*(1-Parameters!$L$9*$P125)*IF($D125="V1",Parameters!$M$9,IF($D125="V2",Parameters!$N$9,Parameters!$O$9))</f>
        <v>285</v>
      </c>
      <c r="AT125" s="42" t="n">
        <f aca="false">AS125*(1+INDEX(Response_Table!$I$4:$I$21,MATCH($F125&amp;"|mid",Response_Table!$A$4:$A$21,0))*$R125*INDEX(Parameters!$X$9:$AA$9,1,MATCH($E125,Parameters!$X$3:$AA$3,0)))</f>
        <v>300.921694984536</v>
      </c>
      <c r="AU125" s="42" t="n">
        <f aca="false">MAX(0,MIN(AS125*(1+INDEX(Response_Table!$I$4:$I$21,MATCH($F125&amp;"|low",Response_Table!$A$4:$A$21,0))*$R125*INDEX(Parameters!$X$9:$AA$9,1,MATCH($E125,Parameters!$X$3:$AA$3,0))),AS125*(1+INDEX(Response_Table!$I$4:$I$21,MATCH($F125&amp;"|high",Response_Table!$A$4:$A$21,0))*$R125*INDEX(Parameters!$X$9:$AA$9,1,MATCH($E125,Parameters!$X$3:$AA$3,0))))*(1-Inputs_General!$C$22*Parameters!$F$9))</f>
        <v>268.051537634836</v>
      </c>
      <c r="AV125" s="42" t="n">
        <f aca="false">MAX(AS125*(1+INDEX(Response_Table!$I$4:$I$21,MATCH($F125&amp;"|low",Response_Table!$A$4:$A$21,0))*$R125*INDEX(Parameters!$X$9:$AA$9,1,MATCH($E125,Parameters!$X$3:$AA$3,0))),AS125*(1+INDEX(Response_Table!$I$4:$I$21,MATCH($F125&amp;"|high",Response_Table!$A$4:$A$21,0))*$R125*INDEX(Parameters!$X$9:$AA$9,1,MATCH($E125,Parameters!$X$3:$AA$3,0))))*(1+Inputs_General!$C$22*Parameters!$F$9)</f>
        <v>334.188933905556</v>
      </c>
      <c r="AW125" s="45" t="n">
        <f aca="false">IF(AS125=0,0,AT125/AS125-1)</f>
        <v>0.055865596436967</v>
      </c>
      <c r="AX125" s="43" t="n">
        <f aca="false">INDEX(Context!$AB$4:$AB$51,$K125)</f>
        <v>1.88260488051479</v>
      </c>
      <c r="AY125" s="43" t="n">
        <f aca="false">AX125*(1+INDEX(Response_Table!$J$4:$J$21,MATCH($F125&amp;"|mid",Response_Table!$A$4:$A$21,0))*$R125*INDEX(Parameters!$X$10:$AA$10,1,MATCH($E125,Parameters!$X$3:$AA$3,0)))</f>
        <v>1.81733921745452</v>
      </c>
      <c r="AZ125" s="43" t="n">
        <f aca="false">MAX(0,MIN(AX125*(1+INDEX(Response_Table!$J$4:$J$21,MATCH($F125&amp;"|low",Response_Table!$A$4:$A$21,0))*$R125*INDEX(Parameters!$X$10:$AA$10,1,MATCH($E125,Parameters!$X$3:$AA$3,0))),AX125*(1+INDEX(Response_Table!$J$4:$J$21,MATCH($F125&amp;"|high",Response_Table!$A$4:$A$21,0))*$R125*INDEX(Parameters!$X$10:$AA$10,1,MATCH($E125,Parameters!$X$3:$AA$3,0))))*(1-Inputs_General!$C$22*Parameters!$F$10))</f>
        <v>1.44705770594355</v>
      </c>
      <c r="BA125" s="43" t="n">
        <f aca="false">MAX(AX125*(1+INDEX(Response_Table!$J$4:$J$21,MATCH($F125&amp;"|low",Response_Table!$A$4:$A$21,0))*$R125*INDEX(Parameters!$X$10:$AA$10,1,MATCH($E125,Parameters!$X$3:$AA$3,0))),AX125*(1+INDEX(Response_Table!$J$4:$J$21,MATCH($F125&amp;"|high",Response_Table!$A$4:$A$21,0))*$R125*INDEX(Parameters!$X$10:$AA$10,1,MATCH($E125,Parameters!$X$3:$AA$3,0))))*(1+Inputs_General!$C$22*Parameters!$F$10)</f>
        <v>2.19417927065248</v>
      </c>
      <c r="BB125" s="45" t="n">
        <f aca="false">IF(AX125=0,0,AY125/AX125-1)</f>
        <v>-0.0346677434738359</v>
      </c>
      <c r="BC125" s="46" t="n">
        <f aca="false">Parameters!$E$11*IF($N125="V",Parameters!$I$11,IF($N125="F",Parameters!$J$11,Parameters!$K$11))*(1-Parameters!$L$11*$P125)*IF($D125="V1",Parameters!$M$11,IF($D125="V2",Parameters!$N$11,Parameters!$O$11))</f>
        <v>1.223125</v>
      </c>
      <c r="BD125" s="46" t="n">
        <f aca="false">BC125*(1+INDEX(Response_Table!$K$4:$K$21,MATCH($F125&amp;"|mid",Response_Table!$A$4:$A$21,0))*$R125*INDEX(Parameters!$X$11:$AA$11,1,MATCH($E125,Parameters!$X$3:$AA$3,0)))</f>
        <v>1.1468102180287</v>
      </c>
      <c r="BE125" s="46" t="n">
        <f aca="false">MAX(0,MIN(BC125*(1+INDEX(Response_Table!$K$4:$K$21,MATCH($F125&amp;"|low",Response_Table!$A$4:$A$21,0))*$R125*INDEX(Parameters!$X$11:$AA$11,1,MATCH($E125,Parameters!$X$3:$AA$3,0))),BC125*(1+INDEX(Response_Table!$K$4:$K$21,MATCH($F125&amp;"|high",Response_Table!$A$4:$A$21,0))*$R125*INDEX(Parameters!$X$11:$AA$11,1,MATCH($E125,Parameters!$X$3:$AA$3,0))))*(1-Inputs_General!$C$22*Parameters!$F$11))</f>
        <v>0.944611260947583</v>
      </c>
      <c r="BF125" s="46" t="n">
        <f aca="false">MAX(BC125*(1+INDEX(Response_Table!$K$4:$K$21,MATCH($F125&amp;"|low",Response_Table!$A$4:$A$21,0))*$R125*INDEX(Parameters!$X$11:$AA$11,1,MATCH($E125,Parameters!$X$3:$AA$3,0))),BC125*(1+INDEX(Response_Table!$K$4:$K$21,MATCH($F125&amp;"|high",Response_Table!$A$4:$A$21,0))*$R125*INDEX(Parameters!$X$11:$AA$11,1,MATCH($E125,Parameters!$X$3:$AA$3,0))))*(1+Inputs_General!$C$22*Parameters!$F$11)</f>
        <v>1.35559239820745</v>
      </c>
      <c r="BG125" s="45" t="n">
        <f aca="false">IF(BC125=0,0,BD125/BC125-1)</f>
        <v>-0.0623932811211415</v>
      </c>
      <c r="BH125" s="46" t="n">
        <f aca="false">Parameters!$E$12*IF($N125="V",Parameters!$I$12,IF($N125="F",Parameters!$J$12,Parameters!$K$12))*(1-Parameters!$L$12*$P125)*IF($D125="V1",Parameters!$M$12,IF($D125="V2",Parameters!$N$12,Parameters!$O$12))</f>
        <v>0.440325</v>
      </c>
      <c r="BI125" s="46" t="n">
        <f aca="false">BH125*(1+INDEX(Response_Table!$L$4:$L$21,MATCH($F125&amp;"|mid",Response_Table!$A$4:$A$21,0))*$R125*INDEX(Parameters!$X$12:$AA$12,1,MATCH($E125,Parameters!$X$3:$AA$3,0)))</f>
        <v>0.418363465896016</v>
      </c>
      <c r="BJ125" s="46" t="n">
        <f aca="false">MAX(0,MIN(BH125*(1+INDEX(Response_Table!$L$4:$L$21,MATCH($F125&amp;"|low",Response_Table!$A$4:$A$21,0))*$R125*INDEX(Parameters!$X$12:$AA$12,1,MATCH($E125,Parameters!$X$3:$AA$3,0))),BH125*(1+INDEX(Response_Table!$L$4:$L$21,MATCH($F125&amp;"|high",Response_Table!$A$4:$A$21,0))*$R125*INDEX(Parameters!$X$12:$AA$12,1,MATCH($E125,Parameters!$X$3:$AA$3,0))))*(1-Inputs_General!$C$22*Parameters!$F$12))</f>
        <v>0.331994257432185</v>
      </c>
      <c r="BK125" s="46" t="n">
        <f aca="false">MAX(BH125*(1+INDEX(Response_Table!$L$4:$L$21,MATCH($F125&amp;"|low",Response_Table!$A$4:$A$21,0))*$R125*INDEX(Parameters!$X$12:$AA$12,1,MATCH($E125,Parameters!$X$3:$AA$3,0))),BH125*(1+INDEX(Response_Table!$L$4:$L$21,MATCH($F125&amp;"|high",Response_Table!$A$4:$A$21,0))*$R125*INDEX(Parameters!$X$12:$AA$12,1,MATCH($E125,Parameters!$X$3:$AA$3,0))))*(1+Inputs_General!$C$22*Parameters!$F$12)</f>
        <v>0.506943270243015</v>
      </c>
      <c r="BL125" s="45" t="n">
        <f aca="false">IF(BH125=0,0,BI125/BH125-1)</f>
        <v>-0.0498757374756931</v>
      </c>
      <c r="BM125" s="46" t="n">
        <f aca="false">Parameters!$E$13*IF($N125="V",Parameters!$I$13,IF($N125="F",Parameters!$J$13,Parameters!$K$13))*(1-Parameters!$L$13*$P125)*IF($D125="V1",Parameters!$M$13,IF($D125="V2",Parameters!$N$13,Parameters!$O$13))</f>
        <v>0.29355</v>
      </c>
      <c r="BN125" s="46" t="n">
        <f aca="false">BM125*(1+INDEX(Response_Table!$M$4:$M$21,MATCH($F125&amp;"|mid",Response_Table!$A$4:$A$21,0))*$R125*INDEX(Parameters!$X$13:$AA$13,1,MATCH($E125,Parameters!$X$3:$AA$3,0)))</f>
        <v>0.295092437973104</v>
      </c>
      <c r="BO125" s="46" t="n">
        <f aca="false">MAX(0,MIN(BM125*(1+INDEX(Response_Table!$M$4:$M$21,MATCH($F125&amp;"|low",Response_Table!$A$4:$A$21,0))*$R125*INDEX(Parameters!$X$13:$AA$13,1,MATCH($E125,Parameters!$X$3:$AA$3,0))),BM125*(1+INDEX(Response_Table!$M$4:$M$21,MATCH($F125&amp;"|high",Response_Table!$A$4:$A$21,0))*$R125*INDEX(Parameters!$X$13:$AA$13,1,MATCH($E125,Parameters!$X$3:$AA$3,0))))*(1-Inputs_General!$C$22*Parameters!$F$13))</f>
        <v>0.235235476333029</v>
      </c>
      <c r="BP125" s="46" t="n">
        <f aca="false">MAX(BM125*(1+INDEX(Response_Table!$M$4:$M$21,MATCH($F125&amp;"|low",Response_Table!$A$4:$A$21,0))*$R125*INDEX(Parameters!$X$13:$AA$13,1,MATCH($E125,Parameters!$X$3:$AA$3,0))),BM125*(1+INDEX(Response_Table!$M$4:$M$21,MATCH($F125&amp;"|high",Response_Table!$A$4:$A$21,0))*$R125*INDEX(Parameters!$X$13:$AA$13,1,MATCH($E125,Parameters!$X$3:$AA$3,0))))*(1+Inputs_General!$C$22*Parameters!$F$13)</f>
        <v>0.355024906782999</v>
      </c>
      <c r="BQ125" s="45" t="n">
        <f aca="false">IF(BM125=0,0,BN125/BM125-1)</f>
        <v>0.00525443015875982</v>
      </c>
      <c r="BR125" s="44" t="n">
        <f aca="false">Parameters!$E$14*IF($N125="V",Parameters!$I$14,IF($N125="F",Parameters!$J$14,Parameters!$K$14))*(1-Parameters!$L$14*$P125)*IF($D125="V1",Parameters!$M$14,IF($D125="V2",Parameters!$N$14,Parameters!$O$14))*INDEX(Context!$AC$4:$AC$51,$K125)</f>
        <v>17.325</v>
      </c>
      <c r="BS125" s="44" t="n">
        <f aca="false">BR125*(1+INDEX(Response_Table!$N$4:$N$21,MATCH($F125&amp;"|mid",Response_Table!$A$4:$A$21,0))*$R125*INDEX(Parameters!$X$14:$AA$14,1,MATCH($E125,Parameters!$X$3:$AA$3,0)))</f>
        <v>18.2676514382906</v>
      </c>
      <c r="BT125" s="44" t="n">
        <f aca="false">MAX(0,MIN(BR125*(1+INDEX(Response_Table!$N$4:$N$21,MATCH($F125&amp;"|low",Response_Table!$A$4:$A$21,0))*$R125*INDEX(Parameters!$X$14:$AA$14,1,MATCH($E125,Parameters!$X$3:$AA$3,0))),BR125*(1+INDEX(Response_Table!$N$4:$N$21,MATCH($F125&amp;"|high",Response_Table!$A$4:$A$21,0))*$R125*INDEX(Parameters!$X$14:$AA$14,1,MATCH($E125,Parameters!$X$3:$AA$3,0))))*(1-Inputs_General!$C$22*Parameters!$F$14))</f>
        <v>9.14372071887666</v>
      </c>
      <c r="BU125" s="44" t="n">
        <f aca="false">MAX(BR125*(1+INDEX(Response_Table!$N$4:$N$21,MATCH($F125&amp;"|low",Response_Table!$A$4:$A$21,0))*$R125*INDEX(Parameters!$X$14:$AA$14,1,MATCH($E125,Parameters!$X$3:$AA$3,0))),BR125*(1+INDEX(Response_Table!$N$4:$N$21,MATCH($F125&amp;"|high",Response_Table!$A$4:$A$21,0))*$R125*INDEX(Parameters!$X$14:$AA$14,1,MATCH($E125,Parameters!$X$3:$AA$3,0))))*(1+Inputs_General!$C$22*Parameters!$F$14)</f>
        <v>27.5849938423872</v>
      </c>
      <c r="BV125" s="45" t="n">
        <f aca="false">IF(BR125=0,0,BS125/BR125-1)</f>
        <v>0.0544098954280288</v>
      </c>
      <c r="BW125" s="43" t="n">
        <f aca="false">Parameters!$E$15*IF($N125="V",Parameters!$I$15,IF($N125="F",Parameters!$J$15,Parameters!$K$15))*(1-Parameters!$L$15*$P125)*IF($D125="V1",Parameters!$M$15,IF($D125="V2",Parameters!$N$15,Parameters!$O$15))</f>
        <v>10.8</v>
      </c>
      <c r="BX125" s="43" t="n">
        <f aca="false">BW125*(1+INDEX(Response_Table!$O$4:$O$21,MATCH($F125&amp;"|mid",Response_Table!$A$4:$A$21,0))*$R125*INDEX(Parameters!$X$15:$AA$15,1,MATCH($E125,Parameters!$X$3:$AA$3,0)))</f>
        <v>10.6530932823443</v>
      </c>
      <c r="BY125" s="43" t="n">
        <f aca="false">MAX(0,MIN(BW125*(1+INDEX(Response_Table!$O$4:$O$21,MATCH($F125&amp;"|low",Response_Table!$A$4:$A$21,0))*$R125*INDEX(Parameters!$X$15:$AA$15,1,MATCH($E125,Parameters!$X$3:$AA$3,0))),BW125*(1+INDEX(Response_Table!$O$4:$O$21,MATCH($F125&amp;"|high",Response_Table!$A$4:$A$21,0))*$R125*INDEX(Parameters!$X$15:$AA$15,1,MATCH($E125,Parameters!$X$3:$AA$3,0))))*(1-Inputs_General!$C$22*Parameters!$F$15))</f>
        <v>8.52485871464833</v>
      </c>
      <c r="BZ125" s="43" t="n">
        <f aca="false">MAX(BW125*(1+INDEX(Response_Table!$O$4:$O$21,MATCH($F125&amp;"|low",Response_Table!$A$4:$A$21,0))*$R125*INDEX(Parameters!$X$15:$AA$15,1,MATCH($E125,Parameters!$X$3:$AA$3,0))),BW125*(1+INDEX(Response_Table!$O$4:$O$21,MATCH($F125&amp;"|high",Response_Table!$A$4:$A$21,0))*$R125*INDEX(Parameters!$X$15:$AA$15,1,MATCH($E125,Parameters!$X$3:$AA$3,0))))*(1+Inputs_General!$C$22*Parameters!$F$15)</f>
        <v>12.7961151314625</v>
      </c>
      <c r="CA125" s="45" t="n">
        <f aca="false">IF(BW125=0,0,BX125/BW125-1)</f>
        <v>-0.0136024738570073</v>
      </c>
      <c r="CB125" s="46" t="n">
        <f aca="false">BD125+BI125</f>
        <v>1.56517368392472</v>
      </c>
      <c r="CC125" s="43" t="n">
        <f aca="false">BD125/BI125</f>
        <v>2.74118155984907</v>
      </c>
      <c r="CD125" s="46" t="n">
        <f aca="false">BN125/CB125</f>
        <v>0.188536544540636</v>
      </c>
      <c r="CE125" s="43" t="n">
        <f aca="false">AE125/AO125</f>
        <v>4.09670925318066</v>
      </c>
      <c r="CF125" s="44" t="n">
        <f aca="false">AE125/AJ125</f>
        <v>39.4632190530423</v>
      </c>
      <c r="CG125" s="44" t="n">
        <f aca="false">INDEX(Context!$V$4:$V$51,$K125)</f>
        <v>22.6257142857143</v>
      </c>
      <c r="CH125" s="44" t="n">
        <f aca="false">INDEX(Context!$Y$4:$Y$51,$K125)</f>
        <v>21.3177449518561</v>
      </c>
      <c r="CI125" s="44" t="n">
        <f aca="false">INDEX(Context!$Z$4:$Z$51,$K125)</f>
        <v>26.6257142857143</v>
      </c>
      <c r="CJ125" s="43" t="n">
        <f aca="false">INDEX(Context!$AA$4:$AA$51,$K125)</f>
        <v>0.12</v>
      </c>
      <c r="CK125" s="43" t="n">
        <f aca="false">MAX(0,MIN(1,1-(1-CJ125)*AO125/AN125))</f>
        <v>0.187053091702744</v>
      </c>
      <c r="CL125" s="44" t="n">
        <f aca="false">CH125+CK125*(CI125-CH125)</f>
        <v>22.3106170264176</v>
      </c>
      <c r="CM125" s="44" t="n">
        <f aca="false">CH125+MAX(0,MIN(1,1-(1-CJ125)*AQ125/AN125))*(CI125-CH125)</f>
        <v>21.3177449518561</v>
      </c>
      <c r="CN125" s="44" t="n">
        <f aca="false">CH125+MAX(0,MIN(1,1-(1-CJ125)*AP125/AN125))*(CI125-CH125)</f>
        <v>23.6707785977481</v>
      </c>
      <c r="CO125" s="44" t="n">
        <f aca="false">CL125-CG125</f>
        <v>-0.315097259296699</v>
      </c>
      <c r="CP125" s="44" t="n">
        <f aca="false">CL125-(CH125+CJ125*(CI125-CH125))</f>
        <v>0.35591575449855</v>
      </c>
      <c r="CQ125" s="46" t="n">
        <f aca="false">CL125/CG125</f>
        <v>0.986073488981709</v>
      </c>
      <c r="CR125" s="43" t="n">
        <f aca="false">IF(CL125-CH125&lt;=0,"n/a",(CI125-CL125)/(CL125-CH125))</f>
        <v>4.34607576328731</v>
      </c>
      <c r="CS125" s="43" t="n">
        <f aca="false">IF(CI125-CL125&lt;=0,"n/a",(CL125-CH125)/(CI125-CL125))</f>
        <v>0.230092629412335</v>
      </c>
      <c r="CT125" s="43" t="n">
        <f aca="false">Inputs_General!$C$23+Inputs_General!$C$24*$I125</f>
        <v>0.76</v>
      </c>
      <c r="CU125" s="44" t="n">
        <f aca="false">3.29*CT125</f>
        <v>2.5004</v>
      </c>
    </row>
    <row r="126" customFormat="false" ht="15" hidden="false" customHeight="false" outlineLevel="0" collapsed="false">
      <c r="A126" s="9" t="str">
        <f aca="false">B126&amp;"|"&amp;E126&amp;"|"&amp;F126</f>
        <v>D2V3|11/02/2026|Moderate</v>
      </c>
      <c r="B126" s="7" t="s">
        <v>348</v>
      </c>
      <c r="C126" s="9" t="s">
        <v>129</v>
      </c>
      <c r="D126" s="9" t="s">
        <v>150</v>
      </c>
      <c r="E126" s="9" t="s">
        <v>158</v>
      </c>
      <c r="F126" s="7" t="s">
        <v>281</v>
      </c>
      <c r="G126" s="9" t="s">
        <v>282</v>
      </c>
      <c r="H126" s="41" t="n">
        <f aca="false">INDEX(Severity_Classes!$C$4:$C$9,MATCH(F126,Severity_Classes!$A$4:$A$9,0))</f>
        <v>0.11</v>
      </c>
      <c r="I126" s="41" t="n">
        <f aca="false">INDEX(Severity_Classes!$D$4:$D$9,MATCH(F126,Severity_Classes!$A$4:$A$9,0))</f>
        <v>0.18</v>
      </c>
      <c r="J126" s="41" t="n">
        <f aca="false">INDEX(Severity_Classes!$E$4:$E$9,MATCH(F126,Severity_Classes!$A$4:$A$9,0))</f>
        <v>0.25</v>
      </c>
      <c r="K126" s="42" t="n">
        <f aca="false">MATCH(B126&amp;"|"&amp;E126,Context!$A$4:$A$51,0)</f>
        <v>21</v>
      </c>
      <c r="L126" s="42" t="n">
        <f aca="false">INDEX(Context!$H$4:$H$51,K126)</f>
        <v>55</v>
      </c>
      <c r="M126" s="42" t="n">
        <f aca="false">INDEX(Context!$I$4:$I$51,K126)</f>
        <v>6</v>
      </c>
      <c r="N126" s="9" t="str">
        <f aca="false">INDEX(Context!$L$4:$L$51,K126)</f>
        <v>V</v>
      </c>
      <c r="O126" s="9" t="str">
        <f aca="false">INDEX(Context!$M$4:$M$51,K126)</f>
        <v>3rd fully expanded leaf from top</v>
      </c>
      <c r="P126" s="43" t="n">
        <f aca="false">INDEX(Context!$R$4:$R$51,K126)</f>
        <v>0</v>
      </c>
      <c r="Q126" s="43" t="n">
        <f aca="false">INDEX(Context!$U$4:$U$51,K126)</f>
        <v>0.937791824040773</v>
      </c>
      <c r="R126" s="43" t="n">
        <f aca="false">INDEX(Context!$AD$4:$AD$51,K126)</f>
        <v>0.85</v>
      </c>
      <c r="S126" s="9" t="str">
        <f aca="false">INDEX(Context!$AI$4:$AN$51,K126,MATCH(F126,Severity_Classes!$A$4:$A$9,0))</f>
        <v>Unlikely (only via pre-inoculation natural infection)</v>
      </c>
      <c r="T126" s="44" t="n">
        <f aca="false">Parameters!$E$4*IF($N126="V",Parameters!$I$4,IF($N126="F",Parameters!$J$4,Parameters!$K$4))*(1-Parameters!$L$4*$P126)*IF($D126="V1",Parameters!$M$4,IF($D126="V2",Parameters!$N$4,Parameters!$O$4))</f>
        <v>86</v>
      </c>
      <c r="U126" s="44" t="n">
        <f aca="false">MIN(100,T126*(1+INDEX(Response_Table!$E$4:$E$21,MATCH($F126&amp;"|mid",Response_Table!$A$4:$A$21,0))*$R126*INDEX(Parameters!$X$4:$AA$4,1,MATCH($E126,Parameters!$X$3:$AA$3,0))))</f>
        <v>84.3373431816016</v>
      </c>
      <c r="V126" s="44" t="n">
        <f aca="false">MAX(0,MIN(T126*(1+INDEX(Response_Table!$E$4:$E$21,MATCH($F126&amp;"|low",Response_Table!$A$4:$A$21,0))*$R126*INDEX(Parameters!$X$4:$AA$4,1,MATCH($E126,Parameters!$X$3:$AA$3,0))),T126*(1+INDEX(Response_Table!$E$4:$E$21,MATCH($F126&amp;"|high",Response_Table!$A$4:$A$21,0))*$R126*INDEX(Parameters!$X$4:$AA$4,1,MATCH($E126,Parameters!$X$3:$AA$3,0))))*(1-Inputs_General!$C$22*Parameters!$F$4))</f>
        <v>77.6244159535121</v>
      </c>
      <c r="W126" s="44" t="n">
        <f aca="false">MIN(100,MAX(T126*(1+INDEX(Response_Table!$E$4:$E$21,MATCH($F126&amp;"|low",Response_Table!$A$4:$A$21,0))*$R126*INDEX(Parameters!$X$4:$AA$4,1,MATCH($E126,Parameters!$X$3:$AA$3,0))),T126*(1+INDEX(Response_Table!$E$4:$E$21,MATCH($F126&amp;"|high",Response_Table!$A$4:$A$21,0))*$R126*INDEX(Parameters!$X$4:$AA$4,1,MATCH($E126,Parameters!$X$3:$AA$3,0))))*(1+Inputs_General!$C$22*Parameters!$F$4))</f>
        <v>90.8227518044298</v>
      </c>
      <c r="X126" s="45" t="n">
        <f aca="false">IF(T126=0,0,U126/T126-1)</f>
        <v>-0.019333218818586</v>
      </c>
      <c r="Y126" s="44" t="n">
        <f aca="false">Parameters!$E$5*IF($N126="V",Parameters!$I$5,IF($N126="F",Parameters!$J$5,Parameters!$K$5))*(1-Parameters!$L$5*$P126)*IF($D126="V1",Parameters!$M$5,IF($D126="V2",Parameters!$N$5,Parameters!$O$5))</f>
        <v>72</v>
      </c>
      <c r="Z126" s="44" t="n">
        <f aca="false">MIN(100,Y126*(1+INDEX(Response_Table!$F$4:$F$21,MATCH($F126&amp;"|mid",Response_Table!$A$4:$A$21,0))*$R126*INDEX(Parameters!$X$5:$AA$5,1,MATCH($E126,Parameters!$X$3:$AA$3,0))))</f>
        <v>67.1915162327264</v>
      </c>
      <c r="AA126" s="44" t="n">
        <f aca="false">MAX(0,MIN(Y126*(1+INDEX(Response_Table!$F$4:$F$21,MATCH($F126&amp;"|low",Response_Table!$A$4:$A$21,0))*$R126*INDEX(Parameters!$X$5:$AA$5,1,MATCH($E126,Parameters!$X$3:$AA$3,0))),Y126*(1+INDEX(Response_Table!$F$4:$F$21,MATCH($F126&amp;"|high",Response_Table!$A$4:$A$21,0))*$R126*INDEX(Parameters!$X$5:$AA$5,1,MATCH($E126,Parameters!$X$3:$AA$3,0))))*(1-Inputs_General!$C$22*Parameters!$F$5))</f>
        <v>56.3054828108666</v>
      </c>
      <c r="AB126" s="44" t="n">
        <f aca="false">MIN(100,MAX(Y126*(1+INDEX(Response_Table!$F$4:$F$21,MATCH($F126&amp;"|low",Response_Table!$A$4:$A$21,0))*$R126*INDEX(Parameters!$X$5:$AA$5,1,MATCH($E126,Parameters!$X$3:$AA$3,0))),Y126*(1+INDEX(Response_Table!$F$4:$F$21,MATCH($F126&amp;"|high",Response_Table!$A$4:$A$21,0))*$R126*INDEX(Parameters!$X$5:$AA$5,1,MATCH($E126,Parameters!$X$3:$AA$3,0))))*(1+Inputs_General!$C$22*Parameters!$F$5))</f>
        <v>77.8293367585339</v>
      </c>
      <c r="AC126" s="45" t="n">
        <f aca="false">IF(Y126=0,0,Z126/Y126-1)</f>
        <v>-0.0667844967676885</v>
      </c>
      <c r="AD126" s="44" t="n">
        <f aca="false">Parameters!$E$6*IF($N126="V",Parameters!$I$6,IF($N126="F",Parameters!$J$6,Parameters!$K$6))*(1-Parameters!$L$6*$P126)*IF($D126="V1",Parameters!$M$6,IF($D126="V2",Parameters!$N$6,Parameters!$O$6))</f>
        <v>19.57</v>
      </c>
      <c r="AE126" s="44" t="n">
        <f aca="false">AD126*(1+INDEX(Response_Table!$G$4:$G$21,MATCH($F126&amp;"|mid",Response_Table!$A$4:$A$21,0))*$R126*INDEX(Parameters!$X$6:$AA$6,1,MATCH($E126,Parameters!$X$3:$AA$3,0)))</f>
        <v>14.109938424119</v>
      </c>
      <c r="AF126" s="44" t="n">
        <f aca="false">MAX(0,MIN(AD126*(1+INDEX(Response_Table!$G$4:$G$21,MATCH($F126&amp;"|low",Response_Table!$A$4:$A$21,0))*$R126*INDEX(Parameters!$X$6:$AA$6,1,MATCH($E126,Parameters!$X$3:$AA$3,0))),AD126*(1+INDEX(Response_Table!$G$4:$G$21,MATCH($F126&amp;"|high",Response_Table!$A$4:$A$21,0))*$R126*INDEX(Parameters!$X$6:$AA$6,1,MATCH($E126,Parameters!$X$3:$AA$3,0))))*(1-Inputs_General!$C$22*Parameters!$F$6))</f>
        <v>10.3628392647575</v>
      </c>
      <c r="AG126" s="44" t="n">
        <f aca="false">MAX(AD126*(1+INDEX(Response_Table!$G$4:$G$21,MATCH($F126&amp;"|low",Response_Table!$A$4:$A$21,0))*$R126*INDEX(Parameters!$X$6:$AA$6,1,MATCH($E126,Parameters!$X$3:$AA$3,0))),AD126*(1+INDEX(Response_Table!$G$4:$G$21,MATCH($F126&amp;"|high",Response_Table!$A$4:$A$21,0))*$R126*INDEX(Parameters!$X$6:$AA$6,1,MATCH($E126,Parameters!$X$3:$AA$3,0))))*(1+Inputs_General!$C$22*Parameters!$F$6)</f>
        <v>18.8477192125379</v>
      </c>
      <c r="AH126" s="45" t="n">
        <f aca="false">IF(AD126=0,0,AE126/AD126-1)</f>
        <v>-0.279001613483956</v>
      </c>
      <c r="AI126" s="46" t="n">
        <f aca="false">Parameters!$E$7*IF($N126="V",Parameters!$I$7,IF($N126="F",Parameters!$J$7,Parameters!$K$7))*(1-Parameters!$L$7*$P126)*IF($D126="V1",Parameters!$M$7,IF($D126="V2",Parameters!$N$7,Parameters!$O$7))*POWER($Q126/Inputs_General!$C$26,-Inputs_General!$C$25)</f>
        <v>0.464685683730118</v>
      </c>
      <c r="AJ126" s="46" t="n">
        <f aca="false">AI126*(1+INDEX(Response_Table!$H$4:$H$21,MATCH($F126&amp;"|mid",Response_Table!$A$4:$A$21,0))*$R126*INDEX(Parameters!$X$7:$AA$7,1,MATCH($E126,Parameters!$X$3:$AA$3,0)))</f>
        <v>0.378985899904253</v>
      </c>
      <c r="AK126" s="46" t="n">
        <f aca="false">MAX(0,MIN(AI126*(1+INDEX(Response_Table!$H$4:$H$21,MATCH($F126&amp;"|low",Response_Table!$A$4:$A$21,0))*$R126*INDEX(Parameters!$X$7:$AA$7,1,MATCH($E126,Parameters!$X$3:$AA$3,0))),AI126*(1+INDEX(Response_Table!$H$4:$H$21,MATCH($F126&amp;"|high",Response_Table!$A$4:$A$21,0))*$R126*INDEX(Parameters!$X$7:$AA$7,1,MATCH($E126,Parameters!$X$3:$AA$3,0))))*(1-Inputs_General!$C$22*Parameters!$F$7))</f>
        <v>0.250809765473722</v>
      </c>
      <c r="AL126" s="46" t="n">
        <f aca="false">MAX(AI126*(1+INDEX(Response_Table!$H$4:$H$21,MATCH($F126&amp;"|low",Response_Table!$A$4:$A$21,0))*$R126*INDEX(Parameters!$X$7:$AA$7,1,MATCH($E126,Parameters!$X$3:$AA$3,0))),AI126*(1+INDEX(Response_Table!$H$4:$H$21,MATCH($F126&amp;"|high",Response_Table!$A$4:$A$21,0))*$R126*INDEX(Parameters!$X$7:$AA$7,1,MATCH($E126,Parameters!$X$3:$AA$3,0))))*(1+Inputs_General!$C$22*Parameters!$F$7)</f>
        <v>0.527454541358391</v>
      </c>
      <c r="AM126" s="45" t="n">
        <f aca="false">IF(AI126=0,0,AJ126/AI126-1)</f>
        <v>-0.184425272450697</v>
      </c>
      <c r="AN126" s="43" t="n">
        <f aca="false">AI126*$Q126/Inputs_General!$C$13*1000</f>
        <v>4.38850387664553</v>
      </c>
      <c r="AO126" s="43" t="n">
        <f aca="false">AJ126*$Q126/Inputs_General!$C$13*1000*(1+Inputs_General!$C$21*$I126)</f>
        <v>3.74021473195373</v>
      </c>
      <c r="AP126" s="43" t="n">
        <f aca="false">AK126*$Q126/Inputs_General!$C$13*1000*(1+Inputs_General!$C$21*$H126)</f>
        <v>2.43379203933272</v>
      </c>
      <c r="AQ126" s="43" t="n">
        <f aca="false">AL126*$Q126/Inputs_General!$C$13*1000*(1+Inputs_General!$C$21*$J126)</f>
        <v>5.29262554095183</v>
      </c>
      <c r="AR126" s="45" t="n">
        <f aca="false">IF(AN126=0,0,AO126/AN126-1)</f>
        <v>-0.147724409710978</v>
      </c>
      <c r="AS126" s="42" t="n">
        <f aca="false">Parameters!$E$9*IF($N126="V",Parameters!$I$9,IF($N126="F",Parameters!$J$9,Parameters!$K$9))*(1-Parameters!$L$9*$P126)*IF($D126="V1",Parameters!$M$9,IF($D126="V2",Parameters!$N$9,Parameters!$O$9))</f>
        <v>285</v>
      </c>
      <c r="AT126" s="42" t="n">
        <f aca="false">AS126*(1+INDEX(Response_Table!$I$4:$I$21,MATCH($F126&amp;"|mid",Response_Table!$A$4:$A$21,0))*$R126*INDEX(Parameters!$X$9:$AA$9,1,MATCH($E126,Parameters!$X$3:$AA$3,0)))</f>
        <v>314.840223838487</v>
      </c>
      <c r="AU126" s="42" t="n">
        <f aca="false">MAX(0,MIN(AS126*(1+INDEX(Response_Table!$I$4:$I$21,MATCH($F126&amp;"|low",Response_Table!$A$4:$A$21,0))*$R126*INDEX(Parameters!$X$9:$AA$9,1,MATCH($E126,Parameters!$X$3:$AA$3,0))),AS126*(1+INDEX(Response_Table!$I$4:$I$21,MATCH($F126&amp;"|high",Response_Table!$A$4:$A$21,0))*$R126*INDEX(Parameters!$X$9:$AA$9,1,MATCH($E126,Parameters!$X$3:$AA$3,0))))*(1-Inputs_General!$C$22*Parameters!$F$9))</f>
        <v>275.523554669625</v>
      </c>
      <c r="AV126" s="42" t="n">
        <f aca="false">MAX(AS126*(1+INDEX(Response_Table!$I$4:$I$21,MATCH($F126&amp;"|low",Response_Table!$A$4:$A$21,0))*$R126*INDEX(Parameters!$X$9:$AA$9,1,MATCH($E126,Parameters!$X$3:$AA$3,0))),AS126*(1+INDEX(Response_Table!$I$4:$I$21,MATCH($F126&amp;"|high",Response_Table!$A$4:$A$21,0))*$R126*INDEX(Parameters!$X$9:$AA$9,1,MATCH($E126,Parameters!$X$3:$AA$3,0))))*(1+Inputs_General!$C$22*Parameters!$F$9)</f>
        <v>353.508361283244</v>
      </c>
      <c r="AW126" s="45" t="n">
        <f aca="false">IF(AS126=0,0,AT126/AS126-1)</f>
        <v>0.104702539784166</v>
      </c>
      <c r="AX126" s="43" t="n">
        <f aca="false">INDEX(Context!$AB$4:$AB$51,$K126)</f>
        <v>1.88260488051479</v>
      </c>
      <c r="AY126" s="43" t="n">
        <f aca="false">AX126*(1+INDEX(Response_Table!$J$4:$J$21,MATCH($F126&amp;"|mid",Response_Table!$A$4:$A$21,0))*$R126*INDEX(Parameters!$X$10:$AA$10,1,MATCH($E126,Parameters!$X$3:$AA$3,0)))</f>
        <v>1.75213355479147</v>
      </c>
      <c r="AZ126" s="43" t="n">
        <f aca="false">MAX(0,MIN(AX126*(1+INDEX(Response_Table!$J$4:$J$21,MATCH($F126&amp;"|low",Response_Table!$A$4:$A$21,0))*$R126*INDEX(Parameters!$X$10:$AA$10,1,MATCH($E126,Parameters!$X$3:$AA$3,0))),AX126*(1+INDEX(Response_Table!$J$4:$J$21,MATCH($F126&amp;"|high",Response_Table!$A$4:$A$21,0))*$R126*INDEX(Parameters!$X$10:$AA$10,1,MATCH($E126,Parameters!$X$3:$AA$3,0))))*(1-Inputs_General!$C$22*Parameters!$F$10))</f>
        <v>1.37668100084375</v>
      </c>
      <c r="BA126" s="43" t="n">
        <f aca="false">MAX(AX126*(1+INDEX(Response_Table!$J$4:$J$21,MATCH($F126&amp;"|low",Response_Table!$A$4:$A$21,0))*$R126*INDEX(Parameters!$X$10:$AA$10,1,MATCH($E126,Parameters!$X$3:$AA$3,0))),AX126*(1+INDEX(Response_Table!$J$4:$J$21,MATCH($F126&amp;"|high",Response_Table!$A$4:$A$21,0))*$R126*INDEX(Parameters!$X$10:$AA$10,1,MATCH($E126,Parameters!$X$3:$AA$3,0))))*(1+Inputs_General!$C$22*Parameters!$F$10)</f>
        <v>2.15057741021568</v>
      </c>
      <c r="BB126" s="45" t="n">
        <f aca="false">IF(AX126=0,0,AY126/AX126-1)</f>
        <v>-0.0693036160023358</v>
      </c>
      <c r="BC126" s="46" t="n">
        <f aca="false">Parameters!$E$11*IF($N126="V",Parameters!$I$11,IF($N126="F",Parameters!$J$11,Parameters!$K$11))*(1-Parameters!$L$11*$P126)*IF($D126="V1",Parameters!$M$11,IF($D126="V2",Parameters!$N$11,Parameters!$O$11))</f>
        <v>1.223125</v>
      </c>
      <c r="BD126" s="46" t="n">
        <f aca="false">BC126*(1+INDEX(Response_Table!$K$4:$K$21,MATCH($F126&amp;"|mid",Response_Table!$A$4:$A$21,0))*$R126*INDEX(Parameters!$X$11:$AA$11,1,MATCH($E126,Parameters!$X$3:$AA$3,0)))</f>
        <v>1.07517806337523</v>
      </c>
      <c r="BE126" s="46" t="n">
        <f aca="false">MAX(0,MIN(BC126*(1+INDEX(Response_Table!$K$4:$K$21,MATCH($F126&amp;"|low",Response_Table!$A$4:$A$21,0))*$R126*INDEX(Parameters!$X$11:$AA$11,1,MATCH($E126,Parameters!$X$3:$AA$3,0))),BC126*(1+INDEX(Response_Table!$K$4:$K$21,MATCH($F126&amp;"|high",Response_Table!$A$4:$A$21,0))*$R126*INDEX(Parameters!$X$11:$AA$11,1,MATCH($E126,Parameters!$X$3:$AA$3,0))))*(1-Inputs_General!$C$22*Parameters!$F$11))</f>
        <v>0.866463387831504</v>
      </c>
      <c r="BF126" s="46" t="n">
        <f aca="false">MAX(BC126*(1+INDEX(Response_Table!$K$4:$K$21,MATCH($F126&amp;"|low",Response_Table!$A$4:$A$21,0))*$R126*INDEX(Parameters!$X$11:$AA$11,1,MATCH($E126,Parameters!$X$3:$AA$3,0))),BC126*(1+INDEX(Response_Table!$K$4:$K$21,MATCH($F126&amp;"|high",Response_Table!$A$4:$A$21,0))*$R126*INDEX(Parameters!$X$11:$AA$11,1,MATCH($E126,Parameters!$X$3:$AA$3,0))))*(1+Inputs_General!$C$22*Parameters!$F$11)</f>
        <v>1.30757842400299</v>
      </c>
      <c r="BG126" s="45" t="n">
        <f aca="false">IF(BC126=0,0,BD126/BC126-1)</f>
        <v>-0.120958149514378</v>
      </c>
      <c r="BH126" s="46" t="n">
        <f aca="false">Parameters!$E$12*IF($N126="V",Parameters!$I$12,IF($N126="F",Parameters!$J$12,Parameters!$K$12))*(1-Parameters!$L$12*$P126)*IF($D126="V1",Parameters!$M$12,IF($D126="V2",Parameters!$N$12,Parameters!$O$12))</f>
        <v>0.440325</v>
      </c>
      <c r="BI126" s="46" t="n">
        <f aca="false">BH126*(1+INDEX(Response_Table!$L$4:$L$21,MATCH($F126&amp;"|mid",Response_Table!$A$4:$A$21,0))*$R126*INDEX(Parameters!$X$12:$AA$12,1,MATCH($E126,Parameters!$X$3:$AA$3,0)))</f>
        <v>0.397378959662962</v>
      </c>
      <c r="BJ126" s="46" t="n">
        <f aca="false">MAX(0,MIN(BH126*(1+INDEX(Response_Table!$L$4:$L$21,MATCH($F126&amp;"|low",Response_Table!$A$4:$A$21,0))*$R126*INDEX(Parameters!$X$12:$AA$12,1,MATCH($E126,Parameters!$X$3:$AA$3,0))),BH126*(1+INDEX(Response_Table!$L$4:$L$21,MATCH($F126&amp;"|high",Response_Table!$A$4:$A$21,0))*$R126*INDEX(Parameters!$X$12:$AA$12,1,MATCH($E126,Parameters!$X$3:$AA$3,0))))*(1-Inputs_General!$C$22*Parameters!$F$12))</f>
        <v>0.309817899359143</v>
      </c>
      <c r="BK126" s="46" t="n">
        <f aca="false">MAX(BH126*(1+INDEX(Response_Table!$L$4:$L$21,MATCH($F126&amp;"|low",Response_Table!$A$4:$A$21,0))*$R126*INDEX(Parameters!$X$12:$AA$12,1,MATCH($E126,Parameters!$X$3:$AA$3,0))),BH126*(1+INDEX(Response_Table!$L$4:$L$21,MATCH($F126&amp;"|high",Response_Table!$A$4:$A$21,0))*$R126*INDEX(Parameters!$X$12:$AA$12,1,MATCH($E126,Parameters!$X$3:$AA$3,0))))*(1+Inputs_General!$C$22*Parameters!$F$12)</f>
        <v>0.492604316687293</v>
      </c>
      <c r="BL126" s="45" t="n">
        <f aca="false">IF(BH126=0,0,BI126/BH126-1)</f>
        <v>-0.0975325960075799</v>
      </c>
      <c r="BM126" s="46" t="n">
        <f aca="false">Parameters!$E$13*IF($N126="V",Parameters!$I$13,IF($N126="F",Parameters!$J$13,Parameters!$K$13))*(1-Parameters!$L$13*$P126)*IF($D126="V1",Parameters!$M$13,IF($D126="V2",Parameters!$N$13,Parameters!$O$13))</f>
        <v>0.29355</v>
      </c>
      <c r="BN126" s="46" t="n">
        <f aca="false">BM126*(1+INDEX(Response_Table!$M$4:$M$21,MATCH($F126&amp;"|mid",Response_Table!$A$4:$A$21,0))*$R126*INDEX(Parameters!$X$13:$AA$13,1,MATCH($E126,Parameters!$X$3:$AA$3,0)))</f>
        <v>0.282818066994716</v>
      </c>
      <c r="BO126" s="46" t="n">
        <f aca="false">MAX(0,MIN(BM126*(1+INDEX(Response_Table!$M$4:$M$21,MATCH($F126&amp;"|low",Response_Table!$A$4:$A$21,0))*$R126*INDEX(Parameters!$X$13:$AA$13,1,MATCH($E126,Parameters!$X$3:$AA$3,0))),BM126*(1+INDEX(Response_Table!$M$4:$M$21,MATCH($F126&amp;"|high",Response_Table!$A$4:$A$21,0))*$R126*INDEX(Parameters!$X$13:$AA$13,1,MATCH($E126,Parameters!$X$3:$AA$3,0))))*(1-Inputs_General!$C$22*Parameters!$F$13))</f>
        <v>0.220055747756255</v>
      </c>
      <c r="BP126" s="46" t="n">
        <f aca="false">MAX(BM126*(1+INDEX(Response_Table!$M$4:$M$21,MATCH($F126&amp;"|low",Response_Table!$A$4:$A$21,0))*$R126*INDEX(Parameters!$X$13:$AA$13,1,MATCH($E126,Parameters!$X$3:$AA$3,0))),BM126*(1+INDEX(Response_Table!$M$4:$M$21,MATCH($F126&amp;"|high",Response_Table!$A$4:$A$21,0))*$R126*INDEX(Parameters!$X$13:$AA$13,1,MATCH($E126,Parameters!$X$3:$AA$3,0))))*(1+Inputs_General!$C$22*Parameters!$F$13)</f>
        <v>0.349569929374044</v>
      </c>
      <c r="BQ126" s="45" t="n">
        <f aca="false">IF(BM126=0,0,BN126/BM126-1)</f>
        <v>-0.0365591313414543</v>
      </c>
      <c r="BR126" s="44" t="n">
        <f aca="false">Parameters!$E$14*IF($N126="V",Parameters!$I$14,IF($N126="F",Parameters!$J$14,Parameters!$K$14))*(1-Parameters!$L$14*$P126)*IF($D126="V1",Parameters!$M$14,IF($D126="V2",Parameters!$N$14,Parameters!$O$14))*INDEX(Context!$AC$4:$AC$51,$K126)</f>
        <v>17.325</v>
      </c>
      <c r="BS126" s="44" t="n">
        <f aca="false">BR126*(1+INDEX(Response_Table!$N$4:$N$21,MATCH($F126&amp;"|mid",Response_Table!$A$4:$A$21,0))*$R126*INDEX(Parameters!$X$14:$AA$14,1,MATCH($E126,Parameters!$X$3:$AA$3,0)))</f>
        <v>19.1683660645433</v>
      </c>
      <c r="BT126" s="44" t="n">
        <f aca="false">MAX(0,MIN(BR126*(1+INDEX(Response_Table!$N$4:$N$21,MATCH($F126&amp;"|low",Response_Table!$A$4:$A$21,0))*$R126*INDEX(Parameters!$X$14:$AA$14,1,MATCH($E126,Parameters!$X$3:$AA$3,0))),BR126*(1+INDEX(Response_Table!$N$4:$N$21,MATCH($F126&amp;"|high",Response_Table!$A$4:$A$21,0))*$R126*INDEX(Parameters!$X$14:$AA$14,1,MATCH($E126,Parameters!$X$3:$AA$3,0))))*(1-Inputs_General!$C$22*Parameters!$F$14))</f>
        <v>9.40406384435478</v>
      </c>
      <c r="BU126" s="44" t="n">
        <f aca="false">MAX(BR126*(1+INDEX(Response_Table!$N$4:$N$21,MATCH($F126&amp;"|low",Response_Table!$A$4:$A$21,0))*$R126*INDEX(Parameters!$X$14:$AA$14,1,MATCH($E126,Parameters!$X$3:$AA$3,0))),BR126*(1+INDEX(Response_Table!$N$4:$N$21,MATCH($F126&amp;"|high",Response_Table!$A$4:$A$21,0))*$R126*INDEX(Parameters!$X$14:$AA$14,1,MATCH($E126,Parameters!$X$3:$AA$3,0))))*(1+Inputs_General!$C$22*Parameters!$F$14)</f>
        <v>29.3562638027112</v>
      </c>
      <c r="BV126" s="45" t="n">
        <f aca="false">IF(BR126=0,0,BS126/BR126-1)</f>
        <v>0.106399195644633</v>
      </c>
      <c r="BW126" s="43" t="n">
        <f aca="false">Parameters!$E$15*IF($N126="V",Parameters!$I$15,IF($N126="F",Parameters!$J$15,Parameters!$K$15))*(1-Parameters!$L$15*$P126)*IF($D126="V1",Parameters!$M$15,IF($D126="V2",Parameters!$N$15,Parameters!$O$15))</f>
        <v>10.8</v>
      </c>
      <c r="BX126" s="43" t="n">
        <f aca="false">BW126*(1+INDEX(Response_Table!$O$4:$O$21,MATCH($F126&amp;"|mid",Response_Table!$A$4:$A$21,0))*$R126*INDEX(Parameters!$X$15:$AA$15,1,MATCH($E126,Parameters!$X$3:$AA$3,0)))</f>
        <v>10.5127221717595</v>
      </c>
      <c r="BY126" s="43" t="n">
        <f aca="false">MAX(0,MIN(BW126*(1+INDEX(Response_Table!$O$4:$O$21,MATCH($F126&amp;"|low",Response_Table!$A$4:$A$21,0))*$R126*INDEX(Parameters!$X$15:$AA$15,1,MATCH($E126,Parameters!$X$3:$AA$3,0))),BW126*(1+INDEX(Response_Table!$O$4:$O$21,MATCH($F126&amp;"|high",Response_Table!$A$4:$A$21,0))*$R126*INDEX(Parameters!$X$15:$AA$15,1,MATCH($E126,Parameters!$X$3:$AA$3,0))))*(1-Inputs_General!$C$22*Parameters!$F$15))</f>
        <v>8.37651498061582</v>
      </c>
      <c r="BZ126" s="43" t="n">
        <f aca="false">MAX(BW126*(1+INDEX(Response_Table!$O$4:$O$21,MATCH($F126&amp;"|low",Response_Table!$A$4:$A$21,0))*$R126*INDEX(Parameters!$X$15:$AA$15,1,MATCH($E126,Parameters!$X$3:$AA$3,0))),BW126*(1+INDEX(Response_Table!$O$4:$O$21,MATCH($F126&amp;"|high",Response_Table!$A$4:$A$21,0))*$R126*INDEX(Parameters!$X$15:$AA$15,1,MATCH($E126,Parameters!$X$3:$AA$3,0))))*(1+Inputs_General!$C$22*Parameters!$F$15)</f>
        <v>12.7001979431862</v>
      </c>
      <c r="CA126" s="45" t="n">
        <f aca="false">IF(BW126=0,0,BX126/BW126-1)</f>
        <v>-0.0265997989111582</v>
      </c>
      <c r="CB126" s="46" t="n">
        <f aca="false">BD126+BI126</f>
        <v>1.47255702303819</v>
      </c>
      <c r="CC126" s="43" t="n">
        <f aca="false">BD126/BI126</f>
        <v>2.70567436254587</v>
      </c>
      <c r="CD126" s="46" t="n">
        <f aca="false">BN126/CB126</f>
        <v>0.192059161424665</v>
      </c>
      <c r="CE126" s="43" t="n">
        <f aca="false">AE126/AO126</f>
        <v>3.77249421098038</v>
      </c>
      <c r="CF126" s="44" t="n">
        <f aca="false">AE126/AJ126</f>
        <v>37.2307740939273</v>
      </c>
      <c r="CG126" s="44" t="n">
        <f aca="false">INDEX(Context!$V$4:$V$51,$K126)</f>
        <v>22.6257142857143</v>
      </c>
      <c r="CH126" s="44" t="n">
        <f aca="false">INDEX(Context!$Y$4:$Y$51,$K126)</f>
        <v>21.3177449518561</v>
      </c>
      <c r="CI126" s="44" t="n">
        <f aca="false">INDEX(Context!$Z$4:$Z$51,$K126)</f>
        <v>26.6257142857143</v>
      </c>
      <c r="CJ126" s="43" t="n">
        <f aca="false">INDEX(Context!$AA$4:$AA$51,$K126)</f>
        <v>0.12</v>
      </c>
      <c r="CK126" s="43" t="n">
        <f aca="false">MAX(0,MIN(1,1-(1-CJ126)*AO126/AN126))</f>
        <v>0.249997480545661</v>
      </c>
      <c r="CL126" s="44" t="n">
        <f aca="false">CH126+CK126*(CI126-CH126)</f>
        <v>22.6447239121342</v>
      </c>
      <c r="CM126" s="44" t="n">
        <f aca="false">CH126+MAX(0,MIN(1,1-(1-CJ126)*AQ126/AN126))*(CI126-CH126)</f>
        <v>21.3177449518561</v>
      </c>
      <c r="CN126" s="44" t="n">
        <f aca="false">CH126+MAX(0,MIN(1,1-(1-CJ126)*AP126/AN126))*(CI126-CH126)</f>
        <v>24.0352473274661</v>
      </c>
      <c r="CO126" s="44" t="n">
        <f aca="false">CL126-CG126</f>
        <v>0.0190096264199475</v>
      </c>
      <c r="CP126" s="44" t="n">
        <f aca="false">CL126-(CH126+CJ126*(CI126-CH126))</f>
        <v>0.690022640215197</v>
      </c>
      <c r="CQ126" s="46" t="n">
        <f aca="false">CL126/CG126</f>
        <v>1.00084017795769</v>
      </c>
      <c r="CR126" s="43" t="n">
        <f aca="false">IF(CL126-CH126&lt;=0,"n/a",(CI126-CL126)/(CL126-CH126))</f>
        <v>3.00004031167569</v>
      </c>
      <c r="CS126" s="43" t="n">
        <f aca="false">IF(CI126-CL126&lt;=0,"n/a",(CL126-CH126)/(CI126-CL126))</f>
        <v>0.333328854318442</v>
      </c>
      <c r="CT126" s="43" t="n">
        <f aca="false">Inputs_General!$C$23+Inputs_General!$C$24*$I126</f>
        <v>0.96</v>
      </c>
      <c r="CU126" s="44" t="n">
        <f aca="false">3.29*CT126</f>
        <v>3.1584</v>
      </c>
    </row>
    <row r="127" customFormat="false" ht="15" hidden="false" customHeight="false" outlineLevel="0" collapsed="false">
      <c r="A127" s="9" t="str">
        <f aca="false">B127&amp;"|"&amp;E127&amp;"|"&amp;F127</f>
        <v>D2V3|11/02/2026|High</v>
      </c>
      <c r="B127" s="7" t="s">
        <v>348</v>
      </c>
      <c r="C127" s="9" t="s">
        <v>129</v>
      </c>
      <c r="D127" s="9" t="s">
        <v>150</v>
      </c>
      <c r="E127" s="9" t="s">
        <v>158</v>
      </c>
      <c r="F127" s="7" t="s">
        <v>283</v>
      </c>
      <c r="G127" s="9" t="s">
        <v>284</v>
      </c>
      <c r="H127" s="41" t="n">
        <f aca="false">INDEX(Severity_Classes!$C$4:$C$9,MATCH(F127,Severity_Classes!$A$4:$A$9,0))</f>
        <v>0.26</v>
      </c>
      <c r="I127" s="41" t="n">
        <f aca="false">INDEX(Severity_Classes!$D$4:$D$9,MATCH(F127,Severity_Classes!$A$4:$A$9,0))</f>
        <v>0.38</v>
      </c>
      <c r="J127" s="41" t="n">
        <f aca="false">INDEX(Severity_Classes!$E$4:$E$9,MATCH(F127,Severity_Classes!$A$4:$A$9,0))</f>
        <v>0.5</v>
      </c>
      <c r="K127" s="42" t="n">
        <f aca="false">MATCH(B127&amp;"|"&amp;E127,Context!$A$4:$A$51,0)</f>
        <v>21</v>
      </c>
      <c r="L127" s="42" t="n">
        <f aca="false">INDEX(Context!$H$4:$H$51,K127)</f>
        <v>55</v>
      </c>
      <c r="M127" s="42" t="n">
        <f aca="false">INDEX(Context!$I$4:$I$51,K127)</f>
        <v>6</v>
      </c>
      <c r="N127" s="9" t="str">
        <f aca="false">INDEX(Context!$L$4:$L$51,K127)</f>
        <v>V</v>
      </c>
      <c r="O127" s="9" t="str">
        <f aca="false">INDEX(Context!$M$4:$M$51,K127)</f>
        <v>3rd fully expanded leaf from top</v>
      </c>
      <c r="P127" s="43" t="n">
        <f aca="false">INDEX(Context!$R$4:$R$51,K127)</f>
        <v>0</v>
      </c>
      <c r="Q127" s="43" t="n">
        <f aca="false">INDEX(Context!$U$4:$U$51,K127)</f>
        <v>0.937791824040773</v>
      </c>
      <c r="R127" s="43" t="n">
        <f aca="false">INDEX(Context!$AD$4:$AD$51,K127)</f>
        <v>0.85</v>
      </c>
      <c r="S127" s="9" t="str">
        <f aca="false">INDEX(Context!$AI$4:$AN$51,K127,MATCH(F127,Severity_Classes!$A$4:$A$9,0))</f>
        <v>Unlikely (only via pre-inoculation natural infection)</v>
      </c>
      <c r="T127" s="44" t="n">
        <f aca="false">Parameters!$E$4*IF($N127="V",Parameters!$I$4,IF($N127="F",Parameters!$J$4,Parameters!$K$4))*(1-Parameters!$L$4*$P127)*IF($D127="V1",Parameters!$M$4,IF($D127="V2",Parameters!$N$4,Parameters!$O$4))</f>
        <v>86</v>
      </c>
      <c r="U127" s="44" t="n">
        <f aca="false">MIN(100,T127*(1+INDEX(Response_Table!$E$4:$E$21,MATCH($F127&amp;"|mid",Response_Table!$A$4:$A$21,0))*$R127*INDEX(Parameters!$X$4:$AA$4,1,MATCH($E127,Parameters!$X$3:$AA$3,0))))</f>
        <v>80.0955205012977</v>
      </c>
      <c r="V127" s="44" t="n">
        <f aca="false">MAX(0,MIN(T127*(1+INDEX(Response_Table!$E$4:$E$21,MATCH($F127&amp;"|low",Response_Table!$A$4:$A$21,0))*$R127*INDEX(Parameters!$X$4:$AA$4,1,MATCH($E127,Parameters!$X$3:$AA$3,0))),T127*(1+INDEX(Response_Table!$E$4:$E$21,MATCH($F127&amp;"|high",Response_Table!$A$4:$A$21,0))*$R127*INDEX(Parameters!$X$4:$AA$4,1,MATCH($E127,Parameters!$X$3:$AA$3,0))))*(1-Inputs_General!$C$22*Parameters!$F$4))</f>
        <v>72.5023724621942</v>
      </c>
      <c r="W127" s="44" t="n">
        <f aca="false">MIN(100,MAX(T127*(1+INDEX(Response_Table!$E$4:$E$21,MATCH($F127&amp;"|low",Response_Table!$A$4:$A$21,0))*$R127*INDEX(Parameters!$X$4:$AA$4,1,MATCH($E127,Parameters!$X$3:$AA$3,0))),T127*(1+INDEX(Response_Table!$E$4:$E$21,MATCH($F127&amp;"|high",Response_Table!$A$4:$A$21,0))*$R127*INDEX(Parameters!$X$4:$AA$4,1,MATCH($E127,Parameters!$X$3:$AA$3,0))))*(1+Inputs_General!$C$22*Parameters!$F$4))</f>
        <v>88.3390356887373</v>
      </c>
      <c r="X127" s="45" t="n">
        <f aca="false">IF(T127=0,0,U127/T127-1)</f>
        <v>-0.068656738357004</v>
      </c>
      <c r="Y127" s="44" t="n">
        <f aca="false">Parameters!$E$5*IF($N127="V",Parameters!$I$5,IF($N127="F",Parameters!$J$5,Parameters!$K$5))*(1-Parameters!$L$5*$P127)*IF($D127="V1",Parameters!$M$5,IF($D127="V2",Parameters!$N$5,Parameters!$O$5))</f>
        <v>72</v>
      </c>
      <c r="Z127" s="44" t="n">
        <f aca="false">MIN(100,Y127*(1+INDEX(Response_Table!$F$4:$F$21,MATCH($F127&amp;"|mid",Response_Table!$A$4:$A$21,0))*$R127*INDEX(Parameters!$X$5:$AA$5,1,MATCH($E127,Parameters!$X$3:$AA$3,0))))</f>
        <v>56.6910353087058</v>
      </c>
      <c r="AA127" s="44" t="n">
        <f aca="false">MAX(0,MIN(Y127*(1+INDEX(Response_Table!$F$4:$F$21,MATCH($F127&amp;"|low",Response_Table!$A$4:$A$21,0))*$R127*INDEX(Parameters!$X$5:$AA$5,1,MATCH($E127,Parameters!$X$3:$AA$3,0))),Y127*(1+INDEX(Response_Table!$F$4:$F$21,MATCH($F127&amp;"|high",Response_Table!$A$4:$A$21,0))*$R127*INDEX(Parameters!$X$5:$AA$5,1,MATCH($E127,Parameters!$X$3:$AA$3,0))))*(1-Inputs_General!$C$22*Parameters!$F$5))</f>
        <v>46.7613012949755</v>
      </c>
      <c r="AB127" s="44" t="n">
        <f aca="false">MIN(100,MAX(Y127*(1+INDEX(Response_Table!$F$4:$F$21,MATCH($F127&amp;"|low",Response_Table!$A$4:$A$21,0))*$R127*INDEX(Parameters!$X$5:$AA$5,1,MATCH($E127,Parameters!$X$3:$AA$3,0))),Y127*(1+INDEX(Response_Table!$F$4:$F$21,MATCH($F127&amp;"|high",Response_Table!$A$4:$A$21,0))*$R127*INDEX(Parameters!$X$5:$AA$5,1,MATCH($E127,Parameters!$X$3:$AA$3,0))))*(1+Inputs_General!$C$22*Parameters!$F$5))</f>
        <v>70.3365599923299</v>
      </c>
      <c r="AC127" s="45" t="n">
        <f aca="false">IF(Y127=0,0,Z127/Y127-1)</f>
        <v>-0.212624509601309</v>
      </c>
      <c r="AD127" s="44" t="n">
        <f aca="false">Parameters!$E$6*IF($N127="V",Parameters!$I$6,IF($N127="F",Parameters!$J$6,Parameters!$K$6))*(1-Parameters!$L$6*$P127)*IF($D127="V1",Parameters!$M$6,IF($D127="V2",Parameters!$N$6,Parameters!$O$6))</f>
        <v>19.57</v>
      </c>
      <c r="AE127" s="44" t="n">
        <f aca="false">AD127*(1+INDEX(Response_Table!$G$4:$G$21,MATCH($F127&amp;"|mid",Response_Table!$A$4:$A$21,0))*$R127*INDEX(Parameters!$X$6:$AA$6,1,MATCH($E127,Parameters!$X$3:$AA$3,0)))</f>
        <v>11.4643835682157</v>
      </c>
      <c r="AF127" s="44" t="n">
        <f aca="false">MAX(0,MIN(AD127*(1+INDEX(Response_Table!$G$4:$G$21,MATCH($F127&amp;"|low",Response_Table!$A$4:$A$21,0))*$R127*INDEX(Parameters!$X$6:$AA$6,1,MATCH($E127,Parameters!$X$3:$AA$3,0))),AD127*(1+INDEX(Response_Table!$G$4:$G$21,MATCH($F127&amp;"|high",Response_Table!$A$4:$A$21,0))*$R127*INDEX(Parameters!$X$6:$AA$6,1,MATCH($E127,Parameters!$X$3:$AA$3,0))))*(1-Inputs_General!$C$22*Parameters!$F$6))</f>
        <v>8.58396196814849</v>
      </c>
      <c r="AG127" s="44" t="n">
        <f aca="false">MAX(AD127*(1+INDEX(Response_Table!$G$4:$G$21,MATCH($F127&amp;"|low",Response_Table!$A$4:$A$21,0))*$R127*INDEX(Parameters!$X$6:$AA$6,1,MATCH($E127,Parameters!$X$3:$AA$3,0))),AD127*(1+INDEX(Response_Table!$G$4:$G$21,MATCH($F127&amp;"|high",Response_Table!$A$4:$A$21,0))*$R127*INDEX(Parameters!$X$6:$AA$6,1,MATCH($E127,Parameters!$X$3:$AA$3,0))))*(1+Inputs_General!$C$22*Parameters!$F$6)</f>
        <v>15.2890918754204</v>
      </c>
      <c r="AH127" s="45" t="n">
        <f aca="false">IF(AD127=0,0,AE127/AD127-1)</f>
        <v>-0.414185816647128</v>
      </c>
      <c r="AI127" s="46" t="n">
        <f aca="false">Parameters!$E$7*IF($N127="V",Parameters!$I$7,IF($N127="F",Parameters!$J$7,Parameters!$K$7))*(1-Parameters!$L$7*$P127)*IF($D127="V1",Parameters!$M$7,IF($D127="V2",Parameters!$N$7,Parameters!$O$7))*POWER($Q127/Inputs_General!$C$26,-Inputs_General!$C$25)</f>
        <v>0.464685683730118</v>
      </c>
      <c r="AJ127" s="46" t="n">
        <f aca="false">AI127*(1+INDEX(Response_Table!$H$4:$H$21,MATCH($F127&amp;"|mid",Response_Table!$A$4:$A$21,0))*$R127*INDEX(Parameters!$X$7:$AA$7,1,MATCH($E127,Parameters!$X$3:$AA$3,0)))</f>
        <v>0.324982583324998</v>
      </c>
      <c r="AK127" s="46" t="n">
        <f aca="false">MAX(0,MIN(AI127*(1+INDEX(Response_Table!$H$4:$H$21,MATCH($F127&amp;"|low",Response_Table!$A$4:$A$21,0))*$R127*INDEX(Parameters!$X$7:$AA$7,1,MATCH($E127,Parameters!$X$3:$AA$3,0))),AI127*(1+INDEX(Response_Table!$H$4:$H$21,MATCH($F127&amp;"|high",Response_Table!$A$4:$A$21,0))*$R127*INDEX(Parameters!$X$7:$AA$7,1,MATCH($E127,Parameters!$X$3:$AA$3,0))))*(1-Inputs_General!$C$22*Parameters!$F$7))</f>
        <v>0.214776469911465</v>
      </c>
      <c r="AL127" s="46" t="n">
        <f aca="false">MAX(AI127*(1+INDEX(Response_Table!$H$4:$H$21,MATCH($F127&amp;"|low",Response_Table!$A$4:$A$21,0))*$R127*INDEX(Parameters!$X$7:$AA$7,1,MATCH($E127,Parameters!$X$3:$AA$3,0))),AI127*(1+INDEX(Response_Table!$H$4:$H$21,MATCH($F127&amp;"|high",Response_Table!$A$4:$A$21,0))*$R127*INDEX(Parameters!$X$7:$AA$7,1,MATCH($E127,Parameters!$X$3:$AA$3,0))))*(1+Inputs_General!$C$22*Parameters!$F$7)</f>
        <v>0.458102804054004</v>
      </c>
      <c r="AM127" s="45" t="n">
        <f aca="false">IF(AI127=0,0,AJ127/AI127-1)</f>
        <v>-0.300639992357194</v>
      </c>
      <c r="AN127" s="43" t="n">
        <f aca="false">AI127*$Q127/Inputs_General!$C$13*1000</f>
        <v>4.38850387664553</v>
      </c>
      <c r="AO127" s="43" t="n">
        <f aca="false">AJ127*$Q127/Inputs_General!$C$13*1000*(1+Inputs_General!$C$21*$I127)</f>
        <v>3.36071279465888</v>
      </c>
      <c r="AP127" s="43" t="n">
        <f aca="false">AK127*$Q127/Inputs_General!$C$13*1000*(1+Inputs_General!$C$21*$H127)</f>
        <v>2.16019771012554</v>
      </c>
      <c r="AQ127" s="43" t="n">
        <f aca="false">AL127*$Q127/Inputs_General!$C$13*1000*(1+Inputs_General!$C$21*$J127)</f>
        <v>4.86712686040782</v>
      </c>
      <c r="AR127" s="45" t="n">
        <f aca="false">IF(AN127=0,0,AO127/AN127-1)</f>
        <v>-0.234200791631127</v>
      </c>
      <c r="AS127" s="42" t="n">
        <f aca="false">Parameters!$E$9*IF($N127="V",Parameters!$I$9,IF($N127="F",Parameters!$J$9,Parameters!$K$9))*(1-Parameters!$L$9*$P127)*IF($D127="V1",Parameters!$M$9,IF($D127="V2",Parameters!$N$9,Parameters!$O$9))</f>
        <v>285</v>
      </c>
      <c r="AT127" s="42" t="n">
        <f aca="false">AS127*(1+INDEX(Response_Table!$I$4:$I$21,MATCH($F127&amp;"|mid",Response_Table!$A$4:$A$21,0))*$R127*INDEX(Parameters!$X$9:$AA$9,1,MATCH($E127,Parameters!$X$3:$AA$3,0)))</f>
        <v>330.424090892598</v>
      </c>
      <c r="AU127" s="42" t="n">
        <f aca="false">MAX(0,MIN(AS127*(1+INDEX(Response_Table!$I$4:$I$21,MATCH($F127&amp;"|low",Response_Table!$A$4:$A$21,0))*$R127*INDEX(Parameters!$X$9:$AA$9,1,MATCH($E127,Parameters!$X$3:$AA$3,0))),AS127*(1+INDEX(Response_Table!$I$4:$I$21,MATCH($F127&amp;"|high",Response_Table!$A$4:$A$21,0))*$R127*INDEX(Parameters!$X$9:$AA$9,1,MATCH($E127,Parameters!$X$3:$AA$3,0))))*(1-Inputs_General!$C$22*Parameters!$F$9))</f>
        <v>290.750497500053</v>
      </c>
      <c r="AV127" s="42" t="n">
        <f aca="false">MAX(AS127*(1+INDEX(Response_Table!$I$4:$I$21,MATCH($F127&amp;"|low",Response_Table!$A$4:$A$21,0))*$R127*INDEX(Parameters!$X$9:$AA$9,1,MATCH($E127,Parameters!$X$3:$AA$3,0))),AS127*(1+INDEX(Response_Table!$I$4:$I$21,MATCH($F127&amp;"|high",Response_Table!$A$4:$A$21,0))*$R127*INDEX(Parameters!$X$9:$AA$9,1,MATCH($E127,Parameters!$X$3:$AA$3,0))))*(1+Inputs_General!$C$22*Parameters!$F$9)</f>
        <v>368.362914207263</v>
      </c>
      <c r="AW127" s="45" t="n">
        <f aca="false">IF(AS127=0,0,AT127/AS127-1)</f>
        <v>0.159382775061748</v>
      </c>
      <c r="AX127" s="43" t="n">
        <f aca="false">INDEX(Context!$AB$4:$AB$51,$K127)</f>
        <v>1.88260488051479</v>
      </c>
      <c r="AY127" s="43" t="n">
        <f aca="false">AX127*(1+INDEX(Response_Table!$J$4:$J$21,MATCH($F127&amp;"|mid",Response_Table!$A$4:$A$21,0))*$R127*INDEX(Parameters!$X$10:$AA$10,1,MATCH($E127,Parameters!$X$3:$AA$3,0)))</f>
        <v>1.66180210005679</v>
      </c>
      <c r="AZ127" s="43" t="n">
        <f aca="false">MAX(0,MIN(AX127*(1+INDEX(Response_Table!$J$4:$J$21,MATCH($F127&amp;"|low",Response_Table!$A$4:$A$21,0))*$R127*INDEX(Parameters!$X$10:$AA$10,1,MATCH($E127,Parameters!$X$3:$AA$3,0))),AX127*(1+INDEX(Response_Table!$J$4:$J$21,MATCH($F127&amp;"|high",Response_Table!$A$4:$A$21,0))*$R127*INDEX(Parameters!$X$10:$AA$10,1,MATCH($E127,Parameters!$X$3:$AA$3,0))))*(1-Inputs_General!$C$22*Parameters!$F$10))</f>
        <v>1.30479663480341</v>
      </c>
      <c r="BA127" s="43" t="n">
        <f aca="false">MAX(AX127*(1+INDEX(Response_Table!$J$4:$J$21,MATCH($F127&amp;"|low",Response_Table!$A$4:$A$21,0))*$R127*INDEX(Parameters!$X$10:$AA$10,1,MATCH($E127,Parameters!$X$3:$AA$3,0))),AX127*(1+INDEX(Response_Table!$J$4:$J$21,MATCH($F127&amp;"|high",Response_Table!$A$4:$A$21,0))*$R127*INDEX(Parameters!$X$10:$AA$10,1,MATCH($E127,Parameters!$X$3:$AA$3,0))))*(1+Inputs_General!$C$22*Parameters!$F$10)</f>
        <v>2.04817464916818</v>
      </c>
      <c r="BB127" s="45" t="n">
        <f aca="false">IF(AX127=0,0,AY127/AX127-1)</f>
        <v>-0.117285779264327</v>
      </c>
      <c r="BC127" s="46" t="n">
        <f aca="false">Parameters!$E$11*IF($N127="V",Parameters!$I$11,IF($N127="F",Parameters!$J$11,Parameters!$K$11))*(1-Parameters!$L$11*$P127)*IF($D127="V1",Parameters!$M$11,IF($D127="V2",Parameters!$N$11,Parameters!$O$11))</f>
        <v>1.223125</v>
      </c>
      <c r="BD127" s="46" t="n">
        <f aca="false">BC127*(1+INDEX(Response_Table!$K$4:$K$21,MATCH($F127&amp;"|mid",Response_Table!$A$4:$A$21,0))*$R127*INDEX(Parameters!$X$11:$AA$11,1,MATCH($E127,Parameters!$X$3:$AA$3,0)))</f>
        <v>0.985391350783432</v>
      </c>
      <c r="BE127" s="46" t="n">
        <f aca="false">MAX(0,MIN(BC127*(1+INDEX(Response_Table!$K$4:$K$21,MATCH($F127&amp;"|low",Response_Table!$A$4:$A$21,0))*$R127*INDEX(Parameters!$X$11:$AA$11,1,MATCH($E127,Parameters!$X$3:$AA$3,0))),BC127*(1+INDEX(Response_Table!$K$4:$K$21,MATCH($F127&amp;"|high",Response_Table!$A$4:$A$21,0))*$R127*INDEX(Parameters!$X$11:$AA$11,1,MATCH($E127,Parameters!$X$3:$AA$3,0))))*(1-Inputs_General!$C$22*Parameters!$F$11))</f>
        <v>0.796611808074757</v>
      </c>
      <c r="BF127" s="46" t="n">
        <f aca="false">MAX(BC127*(1+INDEX(Response_Table!$K$4:$K$21,MATCH($F127&amp;"|low",Response_Table!$A$4:$A$21,0))*$R127*INDEX(Parameters!$X$11:$AA$11,1,MATCH($E127,Parameters!$X$3:$AA$3,0))),BC127*(1+INDEX(Response_Table!$K$4:$K$21,MATCH($F127&amp;"|high",Response_Table!$A$4:$A$21,0))*$R127*INDEX(Parameters!$X$11:$AA$11,1,MATCH($E127,Parameters!$X$3:$AA$3,0))))*(1+Inputs_General!$C$22*Parameters!$F$11)</f>
        <v>1.20208806315408</v>
      </c>
      <c r="BG127" s="45" t="n">
        <f aca="false">IF(BC127=0,0,BD127/BC127-1)</f>
        <v>-0.194365783723306</v>
      </c>
      <c r="BH127" s="46" t="n">
        <f aca="false">Parameters!$E$12*IF($N127="V",Parameters!$I$12,IF($N127="F",Parameters!$J$12,Parameters!$K$12))*(1-Parameters!$L$12*$P127)*IF($D127="V1",Parameters!$M$12,IF($D127="V2",Parameters!$N$12,Parameters!$O$12))</f>
        <v>0.440325</v>
      </c>
      <c r="BI127" s="46" t="n">
        <f aca="false">BH127*(1+INDEX(Response_Table!$L$4:$L$21,MATCH($F127&amp;"|mid",Response_Table!$A$4:$A$21,0))*$R127*INDEX(Parameters!$X$12:$AA$12,1,MATCH($E127,Parameters!$X$3:$AA$3,0)))</f>
        <v>0.37031671389512</v>
      </c>
      <c r="BJ127" s="46" t="n">
        <f aca="false">MAX(0,MIN(BH127*(1+INDEX(Response_Table!$L$4:$L$21,MATCH($F127&amp;"|low",Response_Table!$A$4:$A$21,0))*$R127*INDEX(Parameters!$X$12:$AA$12,1,MATCH($E127,Parameters!$X$3:$AA$3,0))),BH127*(1+INDEX(Response_Table!$L$4:$L$21,MATCH($F127&amp;"|high",Response_Table!$A$4:$A$21,0))*$R127*INDEX(Parameters!$X$12:$AA$12,1,MATCH($E127,Parameters!$X$3:$AA$3,0))))*(1-Inputs_General!$C$22*Parameters!$F$12))</f>
        <v>0.289228884102261</v>
      </c>
      <c r="BK127" s="46" t="n">
        <f aca="false">MAX(BH127*(1+INDEX(Response_Table!$L$4:$L$21,MATCH($F127&amp;"|low",Response_Table!$A$4:$A$21,0))*$R127*INDEX(Parameters!$X$12:$AA$12,1,MATCH($E127,Parameters!$X$3:$AA$3,0))),BH127*(1+INDEX(Response_Table!$L$4:$L$21,MATCH($F127&amp;"|high",Response_Table!$A$4:$A$21,0))*$R127*INDEX(Parameters!$X$12:$AA$12,1,MATCH($E127,Parameters!$X$3:$AA$3,0))))*(1+Inputs_General!$C$22*Parameters!$F$12)</f>
        <v>0.460497186476781</v>
      </c>
      <c r="BL127" s="45" t="n">
        <f aca="false">IF(BH127=0,0,BI127/BH127-1)</f>
        <v>-0.158992303650439</v>
      </c>
      <c r="BM127" s="46" t="n">
        <f aca="false">Parameters!$E$13*IF($N127="V",Parameters!$I$13,IF($N127="F",Parameters!$J$13,Parameters!$K$13))*(1-Parameters!$L$13*$P127)*IF($D127="V1",Parameters!$M$13,IF($D127="V2",Parameters!$N$13,Parameters!$O$13))</f>
        <v>0.29355</v>
      </c>
      <c r="BN127" s="46" t="n">
        <f aca="false">BM127*(1+INDEX(Response_Table!$M$4:$M$21,MATCH($F127&amp;"|mid",Response_Table!$A$4:$A$21,0))*$R127*INDEX(Parameters!$X$13:$AA$13,1,MATCH($E127,Parameters!$X$3:$AA$3,0)))</f>
        <v>0.262489491767417</v>
      </c>
      <c r="BO127" s="46" t="n">
        <f aca="false">MAX(0,MIN(BM127*(1+INDEX(Response_Table!$M$4:$M$21,MATCH($F127&amp;"|low",Response_Table!$A$4:$A$21,0))*$R127*INDEX(Parameters!$X$13:$AA$13,1,MATCH($E127,Parameters!$X$3:$AA$3,0))),BM127*(1+INDEX(Response_Table!$M$4:$M$21,MATCH($F127&amp;"|high",Response_Table!$A$4:$A$21,0))*$R127*INDEX(Parameters!$X$13:$AA$13,1,MATCH($E127,Parameters!$X$3:$AA$3,0))))*(1-Inputs_General!$C$22*Parameters!$F$13))</f>
        <v>0.205404597627397</v>
      </c>
      <c r="BP127" s="46" t="n">
        <f aca="false">MAX(BM127*(1+INDEX(Response_Table!$M$4:$M$21,MATCH($F127&amp;"|low",Response_Table!$A$4:$A$21,0))*$R127*INDEX(Parameters!$X$13:$AA$13,1,MATCH($E127,Parameters!$X$3:$AA$3,0))),BM127*(1+INDEX(Response_Table!$M$4:$M$21,MATCH($F127&amp;"|high",Response_Table!$A$4:$A$21,0))*$R127*INDEX(Parameters!$X$13:$AA$13,1,MATCH($E127,Parameters!$X$3:$AA$3,0))))*(1+Inputs_General!$C$22*Parameters!$F$13)</f>
        <v>0.326975858716208</v>
      </c>
      <c r="BQ127" s="45" t="n">
        <f aca="false">IF(BM127=0,0,BN127/BM127-1)</f>
        <v>-0.105809941177256</v>
      </c>
      <c r="BR127" s="44" t="n">
        <f aca="false">Parameters!$E$14*IF($N127="V",Parameters!$I$14,IF($N127="F",Parameters!$J$14,Parameters!$K$14))*(1-Parameters!$L$14*$P127)*IF($D127="V1",Parameters!$M$14,IF($D127="V2",Parameters!$N$14,Parameters!$O$14))*INDEX(Context!$AC$4:$AC$51,$K127)</f>
        <v>17.325</v>
      </c>
      <c r="BS127" s="44" t="n">
        <f aca="false">BR127*(1+INDEX(Response_Table!$N$4:$N$21,MATCH($F127&amp;"|mid",Response_Table!$A$4:$A$21,0))*$R127*INDEX(Parameters!$X$14:$AA$14,1,MATCH($E127,Parameters!$X$3:$AA$3,0)))</f>
        <v>20.3299545389933</v>
      </c>
      <c r="BT127" s="44" t="n">
        <f aca="false">MAX(0,MIN(BR127*(1+INDEX(Response_Table!$N$4:$N$21,MATCH($F127&amp;"|low",Response_Table!$A$4:$A$21,0))*$R127*INDEX(Parameters!$X$14:$AA$14,1,MATCH($E127,Parameters!$X$3:$AA$3,0))),BR127*(1+INDEX(Response_Table!$N$4:$N$21,MATCH($F127&amp;"|high",Response_Table!$A$4:$A$21,0))*$R127*INDEX(Parameters!$X$14:$AA$14,1,MATCH($E127,Parameters!$X$3:$AA$3,0))))*(1-Inputs_General!$C$22*Parameters!$F$14))</f>
        <v>9.9870122859307</v>
      </c>
      <c r="BU127" s="44" t="n">
        <f aca="false">MAX(BR127*(1+INDEX(Response_Table!$N$4:$N$21,MATCH($F127&amp;"|low",Response_Table!$A$4:$A$21,0))*$R127*INDEX(Parameters!$X$14:$AA$14,1,MATCH($E127,Parameters!$X$3:$AA$3,0))),BR127*(1+INDEX(Response_Table!$N$4:$N$21,MATCH($F127&amp;"|high",Response_Table!$A$4:$A$21,0))*$R127*INDEX(Parameters!$X$14:$AA$14,1,MATCH($E127,Parameters!$X$3:$AA$3,0))))*(1+Inputs_General!$C$22*Parameters!$F$14)</f>
        <v>31.0007495256171</v>
      </c>
      <c r="BV127" s="45" t="n">
        <f aca="false">IF(BR127=0,0,BS127/BR127-1)</f>
        <v>0.173446149436842</v>
      </c>
      <c r="BW127" s="43" t="n">
        <f aca="false">Parameters!$E$15*IF($N127="V",Parameters!$I$15,IF($N127="F",Parameters!$J$15,Parameters!$K$15))*(1-Parameters!$L$15*$P127)*IF($D127="V1",Parameters!$M$15,IF($D127="V2",Parameters!$N$15,Parameters!$O$15))</f>
        <v>10.8</v>
      </c>
      <c r="BX127" s="43" t="n">
        <f aca="false">BW127*(1+INDEX(Response_Table!$O$4:$O$21,MATCH($F127&amp;"|mid",Response_Table!$A$4:$A$21,0))*$R127*INDEX(Parameters!$X$15:$AA$15,1,MATCH($E127,Parameters!$X$3:$AA$3,0)))</f>
        <v>10.3316953965205</v>
      </c>
      <c r="BY127" s="43" t="n">
        <f aca="false">MAX(0,MIN(BW127*(1+INDEX(Response_Table!$O$4:$O$21,MATCH($F127&amp;"|low",Response_Table!$A$4:$A$21,0))*$R127*INDEX(Parameters!$X$15:$AA$15,1,MATCH($E127,Parameters!$X$3:$AA$3,0))),BW127*(1+INDEX(Response_Table!$O$4:$O$21,MATCH($F127&amp;"|high",Response_Table!$A$4:$A$21,0))*$R127*INDEX(Parameters!$X$15:$AA$15,1,MATCH($E127,Parameters!$X$3:$AA$3,0))))*(1-Inputs_General!$C$22*Parameters!$F$15))</f>
        <v>8.23878941750944</v>
      </c>
      <c r="BZ127" s="43" t="n">
        <f aca="false">MAX(BW127*(1+INDEX(Response_Table!$O$4:$O$21,MATCH($F127&amp;"|low",Response_Table!$A$4:$A$21,0))*$R127*INDEX(Parameters!$X$15:$AA$15,1,MATCH($E127,Parameters!$X$3:$AA$3,0))),BW127*(1+INDEX(Response_Table!$O$4:$O$21,MATCH($F127&amp;"|high",Response_Table!$A$4:$A$21,0))*$R127*INDEX(Parameters!$X$15:$AA$15,1,MATCH($E127,Parameters!$X$3:$AA$3,0))))*(1+Inputs_General!$C$22*Parameters!$F$15)</f>
        <v>12.4854245539395</v>
      </c>
      <c r="CA127" s="45" t="n">
        <f aca="false">IF(BW127=0,0,BX127/BW127-1)</f>
        <v>-0.0433615373592108</v>
      </c>
      <c r="CB127" s="46" t="n">
        <f aca="false">BD127+BI127</f>
        <v>1.35570806467855</v>
      </c>
      <c r="CC127" s="43" t="n">
        <f aca="false">BD127/BI127</f>
        <v>2.66094214441131</v>
      </c>
      <c r="CD127" s="46" t="n">
        <f aca="false">BN127/CB127</f>
        <v>0.193618005680046</v>
      </c>
      <c r="CE127" s="43" t="n">
        <f aca="false">AE127/AO127</f>
        <v>3.41129524261516</v>
      </c>
      <c r="CF127" s="44" t="n">
        <f aca="false">AE127/AJ127</f>
        <v>35.2769168455738</v>
      </c>
      <c r="CG127" s="44" t="n">
        <f aca="false">INDEX(Context!$V$4:$V$51,$K127)</f>
        <v>22.6257142857143</v>
      </c>
      <c r="CH127" s="44" t="n">
        <f aca="false">INDEX(Context!$Y$4:$Y$51,$K127)</f>
        <v>21.3177449518561</v>
      </c>
      <c r="CI127" s="44" t="n">
        <f aca="false">INDEX(Context!$Z$4:$Z$51,$K127)</f>
        <v>26.6257142857143</v>
      </c>
      <c r="CJ127" s="43" t="n">
        <f aca="false">INDEX(Context!$AA$4:$AA$51,$K127)</f>
        <v>0.12</v>
      </c>
      <c r="CK127" s="43" t="n">
        <f aca="false">MAX(0,MIN(1,1-(1-CJ127)*AO127/AN127))</f>
        <v>0.326096696635392</v>
      </c>
      <c r="CL127" s="44" t="n">
        <f aca="false">CH127+CK127*(CI127-CH127)</f>
        <v>23.0486562174692</v>
      </c>
      <c r="CM127" s="44" t="n">
        <f aca="false">CH127+MAX(0,MIN(1,1-(1-CJ127)*AQ127/AN127))*(CI127-CH127)</f>
        <v>21.4452670208175</v>
      </c>
      <c r="CN127" s="44" t="n">
        <f aca="false">CH127+MAX(0,MIN(1,1-(1-CJ127)*AP127/AN127))*(CI127-CH127)</f>
        <v>24.3264542417469</v>
      </c>
      <c r="CO127" s="44" t="n">
        <f aca="false">CL127-CG127</f>
        <v>0.422941931754892</v>
      </c>
      <c r="CP127" s="44" t="n">
        <f aca="false">CL127-(CH127+CJ127*(CI127-CH127))</f>
        <v>1.09395494555014</v>
      </c>
      <c r="CQ127" s="46" t="n">
        <f aca="false">CL127/CG127</f>
        <v>1.01869297589522</v>
      </c>
      <c r="CR127" s="43" t="n">
        <f aca="false">IF(CL127-CH127&lt;=0,"n/a",(CI127-CL127)/(CL127-CH127))</f>
        <v>2.06657506904493</v>
      </c>
      <c r="CS127" s="43" t="n">
        <f aca="false">IF(CI127-CL127&lt;=0,"n/a",(CL127-CH127)/(CI127-CL127))</f>
        <v>0.483892414545652</v>
      </c>
      <c r="CT127" s="43" t="n">
        <f aca="false">Inputs_General!$C$23+Inputs_General!$C$24*$I127</f>
        <v>1.36</v>
      </c>
      <c r="CU127" s="44" t="n">
        <f aca="false">3.29*CT127</f>
        <v>4.4744</v>
      </c>
    </row>
    <row r="128" customFormat="false" ht="15" hidden="false" customHeight="false" outlineLevel="0" collapsed="false">
      <c r="A128" s="9" t="str">
        <f aca="false">B128&amp;"|"&amp;E128&amp;"|"&amp;F128</f>
        <v>D2V3|11/02/2026|Very high</v>
      </c>
      <c r="B128" s="7" t="s">
        <v>348</v>
      </c>
      <c r="C128" s="9" t="s">
        <v>129</v>
      </c>
      <c r="D128" s="9" t="s">
        <v>150</v>
      </c>
      <c r="E128" s="9" t="s">
        <v>158</v>
      </c>
      <c r="F128" s="7" t="s">
        <v>285</v>
      </c>
      <c r="G128" s="9" t="s">
        <v>286</v>
      </c>
      <c r="H128" s="41" t="n">
        <f aca="false">INDEX(Severity_Classes!$C$4:$C$9,MATCH(F128,Severity_Classes!$A$4:$A$9,0))</f>
        <v>0.51</v>
      </c>
      <c r="I128" s="41" t="n">
        <f aca="false">INDEX(Severity_Classes!$D$4:$D$9,MATCH(F128,Severity_Classes!$A$4:$A$9,0))</f>
        <v>0.65</v>
      </c>
      <c r="J128" s="41" t="n">
        <f aca="false">INDEX(Severity_Classes!$E$4:$E$9,MATCH(F128,Severity_Classes!$A$4:$A$9,0))</f>
        <v>0.85</v>
      </c>
      <c r="K128" s="42" t="n">
        <f aca="false">MATCH(B128&amp;"|"&amp;E128,Context!$A$4:$A$51,0)</f>
        <v>21</v>
      </c>
      <c r="L128" s="42" t="n">
        <f aca="false">INDEX(Context!$H$4:$H$51,K128)</f>
        <v>55</v>
      </c>
      <c r="M128" s="42" t="n">
        <f aca="false">INDEX(Context!$I$4:$I$51,K128)</f>
        <v>6</v>
      </c>
      <c r="N128" s="9" t="str">
        <f aca="false">INDEX(Context!$L$4:$L$51,K128)</f>
        <v>V</v>
      </c>
      <c r="O128" s="9" t="str">
        <f aca="false">INDEX(Context!$M$4:$M$51,K128)</f>
        <v>3rd fully expanded leaf from top</v>
      </c>
      <c r="P128" s="43" t="n">
        <f aca="false">INDEX(Context!$R$4:$R$51,K128)</f>
        <v>0</v>
      </c>
      <c r="Q128" s="43" t="n">
        <f aca="false">INDEX(Context!$U$4:$U$51,K128)</f>
        <v>0.937791824040773</v>
      </c>
      <c r="R128" s="43" t="n">
        <f aca="false">INDEX(Context!$AD$4:$AD$51,K128)</f>
        <v>0.85</v>
      </c>
      <c r="S128" s="9" t="str">
        <f aca="false">INDEX(Context!$AI$4:$AN$51,K128,MATCH(F128,Severity_Classes!$A$4:$A$9,0))</f>
        <v>Unlikely (only via pre-inoculation natural infection)</v>
      </c>
      <c r="T128" s="44" t="n">
        <f aca="false">Parameters!$E$4*IF($N128="V",Parameters!$I$4,IF($N128="F",Parameters!$J$4,Parameters!$K$4))*(1-Parameters!$L$4*$P128)*IF($D128="V1",Parameters!$M$4,IF($D128="V2",Parameters!$N$4,Parameters!$O$4))</f>
        <v>86</v>
      </c>
      <c r="U128" s="44" t="n">
        <f aca="false">MIN(100,T128*(1+INDEX(Response_Table!$E$4:$E$21,MATCH($F128&amp;"|mid",Response_Table!$A$4:$A$21,0))*$R128*INDEX(Parameters!$X$4:$AA$4,1,MATCH($E128,Parameters!$X$3:$AA$3,0))))</f>
        <v>75.9117959599366</v>
      </c>
      <c r="V128" s="44" t="n">
        <f aca="false">MAX(0,MIN(T128*(1+INDEX(Response_Table!$E$4:$E$21,MATCH($F128&amp;"|low",Response_Table!$A$4:$A$21,0))*$R128*INDEX(Parameters!$X$4:$AA$4,1,MATCH($E128,Parameters!$X$3:$AA$3,0))),T128*(1+INDEX(Response_Table!$E$4:$E$21,MATCH($F128&amp;"|high",Response_Table!$A$4:$A$21,0))*$R128*INDEX(Parameters!$X$4:$AA$4,1,MATCH($E128,Parameters!$X$3:$AA$3,0))))*(1-Inputs_General!$C$22*Parameters!$F$4))</f>
        <v>70.2625489417515</v>
      </c>
      <c r="W128" s="44" t="n">
        <f aca="false">MIN(100,MAX(T128*(1+INDEX(Response_Table!$E$4:$E$21,MATCH($F128&amp;"|low",Response_Table!$A$4:$A$21,0))*$R128*INDEX(Parameters!$X$4:$AA$4,1,MATCH($E128,Parameters!$X$3:$AA$3,0))),T128*(1+INDEX(Response_Table!$E$4:$E$21,MATCH($F128&amp;"|high",Response_Table!$A$4:$A$21,0))*$R128*INDEX(Parameters!$X$4:$AA$4,1,MATCH($E128,Parameters!$X$3:$AA$3,0))))*(1+Inputs_General!$C$22*Parameters!$F$4))</f>
        <v>82.5421300379317</v>
      </c>
      <c r="X128" s="45" t="n">
        <f aca="false">IF(T128=0,0,U128/T128-1)</f>
        <v>-0.117304698140272</v>
      </c>
      <c r="Y128" s="44" t="n">
        <f aca="false">Parameters!$E$5*IF($N128="V",Parameters!$I$5,IF($N128="F",Parameters!$J$5,Parameters!$K$5))*(1-Parameters!$L$5*$P128)*IF($D128="V1",Parameters!$M$5,IF($D128="V2",Parameters!$N$5,Parameters!$O$5))</f>
        <v>72</v>
      </c>
      <c r="Z128" s="44" t="n">
        <f aca="false">MIN(100,Y128*(1+INDEX(Response_Table!$F$4:$F$21,MATCH($F128&amp;"|mid",Response_Table!$A$4:$A$21,0))*$R128*INDEX(Parameters!$X$5:$AA$5,1,MATCH($E128,Parameters!$X$3:$AA$3,0))))</f>
        <v>51.1282274877042</v>
      </c>
      <c r="AA128" s="44" t="n">
        <f aca="false">MAX(0,MIN(Y128*(1+INDEX(Response_Table!$F$4:$F$21,MATCH($F128&amp;"|low",Response_Table!$A$4:$A$21,0))*$R128*INDEX(Parameters!$X$5:$AA$5,1,MATCH($E128,Parameters!$X$3:$AA$3,0))),Y128*(1+INDEX(Response_Table!$F$4:$F$21,MATCH($F128&amp;"|high",Response_Table!$A$4:$A$21,0))*$R128*INDEX(Parameters!$X$5:$AA$5,1,MATCH($E128,Parameters!$X$3:$AA$3,0))))*(1-Inputs_General!$C$22*Parameters!$F$5))</f>
        <v>44.8227628015676</v>
      </c>
      <c r="AB128" s="44" t="n">
        <f aca="false">MIN(100,MAX(Y128*(1+INDEX(Response_Table!$F$4:$F$21,MATCH($F128&amp;"|low",Response_Table!$A$4:$A$21,0))*$R128*INDEX(Parameters!$X$5:$AA$5,1,MATCH($E128,Parameters!$X$3:$AA$3,0))),Y128*(1+INDEX(Response_Table!$F$4:$F$21,MATCH($F128&amp;"|high",Response_Table!$A$4:$A$21,0))*$R128*INDEX(Parameters!$X$5:$AA$5,1,MATCH($E128,Parameters!$X$3:$AA$3,0))))*(1+Inputs_General!$C$22*Parameters!$F$5))</f>
        <v>58.7132565706956</v>
      </c>
      <c r="AC128" s="45" t="n">
        <f aca="false">IF(Y128=0,0,Z128/Y128-1)</f>
        <v>-0.289885729337441</v>
      </c>
      <c r="AD128" s="44" t="n">
        <f aca="false">Parameters!$E$6*IF($N128="V",Parameters!$I$6,IF($N128="F",Parameters!$J$6,Parameters!$K$6))*(1-Parameters!$L$6*$P128)*IF($D128="V1",Parameters!$M$6,IF($D128="V2",Parameters!$N$6,Parameters!$O$6))</f>
        <v>19.57</v>
      </c>
      <c r="AE128" s="44" t="n">
        <f aca="false">AD128*(1+INDEX(Response_Table!$G$4:$G$21,MATCH($F128&amp;"|mid",Response_Table!$A$4:$A$21,0))*$R128*INDEX(Parameters!$X$6:$AA$6,1,MATCH($E128,Parameters!$X$3:$AA$3,0)))</f>
        <v>10.1608823155816</v>
      </c>
      <c r="AF128" s="44" t="n">
        <f aca="false">MAX(0,MIN(AD128*(1+INDEX(Response_Table!$G$4:$G$21,MATCH($F128&amp;"|low",Response_Table!$A$4:$A$21,0))*$R128*INDEX(Parameters!$X$6:$AA$6,1,MATCH($E128,Parameters!$X$3:$AA$3,0))),AD128*(1+INDEX(Response_Table!$G$4:$G$21,MATCH($F128&amp;"|high",Response_Table!$A$4:$A$21,0))*$R128*INDEX(Parameters!$X$6:$AA$6,1,MATCH($E128,Parameters!$X$3:$AA$3,0))))*(1-Inputs_General!$C$22*Parameters!$F$6))</f>
        <v>7.88665465639861</v>
      </c>
      <c r="AG128" s="44" t="n">
        <f aca="false">MAX(AD128*(1+INDEX(Response_Table!$G$4:$G$21,MATCH($F128&amp;"|low",Response_Table!$A$4:$A$21,0))*$R128*INDEX(Parameters!$X$6:$AA$6,1,MATCH($E128,Parameters!$X$3:$AA$3,0))),AD128*(1+INDEX(Response_Table!$G$4:$G$21,MATCH($F128&amp;"|high",Response_Table!$A$4:$A$21,0))*$R128*INDEX(Parameters!$X$6:$AA$6,1,MATCH($E128,Parameters!$X$3:$AA$3,0))))*(1+Inputs_General!$C$22*Parameters!$F$6)</f>
        <v>12.749422783619</v>
      </c>
      <c r="AH128" s="45" t="n">
        <f aca="false">IF(AD128=0,0,AE128/AD128-1)</f>
        <v>-0.480792932264612</v>
      </c>
      <c r="AI128" s="46" t="n">
        <f aca="false">Parameters!$E$7*IF($N128="V",Parameters!$I$7,IF($N128="F",Parameters!$J$7,Parameters!$K$7))*(1-Parameters!$L$7*$P128)*IF($D128="V1",Parameters!$M$7,IF($D128="V2",Parameters!$N$7,Parameters!$O$7))*POWER($Q128/Inputs_General!$C$26,-Inputs_General!$C$25)</f>
        <v>0.464685683730118</v>
      </c>
      <c r="AJ128" s="46" t="n">
        <f aca="false">AI128*(1+INDEX(Response_Table!$H$4:$H$21,MATCH($F128&amp;"|mid",Response_Table!$A$4:$A$21,0))*$R128*INDEX(Parameters!$X$7:$AA$7,1,MATCH($E128,Parameters!$X$3:$AA$3,0)))</f>
        <v>0.288516435632059</v>
      </c>
      <c r="AK128" s="46" t="n">
        <f aca="false">MAX(0,MIN(AI128*(1+INDEX(Response_Table!$H$4:$H$21,MATCH($F128&amp;"|low",Response_Table!$A$4:$A$21,0))*$R128*INDEX(Parameters!$X$7:$AA$7,1,MATCH($E128,Parameters!$X$3:$AA$3,0))),AI128*(1+INDEX(Response_Table!$H$4:$H$21,MATCH($F128&amp;"|high",Response_Table!$A$4:$A$21,0))*$R128*INDEX(Parameters!$X$7:$AA$7,1,MATCH($E128,Parameters!$X$3:$AA$3,0))))*(1-Inputs_General!$C$22*Parameters!$F$7))</f>
        <v>0.19380611640048</v>
      </c>
      <c r="AL128" s="46" t="n">
        <f aca="false">MAX(AI128*(1+INDEX(Response_Table!$H$4:$H$21,MATCH($F128&amp;"|low",Response_Table!$A$4:$A$21,0))*$R128*INDEX(Parameters!$X$7:$AA$7,1,MATCH($E128,Parameters!$X$3:$AA$3,0))),AI128*(1+INDEX(Response_Table!$H$4:$H$21,MATCH($F128&amp;"|high",Response_Table!$A$4:$A$21,0))*$R128*INDEX(Parameters!$X$7:$AA$7,1,MATCH($E128,Parameters!$X$3:$AA$3,0))))*(1+Inputs_General!$C$22*Parameters!$F$7)</f>
        <v>0.393715136216559</v>
      </c>
      <c r="AM128" s="45" t="n">
        <f aca="false">IF(AI128=0,0,AJ128/AI128-1)</f>
        <v>-0.379114860358761</v>
      </c>
      <c r="AN128" s="43" t="n">
        <f aca="false">AI128*$Q128/Inputs_General!$C$13*1000</f>
        <v>4.38850387664553</v>
      </c>
      <c r="AO128" s="43" t="n">
        <f aca="false">AJ128*$Q128/Inputs_General!$C$13*1000*(1+Inputs_General!$C$21*$I128)</f>
        <v>3.16752982913559</v>
      </c>
      <c r="AP128" s="43" t="n">
        <f aca="false">AK128*$Q128/Inputs_General!$C$13*1000*(1+Inputs_General!$C$21*$H128)</f>
        <v>2.06367462048511</v>
      </c>
      <c r="AQ128" s="43" t="n">
        <f aca="false">AL128*$Q128/Inputs_General!$C$13*1000*(1+Inputs_General!$C$21*$J128)</f>
        <v>4.50838558248538</v>
      </c>
      <c r="AR128" s="45" t="n">
        <f aca="false">IF(AN128=0,0,AO128/AN128-1)</f>
        <v>-0.27822102516706</v>
      </c>
      <c r="AS128" s="42" t="n">
        <f aca="false">Parameters!$E$9*IF($N128="V",Parameters!$I$9,IF($N128="F",Parameters!$J$9,Parameters!$K$9))*(1-Parameters!$L$9*$P128)*IF($D128="V1",Parameters!$M$9,IF($D128="V2",Parameters!$N$9,Parameters!$O$9))</f>
        <v>285</v>
      </c>
      <c r="AT128" s="42" t="n">
        <f aca="false">AS128*(1+INDEX(Response_Table!$I$4:$I$21,MATCH($F128&amp;"|mid",Response_Table!$A$4:$A$21,0))*$R128*INDEX(Parameters!$X$9:$AA$9,1,MATCH($E128,Parameters!$X$3:$AA$3,0)))</f>
        <v>338.821734162619</v>
      </c>
      <c r="AU128" s="42" t="n">
        <f aca="false">MAX(0,MIN(AS128*(1+INDEX(Response_Table!$I$4:$I$21,MATCH($F128&amp;"|low",Response_Table!$A$4:$A$21,0))*$R128*INDEX(Parameters!$X$9:$AA$9,1,MATCH($E128,Parameters!$X$3:$AA$3,0))),AS128*(1+INDEX(Response_Table!$I$4:$I$21,MATCH($F128&amp;"|high",Response_Table!$A$4:$A$21,0))*$R128*INDEX(Parameters!$X$9:$AA$9,1,MATCH($E128,Parameters!$X$3:$AA$3,0))))*(1-Inputs_General!$C$22*Parameters!$F$9))</f>
        <v>302.45837184455</v>
      </c>
      <c r="AV128" s="42" t="n">
        <f aca="false">MAX(AS128*(1+INDEX(Response_Table!$I$4:$I$21,MATCH($F128&amp;"|low",Response_Table!$A$4:$A$21,0))*$R128*INDEX(Parameters!$X$9:$AA$9,1,MATCH($E128,Parameters!$X$3:$AA$3,0))),AS128*(1+INDEX(Response_Table!$I$4:$I$21,MATCH($F128&amp;"|high",Response_Table!$A$4:$A$21,0))*$R128*INDEX(Parameters!$X$9:$AA$9,1,MATCH($E128,Parameters!$X$3:$AA$3,0))))*(1+Inputs_General!$C$22*Parameters!$F$9)</f>
        <v>374.876086311447</v>
      </c>
      <c r="AW128" s="45" t="n">
        <f aca="false">IF(AS128=0,0,AT128/AS128-1)</f>
        <v>0.188848190044276</v>
      </c>
      <c r="AX128" s="43" t="n">
        <f aca="false">INDEX(Context!$AB$4:$AB$51,$K128)</f>
        <v>1.88260488051479</v>
      </c>
      <c r="AY128" s="43" t="n">
        <f aca="false">AX128*(1+INDEX(Response_Table!$J$4:$J$21,MATCH($F128&amp;"|mid",Response_Table!$A$4:$A$21,0))*$R128*INDEX(Parameters!$X$10:$AA$10,1,MATCH($E128,Parameters!$X$3:$AA$3,0)))</f>
        <v>1.59345438806356</v>
      </c>
      <c r="AZ128" s="43" t="n">
        <f aca="false">MAX(0,MIN(AX128*(1+INDEX(Response_Table!$J$4:$J$21,MATCH($F128&amp;"|low",Response_Table!$A$4:$A$21,0))*$R128*INDEX(Parameters!$X$10:$AA$10,1,MATCH($E128,Parameters!$X$3:$AA$3,0))),AX128*(1+INDEX(Response_Table!$J$4:$J$21,MATCH($F128&amp;"|high",Response_Table!$A$4:$A$21,0))*$R128*INDEX(Parameters!$X$10:$AA$10,1,MATCH($E128,Parameters!$X$3:$AA$3,0))))*(1-Inputs_General!$C$22*Parameters!$F$10))</f>
        <v>1.25651710793591</v>
      </c>
      <c r="BA128" s="43" t="n">
        <f aca="false">MAX(AX128*(1+INDEX(Response_Table!$J$4:$J$21,MATCH($F128&amp;"|low",Response_Table!$A$4:$A$21,0))*$R128*INDEX(Parameters!$X$10:$AA$10,1,MATCH($E128,Parameters!$X$3:$AA$3,0))),AX128*(1+INDEX(Response_Table!$J$4:$J$21,MATCH($F128&amp;"|high",Response_Table!$A$4:$A$21,0))*$R128*INDEX(Parameters!$X$10:$AA$10,1,MATCH($E128,Parameters!$X$3:$AA$3,0))))*(1+Inputs_General!$C$22*Parameters!$F$10)</f>
        <v>1.94357814172669</v>
      </c>
      <c r="BB128" s="45" t="n">
        <f aca="false">IF(AX128=0,0,AY128/AX128-1)</f>
        <v>-0.153590642117198</v>
      </c>
      <c r="BC128" s="46" t="n">
        <f aca="false">Parameters!$E$11*IF($N128="V",Parameters!$I$11,IF($N128="F",Parameters!$J$11,Parameters!$K$11))*(1-Parameters!$L$11*$P128)*IF($D128="V1",Parameters!$M$11,IF($D128="V2",Parameters!$N$11,Parameters!$O$11))</f>
        <v>1.223125</v>
      </c>
      <c r="BD128" s="46" t="n">
        <f aca="false">BC128*(1+INDEX(Response_Table!$K$4:$K$21,MATCH($F128&amp;"|mid",Response_Table!$A$4:$A$21,0))*$R128*INDEX(Parameters!$X$11:$AA$11,1,MATCH($E128,Parameters!$X$3:$AA$3,0)))</f>
        <v>0.927449173425977</v>
      </c>
      <c r="BE128" s="46" t="n">
        <f aca="false">MAX(0,MIN(BC128*(1+INDEX(Response_Table!$K$4:$K$21,MATCH($F128&amp;"|low",Response_Table!$A$4:$A$21,0))*$R128*INDEX(Parameters!$X$11:$AA$11,1,MATCH($E128,Parameters!$X$3:$AA$3,0))),BC128*(1+INDEX(Response_Table!$K$4:$K$21,MATCH($F128&amp;"|high",Response_Table!$A$4:$A$21,0))*$R128*INDEX(Parameters!$X$11:$AA$11,1,MATCH($E128,Parameters!$X$3:$AA$3,0))))*(1-Inputs_General!$C$22*Parameters!$F$11))</f>
        <v>0.758212094474405</v>
      </c>
      <c r="BF128" s="46" t="n">
        <f aca="false">MAX(BC128*(1+INDEX(Response_Table!$K$4:$K$21,MATCH($F128&amp;"|low",Response_Table!$A$4:$A$21,0))*$R128*INDEX(Parameters!$X$11:$AA$11,1,MATCH($E128,Parameters!$X$3:$AA$3,0))),BC128*(1+INDEX(Response_Table!$K$4:$K$21,MATCH($F128&amp;"|high",Response_Table!$A$4:$A$21,0))*$R128*INDEX(Parameters!$X$11:$AA$11,1,MATCH($E128,Parameters!$X$3:$AA$3,0))))*(1+Inputs_General!$C$22*Parameters!$F$11)</f>
        <v>1.10779671445084</v>
      </c>
      <c r="BG128" s="45" t="n">
        <f aca="false">IF(BC128=0,0,BD128/BC128-1)</f>
        <v>-0.241738028880142</v>
      </c>
      <c r="BH128" s="46" t="n">
        <f aca="false">Parameters!$E$12*IF($N128="V",Parameters!$I$12,IF($N128="F",Parameters!$J$12,Parameters!$K$12))*(1-Parameters!$L$12*$P128)*IF($D128="V1",Parameters!$M$12,IF($D128="V2",Parameters!$N$12,Parameters!$O$12))</f>
        <v>0.440325</v>
      </c>
      <c r="BI128" s="46" t="n">
        <f aca="false">BH128*(1+INDEX(Response_Table!$L$4:$L$21,MATCH($F128&amp;"|mid",Response_Table!$A$4:$A$21,0))*$R128*INDEX(Parameters!$X$12:$AA$12,1,MATCH($E128,Parameters!$X$3:$AA$3,0)))</f>
        <v>0.352042727896049</v>
      </c>
      <c r="BJ128" s="46" t="n">
        <f aca="false">MAX(0,MIN(BH128*(1+INDEX(Response_Table!$L$4:$L$21,MATCH($F128&amp;"|low",Response_Table!$A$4:$A$21,0))*$R128*INDEX(Parameters!$X$12:$AA$12,1,MATCH($E128,Parameters!$X$3:$AA$3,0))),BH128*(1+INDEX(Response_Table!$L$4:$L$21,MATCH($F128&amp;"|high",Response_Table!$A$4:$A$21,0))*$R128*INDEX(Parameters!$X$12:$AA$12,1,MATCH($E128,Parameters!$X$3:$AA$3,0))))*(1-Inputs_General!$C$22*Parameters!$F$12))</f>
        <v>0.277246662613975</v>
      </c>
      <c r="BK128" s="46" t="n">
        <f aca="false">MAX(BH128*(1+INDEX(Response_Table!$L$4:$L$21,MATCH($F128&amp;"|low",Response_Table!$A$4:$A$21,0))*$R128*INDEX(Parameters!$X$12:$AA$12,1,MATCH($E128,Parameters!$X$3:$AA$3,0))),BH128*(1+INDEX(Response_Table!$L$4:$L$21,MATCH($F128&amp;"|high",Response_Table!$A$4:$A$21,0))*$R128*INDEX(Parameters!$X$12:$AA$12,1,MATCH($E128,Parameters!$X$3:$AA$3,0))))*(1+Inputs_General!$C$22*Parameters!$F$12)</f>
        <v>0.430688225439012</v>
      </c>
      <c r="BL128" s="45" t="n">
        <f aca="false">IF(BH128=0,0,BI128/BH128-1)</f>
        <v>-0.200493435766652</v>
      </c>
      <c r="BM128" s="46" t="n">
        <f aca="false">Parameters!$E$13*IF($N128="V",Parameters!$I$13,IF($N128="F",Parameters!$J$13,Parameters!$K$13))*(1-Parameters!$L$13*$P128)*IF($D128="V1",Parameters!$M$13,IF($D128="V2",Parameters!$N$13,Parameters!$O$13))</f>
        <v>0.29355</v>
      </c>
      <c r="BN128" s="46" t="n">
        <f aca="false">BM128*(1+INDEX(Response_Table!$M$4:$M$21,MATCH($F128&amp;"|mid",Response_Table!$A$4:$A$21,0))*$R128*INDEX(Parameters!$X$13:$AA$13,1,MATCH($E128,Parameters!$X$3:$AA$3,0)))</f>
        <v>0.251077883453947</v>
      </c>
      <c r="BO128" s="46" t="n">
        <f aca="false">MAX(0,MIN(BM128*(1+INDEX(Response_Table!$M$4:$M$21,MATCH($F128&amp;"|low",Response_Table!$A$4:$A$21,0))*$R128*INDEX(Parameters!$X$13:$AA$13,1,MATCH($E128,Parameters!$X$3:$AA$3,0))),BM128*(1+INDEX(Response_Table!$M$4:$M$21,MATCH($F128&amp;"|high",Response_Table!$A$4:$A$21,0))*$R128*INDEX(Parameters!$X$13:$AA$13,1,MATCH($E128,Parameters!$X$3:$AA$3,0))))*(1-Inputs_General!$C$22*Parameters!$F$13))</f>
        <v>0.198725124593966</v>
      </c>
      <c r="BP128" s="46" t="n">
        <f aca="false">MAX(BM128*(1+INDEX(Response_Table!$M$4:$M$21,MATCH($F128&amp;"|low",Response_Table!$A$4:$A$21,0))*$R128*INDEX(Parameters!$X$13:$AA$13,1,MATCH($E128,Parameters!$X$3:$AA$3,0))),BM128*(1+INDEX(Response_Table!$M$4:$M$21,MATCH($F128&amp;"|high",Response_Table!$A$4:$A$21,0))*$R128*INDEX(Parameters!$X$13:$AA$13,1,MATCH($E128,Parameters!$X$3:$AA$3,0))))*(1+Inputs_General!$C$22*Parameters!$F$13)</f>
        <v>0.305943910176918</v>
      </c>
      <c r="BQ128" s="45" t="n">
        <f aca="false">IF(BM128=0,0,BN128/BM128-1)</f>
        <v>-0.144684437220417</v>
      </c>
      <c r="BR128" s="44" t="n">
        <f aca="false">Parameters!$E$14*IF($N128="V",Parameters!$I$14,IF($N128="F",Parameters!$J$14,Parameters!$K$14))*(1-Parameters!$L$14*$P128)*IF($D128="V1",Parameters!$M$14,IF($D128="V2",Parameters!$N$14,Parameters!$O$14))*INDEX(Context!$AC$4:$AC$51,$K128)</f>
        <v>17.325</v>
      </c>
      <c r="BS128" s="44" t="n">
        <f aca="false">BR128*(1+INDEX(Response_Table!$N$4:$N$21,MATCH($F128&amp;"|mid",Response_Table!$A$4:$A$21,0))*$R128*INDEX(Parameters!$X$14:$AA$14,1,MATCH($E128,Parameters!$X$3:$AA$3,0)))</f>
        <v>21.1143259359897</v>
      </c>
      <c r="BT128" s="44" t="n">
        <f aca="false">MAX(0,MIN(BR128*(1+INDEX(Response_Table!$N$4:$N$21,MATCH($F128&amp;"|low",Response_Table!$A$4:$A$21,0))*$R128*INDEX(Parameters!$X$14:$AA$14,1,MATCH($E128,Parameters!$X$3:$AA$3,0))),BR128*(1+INDEX(Response_Table!$N$4:$N$21,MATCH($F128&amp;"|high",Response_Table!$A$4:$A$21,0))*$R128*INDEX(Parameters!$X$14:$AA$14,1,MATCH($E128,Parameters!$X$3:$AA$3,0))))*(1-Inputs_General!$C$22*Parameters!$F$14))</f>
        <v>10.5282343530551</v>
      </c>
      <c r="BU128" s="44" t="n">
        <f aca="false">MAX(BR128*(1+INDEX(Response_Table!$N$4:$N$21,MATCH($F128&amp;"|low",Response_Table!$A$4:$A$21,0))*$R128*INDEX(Parameters!$X$14:$AA$14,1,MATCH($E128,Parameters!$X$3:$AA$3,0))),BR128*(1+INDEX(Response_Table!$N$4:$N$21,MATCH($F128&amp;"|high",Response_Table!$A$4:$A$21,0))*$R128*INDEX(Parameters!$X$14:$AA$14,1,MATCH($E128,Parameters!$X$3:$AA$3,0))))*(1+Inputs_General!$C$22*Parameters!$F$14)</f>
        <v>31.9577934599839</v>
      </c>
      <c r="BV128" s="45" t="n">
        <f aca="false">IF(BR128=0,0,BS128/BR128-1)</f>
        <v>0.218720111745439</v>
      </c>
      <c r="BW128" s="43" t="n">
        <f aca="false">Parameters!$E$15*IF($N128="V",Parameters!$I$15,IF($N128="F",Parameters!$J$15,Parameters!$K$15))*(1-Parameters!$L$15*$P128)*IF($D128="V1",Parameters!$M$15,IF($D128="V2",Parameters!$N$15,Parameters!$O$15))</f>
        <v>10.8</v>
      </c>
      <c r="BX128" s="43" t="n">
        <f aca="false">BW128*(1+INDEX(Response_Table!$O$4:$O$21,MATCH($F128&amp;"|mid",Response_Table!$A$4:$A$21,0))*$R128*INDEX(Parameters!$X$15:$AA$15,1,MATCH($E128,Parameters!$X$3:$AA$3,0)))</f>
        <v>10.2094556982873</v>
      </c>
      <c r="BY128" s="43" t="n">
        <f aca="false">MAX(0,MIN(BW128*(1+INDEX(Response_Table!$O$4:$O$21,MATCH($F128&amp;"|low",Response_Table!$A$4:$A$21,0))*$R128*INDEX(Parameters!$X$15:$AA$15,1,MATCH($E128,Parameters!$X$3:$AA$3,0))),BW128*(1+INDEX(Response_Table!$O$4:$O$21,MATCH($F128&amp;"|high",Response_Table!$A$4:$A$21,0))*$R128*INDEX(Parameters!$X$15:$AA$15,1,MATCH($E128,Parameters!$X$3:$AA$3,0))))*(1-Inputs_General!$C$22*Parameters!$F$15))</f>
        <v>8.15863705562374</v>
      </c>
      <c r="BZ128" s="43" t="n">
        <f aca="false">MAX(BW128*(1+INDEX(Response_Table!$O$4:$O$21,MATCH($F128&amp;"|low",Response_Table!$A$4:$A$21,0))*$R128*INDEX(Parameters!$X$15:$AA$15,1,MATCH($E128,Parameters!$X$3:$AA$3,0))),BW128*(1+INDEX(Response_Table!$O$4:$O$21,MATCH($F128&amp;"|high",Response_Table!$A$4:$A$21,0))*$R128*INDEX(Parameters!$X$15:$AA$15,1,MATCH($E128,Parameters!$X$3:$AA$3,0))))*(1+Inputs_General!$C$22*Parameters!$F$15)</f>
        <v>12.2860242478384</v>
      </c>
      <c r="CA128" s="45" t="n">
        <f aca="false">IF(BW128=0,0,BX128/BW128-1)</f>
        <v>-0.0546800279363597</v>
      </c>
      <c r="CB128" s="46" t="n">
        <f aca="false">BD128+BI128</f>
        <v>1.27949190132203</v>
      </c>
      <c r="CC128" s="43" t="n">
        <f aca="false">BD128/BI128</f>
        <v>2.63447899909421</v>
      </c>
      <c r="CD128" s="46" t="n">
        <f aca="false">BN128/CB128</f>
        <v>0.196232491346387</v>
      </c>
      <c r="CE128" s="43" t="n">
        <f aca="false">AE128/AO128</f>
        <v>3.20782529721414</v>
      </c>
      <c r="CF128" s="44" t="n">
        <f aca="false">AE128/AJ128</f>
        <v>35.2176897420832</v>
      </c>
      <c r="CG128" s="44" t="n">
        <f aca="false">INDEX(Context!$V$4:$V$51,$K128)</f>
        <v>22.6257142857143</v>
      </c>
      <c r="CH128" s="44" t="n">
        <f aca="false">INDEX(Context!$Y$4:$Y$51,$K128)</f>
        <v>21.3177449518561</v>
      </c>
      <c r="CI128" s="44" t="n">
        <f aca="false">INDEX(Context!$Z$4:$Z$51,$K128)</f>
        <v>26.6257142857143</v>
      </c>
      <c r="CJ128" s="43" t="n">
        <f aca="false">INDEX(Context!$AA$4:$AA$51,$K128)</f>
        <v>0.12</v>
      </c>
      <c r="CK128" s="43" t="n">
        <f aca="false">MAX(0,MIN(1,1-(1-CJ128)*AO128/AN128))</f>
        <v>0.364834502147012</v>
      </c>
      <c r="CL128" s="44" t="n">
        <f aca="false">CH128+CK128*(CI128-CH128)</f>
        <v>23.2542753011858</v>
      </c>
      <c r="CM128" s="44" t="n">
        <f aca="false">CH128+MAX(0,MIN(1,1-(1-CJ128)*AQ128/AN128))*(CI128-CH128)</f>
        <v>21.827102203117</v>
      </c>
      <c r="CN128" s="44" t="n">
        <f aca="false">CH128+MAX(0,MIN(1,1-(1-CJ128)*AP128/AN128))*(CI128-CH128)</f>
        <v>24.4291909876893</v>
      </c>
      <c r="CO128" s="44" t="n">
        <f aca="false">CL128-CG128</f>
        <v>0.62856101547154</v>
      </c>
      <c r="CP128" s="44" t="n">
        <f aca="false">CL128-(CH128+CJ128*(CI128-CH128))</f>
        <v>1.29957402926679</v>
      </c>
      <c r="CQ128" s="46" t="n">
        <f aca="false">CL128/CG128</f>
        <v>1.02778082528287</v>
      </c>
      <c r="CR128" s="43" t="n">
        <f aca="false">IF(CL128-CH128&lt;=0,"n/a",(CI128-CL128)/(CL128-CH128))</f>
        <v>1.74096883412919</v>
      </c>
      <c r="CS128" s="43" t="n">
        <f aca="false">IF(CI128-CL128&lt;=0,"n/a",(CL128-CH128)/(CI128-CL128))</f>
        <v>0.57439282105253</v>
      </c>
      <c r="CT128" s="43" t="n">
        <f aca="false">Inputs_General!$C$23+Inputs_General!$C$24*$I128</f>
        <v>1.9</v>
      </c>
      <c r="CU128" s="44" t="n">
        <f aca="false">3.29*CT128</f>
        <v>6.251</v>
      </c>
    </row>
    <row r="129" customFormat="false" ht="15" hidden="false" customHeight="false" outlineLevel="0" collapsed="false">
      <c r="A129" s="33" t="str">
        <f aca="false">B129&amp;"|"&amp;E129&amp;"|"&amp;F129</f>
        <v>D2V3|24/02/2026|Healthy</v>
      </c>
      <c r="B129" s="34" t="s">
        <v>348</v>
      </c>
      <c r="C129" s="33" t="s">
        <v>129</v>
      </c>
      <c r="D129" s="33" t="s">
        <v>150</v>
      </c>
      <c r="E129" s="33" t="s">
        <v>160</v>
      </c>
      <c r="F129" s="34" t="s">
        <v>275</v>
      </c>
      <c r="G129" s="33" t="s">
        <v>276</v>
      </c>
      <c r="H129" s="35" t="n">
        <f aca="false">INDEX(Severity_Classes!$C$4:$C$9,MATCH(F129,Severity_Classes!$A$4:$A$9,0))</f>
        <v>0</v>
      </c>
      <c r="I129" s="35" t="n">
        <f aca="false">INDEX(Severity_Classes!$D$4:$D$9,MATCH(F129,Severity_Classes!$A$4:$A$9,0))</f>
        <v>0</v>
      </c>
      <c r="J129" s="35" t="n">
        <f aca="false">INDEX(Severity_Classes!$E$4:$E$9,MATCH(F129,Severity_Classes!$A$4:$A$9,0))</f>
        <v>0</v>
      </c>
      <c r="K129" s="36" t="n">
        <f aca="false">MATCH(B129&amp;"|"&amp;E129,Context!$A$4:$A$51,0)</f>
        <v>22</v>
      </c>
      <c r="L129" s="36" t="n">
        <f aca="false">INDEX(Context!$H$4:$H$51,K129)</f>
        <v>68</v>
      </c>
      <c r="M129" s="36" t="n">
        <f aca="false">INDEX(Context!$I$4:$I$51,K129)</f>
        <v>19</v>
      </c>
      <c r="N129" s="33" t="str">
        <f aca="false">INDEX(Context!$L$4:$L$51,K129)</f>
        <v>F</v>
      </c>
      <c r="O129" s="33" t="str">
        <f aca="false">INDEX(Context!$M$4:$M$51,K129)</f>
        <v>5th fully expanded leaf from top</v>
      </c>
      <c r="P129" s="37" t="n">
        <f aca="false">INDEX(Context!$R$4:$R$51,K129)</f>
        <v>0.0232142857142859</v>
      </c>
      <c r="Q129" s="37" t="n">
        <f aca="false">INDEX(Context!$U$4:$U$51,K129)</f>
        <v>1.19492600027053</v>
      </c>
      <c r="R129" s="37" t="n">
        <f aca="false">INDEX(Context!$AD$4:$AD$51,K129)</f>
        <v>0.85</v>
      </c>
      <c r="S129" s="33" t="str">
        <f aca="false">INDEX(Context!$AI$4:$AN$51,K129,MATCH(F129,Severity_Classes!$A$4:$A$9,0))</f>
        <v>Reference: healthy (uninoculated) control plot</v>
      </c>
      <c r="T129" s="38" t="n">
        <f aca="false">Parameters!$E$4*IF($N129="V",Parameters!$I$4,IF($N129="F",Parameters!$J$4,Parameters!$K$4))*(1-Parameters!$L$4*$P129)*IF($D129="V1",Parameters!$M$4,IF($D129="V2",Parameters!$N$4,Parameters!$O$4))</f>
        <v>85.0411767857143</v>
      </c>
      <c r="U129" s="38" t="n">
        <f aca="false">MIN(100,T129*(1+INDEX(Response_Table!$E$4:$E$21,MATCH($F129&amp;"|mid",Response_Table!$A$4:$A$21,0))*$R129*INDEX(Parameters!$X$4:$AA$4,1,MATCH($E129,Parameters!$X$3:$AA$3,0))))</f>
        <v>85.0411767857143</v>
      </c>
      <c r="V129" s="38" t="n">
        <f aca="false">MAX(0,MIN(T129*(1+INDEX(Response_Table!$E$4:$E$21,MATCH($F129&amp;"|low",Response_Table!$A$4:$A$21,0))*$R129*INDEX(Parameters!$X$4:$AA$4,1,MATCH($E129,Parameters!$X$3:$AA$3,0))),T129*(1+INDEX(Response_Table!$E$4:$E$21,MATCH($F129&amp;"|high",Response_Table!$A$4:$A$21,0))*$R129*INDEX(Parameters!$X$4:$AA$4,1,MATCH($E129,Parameters!$X$3:$AA$3,0))))*(1-Inputs_General!$C$22*Parameters!$F$4))</f>
        <v>79.4454673532143</v>
      </c>
      <c r="W129" s="38" t="n">
        <f aca="false">MIN(100,MAX(T129*(1+INDEX(Response_Table!$E$4:$E$21,MATCH($F129&amp;"|low",Response_Table!$A$4:$A$21,0))*$R129*INDEX(Parameters!$X$4:$AA$4,1,MATCH($E129,Parameters!$X$3:$AA$3,0))),T129*(1+INDEX(Response_Table!$E$4:$E$21,MATCH($F129&amp;"|high",Response_Table!$A$4:$A$21,0))*$R129*INDEX(Parameters!$X$4:$AA$4,1,MATCH($E129,Parameters!$X$3:$AA$3,0))))*(1+Inputs_General!$C$22*Parameters!$F$4))</f>
        <v>90.6368862182143</v>
      </c>
      <c r="X129" s="39" t="n">
        <f aca="false">IF(T129=0,0,U129/T129-1)</f>
        <v>0</v>
      </c>
      <c r="Y129" s="38" t="n">
        <f aca="false">Parameters!$E$5*IF($N129="V",Parameters!$I$5,IF($N129="F",Parameters!$J$5,Parameters!$K$5))*(1-Parameters!$L$5*$P129)*IF($D129="V1",Parameters!$M$5,IF($D129="V2",Parameters!$N$5,Parameters!$O$5))</f>
        <v>70.36344</v>
      </c>
      <c r="Z129" s="38" t="n">
        <f aca="false">MIN(100,Y129*(1+INDEX(Response_Table!$F$4:$F$21,MATCH($F129&amp;"|mid",Response_Table!$A$4:$A$21,0))*$R129*INDEX(Parameters!$X$5:$AA$5,1,MATCH($E129,Parameters!$X$3:$AA$3,0))))</f>
        <v>70.36344</v>
      </c>
      <c r="AA129" s="38" t="n">
        <f aca="false">MAX(0,MIN(Y129*(1+INDEX(Response_Table!$F$4:$F$21,MATCH($F129&amp;"|low",Response_Table!$A$4:$A$21,0))*$R129*INDEX(Parameters!$X$5:$AA$5,1,MATCH($E129,Parameters!$X$3:$AA$3,0))),Y129*(1+INDEX(Response_Table!$F$4:$F$21,MATCH($F129&amp;"|high",Response_Table!$A$4:$A$21,0))*$R129*INDEX(Parameters!$X$5:$AA$5,1,MATCH($E129,Parameters!$X$3:$AA$3,0))))*(1-Inputs_General!$C$22*Parameters!$F$5))</f>
        <v>62.261089884</v>
      </c>
      <c r="AB129" s="38" t="n">
        <f aca="false">MIN(100,MAX(Y129*(1+INDEX(Response_Table!$F$4:$F$21,MATCH($F129&amp;"|low",Response_Table!$A$4:$A$21,0))*$R129*INDEX(Parameters!$X$5:$AA$5,1,MATCH($E129,Parameters!$X$3:$AA$3,0))),Y129*(1+INDEX(Response_Table!$F$4:$F$21,MATCH($F129&amp;"|high",Response_Table!$A$4:$A$21,0))*$R129*INDEX(Parameters!$X$5:$AA$5,1,MATCH($E129,Parameters!$X$3:$AA$3,0))))*(1+Inputs_General!$C$22*Parameters!$F$5))</f>
        <v>78.465790116</v>
      </c>
      <c r="AC129" s="39" t="n">
        <f aca="false">IF(Y129=0,0,Z129/Y129-1)</f>
        <v>0</v>
      </c>
      <c r="AD129" s="38" t="n">
        <f aca="false">Parameters!$E$6*IF($N129="V",Parameters!$I$6,IF($N129="F",Parameters!$J$6,Parameters!$K$6))*(1-Parameters!$L$6*$P129)*IF($D129="V1",Parameters!$M$6,IF($D129="V2",Parameters!$N$6,Parameters!$O$6))</f>
        <v>19.5154835714286</v>
      </c>
      <c r="AE129" s="38" t="n">
        <f aca="false">AD129*(1+INDEX(Response_Table!$G$4:$G$21,MATCH($F129&amp;"|mid",Response_Table!$A$4:$A$21,0))*$R129*INDEX(Parameters!$X$6:$AA$6,1,MATCH($E129,Parameters!$X$3:$AA$3,0)))</f>
        <v>19.5154835714286</v>
      </c>
      <c r="AF129" s="38" t="n">
        <f aca="false">MAX(0,MIN(AD129*(1+INDEX(Response_Table!$G$4:$G$21,MATCH($F129&amp;"|low",Response_Table!$A$4:$A$21,0))*$R129*INDEX(Parameters!$X$6:$AA$6,1,MATCH($E129,Parameters!$X$3:$AA$3,0))),AD129*(1+INDEX(Response_Table!$G$4:$G$21,MATCH($F129&amp;"|high",Response_Table!$A$4:$A$21,0))*$R129*INDEX(Parameters!$X$6:$AA$6,1,MATCH($E129,Parameters!$X$3:$AA$3,0))))*(1-Inputs_General!$C$22*Parameters!$F$6))</f>
        <v>15.6631271144286</v>
      </c>
      <c r="AG129" s="38" t="n">
        <f aca="false">MAX(AD129*(1+INDEX(Response_Table!$G$4:$G$21,MATCH($F129&amp;"|low",Response_Table!$A$4:$A$21,0))*$R129*INDEX(Parameters!$X$6:$AA$6,1,MATCH($E129,Parameters!$X$3:$AA$3,0))),AD129*(1+INDEX(Response_Table!$G$4:$G$21,MATCH($F129&amp;"|high",Response_Table!$A$4:$A$21,0))*$R129*INDEX(Parameters!$X$6:$AA$6,1,MATCH($E129,Parameters!$X$3:$AA$3,0))))*(1+Inputs_General!$C$22*Parameters!$F$6)</f>
        <v>23.3678400284286</v>
      </c>
      <c r="AH129" s="39" t="n">
        <f aca="false">IF(AD129=0,0,AE129/AD129-1)</f>
        <v>0</v>
      </c>
      <c r="AI129" s="40" t="n">
        <f aca="false">Parameters!$E$7*IF($N129="V",Parameters!$I$7,IF($N129="F",Parameters!$J$7,Parameters!$K$7))*(1-Parameters!$L$7*$P129)*IF($D129="V1",Parameters!$M$7,IF($D129="V2",Parameters!$N$7,Parameters!$O$7))*POWER($Q129/Inputs_General!$C$26,-Inputs_General!$C$25)</f>
        <v>0.411663164578586</v>
      </c>
      <c r="AJ129" s="40" t="n">
        <f aca="false">AI129*(1+INDEX(Response_Table!$H$4:$H$21,MATCH($F129&amp;"|mid",Response_Table!$A$4:$A$21,0))*$R129*INDEX(Parameters!$X$7:$AA$7,1,MATCH($E129,Parameters!$X$3:$AA$3,0)))</f>
        <v>0.411663164578586</v>
      </c>
      <c r="AK129" s="40" t="n">
        <f aca="false">MAX(0,MIN(AI129*(1+INDEX(Response_Table!$H$4:$H$21,MATCH($F129&amp;"|low",Response_Table!$A$4:$A$21,0))*$R129*INDEX(Parameters!$X$7:$AA$7,1,MATCH($E129,Parameters!$X$3:$AA$3,0))),AI129*(1+INDEX(Response_Table!$H$4:$H$21,MATCH($F129&amp;"|high",Response_Table!$A$4:$A$21,0))*$R129*INDEX(Parameters!$X$7:$AA$7,1,MATCH($E129,Parameters!$X$3:$AA$3,0))))*(1-Inputs_General!$C$22*Parameters!$F$7))</f>
        <v>0.289769701546867</v>
      </c>
      <c r="AL129" s="40" t="n">
        <f aca="false">MAX(AI129*(1+INDEX(Response_Table!$H$4:$H$21,MATCH($F129&amp;"|low",Response_Table!$A$4:$A$21,0))*$R129*INDEX(Parameters!$X$7:$AA$7,1,MATCH($E129,Parameters!$X$3:$AA$3,0))),AI129*(1+INDEX(Response_Table!$H$4:$H$21,MATCH($F129&amp;"|high",Response_Table!$A$4:$A$21,0))*$R129*INDEX(Parameters!$X$7:$AA$7,1,MATCH($E129,Parameters!$X$3:$AA$3,0))))*(1+Inputs_General!$C$22*Parameters!$F$7)</f>
        <v>0.533556627610306</v>
      </c>
      <c r="AM129" s="39" t="n">
        <f aca="false">IF(AI129=0,0,AJ129/AI129-1)</f>
        <v>0</v>
      </c>
      <c r="AN129" s="37" t="n">
        <f aca="false">AI129*$Q129/Inputs_General!$C$13*1000</f>
        <v>4.95374641196979</v>
      </c>
      <c r="AO129" s="37" t="n">
        <f aca="false">AJ129*$Q129/Inputs_General!$C$13*1000*(1+Inputs_General!$C$21*$I129)</f>
        <v>4.95374641196979</v>
      </c>
      <c r="AP129" s="37" t="n">
        <f aca="false">AK129*$Q129/Inputs_General!$C$13*1000*(1+Inputs_General!$C$21*$H129)</f>
        <v>3.48694209938553</v>
      </c>
      <c r="AQ129" s="37" t="n">
        <f aca="false">AL129*$Q129/Inputs_General!$C$13*1000*(1+Inputs_General!$C$21*$J129)</f>
        <v>6.42055072455404</v>
      </c>
      <c r="AR129" s="39" t="n">
        <f aca="false">IF(AN129=0,0,AO129/AN129-1)</f>
        <v>0</v>
      </c>
      <c r="AS129" s="36" t="n">
        <f aca="false">Parameters!$E$9*IF($N129="V",Parameters!$I$9,IF($N129="F",Parameters!$J$9,Parameters!$K$9))*(1-Parameters!$L$9*$P129)*IF($D129="V1",Parameters!$M$9,IF($D129="V2",Parameters!$N$9,Parameters!$O$9))</f>
        <v>285</v>
      </c>
      <c r="AT129" s="36" t="n">
        <f aca="false">AS129*(1+INDEX(Response_Table!$I$4:$I$21,MATCH($F129&amp;"|mid",Response_Table!$A$4:$A$21,0))*$R129*INDEX(Parameters!$X$9:$AA$9,1,MATCH($E129,Parameters!$X$3:$AA$3,0)))</f>
        <v>285</v>
      </c>
      <c r="AU129" s="36" t="n">
        <f aca="false">MAX(0,MIN(AS129*(1+INDEX(Response_Table!$I$4:$I$21,MATCH($F129&amp;"|low",Response_Table!$A$4:$A$21,0))*$R129*INDEX(Parameters!$X$9:$AA$9,1,MATCH($E129,Parameters!$X$3:$AA$3,0))),AS129*(1+INDEX(Response_Table!$I$4:$I$21,MATCH($F129&amp;"|high",Response_Table!$A$4:$A$21,0))*$R129*INDEX(Parameters!$X$9:$AA$9,1,MATCH($E129,Parameters!$X$3:$AA$3,0))))*(1-Inputs_General!$C$22*Parameters!$F$9))</f>
        <v>256.8705</v>
      </c>
      <c r="AV129" s="36" t="n">
        <f aca="false">MAX(AS129*(1+INDEX(Response_Table!$I$4:$I$21,MATCH($F129&amp;"|low",Response_Table!$A$4:$A$21,0))*$R129*INDEX(Parameters!$X$9:$AA$9,1,MATCH($E129,Parameters!$X$3:$AA$3,0))),AS129*(1+INDEX(Response_Table!$I$4:$I$21,MATCH($F129&amp;"|high",Response_Table!$A$4:$A$21,0))*$R129*INDEX(Parameters!$X$9:$AA$9,1,MATCH($E129,Parameters!$X$3:$AA$3,0))))*(1+Inputs_General!$C$22*Parameters!$F$9)</f>
        <v>313.1295</v>
      </c>
      <c r="AW129" s="39" t="n">
        <f aca="false">IF(AS129=0,0,AT129/AS129-1)</f>
        <v>0</v>
      </c>
      <c r="AX129" s="37" t="n">
        <f aca="false">INDEX(Context!$AB$4:$AB$51,$K129)</f>
        <v>2.85275193829914</v>
      </c>
      <c r="AY129" s="37" t="n">
        <f aca="false">AX129*(1+INDEX(Response_Table!$J$4:$J$21,MATCH($F129&amp;"|mid",Response_Table!$A$4:$A$21,0))*$R129*INDEX(Parameters!$X$10:$AA$10,1,MATCH($E129,Parameters!$X$3:$AA$3,0)))</f>
        <v>2.85275193829914</v>
      </c>
      <c r="AZ129" s="37" t="n">
        <f aca="false">MAX(0,MIN(AX129*(1+INDEX(Response_Table!$J$4:$J$21,MATCH($F129&amp;"|low",Response_Table!$A$4:$A$21,0))*$R129*INDEX(Parameters!$X$10:$AA$10,1,MATCH($E129,Parameters!$X$3:$AA$3,0))),AX129*(1+INDEX(Response_Table!$J$4:$J$21,MATCH($F129&amp;"|high",Response_Table!$A$4:$A$21,0))*$R129*INDEX(Parameters!$X$10:$AA$10,1,MATCH($E129,Parameters!$X$3:$AA$3,0))))*(1-Inputs_General!$C$22*Parameters!$F$10))</f>
        <v>2.28961870567889</v>
      </c>
      <c r="BA129" s="37" t="n">
        <f aca="false">MAX(AX129*(1+INDEX(Response_Table!$J$4:$J$21,MATCH($F129&amp;"|low",Response_Table!$A$4:$A$21,0))*$R129*INDEX(Parameters!$X$10:$AA$10,1,MATCH($E129,Parameters!$X$3:$AA$3,0))),AX129*(1+INDEX(Response_Table!$J$4:$J$21,MATCH($F129&amp;"|high",Response_Table!$A$4:$A$21,0))*$R129*INDEX(Parameters!$X$10:$AA$10,1,MATCH($E129,Parameters!$X$3:$AA$3,0))))*(1+Inputs_General!$C$22*Parameters!$F$10)</f>
        <v>3.41588517091939</v>
      </c>
      <c r="BB129" s="39" t="n">
        <f aca="false">IF(AX129=0,0,AY129/AX129-1)</f>
        <v>0</v>
      </c>
      <c r="BC129" s="40" t="n">
        <f aca="false">Parameters!$E$11*IF($N129="V",Parameters!$I$11,IF($N129="F",Parameters!$J$11,Parameters!$K$11))*(1-Parameters!$L$11*$P129)*IF($D129="V1",Parameters!$M$11,IF($D129="V2",Parameters!$N$11,Parameters!$O$11))</f>
        <v>1.28570669642857</v>
      </c>
      <c r="BD129" s="40" t="n">
        <f aca="false">BC129*(1+INDEX(Response_Table!$K$4:$K$21,MATCH($F129&amp;"|mid",Response_Table!$A$4:$A$21,0))*$R129*INDEX(Parameters!$X$11:$AA$11,1,MATCH($E129,Parameters!$X$3:$AA$3,0)))</f>
        <v>1.28570669642857</v>
      </c>
      <c r="BE129" s="40" t="n">
        <f aca="false">MAX(0,MIN(BC129*(1+INDEX(Response_Table!$K$4:$K$21,MATCH($F129&amp;"|low",Response_Table!$A$4:$A$21,0))*$R129*INDEX(Parameters!$X$11:$AA$11,1,MATCH($E129,Parameters!$X$3:$AA$3,0))),BC129*(1+INDEX(Response_Table!$K$4:$K$21,MATCH($F129&amp;"|high",Response_Table!$A$4:$A$21,0))*$R129*INDEX(Parameters!$X$11:$AA$11,1,MATCH($E129,Parameters!$X$3:$AA$3,0))))*(1-Inputs_General!$C$22*Parameters!$F$11))</f>
        <v>1.07420794486607</v>
      </c>
      <c r="BF129" s="40" t="n">
        <f aca="false">MAX(BC129*(1+INDEX(Response_Table!$K$4:$K$21,MATCH($F129&amp;"|low",Response_Table!$A$4:$A$21,0))*$R129*INDEX(Parameters!$X$11:$AA$11,1,MATCH($E129,Parameters!$X$3:$AA$3,0))),BC129*(1+INDEX(Response_Table!$K$4:$K$21,MATCH($F129&amp;"|high",Response_Table!$A$4:$A$21,0))*$R129*INDEX(Parameters!$X$11:$AA$11,1,MATCH($E129,Parameters!$X$3:$AA$3,0))))*(1+Inputs_General!$C$22*Parameters!$F$11)</f>
        <v>1.49720544799107</v>
      </c>
      <c r="BG129" s="39" t="n">
        <f aca="false">IF(BC129=0,0,BD129/BC129-1)</f>
        <v>0</v>
      </c>
      <c r="BH129" s="40" t="n">
        <f aca="false">Parameters!$E$12*IF($N129="V",Parameters!$I$12,IF($N129="F",Parameters!$J$12,Parameters!$K$12))*(1-Parameters!$L$12*$P129)*IF($D129="V1",Parameters!$M$12,IF($D129="V2",Parameters!$N$12,Parameters!$O$12))</f>
        <v>0.462854410714286</v>
      </c>
      <c r="BI129" s="40" t="n">
        <f aca="false">BH129*(1+INDEX(Response_Table!$L$4:$L$21,MATCH($F129&amp;"|mid",Response_Table!$A$4:$A$21,0))*$R129*INDEX(Parameters!$X$12:$AA$12,1,MATCH($E129,Parameters!$X$3:$AA$3,0)))</f>
        <v>0.462854410714286</v>
      </c>
      <c r="BJ129" s="40" t="n">
        <f aca="false">MAX(0,MIN(BH129*(1+INDEX(Response_Table!$L$4:$L$21,MATCH($F129&amp;"|low",Response_Table!$A$4:$A$21,0))*$R129*INDEX(Parameters!$X$12:$AA$12,1,MATCH($E129,Parameters!$X$3:$AA$3,0))),BH129*(1+INDEX(Response_Table!$L$4:$L$21,MATCH($F129&amp;"|high",Response_Table!$A$4:$A$21,0))*$R129*INDEX(Parameters!$X$12:$AA$12,1,MATCH($E129,Parameters!$X$3:$AA$3,0))))*(1-Inputs_General!$C$22*Parameters!$F$12))</f>
        <v>0.371486950039286</v>
      </c>
      <c r="BK129" s="40" t="n">
        <f aca="false">MAX(BH129*(1+INDEX(Response_Table!$L$4:$L$21,MATCH($F129&amp;"|low",Response_Table!$A$4:$A$21,0))*$R129*INDEX(Parameters!$X$12:$AA$12,1,MATCH($E129,Parameters!$X$3:$AA$3,0))),BH129*(1+INDEX(Response_Table!$L$4:$L$21,MATCH($F129&amp;"|high",Response_Table!$A$4:$A$21,0))*$R129*INDEX(Parameters!$X$12:$AA$12,1,MATCH($E129,Parameters!$X$3:$AA$3,0))))*(1+Inputs_General!$C$22*Parameters!$F$12)</f>
        <v>0.554221871389286</v>
      </c>
      <c r="BL129" s="39" t="n">
        <f aca="false">IF(BH129=0,0,BI129/BH129-1)</f>
        <v>0</v>
      </c>
      <c r="BM129" s="40" t="n">
        <f aca="false">Parameters!$E$13*IF($N129="V",Parameters!$I$13,IF($N129="F",Parameters!$J$13,Parameters!$K$13))*(1-Parameters!$L$13*$P129)*IF($D129="V1",Parameters!$M$13,IF($D129="V2",Parameters!$N$13,Parameters!$O$13))</f>
        <v>0.308784803571429</v>
      </c>
      <c r="BN129" s="40" t="n">
        <f aca="false">BM129*(1+INDEX(Response_Table!$M$4:$M$21,MATCH($F129&amp;"|mid",Response_Table!$A$4:$A$21,0))*$R129*INDEX(Parameters!$X$13:$AA$13,1,MATCH($E129,Parameters!$X$3:$AA$3,0)))</f>
        <v>0.308784803571429</v>
      </c>
      <c r="BO129" s="40" t="n">
        <f aca="false">MAX(0,MIN(BM129*(1+INDEX(Response_Table!$M$4:$M$21,MATCH($F129&amp;"|low",Response_Table!$A$4:$A$21,0))*$R129*INDEX(Parameters!$X$13:$AA$13,1,MATCH($E129,Parameters!$X$3:$AA$3,0))),BM129*(1+INDEX(Response_Table!$M$4:$M$21,MATCH($F129&amp;"|high",Response_Table!$A$4:$A$21,0))*$R129*INDEX(Parameters!$X$13:$AA$13,1,MATCH($E129,Parameters!$X$3:$AA$3,0))))*(1-Inputs_General!$C$22*Parameters!$F$13))</f>
        <v>0.247830683346429</v>
      </c>
      <c r="BP129" s="40" t="n">
        <f aca="false">MAX(BM129*(1+INDEX(Response_Table!$M$4:$M$21,MATCH($F129&amp;"|low",Response_Table!$A$4:$A$21,0))*$R129*INDEX(Parameters!$X$13:$AA$13,1,MATCH($E129,Parameters!$X$3:$AA$3,0))),BM129*(1+INDEX(Response_Table!$M$4:$M$21,MATCH($F129&amp;"|high",Response_Table!$A$4:$A$21,0))*$R129*INDEX(Parameters!$X$13:$AA$13,1,MATCH($E129,Parameters!$X$3:$AA$3,0))))*(1+Inputs_General!$C$22*Parameters!$F$13)</f>
        <v>0.369738923796429</v>
      </c>
      <c r="BQ129" s="39" t="n">
        <f aca="false">IF(BM129=0,0,BN129/BM129-1)</f>
        <v>0</v>
      </c>
      <c r="BR129" s="38" t="n">
        <f aca="false">Parameters!$E$14*IF($N129="V",Parameters!$I$14,IF($N129="F",Parameters!$J$14,Parameters!$K$14))*(1-Parameters!$L$14*$P129)*IF($D129="V1",Parameters!$M$14,IF($D129="V2",Parameters!$N$14,Parameters!$O$14))*INDEX(Context!$AC$4:$AC$51,$K129)</f>
        <v>15</v>
      </c>
      <c r="BS129" s="38" t="n">
        <f aca="false">BR129*(1+INDEX(Response_Table!$N$4:$N$21,MATCH($F129&amp;"|mid",Response_Table!$A$4:$A$21,0))*$R129*INDEX(Parameters!$X$14:$AA$14,1,MATCH($E129,Parameters!$X$3:$AA$3,0)))</f>
        <v>15</v>
      </c>
      <c r="BT129" s="38" t="n">
        <f aca="false">MAX(0,MIN(BR129*(1+INDEX(Response_Table!$N$4:$N$21,MATCH($F129&amp;"|low",Response_Table!$A$4:$A$21,0))*$R129*INDEX(Parameters!$X$14:$AA$14,1,MATCH($E129,Parameters!$X$3:$AA$3,0))),BR129*(1+INDEX(Response_Table!$N$4:$N$21,MATCH($F129&amp;"|high",Response_Table!$A$4:$A$21,0))*$R129*INDEX(Parameters!$X$14:$AA$14,1,MATCH($E129,Parameters!$X$3:$AA$3,0))))*(1-Inputs_General!$C$22*Parameters!$F$14))</f>
        <v>7.5975</v>
      </c>
      <c r="BU129" s="38" t="n">
        <f aca="false">MAX(BR129*(1+INDEX(Response_Table!$N$4:$N$21,MATCH($F129&amp;"|low",Response_Table!$A$4:$A$21,0))*$R129*INDEX(Parameters!$X$14:$AA$14,1,MATCH($E129,Parameters!$X$3:$AA$3,0))),BR129*(1+INDEX(Response_Table!$N$4:$N$21,MATCH($F129&amp;"|high",Response_Table!$A$4:$A$21,0))*$R129*INDEX(Parameters!$X$14:$AA$14,1,MATCH($E129,Parameters!$X$3:$AA$3,0))))*(1+Inputs_General!$C$22*Parameters!$F$14)</f>
        <v>22.4025</v>
      </c>
      <c r="BV129" s="39" t="n">
        <f aca="false">IF(BR129=0,0,BS129/BR129-1)</f>
        <v>0</v>
      </c>
      <c r="BW129" s="37" t="n">
        <f aca="false">Parameters!$E$15*IF($N129="V",Parameters!$I$15,IF($N129="F",Parameters!$J$15,Parameters!$K$15))*(1-Parameters!$L$15*$P129)*IF($D129="V1",Parameters!$M$15,IF($D129="V2",Parameters!$N$15,Parameters!$O$15))</f>
        <v>9.98607142857143</v>
      </c>
      <c r="BX129" s="37" t="n">
        <f aca="false">BW129*(1+INDEX(Response_Table!$O$4:$O$21,MATCH($F129&amp;"|mid",Response_Table!$A$4:$A$21,0))*$R129*INDEX(Parameters!$X$15:$AA$15,1,MATCH($E129,Parameters!$X$3:$AA$3,0)))</f>
        <v>9.98607142857143</v>
      </c>
      <c r="BY129" s="37" t="n">
        <f aca="false">MAX(0,MIN(BW129*(1+INDEX(Response_Table!$O$4:$O$21,MATCH($F129&amp;"|low",Response_Table!$A$4:$A$21,0))*$R129*INDEX(Parameters!$X$15:$AA$15,1,MATCH($E129,Parameters!$X$3:$AA$3,0))),BW129*(1+INDEX(Response_Table!$O$4:$O$21,MATCH($F129&amp;"|high",Response_Table!$A$4:$A$21,0))*$R129*INDEX(Parameters!$X$15:$AA$15,1,MATCH($E129,Parameters!$X$3:$AA$3,0))))*(1-Inputs_General!$C$22*Parameters!$F$15))</f>
        <v>8.01482092857143</v>
      </c>
      <c r="BZ129" s="37" t="n">
        <f aca="false">MAX(BW129*(1+INDEX(Response_Table!$O$4:$O$21,MATCH($F129&amp;"|low",Response_Table!$A$4:$A$21,0))*$R129*INDEX(Parameters!$X$15:$AA$15,1,MATCH($E129,Parameters!$X$3:$AA$3,0))),BW129*(1+INDEX(Response_Table!$O$4:$O$21,MATCH($F129&amp;"|high",Response_Table!$A$4:$A$21,0))*$R129*INDEX(Parameters!$X$15:$AA$15,1,MATCH($E129,Parameters!$X$3:$AA$3,0))))*(1+Inputs_General!$C$22*Parameters!$F$15)</f>
        <v>11.9573219285714</v>
      </c>
      <c r="CA129" s="39" t="n">
        <f aca="false">IF(BW129=0,0,BX129/BW129-1)</f>
        <v>0</v>
      </c>
      <c r="CB129" s="40" t="n">
        <f aca="false">BD129+BI129</f>
        <v>1.74856110714286</v>
      </c>
      <c r="CC129" s="37" t="n">
        <f aca="false">BD129/BI129</f>
        <v>2.77777777777778</v>
      </c>
      <c r="CD129" s="40" t="n">
        <f aca="false">BN129/CB129</f>
        <v>0.176593658814694</v>
      </c>
      <c r="CE129" s="37" t="n">
        <f aca="false">AE129/AO129</f>
        <v>3.93954028899685</v>
      </c>
      <c r="CF129" s="38" t="n">
        <f aca="false">AE129/AJ129</f>
        <v>47.4064362581634</v>
      </c>
      <c r="CG129" s="38" t="n">
        <f aca="false">INDEX(Context!$V$4:$V$51,$K129)</f>
        <v>25.5785714285714</v>
      </c>
      <c r="CH129" s="38" t="n">
        <f aca="false">INDEX(Context!$Y$4:$Y$51,$K129)</f>
        <v>23.620522619794</v>
      </c>
      <c r="CI129" s="38" t="n">
        <f aca="false">INDEX(Context!$Z$4:$Z$51,$K129)</f>
        <v>29.5785714285714</v>
      </c>
      <c r="CJ129" s="37" t="n">
        <f aca="false">INDEX(Context!$AA$4:$AA$51,$K129)</f>
        <v>0.201160714285714</v>
      </c>
      <c r="CK129" s="37" t="n">
        <f aca="false">MAX(0,MIN(1,1-(1-CJ129)*AO129/AN129))</f>
        <v>0.201160714285714</v>
      </c>
      <c r="CL129" s="38" t="n">
        <f aca="false">CH129+CK129*(CI129-CH129)</f>
        <v>24.8190479739168</v>
      </c>
      <c r="CM129" s="38" t="n">
        <f aca="false">CH129+MAX(0,MIN(1,1-(1-CJ129)*AQ129/AN129))*(CI129-CH129)</f>
        <v>23.620522619794</v>
      </c>
      <c r="CN129" s="38" t="n">
        <f aca="false">CH129+MAX(0,MIN(1,1-(1-CJ129)*AP129/AN129))*(CI129-CH129)</f>
        <v>26.2283428688401</v>
      </c>
      <c r="CO129" s="38" t="n">
        <f aca="false">CL129-CG129</f>
        <v>-0.759523454654609</v>
      </c>
      <c r="CP129" s="38" t="n">
        <f aca="false">CL129-(CH129+CJ129*(CI129-CH129))</f>
        <v>0</v>
      </c>
      <c r="CQ129" s="40" t="n">
        <f aca="false">CL129/CG129</f>
        <v>0.970306259801272</v>
      </c>
      <c r="CR129" s="37" t="n">
        <f aca="false">IF(CL129-CH129&lt;=0,"n/a",(CI129-CL129)/(CL129-CH129))</f>
        <v>3.97114957834</v>
      </c>
      <c r="CS129" s="37" t="n">
        <f aca="false">IF(CI129-CL129&lt;=0,"n/a",(CL129-CH129)/(CI129-CL129))</f>
        <v>0.251816251257405</v>
      </c>
      <c r="CT129" s="37" t="n">
        <f aca="false">Inputs_General!$C$23+Inputs_General!$C$24*$I129</f>
        <v>0.6</v>
      </c>
      <c r="CU129" s="38" t="n">
        <f aca="false">3.29*CT129</f>
        <v>1.974</v>
      </c>
    </row>
    <row r="130" customFormat="false" ht="15" hidden="false" customHeight="false" outlineLevel="0" collapsed="false">
      <c r="A130" s="9" t="str">
        <f aca="false">B130&amp;"|"&amp;E130&amp;"|"&amp;F130</f>
        <v>D2V3|24/02/2026|Very low</v>
      </c>
      <c r="B130" s="7" t="s">
        <v>348</v>
      </c>
      <c r="C130" s="9" t="s">
        <v>129</v>
      </c>
      <c r="D130" s="9" t="s">
        <v>150</v>
      </c>
      <c r="E130" s="9" t="s">
        <v>160</v>
      </c>
      <c r="F130" s="7" t="s">
        <v>277</v>
      </c>
      <c r="G130" s="9" t="s">
        <v>278</v>
      </c>
      <c r="H130" s="41" t="n">
        <f aca="false">INDEX(Severity_Classes!$C$4:$C$9,MATCH(F130,Severity_Classes!$A$4:$A$9,0))</f>
        <v>0.01</v>
      </c>
      <c r="I130" s="41" t="n">
        <f aca="false">INDEX(Severity_Classes!$D$4:$D$9,MATCH(F130,Severity_Classes!$A$4:$A$9,0))</f>
        <v>0.03</v>
      </c>
      <c r="J130" s="41" t="n">
        <f aca="false">INDEX(Severity_Classes!$E$4:$E$9,MATCH(F130,Severity_Classes!$A$4:$A$9,0))</f>
        <v>0.05</v>
      </c>
      <c r="K130" s="42" t="n">
        <f aca="false">MATCH(B130&amp;"|"&amp;E130,Context!$A$4:$A$51,0)</f>
        <v>22</v>
      </c>
      <c r="L130" s="42" t="n">
        <f aca="false">INDEX(Context!$H$4:$H$51,K130)</f>
        <v>68</v>
      </c>
      <c r="M130" s="42" t="n">
        <f aca="false">INDEX(Context!$I$4:$I$51,K130)</f>
        <v>19</v>
      </c>
      <c r="N130" s="9" t="str">
        <f aca="false">INDEX(Context!$L$4:$L$51,K130)</f>
        <v>F</v>
      </c>
      <c r="O130" s="9" t="str">
        <f aca="false">INDEX(Context!$M$4:$M$51,K130)</f>
        <v>5th fully expanded leaf from top</v>
      </c>
      <c r="P130" s="43" t="n">
        <f aca="false">INDEX(Context!$R$4:$R$51,K130)</f>
        <v>0.0232142857142859</v>
      </c>
      <c r="Q130" s="43" t="n">
        <f aca="false">INDEX(Context!$U$4:$U$51,K130)</f>
        <v>1.19492600027053</v>
      </c>
      <c r="R130" s="43" t="n">
        <f aca="false">INDEX(Context!$AD$4:$AD$51,K130)</f>
        <v>0.85</v>
      </c>
      <c r="S130" s="9" t="str">
        <f aca="false">INDEX(Context!$AI$4:$AN$51,K130,MATCH(F130,Severity_Classes!$A$4:$A$9,0))</f>
        <v>Likely</v>
      </c>
      <c r="T130" s="44" t="n">
        <f aca="false">Parameters!$E$4*IF($N130="V",Parameters!$I$4,IF($N130="F",Parameters!$J$4,Parameters!$K$4))*(1-Parameters!$L$4*$P130)*IF($D130="V1",Parameters!$M$4,IF($D130="V2",Parameters!$N$4,Parameters!$O$4))</f>
        <v>85.0411767857143</v>
      </c>
      <c r="U130" s="44" t="n">
        <f aca="false">MIN(100,T130*(1+INDEX(Response_Table!$E$4:$E$21,MATCH($F130&amp;"|mid",Response_Table!$A$4:$A$21,0))*$R130*INDEX(Parameters!$X$4:$AA$4,1,MATCH($E130,Parameters!$X$3:$AA$3,0))))</f>
        <v>84.7295316593488</v>
      </c>
      <c r="V130" s="44" t="n">
        <f aca="false">MAX(0,MIN(T130*(1+INDEX(Response_Table!$E$4:$E$21,MATCH($F130&amp;"|low",Response_Table!$A$4:$A$21,0))*$R130*INDEX(Parameters!$X$4:$AA$4,1,MATCH($E130,Parameters!$X$3:$AA$3,0))),T130*(1+INDEX(Response_Table!$E$4:$E$21,MATCH($F130&amp;"|high",Response_Table!$A$4:$A$21,0))*$R130*INDEX(Parameters!$X$4:$AA$4,1,MATCH($E130,Parameters!$X$3:$AA$3,0))))*(1-Inputs_General!$C$22*Parameters!$F$4))</f>
        <v>78.9217951403007</v>
      </c>
      <c r="W130" s="44" t="n">
        <f aca="false">MIN(100,MAX(T130*(1+INDEX(Response_Table!$E$4:$E$21,MATCH($F130&amp;"|low",Response_Table!$A$4:$A$21,0))*$R130*INDEX(Parameters!$X$4:$AA$4,1,MATCH($E130,Parameters!$X$3:$AA$3,0))),T130*(1+INDEX(Response_Table!$E$4:$E$21,MATCH($F130&amp;"|high",Response_Table!$A$4:$A$21,0))*$R130*INDEX(Parameters!$X$4:$AA$4,1,MATCH($E130,Parameters!$X$3:$AA$3,0))))*(1+Inputs_General!$C$22*Parameters!$F$4))</f>
        <v>90.5342330769005</v>
      </c>
      <c r="X130" s="45" t="n">
        <f aca="false">IF(T130=0,0,U130/T130-1)</f>
        <v>-0.00366463798061933</v>
      </c>
      <c r="Y130" s="44" t="n">
        <f aca="false">Parameters!$E$5*IF($N130="V",Parameters!$I$5,IF($N130="F",Parameters!$J$5,Parameters!$K$5))*(1-Parameters!$L$5*$P130)*IF($D130="V1",Parameters!$M$5,IF($D130="V2",Parameters!$N$5,Parameters!$O$5))</f>
        <v>70.36344</v>
      </c>
      <c r="Z130" s="44" t="n">
        <f aca="false">MIN(100,Y130*(1+INDEX(Response_Table!$F$4:$F$21,MATCH($F130&amp;"|mid",Response_Table!$A$4:$A$21,0))*$R130*INDEX(Parameters!$X$5:$AA$5,1,MATCH($E130,Parameters!$X$3:$AA$3,0))))</f>
        <v>69.5403052903351</v>
      </c>
      <c r="AA130" s="44" t="n">
        <f aca="false">MAX(0,MIN(Y130*(1+INDEX(Response_Table!$F$4:$F$21,MATCH($F130&amp;"|low",Response_Table!$A$4:$A$21,0))*$R130*INDEX(Parameters!$X$5:$AA$5,1,MATCH($E130,Parameters!$X$3:$AA$3,0))),Y130*(1+INDEX(Response_Table!$F$4:$F$21,MATCH($F130&amp;"|high",Response_Table!$A$4:$A$21,0))*$R130*INDEX(Parameters!$X$5:$AA$5,1,MATCH($E130,Parameters!$X$3:$AA$3,0))))*(1-Inputs_General!$C$22*Parameters!$F$5))</f>
        <v>60.9328625752649</v>
      </c>
      <c r="AB130" s="44" t="n">
        <f aca="false">MIN(100,MAX(Y130*(1+INDEX(Response_Table!$F$4:$F$21,MATCH($F130&amp;"|low",Response_Table!$A$4:$A$21,0))*$R130*INDEX(Parameters!$X$5:$AA$5,1,MATCH($E130,Parameters!$X$3:$AA$3,0))),Y130*(1+INDEX(Response_Table!$F$4:$F$21,MATCH($F130&amp;"|high",Response_Table!$A$4:$A$21,0))*$R130*INDEX(Parameters!$X$5:$AA$5,1,MATCH($E130,Parameters!$X$3:$AA$3,0))))*(1+Inputs_General!$C$22*Parameters!$F$5))</f>
        <v>78.1860077272902</v>
      </c>
      <c r="AC130" s="45" t="n">
        <f aca="false">IF(Y130=0,0,Z130/Y130-1)</f>
        <v>-0.0116983295538827</v>
      </c>
      <c r="AD130" s="44" t="n">
        <f aca="false">Parameters!$E$6*IF($N130="V",Parameters!$I$6,IF($N130="F",Parameters!$J$6,Parameters!$K$6))*(1-Parameters!$L$6*$P130)*IF($D130="V1",Parameters!$M$6,IF($D130="V2",Parameters!$N$6,Parameters!$O$6))</f>
        <v>19.5154835714286</v>
      </c>
      <c r="AE130" s="44" t="n">
        <f aca="false">AD130*(1+INDEX(Response_Table!$G$4:$G$21,MATCH($F130&amp;"|mid",Response_Table!$A$4:$A$21,0))*$R130*INDEX(Parameters!$X$6:$AA$6,1,MATCH($E130,Parameters!$X$3:$AA$3,0)))</f>
        <v>17.9770269560739</v>
      </c>
      <c r="AF130" s="44" t="n">
        <f aca="false">MAX(0,MIN(AD130*(1+INDEX(Response_Table!$G$4:$G$21,MATCH($F130&amp;"|low",Response_Table!$A$4:$A$21,0))*$R130*INDEX(Parameters!$X$6:$AA$6,1,MATCH($E130,Parameters!$X$3:$AA$3,0))),AD130*(1+INDEX(Response_Table!$G$4:$G$21,MATCH($F130&amp;"|high",Response_Table!$A$4:$A$21,0))*$R130*INDEX(Parameters!$X$6:$AA$6,1,MATCH($E130,Parameters!$X$3:$AA$3,0))))*(1-Inputs_General!$C$22*Parameters!$F$6))</f>
        <v>13.6912292184109</v>
      </c>
      <c r="AG130" s="44" t="n">
        <f aca="false">MAX(AD130*(1+INDEX(Response_Table!$G$4:$G$21,MATCH($F130&amp;"|low",Response_Table!$A$4:$A$21,0))*$R130*INDEX(Parameters!$X$6:$AA$6,1,MATCH($E130,Parameters!$X$3:$AA$3,0))),AD130*(1+INDEX(Response_Table!$G$4:$G$21,MATCH($F130&amp;"|high",Response_Table!$A$4:$A$21,0))*$R130*INDEX(Parameters!$X$6:$AA$6,1,MATCH($E130,Parameters!$X$3:$AA$3,0))))*(1+Inputs_General!$C$22*Parameters!$F$6)</f>
        <v>22.7265832182165</v>
      </c>
      <c r="AH130" s="45" t="n">
        <f aca="false">IF(AD130=0,0,AE130/AD130-1)</f>
        <v>-0.0788326156368996</v>
      </c>
      <c r="AI130" s="46" t="n">
        <f aca="false">Parameters!$E$7*IF($N130="V",Parameters!$I$7,IF($N130="F",Parameters!$J$7,Parameters!$K$7))*(1-Parameters!$L$7*$P130)*IF($D130="V1",Parameters!$M$7,IF($D130="V2",Parameters!$N$7,Parameters!$O$7))*POWER($Q130/Inputs_General!$C$26,-Inputs_General!$C$25)</f>
        <v>0.411663164578586</v>
      </c>
      <c r="AJ130" s="46" t="n">
        <f aca="false">AI130*(1+INDEX(Response_Table!$H$4:$H$21,MATCH($F130&amp;"|mid",Response_Table!$A$4:$A$21,0))*$R130*INDEX(Parameters!$X$7:$AA$7,1,MATCH($E130,Parameters!$X$3:$AA$3,0)))</f>
        <v>0.392087337823454</v>
      </c>
      <c r="AK130" s="46" t="n">
        <f aca="false">MAX(0,MIN(AI130*(1+INDEX(Response_Table!$H$4:$H$21,MATCH($F130&amp;"|low",Response_Table!$A$4:$A$21,0))*$R130*INDEX(Parameters!$X$7:$AA$7,1,MATCH($E130,Parameters!$X$3:$AA$3,0))),AI130*(1+INDEX(Response_Table!$H$4:$H$21,MATCH($F130&amp;"|high",Response_Table!$A$4:$A$21,0))*$R130*INDEX(Parameters!$X$7:$AA$7,1,MATCH($E130,Parameters!$X$3:$AA$3,0))))*(1-Inputs_General!$C$22*Parameters!$F$7))</f>
        <v>0.267469360572075</v>
      </c>
      <c r="AL130" s="46" t="n">
        <f aca="false">MAX(AI130*(1+INDEX(Response_Table!$H$4:$H$21,MATCH($F130&amp;"|low",Response_Table!$A$4:$A$21,0))*$R130*INDEX(Parameters!$X$7:$AA$7,1,MATCH($E130,Parameters!$X$3:$AA$3,0))),AI130*(1+INDEX(Response_Table!$H$4:$H$21,MATCH($F130&amp;"|high",Response_Table!$A$4:$A$21,0))*$R130*INDEX(Parameters!$X$7:$AA$7,1,MATCH($E130,Parameters!$X$3:$AA$3,0))))*(1+Inputs_General!$C$22*Parameters!$F$7)</f>
        <v>0.524844265358805</v>
      </c>
      <c r="AM130" s="45" t="n">
        <f aca="false">IF(AI130=0,0,AJ130/AI130-1)</f>
        <v>-0.0475530201376464</v>
      </c>
      <c r="AN130" s="43" t="n">
        <f aca="false">AI130*$Q130/Inputs_General!$C$13*1000</f>
        <v>4.95374641196979</v>
      </c>
      <c r="AO130" s="43" t="n">
        <f aca="false">AJ130*$Q130/Inputs_General!$C$13*1000*(1+Inputs_General!$C$21*$I130)</f>
        <v>4.75356716515273</v>
      </c>
      <c r="AP130" s="43" t="n">
        <f aca="false">AK130*$Q130/Inputs_General!$C$13*1000*(1+Inputs_General!$C$21*$H130)</f>
        <v>3.22663754739542</v>
      </c>
      <c r="AQ130" s="43" t="n">
        <f aca="false">AL130*$Q130/Inputs_General!$C$13*1000*(1+Inputs_General!$C$21*$J130)</f>
        <v>6.39465694365306</v>
      </c>
      <c r="AR130" s="45" t="n">
        <f aca="false">IF(AN130=0,0,AO130/AN130-1)</f>
        <v>-0.0404096677886785</v>
      </c>
      <c r="AS130" s="42" t="n">
        <f aca="false">Parameters!$E$9*IF($N130="V",Parameters!$I$9,IF($N130="F",Parameters!$J$9,Parameters!$K$9))*(1-Parameters!$L$9*$P130)*IF($D130="V1",Parameters!$M$9,IF($D130="V2",Parameters!$N$9,Parameters!$O$9))</f>
        <v>285</v>
      </c>
      <c r="AT130" s="42" t="n">
        <f aca="false">AS130*(1+INDEX(Response_Table!$I$4:$I$21,MATCH($F130&amp;"|mid",Response_Table!$A$4:$A$21,0))*$R130*INDEX(Parameters!$X$9:$AA$9,1,MATCH($E130,Parameters!$X$3:$AA$3,0)))</f>
        <v>293.218057261581</v>
      </c>
      <c r="AU130" s="42" t="n">
        <f aca="false">MAX(0,MIN(AS130*(1+INDEX(Response_Table!$I$4:$I$21,MATCH($F130&amp;"|low",Response_Table!$A$4:$A$21,0))*$R130*INDEX(Parameters!$X$9:$AA$9,1,MATCH($E130,Parameters!$X$3:$AA$3,0))),AS130*(1+INDEX(Response_Table!$I$4:$I$21,MATCH($F130&amp;"|high",Response_Table!$A$4:$A$21,0))*$R130*INDEX(Parameters!$X$9:$AA$9,1,MATCH($E130,Parameters!$X$3:$AA$3,0))))*(1-Inputs_General!$C$22*Parameters!$F$9))</f>
        <v>259.438869274407</v>
      </c>
      <c r="AV130" s="42" t="n">
        <f aca="false">MAX(AS130*(1+INDEX(Response_Table!$I$4:$I$21,MATCH($F130&amp;"|low",Response_Table!$A$4:$A$21,0))*$R130*INDEX(Parameters!$X$9:$AA$9,1,MATCH($E130,Parameters!$X$3:$AA$3,0))),AS130*(1+INDEX(Response_Table!$I$4:$I$21,MATCH($F130&amp;"|high",Response_Table!$A$4:$A$21,0))*$R130*INDEX(Parameters!$X$9:$AA$9,1,MATCH($E130,Parameters!$X$3:$AA$3,0))))*(1+Inputs_General!$C$22*Parameters!$F$9)</f>
        <v>327.603490906787</v>
      </c>
      <c r="AW130" s="45" t="n">
        <f aca="false">IF(AS130=0,0,AT130/AS130-1)</f>
        <v>0.0288352886371248</v>
      </c>
      <c r="AX130" s="43" t="n">
        <f aca="false">INDEX(Context!$AB$4:$AB$51,$K130)</f>
        <v>2.85275193829914</v>
      </c>
      <c r="AY130" s="43" t="n">
        <f aca="false">AX130*(1+INDEX(Response_Table!$J$4:$J$21,MATCH($F130&amp;"|mid",Response_Table!$A$4:$A$21,0))*$R130*INDEX(Parameters!$X$10:$AA$10,1,MATCH($E130,Parameters!$X$3:$AA$3,0)))</f>
        <v>2.7739072479418</v>
      </c>
      <c r="AZ130" s="43" t="n">
        <f aca="false">MAX(0,MIN(AX130*(1+INDEX(Response_Table!$J$4:$J$21,MATCH($F130&amp;"|low",Response_Table!$A$4:$A$21,0))*$R130*INDEX(Parameters!$X$10:$AA$10,1,MATCH($E130,Parameters!$X$3:$AA$3,0))),AX130*(1+INDEX(Response_Table!$J$4:$J$21,MATCH($F130&amp;"|high",Response_Table!$A$4:$A$21,0))*$R130*INDEX(Parameters!$X$10:$AA$10,1,MATCH($E130,Parameters!$X$3:$AA$3,0))))*(1-Inputs_General!$C$22*Parameters!$F$10))</f>
        <v>2.18671194232369</v>
      </c>
      <c r="BA130" s="43" t="n">
        <f aca="false">MAX(AX130*(1+INDEX(Response_Table!$J$4:$J$21,MATCH($F130&amp;"|low",Response_Table!$A$4:$A$21,0))*$R130*INDEX(Parameters!$X$10:$AA$10,1,MATCH($E130,Parameters!$X$3:$AA$3,0))),AX130*(1+INDEX(Response_Table!$J$4:$J$21,MATCH($F130&amp;"|high",Response_Table!$A$4:$A$21,0))*$R130*INDEX(Parameters!$X$10:$AA$10,1,MATCH($E130,Parameters!$X$3:$AA$3,0))))*(1+Inputs_General!$C$22*Parameters!$F$10)</f>
        <v>3.38362569261494</v>
      </c>
      <c r="BB130" s="45" t="n">
        <f aca="false">IF(AX130=0,0,AY130/AX130-1)</f>
        <v>-0.0276381164793287</v>
      </c>
      <c r="BC130" s="46" t="n">
        <f aca="false">Parameters!$E$11*IF($N130="V",Parameters!$I$11,IF($N130="F",Parameters!$J$11,Parameters!$K$11))*(1-Parameters!$L$11*$P130)*IF($D130="V1",Parameters!$M$11,IF($D130="V2",Parameters!$N$11,Parameters!$O$11))</f>
        <v>1.28570669642857</v>
      </c>
      <c r="BD130" s="46" t="n">
        <f aca="false">BC130*(1+INDEX(Response_Table!$K$4:$K$21,MATCH($F130&amp;"|mid",Response_Table!$A$4:$A$21,0))*$R130*INDEX(Parameters!$X$11:$AA$11,1,MATCH($E130,Parameters!$X$3:$AA$3,0)))</f>
        <v>1.22068384023226</v>
      </c>
      <c r="BE130" s="46" t="n">
        <f aca="false">MAX(0,MIN(BC130*(1+INDEX(Response_Table!$K$4:$K$21,MATCH($F130&amp;"|low",Response_Table!$A$4:$A$21,0))*$R130*INDEX(Parameters!$X$11:$AA$11,1,MATCH($E130,Parameters!$X$3:$AA$3,0))),BC130*(1+INDEX(Response_Table!$K$4:$K$21,MATCH($F130&amp;"|high",Response_Table!$A$4:$A$21,0))*$R130*INDEX(Parameters!$X$11:$AA$11,1,MATCH($E130,Parameters!$X$3:$AA$3,0))))*(1-Inputs_General!$C$22*Parameters!$F$11))</f>
        <v>0.986455299949936</v>
      </c>
      <c r="BF130" s="46" t="n">
        <f aca="false">MAX(BC130*(1+INDEX(Response_Table!$K$4:$K$21,MATCH($F130&amp;"|low",Response_Table!$A$4:$A$21,0))*$R130*INDEX(Parameters!$X$11:$AA$11,1,MATCH($E130,Parameters!$X$3:$AA$3,0))),BC130*(1+INDEX(Response_Table!$K$4:$K$21,MATCH($F130&amp;"|high",Response_Table!$A$4:$A$21,0))*$R130*INDEX(Parameters!$X$11:$AA$11,1,MATCH($E130,Parameters!$X$3:$AA$3,0))))*(1+Inputs_General!$C$22*Parameters!$F$11)</f>
        <v>1.47115390341107</v>
      </c>
      <c r="BG130" s="45" t="n">
        <f aca="false">IF(BC130=0,0,BD130/BC130-1)</f>
        <v>-0.0505736311220399</v>
      </c>
      <c r="BH130" s="46" t="n">
        <f aca="false">Parameters!$E$12*IF($N130="V",Parameters!$I$12,IF($N130="F",Parameters!$J$12,Parameters!$K$12))*(1-Parameters!$L$12*$P130)*IF($D130="V1",Parameters!$M$12,IF($D130="V2",Parameters!$N$12,Parameters!$O$12))</f>
        <v>0.462854410714286</v>
      </c>
      <c r="BI130" s="46" t="n">
        <f aca="false">BH130*(1+INDEX(Response_Table!$L$4:$L$21,MATCH($F130&amp;"|mid",Response_Table!$A$4:$A$21,0))*$R130*INDEX(Parameters!$X$12:$AA$12,1,MATCH($E130,Parameters!$X$3:$AA$3,0)))</f>
        <v>0.444230458695175</v>
      </c>
      <c r="BJ130" s="46" t="n">
        <f aca="false">MAX(0,MIN(BH130*(1+INDEX(Response_Table!$L$4:$L$21,MATCH($F130&amp;"|low",Response_Table!$A$4:$A$21,0))*$R130*INDEX(Parameters!$X$12:$AA$12,1,MATCH($E130,Parameters!$X$3:$AA$3,0))),BH130*(1+INDEX(Response_Table!$L$4:$L$21,MATCH($F130&amp;"|high",Response_Table!$A$4:$A$21,0))*$R130*INDEX(Parameters!$X$12:$AA$12,1,MATCH($E130,Parameters!$X$3:$AA$3,0))))*(1-Inputs_General!$C$22*Parameters!$F$12))</f>
        <v>0.347296083530544</v>
      </c>
      <c r="BK130" s="46" t="n">
        <f aca="false">MAX(BH130*(1+INDEX(Response_Table!$L$4:$L$21,MATCH($F130&amp;"|low",Response_Table!$A$4:$A$21,0))*$R130*INDEX(Parameters!$X$12:$AA$12,1,MATCH($E130,Parameters!$X$3:$AA$3,0))),BH130*(1+INDEX(Response_Table!$L$4:$L$21,MATCH($F130&amp;"|high",Response_Table!$A$4:$A$21,0))*$R130*INDEX(Parameters!$X$12:$AA$12,1,MATCH($E130,Parameters!$X$3:$AA$3,0))))*(1+Inputs_General!$C$22*Parameters!$F$12)</f>
        <v>0.546564346817358</v>
      </c>
      <c r="BL130" s="45" t="n">
        <f aca="false">IF(BH130=0,0,BI130/BH130-1)</f>
        <v>-0.0402371708857008</v>
      </c>
      <c r="BM130" s="46" t="n">
        <f aca="false">Parameters!$E$13*IF($N130="V",Parameters!$I$13,IF($N130="F",Parameters!$J$13,Parameters!$K$13))*(1-Parameters!$L$13*$P130)*IF($D130="V1",Parameters!$M$13,IF($D130="V2",Parameters!$N$13,Parameters!$O$13))</f>
        <v>0.308784803571429</v>
      </c>
      <c r="BN130" s="46" t="n">
        <f aca="false">BM130*(1+INDEX(Response_Table!$M$4:$M$21,MATCH($F130&amp;"|mid",Response_Table!$A$4:$A$21,0))*$R130*INDEX(Parameters!$X$13:$AA$13,1,MATCH($E130,Parameters!$X$3:$AA$3,0)))</f>
        <v>0.315605025247099</v>
      </c>
      <c r="BO130" s="46" t="n">
        <f aca="false">MAX(0,MIN(BM130*(1+INDEX(Response_Table!$M$4:$M$21,MATCH($F130&amp;"|low",Response_Table!$A$4:$A$21,0))*$R130*INDEX(Parameters!$X$13:$AA$13,1,MATCH($E130,Parameters!$X$3:$AA$3,0))),BM130*(1+INDEX(Response_Table!$M$4:$M$21,MATCH($F130&amp;"|high",Response_Table!$A$4:$A$21,0))*$R130*INDEX(Parameters!$X$13:$AA$13,1,MATCH($E130,Parameters!$X$3:$AA$3,0))))*(1-Inputs_General!$C$22*Parameters!$F$13))</f>
        <v>0.250521655635072</v>
      </c>
      <c r="BP130" s="46" t="n">
        <f aca="false">MAX(BM130*(1+INDEX(Response_Table!$M$4:$M$21,MATCH($F130&amp;"|low",Response_Table!$A$4:$A$21,0))*$R130*INDEX(Parameters!$X$13:$AA$13,1,MATCH($E130,Parameters!$X$3:$AA$3,0))),BM130*(1+INDEX(Response_Table!$M$4:$M$21,MATCH($F130&amp;"|high",Response_Table!$A$4:$A$21,0))*$R130*INDEX(Parameters!$X$13:$AA$13,1,MATCH($E130,Parameters!$X$3:$AA$3,0))))*(1+Inputs_General!$C$22*Parameters!$F$13)</f>
        <v>0.37813619981525</v>
      </c>
      <c r="BQ130" s="45" t="n">
        <f aca="false">IF(BM130=0,0,BN130/BM130-1)</f>
        <v>0.0220872970327148</v>
      </c>
      <c r="BR130" s="44" t="n">
        <f aca="false">Parameters!$E$14*IF($N130="V",Parameters!$I$14,IF($N130="F",Parameters!$J$14,Parameters!$K$14))*(1-Parameters!$L$14*$P130)*IF($D130="V1",Parameters!$M$14,IF($D130="V2",Parameters!$N$14,Parameters!$O$14))*INDEX(Context!$AC$4:$AC$51,$K130)</f>
        <v>15</v>
      </c>
      <c r="BS130" s="44" t="n">
        <f aca="false">BR130*(1+INDEX(Response_Table!$N$4:$N$21,MATCH($F130&amp;"|mid",Response_Table!$A$4:$A$21,0))*$R130*INDEX(Parameters!$X$14:$AA$14,1,MATCH($E130,Parameters!$X$3:$AA$3,0)))</f>
        <v>15.6584264326751</v>
      </c>
      <c r="BT130" s="44" t="n">
        <f aca="false">MAX(0,MIN(BR130*(1+INDEX(Response_Table!$N$4:$N$21,MATCH($F130&amp;"|low",Response_Table!$A$4:$A$21,0))*$R130*INDEX(Parameters!$X$14:$AA$14,1,MATCH($E130,Parameters!$X$3:$AA$3,0))),BR130*(1+INDEX(Response_Table!$N$4:$N$21,MATCH($F130&amp;"|high",Response_Table!$A$4:$A$21,0))*$R130*INDEX(Parameters!$X$14:$AA$14,1,MATCH($E130,Parameters!$X$3:$AA$3,0))))*(1-Inputs_General!$C$22*Parameters!$F$14))</f>
        <v>7.71201543002126</v>
      </c>
      <c r="BU130" s="44" t="n">
        <f aca="false">MAX(BR130*(1+INDEX(Response_Table!$N$4:$N$21,MATCH($F130&amp;"|low",Response_Table!$A$4:$A$21,0))*$R130*INDEX(Parameters!$X$14:$AA$14,1,MATCH($E130,Parameters!$X$3:$AA$3,0))),BR130*(1+INDEX(Response_Table!$N$4:$N$21,MATCH($F130&amp;"|high",Response_Table!$A$4:$A$21,0))*$R130*INDEX(Parameters!$X$14:$AA$14,1,MATCH($E130,Parameters!$X$3:$AA$3,0))))*(1+Inputs_General!$C$22*Parameters!$F$14)</f>
        <v>23.9939496746502</v>
      </c>
      <c r="BV130" s="45" t="n">
        <f aca="false">IF(BR130=0,0,BS130/BR130-1)</f>
        <v>0.0438950955116737</v>
      </c>
      <c r="BW130" s="43" t="n">
        <f aca="false">Parameters!$E$15*IF($N130="V",Parameters!$I$15,IF($N130="F",Parameters!$J$15,Parameters!$K$15))*(1-Parameters!$L$15*$P130)*IF($D130="V1",Parameters!$M$15,IF($D130="V2",Parameters!$N$15,Parameters!$O$15))</f>
        <v>9.98607142857143</v>
      </c>
      <c r="BX130" s="43" t="n">
        <f aca="false">BW130*(1+INDEX(Response_Table!$O$4:$O$21,MATCH($F130&amp;"|mid",Response_Table!$A$4:$A$21,0))*$R130*INDEX(Parameters!$X$15:$AA$15,1,MATCH($E130,Parameters!$X$3:$AA$3,0)))</f>
        <v>9.87648653878554</v>
      </c>
      <c r="BY130" s="43" t="n">
        <f aca="false">MAX(0,MIN(BW130*(1+INDEX(Response_Table!$O$4:$O$21,MATCH($F130&amp;"|low",Response_Table!$A$4:$A$21,0))*$R130*INDEX(Parameters!$X$15:$AA$15,1,MATCH($E130,Parameters!$X$3:$AA$3,0))),BW130*(1+INDEX(Response_Table!$O$4:$O$21,MATCH($F130&amp;"|high",Response_Table!$A$4:$A$21,0))*$R130*INDEX(Parameters!$X$15:$AA$15,1,MATCH($E130,Parameters!$X$3:$AA$3,0))))*(1-Inputs_General!$C$22*Parameters!$F$15))</f>
        <v>7.87247984879066</v>
      </c>
      <c r="BZ130" s="43" t="n">
        <f aca="false">MAX(BW130*(1+INDEX(Response_Table!$O$4:$O$21,MATCH($F130&amp;"|low",Response_Table!$A$4:$A$21,0))*$R130*INDEX(Parameters!$X$15:$AA$15,1,MATCH($E130,Parameters!$X$3:$AA$3,0))),BW130*(1+INDEX(Response_Table!$O$4:$O$21,MATCH($F130&amp;"|high",Response_Table!$A$4:$A$21,0))*$R130*INDEX(Parameters!$X$15:$AA$15,1,MATCH($E130,Parameters!$X$3:$AA$3,0))))*(1+Inputs_General!$C$22*Parameters!$F$15)</f>
        <v>11.9122644141735</v>
      </c>
      <c r="CA130" s="45" t="n">
        <f aca="false">IF(BW130=0,0,BX130/BW130-1)</f>
        <v>-0.0109737738779183</v>
      </c>
      <c r="CB130" s="46" t="n">
        <f aca="false">BD130+BI130</f>
        <v>1.66491429892743</v>
      </c>
      <c r="CC130" s="43" t="n">
        <f aca="false">BD130/BI130</f>
        <v>2.74786164779816</v>
      </c>
      <c r="CD130" s="46" t="n">
        <f aca="false">BN130/CB130</f>
        <v>0.189562324889886</v>
      </c>
      <c r="CE130" s="43" t="n">
        <f aca="false">AE130/AO130</f>
        <v>3.78179719177195</v>
      </c>
      <c r="CF130" s="44" t="n">
        <f aca="false">AE130/AJ130</f>
        <v>45.849547337763</v>
      </c>
      <c r="CG130" s="44" t="n">
        <f aca="false">INDEX(Context!$V$4:$V$51,$K130)</f>
        <v>25.5785714285714</v>
      </c>
      <c r="CH130" s="44" t="n">
        <f aca="false">INDEX(Context!$Y$4:$Y$51,$K130)</f>
        <v>23.620522619794</v>
      </c>
      <c r="CI130" s="44" t="n">
        <f aca="false">INDEX(Context!$Z$4:$Z$51,$K130)</f>
        <v>29.5785714285714</v>
      </c>
      <c r="CJ130" s="43" t="n">
        <f aca="false">INDEX(Context!$AA$4:$AA$51,$K130)</f>
        <v>0.201160714285714</v>
      </c>
      <c r="CK130" s="43" t="n">
        <f aca="false">MAX(0,MIN(1,1-(1-CJ130)*AO130/AN130))</f>
        <v>0.233441544437974</v>
      </c>
      <c r="CL130" s="44" t="n">
        <f aca="false">CH130+CK130*(CI130-CH130)</f>
        <v>25.0113787355518</v>
      </c>
      <c r="CM130" s="44" t="n">
        <f aca="false">CH130+MAX(0,MIN(1,1-(1-CJ130)*AQ130/AN130))*(CI130-CH130)</f>
        <v>23.620522619794</v>
      </c>
      <c r="CN130" s="44" t="n">
        <f aca="false">CH130+MAX(0,MIN(1,1-(1-CJ130)*AP130/AN130))*(CI130-CH130)</f>
        <v>26.4784415855521</v>
      </c>
      <c r="CO130" s="44" t="n">
        <f aca="false">CL130-CG130</f>
        <v>-0.567192693019592</v>
      </c>
      <c r="CP130" s="44" t="n">
        <f aca="false">CL130-(CH130+CJ130*(CI130-CH130))</f>
        <v>0.192330761635017</v>
      </c>
      <c r="CQ130" s="46" t="n">
        <f aca="false">CL130/CG130</f>
        <v>0.977825474162876</v>
      </c>
      <c r="CR130" s="43" t="n">
        <f aca="false">IF(CL130-CH130&lt;=0,"n/a",(CI130-CL130)/(CL130-CH130))</f>
        <v>3.28372765613579</v>
      </c>
      <c r="CS130" s="43" t="n">
        <f aca="false">IF(CI130-CL130&lt;=0,"n/a",(CL130-CH130)/(CI130-CL130))</f>
        <v>0.304531954144083</v>
      </c>
      <c r="CT130" s="43" t="n">
        <f aca="false">Inputs_General!$C$23+Inputs_General!$C$24*$I130</f>
        <v>0.66</v>
      </c>
      <c r="CU130" s="44" t="n">
        <f aca="false">3.29*CT130</f>
        <v>2.1714</v>
      </c>
    </row>
    <row r="131" customFormat="false" ht="15" hidden="false" customHeight="false" outlineLevel="0" collapsed="false">
      <c r="A131" s="9" t="str">
        <f aca="false">B131&amp;"|"&amp;E131&amp;"|"&amp;F131</f>
        <v>D2V3|24/02/2026|Low</v>
      </c>
      <c r="B131" s="7" t="s">
        <v>348</v>
      </c>
      <c r="C131" s="9" t="s">
        <v>129</v>
      </c>
      <c r="D131" s="9" t="s">
        <v>150</v>
      </c>
      <c r="E131" s="9" t="s">
        <v>160</v>
      </c>
      <c r="F131" s="7" t="s">
        <v>279</v>
      </c>
      <c r="G131" s="9" t="s">
        <v>280</v>
      </c>
      <c r="H131" s="41" t="n">
        <f aca="false">INDEX(Severity_Classes!$C$4:$C$9,MATCH(F131,Severity_Classes!$A$4:$A$9,0))</f>
        <v>0.06</v>
      </c>
      <c r="I131" s="41" t="n">
        <f aca="false">INDEX(Severity_Classes!$D$4:$D$9,MATCH(F131,Severity_Classes!$A$4:$A$9,0))</f>
        <v>0.08</v>
      </c>
      <c r="J131" s="41" t="n">
        <f aca="false">INDEX(Severity_Classes!$E$4:$E$9,MATCH(F131,Severity_Classes!$A$4:$A$9,0))</f>
        <v>0.1</v>
      </c>
      <c r="K131" s="42" t="n">
        <f aca="false">MATCH(B131&amp;"|"&amp;E131,Context!$A$4:$A$51,0)</f>
        <v>22</v>
      </c>
      <c r="L131" s="42" t="n">
        <f aca="false">INDEX(Context!$H$4:$H$51,K131)</f>
        <v>68</v>
      </c>
      <c r="M131" s="42" t="n">
        <f aca="false">INDEX(Context!$I$4:$I$51,K131)</f>
        <v>19</v>
      </c>
      <c r="N131" s="9" t="str">
        <f aca="false">INDEX(Context!$L$4:$L$51,K131)</f>
        <v>F</v>
      </c>
      <c r="O131" s="9" t="str">
        <f aca="false">INDEX(Context!$M$4:$M$51,K131)</f>
        <v>5th fully expanded leaf from top</v>
      </c>
      <c r="P131" s="43" t="n">
        <f aca="false">INDEX(Context!$R$4:$R$51,K131)</f>
        <v>0.0232142857142859</v>
      </c>
      <c r="Q131" s="43" t="n">
        <f aca="false">INDEX(Context!$U$4:$U$51,K131)</f>
        <v>1.19492600027053</v>
      </c>
      <c r="R131" s="43" t="n">
        <f aca="false">INDEX(Context!$AD$4:$AD$51,K131)</f>
        <v>0.85</v>
      </c>
      <c r="S131" s="9" t="str">
        <f aca="false">INDEX(Context!$AI$4:$AN$51,K131,MATCH(F131,Severity_Classes!$A$4:$A$9,0))</f>
        <v>Likely</v>
      </c>
      <c r="T131" s="44" t="n">
        <f aca="false">Parameters!$E$4*IF($N131="V",Parameters!$I$4,IF($N131="F",Parameters!$J$4,Parameters!$K$4))*(1-Parameters!$L$4*$P131)*IF($D131="V1",Parameters!$M$4,IF($D131="V2",Parameters!$N$4,Parameters!$O$4))</f>
        <v>85.0411767857143</v>
      </c>
      <c r="U131" s="44" t="n">
        <f aca="false">MIN(100,T131*(1+INDEX(Response_Table!$E$4:$E$21,MATCH($F131&amp;"|mid",Response_Table!$A$4:$A$21,0))*$R131*INDEX(Parameters!$X$4:$AA$4,1,MATCH($E131,Parameters!$X$3:$AA$3,0))))</f>
        <v>84.0350689594913</v>
      </c>
      <c r="V131" s="44" t="n">
        <f aca="false">MAX(0,MIN(T131*(1+INDEX(Response_Table!$E$4:$E$21,MATCH($F131&amp;"|low",Response_Table!$A$4:$A$21,0))*$R131*INDEX(Parameters!$X$4:$AA$4,1,MATCH($E131,Parameters!$X$3:$AA$3,0))),T131*(1+INDEX(Response_Table!$E$4:$E$21,MATCH($F131&amp;"|high",Response_Table!$A$4:$A$21,0))*$R131*INDEX(Parameters!$X$4:$AA$4,1,MATCH($E131,Parameters!$X$3:$AA$3,0))))*(1-Inputs_General!$C$22*Parameters!$F$4))</f>
        <v>78.1771694762777</v>
      </c>
      <c r="W131" s="44" t="n">
        <f aca="false">MIN(100,MAX(T131*(1+INDEX(Response_Table!$E$4:$E$21,MATCH($F131&amp;"|low",Response_Table!$A$4:$A$21,0))*$R131*INDEX(Parameters!$X$4:$AA$4,1,MATCH($E131,Parameters!$X$3:$AA$3,0))),T131*(1+INDEX(Response_Table!$E$4:$E$21,MATCH($F131&amp;"|high",Response_Table!$A$4:$A$21,0))*$R131*INDEX(Parameters!$X$4:$AA$4,1,MATCH($E131,Parameters!$X$3:$AA$3,0))))*(1+Inputs_General!$C$22*Parameters!$F$4))</f>
        <v>89.8919895345113</v>
      </c>
      <c r="X131" s="45" t="n">
        <f aca="false">IF(T131=0,0,U131/T131-1)</f>
        <v>-0.0118308314189739</v>
      </c>
      <c r="Y131" s="44" t="n">
        <f aca="false">Parameters!$E$5*IF($N131="V",Parameters!$I$5,IF($N131="F",Parameters!$J$5,Parameters!$K$5))*(1-Parameters!$L$5*$P131)*IF($D131="V1",Parameters!$M$5,IF($D131="V2",Parameters!$N$5,Parameters!$O$5))</f>
        <v>70.36344</v>
      </c>
      <c r="Z131" s="44" t="n">
        <f aca="false">MIN(100,Y131*(1+INDEX(Response_Table!$F$4:$F$21,MATCH($F131&amp;"|mid",Response_Table!$A$4:$A$21,0))*$R131*INDEX(Parameters!$X$5:$AA$5,1,MATCH($E131,Parameters!$X$3:$AA$3,0))))</f>
        <v>67.6152727184844</v>
      </c>
      <c r="AA131" s="44" t="n">
        <f aca="false">MAX(0,MIN(Y131*(1+INDEX(Response_Table!$F$4:$F$21,MATCH($F131&amp;"|low",Response_Table!$A$4:$A$21,0))*$R131*INDEX(Parameters!$X$5:$AA$5,1,MATCH($E131,Parameters!$X$3:$AA$3,0))),Y131*(1+INDEX(Response_Table!$F$4:$F$21,MATCH($F131&amp;"|high",Response_Table!$A$4:$A$21,0))*$R131*INDEX(Parameters!$X$5:$AA$5,1,MATCH($E131,Parameters!$X$3:$AA$3,0))))*(1-Inputs_General!$C$22*Parameters!$F$5))</f>
        <v>58.9393455695493</v>
      </c>
      <c r="AB131" s="44" t="n">
        <f aca="false">MIN(100,MAX(Y131*(1+INDEX(Response_Table!$F$4:$F$21,MATCH($F131&amp;"|low",Response_Table!$A$4:$A$21,0))*$R131*INDEX(Parameters!$X$5:$AA$5,1,MATCH($E131,Parameters!$X$3:$AA$3,0))),Y131*(1+INDEX(Response_Table!$F$4:$F$21,MATCH($F131&amp;"|high",Response_Table!$A$4:$A$21,0))*$R131*INDEX(Parameters!$X$5:$AA$5,1,MATCH($E131,Parameters!$X$3:$AA$3,0))))*(1+Inputs_General!$C$22*Parameters!$F$5))</f>
        <v>76.3645763248285</v>
      </c>
      <c r="AC131" s="45" t="n">
        <f aca="false">IF(Y131=0,0,Z131/Y131-1)</f>
        <v>-0.0390567499473532</v>
      </c>
      <c r="AD131" s="44" t="n">
        <f aca="false">Parameters!$E$6*IF($N131="V",Parameters!$I$6,IF($N131="F",Parameters!$J$6,Parameters!$K$6))*(1-Parameters!$L$6*$P131)*IF($D131="V1",Parameters!$M$6,IF($D131="V2",Parameters!$N$6,Parameters!$O$6))</f>
        <v>19.5154835714286</v>
      </c>
      <c r="AE131" s="44" t="n">
        <f aca="false">AD131*(1+INDEX(Response_Table!$G$4:$G$21,MATCH($F131&amp;"|mid",Response_Table!$A$4:$A$21,0))*$R131*INDEX(Parameters!$X$6:$AA$6,1,MATCH($E131,Parameters!$X$3:$AA$3,0)))</f>
        <v>15.8239557320631</v>
      </c>
      <c r="AF131" s="44" t="n">
        <f aca="false">MAX(0,MIN(AD131*(1+INDEX(Response_Table!$G$4:$G$21,MATCH($F131&amp;"|low",Response_Table!$A$4:$A$21,0))*$R131*INDEX(Parameters!$X$6:$AA$6,1,MATCH($E131,Parameters!$X$3:$AA$3,0))),AD131*(1+INDEX(Response_Table!$G$4:$G$21,MATCH($F131&amp;"|high",Response_Table!$A$4:$A$21,0))*$R131*INDEX(Parameters!$X$6:$AA$6,1,MATCH($E131,Parameters!$X$3:$AA$3,0))))*(1-Inputs_General!$C$22*Parameters!$F$6))</f>
        <v>12.108744089194</v>
      </c>
      <c r="AG131" s="44" t="n">
        <f aca="false">MAX(AD131*(1+INDEX(Response_Table!$G$4:$G$21,MATCH($F131&amp;"|low",Response_Table!$A$4:$A$21,0))*$R131*INDEX(Parameters!$X$6:$AA$6,1,MATCH($E131,Parameters!$X$3:$AA$3,0))),AD131*(1+INDEX(Response_Table!$G$4:$G$21,MATCH($F131&amp;"|high",Response_Table!$A$4:$A$21,0))*$R131*INDEX(Parameters!$X$6:$AA$6,1,MATCH($E131,Parameters!$X$3:$AA$3,0))))*(1+Inputs_General!$C$22*Parameters!$F$6)</f>
        <v>19.9113423085424</v>
      </c>
      <c r="AH131" s="45" t="n">
        <f aca="false">IF(AD131=0,0,AE131/AD131-1)</f>
        <v>-0.189158922240083</v>
      </c>
      <c r="AI131" s="46" t="n">
        <f aca="false">Parameters!$E$7*IF($N131="V",Parameters!$I$7,IF($N131="F",Parameters!$J$7,Parameters!$K$7))*(1-Parameters!$L$7*$P131)*IF($D131="V1",Parameters!$M$7,IF($D131="V2",Parameters!$N$7,Parameters!$O$7))*POWER($Q131/Inputs_General!$C$26,-Inputs_General!$C$25)</f>
        <v>0.411663164578586</v>
      </c>
      <c r="AJ131" s="46" t="n">
        <f aca="false">AI131*(1+INDEX(Response_Table!$H$4:$H$21,MATCH($F131&amp;"|mid",Response_Table!$A$4:$A$21,0))*$R131*INDEX(Parameters!$X$7:$AA$7,1,MATCH($E131,Parameters!$X$3:$AA$3,0)))</f>
        <v>0.363132973483286</v>
      </c>
      <c r="AK131" s="46" t="n">
        <f aca="false">MAX(0,MIN(AI131*(1+INDEX(Response_Table!$H$4:$H$21,MATCH($F131&amp;"|low",Response_Table!$A$4:$A$21,0))*$R131*INDEX(Parameters!$X$7:$AA$7,1,MATCH($E131,Parameters!$X$3:$AA$3,0))),AI131*(1+INDEX(Response_Table!$H$4:$H$21,MATCH($F131&amp;"|high",Response_Table!$A$4:$A$21,0))*$R131*INDEX(Parameters!$X$7:$AA$7,1,MATCH($E131,Parameters!$X$3:$AA$3,0))))*(1-Inputs_General!$C$22*Parameters!$F$7))</f>
        <v>0.248275279218074</v>
      </c>
      <c r="AL131" s="46" t="n">
        <f aca="false">MAX(AI131*(1+INDEX(Response_Table!$H$4:$H$21,MATCH($F131&amp;"|low",Response_Table!$A$4:$A$21,0))*$R131*INDEX(Parameters!$X$7:$AA$7,1,MATCH($E131,Parameters!$X$3:$AA$3,0))),AI131*(1+INDEX(Response_Table!$H$4:$H$21,MATCH($F131&amp;"|high",Response_Table!$A$4:$A$21,0))*$R131*INDEX(Parameters!$X$7:$AA$7,1,MATCH($E131,Parameters!$X$3:$AA$3,0))))*(1+Inputs_General!$C$22*Parameters!$F$7)</f>
        <v>0.484995927177642</v>
      </c>
      <c r="AM131" s="45" t="n">
        <f aca="false">IF(AI131=0,0,AJ131/AI131-1)</f>
        <v>-0.117888106760729</v>
      </c>
      <c r="AN131" s="43" t="n">
        <f aca="false">AI131*$Q131/Inputs_General!$C$13*1000</f>
        <v>4.95374641196979</v>
      </c>
      <c r="AO131" s="43" t="n">
        <f aca="false">AJ131*$Q131/Inputs_General!$C$13*1000*(1+Inputs_General!$C$21*$I131)</f>
        <v>4.45715379861171</v>
      </c>
      <c r="AP131" s="43" t="n">
        <f aca="false">AK131*$Q131/Inputs_General!$C$13*1000*(1+Inputs_General!$C$21*$H131)</f>
        <v>3.03243348597718</v>
      </c>
      <c r="AQ131" s="43" t="n">
        <f aca="false">AL131*$Q131/Inputs_General!$C$13*1000*(1+Inputs_General!$C$21*$J131)</f>
        <v>5.98210069985019</v>
      </c>
      <c r="AR131" s="45" t="n">
        <f aca="false">IF(AN131=0,0,AO131/AN131-1)</f>
        <v>-0.100245868895944</v>
      </c>
      <c r="AS131" s="42" t="n">
        <f aca="false">Parameters!$E$9*IF($N131="V",Parameters!$I$9,IF($N131="F",Parameters!$J$9,Parameters!$K$9))*(1-Parameters!$L$9*$P131)*IF($D131="V1",Parameters!$M$9,IF($D131="V2",Parameters!$N$9,Parameters!$O$9))</f>
        <v>285</v>
      </c>
      <c r="AT131" s="42" t="n">
        <f aca="false">AS131*(1+INDEX(Response_Table!$I$4:$I$21,MATCH($F131&amp;"|mid",Response_Table!$A$4:$A$21,0))*$R131*INDEX(Parameters!$X$9:$AA$9,1,MATCH($E131,Parameters!$X$3:$AA$3,0)))</f>
        <v>304.90211873067</v>
      </c>
      <c r="AU131" s="42" t="n">
        <f aca="false">MAX(0,MIN(AS131*(1+INDEX(Response_Table!$I$4:$I$21,MATCH($F131&amp;"|low",Response_Table!$A$4:$A$21,0))*$R131*INDEX(Parameters!$X$9:$AA$9,1,MATCH($E131,Parameters!$X$3:$AA$3,0))),AS131*(1+INDEX(Response_Table!$I$4:$I$21,MATCH($F131&amp;"|high",Response_Table!$A$4:$A$21,0))*$R131*INDEX(Parameters!$X$9:$AA$9,1,MATCH($E131,Parameters!$X$3:$AA$3,0))))*(1-Inputs_General!$C$22*Parameters!$F$9))</f>
        <v>270.846797043545</v>
      </c>
      <c r="AV131" s="42" t="n">
        <f aca="false">MAX(AS131*(1+INDEX(Response_Table!$I$4:$I$21,MATCH($F131&amp;"|low",Response_Table!$A$4:$A$21,0))*$R131*INDEX(Parameters!$X$9:$AA$9,1,MATCH($E131,Parameters!$X$3:$AA$3,0))),AS131*(1+INDEX(Response_Table!$I$4:$I$21,MATCH($F131&amp;"|high",Response_Table!$A$4:$A$21,0))*$R131*INDEX(Parameters!$X$9:$AA$9,1,MATCH($E131,Parameters!$X$3:$AA$3,0))))*(1+Inputs_General!$C$22*Parameters!$F$9)</f>
        <v>339.453792381945</v>
      </c>
      <c r="AW131" s="45" t="n">
        <f aca="false">IF(AS131=0,0,AT131/AS131-1)</f>
        <v>0.0698319955462088</v>
      </c>
      <c r="AX131" s="43" t="n">
        <f aca="false">INDEX(Context!$AB$4:$AB$51,$K131)</f>
        <v>2.85275193829914</v>
      </c>
      <c r="AY131" s="43" t="n">
        <f aca="false">AX131*(1+INDEX(Response_Table!$J$4:$J$21,MATCH($F131&amp;"|mid",Response_Table!$A$4:$A$21,0))*$R131*INDEX(Parameters!$X$10:$AA$10,1,MATCH($E131,Parameters!$X$3:$AA$3,0)))</f>
        <v>2.65495499351625</v>
      </c>
      <c r="AZ131" s="43" t="n">
        <f aca="false">MAX(0,MIN(AX131*(1+INDEX(Response_Table!$J$4:$J$21,MATCH($F131&amp;"|low",Response_Table!$A$4:$A$21,0))*$R131*INDEX(Parameters!$X$10:$AA$10,1,MATCH($E131,Parameters!$X$3:$AA$3,0))),AX131*(1+INDEX(Response_Table!$J$4:$J$21,MATCH($F131&amp;"|high",Response_Table!$A$4:$A$21,0))*$R131*INDEX(Parameters!$X$10:$AA$10,1,MATCH($E131,Parameters!$X$3:$AA$3,0))))*(1-Inputs_General!$C$22*Parameters!$F$10))</f>
        <v>2.09589704240772</v>
      </c>
      <c r="BA131" s="43" t="n">
        <f aca="false">MAX(AX131*(1+INDEX(Response_Table!$J$4:$J$21,MATCH($F131&amp;"|low",Response_Table!$A$4:$A$21,0))*$R131*INDEX(Parameters!$X$10:$AA$10,1,MATCH($E131,Parameters!$X$3:$AA$3,0))),AX131*(1+INDEX(Response_Table!$J$4:$J$21,MATCH($F131&amp;"|high",Response_Table!$A$4:$A$21,0))*$R131*INDEX(Parameters!$X$10:$AA$10,1,MATCH($E131,Parameters!$X$3:$AA$3,0))))*(1+Inputs_General!$C$22*Parameters!$F$10)</f>
        <v>3.23388954507734</v>
      </c>
      <c r="BB131" s="45" t="n">
        <f aca="false">IF(AX131=0,0,AY131/AX131-1)</f>
        <v>-0.0693354869476721</v>
      </c>
      <c r="BC131" s="46" t="n">
        <f aca="false">Parameters!$E$11*IF($N131="V",Parameters!$I$11,IF($N131="F",Parameters!$J$11,Parameters!$K$11))*(1-Parameters!$L$11*$P131)*IF($D131="V1",Parameters!$M$11,IF($D131="V2",Parameters!$N$11,Parameters!$O$11))</f>
        <v>1.28570669642857</v>
      </c>
      <c r="BD131" s="46" t="n">
        <f aca="false">BC131*(1+INDEX(Response_Table!$K$4:$K$21,MATCH($F131&amp;"|mid",Response_Table!$A$4:$A$21,0))*$R131*INDEX(Parameters!$X$11:$AA$11,1,MATCH($E131,Parameters!$X$3:$AA$3,0)))</f>
        <v>1.12526777772937</v>
      </c>
      <c r="BE131" s="46" t="n">
        <f aca="false">MAX(0,MIN(BC131*(1+INDEX(Response_Table!$K$4:$K$21,MATCH($F131&amp;"|low",Response_Table!$A$4:$A$21,0))*$R131*INDEX(Parameters!$X$11:$AA$11,1,MATCH($E131,Parameters!$X$3:$AA$3,0))),BC131*(1+INDEX(Response_Table!$K$4:$K$21,MATCH($F131&amp;"|high",Response_Table!$A$4:$A$21,0))*$R131*INDEX(Parameters!$X$11:$AA$11,1,MATCH($E131,Parameters!$X$3:$AA$3,0))))*(1-Inputs_General!$C$22*Parameters!$F$11))</f>
        <v>0.911677428619294</v>
      </c>
      <c r="BF131" s="46" t="n">
        <f aca="false">MAX(BC131*(1+INDEX(Response_Table!$K$4:$K$21,MATCH($F131&amp;"|low",Response_Table!$A$4:$A$21,0))*$R131*INDEX(Parameters!$X$11:$AA$11,1,MATCH($E131,Parameters!$X$3:$AA$3,0))),BC131*(1+INDEX(Response_Table!$K$4:$K$21,MATCH($F131&amp;"|high",Response_Table!$A$4:$A$21,0))*$R131*INDEX(Parameters!$X$11:$AA$11,1,MATCH($E131,Parameters!$X$3:$AA$3,0))))*(1+Inputs_General!$C$22*Parameters!$F$11)</f>
        <v>1.35269823969904</v>
      </c>
      <c r="BG131" s="45" t="n">
        <f aca="false">IF(BC131=0,0,BD131/BC131-1)</f>
        <v>-0.124786562242283</v>
      </c>
      <c r="BH131" s="46" t="n">
        <f aca="false">Parameters!$E$12*IF($N131="V",Parameters!$I$12,IF($N131="F",Parameters!$J$12,Parameters!$K$12))*(1-Parameters!$L$12*$P131)*IF($D131="V1",Parameters!$M$12,IF($D131="V2",Parameters!$N$12,Parameters!$O$12))</f>
        <v>0.462854410714286</v>
      </c>
      <c r="BI131" s="46" t="n">
        <f aca="false">BH131*(1+INDEX(Response_Table!$L$4:$L$21,MATCH($F131&amp;"|mid",Response_Table!$A$4:$A$21,0))*$R131*INDEX(Parameters!$X$12:$AA$12,1,MATCH($E131,Parameters!$X$3:$AA$3,0)))</f>
        <v>0.416684000557781</v>
      </c>
      <c r="BJ131" s="46" t="n">
        <f aca="false">MAX(0,MIN(BH131*(1+INDEX(Response_Table!$L$4:$L$21,MATCH($F131&amp;"|low",Response_Table!$A$4:$A$21,0))*$R131*INDEX(Parameters!$X$12:$AA$12,1,MATCH($E131,Parameters!$X$3:$AA$3,0))),BH131*(1+INDEX(Response_Table!$L$4:$L$21,MATCH($F131&amp;"|high",Response_Table!$A$4:$A$21,0))*$R131*INDEX(Parameters!$X$12:$AA$12,1,MATCH($E131,Parameters!$X$3:$AA$3,0))))*(1-Inputs_General!$C$22*Parameters!$F$12))</f>
        <v>0.326474811769837</v>
      </c>
      <c r="BK131" s="46" t="n">
        <f aca="false">MAX(BH131*(1+INDEX(Response_Table!$L$4:$L$21,MATCH($F131&amp;"|low",Response_Table!$A$4:$A$21,0))*$R131*INDEX(Parameters!$X$12:$AA$12,1,MATCH($E131,Parameters!$X$3:$AA$3,0))),BH131*(1+INDEX(Response_Table!$L$4:$L$21,MATCH($F131&amp;"|high",Response_Table!$A$4:$A$21,0))*$R131*INDEX(Parameters!$X$12:$AA$12,1,MATCH($E131,Parameters!$X$3:$AA$3,0))))*(1+Inputs_General!$C$22*Parameters!$F$12)</f>
        <v>0.511540593217102</v>
      </c>
      <c r="BL131" s="45" t="n">
        <f aca="false">IF(BH131=0,0,BI131/BH131-1)</f>
        <v>-0.0997514749513863</v>
      </c>
      <c r="BM131" s="46" t="n">
        <f aca="false">Parameters!$E$13*IF($N131="V",Parameters!$I$13,IF($N131="F",Parameters!$J$13,Parameters!$K$13))*(1-Parameters!$L$13*$P131)*IF($D131="V1",Parameters!$M$13,IF($D131="V2",Parameters!$N$13,Parameters!$O$13))</f>
        <v>0.308784803571429</v>
      </c>
      <c r="BN131" s="46" t="n">
        <f aca="false">BM131*(1+INDEX(Response_Table!$M$4:$M$21,MATCH($F131&amp;"|mid",Response_Table!$A$4:$A$21,0))*$R131*INDEX(Parameters!$X$13:$AA$13,1,MATCH($E131,Parameters!$X$3:$AA$3,0)))</f>
        <v>0.312029779940333</v>
      </c>
      <c r="BO131" s="46" t="n">
        <f aca="false">MAX(0,MIN(BM131*(1+INDEX(Response_Table!$M$4:$M$21,MATCH($F131&amp;"|low",Response_Table!$A$4:$A$21,0))*$R131*INDEX(Parameters!$X$13:$AA$13,1,MATCH($E131,Parameters!$X$3:$AA$3,0))),BM131*(1+INDEX(Response_Table!$M$4:$M$21,MATCH($F131&amp;"|high",Response_Table!$A$4:$A$21,0))*$R131*INDEX(Parameters!$X$13:$AA$13,1,MATCH($E131,Parameters!$X$3:$AA$3,0))))*(1-Inputs_General!$C$22*Parameters!$F$13))</f>
        <v>0.247057004287881</v>
      </c>
      <c r="BP131" s="46" t="n">
        <f aca="false">MAX(BM131*(1+INDEX(Response_Table!$M$4:$M$21,MATCH($F131&amp;"|low",Response_Table!$A$4:$A$21,0))*$R131*INDEX(Parameters!$X$13:$AA$13,1,MATCH($E131,Parameters!$X$3:$AA$3,0))),BM131*(1+INDEX(Response_Table!$M$4:$M$21,MATCH($F131&amp;"|high",Response_Table!$A$4:$A$21,0))*$R131*INDEX(Parameters!$X$13:$AA$13,1,MATCH($E131,Parameters!$X$3:$AA$3,0))))*(1+Inputs_General!$C$22*Parameters!$F$13)</f>
        <v>0.377161407349565</v>
      </c>
      <c r="BQ131" s="45" t="n">
        <f aca="false">IF(BM131=0,0,BN131/BM131-1)</f>
        <v>0.0105088603175196</v>
      </c>
      <c r="BR131" s="44" t="n">
        <f aca="false">Parameters!$E$14*IF($N131="V",Parameters!$I$14,IF($N131="F",Parameters!$J$14,Parameters!$K$14))*(1-Parameters!$L$14*$P131)*IF($D131="V1",Parameters!$M$14,IF($D131="V2",Parameters!$N$14,Parameters!$O$14))*INDEX(Context!$AC$4:$AC$51,$K131)</f>
        <v>15</v>
      </c>
      <c r="BS131" s="44" t="n">
        <f aca="false">BR131*(1+INDEX(Response_Table!$N$4:$N$21,MATCH($F131&amp;"|mid",Response_Table!$A$4:$A$21,0))*$R131*INDEX(Parameters!$X$14:$AA$14,1,MATCH($E131,Parameters!$X$3:$AA$3,0)))</f>
        <v>16.6322968628409</v>
      </c>
      <c r="BT131" s="44" t="n">
        <f aca="false">MAX(0,MIN(BR131*(1+INDEX(Response_Table!$N$4:$N$21,MATCH($F131&amp;"|low",Response_Table!$A$4:$A$21,0))*$R131*INDEX(Parameters!$X$14:$AA$14,1,MATCH($E131,Parameters!$X$3:$AA$3,0))),BR131*(1+INDEX(Response_Table!$N$4:$N$21,MATCH($F131&amp;"|high",Response_Table!$A$4:$A$21,0))*$R131*INDEX(Parameters!$X$14:$AA$14,1,MATCH($E131,Parameters!$X$3:$AA$3,0))))*(1-Inputs_General!$C$22*Parameters!$F$14))</f>
        <v>8.23578263008946</v>
      </c>
      <c r="BU131" s="44" t="n">
        <f aca="false">MAX(BR131*(1+INDEX(Response_Table!$N$4:$N$21,MATCH($F131&amp;"|low",Response_Table!$A$4:$A$21,0))*$R131*INDEX(Parameters!$X$14:$AA$14,1,MATCH($E131,Parameters!$X$3:$AA$3,0))),BR131*(1+INDEX(Response_Table!$N$4:$N$21,MATCH($F131&amp;"|high",Response_Table!$A$4:$A$21,0))*$R131*INDEX(Parameters!$X$14:$AA$14,1,MATCH($E131,Parameters!$X$3:$AA$3,0))))*(1+Inputs_General!$C$22*Parameters!$F$14)</f>
        <v>25.3637231037007</v>
      </c>
      <c r="BV131" s="45" t="n">
        <f aca="false">IF(BR131=0,0,BS131/BR131-1)</f>
        <v>0.108819790856058</v>
      </c>
      <c r="BW131" s="43" t="n">
        <f aca="false">Parameters!$E$15*IF($N131="V",Parameters!$I$15,IF($N131="F",Parameters!$J$15,Parameters!$K$15))*(1-Parameters!$L$15*$P131)*IF($D131="V1",Parameters!$M$15,IF($D131="V2",Parameters!$N$15,Parameters!$O$15))</f>
        <v>9.98607142857143</v>
      </c>
      <c r="BX131" s="43" t="n">
        <f aca="false">BW131*(1+INDEX(Response_Table!$O$4:$O$21,MATCH($F131&amp;"|mid",Response_Table!$A$4:$A$21,0))*$R131*INDEX(Parameters!$X$15:$AA$15,1,MATCH($E131,Parameters!$X$3:$AA$3,0)))</f>
        <v>9.71440087748873</v>
      </c>
      <c r="BY131" s="43" t="n">
        <f aca="false">MAX(0,MIN(BW131*(1+INDEX(Response_Table!$O$4:$O$21,MATCH($F131&amp;"|low",Response_Table!$A$4:$A$21,0))*$R131*INDEX(Parameters!$X$15:$AA$15,1,MATCH($E131,Parameters!$X$3:$AA$3,0))),BW131*(1+INDEX(Response_Table!$O$4:$O$21,MATCH($F131&amp;"|high",Response_Table!$A$4:$A$21,0))*$R131*INDEX(Parameters!$X$15:$AA$15,1,MATCH($E131,Parameters!$X$3:$AA$3,0))))*(1-Inputs_General!$C$22*Parameters!$F$15))</f>
        <v>7.7499657460504</v>
      </c>
      <c r="BZ131" s="43" t="n">
        <f aca="false">MAX(BW131*(1+INDEX(Response_Table!$O$4:$O$21,MATCH($F131&amp;"|low",Response_Table!$A$4:$A$21,0))*$R131*INDEX(Parameters!$X$15:$AA$15,1,MATCH($E131,Parameters!$X$3:$AA$3,0))),BW131*(1+INDEX(Response_Table!$O$4:$O$21,MATCH($F131&amp;"|high",Response_Table!$A$4:$A$21,0))*$R131*INDEX(Parameters!$X$15:$AA$15,1,MATCH($E131,Parameters!$X$3:$AA$3,0))))*(1+Inputs_General!$C$22*Parameters!$F$15)</f>
        <v>11.7061817216154</v>
      </c>
      <c r="CA131" s="45" t="n">
        <f aca="false">IF(BW131=0,0,BX131/BW131-1)</f>
        <v>-0.0272049477140143</v>
      </c>
      <c r="CB131" s="46" t="n">
        <f aca="false">BD131+BI131</f>
        <v>1.54195177828715</v>
      </c>
      <c r="CC131" s="43" t="n">
        <f aca="false">BD131/BI131</f>
        <v>2.700530320874</v>
      </c>
      <c r="CD131" s="46" t="n">
        <f aca="false">BN131/CB131</f>
        <v>0.20236027114087</v>
      </c>
      <c r="CE131" s="43" t="n">
        <f aca="false">AE131/AO131</f>
        <v>3.55023776316444</v>
      </c>
      <c r="CF131" s="44" t="n">
        <f aca="false">AE131/AJ131</f>
        <v>43.5762017981312</v>
      </c>
      <c r="CG131" s="44" t="n">
        <f aca="false">INDEX(Context!$V$4:$V$51,$K131)</f>
        <v>25.5785714285714</v>
      </c>
      <c r="CH131" s="44" t="n">
        <f aca="false">INDEX(Context!$Y$4:$Y$51,$K131)</f>
        <v>23.620522619794</v>
      </c>
      <c r="CI131" s="44" t="n">
        <f aca="false">INDEX(Context!$Z$4:$Z$51,$K131)</f>
        <v>29.5785714285714</v>
      </c>
      <c r="CJ131" s="43" t="n">
        <f aca="false">INDEX(Context!$AA$4:$AA$51,$K131)</f>
        <v>0.201160714285714</v>
      </c>
      <c r="CK131" s="43" t="n">
        <f aca="false">MAX(0,MIN(1,1-(1-CJ131)*AO131/AN131))</f>
        <v>0.281241052590358</v>
      </c>
      <c r="CL131" s="44" t="n">
        <f aca="false">CH131+CK131*(CI131-CH131)</f>
        <v>25.2961705381593</v>
      </c>
      <c r="CM131" s="44" t="n">
        <f aca="false">CH131+MAX(0,MIN(1,1-(1-CJ131)*AQ131/AN131))*(CI131-CH131)</f>
        <v>23.8310126677423</v>
      </c>
      <c r="CN131" s="44" t="n">
        <f aca="false">CH131+MAX(0,MIN(1,1-(1-CJ131)*AP131/AN131))*(CI131-CH131)</f>
        <v>26.6650314325971</v>
      </c>
      <c r="CO131" s="44" t="n">
        <f aca="false">CL131-CG131</f>
        <v>-0.282400890412134</v>
      </c>
      <c r="CP131" s="44" t="n">
        <f aca="false">CL131-(CH131+CJ131*(CI131-CH131))</f>
        <v>0.477122564242475</v>
      </c>
      <c r="CQ131" s="46" t="n">
        <f aca="false">CL131/CG131</f>
        <v>0.988959473706311</v>
      </c>
      <c r="CR131" s="43" t="n">
        <f aca="false">IF(CL131-CH131&lt;=0,"n/a",(CI131-CL131)/(CL131-CH131))</f>
        <v>2.55566867208591</v>
      </c>
      <c r="CS131" s="43" t="n">
        <f aca="false">IF(CI131-CL131&lt;=0,"n/a",(CL131-CH131)/(CI131-CL131))</f>
        <v>0.391287028292213</v>
      </c>
      <c r="CT131" s="43" t="n">
        <f aca="false">Inputs_General!$C$23+Inputs_General!$C$24*$I131</f>
        <v>0.76</v>
      </c>
      <c r="CU131" s="44" t="n">
        <f aca="false">3.29*CT131</f>
        <v>2.5004</v>
      </c>
    </row>
    <row r="132" customFormat="false" ht="15" hidden="false" customHeight="false" outlineLevel="0" collapsed="false">
      <c r="A132" s="9" t="str">
        <f aca="false">B132&amp;"|"&amp;E132&amp;"|"&amp;F132</f>
        <v>D2V3|24/02/2026|Moderate</v>
      </c>
      <c r="B132" s="7" t="s">
        <v>348</v>
      </c>
      <c r="C132" s="9" t="s">
        <v>129</v>
      </c>
      <c r="D132" s="9" t="s">
        <v>150</v>
      </c>
      <c r="E132" s="9" t="s">
        <v>160</v>
      </c>
      <c r="F132" s="7" t="s">
        <v>281</v>
      </c>
      <c r="G132" s="9" t="s">
        <v>282</v>
      </c>
      <c r="H132" s="41" t="n">
        <f aca="false">INDEX(Severity_Classes!$C$4:$C$9,MATCH(F132,Severity_Classes!$A$4:$A$9,0))</f>
        <v>0.11</v>
      </c>
      <c r="I132" s="41" t="n">
        <f aca="false">INDEX(Severity_Classes!$D$4:$D$9,MATCH(F132,Severity_Classes!$A$4:$A$9,0))</f>
        <v>0.18</v>
      </c>
      <c r="J132" s="41" t="n">
        <f aca="false">INDEX(Severity_Classes!$E$4:$E$9,MATCH(F132,Severity_Classes!$A$4:$A$9,0))</f>
        <v>0.25</v>
      </c>
      <c r="K132" s="42" t="n">
        <f aca="false">MATCH(B132&amp;"|"&amp;E132,Context!$A$4:$A$51,0)</f>
        <v>22</v>
      </c>
      <c r="L132" s="42" t="n">
        <f aca="false">INDEX(Context!$H$4:$H$51,K132)</f>
        <v>68</v>
      </c>
      <c r="M132" s="42" t="n">
        <f aca="false">INDEX(Context!$I$4:$I$51,K132)</f>
        <v>19</v>
      </c>
      <c r="N132" s="9" t="str">
        <f aca="false">INDEX(Context!$L$4:$L$51,K132)</f>
        <v>F</v>
      </c>
      <c r="O132" s="9" t="str">
        <f aca="false">INDEX(Context!$M$4:$M$51,K132)</f>
        <v>5th fully expanded leaf from top</v>
      </c>
      <c r="P132" s="43" t="n">
        <f aca="false">INDEX(Context!$R$4:$R$51,K132)</f>
        <v>0.0232142857142859</v>
      </c>
      <c r="Q132" s="43" t="n">
        <f aca="false">INDEX(Context!$U$4:$U$51,K132)</f>
        <v>1.19492600027053</v>
      </c>
      <c r="R132" s="43" t="n">
        <f aca="false">INDEX(Context!$AD$4:$AD$51,K132)</f>
        <v>0.85</v>
      </c>
      <c r="S132" s="9" t="str">
        <f aca="false">INDEX(Context!$AI$4:$AN$51,K132,MATCH(F132,Severity_Classes!$A$4:$A$9,0))</f>
        <v>Likely</v>
      </c>
      <c r="T132" s="44" t="n">
        <f aca="false">Parameters!$E$4*IF($N132="V",Parameters!$I$4,IF($N132="F",Parameters!$J$4,Parameters!$K$4))*(1-Parameters!$L$4*$P132)*IF($D132="V1",Parameters!$M$4,IF($D132="V2",Parameters!$N$4,Parameters!$O$4))</f>
        <v>85.0411767857143</v>
      </c>
      <c r="U132" s="44" t="n">
        <f aca="false">MIN(100,T132*(1+INDEX(Response_Table!$E$4:$E$21,MATCH($F132&amp;"|mid",Response_Table!$A$4:$A$21,0))*$R132*INDEX(Parameters!$X$4:$AA$4,1,MATCH($E132,Parameters!$X$3:$AA$3,0))))</f>
        <v>81.7529374269378</v>
      </c>
      <c r="V132" s="44" t="n">
        <f aca="false">MAX(0,MIN(T132*(1+INDEX(Response_Table!$E$4:$E$21,MATCH($F132&amp;"|low",Response_Table!$A$4:$A$21,0))*$R132*INDEX(Parameters!$X$4:$AA$4,1,MATCH($E132,Parameters!$X$3:$AA$3,0))),T132*(1+INDEX(Response_Table!$E$4:$E$21,MATCH($F132&amp;"|high",Response_Table!$A$4:$A$21,0))*$R132*INDEX(Parameters!$X$4:$AA$4,1,MATCH($E132,Parameters!$X$3:$AA$3,0))))*(1-Inputs_General!$C$22*Parameters!$F$4))</f>
        <v>74.0724786930751</v>
      </c>
      <c r="W132" s="44" t="n">
        <f aca="false">MIN(100,MAX(T132*(1+INDEX(Response_Table!$E$4:$E$21,MATCH($F132&amp;"|low",Response_Table!$A$4:$A$21,0))*$R132*INDEX(Parameters!$X$4:$AA$4,1,MATCH($E132,Parameters!$X$3:$AA$3,0))),T132*(1+INDEX(Response_Table!$E$4:$E$21,MATCH($F132&amp;"|high",Response_Table!$A$4:$A$21,0))*$R132*INDEX(Parameters!$X$4:$AA$4,1,MATCH($E132,Parameters!$X$3:$AA$3,0))))*(1+Inputs_General!$C$22*Parameters!$F$4))</f>
        <v>88.9834322088919</v>
      </c>
      <c r="X132" s="45" t="n">
        <f aca="false">IF(T132=0,0,U132/T132-1)</f>
        <v>-0.0386664376371718</v>
      </c>
      <c r="Y132" s="44" t="n">
        <f aca="false">Parameters!$E$5*IF($N132="V",Parameters!$I$5,IF($N132="F",Parameters!$J$5,Parameters!$K$5))*(1-Parameters!$L$5*$P132)*IF($D132="V1",Parameters!$M$5,IF($D132="V2",Parameters!$N$5,Parameters!$O$5))</f>
        <v>70.36344</v>
      </c>
      <c r="Z132" s="44" t="n">
        <f aca="false">MIN(100,Y132*(1+INDEX(Response_Table!$F$4:$F$21,MATCH($F132&amp;"|mid",Response_Table!$A$4:$A$21,0))*$R132*INDEX(Parameters!$X$5:$AA$5,1,MATCH($E132,Parameters!$X$3:$AA$3,0))))</f>
        <v>60.9650661375131</v>
      </c>
      <c r="AA132" s="44" t="n">
        <f aca="false">MAX(0,MIN(Y132*(1+INDEX(Response_Table!$F$4:$F$21,MATCH($F132&amp;"|low",Response_Table!$A$4:$A$21,0))*$R132*INDEX(Parameters!$X$5:$AA$5,1,MATCH($E132,Parameters!$X$3:$AA$3,0))),Y132*(1+INDEX(Response_Table!$F$4:$F$21,MATCH($F132&amp;"|high",Response_Table!$A$4:$A$21,0))*$R132*INDEX(Parameters!$X$5:$AA$5,1,MATCH($E132,Parameters!$X$3:$AA$3,0))))*(1-Inputs_General!$C$22*Parameters!$F$5))</f>
        <v>47.7902284891513</v>
      </c>
      <c r="AB132" s="44" t="n">
        <f aca="false">MIN(100,MAX(Y132*(1+INDEX(Response_Table!$F$4:$F$21,MATCH($F132&amp;"|low",Response_Table!$A$4:$A$21,0))*$R132*INDEX(Parameters!$X$5:$AA$5,1,MATCH($E132,Parameters!$X$3:$AA$3,0))),Y132*(1+INDEX(Response_Table!$F$4:$F$21,MATCH($F132&amp;"|high",Response_Table!$A$4:$A$21,0))*$R132*INDEX(Parameters!$X$5:$AA$5,1,MATCH($E132,Parameters!$X$3:$AA$3,0))))*(1+Inputs_General!$C$22*Parameters!$F$5))</f>
        <v>73.6547617520249</v>
      </c>
      <c r="AC132" s="45" t="n">
        <f aca="false">IF(Y132=0,0,Z132/Y132-1)</f>
        <v>-0.133568993535377</v>
      </c>
      <c r="AD132" s="44" t="n">
        <f aca="false">Parameters!$E$6*IF($N132="V",Parameters!$I$6,IF($N132="F",Parameters!$J$6,Parameters!$K$6))*(1-Parameters!$L$6*$P132)*IF($D132="V1",Parameters!$M$6,IF($D132="V2",Parameters!$N$6,Parameters!$O$6))</f>
        <v>19.5154835714286</v>
      </c>
      <c r="AE132" s="44" t="n">
        <f aca="false">AD132*(1+INDEX(Response_Table!$G$4:$G$21,MATCH($F132&amp;"|mid",Response_Table!$A$4:$A$21,0))*$R132*INDEX(Parameters!$X$6:$AA$6,1,MATCH($E132,Parameters!$X$3:$AA$3,0)))</f>
        <v>12.7094193159933</v>
      </c>
      <c r="AF132" s="44" t="n">
        <f aca="false">MAX(0,MIN(AD132*(1+INDEX(Response_Table!$G$4:$G$21,MATCH($F132&amp;"|low",Response_Table!$A$4:$A$21,0))*$R132*INDEX(Parameters!$X$6:$AA$6,1,MATCH($E132,Parameters!$X$3:$AA$3,0))),AD132*(1+INDEX(Response_Table!$G$4:$G$21,MATCH($F132&amp;"|high",Response_Table!$A$4:$A$21,0))*$R132*INDEX(Parameters!$X$6:$AA$6,1,MATCH($E132,Parameters!$X$3:$AA$3,0))))*(1-Inputs_General!$C$22*Parameters!$F$6))</f>
        <v>9.00168241561425</v>
      </c>
      <c r="AG132" s="44" t="n">
        <f aca="false">MAX(AD132*(1+INDEX(Response_Table!$G$4:$G$21,MATCH($F132&amp;"|low",Response_Table!$A$4:$A$21,0))*$R132*INDEX(Parameters!$X$6:$AA$6,1,MATCH($E132,Parameters!$X$3:$AA$3,0))),AD132*(1+INDEX(Response_Table!$G$4:$G$21,MATCH($F132&amp;"|high",Response_Table!$A$4:$A$21,0))*$R132*INDEX(Parameters!$X$6:$AA$6,1,MATCH($E132,Parameters!$X$3:$AA$3,0))))*(1+Inputs_General!$C$22*Parameters!$F$6)</f>
        <v>17.6520585577359</v>
      </c>
      <c r="AH132" s="45" t="n">
        <f aca="false">IF(AD132=0,0,AE132/AD132-1)</f>
        <v>-0.348752016854945</v>
      </c>
      <c r="AI132" s="46" t="n">
        <f aca="false">Parameters!$E$7*IF($N132="V",Parameters!$I$7,IF($N132="F",Parameters!$J$7,Parameters!$K$7))*(1-Parameters!$L$7*$P132)*IF($D132="V1",Parameters!$M$7,IF($D132="V2",Parameters!$N$7,Parameters!$O$7))*POWER($Q132/Inputs_General!$C$26,-Inputs_General!$C$25)</f>
        <v>0.411663164578586</v>
      </c>
      <c r="AJ132" s="46" t="n">
        <f aca="false">AI132*(1+INDEX(Response_Table!$H$4:$H$21,MATCH($F132&amp;"|mid",Response_Table!$A$4:$A$21,0))*$R132*INDEX(Parameters!$X$7:$AA$7,1,MATCH($E132,Parameters!$X$3:$AA$3,0)))</f>
        <v>0.316761800471934</v>
      </c>
      <c r="AK132" s="46" t="n">
        <f aca="false">MAX(0,MIN(AI132*(1+INDEX(Response_Table!$H$4:$H$21,MATCH($F132&amp;"|low",Response_Table!$A$4:$A$21,0))*$R132*INDEX(Parameters!$X$7:$AA$7,1,MATCH($E132,Parameters!$X$3:$AA$3,0))),AI132*(1+INDEX(Response_Table!$H$4:$H$21,MATCH($F132&amp;"|high",Response_Table!$A$4:$A$21,0))*$R132*INDEX(Parameters!$X$7:$AA$7,1,MATCH($E132,Parameters!$X$3:$AA$3,0))))*(1-Inputs_General!$C$22*Parameters!$F$7))</f>
        <v>0.205296768484412</v>
      </c>
      <c r="AL132" s="46" t="n">
        <f aca="false">MAX(AI132*(1+INDEX(Response_Table!$H$4:$H$21,MATCH($F132&amp;"|low",Response_Table!$A$4:$A$21,0))*$R132*INDEX(Parameters!$X$7:$AA$7,1,MATCH($E132,Parameters!$X$3:$AA$3,0))),AI132*(1+INDEX(Response_Table!$H$4:$H$21,MATCH($F132&amp;"|high",Response_Table!$A$4:$A$21,0))*$R132*INDEX(Parameters!$X$7:$AA$7,1,MATCH($E132,Parameters!$X$3:$AA$3,0))))*(1+Inputs_General!$C$22*Parameters!$F$7)</f>
        <v>0.450698144657831</v>
      </c>
      <c r="AM132" s="45" t="n">
        <f aca="false">IF(AI132=0,0,AJ132/AI132-1)</f>
        <v>-0.230531590563371</v>
      </c>
      <c r="AN132" s="43" t="n">
        <f aca="false">AI132*$Q132/Inputs_General!$C$13*1000</f>
        <v>4.95374641196979</v>
      </c>
      <c r="AO132" s="43" t="n">
        <f aca="false">AJ132*$Q132/Inputs_General!$C$13*1000*(1+Inputs_General!$C$21*$I132)</f>
        <v>3.98328018412749</v>
      </c>
      <c r="AP132" s="43" t="n">
        <f aca="false">AK132*$Q132/Inputs_General!$C$13*1000*(1+Inputs_General!$C$21*$H132)</f>
        <v>2.53837455901778</v>
      </c>
      <c r="AQ132" s="43" t="n">
        <f aca="false">AL132*$Q132/Inputs_General!$C$13*1000*(1+Inputs_General!$C$21*$J132)</f>
        <v>5.76244073044476</v>
      </c>
      <c r="AR132" s="45" t="n">
        <f aca="false">IF(AN132=0,0,AO132/AN132-1)</f>
        <v>-0.195905512138722</v>
      </c>
      <c r="AS132" s="42" t="n">
        <f aca="false">Parameters!$E$9*IF($N132="V",Parameters!$I$9,IF($N132="F",Parameters!$J$9,Parameters!$K$9))*(1-Parameters!$L$9*$P132)*IF($D132="V1",Parameters!$M$9,IF($D132="V2",Parameters!$N$9,Parameters!$O$9))</f>
        <v>285</v>
      </c>
      <c r="AT132" s="42" t="n">
        <f aca="false">AS132*(1+INDEX(Response_Table!$I$4:$I$21,MATCH($F132&amp;"|mid",Response_Table!$A$4:$A$21,0))*$R132*INDEX(Parameters!$X$9:$AA$9,1,MATCH($E132,Parameters!$X$3:$AA$3,0)))</f>
        <v>322.300279798109</v>
      </c>
      <c r="AU132" s="42" t="n">
        <f aca="false">MAX(0,MIN(AS132*(1+INDEX(Response_Table!$I$4:$I$21,MATCH($F132&amp;"|low",Response_Table!$A$4:$A$21,0))*$R132*INDEX(Parameters!$X$9:$AA$9,1,MATCH($E132,Parameters!$X$3:$AA$3,0))),AS132*(1+INDEX(Response_Table!$I$4:$I$21,MATCH($F132&amp;"|high",Response_Table!$A$4:$A$21,0))*$R132*INDEX(Parameters!$X$9:$AA$9,1,MATCH($E132,Parameters!$X$3:$AA$3,0))))*(1-Inputs_General!$C$22*Parameters!$F$9))</f>
        <v>280.186818337032</v>
      </c>
      <c r="AV132" s="42" t="n">
        <f aca="false">MAX(AS132*(1+INDEX(Response_Table!$I$4:$I$21,MATCH($F132&amp;"|low",Response_Table!$A$4:$A$21,0))*$R132*INDEX(Parameters!$X$9:$AA$9,1,MATCH($E132,Parameters!$X$3:$AA$3,0))),AS132*(1+INDEX(Response_Table!$I$4:$I$21,MATCH($F132&amp;"|high",Response_Table!$A$4:$A$21,0))*$R132*INDEX(Parameters!$X$9:$AA$9,1,MATCH($E132,Parameters!$X$3:$AA$3,0))))*(1+Inputs_General!$C$22*Parameters!$F$9)</f>
        <v>363.603076604055</v>
      </c>
      <c r="AW132" s="45" t="n">
        <f aca="false">IF(AS132=0,0,AT132/AS132-1)</f>
        <v>0.130878174730207</v>
      </c>
      <c r="AX132" s="43" t="n">
        <f aca="false">INDEX(Context!$AB$4:$AB$51,$K132)</f>
        <v>2.85275193829914</v>
      </c>
      <c r="AY132" s="43" t="n">
        <f aca="false">AX132*(1+INDEX(Response_Table!$J$4:$J$21,MATCH($F132&amp;"|mid",Response_Table!$A$4:$A$21,0))*$R132*INDEX(Parameters!$X$10:$AA$10,1,MATCH($E132,Parameters!$X$3:$AA$3,0)))</f>
        <v>2.45733988853553</v>
      </c>
      <c r="AZ132" s="43" t="n">
        <f aca="false">MAX(0,MIN(AX132*(1+INDEX(Response_Table!$J$4:$J$21,MATCH($F132&amp;"|low",Response_Table!$A$4:$A$21,0))*$R132*INDEX(Parameters!$X$10:$AA$10,1,MATCH($E132,Parameters!$X$3:$AA$3,0))),AX132*(1+INDEX(Response_Table!$J$4:$J$21,MATCH($F132&amp;"|high",Response_Table!$A$4:$A$21,0))*$R132*INDEX(Parameters!$X$10:$AA$10,1,MATCH($E132,Parameters!$X$3:$AA$3,0))))*(1-Inputs_General!$C$22*Parameters!$F$10))</f>
        <v>1.88261035228751</v>
      </c>
      <c r="BA132" s="43" t="n">
        <f aca="false">MAX(AX132*(1+INDEX(Response_Table!$J$4:$J$21,MATCH($F132&amp;"|low",Response_Table!$A$4:$A$21,0))*$R132*INDEX(Parameters!$X$10:$AA$10,1,MATCH($E132,Parameters!$X$3:$AA$3,0))),AX132*(1+INDEX(Response_Table!$J$4:$J$21,MATCH($F132&amp;"|high",Response_Table!$A$4:$A$21,0))*$R132*INDEX(Parameters!$X$10:$AA$10,1,MATCH($E132,Parameters!$X$3:$AA$3,0))))*(1+Inputs_General!$C$22*Parameters!$F$10)</f>
        <v>3.10174785867045</v>
      </c>
      <c r="BB132" s="45" t="n">
        <f aca="false">IF(AX132=0,0,AY132/AX132-1)</f>
        <v>-0.138607232004672</v>
      </c>
      <c r="BC132" s="46" t="n">
        <f aca="false">Parameters!$E$11*IF($N132="V",Parameters!$I$11,IF($N132="F",Parameters!$J$11,Parameters!$K$11))*(1-Parameters!$L$11*$P132)*IF($D132="V1",Parameters!$M$11,IF($D132="V2",Parameters!$N$11,Parameters!$O$11))</f>
        <v>1.28570669642857</v>
      </c>
      <c r="BD132" s="46" t="n">
        <f aca="false">BC132*(1+INDEX(Response_Table!$K$4:$K$21,MATCH($F132&amp;"|mid",Response_Table!$A$4:$A$21,0))*$R132*INDEX(Parameters!$X$11:$AA$11,1,MATCH($E132,Parameters!$X$3:$AA$3,0)))</f>
        <v>0.974673290792084</v>
      </c>
      <c r="BE132" s="46" t="n">
        <f aca="false">MAX(0,MIN(BC132*(1+INDEX(Response_Table!$K$4:$K$21,MATCH($F132&amp;"|low",Response_Table!$A$4:$A$21,0))*$R132*INDEX(Parameters!$X$11:$AA$11,1,MATCH($E132,Parameters!$X$3:$AA$3,0))),BC132*(1+INDEX(Response_Table!$K$4:$K$21,MATCH($F132&amp;"|high",Response_Table!$A$4:$A$21,0))*$R132*INDEX(Parameters!$X$11:$AA$11,1,MATCH($E132,Parameters!$X$3:$AA$3,0))))*(1-Inputs_General!$C$22*Parameters!$F$11))</f>
        <v>0.747384745897589</v>
      </c>
      <c r="BF132" s="46" t="n">
        <f aca="false">MAX(BC132*(1+INDEX(Response_Table!$K$4:$K$21,MATCH($F132&amp;"|low",Response_Table!$A$4:$A$21,0))*$R132*INDEX(Parameters!$X$11:$AA$11,1,MATCH($E132,Parameters!$X$3:$AA$3,0))),BC132*(1+INDEX(Response_Table!$K$4:$K$21,MATCH($F132&amp;"|high",Response_Table!$A$4:$A$21,0))*$R132*INDEX(Parameters!$X$11:$AA$11,1,MATCH($E132,Parameters!$X$3:$AA$3,0))))*(1+Inputs_General!$C$22*Parameters!$F$11)</f>
        <v>1.25175698159896</v>
      </c>
      <c r="BG132" s="45" t="n">
        <f aca="false">IF(BC132=0,0,BD132/BC132-1)</f>
        <v>-0.241916299028756</v>
      </c>
      <c r="BH132" s="46" t="n">
        <f aca="false">Parameters!$E$12*IF($N132="V",Parameters!$I$12,IF($N132="F",Parameters!$J$12,Parameters!$K$12))*(1-Parameters!$L$12*$P132)*IF($D132="V1",Parameters!$M$12,IF($D132="V2",Parameters!$N$12,Parameters!$O$12))</f>
        <v>0.462854410714286</v>
      </c>
      <c r="BI132" s="46" t="n">
        <f aca="false">BH132*(1+INDEX(Response_Table!$L$4:$L$21,MATCH($F132&amp;"|mid",Response_Table!$A$4:$A$21,0))*$R132*INDEX(Parameters!$X$12:$AA$12,1,MATCH($E132,Parameters!$X$3:$AA$3,0)))</f>
        <v>0.37256762621324</v>
      </c>
      <c r="BJ132" s="46" t="n">
        <f aca="false">MAX(0,MIN(BH132*(1+INDEX(Response_Table!$L$4:$L$21,MATCH($F132&amp;"|low",Response_Table!$A$4:$A$21,0))*$R132*INDEX(Parameters!$X$12:$AA$12,1,MATCH($E132,Parameters!$X$3:$AA$3,0))),BH132*(1+INDEX(Response_Table!$L$4:$L$21,MATCH($F132&amp;"|high",Response_Table!$A$4:$A$21,0))*$R132*INDEX(Parameters!$X$12:$AA$12,1,MATCH($E132,Parameters!$X$3:$AA$3,0))))*(1-Inputs_General!$C$22*Parameters!$F$12))</f>
        <v>0.279852770560789</v>
      </c>
      <c r="BK132" s="46" t="n">
        <f aca="false">MAX(BH132*(1+INDEX(Response_Table!$L$4:$L$21,MATCH($F132&amp;"|low",Response_Table!$A$4:$A$21,0))*$R132*INDEX(Parameters!$X$12:$AA$12,1,MATCH($E132,Parameters!$X$3:$AA$3,0))),BH132*(1+INDEX(Response_Table!$L$4:$L$21,MATCH($F132&amp;"|high",Response_Table!$A$4:$A$21,0))*$R132*INDEX(Parameters!$X$12:$AA$12,1,MATCH($E132,Parameters!$X$3:$AA$3,0))))*(1+Inputs_General!$C$22*Parameters!$F$12)</f>
        <v>0.481395369129015</v>
      </c>
      <c r="BL132" s="45" t="n">
        <f aca="false">IF(BH132=0,0,BI132/BH132-1)</f>
        <v>-0.19506519201516</v>
      </c>
      <c r="BM132" s="46" t="n">
        <f aca="false">Parameters!$E$13*IF($N132="V",Parameters!$I$13,IF($N132="F",Parameters!$J$13,Parameters!$K$13))*(1-Parameters!$L$13*$P132)*IF($D132="V1",Parameters!$M$13,IF($D132="V2",Parameters!$N$13,Parameters!$O$13))</f>
        <v>0.308784803571429</v>
      </c>
      <c r="BN132" s="46" t="n">
        <f aca="false">BM132*(1+INDEX(Response_Table!$M$4:$M$21,MATCH($F132&amp;"|mid",Response_Table!$A$4:$A$21,0))*$R132*INDEX(Parameters!$X$13:$AA$13,1,MATCH($E132,Parameters!$X$3:$AA$3,0)))</f>
        <v>0.286206995191403</v>
      </c>
      <c r="BO132" s="46" t="n">
        <f aca="false">MAX(0,MIN(BM132*(1+INDEX(Response_Table!$M$4:$M$21,MATCH($F132&amp;"|low",Response_Table!$A$4:$A$21,0))*$R132*INDEX(Parameters!$X$13:$AA$13,1,MATCH($E132,Parameters!$X$3:$AA$3,0))),BM132*(1+INDEX(Response_Table!$M$4:$M$21,MATCH($F132&amp;"|high",Response_Table!$A$4:$A$21,0))*$R132*INDEX(Parameters!$X$13:$AA$13,1,MATCH($E132,Parameters!$X$3:$AA$3,0))))*(1-Inputs_General!$C$22*Parameters!$F$13))</f>
        <v>0.215121936961382</v>
      </c>
      <c r="BP132" s="46" t="n">
        <f aca="false">MAX(BM132*(1+INDEX(Response_Table!$M$4:$M$21,MATCH($F132&amp;"|low",Response_Table!$A$4:$A$21,0))*$R132*INDEX(Parameters!$X$13:$AA$13,1,MATCH($E132,Parameters!$X$3:$AA$3,0))),BM132*(1+INDEX(Response_Table!$M$4:$M$21,MATCH($F132&amp;"|high",Response_Table!$A$4:$A$21,0))*$R132*INDEX(Parameters!$X$13:$AA$13,1,MATCH($E132,Parameters!$X$3:$AA$3,0))))*(1+Inputs_General!$C$22*Parameters!$F$13)</f>
        <v>0.365685242282551</v>
      </c>
      <c r="BQ132" s="45" t="n">
        <f aca="false">IF(BM132=0,0,BN132/BM132-1)</f>
        <v>-0.0731182626829086</v>
      </c>
      <c r="BR132" s="44" t="n">
        <f aca="false">Parameters!$E$14*IF($N132="V",Parameters!$I$14,IF($N132="F",Parameters!$J$14,Parameters!$K$14))*(1-Parameters!$L$14*$P132)*IF($D132="V1",Parameters!$M$14,IF($D132="V2",Parameters!$N$14,Parameters!$O$14))*INDEX(Context!$AC$4:$AC$51,$K132)</f>
        <v>15</v>
      </c>
      <c r="BS132" s="44" t="n">
        <f aca="false">BR132*(1+INDEX(Response_Table!$N$4:$N$21,MATCH($F132&amp;"|mid",Response_Table!$A$4:$A$21,0))*$R132*INDEX(Parameters!$X$14:$AA$14,1,MATCH($E132,Parameters!$X$3:$AA$3,0)))</f>
        <v>18.191975869339</v>
      </c>
      <c r="BT132" s="44" t="n">
        <f aca="false">MAX(0,MIN(BR132*(1+INDEX(Response_Table!$N$4:$N$21,MATCH($F132&amp;"|low",Response_Table!$A$4:$A$21,0))*$R132*INDEX(Parameters!$X$14:$AA$14,1,MATCH($E132,Parameters!$X$3:$AA$3,0))),BR132*(1+INDEX(Response_Table!$N$4:$N$21,MATCH($F132&amp;"|high",Response_Table!$A$4:$A$21,0))*$R132*INDEX(Parameters!$X$14:$AA$14,1,MATCH($E132,Parameters!$X$3:$AA$3,0))))*(1-Inputs_General!$C$22*Parameters!$F$14))</f>
        <v>8.68659323697798</v>
      </c>
      <c r="BU132" s="44" t="n">
        <f aca="false">MAX(BR132*(1+INDEX(Response_Table!$N$4:$N$21,MATCH($F132&amp;"|low",Response_Table!$A$4:$A$21,0))*$R132*INDEX(Parameters!$X$14:$AA$14,1,MATCH($E132,Parameters!$X$3:$AA$3,0))),BR132*(1+INDEX(Response_Table!$N$4:$N$21,MATCH($F132&amp;"|high",Response_Table!$A$4:$A$21,0))*$R132*INDEX(Parameters!$X$14:$AA$14,1,MATCH($E132,Parameters!$X$3:$AA$3,0))))*(1+Inputs_General!$C$22*Parameters!$F$14)</f>
        <v>28.4308572341319</v>
      </c>
      <c r="BV132" s="45" t="n">
        <f aca="false">IF(BR132=0,0,BS132/BR132-1)</f>
        <v>0.212798391289265</v>
      </c>
      <c r="BW132" s="43" t="n">
        <f aca="false">Parameters!$E$15*IF($N132="V",Parameters!$I$15,IF($N132="F",Parameters!$J$15,Parameters!$K$15))*(1-Parameters!$L$15*$P132)*IF($D132="V1",Parameters!$M$15,IF($D132="V2",Parameters!$N$15,Parameters!$O$15))</f>
        <v>9.98607142857143</v>
      </c>
      <c r="BX132" s="43" t="n">
        <f aca="false">BW132*(1+INDEX(Response_Table!$O$4:$O$21,MATCH($F132&amp;"|mid",Response_Table!$A$4:$A$21,0))*$R132*INDEX(Parameters!$X$15:$AA$15,1,MATCH($E132,Parameters!$X$3:$AA$3,0)))</f>
        <v>9.4548164447465</v>
      </c>
      <c r="BY132" s="43" t="n">
        <f aca="false">MAX(0,MIN(BW132*(1+INDEX(Response_Table!$O$4:$O$21,MATCH($F132&amp;"|low",Response_Table!$A$4:$A$21,0))*$R132*INDEX(Parameters!$X$15:$AA$15,1,MATCH($E132,Parameters!$X$3:$AA$3,0))),BW132*(1+INDEX(Response_Table!$O$4:$O$21,MATCH($F132&amp;"|high",Response_Table!$A$4:$A$21,0))*$R132*INDEX(Parameters!$X$15:$AA$15,1,MATCH($E132,Parameters!$X$3:$AA$3,0))))*(1-Inputs_General!$C$22*Parameters!$F$15))</f>
        <v>7.47563776011896</v>
      </c>
      <c r="BZ132" s="43" t="n">
        <f aca="false">MAX(BW132*(1+INDEX(Response_Table!$O$4:$O$21,MATCH($F132&amp;"|low",Response_Table!$A$4:$A$21,0))*$R132*INDEX(Parameters!$X$15:$AA$15,1,MATCH($E132,Parameters!$X$3:$AA$3,0))),BW132*(1+INDEX(Response_Table!$O$4:$O$21,MATCH($F132&amp;"|high",Response_Table!$A$4:$A$21,0))*$R132*INDEX(Parameters!$X$15:$AA$15,1,MATCH($E132,Parameters!$X$3:$AA$3,0))))*(1+Inputs_General!$C$22*Parameters!$F$15)</f>
        <v>11.5288047043274</v>
      </c>
      <c r="CA132" s="45" t="n">
        <f aca="false">IF(BW132=0,0,BX132/BW132-1)</f>
        <v>-0.0531995978223164</v>
      </c>
      <c r="CB132" s="46" t="n">
        <f aca="false">BD132+BI132</f>
        <v>1.34724091700532</v>
      </c>
      <c r="CC132" s="43" t="n">
        <f aca="false">BD132/BI132</f>
        <v>2.6160976483615</v>
      </c>
      <c r="CD132" s="46" t="n">
        <f aca="false">BN132/CB132</f>
        <v>0.212439357785829</v>
      </c>
      <c r="CE132" s="43" t="n">
        <f aca="false">AE132/AO132</f>
        <v>3.19069177373905</v>
      </c>
      <c r="CF132" s="44" t="n">
        <f aca="false">AE132/AJ132</f>
        <v>40.1229545262653</v>
      </c>
      <c r="CG132" s="44" t="n">
        <f aca="false">INDEX(Context!$V$4:$V$51,$K132)</f>
        <v>25.5785714285714</v>
      </c>
      <c r="CH132" s="44" t="n">
        <f aca="false">INDEX(Context!$Y$4:$Y$51,$K132)</f>
        <v>23.620522619794</v>
      </c>
      <c r="CI132" s="44" t="n">
        <f aca="false">INDEX(Context!$Z$4:$Z$51,$K132)</f>
        <v>29.5785714285714</v>
      </c>
      <c r="CJ132" s="43" t="n">
        <f aca="false">INDEX(Context!$AA$4:$AA$51,$K132)</f>
        <v>0.201160714285714</v>
      </c>
      <c r="CK132" s="43" t="n">
        <f aca="false">MAX(0,MIN(1,1-(1-CJ132)*AO132/AN132))</f>
        <v>0.357657733670103</v>
      </c>
      <c r="CL132" s="44" t="n">
        <f aca="false">CH132+CK132*(CI132-CH132)</f>
        <v>25.7514648538372</v>
      </c>
      <c r="CM132" s="44" t="n">
        <f aca="false">CH132+MAX(0,MIN(1,1-(1-CJ132)*AQ132/AN132))*(CI132-CH132)</f>
        <v>24.0420603656842</v>
      </c>
      <c r="CN132" s="44" t="n">
        <f aca="false">CH132+MAX(0,MIN(1,1-(1-CJ132)*AP132/AN132))*(CI132-CH132)</f>
        <v>27.1397196494107</v>
      </c>
      <c r="CO132" s="44" t="n">
        <f aca="false">CL132-CG132</f>
        <v>0.172893425265766</v>
      </c>
      <c r="CP132" s="44" t="n">
        <f aca="false">CL132-(CH132+CJ132*(CI132-CH132))</f>
        <v>0.932416879920375</v>
      </c>
      <c r="CQ132" s="46" t="n">
        <f aca="false">CL132/CG132</f>
        <v>1.00675930732678</v>
      </c>
      <c r="CR132" s="43" t="n">
        <f aca="false">IF(CL132-CH132&lt;=0,"n/a",(CI132-CL132)/(CL132-CH132))</f>
        <v>1.79596917907661</v>
      </c>
      <c r="CS132" s="43" t="n">
        <f aca="false">IF(CI132-CL132&lt;=0,"n/a",(CL132-CH132)/(CI132-CL132))</f>
        <v>0.55680242826558</v>
      </c>
      <c r="CT132" s="43" t="n">
        <f aca="false">Inputs_General!$C$23+Inputs_General!$C$24*$I132</f>
        <v>0.96</v>
      </c>
      <c r="CU132" s="44" t="n">
        <f aca="false">3.29*CT132</f>
        <v>3.1584</v>
      </c>
    </row>
    <row r="133" customFormat="false" ht="15" hidden="false" customHeight="false" outlineLevel="0" collapsed="false">
      <c r="A133" s="9" t="str">
        <f aca="false">B133&amp;"|"&amp;E133&amp;"|"&amp;F133</f>
        <v>D2V3|24/02/2026|High</v>
      </c>
      <c r="B133" s="7" t="s">
        <v>348</v>
      </c>
      <c r="C133" s="9" t="s">
        <v>129</v>
      </c>
      <c r="D133" s="9" t="s">
        <v>150</v>
      </c>
      <c r="E133" s="9" t="s">
        <v>160</v>
      </c>
      <c r="F133" s="7" t="s">
        <v>283</v>
      </c>
      <c r="G133" s="9" t="s">
        <v>284</v>
      </c>
      <c r="H133" s="41" t="n">
        <f aca="false">INDEX(Severity_Classes!$C$4:$C$9,MATCH(F133,Severity_Classes!$A$4:$A$9,0))</f>
        <v>0.26</v>
      </c>
      <c r="I133" s="41" t="n">
        <f aca="false">INDEX(Severity_Classes!$D$4:$D$9,MATCH(F133,Severity_Classes!$A$4:$A$9,0))</f>
        <v>0.38</v>
      </c>
      <c r="J133" s="41" t="n">
        <f aca="false">INDEX(Severity_Classes!$E$4:$E$9,MATCH(F133,Severity_Classes!$A$4:$A$9,0))</f>
        <v>0.5</v>
      </c>
      <c r="K133" s="42" t="n">
        <f aca="false">MATCH(B133&amp;"|"&amp;E133,Context!$A$4:$A$51,0)</f>
        <v>22</v>
      </c>
      <c r="L133" s="42" t="n">
        <f aca="false">INDEX(Context!$H$4:$H$51,K133)</f>
        <v>68</v>
      </c>
      <c r="M133" s="42" t="n">
        <f aca="false">INDEX(Context!$I$4:$I$51,K133)</f>
        <v>19</v>
      </c>
      <c r="N133" s="9" t="str">
        <f aca="false">INDEX(Context!$L$4:$L$51,K133)</f>
        <v>F</v>
      </c>
      <c r="O133" s="9" t="str">
        <f aca="false">INDEX(Context!$M$4:$M$51,K133)</f>
        <v>5th fully expanded leaf from top</v>
      </c>
      <c r="P133" s="43" t="n">
        <f aca="false">INDEX(Context!$R$4:$R$51,K133)</f>
        <v>0.0232142857142859</v>
      </c>
      <c r="Q133" s="43" t="n">
        <f aca="false">INDEX(Context!$U$4:$U$51,K133)</f>
        <v>1.19492600027053</v>
      </c>
      <c r="R133" s="43" t="n">
        <f aca="false">INDEX(Context!$AD$4:$AD$51,K133)</f>
        <v>0.85</v>
      </c>
      <c r="S133" s="9" t="str">
        <f aca="false">INDEX(Context!$AI$4:$AN$51,K133,MATCH(F133,Severity_Classes!$A$4:$A$9,0))</f>
        <v>Possible</v>
      </c>
      <c r="T133" s="44" t="n">
        <f aca="false">Parameters!$E$4*IF($N133="V",Parameters!$I$4,IF($N133="F",Parameters!$J$4,Parameters!$K$4))*(1-Parameters!$L$4*$P133)*IF($D133="V1",Parameters!$M$4,IF($D133="V2",Parameters!$N$4,Parameters!$O$4))</f>
        <v>85.0411767857143</v>
      </c>
      <c r="U133" s="44" t="n">
        <f aca="false">MIN(100,T133*(1+INDEX(Response_Table!$E$4:$E$21,MATCH($F133&amp;"|mid",Response_Table!$A$4:$A$21,0))*$R133*INDEX(Parameters!$X$4:$AA$4,1,MATCH($E133,Parameters!$X$3:$AA$3,0))))</f>
        <v>73.3638771374173</v>
      </c>
      <c r="V133" s="44" t="n">
        <f aca="false">MAX(0,MIN(T133*(1+INDEX(Response_Table!$E$4:$E$21,MATCH($F133&amp;"|low",Response_Table!$A$4:$A$21,0))*$R133*INDEX(Parameters!$X$4:$AA$4,1,MATCH($E133,Parameters!$X$3:$AA$3,0))),T133*(1+INDEX(Response_Table!$E$4:$E$21,MATCH($F133&amp;"|high",Response_Table!$A$4:$A$21,0))*$R133*INDEX(Parameters!$X$4:$AA$4,1,MATCH($E133,Parameters!$X$3:$AA$3,0))))*(1-Inputs_General!$C$22*Parameters!$F$4))</f>
        <v>63.9426041337893</v>
      </c>
      <c r="W133" s="44" t="n">
        <f aca="false">MIN(100,MAX(T133*(1+INDEX(Response_Table!$E$4:$E$21,MATCH($F133&amp;"|low",Response_Table!$A$4:$A$21,0))*$R133*INDEX(Parameters!$X$4:$AA$4,1,MATCH($E133,Parameters!$X$3:$AA$3,0))),T133*(1+INDEX(Response_Table!$E$4:$E$21,MATCH($F133&amp;"|high",Response_Table!$A$4:$A$21,0))*$R133*INDEX(Parameters!$X$4:$AA$4,1,MATCH($E133,Parameters!$X$3:$AA$3,0))))*(1+Inputs_General!$C$22*Parameters!$F$4))</f>
        <v>84.0713824116795</v>
      </c>
      <c r="X133" s="45" t="n">
        <f aca="false">IF(T133=0,0,U133/T133-1)</f>
        <v>-0.137313476714008</v>
      </c>
      <c r="Y133" s="44" t="n">
        <f aca="false">Parameters!$E$5*IF($N133="V",Parameters!$I$5,IF($N133="F",Parameters!$J$5,Parameters!$K$5))*(1-Parameters!$L$5*$P133)*IF($D133="V1",Parameters!$M$5,IF($D133="V2",Parameters!$N$5,Parameters!$O$5))</f>
        <v>70.36344</v>
      </c>
      <c r="Z133" s="44" t="n">
        <f aca="false">MIN(100,Y133*(1+INDEX(Response_Table!$F$4:$F$21,MATCH($F133&amp;"|mid",Response_Table!$A$4:$A$21,0))*$R133*INDEX(Parameters!$X$5:$AA$5,1,MATCH($E133,Parameters!$X$3:$AA$3,0))))</f>
        <v>40.4414561522777</v>
      </c>
      <c r="AA133" s="44" t="n">
        <f aca="false">MAX(0,MIN(Y133*(1+INDEX(Response_Table!$F$4:$F$21,MATCH($F133&amp;"|low",Response_Table!$A$4:$A$21,0))*$R133*INDEX(Parameters!$X$5:$AA$5,1,MATCH($E133,Parameters!$X$3:$AA$3,0))),Y133*(1+INDEX(Response_Table!$F$4:$F$21,MATCH($F133&amp;"|high",Response_Table!$A$4:$A$21,0))*$R133*INDEX(Parameters!$X$5:$AA$5,1,MATCH($E133,Parameters!$X$3:$AA$3,0))))*(1-Inputs_General!$C$22*Parameters!$F$5))</f>
        <v>29.1357439490814</v>
      </c>
      <c r="AB133" s="44" t="n">
        <f aca="false">MIN(100,MAX(Y133*(1+INDEX(Response_Table!$F$4:$F$21,MATCH($F133&amp;"|low",Response_Table!$A$4:$A$21,0))*$R133*INDEX(Parameters!$X$5:$AA$5,1,MATCH($E133,Parameters!$X$3:$AA$3,0))),Y133*(1+INDEX(Response_Table!$F$4:$F$21,MATCH($F133&amp;"|high",Response_Table!$A$4:$A$21,0))*$R133*INDEX(Parameters!$X$5:$AA$5,1,MATCH($E133,Parameters!$X$3:$AA$3,0))))*(1+Inputs_General!$C$22*Parameters!$F$5))</f>
        <v>59.0098298514084</v>
      </c>
      <c r="AC133" s="45" t="n">
        <f aca="false">IF(Y133=0,0,Z133/Y133-1)</f>
        <v>-0.425249019202618</v>
      </c>
      <c r="AD133" s="44" t="n">
        <f aca="false">Parameters!$E$6*IF($N133="V",Parameters!$I$6,IF($N133="F",Parameters!$J$6,Parameters!$K$6))*(1-Parameters!$L$6*$P133)*IF($D133="V1",Parameters!$M$6,IF($D133="V2",Parameters!$N$6,Parameters!$O$6))</f>
        <v>19.5154835714286</v>
      </c>
      <c r="AE133" s="44" t="n">
        <f aca="false">AD133*(1+INDEX(Response_Table!$G$4:$G$21,MATCH($F133&amp;"|mid",Response_Table!$A$4:$A$21,0))*$R133*INDEX(Parameters!$X$6:$AA$6,1,MATCH($E133,Parameters!$X$3:$AA$3,0)))</f>
        <v>9.41168794605889</v>
      </c>
      <c r="AF133" s="44" t="n">
        <f aca="false">MAX(0,MIN(AD133*(1+INDEX(Response_Table!$G$4:$G$21,MATCH($F133&amp;"|low",Response_Table!$A$4:$A$21,0))*$R133*INDEX(Parameters!$X$6:$AA$6,1,MATCH($E133,Parameters!$X$3:$AA$3,0))),AD133*(1+INDEX(Response_Table!$G$4:$G$21,MATCH($F133&amp;"|high",Response_Table!$A$4:$A$21,0))*$R133*INDEX(Parameters!$X$6:$AA$6,1,MATCH($E133,Parameters!$X$3:$AA$3,0))))*(1-Inputs_General!$C$22*Parameters!$F$6))</f>
        <v>6.7842800997251</v>
      </c>
      <c r="AG133" s="44" t="n">
        <f aca="false">MAX(AD133*(1+INDEX(Response_Table!$G$4:$G$21,MATCH($F133&amp;"|low",Response_Table!$A$4:$A$21,0))*$R133*INDEX(Parameters!$X$6:$AA$6,1,MATCH($E133,Parameters!$X$3:$AA$3,0))),AD133*(1+INDEX(Response_Table!$G$4:$G$21,MATCH($F133&amp;"|high",Response_Table!$A$4:$A$21,0))*$R133*INDEX(Parameters!$X$6:$AA$6,1,MATCH($E133,Parameters!$X$3:$AA$3,0))))*(1+Inputs_General!$C$22*Parameters!$F$6)</f>
        <v>13.2161660351021</v>
      </c>
      <c r="AH133" s="45" t="n">
        <f aca="false">IF(AD133=0,0,AE133/AD133-1)</f>
        <v>-0.51773227080891</v>
      </c>
      <c r="AI133" s="46" t="n">
        <f aca="false">Parameters!$E$7*IF($N133="V",Parameters!$I$7,IF($N133="F",Parameters!$J$7,Parameters!$K$7))*(1-Parameters!$L$7*$P133)*IF($D133="V1",Parameters!$M$7,IF($D133="V2",Parameters!$N$7,Parameters!$O$7))*POWER($Q133/Inputs_General!$C$26,-Inputs_General!$C$25)</f>
        <v>0.411663164578586</v>
      </c>
      <c r="AJ133" s="46" t="n">
        <f aca="false">AI133*(1+INDEX(Response_Table!$H$4:$H$21,MATCH($F133&amp;"|mid",Response_Table!$A$4:$A$21,0))*$R133*INDEX(Parameters!$X$7:$AA$7,1,MATCH($E133,Parameters!$X$3:$AA$3,0)))</f>
        <v>0.256960151262781</v>
      </c>
      <c r="AK133" s="46" t="n">
        <f aca="false">MAX(0,MIN(AI133*(1+INDEX(Response_Table!$H$4:$H$21,MATCH($F133&amp;"|low",Response_Table!$A$4:$A$21,0))*$R133*INDEX(Parameters!$X$7:$AA$7,1,MATCH($E133,Parameters!$X$3:$AA$3,0))),AI133*(1+INDEX(Response_Table!$H$4:$H$21,MATCH($F133&amp;"|high",Response_Table!$A$4:$A$21,0))*$R133*INDEX(Parameters!$X$7:$AA$7,1,MATCH($E133,Parameters!$X$3:$AA$3,0))))*(1-Inputs_General!$C$22*Parameters!$F$7))</f>
        <v>0.165394580293777</v>
      </c>
      <c r="AL133" s="46" t="n">
        <f aca="false">MAX(AI133*(1+INDEX(Response_Table!$H$4:$H$21,MATCH($F133&amp;"|low",Response_Table!$A$4:$A$21,0))*$R133*INDEX(Parameters!$X$7:$AA$7,1,MATCH($E133,Parameters!$X$3:$AA$3,0))),AI133*(1+INDEX(Response_Table!$H$4:$H$21,MATCH($F133&amp;"|high",Response_Table!$A$4:$A$21,0))*$R133*INDEX(Parameters!$X$7:$AA$7,1,MATCH($E133,Parameters!$X$3:$AA$3,0))))*(1+Inputs_General!$C$22*Parameters!$F$7)</f>
        <v>0.373900115776851</v>
      </c>
      <c r="AM133" s="45" t="n">
        <f aca="false">IF(AI133=0,0,AJ133/AI133-1)</f>
        <v>-0.375799990446492</v>
      </c>
      <c r="AN133" s="43" t="n">
        <f aca="false">AI133*$Q133/Inputs_General!$C$13*1000</f>
        <v>4.95374641196979</v>
      </c>
      <c r="AO133" s="43" t="n">
        <f aca="false">AJ133*$Q133/Inputs_General!$C$13*1000*(1+Inputs_General!$C$21*$I133)</f>
        <v>3.38588077065653</v>
      </c>
      <c r="AP133" s="43" t="n">
        <f aca="false">AK133*$Q133/Inputs_General!$C$13*1000*(1+Inputs_General!$C$21*$H133)</f>
        <v>2.11964262614464</v>
      </c>
      <c r="AQ133" s="43" t="n">
        <f aca="false">AL133*$Q133/Inputs_General!$C$13*1000*(1+Inputs_General!$C$21*$J133)</f>
        <v>5.06174059493113</v>
      </c>
      <c r="AR133" s="45" t="n">
        <f aca="false">IF(AN133=0,0,AO133/AN133-1)</f>
        <v>-0.316500989538909</v>
      </c>
      <c r="AS133" s="42" t="n">
        <f aca="false">Parameters!$E$9*IF($N133="V",Parameters!$I$9,IF($N133="F",Parameters!$J$9,Parameters!$K$9))*(1-Parameters!$L$9*$P133)*IF($D133="V1",Parameters!$M$9,IF($D133="V2",Parameters!$N$9,Parameters!$O$9))</f>
        <v>285</v>
      </c>
      <c r="AT133" s="42" t="n">
        <f aca="false">AS133*(1+INDEX(Response_Table!$I$4:$I$21,MATCH($F133&amp;"|mid",Response_Table!$A$4:$A$21,0))*$R133*INDEX(Parameters!$X$9:$AA$9,1,MATCH($E133,Parameters!$X$3:$AA$3,0)))</f>
        <v>341.780113615748</v>
      </c>
      <c r="AU133" s="42" t="n">
        <f aca="false">MAX(0,MIN(AS133*(1+INDEX(Response_Table!$I$4:$I$21,MATCH($F133&amp;"|low",Response_Table!$A$4:$A$21,0))*$R133*INDEX(Parameters!$X$9:$AA$9,1,MATCH($E133,Parameters!$X$3:$AA$3,0))),AS133*(1+INDEX(Response_Table!$I$4:$I$21,MATCH($F133&amp;"|high",Response_Table!$A$4:$A$21,0))*$R133*INDEX(Parameters!$X$9:$AA$9,1,MATCH($E133,Parameters!$X$3:$AA$3,0))))*(1-Inputs_General!$C$22*Parameters!$F$9))</f>
        <v>299.220496875066</v>
      </c>
      <c r="AV133" s="42" t="n">
        <f aca="false">MAX(AS133*(1+INDEX(Response_Table!$I$4:$I$21,MATCH($F133&amp;"|low",Response_Table!$A$4:$A$21,0))*$R133*INDEX(Parameters!$X$9:$AA$9,1,MATCH($E133,Parameters!$X$3:$AA$3,0))),AS133*(1+INDEX(Response_Table!$I$4:$I$21,MATCH($F133&amp;"|high",Response_Table!$A$4:$A$21,0))*$R133*INDEX(Parameters!$X$9:$AA$9,1,MATCH($E133,Parameters!$X$3:$AA$3,0))))*(1+Inputs_General!$C$22*Parameters!$F$9)</f>
        <v>382.171267759079</v>
      </c>
      <c r="AW133" s="45" t="n">
        <f aca="false">IF(AS133=0,0,AT133/AS133-1)</f>
        <v>0.199228468827185</v>
      </c>
      <c r="AX133" s="43" t="n">
        <f aca="false">INDEX(Context!$AB$4:$AB$51,$K133)</f>
        <v>2.85275193829914</v>
      </c>
      <c r="AY133" s="43" t="n">
        <f aca="false">AX133*(1+INDEX(Response_Table!$J$4:$J$21,MATCH($F133&amp;"|mid",Response_Table!$A$4:$A$21,0))*$R133*INDEX(Parameters!$X$10:$AA$10,1,MATCH($E133,Parameters!$X$3:$AA$3,0)))</f>
        <v>2.18357747003667</v>
      </c>
      <c r="AZ133" s="43" t="n">
        <f aca="false">MAX(0,MIN(AX133*(1+INDEX(Response_Table!$J$4:$J$21,MATCH($F133&amp;"|low",Response_Table!$A$4:$A$21,0))*$R133*INDEX(Parameters!$X$10:$AA$10,1,MATCH($E133,Parameters!$X$3:$AA$3,0))),AX133*(1+INDEX(Response_Table!$J$4:$J$21,MATCH($F133&amp;"|high",Response_Table!$A$4:$A$21,0))*$R133*INDEX(Parameters!$X$10:$AA$10,1,MATCH($E133,Parameters!$X$3:$AA$3,0))))*(1-Inputs_General!$C$22*Parameters!$F$10))</f>
        <v>1.66475447963208</v>
      </c>
      <c r="BA133" s="43" t="n">
        <f aca="false">MAX(AX133*(1+INDEX(Response_Table!$J$4:$J$21,MATCH($F133&amp;"|low",Response_Table!$A$4:$A$21,0))*$R133*INDEX(Parameters!$X$10:$AA$10,1,MATCH($E133,Parameters!$X$3:$AA$3,0))),AX133*(1+INDEX(Response_Table!$J$4:$J$21,MATCH($F133&amp;"|high",Response_Table!$A$4:$A$21,0))*$R133*INDEX(Parameters!$X$10:$AA$10,1,MATCH($E133,Parameters!$X$3:$AA$3,0))))*(1+Inputs_General!$C$22*Parameters!$F$10)</f>
        <v>2.79140161651521</v>
      </c>
      <c r="BB133" s="45" t="n">
        <f aca="false">IF(AX133=0,0,AY133/AX133-1)</f>
        <v>-0.234571558528653</v>
      </c>
      <c r="BC133" s="46" t="n">
        <f aca="false">Parameters!$E$11*IF($N133="V",Parameters!$I$11,IF($N133="F",Parameters!$J$11,Parameters!$K$11))*(1-Parameters!$L$11*$P133)*IF($D133="V1",Parameters!$M$11,IF($D133="V2",Parameters!$N$11,Parameters!$O$11))</f>
        <v>1.28570669642857</v>
      </c>
      <c r="BD133" s="46" t="n">
        <f aca="false">BC133*(1+INDEX(Response_Table!$K$4:$K$21,MATCH($F133&amp;"|mid",Response_Table!$A$4:$A$21,0))*$R133*INDEX(Parameters!$X$11:$AA$11,1,MATCH($E133,Parameters!$X$3:$AA$3,0)))</f>
        <v>0.785911917049289</v>
      </c>
      <c r="BE133" s="46" t="n">
        <f aca="false">MAX(0,MIN(BC133*(1+INDEX(Response_Table!$K$4:$K$21,MATCH($F133&amp;"|low",Response_Table!$A$4:$A$21,0))*$R133*INDEX(Parameters!$X$11:$AA$11,1,MATCH($E133,Parameters!$X$3:$AA$3,0))),BC133*(1+INDEX(Response_Table!$K$4:$K$21,MATCH($F133&amp;"|high",Response_Table!$A$4:$A$21,0))*$R133*INDEX(Parameters!$X$11:$AA$11,1,MATCH($E133,Parameters!$X$3:$AA$3,0))))*(1-Inputs_General!$C$22*Parameters!$F$11))</f>
        <v>0.600533616455604</v>
      </c>
      <c r="BF133" s="46" t="n">
        <f aca="false">MAX(BC133*(1+INDEX(Response_Table!$K$4:$K$21,MATCH($F133&amp;"|low",Response_Table!$A$4:$A$21,0))*$R133*INDEX(Parameters!$X$11:$AA$11,1,MATCH($E133,Parameters!$X$3:$AA$3,0))),BC133*(1+INDEX(Response_Table!$K$4:$K$21,MATCH($F133&amp;"|high",Response_Table!$A$4:$A$21,0))*$R133*INDEX(Parameters!$X$11:$AA$11,1,MATCH($E133,Parameters!$X$3:$AA$3,0))))*(1+Inputs_General!$C$22*Parameters!$F$11)</f>
        <v>1.02998134402783</v>
      </c>
      <c r="BG133" s="45" t="n">
        <f aca="false">IF(BC133=0,0,BD133/BC133-1)</f>
        <v>-0.388731567446611</v>
      </c>
      <c r="BH133" s="46" t="n">
        <f aca="false">Parameters!$E$12*IF($N133="V",Parameters!$I$12,IF($N133="F",Parameters!$J$12,Parameters!$K$12))*(1-Parameters!$L$12*$P133)*IF($D133="V1",Parameters!$M$12,IF($D133="V2",Parameters!$N$12,Parameters!$O$12))</f>
        <v>0.462854410714286</v>
      </c>
      <c r="BI133" s="46" t="n">
        <f aca="false">BH133*(1+INDEX(Response_Table!$L$4:$L$21,MATCH($F133&amp;"|mid",Response_Table!$A$4:$A$21,0))*$R133*INDEX(Parameters!$X$12:$AA$12,1,MATCH($E133,Parameters!$X$3:$AA$3,0)))</f>
        <v>0.315673832685824</v>
      </c>
      <c r="BJ133" s="46" t="n">
        <f aca="false">MAX(0,MIN(BH133*(1+INDEX(Response_Table!$L$4:$L$21,MATCH($F133&amp;"|low",Response_Table!$A$4:$A$21,0))*$R133*INDEX(Parameters!$X$12:$AA$12,1,MATCH($E133,Parameters!$X$3:$AA$3,0))),BH133*(1+INDEX(Response_Table!$L$4:$L$21,MATCH($F133&amp;"|high",Response_Table!$A$4:$A$21,0))*$R133*INDEX(Parameters!$X$12:$AA$12,1,MATCH($E133,Parameters!$X$3:$AA$3,0))))*(1-Inputs_General!$C$22*Parameters!$F$12))</f>
        <v>0.236567849087281</v>
      </c>
      <c r="BK133" s="46" t="n">
        <f aca="false">MAX(BH133*(1+INDEX(Response_Table!$L$4:$L$21,MATCH($F133&amp;"|low",Response_Table!$A$4:$A$21,0))*$R133*INDEX(Parameters!$X$12:$AA$12,1,MATCH($E133,Parameters!$X$3:$AA$3,0))),BH133*(1+INDEX(Response_Table!$L$4:$L$21,MATCH($F133&amp;"|high",Response_Table!$A$4:$A$21,0))*$R133*INDEX(Parameters!$X$12:$AA$12,1,MATCH($E133,Parameters!$X$3:$AA$3,0))))*(1+Inputs_General!$C$22*Parameters!$F$12)</f>
        <v>0.41389555951878</v>
      </c>
      <c r="BL133" s="45" t="n">
        <f aca="false">IF(BH133=0,0,BI133/BH133-1)</f>
        <v>-0.317984607300878</v>
      </c>
      <c r="BM133" s="46" t="n">
        <f aca="false">Parameters!$E$13*IF($N133="V",Parameters!$I$13,IF($N133="F",Parameters!$J$13,Parameters!$K$13))*(1-Parameters!$L$13*$P133)*IF($D133="V1",Parameters!$M$13,IF($D133="V2",Parameters!$N$13,Parameters!$O$13))</f>
        <v>0.308784803571429</v>
      </c>
      <c r="BN133" s="46" t="n">
        <f aca="false">BM133*(1+INDEX(Response_Table!$M$4:$M$21,MATCH($F133&amp;"|mid",Response_Table!$A$4:$A$21,0))*$R133*INDEX(Parameters!$X$13:$AA$13,1,MATCH($E133,Parameters!$X$3:$AA$3,0)))</f>
        <v>0.243439799766782</v>
      </c>
      <c r="BO133" s="46" t="n">
        <f aca="false">MAX(0,MIN(BM133*(1+INDEX(Response_Table!$M$4:$M$21,MATCH($F133&amp;"|low",Response_Table!$A$4:$A$21,0))*$R133*INDEX(Parameters!$X$13:$AA$13,1,MATCH($E133,Parameters!$X$3:$AA$3,0))),BM133*(1+INDEX(Response_Table!$M$4:$M$21,MATCH($F133&amp;"|high",Response_Table!$A$4:$A$21,0))*$R133*INDEX(Parameters!$X$13:$AA$13,1,MATCH($E133,Parameters!$X$3:$AA$3,0))))*(1-Inputs_General!$C$22*Parameters!$F$13))</f>
        <v>0.184298891383901</v>
      </c>
      <c r="BP133" s="46" t="n">
        <f aca="false">MAX(BM133*(1+INDEX(Response_Table!$M$4:$M$21,MATCH($F133&amp;"|low",Response_Table!$A$4:$A$21,0))*$R133*INDEX(Parameters!$X$13:$AA$13,1,MATCH($E133,Parameters!$X$3:$AA$3,0))),BM133*(1+INDEX(Response_Table!$M$4:$M$21,MATCH($F133&amp;"|high",Response_Table!$A$4:$A$21,0))*$R133*INDEX(Parameters!$X$13:$AA$13,1,MATCH($E133,Parameters!$X$3:$AA$3,0))))*(1+Inputs_General!$C$22*Parameters!$F$13)</f>
        <v>0.318151904384689</v>
      </c>
      <c r="BQ133" s="45" t="n">
        <f aca="false">IF(BM133=0,0,BN133/BM133-1)</f>
        <v>-0.211619882354511</v>
      </c>
      <c r="BR133" s="44" t="n">
        <f aca="false">Parameters!$E$14*IF($N133="V",Parameters!$I$14,IF($N133="F",Parameters!$J$14,Parameters!$K$14))*(1-Parameters!$L$14*$P133)*IF($D133="V1",Parameters!$M$14,IF($D133="V2",Parameters!$N$14,Parameters!$O$14))*INDEX(Context!$AC$4:$AC$51,$K133)</f>
        <v>15</v>
      </c>
      <c r="BS133" s="44" t="n">
        <f aca="false">BR133*(1+INDEX(Response_Table!$N$4:$N$21,MATCH($F133&amp;"|mid",Response_Table!$A$4:$A$21,0))*$R133*INDEX(Parameters!$X$14:$AA$14,1,MATCH($E133,Parameters!$X$3:$AA$3,0)))</f>
        <v>20.2033844831053</v>
      </c>
      <c r="BT133" s="44" t="n">
        <f aca="false">MAX(0,MIN(BR133*(1+INDEX(Response_Table!$N$4:$N$21,MATCH($F133&amp;"|low",Response_Table!$A$4:$A$21,0))*$R133*INDEX(Parameters!$X$14:$AA$14,1,MATCH($E133,Parameters!$X$3:$AA$3,0))),BR133*(1+INDEX(Response_Table!$N$4:$N$21,MATCH($F133&amp;"|high",Response_Table!$A$4:$A$21,0))*$R133*INDEX(Parameters!$X$14:$AA$14,1,MATCH($E133,Parameters!$X$3:$AA$3,0))))*(1-Inputs_General!$C$22*Parameters!$F$14))</f>
        <v>9.69602776784537</v>
      </c>
      <c r="BU133" s="44" t="n">
        <f aca="false">MAX(BR133*(1+INDEX(Response_Table!$N$4:$N$21,MATCH($F133&amp;"|low",Response_Table!$A$4:$A$21,0))*$R133*INDEX(Parameters!$X$14:$AA$14,1,MATCH($E133,Parameters!$X$3:$AA$3,0))),BR133*(1+INDEX(Response_Table!$N$4:$N$21,MATCH($F133&amp;"|high",Response_Table!$A$4:$A$21,0))*$R133*INDEX(Parameters!$X$14:$AA$14,1,MATCH($E133,Parameters!$X$3:$AA$3,0))))*(1+Inputs_General!$C$22*Parameters!$F$14)</f>
        <v>31.2784515595102</v>
      </c>
      <c r="BV133" s="45" t="n">
        <f aca="false">IF(BR133=0,0,BS133/BR133-1)</f>
        <v>0.346892298873685</v>
      </c>
      <c r="BW133" s="43" t="n">
        <f aca="false">Parameters!$E$15*IF($N133="V",Parameters!$I$15,IF($N133="F",Parameters!$J$15,Parameters!$K$15))*(1-Parameters!$L$15*$P133)*IF($D133="V1",Parameters!$M$15,IF($D133="V2",Parameters!$N$15,Parameters!$O$15))</f>
        <v>9.98607142857143</v>
      </c>
      <c r="BX133" s="43" t="n">
        <f aca="false">BW133*(1+INDEX(Response_Table!$O$4:$O$21,MATCH($F133&amp;"|mid",Response_Table!$A$4:$A$21,0))*$R133*INDEX(Parameters!$X$15:$AA$15,1,MATCH($E133,Parameters!$X$3:$AA$3,0)))</f>
        <v>9.12004860992794</v>
      </c>
      <c r="BY133" s="43" t="n">
        <f aca="false">MAX(0,MIN(BW133*(1+INDEX(Response_Table!$O$4:$O$21,MATCH($F133&amp;"|low",Response_Table!$A$4:$A$21,0))*$R133*INDEX(Parameters!$X$15:$AA$15,1,MATCH($E133,Parameters!$X$3:$AA$3,0))),BW133*(1+INDEX(Response_Table!$O$4:$O$21,MATCH($F133&amp;"|high",Response_Table!$A$4:$A$21,0))*$R133*INDEX(Parameters!$X$15:$AA$15,1,MATCH($E133,Parameters!$X$3:$AA$3,0))))*(1-Inputs_General!$C$22*Parameters!$F$15))</f>
        <v>7.2209456655411</v>
      </c>
      <c r="BZ133" s="43" t="n">
        <f aca="false">MAX(BW133*(1+INDEX(Response_Table!$O$4:$O$21,MATCH($F133&amp;"|low",Response_Table!$A$4:$A$21,0))*$R133*INDEX(Parameters!$X$15:$AA$15,1,MATCH($E133,Parameters!$X$3:$AA$3,0))),BW133*(1+INDEX(Response_Table!$O$4:$O$21,MATCH($F133&amp;"|high",Response_Table!$A$4:$A$21,0))*$R133*INDEX(Parameters!$X$15:$AA$15,1,MATCH($E133,Parameters!$X$3:$AA$3,0))))*(1+Inputs_General!$C$22*Parameters!$F$15)</f>
        <v>11.1316301847026</v>
      </c>
      <c r="CA133" s="45" t="n">
        <f aca="false">IF(BW133=0,0,BX133/BW133-1)</f>
        <v>-0.0867230747184212</v>
      </c>
      <c r="CB133" s="46" t="n">
        <f aca="false">BD133+BI133</f>
        <v>1.10158574973511</v>
      </c>
      <c r="CC133" s="43" t="n">
        <f aca="false">BD133/BI133</f>
        <v>2.48963276544835</v>
      </c>
      <c r="CD133" s="46" t="n">
        <f aca="false">BN133/CB133</f>
        <v>0.220990331279539</v>
      </c>
      <c r="CE133" s="43" t="n">
        <f aca="false">AE133/AO133</f>
        <v>2.77968675909221</v>
      </c>
      <c r="CF133" s="44" t="n">
        <f aca="false">AE133/AJ133</f>
        <v>36.6270330236302</v>
      </c>
      <c r="CG133" s="44" t="n">
        <f aca="false">INDEX(Context!$V$4:$V$51,$K133)</f>
        <v>25.5785714285714</v>
      </c>
      <c r="CH133" s="44" t="n">
        <f aca="false">INDEX(Context!$Y$4:$Y$51,$K133)</f>
        <v>23.620522619794</v>
      </c>
      <c r="CI133" s="44" t="n">
        <f aca="false">INDEX(Context!$Z$4:$Z$51,$K133)</f>
        <v>29.5785714285714</v>
      </c>
      <c r="CJ133" s="43" t="n">
        <f aca="false">INDEX(Context!$AA$4:$AA$51,$K133)</f>
        <v>0.201160714285714</v>
      </c>
      <c r="CK133" s="43" t="n">
        <f aca="false">MAX(0,MIN(1,1-(1-CJ133)*AO133/AN133))</f>
        <v>0.453994138696841</v>
      </c>
      <c r="CL133" s="44" t="n">
        <f aca="false">CH133+CK133*(CI133-CH133)</f>
        <v>26.3254418570487</v>
      </c>
      <c r="CM133" s="44" t="n">
        <f aca="false">CH133+MAX(0,MIN(1,1-(1-CJ133)*AQ133/AN133))*(CI133-CH133)</f>
        <v>24.7152879498815</v>
      </c>
      <c r="CN133" s="44" t="n">
        <f aca="false">CH133+MAX(0,MIN(1,1-(1-CJ133)*AP133/AN133))*(CI133-CH133)</f>
        <v>27.5420342392143</v>
      </c>
      <c r="CO133" s="44" t="n">
        <f aca="false">CL133-CG133</f>
        <v>0.746870428477223</v>
      </c>
      <c r="CP133" s="44" t="n">
        <f aca="false">CL133-(CH133+CJ133*(CI133-CH133))</f>
        <v>1.50639388313183</v>
      </c>
      <c r="CQ133" s="46" t="n">
        <f aca="false">CL133/CG133</f>
        <v>1.02919906729595</v>
      </c>
      <c r="CR133" s="43" t="n">
        <f aca="false">IF(CL133-CH133&lt;=0,"n/a",(CI133-CL133)/(CL133-CH133))</f>
        <v>1.20267160908824</v>
      </c>
      <c r="CS133" s="43" t="n">
        <f aca="false">IF(CI133-CL133&lt;=0,"n/a",(CL133-CH133)/(CI133-CL133))</f>
        <v>0.831482170563678</v>
      </c>
      <c r="CT133" s="43" t="n">
        <f aca="false">Inputs_General!$C$23+Inputs_General!$C$24*$I133</f>
        <v>1.36</v>
      </c>
      <c r="CU133" s="44" t="n">
        <f aca="false">3.29*CT133</f>
        <v>4.4744</v>
      </c>
    </row>
    <row r="134" customFormat="false" ht="15" hidden="false" customHeight="false" outlineLevel="0" collapsed="false">
      <c r="A134" s="9" t="str">
        <f aca="false">B134&amp;"|"&amp;E134&amp;"|"&amp;F134</f>
        <v>D2V3|24/02/2026|Very high</v>
      </c>
      <c r="B134" s="7" t="s">
        <v>348</v>
      </c>
      <c r="C134" s="9" t="s">
        <v>129</v>
      </c>
      <c r="D134" s="9" t="s">
        <v>150</v>
      </c>
      <c r="E134" s="9" t="s">
        <v>160</v>
      </c>
      <c r="F134" s="7" t="s">
        <v>285</v>
      </c>
      <c r="G134" s="9" t="s">
        <v>286</v>
      </c>
      <c r="H134" s="41" t="n">
        <f aca="false">INDEX(Severity_Classes!$C$4:$C$9,MATCH(F134,Severity_Classes!$A$4:$A$9,0))</f>
        <v>0.51</v>
      </c>
      <c r="I134" s="41" t="n">
        <f aca="false">INDEX(Severity_Classes!$D$4:$D$9,MATCH(F134,Severity_Classes!$A$4:$A$9,0))</f>
        <v>0.65</v>
      </c>
      <c r="J134" s="41" t="n">
        <f aca="false">INDEX(Severity_Classes!$E$4:$E$9,MATCH(F134,Severity_Classes!$A$4:$A$9,0))</f>
        <v>0.85</v>
      </c>
      <c r="K134" s="42" t="n">
        <f aca="false">MATCH(B134&amp;"|"&amp;E134,Context!$A$4:$A$51,0)</f>
        <v>22</v>
      </c>
      <c r="L134" s="42" t="n">
        <f aca="false">INDEX(Context!$H$4:$H$51,K134)</f>
        <v>68</v>
      </c>
      <c r="M134" s="42" t="n">
        <f aca="false">INDEX(Context!$I$4:$I$51,K134)</f>
        <v>19</v>
      </c>
      <c r="N134" s="9" t="str">
        <f aca="false">INDEX(Context!$L$4:$L$51,K134)</f>
        <v>F</v>
      </c>
      <c r="O134" s="9" t="str">
        <f aca="false">INDEX(Context!$M$4:$M$51,K134)</f>
        <v>5th fully expanded leaf from top</v>
      </c>
      <c r="P134" s="43" t="n">
        <f aca="false">INDEX(Context!$R$4:$R$51,K134)</f>
        <v>0.0232142857142859</v>
      </c>
      <c r="Q134" s="43" t="n">
        <f aca="false">INDEX(Context!$U$4:$U$51,K134)</f>
        <v>1.19492600027053</v>
      </c>
      <c r="R134" s="43" t="n">
        <f aca="false">INDEX(Context!$AD$4:$AD$51,K134)</f>
        <v>0.85</v>
      </c>
      <c r="S134" s="9" t="str">
        <f aca="false">INDEX(Context!$AI$4:$AN$51,K134,MATCH(F134,Severity_Classes!$A$4:$A$9,0))</f>
        <v>Unlikely</v>
      </c>
      <c r="T134" s="44" t="n">
        <f aca="false">Parameters!$E$4*IF($N134="V",Parameters!$I$4,IF($N134="F",Parameters!$J$4,Parameters!$K$4))*(1-Parameters!$L$4*$P134)*IF($D134="V1",Parameters!$M$4,IF($D134="V2",Parameters!$N$4,Parameters!$O$4))</f>
        <v>85.0411767857143</v>
      </c>
      <c r="U134" s="44" t="n">
        <f aca="false">MIN(100,T134*(1+INDEX(Response_Table!$E$4:$E$21,MATCH($F134&amp;"|mid",Response_Table!$A$4:$A$21,0))*$R134*INDEX(Parameters!$X$4:$AA$4,1,MATCH($E134,Parameters!$X$3:$AA$3,0))))</f>
        <v>65.0897176410308</v>
      </c>
      <c r="V134" s="44" t="n">
        <f aca="false">MAX(0,MIN(T134*(1+INDEX(Response_Table!$E$4:$E$21,MATCH($F134&amp;"|low",Response_Table!$A$4:$A$21,0))*$R134*INDEX(Parameters!$X$4:$AA$4,1,MATCH($E134,Parameters!$X$3:$AA$3,0))),T134*(1+INDEX(Response_Table!$E$4:$E$21,MATCH($F134&amp;"|high",Response_Table!$A$4:$A$21,0))*$R134*INDEX(Parameters!$X$4:$AA$4,1,MATCH($E134,Parameters!$X$3:$AA$3,0))))*(1-Inputs_General!$C$22*Parameters!$F$4))</f>
        <v>59.512901157725</v>
      </c>
      <c r="W134" s="44" t="n">
        <f aca="false">MIN(100,MAX(T134*(1+INDEX(Response_Table!$E$4:$E$21,MATCH($F134&amp;"|low",Response_Table!$A$4:$A$21,0))*$R134*INDEX(Parameters!$X$4:$AA$4,1,MATCH($E134,Parameters!$X$3:$AA$3,0))),T134*(1+INDEX(Response_Table!$E$4:$E$21,MATCH($F134&amp;"|high",Response_Table!$A$4:$A$21,0))*$R134*INDEX(Parameters!$X$4:$AA$4,1,MATCH($E134,Parameters!$X$3:$AA$3,0))))*(1+Inputs_General!$C$22*Parameters!$F$4))</f>
        <v>72.6068317544639</v>
      </c>
      <c r="X134" s="45" t="n">
        <f aca="false">IF(T134=0,0,U134/T134-1)</f>
        <v>-0.234609396280544</v>
      </c>
      <c r="Y134" s="44" t="n">
        <f aca="false">Parameters!$E$5*IF($N134="V",Parameters!$I$5,IF($N134="F",Parameters!$J$5,Parameters!$K$5))*(1-Parameters!$L$5*$P134)*IF($D134="V1",Parameters!$M$5,IF($D134="V2",Parameters!$N$5,Parameters!$O$5))</f>
        <v>70.36344</v>
      </c>
      <c r="Z134" s="44" t="n">
        <f aca="false">MIN(100,Y134*(1+INDEX(Response_Table!$F$4:$F$21,MATCH($F134&amp;"|mid",Response_Table!$A$4:$A$21,0))*$R134*INDEX(Parameters!$X$5:$AA$5,1,MATCH($E134,Parameters!$X$3:$AA$3,0))))</f>
        <v>29.5687257538174</v>
      </c>
      <c r="AA134" s="44" t="n">
        <f aca="false">MAX(0,MIN(Y134*(1+INDEX(Response_Table!$F$4:$F$21,MATCH($F134&amp;"|low",Response_Table!$A$4:$A$21,0))*$R134*INDEX(Parameters!$X$5:$AA$5,1,MATCH($E134,Parameters!$X$3:$AA$3,0))),Y134*(1+INDEX(Response_Table!$F$4:$F$21,MATCH($F134&amp;"|high",Response_Table!$A$4:$A$21,0))*$R134*INDEX(Parameters!$X$5:$AA$5,1,MATCH($E134,Parameters!$X$3:$AA$3,0))))*(1-Inputs_General!$C$22*Parameters!$F$5))</f>
        <v>25.346792922176</v>
      </c>
      <c r="AB134" s="44" t="n">
        <f aca="false">MIN(100,MAX(Y134*(1+INDEX(Response_Table!$F$4:$F$21,MATCH($F134&amp;"|low",Response_Table!$A$4:$A$21,0))*$R134*INDEX(Parameters!$X$5:$AA$5,1,MATCH($E134,Parameters!$X$3:$AA$3,0))),Y134*(1+INDEX(Response_Table!$F$4:$F$21,MATCH($F134&amp;"|high",Response_Table!$A$4:$A$21,0))*$R134*INDEX(Parameters!$X$5:$AA$5,1,MATCH($E134,Parameters!$X$3:$AA$3,0))))*(1+Inputs_General!$C$22*Parameters!$F$5))</f>
        <v>36.2916183816873</v>
      </c>
      <c r="AC134" s="45" t="n">
        <f aca="false">IF(Y134=0,0,Z134/Y134-1)</f>
        <v>-0.579771458674883</v>
      </c>
      <c r="AD134" s="44" t="n">
        <f aca="false">Parameters!$E$6*IF($N134="V",Parameters!$I$6,IF($N134="F",Parameters!$J$6,Parameters!$K$6))*(1-Parameters!$L$6*$P134)*IF($D134="V1",Parameters!$M$6,IF($D134="V2",Parameters!$N$6,Parameters!$O$6))</f>
        <v>19.5154835714286</v>
      </c>
      <c r="AE134" s="44" t="n">
        <f aca="false">AD134*(1+INDEX(Response_Table!$G$4:$G$21,MATCH($F134&amp;"|mid",Response_Table!$A$4:$A$21,0))*$R134*INDEX(Parameters!$X$6:$AA$6,1,MATCH($E134,Parameters!$X$3:$AA$3,0)))</f>
        <v>7.78685035784233</v>
      </c>
      <c r="AF134" s="44" t="n">
        <f aca="false">MAX(0,MIN(AD134*(1+INDEX(Response_Table!$G$4:$G$21,MATCH($F134&amp;"|low",Response_Table!$A$4:$A$21,0))*$R134*INDEX(Parameters!$X$6:$AA$6,1,MATCH($E134,Parameters!$X$3:$AA$3,0))),AD134*(1+INDEX(Response_Table!$G$4:$G$21,MATCH($F134&amp;"|high",Response_Table!$A$4:$A$21,0))*$R134*INDEX(Parameters!$X$6:$AA$6,1,MATCH($E134,Parameters!$X$3:$AA$3,0))))*(1-Inputs_General!$C$22*Parameters!$F$6))</f>
        <v>5.91507408371259</v>
      </c>
      <c r="AG134" s="44" t="n">
        <f aca="false">MAX(AD134*(1+INDEX(Response_Table!$G$4:$G$21,MATCH($F134&amp;"|low",Response_Table!$A$4:$A$21,0))*$R134*INDEX(Parameters!$X$6:$AA$6,1,MATCH($E134,Parameters!$X$3:$AA$3,0))),AD134*(1+INDEX(Response_Table!$G$4:$G$21,MATCH($F134&amp;"|high",Response_Table!$A$4:$A$21,0))*$R134*INDEX(Parameters!$X$6:$AA$6,1,MATCH($E134,Parameters!$X$3:$AA$3,0))))*(1+Inputs_General!$C$22*Parameters!$F$6)</f>
        <v>10.050423160938</v>
      </c>
      <c r="AH134" s="45" t="n">
        <f aca="false">IF(AD134=0,0,AE134/AD134-1)</f>
        <v>-0.600991165330765</v>
      </c>
      <c r="AI134" s="46" t="n">
        <f aca="false">Parameters!$E$7*IF($N134="V",Parameters!$I$7,IF($N134="F",Parameters!$J$7,Parameters!$K$7))*(1-Parameters!$L$7*$P134)*IF($D134="V1",Parameters!$M$7,IF($D134="V2",Parameters!$N$7,Parameters!$O$7))*POWER($Q134/Inputs_General!$C$26,-Inputs_General!$C$25)</f>
        <v>0.411663164578586</v>
      </c>
      <c r="AJ134" s="46" t="n">
        <f aca="false">AI134*(1+INDEX(Response_Table!$H$4:$H$21,MATCH($F134&amp;"|mid",Response_Table!$A$4:$A$21,0))*$R134*INDEX(Parameters!$X$7:$AA$7,1,MATCH($E134,Parameters!$X$3:$AA$3,0)))</f>
        <v>0.216578635636016</v>
      </c>
      <c r="AK134" s="46" t="n">
        <f aca="false">MAX(0,MIN(AI134*(1+INDEX(Response_Table!$H$4:$H$21,MATCH($F134&amp;"|low",Response_Table!$A$4:$A$21,0))*$R134*INDEX(Parameters!$X$7:$AA$7,1,MATCH($E134,Parameters!$X$3:$AA$3,0))),AI134*(1+INDEX(Response_Table!$H$4:$H$21,MATCH($F134&amp;"|high",Response_Table!$A$4:$A$21,0))*$R134*INDEX(Parameters!$X$7:$AA$7,1,MATCH($E134,Parameters!$X$3:$AA$3,0))))*(1-Inputs_General!$C$22*Parameters!$F$7))</f>
        <v>0.142172641274247</v>
      </c>
      <c r="AL134" s="46" t="n">
        <f aca="false">MAX(AI134*(1+INDEX(Response_Table!$H$4:$H$21,MATCH($F134&amp;"|low",Response_Table!$A$4:$A$21,0))*$R134*INDEX(Parameters!$X$7:$AA$7,1,MATCH($E134,Parameters!$X$3:$AA$3,0))),AI134*(1+INDEX(Response_Table!$H$4:$H$21,MATCH($F134&amp;"|high",Response_Table!$A$4:$A$21,0))*$R134*INDEX(Parameters!$X$7:$AA$7,1,MATCH($E134,Parameters!$X$3:$AA$3,0))))*(1+Inputs_General!$C$22*Parameters!$F$7)</f>
        <v>0.3025991481824</v>
      </c>
      <c r="AM134" s="45" t="n">
        <f aca="false">IF(AI134=0,0,AJ134/AI134-1)</f>
        <v>-0.473893575448451</v>
      </c>
      <c r="AN134" s="43" t="n">
        <f aca="false">AI134*$Q134/Inputs_General!$C$13*1000</f>
        <v>4.95374641196979</v>
      </c>
      <c r="AO134" s="43" t="n">
        <f aca="false">AJ134*$Q134/Inputs_General!$C$13*1000*(1+Inputs_General!$C$21*$I134)</f>
        <v>3.02970495753867</v>
      </c>
      <c r="AP134" s="43" t="n">
        <f aca="false">AK134*$Q134/Inputs_General!$C$13*1000*(1+Inputs_General!$C$21*$H134)</f>
        <v>1.92896498739087</v>
      </c>
      <c r="AQ134" s="43" t="n">
        <f aca="false">AL134*$Q134/Inputs_General!$C$13*1000*(1+Inputs_General!$C$21*$J134)</f>
        <v>4.41510677402038</v>
      </c>
      <c r="AR134" s="45" t="n">
        <f aca="false">IF(AN134=0,0,AO134/AN134-1)</f>
        <v>-0.388401281458825</v>
      </c>
      <c r="AS134" s="42" t="n">
        <f aca="false">Parameters!$E$9*IF($N134="V",Parameters!$I$9,IF($N134="F",Parameters!$J$9,Parameters!$K$9))*(1-Parameters!$L$9*$P134)*IF($D134="V1",Parameters!$M$9,IF($D134="V2",Parameters!$N$9,Parameters!$O$9))</f>
        <v>285</v>
      </c>
      <c r="AT134" s="42" t="n">
        <f aca="false">AS134*(1+INDEX(Response_Table!$I$4:$I$21,MATCH($F134&amp;"|mid",Response_Table!$A$4:$A$21,0))*$R134*INDEX(Parameters!$X$9:$AA$9,1,MATCH($E134,Parameters!$X$3:$AA$3,0)))</f>
        <v>352.277167703273</v>
      </c>
      <c r="AU134" s="42" t="n">
        <f aca="false">MAX(0,MIN(AS134*(1+INDEX(Response_Table!$I$4:$I$21,MATCH($F134&amp;"|low",Response_Table!$A$4:$A$21,0))*$R134*INDEX(Parameters!$X$9:$AA$9,1,MATCH($E134,Parameters!$X$3:$AA$3,0))),AS134*(1+INDEX(Response_Table!$I$4:$I$21,MATCH($F134&amp;"|high",Response_Table!$A$4:$A$21,0))*$R134*INDEX(Parameters!$X$9:$AA$9,1,MATCH($E134,Parameters!$X$3:$AA$3,0))))*(1-Inputs_General!$C$22*Parameters!$F$9))</f>
        <v>313.855339805687</v>
      </c>
      <c r="AV134" s="42" t="n">
        <f aca="false">MAX(AS134*(1+INDEX(Response_Table!$I$4:$I$21,MATCH($F134&amp;"|low",Response_Table!$A$4:$A$21,0))*$R134*INDEX(Parameters!$X$9:$AA$9,1,MATCH($E134,Parameters!$X$3:$AA$3,0))),AS134*(1+INDEX(Response_Table!$I$4:$I$21,MATCH($F134&amp;"|high",Response_Table!$A$4:$A$21,0))*$R134*INDEX(Parameters!$X$9:$AA$9,1,MATCH($E134,Parameters!$X$3:$AA$3,0))))*(1+Inputs_General!$C$22*Parameters!$F$9)</f>
        <v>390.312732889309</v>
      </c>
      <c r="AW134" s="45" t="n">
        <f aca="false">IF(AS134=0,0,AT134/AS134-1)</f>
        <v>0.236060237555345</v>
      </c>
      <c r="AX134" s="43" t="n">
        <f aca="false">INDEX(Context!$AB$4:$AB$51,$K134)</f>
        <v>2.85275193829914</v>
      </c>
      <c r="AY134" s="43" t="n">
        <f aca="false">AX134*(1+INDEX(Response_Table!$J$4:$J$21,MATCH($F134&amp;"|mid",Response_Table!$A$4:$A$21,0))*$R134*INDEX(Parameters!$X$10:$AA$10,1,MATCH($E134,Parameters!$X$3:$AA$3,0)))</f>
        <v>1.97643993429025</v>
      </c>
      <c r="AZ134" s="43" t="n">
        <f aca="false">MAX(0,MIN(AX134*(1+INDEX(Response_Table!$J$4:$J$21,MATCH($F134&amp;"|low",Response_Table!$A$4:$A$21,0))*$R134*INDEX(Parameters!$X$10:$AA$10,1,MATCH($E134,Parameters!$X$3:$AA$3,0))),AX134*(1+INDEX(Response_Table!$J$4:$J$21,MATCH($F134&amp;"|high",Response_Table!$A$4:$A$21,0))*$R134*INDEX(Parameters!$X$10:$AA$10,1,MATCH($E134,Parameters!$X$3:$AA$3,0))))*(1-Inputs_General!$C$22*Parameters!$F$10))</f>
        <v>1.51843645477519</v>
      </c>
      <c r="BA134" s="43" t="n">
        <f aca="false">MAX(AX134*(1+INDEX(Response_Table!$J$4:$J$21,MATCH($F134&amp;"|low",Response_Table!$A$4:$A$21,0))*$R134*INDEX(Parameters!$X$10:$AA$10,1,MATCH($E134,Parameters!$X$3:$AA$3,0))),AX134*(1+INDEX(Response_Table!$J$4:$J$21,MATCH($F134&amp;"|high",Response_Table!$A$4:$A$21,0))*$R134*INDEX(Parameters!$X$10:$AA$10,1,MATCH($E134,Parameters!$X$3:$AA$3,0))))*(1+Inputs_General!$C$22*Parameters!$F$10)</f>
        <v>2.47440691153873</v>
      </c>
      <c r="BB134" s="45" t="n">
        <f aca="false">IF(AX134=0,0,AY134/AX134-1)</f>
        <v>-0.307181284234396</v>
      </c>
      <c r="BC134" s="46" t="n">
        <f aca="false">Parameters!$E$11*IF($N134="V",Parameters!$I$11,IF($N134="F",Parameters!$J$11,Parameters!$K$11))*(1-Parameters!$L$11*$P134)*IF($D134="V1",Parameters!$M$11,IF($D134="V2",Parameters!$N$11,Parameters!$O$11))</f>
        <v>1.28570669642857</v>
      </c>
      <c r="BD134" s="46" t="n">
        <f aca="false">BC134*(1+INDEX(Response_Table!$K$4:$K$21,MATCH($F134&amp;"|mid",Response_Table!$A$4:$A$21,0))*$R134*INDEX(Parameters!$X$11:$AA$11,1,MATCH($E134,Parameters!$X$3:$AA$3,0)))</f>
        <v>0.664098291403289</v>
      </c>
      <c r="BE134" s="46" t="n">
        <f aca="false">MAX(0,MIN(BC134*(1+INDEX(Response_Table!$K$4:$K$21,MATCH($F134&amp;"|low",Response_Table!$A$4:$A$21,0))*$R134*INDEX(Parameters!$X$11:$AA$11,1,MATCH($E134,Parameters!$X$3:$AA$3,0))),BC134*(1+INDEX(Response_Table!$K$4:$K$21,MATCH($F134&amp;"|high",Response_Table!$A$4:$A$21,0))*$R134*INDEX(Parameters!$X$11:$AA$11,1,MATCH($E134,Parameters!$X$3:$AA$3,0))))*(1-Inputs_General!$C$22*Parameters!$F$11))</f>
        <v>0.519804714803013</v>
      </c>
      <c r="BF134" s="46" t="n">
        <f aca="false">MAX(BC134*(1+INDEX(Response_Table!$K$4:$K$21,MATCH($F134&amp;"|low",Response_Table!$A$4:$A$21,0))*$R134*INDEX(Parameters!$X$11:$AA$11,1,MATCH($E134,Parameters!$X$3:$AA$3,0))),BC134*(1+INDEX(Response_Table!$K$4:$K$21,MATCH($F134&amp;"|high",Response_Table!$A$4:$A$21,0))*$R134*INDEX(Parameters!$X$11:$AA$11,1,MATCH($E134,Parameters!$X$3:$AA$3,0))))*(1+Inputs_General!$C$22*Parameters!$F$11)</f>
        <v>0.831749734923213</v>
      </c>
      <c r="BG134" s="45" t="n">
        <f aca="false">IF(BC134=0,0,BD134/BC134-1)</f>
        <v>-0.483476057760283</v>
      </c>
      <c r="BH134" s="46" t="n">
        <f aca="false">Parameters!$E$12*IF($N134="V",Parameters!$I$12,IF($N134="F",Parameters!$J$12,Parameters!$K$12))*(1-Parameters!$L$12*$P134)*IF($D134="V1",Parameters!$M$12,IF($D134="V2",Parameters!$N$12,Parameters!$O$12))</f>
        <v>0.462854410714286</v>
      </c>
      <c r="BI134" s="46" t="n">
        <f aca="false">BH134*(1+INDEX(Response_Table!$L$4:$L$21,MATCH($F134&amp;"|mid",Response_Table!$A$4:$A$21,0))*$R134*INDEX(Parameters!$X$12:$AA$12,1,MATCH($E134,Parameters!$X$3:$AA$3,0)))</f>
        <v>0.277255868586573</v>
      </c>
      <c r="BJ134" s="46" t="n">
        <f aca="false">MAX(0,MIN(BH134*(1+INDEX(Response_Table!$L$4:$L$21,MATCH($F134&amp;"|low",Response_Table!$A$4:$A$21,0))*$R134*INDEX(Parameters!$X$12:$AA$12,1,MATCH($E134,Parameters!$X$3:$AA$3,0))),BH134*(1+INDEX(Response_Table!$L$4:$L$21,MATCH($F134&amp;"|high",Response_Table!$A$4:$A$21,0))*$R134*INDEX(Parameters!$X$12:$AA$12,1,MATCH($E134,Parameters!$X$3:$AA$3,0))))*(1-Inputs_General!$C$22*Parameters!$F$12))</f>
        <v>0.211377255475702</v>
      </c>
      <c r="BK134" s="46" t="n">
        <f aca="false">MAX(BH134*(1+INDEX(Response_Table!$L$4:$L$21,MATCH($F134&amp;"|low",Response_Table!$A$4:$A$21,0))*$R134*INDEX(Parameters!$X$12:$AA$12,1,MATCH($E134,Parameters!$X$3:$AA$3,0))),BH134*(1+INDEX(Response_Table!$L$4:$L$21,MATCH($F134&amp;"|high",Response_Table!$A$4:$A$21,0))*$R134*INDEX(Parameters!$X$12:$AA$12,1,MATCH($E134,Parameters!$X$3:$AA$3,0))))*(1+Inputs_General!$C$22*Parameters!$F$12)</f>
        <v>0.351227261806219</v>
      </c>
      <c r="BL134" s="45" t="n">
        <f aca="false">IF(BH134=0,0,BI134/BH134-1)</f>
        <v>-0.400986871533305</v>
      </c>
      <c r="BM134" s="46" t="n">
        <f aca="false">Parameters!$E$13*IF($N134="V",Parameters!$I$13,IF($N134="F",Parameters!$J$13,Parameters!$K$13))*(1-Parameters!$L$13*$P134)*IF($D134="V1",Parameters!$M$13,IF($D134="V2",Parameters!$N$13,Parameters!$O$13))</f>
        <v>0.308784803571429</v>
      </c>
      <c r="BN134" s="46" t="n">
        <f aca="false">BM134*(1+INDEX(Response_Table!$M$4:$M$21,MATCH($F134&amp;"|mid",Response_Table!$A$4:$A$21,0))*$R134*INDEX(Parameters!$X$13:$AA$13,1,MATCH($E134,Parameters!$X$3:$AA$3,0)))</f>
        <v>0.21943209251753</v>
      </c>
      <c r="BO134" s="46" t="n">
        <f aca="false">MAX(0,MIN(BM134*(1+INDEX(Response_Table!$M$4:$M$21,MATCH($F134&amp;"|low",Response_Table!$A$4:$A$21,0))*$R134*INDEX(Parameters!$X$13:$AA$13,1,MATCH($E134,Parameters!$X$3:$AA$3,0))),BM134*(1+INDEX(Response_Table!$M$4:$M$21,MATCH($F134&amp;"|high",Response_Table!$A$4:$A$21,0))*$R134*INDEX(Parameters!$X$13:$AA$13,1,MATCH($E134,Parameters!$X$3:$AA$3,0))))*(1-Inputs_General!$C$22*Parameters!$F$13))</f>
        <v>0.17024663610481</v>
      </c>
      <c r="BP134" s="46" t="n">
        <f aca="false">MAX(BM134*(1+INDEX(Response_Table!$M$4:$M$21,MATCH($F134&amp;"|low",Response_Table!$A$4:$A$21,0))*$R134*INDEX(Parameters!$X$13:$AA$13,1,MATCH($E134,Parameters!$X$3:$AA$3,0))),BM134*(1+INDEX(Response_Table!$M$4:$M$21,MATCH($F134&amp;"|high",Response_Table!$A$4:$A$21,0))*$R134*INDEX(Parameters!$X$13:$AA$13,1,MATCH($E134,Parameters!$X$3:$AA$3,0))))*(1+Inputs_General!$C$22*Parameters!$F$13)</f>
        <v>0.27390495430171</v>
      </c>
      <c r="BQ134" s="45" t="n">
        <f aca="false">IF(BM134=0,0,BN134/BM134-1)</f>
        <v>-0.289368874440834</v>
      </c>
      <c r="BR134" s="44" t="n">
        <f aca="false">Parameters!$E$14*IF($N134="V",Parameters!$I$14,IF($N134="F",Parameters!$J$14,Parameters!$K$14))*(1-Parameters!$L$14*$P134)*IF($D134="V1",Parameters!$M$14,IF($D134="V2",Parameters!$N$14,Parameters!$O$14))*INDEX(Context!$AC$4:$AC$51,$K134)</f>
        <v>15</v>
      </c>
      <c r="BS134" s="44" t="n">
        <f aca="false">BR134*(1+INDEX(Response_Table!$N$4:$N$21,MATCH($F134&amp;"|mid",Response_Table!$A$4:$A$21,0))*$R134*INDEX(Parameters!$X$14:$AA$14,1,MATCH($E134,Parameters!$X$3:$AA$3,0)))</f>
        <v>21.5616033523632</v>
      </c>
      <c r="BT134" s="44" t="n">
        <f aca="false">MAX(0,MIN(BR134*(1+INDEX(Response_Table!$N$4:$N$21,MATCH($F134&amp;"|low",Response_Table!$A$4:$A$21,0))*$R134*INDEX(Parameters!$X$14:$AA$14,1,MATCH($E134,Parameters!$X$3:$AA$3,0))),BR134*(1+INDEX(Response_Table!$N$4:$N$21,MATCH($F134&amp;"|high",Response_Table!$A$4:$A$21,0))*$R134*INDEX(Parameters!$X$14:$AA$14,1,MATCH($E134,Parameters!$X$3:$AA$3,0))))*(1-Inputs_General!$C$22*Parameters!$F$14))</f>
        <v>10.633208836459</v>
      </c>
      <c r="BU134" s="44" t="n">
        <f aca="false">MAX(BR134*(1+INDEX(Response_Table!$N$4:$N$21,MATCH($F134&amp;"|low",Response_Table!$A$4:$A$21,0))*$R134*INDEX(Parameters!$X$14:$AA$14,1,MATCH($E134,Parameters!$X$3:$AA$3,0))),BR134*(1+INDEX(Response_Table!$N$4:$N$21,MATCH($F134&amp;"|high",Response_Table!$A$4:$A$21,0))*$R134*INDEX(Parameters!$X$14:$AA$14,1,MATCH($E134,Parameters!$X$3:$AA$3,0))))*(1+Inputs_General!$C$22*Parameters!$F$14)</f>
        <v>32.9356704934787</v>
      </c>
      <c r="BV134" s="45" t="n">
        <f aca="false">IF(BR134=0,0,BS134/BR134-1)</f>
        <v>0.437440223490878</v>
      </c>
      <c r="BW134" s="43" t="n">
        <f aca="false">Parameters!$E$15*IF($N134="V",Parameters!$I$15,IF($N134="F",Parameters!$J$15,Parameters!$K$15))*(1-Parameters!$L$15*$P134)*IF($D134="V1",Parameters!$M$15,IF($D134="V2",Parameters!$N$15,Parameters!$O$15))</f>
        <v>9.98607142857143</v>
      </c>
      <c r="BX134" s="43" t="n">
        <f aca="false">BW134*(1+INDEX(Response_Table!$O$4:$O$21,MATCH($F134&amp;"|mid",Response_Table!$A$4:$A$21,0))*$R134*INDEX(Parameters!$X$15:$AA$15,1,MATCH($E134,Parameters!$X$3:$AA$3,0)))</f>
        <v>8.89399409919389</v>
      </c>
      <c r="BY134" s="43" t="n">
        <f aca="false">MAX(0,MIN(BW134*(1+INDEX(Response_Table!$O$4:$O$21,MATCH($F134&amp;"|low",Response_Table!$A$4:$A$21,0))*$R134*INDEX(Parameters!$X$15:$AA$15,1,MATCH($E134,Parameters!$X$3:$AA$3,0))),BW134*(1+INDEX(Response_Table!$O$4:$O$21,MATCH($F134&amp;"|high",Response_Table!$A$4:$A$21,0))*$R134*INDEX(Parameters!$X$15:$AA$15,1,MATCH($E134,Parameters!$X$3:$AA$3,0))))*(1-Inputs_General!$C$22*Parameters!$F$15))</f>
        <v>7.07272210795605</v>
      </c>
      <c r="BZ134" s="43" t="n">
        <f aca="false">MAX(BW134*(1+INDEX(Response_Table!$O$4:$O$21,MATCH($F134&amp;"|low",Response_Table!$A$4:$A$21,0))*$R134*INDEX(Parameters!$X$15:$AA$15,1,MATCH($E134,Parameters!$X$3:$AA$3,0))),BW134*(1+INDEX(Response_Table!$O$4:$O$21,MATCH($F134&amp;"|high",Response_Table!$A$4:$A$21,0))*$R134*INDEX(Parameters!$X$15:$AA$15,1,MATCH($E134,Parameters!$X$3:$AA$3,0))))*(1+Inputs_General!$C$22*Parameters!$F$15)</f>
        <v>10.7628846847758</v>
      </c>
      <c r="CA134" s="45" t="n">
        <f aca="false">IF(BW134=0,0,BX134/BW134-1)</f>
        <v>-0.109360055872719</v>
      </c>
      <c r="CB134" s="46" t="n">
        <f aca="false">BD134+BI134</f>
        <v>0.941354159989861</v>
      </c>
      <c r="CC134" s="43" t="n">
        <f aca="false">BD134/BI134</f>
        <v>2.3952542277601</v>
      </c>
      <c r="CD134" s="46" t="n">
        <f aca="false">BN134/CB134</f>
        <v>0.233102589698965</v>
      </c>
      <c r="CE134" s="43" t="n">
        <f aca="false">AE134/AO134</f>
        <v>2.57016787673225</v>
      </c>
      <c r="CF134" s="44" t="n">
        <f aca="false">AE134/AJ134</f>
        <v>35.9539173149515</v>
      </c>
      <c r="CG134" s="44" t="n">
        <f aca="false">INDEX(Context!$V$4:$V$51,$K134)</f>
        <v>25.5785714285714</v>
      </c>
      <c r="CH134" s="44" t="n">
        <f aca="false">INDEX(Context!$Y$4:$Y$51,$K134)</f>
        <v>23.620522619794</v>
      </c>
      <c r="CI134" s="44" t="n">
        <f aca="false">INDEX(Context!$Z$4:$Z$51,$K134)</f>
        <v>29.5785714285714</v>
      </c>
      <c r="CJ134" s="43" t="n">
        <f aca="false">INDEX(Context!$AA$4:$AA$51,$K134)</f>
        <v>0.201160714285714</v>
      </c>
      <c r="CK134" s="43" t="n">
        <f aca="false">MAX(0,MIN(1,1-(1-CJ134)*AO134/AN134))</f>
        <v>0.511430916536795</v>
      </c>
      <c r="CL134" s="44" t="n">
        <f aca="false">CH134+CK134*(CI134-CH134)</f>
        <v>26.667652982838</v>
      </c>
      <c r="CM134" s="44" t="n">
        <f aca="false">CH134+MAX(0,MIN(1,1-(1-CJ134)*AQ134/AN134))*(CI134-CH134)</f>
        <v>25.3365690129898</v>
      </c>
      <c r="CN134" s="44" t="n">
        <f aca="false">CH134+MAX(0,MIN(1,1-(1-CJ134)*AP134/AN134))*(CI134-CH134)</f>
        <v>27.7252359250603</v>
      </c>
      <c r="CO134" s="44" t="n">
        <f aca="false">CL134-CG134</f>
        <v>1.08908155426657</v>
      </c>
      <c r="CP134" s="44" t="n">
        <f aca="false">CL134-(CH134+CJ134*(CI134-CH134))</f>
        <v>1.84860500892118</v>
      </c>
      <c r="CQ134" s="46" t="n">
        <f aca="false">CL134/CG134</f>
        <v>1.04257788818691</v>
      </c>
      <c r="CR134" s="43" t="n">
        <f aca="false">IF(CL134-CH134&lt;=0,"n/a",(CI134-CL134)/(CL134-CH134))</f>
        <v>0.95529829673106</v>
      </c>
      <c r="CS134" s="43" t="n">
        <f aca="false">IF(CI134-CL134&lt;=0,"n/a",(CL134-CH134)/(CI134-CL134))</f>
        <v>1.04679345019446</v>
      </c>
      <c r="CT134" s="43" t="n">
        <f aca="false">Inputs_General!$C$23+Inputs_General!$C$24*$I134</f>
        <v>1.9</v>
      </c>
      <c r="CU134" s="44" t="n">
        <f aca="false">3.29*CT134</f>
        <v>6.251</v>
      </c>
    </row>
    <row r="135" customFormat="false" ht="15" hidden="false" customHeight="false" outlineLevel="0" collapsed="false">
      <c r="A135" s="33" t="str">
        <f aca="false">B135&amp;"|"&amp;E135&amp;"|"&amp;F135</f>
        <v>D2V3|03/03/2026|Healthy</v>
      </c>
      <c r="B135" s="34" t="s">
        <v>348</v>
      </c>
      <c r="C135" s="33" t="s">
        <v>129</v>
      </c>
      <c r="D135" s="33" t="s">
        <v>150</v>
      </c>
      <c r="E135" s="33" t="s">
        <v>162</v>
      </c>
      <c r="F135" s="34" t="s">
        <v>275</v>
      </c>
      <c r="G135" s="33" t="s">
        <v>276</v>
      </c>
      <c r="H135" s="35" t="n">
        <f aca="false">INDEX(Severity_Classes!$C$4:$C$9,MATCH(F135,Severity_Classes!$A$4:$A$9,0))</f>
        <v>0</v>
      </c>
      <c r="I135" s="35" t="n">
        <f aca="false">INDEX(Severity_Classes!$D$4:$D$9,MATCH(F135,Severity_Classes!$A$4:$A$9,0))</f>
        <v>0</v>
      </c>
      <c r="J135" s="35" t="n">
        <f aca="false">INDEX(Severity_Classes!$E$4:$E$9,MATCH(F135,Severity_Classes!$A$4:$A$9,0))</f>
        <v>0</v>
      </c>
      <c r="K135" s="36" t="n">
        <f aca="false">MATCH(B135&amp;"|"&amp;E135,Context!$A$4:$A$51,0)</f>
        <v>23</v>
      </c>
      <c r="L135" s="36" t="n">
        <f aca="false">INDEX(Context!$H$4:$H$51,K135)</f>
        <v>75</v>
      </c>
      <c r="M135" s="36" t="n">
        <f aca="false">INDEX(Context!$I$4:$I$51,K135)</f>
        <v>26</v>
      </c>
      <c r="N135" s="33" t="str">
        <f aca="false">INDEX(Context!$L$4:$L$51,K135)</f>
        <v>F</v>
      </c>
      <c r="O135" s="33" t="str">
        <f aca="false">INDEX(Context!$M$4:$M$51,K135)</f>
        <v>5th fully expanded leaf from top</v>
      </c>
      <c r="P135" s="37" t="n">
        <f aca="false">INDEX(Context!$R$4:$R$51,K135)</f>
        <v>0.433928571428571</v>
      </c>
      <c r="Q135" s="37" t="n">
        <f aca="false">INDEX(Context!$U$4:$U$51,K135)</f>
        <v>1.73951545534029</v>
      </c>
      <c r="R135" s="37" t="n">
        <f aca="false">INDEX(Context!$AD$4:$AD$51,K135)</f>
        <v>0.85</v>
      </c>
      <c r="S135" s="33" t="str">
        <f aca="false">INDEX(Context!$AI$4:$AN$51,K135,MATCH(F135,Severity_Classes!$A$4:$A$9,0))</f>
        <v>Reference: healthy (uninoculated) control plot</v>
      </c>
      <c r="T135" s="38" t="n">
        <f aca="false">Parameters!$E$4*IF($N135="V",Parameters!$I$4,IF($N135="F",Parameters!$J$4,Parameters!$K$4))*(1-Parameters!$L$4*$P135)*IF($D135="V1",Parameters!$M$4,IF($D135="V2",Parameters!$N$4,Parameters!$O$4))</f>
        <v>83.2927660714286</v>
      </c>
      <c r="U135" s="38" t="n">
        <f aca="false">MIN(100,T135*(1+INDEX(Response_Table!$E$4:$E$21,MATCH($F135&amp;"|mid",Response_Table!$A$4:$A$21,0))*$R135*INDEX(Parameters!$X$4:$AA$4,1,MATCH($E135,Parameters!$X$3:$AA$3,0))))</f>
        <v>83.2927660714286</v>
      </c>
      <c r="V135" s="38" t="n">
        <f aca="false">MAX(0,MIN(T135*(1+INDEX(Response_Table!$E$4:$E$21,MATCH($F135&amp;"|low",Response_Table!$A$4:$A$21,0))*$R135*INDEX(Parameters!$X$4:$AA$4,1,MATCH($E135,Parameters!$X$3:$AA$3,0))),T135*(1+INDEX(Response_Table!$E$4:$E$21,MATCH($F135&amp;"|high",Response_Table!$A$4:$A$21,0))*$R135*INDEX(Parameters!$X$4:$AA$4,1,MATCH($E135,Parameters!$X$3:$AA$3,0))))*(1-Inputs_General!$C$22*Parameters!$F$4))</f>
        <v>77.8121020639286</v>
      </c>
      <c r="W135" s="38" t="n">
        <f aca="false">MIN(100,MAX(T135*(1+INDEX(Response_Table!$E$4:$E$21,MATCH($F135&amp;"|low",Response_Table!$A$4:$A$21,0))*$R135*INDEX(Parameters!$X$4:$AA$4,1,MATCH($E135,Parameters!$X$3:$AA$3,0))),T135*(1+INDEX(Response_Table!$E$4:$E$21,MATCH($F135&amp;"|high",Response_Table!$A$4:$A$21,0))*$R135*INDEX(Parameters!$X$4:$AA$4,1,MATCH($E135,Parameters!$X$3:$AA$3,0))))*(1+Inputs_General!$C$22*Parameters!$F$4))</f>
        <v>88.7734300789286</v>
      </c>
      <c r="X135" s="39" t="n">
        <f aca="false">IF(T135=0,0,U135/T135-1)</f>
        <v>0</v>
      </c>
      <c r="Y135" s="38" t="n">
        <f aca="false">Parameters!$E$5*IF($N135="V",Parameters!$I$5,IF($N135="F",Parameters!$J$5,Parameters!$K$5))*(1-Parameters!$L$5*$P135)*IF($D135="V1",Parameters!$M$5,IF($D135="V2",Parameters!$N$5,Parameters!$O$5))</f>
        <v>66.88584</v>
      </c>
      <c r="Z135" s="38" t="n">
        <f aca="false">MIN(100,Y135*(1+INDEX(Response_Table!$F$4:$F$21,MATCH($F135&amp;"|mid",Response_Table!$A$4:$A$21,0))*$R135*INDEX(Parameters!$X$5:$AA$5,1,MATCH($E135,Parameters!$X$3:$AA$3,0))))</f>
        <v>66.88584</v>
      </c>
      <c r="AA135" s="38" t="n">
        <f aca="false">MAX(0,MIN(Y135*(1+INDEX(Response_Table!$F$4:$F$21,MATCH($F135&amp;"|low",Response_Table!$A$4:$A$21,0))*$R135*INDEX(Parameters!$X$5:$AA$5,1,MATCH($E135,Parameters!$X$3:$AA$3,0))),Y135*(1+INDEX(Response_Table!$F$4:$F$21,MATCH($F135&amp;"|high",Response_Table!$A$4:$A$21,0))*$R135*INDEX(Parameters!$X$5:$AA$5,1,MATCH($E135,Parameters!$X$3:$AA$3,0))))*(1-Inputs_General!$C$22*Parameters!$F$5))</f>
        <v>59.183935524</v>
      </c>
      <c r="AB135" s="38" t="n">
        <f aca="false">MIN(100,MAX(Y135*(1+INDEX(Response_Table!$F$4:$F$21,MATCH($F135&amp;"|low",Response_Table!$A$4:$A$21,0))*$R135*INDEX(Parameters!$X$5:$AA$5,1,MATCH($E135,Parameters!$X$3:$AA$3,0))),Y135*(1+INDEX(Response_Table!$F$4:$F$21,MATCH($F135&amp;"|high",Response_Table!$A$4:$A$21,0))*$R135*INDEX(Parameters!$X$5:$AA$5,1,MATCH($E135,Parameters!$X$3:$AA$3,0))))*(1+Inputs_General!$C$22*Parameters!$F$5))</f>
        <v>74.587744476</v>
      </c>
      <c r="AC135" s="39" t="n">
        <f aca="false">IF(Y135=0,0,Z135/Y135-1)</f>
        <v>0</v>
      </c>
      <c r="AD135" s="38" t="n">
        <f aca="false">Parameters!$E$6*IF($N135="V",Parameters!$I$6,IF($N135="F",Parameters!$J$6,Parameters!$K$6))*(1-Parameters!$L$6*$P135)*IF($D135="V1",Parameters!$M$6,IF($D135="V2",Parameters!$N$6,Parameters!$O$6))</f>
        <v>18.5509621428571</v>
      </c>
      <c r="AE135" s="38" t="n">
        <f aca="false">AD135*(1+INDEX(Response_Table!$G$4:$G$21,MATCH($F135&amp;"|mid",Response_Table!$A$4:$A$21,0))*$R135*INDEX(Parameters!$X$6:$AA$6,1,MATCH($E135,Parameters!$X$3:$AA$3,0)))</f>
        <v>18.5509621428571</v>
      </c>
      <c r="AF135" s="38" t="n">
        <f aca="false">MAX(0,MIN(AD135*(1+INDEX(Response_Table!$G$4:$G$21,MATCH($F135&amp;"|low",Response_Table!$A$4:$A$21,0))*$R135*INDEX(Parameters!$X$6:$AA$6,1,MATCH($E135,Parameters!$X$3:$AA$3,0))),AD135*(1+INDEX(Response_Table!$G$4:$G$21,MATCH($F135&amp;"|high",Response_Table!$A$4:$A$21,0))*$R135*INDEX(Parameters!$X$6:$AA$6,1,MATCH($E135,Parameters!$X$3:$AA$3,0))))*(1-Inputs_General!$C$22*Parameters!$F$6))</f>
        <v>14.8890022158571</v>
      </c>
      <c r="AG135" s="38" t="n">
        <f aca="false">MAX(AD135*(1+INDEX(Response_Table!$G$4:$G$21,MATCH($F135&amp;"|low",Response_Table!$A$4:$A$21,0))*$R135*INDEX(Parameters!$X$6:$AA$6,1,MATCH($E135,Parameters!$X$3:$AA$3,0))),AD135*(1+INDEX(Response_Table!$G$4:$G$21,MATCH($F135&amp;"|high",Response_Table!$A$4:$A$21,0))*$R135*INDEX(Parameters!$X$6:$AA$6,1,MATCH($E135,Parameters!$X$3:$AA$3,0))))*(1+Inputs_General!$C$22*Parameters!$F$6)</f>
        <v>22.2129220698571</v>
      </c>
      <c r="AH135" s="39" t="n">
        <f aca="false">IF(AD135=0,0,AE135/AD135-1)</f>
        <v>0</v>
      </c>
      <c r="AI135" s="40" t="n">
        <f aca="false">Parameters!$E$7*IF($N135="V",Parameters!$I$7,IF($N135="F",Parameters!$J$7,Parameters!$K$7))*(1-Parameters!$L$7*$P135)*IF($D135="V1",Parameters!$M$7,IF($D135="V2",Parameters!$N$7,Parameters!$O$7))*POWER($Q135/Inputs_General!$C$26,-Inputs_General!$C$25)</f>
        <v>0.341191629407368</v>
      </c>
      <c r="AJ135" s="40" t="n">
        <f aca="false">AI135*(1+INDEX(Response_Table!$H$4:$H$21,MATCH($F135&amp;"|mid",Response_Table!$A$4:$A$21,0))*$R135*INDEX(Parameters!$X$7:$AA$7,1,MATCH($E135,Parameters!$X$3:$AA$3,0)))</f>
        <v>0.341191629407368</v>
      </c>
      <c r="AK135" s="40" t="n">
        <f aca="false">MAX(0,MIN(AI135*(1+INDEX(Response_Table!$H$4:$H$21,MATCH($F135&amp;"|low",Response_Table!$A$4:$A$21,0))*$R135*INDEX(Parameters!$X$7:$AA$7,1,MATCH($E135,Parameters!$X$3:$AA$3,0))),AI135*(1+INDEX(Response_Table!$H$4:$H$21,MATCH($F135&amp;"|high",Response_Table!$A$4:$A$21,0))*$R135*INDEX(Parameters!$X$7:$AA$7,1,MATCH($E135,Parameters!$X$3:$AA$3,0))))*(1-Inputs_General!$C$22*Parameters!$F$7))</f>
        <v>0.240164787939846</v>
      </c>
      <c r="AL135" s="40" t="n">
        <f aca="false">MAX(AI135*(1+INDEX(Response_Table!$H$4:$H$21,MATCH($F135&amp;"|low",Response_Table!$A$4:$A$21,0))*$R135*INDEX(Parameters!$X$7:$AA$7,1,MATCH($E135,Parameters!$X$3:$AA$3,0))),AI135*(1+INDEX(Response_Table!$H$4:$H$21,MATCH($F135&amp;"|high",Response_Table!$A$4:$A$21,0))*$R135*INDEX(Parameters!$X$7:$AA$7,1,MATCH($E135,Parameters!$X$3:$AA$3,0))))*(1+Inputs_General!$C$22*Parameters!$F$7)</f>
        <v>0.44221847087489</v>
      </c>
      <c r="AM135" s="39" t="n">
        <f aca="false">IF(AI135=0,0,AJ135/AI135-1)</f>
        <v>0</v>
      </c>
      <c r="AN135" s="37" t="n">
        <f aca="false">AI135*$Q135/Inputs_General!$C$13*1000</f>
        <v>5.97691956280819</v>
      </c>
      <c r="AO135" s="37" t="n">
        <f aca="false">AJ135*$Q135/Inputs_General!$C$13*1000*(1+Inputs_General!$C$21*$I135)</f>
        <v>5.97691956280819</v>
      </c>
      <c r="AP135" s="37" t="n">
        <f aca="false">AK135*$Q135/Inputs_General!$C$13*1000*(1+Inputs_General!$C$21*$H135)</f>
        <v>4.20715368026068</v>
      </c>
      <c r="AQ135" s="37" t="n">
        <f aca="false">AL135*$Q135/Inputs_General!$C$13*1000*(1+Inputs_General!$C$21*$J135)</f>
        <v>7.74668544535569</v>
      </c>
      <c r="AR135" s="39" t="n">
        <f aca="false">IF(AN135=0,0,AO135/AN135-1)</f>
        <v>0</v>
      </c>
      <c r="AS135" s="36" t="n">
        <f aca="false">Parameters!$E$9*IF($N135="V",Parameters!$I$9,IF($N135="F",Parameters!$J$9,Parameters!$K$9))*(1-Parameters!$L$9*$P135)*IF($D135="V1",Parameters!$M$9,IF($D135="V2",Parameters!$N$9,Parameters!$O$9))</f>
        <v>285</v>
      </c>
      <c r="AT135" s="36" t="n">
        <f aca="false">AS135*(1+INDEX(Response_Table!$I$4:$I$21,MATCH($F135&amp;"|mid",Response_Table!$A$4:$A$21,0))*$R135*INDEX(Parameters!$X$9:$AA$9,1,MATCH($E135,Parameters!$X$3:$AA$3,0)))</f>
        <v>285</v>
      </c>
      <c r="AU135" s="36" t="n">
        <f aca="false">MAX(0,MIN(AS135*(1+INDEX(Response_Table!$I$4:$I$21,MATCH($F135&amp;"|low",Response_Table!$A$4:$A$21,0))*$R135*INDEX(Parameters!$X$9:$AA$9,1,MATCH($E135,Parameters!$X$3:$AA$3,0))),AS135*(1+INDEX(Response_Table!$I$4:$I$21,MATCH($F135&amp;"|high",Response_Table!$A$4:$A$21,0))*$R135*INDEX(Parameters!$X$9:$AA$9,1,MATCH($E135,Parameters!$X$3:$AA$3,0))))*(1-Inputs_General!$C$22*Parameters!$F$9))</f>
        <v>256.8705</v>
      </c>
      <c r="AV135" s="36" t="n">
        <f aca="false">MAX(AS135*(1+INDEX(Response_Table!$I$4:$I$21,MATCH($F135&amp;"|low",Response_Table!$A$4:$A$21,0))*$R135*INDEX(Parameters!$X$9:$AA$9,1,MATCH($E135,Parameters!$X$3:$AA$3,0))),AS135*(1+INDEX(Response_Table!$I$4:$I$21,MATCH($F135&amp;"|high",Response_Table!$A$4:$A$21,0))*$R135*INDEX(Parameters!$X$9:$AA$9,1,MATCH($E135,Parameters!$X$3:$AA$3,0))))*(1+Inputs_General!$C$22*Parameters!$F$9)</f>
        <v>313.1295</v>
      </c>
      <c r="AW135" s="39" t="n">
        <f aca="false">IF(AS135=0,0,AT135/AS135-1)</f>
        <v>0</v>
      </c>
      <c r="AX135" s="37" t="n">
        <f aca="false">INDEX(Context!$AB$4:$AB$51,$K135)</f>
        <v>3.07951475277641</v>
      </c>
      <c r="AY135" s="37" t="n">
        <f aca="false">AX135*(1+INDEX(Response_Table!$J$4:$J$21,MATCH($F135&amp;"|mid",Response_Table!$A$4:$A$21,0))*$R135*INDEX(Parameters!$X$10:$AA$10,1,MATCH($E135,Parameters!$X$3:$AA$3,0)))</f>
        <v>3.07951475277641</v>
      </c>
      <c r="AZ135" s="37" t="n">
        <f aca="false">MAX(0,MIN(AX135*(1+INDEX(Response_Table!$J$4:$J$21,MATCH($F135&amp;"|low",Response_Table!$A$4:$A$21,0))*$R135*INDEX(Parameters!$X$10:$AA$10,1,MATCH($E135,Parameters!$X$3:$AA$3,0))),AX135*(1+INDEX(Response_Table!$J$4:$J$21,MATCH($F135&amp;"|high",Response_Table!$A$4:$A$21,0))*$R135*INDEX(Parameters!$X$10:$AA$10,1,MATCH($E135,Parameters!$X$3:$AA$3,0))))*(1-Inputs_General!$C$22*Parameters!$F$10))</f>
        <v>2.47161854057835</v>
      </c>
      <c r="BA135" s="37" t="n">
        <f aca="false">MAX(AX135*(1+INDEX(Response_Table!$J$4:$J$21,MATCH($F135&amp;"|low",Response_Table!$A$4:$A$21,0))*$R135*INDEX(Parameters!$X$10:$AA$10,1,MATCH($E135,Parameters!$X$3:$AA$3,0))),AX135*(1+INDEX(Response_Table!$J$4:$J$21,MATCH($F135&amp;"|high",Response_Table!$A$4:$A$21,0))*$R135*INDEX(Parameters!$X$10:$AA$10,1,MATCH($E135,Parameters!$X$3:$AA$3,0))))*(1+Inputs_General!$C$22*Parameters!$F$10)</f>
        <v>3.68741096497448</v>
      </c>
      <c r="BB135" s="39" t="n">
        <f aca="false">IF(AX135=0,0,AY135/AX135-1)</f>
        <v>0</v>
      </c>
      <c r="BC135" s="40" t="n">
        <f aca="false">Parameters!$E$11*IF($N135="V",Parameters!$I$11,IF($N135="F",Parameters!$J$11,Parameters!$K$11))*(1-Parameters!$L$11*$P135)*IF($D135="V1",Parameters!$M$11,IF($D135="V2",Parameters!$N$11,Parameters!$O$11))</f>
        <v>1.25397901785714</v>
      </c>
      <c r="BD135" s="40" t="n">
        <f aca="false">BC135*(1+INDEX(Response_Table!$K$4:$K$21,MATCH($F135&amp;"|mid",Response_Table!$A$4:$A$21,0))*$R135*INDEX(Parameters!$X$11:$AA$11,1,MATCH($E135,Parameters!$X$3:$AA$3,0)))</f>
        <v>1.25397901785714</v>
      </c>
      <c r="BE135" s="40" t="n">
        <f aca="false">MAX(0,MIN(BC135*(1+INDEX(Response_Table!$K$4:$K$21,MATCH($F135&amp;"|low",Response_Table!$A$4:$A$21,0))*$R135*INDEX(Parameters!$X$11:$AA$11,1,MATCH($E135,Parameters!$X$3:$AA$3,0))),BC135*(1+INDEX(Response_Table!$K$4:$K$21,MATCH($F135&amp;"|high",Response_Table!$A$4:$A$21,0))*$R135*INDEX(Parameters!$X$11:$AA$11,1,MATCH($E135,Parameters!$X$3:$AA$3,0))))*(1-Inputs_General!$C$22*Parameters!$F$11))</f>
        <v>1.04769946941964</v>
      </c>
      <c r="BF135" s="40" t="n">
        <f aca="false">MAX(BC135*(1+INDEX(Response_Table!$K$4:$K$21,MATCH($F135&amp;"|low",Response_Table!$A$4:$A$21,0))*$R135*INDEX(Parameters!$X$11:$AA$11,1,MATCH($E135,Parameters!$X$3:$AA$3,0))),BC135*(1+INDEX(Response_Table!$K$4:$K$21,MATCH($F135&amp;"|high",Response_Table!$A$4:$A$21,0))*$R135*INDEX(Parameters!$X$11:$AA$11,1,MATCH($E135,Parameters!$X$3:$AA$3,0))))*(1+Inputs_General!$C$22*Parameters!$F$11)</f>
        <v>1.46025856629464</v>
      </c>
      <c r="BG135" s="39" t="n">
        <f aca="false">IF(BC135=0,0,BD135/BC135-1)</f>
        <v>0</v>
      </c>
      <c r="BH135" s="40" t="n">
        <f aca="false">Parameters!$E$12*IF($N135="V",Parameters!$I$12,IF($N135="F",Parameters!$J$12,Parameters!$K$12))*(1-Parameters!$L$12*$P135)*IF($D135="V1",Parameters!$M$12,IF($D135="V2",Parameters!$N$12,Parameters!$O$12))</f>
        <v>0.451432446428571</v>
      </c>
      <c r="BI135" s="40" t="n">
        <f aca="false">BH135*(1+INDEX(Response_Table!$L$4:$L$21,MATCH($F135&amp;"|mid",Response_Table!$A$4:$A$21,0))*$R135*INDEX(Parameters!$X$12:$AA$12,1,MATCH($E135,Parameters!$X$3:$AA$3,0)))</f>
        <v>0.451432446428571</v>
      </c>
      <c r="BJ135" s="40" t="n">
        <f aca="false">MAX(0,MIN(BH135*(1+INDEX(Response_Table!$L$4:$L$21,MATCH($F135&amp;"|low",Response_Table!$A$4:$A$21,0))*$R135*INDEX(Parameters!$X$12:$AA$12,1,MATCH($E135,Parameters!$X$3:$AA$3,0))),BH135*(1+INDEX(Response_Table!$L$4:$L$21,MATCH($F135&amp;"|high",Response_Table!$A$4:$A$21,0))*$R135*INDEX(Parameters!$X$12:$AA$12,1,MATCH($E135,Parameters!$X$3:$AA$3,0))))*(1-Inputs_General!$C$22*Parameters!$F$12))</f>
        <v>0.362319681503571</v>
      </c>
      <c r="BK135" s="40" t="n">
        <f aca="false">MAX(BH135*(1+INDEX(Response_Table!$L$4:$L$21,MATCH($F135&amp;"|low",Response_Table!$A$4:$A$21,0))*$R135*INDEX(Parameters!$X$12:$AA$12,1,MATCH($E135,Parameters!$X$3:$AA$3,0))),BH135*(1+INDEX(Response_Table!$L$4:$L$21,MATCH($F135&amp;"|high",Response_Table!$A$4:$A$21,0))*$R135*INDEX(Parameters!$X$12:$AA$12,1,MATCH($E135,Parameters!$X$3:$AA$3,0))))*(1+Inputs_General!$C$22*Parameters!$F$12)</f>
        <v>0.540545211353572</v>
      </c>
      <c r="BL135" s="39" t="n">
        <f aca="false">IF(BH135=0,0,BI135/BH135-1)</f>
        <v>0</v>
      </c>
      <c r="BM135" s="40" t="n">
        <f aca="false">Parameters!$E$13*IF($N135="V",Parameters!$I$13,IF($N135="F",Parameters!$J$13,Parameters!$K$13))*(1-Parameters!$L$13*$P135)*IF($D135="V1",Parameters!$M$13,IF($D135="V2",Parameters!$N$13,Parameters!$O$13))</f>
        <v>0.304977482142857</v>
      </c>
      <c r="BN135" s="40" t="n">
        <f aca="false">BM135*(1+INDEX(Response_Table!$M$4:$M$21,MATCH($F135&amp;"|mid",Response_Table!$A$4:$A$21,0))*$R135*INDEX(Parameters!$X$13:$AA$13,1,MATCH($E135,Parameters!$X$3:$AA$3,0)))</f>
        <v>0.304977482142857</v>
      </c>
      <c r="BO135" s="40" t="n">
        <f aca="false">MAX(0,MIN(BM135*(1+INDEX(Response_Table!$M$4:$M$21,MATCH($F135&amp;"|low",Response_Table!$A$4:$A$21,0))*$R135*INDEX(Parameters!$X$13:$AA$13,1,MATCH($E135,Parameters!$X$3:$AA$3,0))),BM135*(1+INDEX(Response_Table!$M$4:$M$21,MATCH($F135&amp;"|high",Response_Table!$A$4:$A$21,0))*$R135*INDEX(Parameters!$X$13:$AA$13,1,MATCH($E135,Parameters!$X$3:$AA$3,0))))*(1-Inputs_General!$C$22*Parameters!$F$13))</f>
        <v>0.244774927167857</v>
      </c>
      <c r="BP135" s="40" t="n">
        <f aca="false">MAX(BM135*(1+INDEX(Response_Table!$M$4:$M$21,MATCH($F135&amp;"|low",Response_Table!$A$4:$A$21,0))*$R135*INDEX(Parameters!$X$13:$AA$13,1,MATCH($E135,Parameters!$X$3:$AA$3,0))),BM135*(1+INDEX(Response_Table!$M$4:$M$21,MATCH($F135&amp;"|high",Response_Table!$A$4:$A$21,0))*$R135*INDEX(Parameters!$X$13:$AA$13,1,MATCH($E135,Parameters!$X$3:$AA$3,0))))*(1+Inputs_General!$C$22*Parameters!$F$13)</f>
        <v>0.365180037117857</v>
      </c>
      <c r="BQ135" s="39" t="n">
        <f aca="false">IF(BM135=0,0,BN135/BM135-1)</f>
        <v>0</v>
      </c>
      <c r="BR135" s="38" t="n">
        <f aca="false">Parameters!$E$14*IF($N135="V",Parameters!$I$14,IF($N135="F",Parameters!$J$14,Parameters!$K$14))*(1-Parameters!$L$14*$P135)*IF($D135="V1",Parameters!$M$14,IF($D135="V2",Parameters!$N$14,Parameters!$O$14))*INDEX(Context!$AC$4:$AC$51,$K135)</f>
        <v>15</v>
      </c>
      <c r="BS135" s="38" t="n">
        <f aca="false">BR135*(1+INDEX(Response_Table!$N$4:$N$21,MATCH($F135&amp;"|mid",Response_Table!$A$4:$A$21,0))*$R135*INDEX(Parameters!$X$14:$AA$14,1,MATCH($E135,Parameters!$X$3:$AA$3,0)))</f>
        <v>15</v>
      </c>
      <c r="BT135" s="38" t="n">
        <f aca="false">MAX(0,MIN(BR135*(1+INDEX(Response_Table!$N$4:$N$21,MATCH($F135&amp;"|low",Response_Table!$A$4:$A$21,0))*$R135*INDEX(Parameters!$X$14:$AA$14,1,MATCH($E135,Parameters!$X$3:$AA$3,0))),BR135*(1+INDEX(Response_Table!$N$4:$N$21,MATCH($F135&amp;"|high",Response_Table!$A$4:$A$21,0))*$R135*INDEX(Parameters!$X$14:$AA$14,1,MATCH($E135,Parameters!$X$3:$AA$3,0))))*(1-Inputs_General!$C$22*Parameters!$F$14))</f>
        <v>7.5975</v>
      </c>
      <c r="BU135" s="38" t="n">
        <f aca="false">MAX(BR135*(1+INDEX(Response_Table!$N$4:$N$21,MATCH($F135&amp;"|low",Response_Table!$A$4:$A$21,0))*$R135*INDEX(Parameters!$X$14:$AA$14,1,MATCH($E135,Parameters!$X$3:$AA$3,0))),BR135*(1+INDEX(Response_Table!$N$4:$N$21,MATCH($F135&amp;"|high",Response_Table!$A$4:$A$21,0))*$R135*INDEX(Parameters!$X$14:$AA$14,1,MATCH($E135,Parameters!$X$3:$AA$3,0))))*(1+Inputs_General!$C$22*Parameters!$F$14)</f>
        <v>22.4025</v>
      </c>
      <c r="BV135" s="39" t="n">
        <f aca="false">IF(BR135=0,0,BS135/BR135-1)</f>
        <v>0</v>
      </c>
      <c r="BW135" s="37" t="n">
        <f aca="false">Parameters!$E$15*IF($N135="V",Parameters!$I$15,IF($N135="F",Parameters!$J$15,Parameters!$K$15))*(1-Parameters!$L$15*$P135)*IF($D135="V1",Parameters!$M$15,IF($D135="V2",Parameters!$N$15,Parameters!$O$15))</f>
        <v>9.73964285714286</v>
      </c>
      <c r="BX135" s="37" t="n">
        <f aca="false">BW135*(1+INDEX(Response_Table!$O$4:$O$21,MATCH($F135&amp;"|mid",Response_Table!$A$4:$A$21,0))*$R135*INDEX(Parameters!$X$15:$AA$15,1,MATCH($E135,Parameters!$X$3:$AA$3,0)))</f>
        <v>9.73964285714286</v>
      </c>
      <c r="BY135" s="37" t="n">
        <f aca="false">MAX(0,MIN(BW135*(1+INDEX(Response_Table!$O$4:$O$21,MATCH($F135&amp;"|low",Response_Table!$A$4:$A$21,0))*$R135*INDEX(Parameters!$X$15:$AA$15,1,MATCH($E135,Parameters!$X$3:$AA$3,0))),BW135*(1+INDEX(Response_Table!$O$4:$O$21,MATCH($F135&amp;"|high",Response_Table!$A$4:$A$21,0))*$R135*INDEX(Parameters!$X$15:$AA$15,1,MATCH($E135,Parameters!$X$3:$AA$3,0))))*(1-Inputs_General!$C$22*Parameters!$F$15))</f>
        <v>7.81703735714286</v>
      </c>
      <c r="BZ135" s="37" t="n">
        <f aca="false">MAX(BW135*(1+INDEX(Response_Table!$O$4:$O$21,MATCH($F135&amp;"|low",Response_Table!$A$4:$A$21,0))*$R135*INDEX(Parameters!$X$15:$AA$15,1,MATCH($E135,Parameters!$X$3:$AA$3,0))),BW135*(1+INDEX(Response_Table!$O$4:$O$21,MATCH($F135&amp;"|high",Response_Table!$A$4:$A$21,0))*$R135*INDEX(Parameters!$X$15:$AA$15,1,MATCH($E135,Parameters!$X$3:$AA$3,0))))*(1+Inputs_General!$C$22*Parameters!$F$15)</f>
        <v>11.6622483571429</v>
      </c>
      <c r="CA135" s="39" t="n">
        <f aca="false">IF(BW135=0,0,BX135/BW135-1)</f>
        <v>0</v>
      </c>
      <c r="CB135" s="40" t="n">
        <f aca="false">BD135+BI135</f>
        <v>1.70541146428571</v>
      </c>
      <c r="CC135" s="37" t="n">
        <f aca="false">BD135/BI135</f>
        <v>2.77777777777778</v>
      </c>
      <c r="CD135" s="40" t="n">
        <f aca="false">BN135/CB135</f>
        <v>0.178829267030049</v>
      </c>
      <c r="CE135" s="37" t="n">
        <f aca="false">AE135/AO135</f>
        <v>3.10376640473662</v>
      </c>
      <c r="CF135" s="38" t="n">
        <f aca="false">AE135/AJ135</f>
        <v>54.3710939658139</v>
      </c>
      <c r="CG135" s="38" t="n">
        <f aca="false">INDEX(Context!$V$4:$V$51,$K135)</f>
        <v>28.62</v>
      </c>
      <c r="CH135" s="38" t="n">
        <f aca="false">INDEX(Context!$Y$4:$Y$51,$K135)</f>
        <v>25.3060134606718</v>
      </c>
      <c r="CI135" s="38" t="n">
        <f aca="false">INDEX(Context!$Z$4:$Z$51,$K135)</f>
        <v>32.62</v>
      </c>
      <c r="CJ135" s="37" t="n">
        <f aca="false">INDEX(Context!$AA$4:$AA$51,$K135)</f>
        <v>0.221696428571429</v>
      </c>
      <c r="CK135" s="37" t="n">
        <f aca="false">MAX(0,MIN(1,1-(1-CJ135)*AO135/AN135))</f>
        <v>0.221696428571429</v>
      </c>
      <c r="CL135" s="38" t="n">
        <f aca="false">CH135+CK135*(CI135-CH135)</f>
        <v>26.9274981550603</v>
      </c>
      <c r="CM135" s="38" t="n">
        <f aca="false">CH135+MAX(0,MIN(1,1-(1-CJ135)*AQ135/AN135))*(CI135-CH135)</f>
        <v>25.3060134606718</v>
      </c>
      <c r="CN135" s="38" t="n">
        <f aca="false">CH135+MAX(0,MIN(1,1-(1-CJ135)*AP135/AN135))*(CI135-CH135)</f>
        <v>28.613047951347</v>
      </c>
      <c r="CO135" s="38" t="n">
        <f aca="false">CL135-CG135</f>
        <v>-1.69250184493966</v>
      </c>
      <c r="CP135" s="38" t="n">
        <f aca="false">CL135-(CH135+CJ135*(CI135-CH135))</f>
        <v>0</v>
      </c>
      <c r="CQ135" s="40" t="n">
        <f aca="false">CL135/CG135</f>
        <v>0.940862968380864</v>
      </c>
      <c r="CR135" s="37" t="n">
        <f aca="false">IF(CL135-CH135&lt;=0,"n/a",(CI135-CL135)/(CL135-CH135))</f>
        <v>3.5106725734998</v>
      </c>
      <c r="CS135" s="37" t="n">
        <f aca="false">IF(CI135-CL135&lt;=0,"n/a",(CL135-CH135)/(CI135-CL135))</f>
        <v>0.284845703797178</v>
      </c>
      <c r="CT135" s="37" t="n">
        <f aca="false">Inputs_General!$C$23+Inputs_General!$C$24*$I135</f>
        <v>0.6</v>
      </c>
      <c r="CU135" s="38" t="n">
        <f aca="false">3.29*CT135</f>
        <v>1.974</v>
      </c>
    </row>
    <row r="136" customFormat="false" ht="15" hidden="false" customHeight="false" outlineLevel="0" collapsed="false">
      <c r="A136" s="9" t="str">
        <f aca="false">B136&amp;"|"&amp;E136&amp;"|"&amp;F136</f>
        <v>D2V3|03/03/2026|Very low</v>
      </c>
      <c r="B136" s="7" t="s">
        <v>348</v>
      </c>
      <c r="C136" s="9" t="s">
        <v>129</v>
      </c>
      <c r="D136" s="9" t="s">
        <v>150</v>
      </c>
      <c r="E136" s="9" t="s">
        <v>162</v>
      </c>
      <c r="F136" s="7" t="s">
        <v>277</v>
      </c>
      <c r="G136" s="9" t="s">
        <v>278</v>
      </c>
      <c r="H136" s="41" t="n">
        <f aca="false">INDEX(Severity_Classes!$C$4:$C$9,MATCH(F136,Severity_Classes!$A$4:$A$9,0))</f>
        <v>0.01</v>
      </c>
      <c r="I136" s="41" t="n">
        <f aca="false">INDEX(Severity_Classes!$D$4:$D$9,MATCH(F136,Severity_Classes!$A$4:$A$9,0))</f>
        <v>0.03</v>
      </c>
      <c r="J136" s="41" t="n">
        <f aca="false">INDEX(Severity_Classes!$E$4:$E$9,MATCH(F136,Severity_Classes!$A$4:$A$9,0))</f>
        <v>0.05</v>
      </c>
      <c r="K136" s="42" t="n">
        <f aca="false">MATCH(B136&amp;"|"&amp;E136,Context!$A$4:$A$51,0)</f>
        <v>23</v>
      </c>
      <c r="L136" s="42" t="n">
        <f aca="false">INDEX(Context!$H$4:$H$51,K136)</f>
        <v>75</v>
      </c>
      <c r="M136" s="42" t="n">
        <f aca="false">INDEX(Context!$I$4:$I$51,K136)</f>
        <v>26</v>
      </c>
      <c r="N136" s="9" t="str">
        <f aca="false">INDEX(Context!$L$4:$L$51,K136)</f>
        <v>F</v>
      </c>
      <c r="O136" s="9" t="str">
        <f aca="false">INDEX(Context!$M$4:$M$51,K136)</f>
        <v>5th fully expanded leaf from top</v>
      </c>
      <c r="P136" s="43" t="n">
        <f aca="false">INDEX(Context!$R$4:$R$51,K136)</f>
        <v>0.433928571428571</v>
      </c>
      <c r="Q136" s="43" t="n">
        <f aca="false">INDEX(Context!$U$4:$U$51,K136)</f>
        <v>1.73951545534029</v>
      </c>
      <c r="R136" s="43" t="n">
        <f aca="false">INDEX(Context!$AD$4:$AD$51,K136)</f>
        <v>0.85</v>
      </c>
      <c r="S136" s="9" t="str">
        <f aca="false">INDEX(Context!$AI$4:$AN$51,K136,MATCH(F136,Severity_Classes!$A$4:$A$9,0))</f>
        <v>Possible</v>
      </c>
      <c r="T136" s="44" t="n">
        <f aca="false">Parameters!$E$4*IF($N136="V",Parameters!$I$4,IF($N136="F",Parameters!$J$4,Parameters!$K$4))*(1-Parameters!$L$4*$P136)*IF($D136="V1",Parameters!$M$4,IF($D136="V2",Parameters!$N$4,Parameters!$O$4))</f>
        <v>83.2927660714286</v>
      </c>
      <c r="U136" s="44" t="n">
        <f aca="false">MIN(100,T136*(1+INDEX(Response_Table!$E$4:$E$21,MATCH($F136&amp;"|mid",Response_Table!$A$4:$A$21,0))*$R136*INDEX(Parameters!$X$4:$AA$4,1,MATCH($E136,Parameters!$X$3:$AA$3,0))))</f>
        <v>82.9875282373724</v>
      </c>
      <c r="V136" s="44" t="n">
        <f aca="false">MAX(0,MIN(T136*(1+INDEX(Response_Table!$E$4:$E$21,MATCH($F136&amp;"|low",Response_Table!$A$4:$A$21,0))*$R136*INDEX(Parameters!$X$4:$AA$4,1,MATCH($E136,Parameters!$X$3:$AA$3,0))),T136*(1+INDEX(Response_Table!$E$4:$E$21,MATCH($F136&amp;"|high",Response_Table!$A$4:$A$21,0))*$R136*INDEX(Parameters!$X$4:$AA$4,1,MATCH($E136,Parameters!$X$3:$AA$3,0))))*(1-Inputs_General!$C$22*Parameters!$F$4))</f>
        <v>77.2991963307656</v>
      </c>
      <c r="W136" s="44" t="n">
        <f aca="false">MIN(100,MAX(T136*(1+INDEX(Response_Table!$E$4:$E$21,MATCH($F136&amp;"|low",Response_Table!$A$4:$A$21,0))*$R136*INDEX(Parameters!$X$4:$AA$4,1,MATCH($E136,Parameters!$X$3:$AA$3,0))),T136*(1+INDEX(Response_Table!$E$4:$E$21,MATCH($F136&amp;"|high",Response_Table!$A$4:$A$21,0))*$R136*INDEX(Parameters!$X$4:$AA$4,1,MATCH($E136,Parameters!$X$3:$AA$3,0))))*(1+Inputs_General!$C$22*Parameters!$F$4))</f>
        <v>88.672887442889</v>
      </c>
      <c r="X136" s="45" t="n">
        <f aca="false">IF(T136=0,0,U136/T136-1)</f>
        <v>-0.00366463798061933</v>
      </c>
      <c r="Y136" s="44" t="n">
        <f aca="false">Parameters!$E$5*IF($N136="V",Parameters!$I$5,IF($N136="F",Parameters!$J$5,Parameters!$K$5))*(1-Parameters!$L$5*$P136)*IF($D136="V1",Parameters!$M$5,IF($D136="V2",Parameters!$N$5,Parameters!$O$5))</f>
        <v>66.88584</v>
      </c>
      <c r="Z136" s="44" t="n">
        <f aca="false">MIN(100,Y136*(1+INDEX(Response_Table!$F$4:$F$21,MATCH($F136&amp;"|mid",Response_Table!$A$4:$A$21,0))*$R136*INDEX(Parameters!$X$5:$AA$5,1,MATCH($E136,Parameters!$X$3:$AA$3,0))))</f>
        <v>66.1033874011917</v>
      </c>
      <c r="AA136" s="44" t="n">
        <f aca="false">MAX(0,MIN(Y136*(1+INDEX(Response_Table!$F$4:$F$21,MATCH($F136&amp;"|low",Response_Table!$A$4:$A$21,0))*$R136*INDEX(Parameters!$X$5:$AA$5,1,MATCH($E136,Parameters!$X$3:$AA$3,0))),Y136*(1+INDEX(Response_Table!$F$4:$F$21,MATCH($F136&amp;"|high",Response_Table!$A$4:$A$21,0))*$R136*INDEX(Parameters!$X$5:$AA$5,1,MATCH($E136,Parameters!$X$3:$AA$3,0))))*(1-Inputs_General!$C$22*Parameters!$F$5))</f>
        <v>57.9213537165203</v>
      </c>
      <c r="AB136" s="44" t="n">
        <f aca="false">MIN(100,MAX(Y136*(1+INDEX(Response_Table!$F$4:$F$21,MATCH($F136&amp;"|low",Response_Table!$A$4:$A$21,0))*$R136*INDEX(Parameters!$X$5:$AA$5,1,MATCH($E136,Parameters!$X$3:$AA$3,0))),Y136*(1+INDEX(Response_Table!$F$4:$F$21,MATCH($F136&amp;"|high",Response_Table!$A$4:$A$21,0))*$R136*INDEX(Parameters!$X$5:$AA$5,1,MATCH($E136,Parameters!$X$3:$AA$3,0))))*(1+Inputs_General!$C$22*Parameters!$F$5))</f>
        <v>74.3217898824488</v>
      </c>
      <c r="AC136" s="45" t="n">
        <f aca="false">IF(Y136=0,0,Z136/Y136-1)</f>
        <v>-0.0116983295538828</v>
      </c>
      <c r="AD136" s="44" t="n">
        <f aca="false">Parameters!$E$6*IF($N136="V",Parameters!$I$6,IF($N136="F",Parameters!$J$6,Parameters!$K$6))*(1-Parameters!$L$6*$P136)*IF($D136="V1",Parameters!$M$6,IF($D136="V2",Parameters!$N$6,Parameters!$O$6))</f>
        <v>18.5509621428571</v>
      </c>
      <c r="AE136" s="44" t="n">
        <f aca="false">AD136*(1+INDEX(Response_Table!$G$4:$G$21,MATCH($F136&amp;"|mid",Response_Table!$A$4:$A$21,0))*$R136*INDEX(Parameters!$X$6:$AA$6,1,MATCH($E136,Parameters!$X$3:$AA$3,0)))</f>
        <v>17.0885412745546</v>
      </c>
      <c r="AF136" s="44" t="n">
        <f aca="false">MAX(0,MIN(AD136*(1+INDEX(Response_Table!$G$4:$G$21,MATCH($F136&amp;"|low",Response_Table!$A$4:$A$21,0))*$R136*INDEX(Parameters!$X$6:$AA$6,1,MATCH($E136,Parameters!$X$3:$AA$3,0))),AD136*(1+INDEX(Response_Table!$G$4:$G$21,MATCH($F136&amp;"|high",Response_Table!$A$4:$A$21,0))*$R136*INDEX(Parameters!$X$6:$AA$6,1,MATCH($E136,Parameters!$X$3:$AA$3,0))))*(1-Inputs_General!$C$22*Parameters!$F$6))</f>
        <v>13.0145622059688</v>
      </c>
      <c r="AG136" s="44" t="n">
        <f aca="false">MAX(AD136*(1+INDEX(Response_Table!$G$4:$G$21,MATCH($F136&amp;"|low",Response_Table!$A$4:$A$21,0))*$R136*INDEX(Parameters!$X$6:$AA$6,1,MATCH($E136,Parameters!$X$3:$AA$3,0))),AD136*(1+INDEX(Response_Table!$G$4:$G$21,MATCH($F136&amp;"|high",Response_Table!$A$4:$A$21,0))*$R136*INDEX(Parameters!$X$6:$AA$6,1,MATCH($E136,Parameters!$X$3:$AA$3,0))))*(1+Inputs_General!$C$22*Parameters!$F$6)</f>
        <v>21.6033583474645</v>
      </c>
      <c r="AH136" s="45" t="n">
        <f aca="false">IF(AD136=0,0,AE136/AD136-1)</f>
        <v>-0.0788326156368997</v>
      </c>
      <c r="AI136" s="46" t="n">
        <f aca="false">Parameters!$E$7*IF($N136="V",Parameters!$I$7,IF($N136="F",Parameters!$J$7,Parameters!$K$7))*(1-Parameters!$L$7*$P136)*IF($D136="V1",Parameters!$M$7,IF($D136="V2",Parameters!$N$7,Parameters!$O$7))*POWER($Q136/Inputs_General!$C$26,-Inputs_General!$C$25)</f>
        <v>0.341191629407368</v>
      </c>
      <c r="AJ136" s="46" t="n">
        <f aca="false">AI136*(1+INDEX(Response_Table!$H$4:$H$21,MATCH($F136&amp;"|mid",Response_Table!$A$4:$A$21,0))*$R136*INDEX(Parameters!$X$7:$AA$7,1,MATCH($E136,Parameters!$X$3:$AA$3,0)))</f>
        <v>0.324966936983363</v>
      </c>
      <c r="AK136" s="46" t="n">
        <f aca="false">MAX(0,MIN(AI136*(1+INDEX(Response_Table!$H$4:$H$21,MATCH($F136&amp;"|low",Response_Table!$A$4:$A$21,0))*$R136*INDEX(Parameters!$X$7:$AA$7,1,MATCH($E136,Parameters!$X$3:$AA$3,0))),AI136*(1+INDEX(Response_Table!$H$4:$H$21,MATCH($F136&amp;"|high",Response_Table!$A$4:$A$21,0))*$R136*INDEX(Parameters!$X$7:$AA$7,1,MATCH($E136,Parameters!$X$3:$AA$3,0))))*(1-Inputs_General!$C$22*Parameters!$F$7))</f>
        <v>0.221681983724614</v>
      </c>
      <c r="AL136" s="46" t="n">
        <f aca="false">MAX(AI136*(1+INDEX(Response_Table!$H$4:$H$21,MATCH($F136&amp;"|low",Response_Table!$A$4:$A$21,0))*$R136*INDEX(Parameters!$X$7:$AA$7,1,MATCH($E136,Parameters!$X$3:$AA$3,0))),AI136*(1+INDEX(Response_Table!$H$4:$H$21,MATCH($F136&amp;"|high",Response_Table!$A$4:$A$21,0))*$R136*INDEX(Parameters!$X$7:$AA$7,1,MATCH($E136,Parameters!$X$3:$AA$3,0))))*(1+Inputs_General!$C$22*Parameters!$F$7)</f>
        <v>0.434997555018549</v>
      </c>
      <c r="AM136" s="45" t="n">
        <f aca="false">IF(AI136=0,0,AJ136/AI136-1)</f>
        <v>-0.0475530201376465</v>
      </c>
      <c r="AN136" s="43" t="n">
        <f aca="false">AI136*$Q136/Inputs_General!$C$13*1000</f>
        <v>5.97691956280819</v>
      </c>
      <c r="AO136" s="43" t="n">
        <f aca="false">AJ136*$Q136/Inputs_General!$C$13*1000*(1+Inputs_General!$C$21*$I136)</f>
        <v>5.73539422887546</v>
      </c>
      <c r="AP136" s="43" t="n">
        <f aca="false">AK136*$Q136/Inputs_General!$C$13*1000*(1+Inputs_General!$C$21*$H136)</f>
        <v>3.89308444060029</v>
      </c>
      <c r="AQ136" s="43" t="n">
        <f aca="false">AL136*$Q136/Inputs_General!$C$13*1000*(1+Inputs_General!$C$21*$J136)</f>
        <v>7.71544342512467</v>
      </c>
      <c r="AR136" s="45" t="n">
        <f aca="false">IF(AN136=0,0,AO136/AN136-1)</f>
        <v>-0.0404096677886788</v>
      </c>
      <c r="AS136" s="42" t="n">
        <f aca="false">Parameters!$E$9*IF($N136="V",Parameters!$I$9,IF($N136="F",Parameters!$J$9,Parameters!$K$9))*(1-Parameters!$L$9*$P136)*IF($D136="V1",Parameters!$M$9,IF($D136="V2",Parameters!$N$9,Parameters!$O$9))</f>
        <v>285</v>
      </c>
      <c r="AT136" s="42" t="n">
        <f aca="false">AS136*(1+INDEX(Response_Table!$I$4:$I$21,MATCH($F136&amp;"|mid",Response_Table!$A$4:$A$21,0))*$R136*INDEX(Parameters!$X$9:$AA$9,1,MATCH($E136,Parameters!$X$3:$AA$3,0)))</f>
        <v>293.218057261581</v>
      </c>
      <c r="AU136" s="42" t="n">
        <f aca="false">MAX(0,MIN(AS136*(1+INDEX(Response_Table!$I$4:$I$21,MATCH($F136&amp;"|low",Response_Table!$A$4:$A$21,0))*$R136*INDEX(Parameters!$X$9:$AA$9,1,MATCH($E136,Parameters!$X$3:$AA$3,0))),AS136*(1+INDEX(Response_Table!$I$4:$I$21,MATCH($F136&amp;"|high",Response_Table!$A$4:$A$21,0))*$R136*INDEX(Parameters!$X$9:$AA$9,1,MATCH($E136,Parameters!$X$3:$AA$3,0))))*(1-Inputs_General!$C$22*Parameters!$F$9))</f>
        <v>259.438869274407</v>
      </c>
      <c r="AV136" s="42" t="n">
        <f aca="false">MAX(AS136*(1+INDEX(Response_Table!$I$4:$I$21,MATCH($F136&amp;"|low",Response_Table!$A$4:$A$21,0))*$R136*INDEX(Parameters!$X$9:$AA$9,1,MATCH($E136,Parameters!$X$3:$AA$3,0))),AS136*(1+INDEX(Response_Table!$I$4:$I$21,MATCH($F136&amp;"|high",Response_Table!$A$4:$A$21,0))*$R136*INDEX(Parameters!$X$9:$AA$9,1,MATCH($E136,Parameters!$X$3:$AA$3,0))))*(1+Inputs_General!$C$22*Parameters!$F$9)</f>
        <v>327.603490906787</v>
      </c>
      <c r="AW136" s="45" t="n">
        <f aca="false">IF(AS136=0,0,AT136/AS136-1)</f>
        <v>0.0288352886371248</v>
      </c>
      <c r="AX136" s="43" t="n">
        <f aca="false">INDEX(Context!$AB$4:$AB$51,$K136)</f>
        <v>3.07951475277641</v>
      </c>
      <c r="AY136" s="43" t="n">
        <f aca="false">AX136*(1+INDEX(Response_Table!$J$4:$J$21,MATCH($F136&amp;"|mid",Response_Table!$A$4:$A$21,0))*$R136*INDEX(Parameters!$X$10:$AA$10,1,MATCH($E136,Parameters!$X$3:$AA$3,0)))</f>
        <v>2.99440276533937</v>
      </c>
      <c r="AZ136" s="43" t="n">
        <f aca="false">MAX(0,MIN(AX136*(1+INDEX(Response_Table!$J$4:$J$21,MATCH($F136&amp;"|low",Response_Table!$A$4:$A$21,0))*$R136*INDEX(Parameters!$X$10:$AA$10,1,MATCH($E136,Parameters!$X$3:$AA$3,0))),AX136*(1+INDEX(Response_Table!$J$4:$J$21,MATCH($F136&amp;"|high",Response_Table!$A$4:$A$21,0))*$R136*INDEX(Parameters!$X$10:$AA$10,1,MATCH($E136,Parameters!$X$3:$AA$3,0))))*(1-Inputs_General!$C$22*Parameters!$F$10))</f>
        <v>2.36053180651701</v>
      </c>
      <c r="BA136" s="43" t="n">
        <f aca="false">MAX(AX136*(1+INDEX(Response_Table!$J$4:$J$21,MATCH($F136&amp;"|low",Response_Table!$A$4:$A$21,0))*$R136*INDEX(Parameters!$X$10:$AA$10,1,MATCH($E136,Parameters!$X$3:$AA$3,0))),AX136*(1+INDEX(Response_Table!$J$4:$J$21,MATCH($F136&amp;"|high",Response_Table!$A$4:$A$21,0))*$R136*INDEX(Parameters!$X$10:$AA$10,1,MATCH($E136,Parameters!$X$3:$AA$3,0))))*(1+Inputs_General!$C$22*Parameters!$F$10)</f>
        <v>3.65258720829879</v>
      </c>
      <c r="BB136" s="45" t="n">
        <f aca="false">IF(AX136=0,0,AY136/AX136-1)</f>
        <v>-0.0276381164793286</v>
      </c>
      <c r="BC136" s="46" t="n">
        <f aca="false">Parameters!$E$11*IF($N136="V",Parameters!$I$11,IF($N136="F",Parameters!$J$11,Parameters!$K$11))*(1-Parameters!$L$11*$P136)*IF($D136="V1",Parameters!$M$11,IF($D136="V2",Parameters!$N$11,Parameters!$O$11))</f>
        <v>1.25397901785714</v>
      </c>
      <c r="BD136" s="46" t="n">
        <f aca="false">BC136*(1+INDEX(Response_Table!$K$4:$K$21,MATCH($F136&amp;"|mid",Response_Table!$A$4:$A$21,0))*$R136*INDEX(Parameters!$X$11:$AA$11,1,MATCH($E136,Parameters!$X$3:$AA$3,0)))</f>
        <v>1.19056074557326</v>
      </c>
      <c r="BE136" s="46" t="n">
        <f aca="false">MAX(0,MIN(BC136*(1+INDEX(Response_Table!$K$4:$K$21,MATCH($F136&amp;"|low",Response_Table!$A$4:$A$21,0))*$R136*INDEX(Parameters!$X$11:$AA$11,1,MATCH($E136,Parameters!$X$3:$AA$3,0))),BC136*(1+INDEX(Response_Table!$K$4:$K$21,MATCH($F136&amp;"|high",Response_Table!$A$4:$A$21,0))*$R136*INDEX(Parameters!$X$11:$AA$11,1,MATCH($E136,Parameters!$X$3:$AA$3,0))))*(1-Inputs_General!$C$22*Parameters!$F$11))</f>
        <v>0.962112316617242</v>
      </c>
      <c r="BF136" s="46" t="n">
        <f aca="false">MAX(BC136*(1+INDEX(Response_Table!$K$4:$K$21,MATCH($F136&amp;"|low",Response_Table!$A$4:$A$21,0))*$R136*INDEX(Parameters!$X$11:$AA$11,1,MATCH($E136,Parameters!$X$3:$AA$3,0))),BC136*(1+INDEX(Response_Table!$K$4:$K$21,MATCH($F136&amp;"|high",Response_Table!$A$4:$A$21,0))*$R136*INDEX(Parameters!$X$11:$AA$11,1,MATCH($E136,Parameters!$X$3:$AA$3,0))))*(1+Inputs_General!$C$22*Parameters!$F$11)</f>
        <v>1.43484990164598</v>
      </c>
      <c r="BG136" s="45" t="n">
        <f aca="false">IF(BC136=0,0,BD136/BC136-1)</f>
        <v>-0.0505736311220398</v>
      </c>
      <c r="BH136" s="46" t="n">
        <f aca="false">Parameters!$E$12*IF($N136="V",Parameters!$I$12,IF($N136="F",Parameters!$J$12,Parameters!$K$12))*(1-Parameters!$L$12*$P136)*IF($D136="V1",Parameters!$M$12,IF($D136="V2",Parameters!$N$12,Parameters!$O$12))</f>
        <v>0.451432446428571</v>
      </c>
      <c r="BI136" s="46" t="n">
        <f aca="false">BH136*(1+INDEX(Response_Table!$L$4:$L$21,MATCH($F136&amp;"|mid",Response_Table!$A$4:$A$21,0))*$R136*INDEX(Parameters!$X$12:$AA$12,1,MATCH($E136,Parameters!$X$3:$AA$3,0)))</f>
        <v>0.433268081938275</v>
      </c>
      <c r="BJ136" s="46" t="n">
        <f aca="false">MAX(0,MIN(BH136*(1+INDEX(Response_Table!$L$4:$L$21,MATCH($F136&amp;"|low",Response_Table!$A$4:$A$21,0))*$R136*INDEX(Parameters!$X$12:$AA$12,1,MATCH($E136,Parameters!$X$3:$AA$3,0))),BH136*(1+INDEX(Response_Table!$L$4:$L$21,MATCH($F136&amp;"|high",Response_Table!$A$4:$A$21,0))*$R136*INDEX(Parameters!$X$12:$AA$12,1,MATCH($E136,Parameters!$X$3:$AA$3,0))))*(1-Inputs_General!$C$22*Parameters!$F$12))</f>
        <v>0.338725778547315</v>
      </c>
      <c r="BK136" s="46" t="n">
        <f aca="false">MAX(BH136*(1+INDEX(Response_Table!$L$4:$L$21,MATCH($F136&amp;"|low",Response_Table!$A$4:$A$21,0))*$R136*INDEX(Parameters!$X$12:$AA$12,1,MATCH($E136,Parameters!$X$3:$AA$3,0))),BH136*(1+INDEX(Response_Table!$L$4:$L$21,MATCH($F136&amp;"|high",Response_Table!$A$4:$A$21,0))*$R136*INDEX(Parameters!$X$12:$AA$12,1,MATCH($E136,Parameters!$X$3:$AA$3,0))))*(1+Inputs_General!$C$22*Parameters!$F$12)</f>
        <v>0.53307665326906</v>
      </c>
      <c r="BL136" s="45" t="n">
        <f aca="false">IF(BH136=0,0,BI136/BH136-1)</f>
        <v>-0.0402371708857008</v>
      </c>
      <c r="BM136" s="46" t="n">
        <f aca="false">Parameters!$E$13*IF($N136="V",Parameters!$I$13,IF($N136="F",Parameters!$J$13,Parameters!$K$13))*(1-Parameters!$L$13*$P136)*IF($D136="V1",Parameters!$M$13,IF($D136="V2",Parameters!$N$13,Parameters!$O$13))</f>
        <v>0.304977482142857</v>
      </c>
      <c r="BN136" s="46" t="n">
        <f aca="false">BM136*(1+INDEX(Response_Table!$M$4:$M$21,MATCH($F136&amp;"|mid",Response_Table!$A$4:$A$21,0))*$R136*INDEX(Parameters!$X$13:$AA$13,1,MATCH($E136,Parameters!$X$3:$AA$3,0)))</f>
        <v>0.311713610379236</v>
      </c>
      <c r="BO136" s="46" t="n">
        <f aca="false">MAX(0,MIN(BM136*(1+INDEX(Response_Table!$M$4:$M$21,MATCH($F136&amp;"|low",Response_Table!$A$4:$A$21,0))*$R136*INDEX(Parameters!$X$13:$AA$13,1,MATCH($E136,Parameters!$X$3:$AA$3,0))),BM136*(1+INDEX(Response_Table!$M$4:$M$21,MATCH($F136&amp;"|high",Response_Table!$A$4:$A$21,0))*$R136*INDEX(Parameters!$X$13:$AA$13,1,MATCH($E136,Parameters!$X$3:$AA$3,0))))*(1-Inputs_General!$C$22*Parameters!$F$13))</f>
        <v>0.247432719726346</v>
      </c>
      <c r="BP136" s="46" t="n">
        <f aca="false">MAX(BM136*(1+INDEX(Response_Table!$M$4:$M$21,MATCH($F136&amp;"|low",Response_Table!$A$4:$A$21,0))*$R136*INDEX(Parameters!$X$13:$AA$13,1,MATCH($E136,Parameters!$X$3:$AA$3,0))),BM136*(1+INDEX(Response_Table!$M$4:$M$21,MATCH($F136&amp;"|high",Response_Table!$A$4:$A$21,0))*$R136*INDEX(Parameters!$X$13:$AA$13,1,MATCH($E136,Parameters!$X$3:$AA$3,0))))*(1+Inputs_General!$C$22*Parameters!$F$13)</f>
        <v>0.373473774592818</v>
      </c>
      <c r="BQ136" s="45" t="n">
        <f aca="false">IF(BM136=0,0,BN136/BM136-1)</f>
        <v>0.0220872970327148</v>
      </c>
      <c r="BR136" s="44" t="n">
        <f aca="false">Parameters!$E$14*IF($N136="V",Parameters!$I$14,IF($N136="F",Parameters!$J$14,Parameters!$K$14))*(1-Parameters!$L$14*$P136)*IF($D136="V1",Parameters!$M$14,IF($D136="V2",Parameters!$N$14,Parameters!$O$14))*INDEX(Context!$AC$4:$AC$51,$K136)</f>
        <v>15</v>
      </c>
      <c r="BS136" s="44" t="n">
        <f aca="false">BR136*(1+INDEX(Response_Table!$N$4:$N$21,MATCH($F136&amp;"|mid",Response_Table!$A$4:$A$21,0))*$R136*INDEX(Parameters!$X$14:$AA$14,1,MATCH($E136,Parameters!$X$3:$AA$3,0)))</f>
        <v>15.6584264326751</v>
      </c>
      <c r="BT136" s="44" t="n">
        <f aca="false">MAX(0,MIN(BR136*(1+INDEX(Response_Table!$N$4:$N$21,MATCH($F136&amp;"|low",Response_Table!$A$4:$A$21,0))*$R136*INDEX(Parameters!$X$14:$AA$14,1,MATCH($E136,Parameters!$X$3:$AA$3,0))),BR136*(1+INDEX(Response_Table!$N$4:$N$21,MATCH($F136&amp;"|high",Response_Table!$A$4:$A$21,0))*$R136*INDEX(Parameters!$X$14:$AA$14,1,MATCH($E136,Parameters!$X$3:$AA$3,0))))*(1-Inputs_General!$C$22*Parameters!$F$14))</f>
        <v>7.71201543002126</v>
      </c>
      <c r="BU136" s="44" t="n">
        <f aca="false">MAX(BR136*(1+INDEX(Response_Table!$N$4:$N$21,MATCH($F136&amp;"|low",Response_Table!$A$4:$A$21,0))*$R136*INDEX(Parameters!$X$14:$AA$14,1,MATCH($E136,Parameters!$X$3:$AA$3,0))),BR136*(1+INDEX(Response_Table!$N$4:$N$21,MATCH($F136&amp;"|high",Response_Table!$A$4:$A$21,0))*$R136*INDEX(Parameters!$X$14:$AA$14,1,MATCH($E136,Parameters!$X$3:$AA$3,0))))*(1+Inputs_General!$C$22*Parameters!$F$14)</f>
        <v>23.9939496746502</v>
      </c>
      <c r="BV136" s="45" t="n">
        <f aca="false">IF(BR136=0,0,BS136/BR136-1)</f>
        <v>0.0438950955116737</v>
      </c>
      <c r="BW136" s="43" t="n">
        <f aca="false">Parameters!$E$15*IF($N136="V",Parameters!$I$15,IF($N136="F",Parameters!$J$15,Parameters!$K$15))*(1-Parameters!$L$15*$P136)*IF($D136="V1",Parameters!$M$15,IF($D136="V2",Parameters!$N$15,Parameters!$O$15))</f>
        <v>9.73964285714286</v>
      </c>
      <c r="BX136" s="43" t="n">
        <f aca="false">BW136*(1+INDEX(Response_Table!$O$4:$O$21,MATCH($F136&amp;"|mid",Response_Table!$A$4:$A$21,0))*$R136*INDEX(Parameters!$X$15:$AA$15,1,MATCH($E136,Parameters!$X$3:$AA$3,0)))</f>
        <v>9.63276221877689</v>
      </c>
      <c r="BY136" s="43" t="n">
        <f aca="false">MAX(0,MIN(BW136*(1+INDEX(Response_Table!$O$4:$O$21,MATCH($F136&amp;"|low",Response_Table!$A$4:$A$21,0))*$R136*INDEX(Parameters!$X$15:$AA$15,1,MATCH($E136,Parameters!$X$3:$AA$3,0))),BW136*(1+INDEX(Response_Table!$O$4:$O$21,MATCH($F136&amp;"|high",Response_Table!$A$4:$A$21,0))*$R136*INDEX(Parameters!$X$15:$AA$15,1,MATCH($E136,Parameters!$X$3:$AA$3,0))))*(1-Inputs_General!$C$22*Parameters!$F$15))</f>
        <v>7.6782088607836</v>
      </c>
      <c r="BZ136" s="43" t="n">
        <f aca="false">MAX(BW136*(1+INDEX(Response_Table!$O$4:$O$21,MATCH($F136&amp;"|low",Response_Table!$A$4:$A$21,0))*$R136*INDEX(Parameters!$X$15:$AA$15,1,MATCH($E136,Parameters!$X$3:$AA$3,0))),BW136*(1+INDEX(Response_Table!$O$4:$O$21,MATCH($F136&amp;"|high",Response_Table!$A$4:$A$21,0))*$R136*INDEX(Parameters!$X$15:$AA$15,1,MATCH($E136,Parameters!$X$3:$AA$3,0))))*(1+Inputs_General!$C$22*Parameters!$F$15)</f>
        <v>11.6183027373458</v>
      </c>
      <c r="CA136" s="45" t="n">
        <f aca="false">IF(BW136=0,0,BX136/BW136-1)</f>
        <v>-0.0109737738779183</v>
      </c>
      <c r="CB136" s="46" t="n">
        <f aca="false">BD136+BI136</f>
        <v>1.62382882751153</v>
      </c>
      <c r="CC136" s="43" t="n">
        <f aca="false">BD136/BI136</f>
        <v>2.74786164779816</v>
      </c>
      <c r="CD136" s="46" t="n">
        <f aca="false">BN136/CB136</f>
        <v>0.191962111460312</v>
      </c>
      <c r="CE136" s="43" t="n">
        <f aca="false">AE136/AO136</f>
        <v>2.97948852208285</v>
      </c>
      <c r="CF136" s="44" t="n">
        <f aca="false">AE136/AJ136</f>
        <v>52.5854766432115</v>
      </c>
      <c r="CG136" s="44" t="n">
        <f aca="false">INDEX(Context!$V$4:$V$51,$K136)</f>
        <v>28.62</v>
      </c>
      <c r="CH136" s="44" t="n">
        <f aca="false">INDEX(Context!$Y$4:$Y$51,$K136)</f>
        <v>25.3060134606718</v>
      </c>
      <c r="CI136" s="44" t="n">
        <f aca="false">INDEX(Context!$Z$4:$Z$51,$K136)</f>
        <v>32.62</v>
      </c>
      <c r="CJ136" s="43" t="n">
        <f aca="false">INDEX(Context!$AA$4:$AA$51,$K136)</f>
        <v>0.221696428571429</v>
      </c>
      <c r="CK136" s="43" t="n">
        <f aca="false">MAX(0,MIN(1,1-(1-CJ136)*AO136/AN136))</f>
        <v>0.253147417331599</v>
      </c>
      <c r="CL136" s="44" t="n">
        <f aca="false">CH136+CK136*(CI136-CH136)</f>
        <v>27.1575302635008</v>
      </c>
      <c r="CM136" s="44" t="n">
        <f aca="false">CH136+MAX(0,MIN(1,1-(1-CJ136)*AQ136/AN136))*(CI136-CH136)</f>
        <v>25.3060134606718</v>
      </c>
      <c r="CN136" s="44" t="n">
        <f aca="false">CH136+MAX(0,MIN(1,1-(1-CJ136)*AP136/AN136))*(CI136-CH136)</f>
        <v>28.9121718909313</v>
      </c>
      <c r="CO136" s="44" t="n">
        <f aca="false">CL136-CG136</f>
        <v>-1.46246973649921</v>
      </c>
      <c r="CP136" s="44" t="n">
        <f aca="false">CL136-(CH136+CJ136*(CI136-CH136))</f>
        <v>0.230032108440454</v>
      </c>
      <c r="CQ136" s="46" t="n">
        <f aca="false">CL136/CG136</f>
        <v>0.948900428494088</v>
      </c>
      <c r="CR136" s="43" t="n">
        <f aca="false">IF(CL136-CH136&lt;=0,"n/a",(CI136-CL136)/(CL136-CH136))</f>
        <v>2.95026743918977</v>
      </c>
      <c r="CS136" s="43" t="n">
        <f aca="false">IF(CI136-CL136&lt;=0,"n/a",(CL136-CH136)/(CI136-CL136))</f>
        <v>0.338952322327304</v>
      </c>
      <c r="CT136" s="43" t="n">
        <f aca="false">Inputs_General!$C$23+Inputs_General!$C$24*$I136</f>
        <v>0.66</v>
      </c>
      <c r="CU136" s="44" t="n">
        <f aca="false">3.29*CT136</f>
        <v>2.1714</v>
      </c>
    </row>
    <row r="137" customFormat="false" ht="15" hidden="false" customHeight="false" outlineLevel="0" collapsed="false">
      <c r="A137" s="9" t="str">
        <f aca="false">B137&amp;"|"&amp;E137&amp;"|"&amp;F137</f>
        <v>D2V3|03/03/2026|Low</v>
      </c>
      <c r="B137" s="7" t="s">
        <v>348</v>
      </c>
      <c r="C137" s="9" t="s">
        <v>129</v>
      </c>
      <c r="D137" s="9" t="s">
        <v>150</v>
      </c>
      <c r="E137" s="9" t="s">
        <v>162</v>
      </c>
      <c r="F137" s="7" t="s">
        <v>279</v>
      </c>
      <c r="G137" s="9" t="s">
        <v>280</v>
      </c>
      <c r="H137" s="41" t="n">
        <f aca="false">INDEX(Severity_Classes!$C$4:$C$9,MATCH(F137,Severity_Classes!$A$4:$A$9,0))</f>
        <v>0.06</v>
      </c>
      <c r="I137" s="41" t="n">
        <f aca="false">INDEX(Severity_Classes!$D$4:$D$9,MATCH(F137,Severity_Classes!$A$4:$A$9,0))</f>
        <v>0.08</v>
      </c>
      <c r="J137" s="41" t="n">
        <f aca="false">INDEX(Severity_Classes!$E$4:$E$9,MATCH(F137,Severity_Classes!$A$4:$A$9,0))</f>
        <v>0.1</v>
      </c>
      <c r="K137" s="42" t="n">
        <f aca="false">MATCH(B137&amp;"|"&amp;E137,Context!$A$4:$A$51,0)</f>
        <v>23</v>
      </c>
      <c r="L137" s="42" t="n">
        <f aca="false">INDEX(Context!$H$4:$H$51,K137)</f>
        <v>75</v>
      </c>
      <c r="M137" s="42" t="n">
        <f aca="false">INDEX(Context!$I$4:$I$51,K137)</f>
        <v>26</v>
      </c>
      <c r="N137" s="9" t="str">
        <f aca="false">INDEX(Context!$L$4:$L$51,K137)</f>
        <v>F</v>
      </c>
      <c r="O137" s="9" t="str">
        <f aca="false">INDEX(Context!$M$4:$M$51,K137)</f>
        <v>5th fully expanded leaf from top</v>
      </c>
      <c r="P137" s="43" t="n">
        <f aca="false">INDEX(Context!$R$4:$R$51,K137)</f>
        <v>0.433928571428571</v>
      </c>
      <c r="Q137" s="43" t="n">
        <f aca="false">INDEX(Context!$U$4:$U$51,K137)</f>
        <v>1.73951545534029</v>
      </c>
      <c r="R137" s="43" t="n">
        <f aca="false">INDEX(Context!$AD$4:$AD$51,K137)</f>
        <v>0.85</v>
      </c>
      <c r="S137" s="9" t="str">
        <f aca="false">INDEX(Context!$AI$4:$AN$51,K137,MATCH(F137,Severity_Classes!$A$4:$A$9,0))</f>
        <v>Likely</v>
      </c>
      <c r="T137" s="44" t="n">
        <f aca="false">Parameters!$E$4*IF($N137="V",Parameters!$I$4,IF($N137="F",Parameters!$J$4,Parameters!$K$4))*(1-Parameters!$L$4*$P137)*IF($D137="V1",Parameters!$M$4,IF($D137="V2",Parameters!$N$4,Parameters!$O$4))</f>
        <v>83.2927660714286</v>
      </c>
      <c r="U137" s="44" t="n">
        <f aca="false">MIN(100,T137*(1+INDEX(Response_Table!$E$4:$E$21,MATCH($F137&amp;"|mid",Response_Table!$A$4:$A$21,0))*$R137*INDEX(Parameters!$X$4:$AA$4,1,MATCH($E137,Parameters!$X$3:$AA$3,0))))</f>
        <v>82.3073433976175</v>
      </c>
      <c r="V137" s="44" t="n">
        <f aca="false">MAX(0,MIN(T137*(1+INDEX(Response_Table!$E$4:$E$21,MATCH($F137&amp;"|low",Response_Table!$A$4:$A$21,0))*$R137*INDEX(Parameters!$X$4:$AA$4,1,MATCH($E137,Parameters!$X$3:$AA$3,0))),T137*(1+INDEX(Response_Table!$E$4:$E$21,MATCH($F137&amp;"|high",Response_Table!$A$4:$A$21,0))*$R137*INDEX(Parameters!$X$4:$AA$4,1,MATCH($E137,Parameters!$X$3:$AA$3,0))))*(1-Inputs_General!$C$22*Parameters!$F$4))</f>
        <v>76.5698798562237</v>
      </c>
      <c r="W137" s="44" t="n">
        <f aca="false">MIN(100,MAX(T137*(1+INDEX(Response_Table!$E$4:$E$21,MATCH($F137&amp;"|low",Response_Table!$A$4:$A$21,0))*$R137*INDEX(Parameters!$X$4:$AA$4,1,MATCH($E137,Parameters!$X$3:$AA$3,0))),T137*(1+INDEX(Response_Table!$E$4:$E$21,MATCH($F137&amp;"|high",Response_Table!$A$4:$A$21,0))*$R137*INDEX(Parameters!$X$4:$AA$4,1,MATCH($E137,Parameters!$X$3:$AA$3,0))))*(1+Inputs_General!$C$22*Parameters!$F$4))</f>
        <v>88.043848156757</v>
      </c>
      <c r="X137" s="45" t="n">
        <f aca="false">IF(T137=0,0,U137/T137-1)</f>
        <v>-0.0118308314189739</v>
      </c>
      <c r="Y137" s="44" t="n">
        <f aca="false">Parameters!$E$5*IF($N137="V",Parameters!$I$5,IF($N137="F",Parameters!$J$5,Parameters!$K$5))*(1-Parameters!$L$5*$P137)*IF($D137="V1",Parameters!$M$5,IF($D137="V2",Parameters!$N$5,Parameters!$O$5))</f>
        <v>66.88584</v>
      </c>
      <c r="Z137" s="44" t="n">
        <f aca="false">MIN(100,Y137*(1+INDEX(Response_Table!$F$4:$F$21,MATCH($F137&amp;"|mid",Response_Table!$A$4:$A$21,0))*$R137*INDEX(Parameters!$X$5:$AA$5,1,MATCH($E137,Parameters!$X$3:$AA$3,0))))</f>
        <v>64.2734964721013</v>
      </c>
      <c r="AA137" s="44" t="n">
        <f aca="false">MAX(0,MIN(Y137*(1+INDEX(Response_Table!$F$4:$F$21,MATCH($F137&amp;"|low",Response_Table!$A$4:$A$21,0))*$R137*INDEX(Parameters!$X$5:$AA$5,1,MATCH($E137,Parameters!$X$3:$AA$3,0))),Y137*(1+INDEX(Response_Table!$F$4:$F$21,MATCH($F137&amp;"|high",Response_Table!$A$4:$A$21,0))*$R137*INDEX(Parameters!$X$5:$AA$5,1,MATCH($E137,Parameters!$X$3:$AA$3,0))))*(1-Inputs_General!$C$22*Parameters!$F$5))</f>
        <v>56.026363086705</v>
      </c>
      <c r="AB137" s="44" t="n">
        <f aca="false">MIN(100,MAX(Y137*(1+INDEX(Response_Table!$F$4:$F$21,MATCH($F137&amp;"|low",Response_Table!$A$4:$A$21,0))*$R137*INDEX(Parameters!$X$5:$AA$5,1,MATCH($E137,Parameters!$X$3:$AA$3,0))),Y137*(1+INDEX(Response_Table!$F$4:$F$21,MATCH($F137&amp;"|high",Response_Table!$A$4:$A$21,0))*$R137*INDEX(Parameters!$X$5:$AA$5,1,MATCH($E137,Parameters!$X$3:$AA$3,0))))*(1+Inputs_General!$C$22*Parameters!$F$5))</f>
        <v>72.5903798013609</v>
      </c>
      <c r="AC137" s="45" t="n">
        <f aca="false">IF(Y137=0,0,Z137/Y137-1)</f>
        <v>-0.0390567499473534</v>
      </c>
      <c r="AD137" s="44" t="n">
        <f aca="false">Parameters!$E$6*IF($N137="V",Parameters!$I$6,IF($N137="F",Parameters!$J$6,Parameters!$K$6))*(1-Parameters!$L$6*$P137)*IF($D137="V1",Parameters!$M$6,IF($D137="V2",Parameters!$N$6,Parameters!$O$6))</f>
        <v>18.5509621428571</v>
      </c>
      <c r="AE137" s="44" t="n">
        <f aca="false">AD137*(1+INDEX(Response_Table!$G$4:$G$21,MATCH($F137&amp;"|mid",Response_Table!$A$4:$A$21,0))*$R137*INDEX(Parameters!$X$6:$AA$6,1,MATCH($E137,Parameters!$X$3:$AA$3,0)))</f>
        <v>15.0418821373977</v>
      </c>
      <c r="AF137" s="44" t="n">
        <f aca="false">MAX(0,MIN(AD137*(1+INDEX(Response_Table!$G$4:$G$21,MATCH($F137&amp;"|low",Response_Table!$A$4:$A$21,0))*$R137*INDEX(Parameters!$X$6:$AA$6,1,MATCH($E137,Parameters!$X$3:$AA$3,0))),AD137*(1+INDEX(Response_Table!$G$4:$G$21,MATCH($F137&amp;"|high",Response_Table!$A$4:$A$21,0))*$R137*INDEX(Parameters!$X$6:$AA$6,1,MATCH($E137,Parameters!$X$3:$AA$3,0))))*(1-Inputs_General!$C$22*Parameters!$F$6))</f>
        <v>11.5102888623805</v>
      </c>
      <c r="AG137" s="44" t="n">
        <f aca="false">MAX(AD137*(1+INDEX(Response_Table!$G$4:$G$21,MATCH($F137&amp;"|low",Response_Table!$A$4:$A$21,0))*$R137*INDEX(Parameters!$X$6:$AA$6,1,MATCH($E137,Parameters!$X$3:$AA$3,0))),AD137*(1+INDEX(Response_Table!$G$4:$G$21,MATCH($F137&amp;"|high",Response_Table!$A$4:$A$21,0))*$R137*INDEX(Parameters!$X$6:$AA$6,1,MATCH($E137,Parameters!$X$3:$AA$3,0))))*(1+Inputs_General!$C$22*Parameters!$F$6)</f>
        <v>18.9272561977413</v>
      </c>
      <c r="AH137" s="45" t="n">
        <f aca="false">IF(AD137=0,0,AE137/AD137-1)</f>
        <v>-0.189158922240083</v>
      </c>
      <c r="AI137" s="46" t="n">
        <f aca="false">Parameters!$E$7*IF($N137="V",Parameters!$I$7,IF($N137="F",Parameters!$J$7,Parameters!$K$7))*(1-Parameters!$L$7*$P137)*IF($D137="V1",Parameters!$M$7,IF($D137="V2",Parameters!$N$7,Parameters!$O$7))*POWER($Q137/Inputs_General!$C$26,-Inputs_General!$C$25)</f>
        <v>0.341191629407368</v>
      </c>
      <c r="AJ137" s="46" t="n">
        <f aca="false">AI137*(1+INDEX(Response_Table!$H$4:$H$21,MATCH($F137&amp;"|mid",Response_Table!$A$4:$A$21,0))*$R137*INDEX(Parameters!$X$7:$AA$7,1,MATCH($E137,Parameters!$X$3:$AA$3,0)))</f>
        <v>0.300969194173925</v>
      </c>
      <c r="AK137" s="46" t="n">
        <f aca="false">MAX(0,MIN(AI137*(1+INDEX(Response_Table!$H$4:$H$21,MATCH($F137&amp;"|low",Response_Table!$A$4:$A$21,0))*$R137*INDEX(Parameters!$X$7:$AA$7,1,MATCH($E137,Parameters!$X$3:$AA$3,0))),AI137*(1+INDEX(Response_Table!$H$4:$H$21,MATCH($F137&amp;"|high",Response_Table!$A$4:$A$21,0))*$R137*INDEX(Parameters!$X$7:$AA$7,1,MATCH($E137,Parameters!$X$3:$AA$3,0))))*(1-Inputs_General!$C$22*Parameters!$F$7))</f>
        <v>0.205773686709861</v>
      </c>
      <c r="AL137" s="46" t="n">
        <f aca="false">MAX(AI137*(1+INDEX(Response_Table!$H$4:$H$21,MATCH($F137&amp;"|low",Response_Table!$A$4:$A$21,0))*$R137*INDEX(Parameters!$X$7:$AA$7,1,MATCH($E137,Parameters!$X$3:$AA$3,0))),AI137*(1+INDEX(Response_Table!$H$4:$H$21,MATCH($F137&amp;"|high",Response_Table!$A$4:$A$21,0))*$R137*INDEX(Parameters!$X$7:$AA$7,1,MATCH($E137,Parameters!$X$3:$AA$3,0))))*(1+Inputs_General!$C$22*Parameters!$F$7)</f>
        <v>0.401970749117358</v>
      </c>
      <c r="AM137" s="45" t="n">
        <f aca="false">IF(AI137=0,0,AJ137/AI137-1)</f>
        <v>-0.117888106760729</v>
      </c>
      <c r="AN137" s="43" t="n">
        <f aca="false">AI137*$Q137/Inputs_General!$C$13*1000</f>
        <v>5.97691956280819</v>
      </c>
      <c r="AO137" s="43" t="n">
        <f aca="false">AJ137*$Q137/Inputs_General!$C$13*1000*(1+Inputs_General!$C$21*$I137)</f>
        <v>5.37775806791332</v>
      </c>
      <c r="AP137" s="43" t="n">
        <f aca="false">AK137*$Q137/Inputs_General!$C$13*1000*(1+Inputs_General!$C$21*$H137)</f>
        <v>3.65876843866229</v>
      </c>
      <c r="AQ137" s="43" t="n">
        <f aca="false">AL137*$Q137/Inputs_General!$C$13*1000*(1+Inputs_General!$C$21*$J137)</f>
        <v>7.21767561884661</v>
      </c>
      <c r="AR137" s="45" t="n">
        <f aca="false">IF(AN137=0,0,AO137/AN137-1)</f>
        <v>-0.100245868895944</v>
      </c>
      <c r="AS137" s="42" t="n">
        <f aca="false">Parameters!$E$9*IF($N137="V",Parameters!$I$9,IF($N137="F",Parameters!$J$9,Parameters!$K$9))*(1-Parameters!$L$9*$P137)*IF($D137="V1",Parameters!$M$9,IF($D137="V2",Parameters!$N$9,Parameters!$O$9))</f>
        <v>285</v>
      </c>
      <c r="AT137" s="42" t="n">
        <f aca="false">AS137*(1+INDEX(Response_Table!$I$4:$I$21,MATCH($F137&amp;"|mid",Response_Table!$A$4:$A$21,0))*$R137*INDEX(Parameters!$X$9:$AA$9,1,MATCH($E137,Parameters!$X$3:$AA$3,0)))</f>
        <v>304.90211873067</v>
      </c>
      <c r="AU137" s="42" t="n">
        <f aca="false">MAX(0,MIN(AS137*(1+INDEX(Response_Table!$I$4:$I$21,MATCH($F137&amp;"|low",Response_Table!$A$4:$A$21,0))*$R137*INDEX(Parameters!$X$9:$AA$9,1,MATCH($E137,Parameters!$X$3:$AA$3,0))),AS137*(1+INDEX(Response_Table!$I$4:$I$21,MATCH($F137&amp;"|high",Response_Table!$A$4:$A$21,0))*$R137*INDEX(Parameters!$X$9:$AA$9,1,MATCH($E137,Parameters!$X$3:$AA$3,0))))*(1-Inputs_General!$C$22*Parameters!$F$9))</f>
        <v>270.846797043545</v>
      </c>
      <c r="AV137" s="42" t="n">
        <f aca="false">MAX(AS137*(1+INDEX(Response_Table!$I$4:$I$21,MATCH($F137&amp;"|low",Response_Table!$A$4:$A$21,0))*$R137*INDEX(Parameters!$X$9:$AA$9,1,MATCH($E137,Parameters!$X$3:$AA$3,0))),AS137*(1+INDEX(Response_Table!$I$4:$I$21,MATCH($F137&amp;"|high",Response_Table!$A$4:$A$21,0))*$R137*INDEX(Parameters!$X$9:$AA$9,1,MATCH($E137,Parameters!$X$3:$AA$3,0))))*(1+Inputs_General!$C$22*Parameters!$F$9)</f>
        <v>339.453792381945</v>
      </c>
      <c r="AW137" s="45" t="n">
        <f aca="false">IF(AS137=0,0,AT137/AS137-1)</f>
        <v>0.0698319955462088</v>
      </c>
      <c r="AX137" s="43" t="n">
        <f aca="false">INDEX(Context!$AB$4:$AB$51,$K137)</f>
        <v>3.07951475277641</v>
      </c>
      <c r="AY137" s="43" t="n">
        <f aca="false">AX137*(1+INDEX(Response_Table!$J$4:$J$21,MATCH($F137&amp;"|mid",Response_Table!$A$4:$A$21,0))*$R137*INDEX(Parameters!$X$10:$AA$10,1,MATCH($E137,Parameters!$X$3:$AA$3,0)))</f>
        <v>2.86599509783012</v>
      </c>
      <c r="AZ137" s="43" t="n">
        <f aca="false">MAX(0,MIN(AX137*(1+INDEX(Response_Table!$J$4:$J$21,MATCH($F137&amp;"|low",Response_Table!$A$4:$A$21,0))*$R137*INDEX(Parameters!$X$10:$AA$10,1,MATCH($E137,Parameters!$X$3:$AA$3,0))),AX137*(1+INDEX(Response_Table!$J$4:$J$21,MATCH($F137&amp;"|high",Response_Table!$A$4:$A$21,0))*$R137*INDEX(Parameters!$X$10:$AA$10,1,MATCH($E137,Parameters!$X$3:$AA$3,0))))*(1-Inputs_General!$C$22*Parameters!$F$10))</f>
        <v>2.26249810778964</v>
      </c>
      <c r="BA137" s="43" t="n">
        <f aca="false">MAX(AX137*(1+INDEX(Response_Table!$J$4:$J$21,MATCH($F137&amp;"|low",Response_Table!$A$4:$A$21,0))*$R137*INDEX(Parameters!$X$10:$AA$10,1,MATCH($E137,Parameters!$X$3:$AA$3,0))),AX137*(1+INDEX(Response_Table!$J$4:$J$21,MATCH($F137&amp;"|high",Response_Table!$A$4:$A$21,0))*$R137*INDEX(Parameters!$X$10:$AA$10,1,MATCH($E137,Parameters!$X$3:$AA$3,0))))*(1+Inputs_General!$C$22*Parameters!$F$10)</f>
        <v>3.4909486623126</v>
      </c>
      <c r="BB137" s="45" t="n">
        <f aca="false">IF(AX137=0,0,AY137/AX137-1)</f>
        <v>-0.069335486947672</v>
      </c>
      <c r="BC137" s="46" t="n">
        <f aca="false">Parameters!$E$11*IF($N137="V",Parameters!$I$11,IF($N137="F",Parameters!$J$11,Parameters!$K$11))*(1-Parameters!$L$11*$P137)*IF($D137="V1",Parameters!$M$11,IF($D137="V2",Parameters!$N$11,Parameters!$O$11))</f>
        <v>1.25397901785714</v>
      </c>
      <c r="BD137" s="46" t="n">
        <f aca="false">BC137*(1+INDEX(Response_Table!$K$4:$K$21,MATCH($F137&amp;"|mid",Response_Table!$A$4:$A$21,0))*$R137*INDEX(Parameters!$X$11:$AA$11,1,MATCH($E137,Parameters!$X$3:$AA$3,0)))</f>
        <v>1.0974992870948</v>
      </c>
      <c r="BE137" s="46" t="n">
        <f aca="false">MAX(0,MIN(BC137*(1+INDEX(Response_Table!$K$4:$K$21,MATCH($F137&amp;"|low",Response_Table!$A$4:$A$21,0))*$R137*INDEX(Parameters!$X$11:$AA$11,1,MATCH($E137,Parameters!$X$3:$AA$3,0))),BC137*(1+INDEX(Response_Table!$K$4:$K$21,MATCH($F137&amp;"|high",Response_Table!$A$4:$A$21,0))*$R137*INDEX(Parameters!$X$11:$AA$11,1,MATCH($E137,Parameters!$X$3:$AA$3,0))))*(1-Inputs_General!$C$22*Parameters!$F$11))</f>
        <v>0.889179755941374</v>
      </c>
      <c r="BF137" s="46" t="n">
        <f aca="false">MAX(BC137*(1+INDEX(Response_Table!$K$4:$K$21,MATCH($F137&amp;"|low",Response_Table!$A$4:$A$21,0))*$R137*INDEX(Parameters!$X$11:$AA$11,1,MATCH($E137,Parameters!$X$3:$AA$3,0))),BC137*(1+INDEX(Response_Table!$K$4:$K$21,MATCH($F137&amp;"|high",Response_Table!$A$4:$A$21,0))*$R137*INDEX(Parameters!$X$11:$AA$11,1,MATCH($E137,Parameters!$X$3:$AA$3,0))))*(1+Inputs_General!$C$22*Parameters!$F$11)</f>
        <v>1.31931739547343</v>
      </c>
      <c r="BG137" s="45" t="n">
        <f aca="false">IF(BC137=0,0,BD137/BC137-1)</f>
        <v>-0.124786562242283</v>
      </c>
      <c r="BH137" s="46" t="n">
        <f aca="false">Parameters!$E$12*IF($N137="V",Parameters!$I$12,IF($N137="F",Parameters!$J$12,Parameters!$K$12))*(1-Parameters!$L$12*$P137)*IF($D137="V1",Parameters!$M$12,IF($D137="V2",Parameters!$N$12,Parameters!$O$12))</f>
        <v>0.451432446428571</v>
      </c>
      <c r="BI137" s="46" t="n">
        <f aca="false">BH137*(1+INDEX(Response_Table!$L$4:$L$21,MATCH($F137&amp;"|mid",Response_Table!$A$4:$A$21,0))*$R137*INDEX(Parameters!$X$12:$AA$12,1,MATCH($E137,Parameters!$X$3:$AA$3,0)))</f>
        <v>0.406401394056409</v>
      </c>
      <c r="BJ137" s="46" t="n">
        <f aca="false">MAX(0,MIN(BH137*(1+INDEX(Response_Table!$L$4:$L$21,MATCH($F137&amp;"|low",Response_Table!$A$4:$A$21,0))*$R137*INDEX(Parameters!$X$12:$AA$12,1,MATCH($E137,Parameters!$X$3:$AA$3,0))),BH137*(1+INDEX(Response_Table!$L$4:$L$21,MATCH($F137&amp;"|high",Response_Table!$A$4:$A$21,0))*$R137*INDEX(Parameters!$X$12:$AA$12,1,MATCH($E137,Parameters!$X$3:$AA$3,0))))*(1-Inputs_General!$C$22*Parameters!$F$12))</f>
        <v>0.318418318077866</v>
      </c>
      <c r="BK137" s="46" t="n">
        <f aca="false">MAX(BH137*(1+INDEX(Response_Table!$L$4:$L$21,MATCH($F137&amp;"|low",Response_Table!$A$4:$A$21,0))*$R137*INDEX(Parameters!$X$12:$AA$12,1,MATCH($E137,Parameters!$X$3:$AA$3,0))),BH137*(1+INDEX(Response_Table!$L$4:$L$21,MATCH($F137&amp;"|high",Response_Table!$A$4:$A$21,0))*$R137*INDEX(Parameters!$X$12:$AA$12,1,MATCH($E137,Parameters!$X$3:$AA$3,0))))*(1+Inputs_General!$C$22*Parameters!$F$12)</f>
        <v>0.49891718885675</v>
      </c>
      <c r="BL137" s="45" t="n">
        <f aca="false">IF(BH137=0,0,BI137/BH137-1)</f>
        <v>-0.0997514749513863</v>
      </c>
      <c r="BM137" s="46" t="n">
        <f aca="false">Parameters!$E$13*IF($N137="V",Parameters!$I$13,IF($N137="F",Parameters!$J$13,Parameters!$K$13))*(1-Parameters!$L$13*$P137)*IF($D137="V1",Parameters!$M$13,IF($D137="V2",Parameters!$N$13,Parameters!$O$13))</f>
        <v>0.304977482142857</v>
      </c>
      <c r="BN137" s="46" t="n">
        <f aca="false">BM137*(1+INDEX(Response_Table!$M$4:$M$21,MATCH($F137&amp;"|mid",Response_Table!$A$4:$A$21,0))*$R137*INDEX(Parameters!$X$13:$AA$13,1,MATCH($E137,Parameters!$X$3:$AA$3,0)))</f>
        <v>0.308182447902685</v>
      </c>
      <c r="BO137" s="46" t="n">
        <f aca="false">MAX(0,MIN(BM137*(1+INDEX(Response_Table!$M$4:$M$21,MATCH($F137&amp;"|low",Response_Table!$A$4:$A$21,0))*$R137*INDEX(Parameters!$X$13:$AA$13,1,MATCH($E137,Parameters!$X$3:$AA$3,0))),BM137*(1+INDEX(Response_Table!$M$4:$M$21,MATCH($F137&amp;"|high",Response_Table!$A$4:$A$21,0))*$R137*INDEX(Parameters!$X$13:$AA$13,1,MATCH($E137,Parameters!$X$3:$AA$3,0))))*(1-Inputs_General!$C$22*Parameters!$F$13))</f>
        <v>0.24401078758413</v>
      </c>
      <c r="BP137" s="46" t="n">
        <f aca="false">MAX(BM137*(1+INDEX(Response_Table!$M$4:$M$21,MATCH($F137&amp;"|low",Response_Table!$A$4:$A$21,0))*$R137*INDEX(Parameters!$X$13:$AA$13,1,MATCH($E137,Parameters!$X$3:$AA$3,0))),BM137*(1+INDEX(Response_Table!$M$4:$M$21,MATCH($F137&amp;"|high",Response_Table!$A$4:$A$21,0))*$R137*INDEX(Parameters!$X$13:$AA$13,1,MATCH($E137,Parameters!$X$3:$AA$3,0))))*(1+Inputs_General!$C$22*Parameters!$F$13)</f>
        <v>0.372511001333389</v>
      </c>
      <c r="BQ137" s="45" t="n">
        <f aca="false">IF(BM137=0,0,BN137/BM137-1)</f>
        <v>0.0105088603175196</v>
      </c>
      <c r="BR137" s="44" t="n">
        <f aca="false">Parameters!$E$14*IF($N137="V",Parameters!$I$14,IF($N137="F",Parameters!$J$14,Parameters!$K$14))*(1-Parameters!$L$14*$P137)*IF($D137="V1",Parameters!$M$14,IF($D137="V2",Parameters!$N$14,Parameters!$O$14))*INDEX(Context!$AC$4:$AC$51,$K137)</f>
        <v>15</v>
      </c>
      <c r="BS137" s="44" t="n">
        <f aca="false">BR137*(1+INDEX(Response_Table!$N$4:$N$21,MATCH($F137&amp;"|mid",Response_Table!$A$4:$A$21,0))*$R137*INDEX(Parameters!$X$14:$AA$14,1,MATCH($E137,Parameters!$X$3:$AA$3,0)))</f>
        <v>16.6322968628409</v>
      </c>
      <c r="BT137" s="44" t="n">
        <f aca="false">MAX(0,MIN(BR137*(1+INDEX(Response_Table!$N$4:$N$21,MATCH($F137&amp;"|low",Response_Table!$A$4:$A$21,0))*$R137*INDEX(Parameters!$X$14:$AA$14,1,MATCH($E137,Parameters!$X$3:$AA$3,0))),BR137*(1+INDEX(Response_Table!$N$4:$N$21,MATCH($F137&amp;"|high",Response_Table!$A$4:$A$21,0))*$R137*INDEX(Parameters!$X$14:$AA$14,1,MATCH($E137,Parameters!$X$3:$AA$3,0))))*(1-Inputs_General!$C$22*Parameters!$F$14))</f>
        <v>8.23578263008946</v>
      </c>
      <c r="BU137" s="44" t="n">
        <f aca="false">MAX(BR137*(1+INDEX(Response_Table!$N$4:$N$21,MATCH($F137&amp;"|low",Response_Table!$A$4:$A$21,0))*$R137*INDEX(Parameters!$X$14:$AA$14,1,MATCH($E137,Parameters!$X$3:$AA$3,0))),BR137*(1+INDEX(Response_Table!$N$4:$N$21,MATCH($F137&amp;"|high",Response_Table!$A$4:$A$21,0))*$R137*INDEX(Parameters!$X$14:$AA$14,1,MATCH($E137,Parameters!$X$3:$AA$3,0))))*(1+Inputs_General!$C$22*Parameters!$F$14)</f>
        <v>25.3637231037007</v>
      </c>
      <c r="BV137" s="45" t="n">
        <f aca="false">IF(BR137=0,0,BS137/BR137-1)</f>
        <v>0.108819790856058</v>
      </c>
      <c r="BW137" s="43" t="n">
        <f aca="false">Parameters!$E$15*IF($N137="V",Parameters!$I$15,IF($N137="F",Parameters!$J$15,Parameters!$K$15))*(1-Parameters!$L$15*$P137)*IF($D137="V1",Parameters!$M$15,IF($D137="V2",Parameters!$N$15,Parameters!$O$15))</f>
        <v>9.73964285714286</v>
      </c>
      <c r="BX137" s="43" t="n">
        <f aca="false">BW137*(1+INDEX(Response_Table!$O$4:$O$21,MATCH($F137&amp;"|mid",Response_Table!$A$4:$A$21,0))*$R137*INDEX(Parameters!$X$15:$AA$15,1,MATCH($E137,Parameters!$X$3:$AA$3,0)))</f>
        <v>9.47467638246111</v>
      </c>
      <c r="BY137" s="43" t="n">
        <f aca="false">MAX(0,MIN(BW137*(1+INDEX(Response_Table!$O$4:$O$21,MATCH($F137&amp;"|low",Response_Table!$A$4:$A$21,0))*$R137*INDEX(Parameters!$X$15:$AA$15,1,MATCH($E137,Parameters!$X$3:$AA$3,0))),BW137*(1+INDEX(Response_Table!$O$4:$O$21,MATCH($F137&amp;"|high",Response_Table!$A$4:$A$21,0))*$R137*INDEX(Parameters!$X$15:$AA$15,1,MATCH($E137,Parameters!$X$3:$AA$3,0))))*(1-Inputs_General!$C$22*Parameters!$F$15))</f>
        <v>7.55871806661208</v>
      </c>
      <c r="BZ137" s="43" t="n">
        <f aca="false">MAX(BW137*(1+INDEX(Response_Table!$O$4:$O$21,MATCH($F137&amp;"|low",Response_Table!$A$4:$A$21,0))*$R137*INDEX(Parameters!$X$15:$AA$15,1,MATCH($E137,Parameters!$X$3:$AA$3,0))),BW137*(1+INDEX(Response_Table!$O$4:$O$21,MATCH($F137&amp;"|high",Response_Table!$A$4:$A$21,0))*$R137*INDEX(Parameters!$X$15:$AA$15,1,MATCH($E137,Parameters!$X$3:$AA$3,0))))*(1+Inputs_General!$C$22*Parameters!$F$15)</f>
        <v>11.4173055945843</v>
      </c>
      <c r="CA137" s="45" t="n">
        <f aca="false">IF(BW137=0,0,BX137/BW137-1)</f>
        <v>-0.0272049477140145</v>
      </c>
      <c r="CB137" s="46" t="n">
        <f aca="false">BD137+BI137</f>
        <v>1.5039006811512</v>
      </c>
      <c r="CC137" s="43" t="n">
        <f aca="false">BD137/BI137</f>
        <v>2.700530320874</v>
      </c>
      <c r="CD137" s="46" t="n">
        <f aca="false">BN137/CB137</f>
        <v>0.20492207481865</v>
      </c>
      <c r="CE137" s="43" t="n">
        <f aca="false">AE137/AO137</f>
        <v>2.79705445046811</v>
      </c>
      <c r="CF137" s="44" t="n">
        <f aca="false">AE137/AJ137</f>
        <v>49.9781453669483</v>
      </c>
      <c r="CG137" s="44" t="n">
        <f aca="false">INDEX(Context!$V$4:$V$51,$K137)</f>
        <v>28.62</v>
      </c>
      <c r="CH137" s="44" t="n">
        <f aca="false">INDEX(Context!$Y$4:$Y$51,$K137)</f>
        <v>25.3060134606718</v>
      </c>
      <c r="CI137" s="44" t="n">
        <f aca="false">INDEX(Context!$Z$4:$Z$51,$K137)</f>
        <v>32.62</v>
      </c>
      <c r="CJ137" s="43" t="n">
        <f aca="false">INDEX(Context!$AA$4:$AA$51,$K137)</f>
        <v>0.221696428571429</v>
      </c>
      <c r="CK137" s="43" t="n">
        <f aca="false">MAX(0,MIN(1,1-(1-CJ137)*AO137/AN137))</f>
        <v>0.299718146354102</v>
      </c>
      <c r="CL137" s="44" t="n">
        <f aca="false">CH137+CK137*(CI137-CH137)</f>
        <v>27.4981479486981</v>
      </c>
      <c r="CM137" s="44" t="n">
        <f aca="false">CH137+MAX(0,MIN(1,1-(1-CJ137)*AQ137/AN137))*(CI137-CH137)</f>
        <v>25.7457847215939</v>
      </c>
      <c r="CN137" s="44" t="n">
        <f aca="false">CH137+MAX(0,MIN(1,1-(1-CJ137)*AP137/AN137))*(CI137-CH137)</f>
        <v>29.1353377306777</v>
      </c>
      <c r="CO137" s="44" t="n">
        <f aca="false">CL137-CG137</f>
        <v>-1.12185205130192</v>
      </c>
      <c r="CP137" s="44" t="n">
        <f aca="false">CL137-(CH137+CJ137*(CI137-CH137))</f>
        <v>0.570649793637742</v>
      </c>
      <c r="CQ137" s="46" t="n">
        <f aca="false">CL137/CG137</f>
        <v>0.960801815118731</v>
      </c>
      <c r="CR137" s="43" t="n">
        <f aca="false">IF(CL137-CH137&lt;=0,"n/a",(CI137-CL137)/(CL137-CH137))</f>
        <v>2.33646798555383</v>
      </c>
      <c r="CS137" s="43" t="n">
        <f aca="false">IF(CI137-CL137&lt;=0,"n/a",(CL137-CH137)/(CI137-CL137))</f>
        <v>0.427996448563776</v>
      </c>
      <c r="CT137" s="43" t="n">
        <f aca="false">Inputs_General!$C$23+Inputs_General!$C$24*$I137</f>
        <v>0.76</v>
      </c>
      <c r="CU137" s="44" t="n">
        <f aca="false">3.29*CT137</f>
        <v>2.5004</v>
      </c>
    </row>
    <row r="138" customFormat="false" ht="15" hidden="false" customHeight="false" outlineLevel="0" collapsed="false">
      <c r="A138" s="9" t="str">
        <f aca="false">B138&amp;"|"&amp;E138&amp;"|"&amp;F138</f>
        <v>D2V3|03/03/2026|Moderate</v>
      </c>
      <c r="B138" s="7" t="s">
        <v>348</v>
      </c>
      <c r="C138" s="9" t="s">
        <v>129</v>
      </c>
      <c r="D138" s="9" t="s">
        <v>150</v>
      </c>
      <c r="E138" s="9" t="s">
        <v>162</v>
      </c>
      <c r="F138" s="7" t="s">
        <v>281</v>
      </c>
      <c r="G138" s="9" t="s">
        <v>282</v>
      </c>
      <c r="H138" s="41" t="n">
        <f aca="false">INDEX(Severity_Classes!$C$4:$C$9,MATCH(F138,Severity_Classes!$A$4:$A$9,0))</f>
        <v>0.11</v>
      </c>
      <c r="I138" s="41" t="n">
        <f aca="false">INDEX(Severity_Classes!$D$4:$D$9,MATCH(F138,Severity_Classes!$A$4:$A$9,0))</f>
        <v>0.18</v>
      </c>
      <c r="J138" s="41" t="n">
        <f aca="false">INDEX(Severity_Classes!$E$4:$E$9,MATCH(F138,Severity_Classes!$A$4:$A$9,0))</f>
        <v>0.25</v>
      </c>
      <c r="K138" s="42" t="n">
        <f aca="false">MATCH(B138&amp;"|"&amp;E138,Context!$A$4:$A$51,0)</f>
        <v>23</v>
      </c>
      <c r="L138" s="42" t="n">
        <f aca="false">INDEX(Context!$H$4:$H$51,K138)</f>
        <v>75</v>
      </c>
      <c r="M138" s="42" t="n">
        <f aca="false">INDEX(Context!$I$4:$I$51,K138)</f>
        <v>26</v>
      </c>
      <c r="N138" s="9" t="str">
        <f aca="false">INDEX(Context!$L$4:$L$51,K138)</f>
        <v>F</v>
      </c>
      <c r="O138" s="9" t="str">
        <f aca="false">INDEX(Context!$M$4:$M$51,K138)</f>
        <v>5th fully expanded leaf from top</v>
      </c>
      <c r="P138" s="43" t="n">
        <f aca="false">INDEX(Context!$R$4:$R$51,K138)</f>
        <v>0.433928571428571</v>
      </c>
      <c r="Q138" s="43" t="n">
        <f aca="false">INDEX(Context!$U$4:$U$51,K138)</f>
        <v>1.73951545534029</v>
      </c>
      <c r="R138" s="43" t="n">
        <f aca="false">INDEX(Context!$AD$4:$AD$51,K138)</f>
        <v>0.85</v>
      </c>
      <c r="S138" s="9" t="str">
        <f aca="false">INDEX(Context!$AI$4:$AN$51,K138,MATCH(F138,Severity_Classes!$A$4:$A$9,0))</f>
        <v>Likely</v>
      </c>
      <c r="T138" s="44" t="n">
        <f aca="false">Parameters!$E$4*IF($N138="V",Parameters!$I$4,IF($N138="F",Parameters!$J$4,Parameters!$K$4))*(1-Parameters!$L$4*$P138)*IF($D138="V1",Parameters!$M$4,IF($D138="V2",Parameters!$N$4,Parameters!$O$4))</f>
        <v>83.2927660714286</v>
      </c>
      <c r="U138" s="44" t="n">
        <f aca="false">MIN(100,T138*(1+INDEX(Response_Table!$E$4:$E$21,MATCH($F138&amp;"|mid",Response_Table!$A$4:$A$21,0))*$R138*INDEX(Parameters!$X$4:$AA$4,1,MATCH($E138,Parameters!$X$3:$AA$3,0))))</f>
        <v>80.0721315265001</v>
      </c>
      <c r="V138" s="44" t="n">
        <f aca="false">MAX(0,MIN(T138*(1+INDEX(Response_Table!$E$4:$E$21,MATCH($F138&amp;"|low",Response_Table!$A$4:$A$21,0))*$R138*INDEX(Parameters!$X$4:$AA$4,1,MATCH($E138,Parameters!$X$3:$AA$3,0))),T138*(1+INDEX(Response_Table!$E$4:$E$21,MATCH($F138&amp;"|high",Response_Table!$A$4:$A$21,0))*$R138*INDEX(Parameters!$X$4:$AA$4,1,MATCH($E138,Parameters!$X$3:$AA$3,0))))*(1-Inputs_General!$C$22*Parameters!$F$4))</f>
        <v>72.5495797836797</v>
      </c>
      <c r="W138" s="44" t="n">
        <f aca="false">MIN(100,MAX(T138*(1+INDEX(Response_Table!$E$4:$E$21,MATCH($F138&amp;"|low",Response_Table!$A$4:$A$21,0))*$R138*INDEX(Parameters!$X$4:$AA$4,1,MATCH($E138,Parameters!$X$3:$AA$3,0))),T138*(1+INDEX(Response_Table!$E$4:$E$21,MATCH($F138&amp;"|high",Response_Table!$A$4:$A$21,0))*$R138*INDEX(Parameters!$X$4:$AA$4,1,MATCH($E138,Parameters!$X$3:$AA$3,0))))*(1+Inputs_General!$C$22*Parameters!$F$4))</f>
        <v>87.1539703864154</v>
      </c>
      <c r="X138" s="45" t="n">
        <f aca="false">IF(T138=0,0,U138/T138-1)</f>
        <v>-0.0386664376371718</v>
      </c>
      <c r="Y138" s="44" t="n">
        <f aca="false">Parameters!$E$5*IF($N138="V",Parameters!$I$5,IF($N138="F",Parameters!$J$5,Parameters!$K$5))*(1-Parameters!$L$5*$P138)*IF($D138="V1",Parameters!$M$5,IF($D138="V2",Parameters!$N$5,Parameters!$O$5))</f>
        <v>66.88584</v>
      </c>
      <c r="Z138" s="44" t="n">
        <f aca="false">MIN(100,Y138*(1+INDEX(Response_Table!$F$4:$F$21,MATCH($F138&amp;"|mid",Response_Table!$A$4:$A$21,0))*$R138*INDEX(Parameters!$X$5:$AA$5,1,MATCH($E138,Parameters!$X$3:$AA$3,0))))</f>
        <v>57.9519656694317</v>
      </c>
      <c r="AA138" s="44" t="n">
        <f aca="false">MAX(0,MIN(Y138*(1+INDEX(Response_Table!$F$4:$F$21,MATCH($F138&amp;"|low",Response_Table!$A$4:$A$21,0))*$R138*INDEX(Parameters!$X$5:$AA$5,1,MATCH($E138,Parameters!$X$3:$AA$3,0))),Y138*(1+INDEX(Response_Table!$F$4:$F$21,MATCH($F138&amp;"|high",Response_Table!$A$4:$A$21,0))*$R138*INDEX(Parameters!$X$5:$AA$5,1,MATCH($E138,Parameters!$X$3:$AA$3,0))))*(1-Inputs_General!$C$22*Parameters!$F$5))</f>
        <v>45.4282732096215</v>
      </c>
      <c r="AB138" s="44" t="n">
        <f aca="false">MIN(100,MAX(Y138*(1+INDEX(Response_Table!$F$4:$F$21,MATCH($F138&amp;"|low",Response_Table!$A$4:$A$21,0))*$R138*INDEX(Parameters!$X$5:$AA$5,1,MATCH($E138,Parameters!$X$3:$AA$3,0))),Y138*(1+INDEX(Response_Table!$F$4:$F$21,MATCH($F138&amp;"|high",Response_Table!$A$4:$A$21,0))*$R138*INDEX(Parameters!$X$5:$AA$5,1,MATCH($E138,Parameters!$X$3:$AA$3,0))))*(1+Inputs_General!$C$22*Parameters!$F$5))</f>
        <v>70.0144934611505</v>
      </c>
      <c r="AC138" s="45" t="n">
        <f aca="false">IF(Y138=0,0,Z138/Y138-1)</f>
        <v>-0.133568993535377</v>
      </c>
      <c r="AD138" s="44" t="n">
        <f aca="false">Parameters!$E$6*IF($N138="V",Parameters!$I$6,IF($N138="F",Parameters!$J$6,Parameters!$K$6))*(1-Parameters!$L$6*$P138)*IF($D138="V1",Parameters!$M$6,IF($D138="V2",Parameters!$N$6,Parameters!$O$6))</f>
        <v>18.5509621428571</v>
      </c>
      <c r="AE138" s="44" t="n">
        <f aca="false">AD138*(1+INDEX(Response_Table!$G$4:$G$21,MATCH($F138&amp;"|mid",Response_Table!$A$4:$A$21,0))*$R138*INDEX(Parameters!$X$6:$AA$6,1,MATCH($E138,Parameters!$X$3:$AA$3,0)))</f>
        <v>12.081276680936</v>
      </c>
      <c r="AF138" s="44" t="n">
        <f aca="false">MAX(0,MIN(AD138*(1+INDEX(Response_Table!$G$4:$G$21,MATCH($F138&amp;"|low",Response_Table!$A$4:$A$21,0))*$R138*INDEX(Parameters!$X$6:$AA$6,1,MATCH($E138,Parameters!$X$3:$AA$3,0))),AD138*(1+INDEX(Response_Table!$G$4:$G$21,MATCH($F138&amp;"|high",Response_Table!$A$4:$A$21,0))*$R138*INDEX(Parameters!$X$6:$AA$6,1,MATCH($E138,Parameters!$X$3:$AA$3,0))))*(1-Inputs_General!$C$22*Parameters!$F$6))</f>
        <v>8.55678872126758</v>
      </c>
      <c r="AG138" s="44" t="n">
        <f aca="false">MAX(AD138*(1+INDEX(Response_Table!$G$4:$G$21,MATCH($F138&amp;"|low",Response_Table!$A$4:$A$21,0))*$R138*INDEX(Parameters!$X$6:$AA$6,1,MATCH($E138,Parameters!$X$3:$AA$3,0))),AD138*(1+INDEX(Response_Table!$G$4:$G$21,MATCH($F138&amp;"|high",Response_Table!$A$4:$A$21,0))*$R138*INDEX(Parameters!$X$6:$AA$6,1,MATCH($E138,Parameters!$X$3:$AA$3,0))))*(1+Inputs_General!$C$22*Parameters!$F$6)</f>
        <v>16.7796339173206</v>
      </c>
      <c r="AH138" s="45" t="n">
        <f aca="false">IF(AD138=0,0,AE138/AD138-1)</f>
        <v>-0.348752016854945</v>
      </c>
      <c r="AI138" s="46" t="n">
        <f aca="false">Parameters!$E$7*IF($N138="V",Parameters!$I$7,IF($N138="F",Parameters!$J$7,Parameters!$K$7))*(1-Parameters!$L$7*$P138)*IF($D138="V1",Parameters!$M$7,IF($D138="V2",Parameters!$N$7,Parameters!$O$7))*POWER($Q138/Inputs_General!$C$26,-Inputs_General!$C$25)</f>
        <v>0.341191629407368</v>
      </c>
      <c r="AJ138" s="46" t="n">
        <f aca="false">AI138*(1+INDEX(Response_Table!$H$4:$H$21,MATCH($F138&amp;"|mid",Response_Table!$A$4:$A$21,0))*$R138*INDEX(Parameters!$X$7:$AA$7,1,MATCH($E138,Parameters!$X$3:$AA$3,0)))</f>
        <v>0.262536180393179</v>
      </c>
      <c r="AK138" s="46" t="n">
        <f aca="false">MAX(0,MIN(AI138*(1+INDEX(Response_Table!$H$4:$H$21,MATCH($F138&amp;"|low",Response_Table!$A$4:$A$21,0))*$R138*INDEX(Parameters!$X$7:$AA$7,1,MATCH($E138,Parameters!$X$3:$AA$3,0))),AI138*(1+INDEX(Response_Table!$H$4:$H$21,MATCH($F138&amp;"|high",Response_Table!$A$4:$A$21,0))*$R138*INDEX(Parameters!$X$7:$AA$7,1,MATCH($E138,Parameters!$X$3:$AA$3,0))))*(1-Inputs_General!$C$22*Parameters!$F$7))</f>
        <v>0.170152554268411</v>
      </c>
      <c r="AL138" s="46" t="n">
        <f aca="false">MAX(AI138*(1+INDEX(Response_Table!$H$4:$H$21,MATCH($F138&amp;"|low",Response_Table!$A$4:$A$21,0))*$R138*INDEX(Parameters!$X$7:$AA$7,1,MATCH($E138,Parameters!$X$3:$AA$3,0))),AI138*(1+INDEX(Response_Table!$H$4:$H$21,MATCH($F138&amp;"|high",Response_Table!$A$4:$A$21,0))*$R138*INDEX(Parameters!$X$7:$AA$7,1,MATCH($E138,Parameters!$X$3:$AA$3,0))))*(1+Inputs_General!$C$22*Parameters!$F$7)</f>
        <v>0.373544313842361</v>
      </c>
      <c r="AM138" s="45" t="n">
        <f aca="false">IF(AI138=0,0,AJ138/AI138-1)</f>
        <v>-0.230531590563371</v>
      </c>
      <c r="AN138" s="43" t="n">
        <f aca="false">AI138*$Q138/Inputs_General!$C$13*1000</f>
        <v>5.97691956280819</v>
      </c>
      <c r="AO138" s="43" t="n">
        <f aca="false">AJ138*$Q138/Inputs_General!$C$13*1000*(1+Inputs_General!$C$21*$I138)</f>
        <v>4.8060080748443</v>
      </c>
      <c r="AP138" s="43" t="n">
        <f aca="false">AK138*$Q138/Inputs_General!$C$13*1000*(1+Inputs_General!$C$21*$H138)</f>
        <v>3.06266395124073</v>
      </c>
      <c r="AQ138" s="43" t="n">
        <f aca="false">AL138*$Q138/Inputs_General!$C$13*1000*(1+Inputs_General!$C$21*$J138)</f>
        <v>6.95264591019361</v>
      </c>
      <c r="AR138" s="45" t="n">
        <f aca="false">IF(AN138=0,0,AO138/AN138-1)</f>
        <v>-0.195905512138722</v>
      </c>
      <c r="AS138" s="42" t="n">
        <f aca="false">Parameters!$E$9*IF($N138="V",Parameters!$I$9,IF($N138="F",Parameters!$J$9,Parameters!$K$9))*(1-Parameters!$L$9*$P138)*IF($D138="V1",Parameters!$M$9,IF($D138="V2",Parameters!$N$9,Parameters!$O$9))</f>
        <v>285</v>
      </c>
      <c r="AT138" s="42" t="n">
        <f aca="false">AS138*(1+INDEX(Response_Table!$I$4:$I$21,MATCH($F138&amp;"|mid",Response_Table!$A$4:$A$21,0))*$R138*INDEX(Parameters!$X$9:$AA$9,1,MATCH($E138,Parameters!$X$3:$AA$3,0)))</f>
        <v>322.300279798109</v>
      </c>
      <c r="AU138" s="42" t="n">
        <f aca="false">MAX(0,MIN(AS138*(1+INDEX(Response_Table!$I$4:$I$21,MATCH($F138&amp;"|low",Response_Table!$A$4:$A$21,0))*$R138*INDEX(Parameters!$X$9:$AA$9,1,MATCH($E138,Parameters!$X$3:$AA$3,0))),AS138*(1+INDEX(Response_Table!$I$4:$I$21,MATCH($F138&amp;"|high",Response_Table!$A$4:$A$21,0))*$R138*INDEX(Parameters!$X$9:$AA$9,1,MATCH($E138,Parameters!$X$3:$AA$3,0))))*(1-Inputs_General!$C$22*Parameters!$F$9))</f>
        <v>280.186818337032</v>
      </c>
      <c r="AV138" s="42" t="n">
        <f aca="false">MAX(AS138*(1+INDEX(Response_Table!$I$4:$I$21,MATCH($F138&amp;"|low",Response_Table!$A$4:$A$21,0))*$R138*INDEX(Parameters!$X$9:$AA$9,1,MATCH($E138,Parameters!$X$3:$AA$3,0))),AS138*(1+INDEX(Response_Table!$I$4:$I$21,MATCH($F138&amp;"|high",Response_Table!$A$4:$A$21,0))*$R138*INDEX(Parameters!$X$9:$AA$9,1,MATCH($E138,Parameters!$X$3:$AA$3,0))))*(1+Inputs_General!$C$22*Parameters!$F$9)</f>
        <v>363.603076604055</v>
      </c>
      <c r="AW138" s="45" t="n">
        <f aca="false">IF(AS138=0,0,AT138/AS138-1)</f>
        <v>0.130878174730207</v>
      </c>
      <c r="AX138" s="43" t="n">
        <f aca="false">INDEX(Context!$AB$4:$AB$51,$K138)</f>
        <v>3.07951475277641</v>
      </c>
      <c r="AY138" s="43" t="n">
        <f aca="false">AX138*(1+INDEX(Response_Table!$J$4:$J$21,MATCH($F138&amp;"|mid",Response_Table!$A$4:$A$21,0))*$R138*INDEX(Parameters!$X$10:$AA$10,1,MATCH($E138,Parameters!$X$3:$AA$3,0)))</f>
        <v>2.65267173697653</v>
      </c>
      <c r="AZ138" s="43" t="n">
        <f aca="false">MAX(0,MIN(AX138*(1+INDEX(Response_Table!$J$4:$J$21,MATCH($F138&amp;"|low",Response_Table!$A$4:$A$21,0))*$R138*INDEX(Parameters!$X$10:$AA$10,1,MATCH($E138,Parameters!$X$3:$AA$3,0))),AX138*(1+INDEX(Response_Table!$J$4:$J$21,MATCH($F138&amp;"|high",Response_Table!$A$4:$A$21,0))*$R138*INDEX(Parameters!$X$10:$AA$10,1,MATCH($E138,Parameters!$X$3:$AA$3,0))))*(1-Inputs_General!$C$22*Parameters!$F$10))</f>
        <v>2.03225744088201</v>
      </c>
      <c r="BA138" s="43" t="n">
        <f aca="false">MAX(AX138*(1+INDEX(Response_Table!$J$4:$J$21,MATCH($F138&amp;"|low",Response_Table!$A$4:$A$21,0))*$R138*INDEX(Parameters!$X$10:$AA$10,1,MATCH($E138,Parameters!$X$3:$AA$3,0))),AX138*(1+INDEX(Response_Table!$J$4:$J$21,MATCH($F138&amp;"|high",Response_Table!$A$4:$A$21,0))*$R138*INDEX(Parameters!$X$10:$AA$10,1,MATCH($E138,Parameters!$X$3:$AA$3,0))))*(1+Inputs_General!$C$22*Parameters!$F$10)</f>
        <v>3.34830314614152</v>
      </c>
      <c r="BB138" s="45" t="n">
        <f aca="false">IF(AX138=0,0,AY138/AX138-1)</f>
        <v>-0.138607232004672</v>
      </c>
      <c r="BC138" s="46" t="n">
        <f aca="false">Parameters!$E$11*IF($N138="V",Parameters!$I$11,IF($N138="F",Parameters!$J$11,Parameters!$K$11))*(1-Parameters!$L$11*$P138)*IF($D138="V1",Parameters!$M$11,IF($D138="V2",Parameters!$N$11,Parameters!$O$11))</f>
        <v>1.25397901785714</v>
      </c>
      <c r="BD138" s="46" t="n">
        <f aca="false">BC138*(1+INDEX(Response_Table!$K$4:$K$21,MATCH($F138&amp;"|mid",Response_Table!$A$4:$A$21,0))*$R138*INDEX(Parameters!$X$11:$AA$11,1,MATCH($E138,Parameters!$X$3:$AA$3,0)))</f>
        <v>0.950621054797429</v>
      </c>
      <c r="BE138" s="46" t="n">
        <f aca="false">MAX(0,MIN(BC138*(1+INDEX(Response_Table!$K$4:$K$21,MATCH($F138&amp;"|low",Response_Table!$A$4:$A$21,0))*$R138*INDEX(Parameters!$X$11:$AA$11,1,MATCH($E138,Parameters!$X$3:$AA$3,0))),BC138*(1+INDEX(Response_Table!$K$4:$K$21,MATCH($F138&amp;"|high",Response_Table!$A$4:$A$21,0))*$R138*INDEX(Parameters!$X$11:$AA$11,1,MATCH($E138,Parameters!$X$3:$AA$3,0))))*(1-Inputs_General!$C$22*Parameters!$F$11))</f>
        <v>0.728941361373812</v>
      </c>
      <c r="BF138" s="46" t="n">
        <f aca="false">MAX(BC138*(1+INDEX(Response_Table!$K$4:$K$21,MATCH($F138&amp;"|low",Response_Table!$A$4:$A$21,0))*$R138*INDEX(Parameters!$X$11:$AA$11,1,MATCH($E138,Parameters!$X$3:$AA$3,0))),BC138*(1+INDEX(Response_Table!$K$4:$K$21,MATCH($F138&amp;"|high",Response_Table!$A$4:$A$21,0))*$R138*INDEX(Parameters!$X$11:$AA$11,1,MATCH($E138,Parameters!$X$3:$AA$3,0))))*(1+Inputs_General!$C$22*Parameters!$F$11)</f>
        <v>1.22086708791479</v>
      </c>
      <c r="BG138" s="45" t="n">
        <f aca="false">IF(BC138=0,0,BD138/BC138-1)</f>
        <v>-0.241916299028756</v>
      </c>
      <c r="BH138" s="46" t="n">
        <f aca="false">Parameters!$E$12*IF($N138="V",Parameters!$I$12,IF($N138="F",Parameters!$J$12,Parameters!$K$12))*(1-Parameters!$L$12*$P138)*IF($D138="V1",Parameters!$M$12,IF($D138="V2",Parameters!$N$12,Parameters!$O$12))</f>
        <v>0.451432446428571</v>
      </c>
      <c r="BI138" s="46" t="n">
        <f aca="false">BH138*(1+INDEX(Response_Table!$L$4:$L$21,MATCH($F138&amp;"|mid",Response_Table!$A$4:$A$21,0))*$R138*INDEX(Parameters!$X$12:$AA$12,1,MATCH($E138,Parameters!$X$3:$AA$3,0)))</f>
        <v>0.363373689584109</v>
      </c>
      <c r="BJ138" s="46" t="n">
        <f aca="false">MAX(0,MIN(BH138*(1+INDEX(Response_Table!$L$4:$L$21,MATCH($F138&amp;"|low",Response_Table!$A$4:$A$21,0))*$R138*INDEX(Parameters!$X$12:$AA$12,1,MATCH($E138,Parameters!$X$3:$AA$3,0))),BH138*(1+INDEX(Response_Table!$L$4:$L$21,MATCH($F138&amp;"|high",Response_Table!$A$4:$A$21,0))*$R138*INDEX(Parameters!$X$12:$AA$12,1,MATCH($E138,Parameters!$X$3:$AA$3,0))))*(1-Inputs_General!$C$22*Parameters!$F$12))</f>
        <v>0.272946779656067</v>
      </c>
      <c r="BK138" s="46" t="n">
        <f aca="false">MAX(BH138*(1+INDEX(Response_Table!$L$4:$L$21,MATCH($F138&amp;"|low",Response_Table!$A$4:$A$21,0))*$R138*INDEX(Parameters!$X$12:$AA$12,1,MATCH($E138,Parameters!$X$3:$AA$3,0))),BH138*(1+INDEX(Response_Table!$L$4:$L$21,MATCH($F138&amp;"|high",Response_Table!$A$4:$A$21,0))*$R138*INDEX(Parameters!$X$12:$AA$12,1,MATCH($E138,Parameters!$X$3:$AA$3,0))))*(1+Inputs_General!$C$22*Parameters!$F$12)</f>
        <v>0.469515865366667</v>
      </c>
      <c r="BL138" s="45" t="n">
        <f aca="false">IF(BH138=0,0,BI138/BH138-1)</f>
        <v>-0.19506519201516</v>
      </c>
      <c r="BM138" s="46" t="n">
        <f aca="false">Parameters!$E$13*IF($N138="V",Parameters!$I$13,IF($N138="F",Parameters!$J$13,Parameters!$K$13))*(1-Parameters!$L$13*$P138)*IF($D138="V1",Parameters!$M$13,IF($D138="V2",Parameters!$N$13,Parameters!$O$13))</f>
        <v>0.304977482142857</v>
      </c>
      <c r="BN138" s="46" t="n">
        <f aca="false">BM138*(1+INDEX(Response_Table!$M$4:$M$21,MATCH($F138&amp;"|mid",Response_Table!$A$4:$A$21,0))*$R138*INDEX(Parameters!$X$13:$AA$13,1,MATCH($E138,Parameters!$X$3:$AA$3,0)))</f>
        <v>0.282678058491164</v>
      </c>
      <c r="BO138" s="46" t="n">
        <f aca="false">MAX(0,MIN(BM138*(1+INDEX(Response_Table!$M$4:$M$21,MATCH($F138&amp;"|low",Response_Table!$A$4:$A$21,0))*$R138*INDEX(Parameters!$X$13:$AA$13,1,MATCH($E138,Parameters!$X$3:$AA$3,0))),BM138*(1+INDEX(Response_Table!$M$4:$M$21,MATCH($F138&amp;"|high",Response_Table!$A$4:$A$21,0))*$R138*INDEX(Parameters!$X$13:$AA$13,1,MATCH($E138,Parameters!$X$3:$AA$3,0))))*(1-Inputs_General!$C$22*Parameters!$F$13))</f>
        <v>0.212469480134246</v>
      </c>
      <c r="BP138" s="46" t="n">
        <f aca="false">MAX(BM138*(1+INDEX(Response_Table!$M$4:$M$21,MATCH($F138&amp;"|low",Response_Table!$A$4:$A$21,0))*$R138*INDEX(Parameters!$X$13:$AA$13,1,MATCH($E138,Parameters!$X$3:$AA$3,0))),BM138*(1+INDEX(Response_Table!$M$4:$M$21,MATCH($F138&amp;"|high",Response_Table!$A$4:$A$21,0))*$R138*INDEX(Parameters!$X$13:$AA$13,1,MATCH($E138,Parameters!$X$3:$AA$3,0))))*(1+Inputs_General!$C$22*Parameters!$F$13)</f>
        <v>0.361176337560067</v>
      </c>
      <c r="BQ138" s="45" t="n">
        <f aca="false">IF(BM138=0,0,BN138/BM138-1)</f>
        <v>-0.0731182626829087</v>
      </c>
      <c r="BR138" s="44" t="n">
        <f aca="false">Parameters!$E$14*IF($N138="V",Parameters!$I$14,IF($N138="F",Parameters!$J$14,Parameters!$K$14))*(1-Parameters!$L$14*$P138)*IF($D138="V1",Parameters!$M$14,IF($D138="V2",Parameters!$N$14,Parameters!$O$14))*INDEX(Context!$AC$4:$AC$51,$K138)</f>
        <v>15</v>
      </c>
      <c r="BS138" s="44" t="n">
        <f aca="false">BR138*(1+INDEX(Response_Table!$N$4:$N$21,MATCH($F138&amp;"|mid",Response_Table!$A$4:$A$21,0))*$R138*INDEX(Parameters!$X$14:$AA$14,1,MATCH($E138,Parameters!$X$3:$AA$3,0)))</f>
        <v>18.191975869339</v>
      </c>
      <c r="BT138" s="44" t="n">
        <f aca="false">MAX(0,MIN(BR138*(1+INDEX(Response_Table!$N$4:$N$21,MATCH($F138&amp;"|low",Response_Table!$A$4:$A$21,0))*$R138*INDEX(Parameters!$X$14:$AA$14,1,MATCH($E138,Parameters!$X$3:$AA$3,0))),BR138*(1+INDEX(Response_Table!$N$4:$N$21,MATCH($F138&amp;"|high",Response_Table!$A$4:$A$21,0))*$R138*INDEX(Parameters!$X$14:$AA$14,1,MATCH($E138,Parameters!$X$3:$AA$3,0))))*(1-Inputs_General!$C$22*Parameters!$F$14))</f>
        <v>8.68659323697798</v>
      </c>
      <c r="BU138" s="44" t="n">
        <f aca="false">MAX(BR138*(1+INDEX(Response_Table!$N$4:$N$21,MATCH($F138&amp;"|low",Response_Table!$A$4:$A$21,0))*$R138*INDEX(Parameters!$X$14:$AA$14,1,MATCH($E138,Parameters!$X$3:$AA$3,0))),BR138*(1+INDEX(Response_Table!$N$4:$N$21,MATCH($F138&amp;"|high",Response_Table!$A$4:$A$21,0))*$R138*INDEX(Parameters!$X$14:$AA$14,1,MATCH($E138,Parameters!$X$3:$AA$3,0))))*(1+Inputs_General!$C$22*Parameters!$F$14)</f>
        <v>28.4308572341319</v>
      </c>
      <c r="BV138" s="45" t="n">
        <f aca="false">IF(BR138=0,0,BS138/BR138-1)</f>
        <v>0.212798391289265</v>
      </c>
      <c r="BW138" s="43" t="n">
        <f aca="false">Parameters!$E$15*IF($N138="V",Parameters!$I$15,IF($N138="F",Parameters!$J$15,Parameters!$K$15))*(1-Parameters!$L$15*$P138)*IF($D138="V1",Parameters!$M$15,IF($D138="V2",Parameters!$N$15,Parameters!$O$15))</f>
        <v>9.73964285714286</v>
      </c>
      <c r="BX138" s="43" t="n">
        <f aca="false">BW138*(1+INDEX(Response_Table!$O$4:$O$21,MATCH($F138&amp;"|mid",Response_Table!$A$4:$A$21,0))*$R138*INDEX(Parameters!$X$15:$AA$15,1,MATCH($E138,Parameters!$X$3:$AA$3,0)))</f>
        <v>9.22149777420986</v>
      </c>
      <c r="BY138" s="43" t="n">
        <f aca="false">MAX(0,MIN(BW138*(1+INDEX(Response_Table!$O$4:$O$21,MATCH($F138&amp;"|low",Response_Table!$A$4:$A$21,0))*$R138*INDEX(Parameters!$X$15:$AA$15,1,MATCH($E138,Parameters!$X$3:$AA$3,0))),BW138*(1+INDEX(Response_Table!$O$4:$O$21,MATCH($F138&amp;"|high",Response_Table!$A$4:$A$21,0))*$R138*INDEX(Parameters!$X$15:$AA$15,1,MATCH($E138,Parameters!$X$3:$AA$3,0))))*(1-Inputs_General!$C$22*Parameters!$F$15))</f>
        <v>7.29115973520991</v>
      </c>
      <c r="BZ138" s="43" t="n">
        <f aca="false">MAX(BW138*(1+INDEX(Response_Table!$O$4:$O$21,MATCH($F138&amp;"|low",Response_Table!$A$4:$A$21,0))*$R138*INDEX(Parameters!$X$15:$AA$15,1,MATCH($E138,Parameters!$X$3:$AA$3,0))),BW138*(1+INDEX(Response_Table!$O$4:$O$21,MATCH($F138&amp;"|high",Response_Table!$A$4:$A$21,0))*$R138*INDEX(Parameters!$X$15:$AA$15,1,MATCH($E138,Parameters!$X$3:$AA$3,0))))*(1+Inputs_General!$C$22*Parameters!$F$15)</f>
        <v>11.2443057505709</v>
      </c>
      <c r="CA138" s="45" t="n">
        <f aca="false">IF(BW138=0,0,BX138/BW138-1)</f>
        <v>-0.0531995978223163</v>
      </c>
      <c r="CB138" s="46" t="n">
        <f aca="false">BD138+BI138</f>
        <v>1.31399474438154</v>
      </c>
      <c r="CC138" s="43" t="n">
        <f aca="false">BD138/BI138</f>
        <v>2.6160976483615</v>
      </c>
      <c r="CD138" s="46" t="n">
        <f aca="false">BN138/CB138</f>
        <v>0.215128758847672</v>
      </c>
      <c r="CE138" s="43" t="n">
        <f aca="false">AE138/AO138</f>
        <v>2.51378618029629</v>
      </c>
      <c r="CF138" s="44" t="n">
        <f aca="false">AE138/AJ138</f>
        <v>46.0175685608088</v>
      </c>
      <c r="CG138" s="44" t="n">
        <f aca="false">INDEX(Context!$V$4:$V$51,$K138)</f>
        <v>28.62</v>
      </c>
      <c r="CH138" s="44" t="n">
        <f aca="false">INDEX(Context!$Y$4:$Y$51,$K138)</f>
        <v>25.3060134606718</v>
      </c>
      <c r="CI138" s="44" t="n">
        <f aca="false">INDEX(Context!$Z$4:$Z$51,$K138)</f>
        <v>32.62</v>
      </c>
      <c r="CJ138" s="43" t="n">
        <f aca="false">INDEX(Context!$AA$4:$AA$51,$K138)</f>
        <v>0.221696428571429</v>
      </c>
      <c r="CK138" s="43" t="n">
        <f aca="false">MAX(0,MIN(1,1-(1-CJ138)*AO138/AN138))</f>
        <v>0.37417038833154</v>
      </c>
      <c r="CL138" s="44" t="n">
        <f aca="false">CH138+CK138*(CI138-CH138)</f>
        <v>28.0426906443439</v>
      </c>
      <c r="CM138" s="44" t="n">
        <f aca="false">CH138+MAX(0,MIN(1,1-(1-CJ138)*AQ138/AN138))*(CI138-CH138)</f>
        <v>25.9982027254866</v>
      </c>
      <c r="CN138" s="44" t="n">
        <f aca="false">CH138+MAX(0,MIN(1,1-(1-CJ138)*AP138/AN138))*(CI138-CH138)</f>
        <v>29.7030759876118</v>
      </c>
      <c r="CO138" s="44" t="n">
        <f aca="false">CL138-CG138</f>
        <v>-0.577309355656134</v>
      </c>
      <c r="CP138" s="44" t="n">
        <f aca="false">CL138-(CH138+CJ138*(CI138-CH138))</f>
        <v>1.11519248928353</v>
      </c>
      <c r="CQ138" s="46" t="n">
        <f aca="false">CL138/CG138</f>
        <v>0.979828464162958</v>
      </c>
      <c r="CR138" s="43" t="n">
        <f aca="false">IF(CL138-CH138&lt;=0,"n/a",(CI138-CL138)/(CL138-CH138))</f>
        <v>1.67257920772163</v>
      </c>
      <c r="CS138" s="43" t="n">
        <f aca="false">IF(CI138-CL138&lt;=0,"n/a",(CL138-CH138)/(CI138-CL138))</f>
        <v>0.597879009486308</v>
      </c>
      <c r="CT138" s="43" t="n">
        <f aca="false">Inputs_General!$C$23+Inputs_General!$C$24*$I138</f>
        <v>0.96</v>
      </c>
      <c r="CU138" s="44" t="n">
        <f aca="false">3.29*CT138</f>
        <v>3.1584</v>
      </c>
    </row>
    <row r="139" customFormat="false" ht="15" hidden="false" customHeight="false" outlineLevel="0" collapsed="false">
      <c r="A139" s="9" t="str">
        <f aca="false">B139&amp;"|"&amp;E139&amp;"|"&amp;F139</f>
        <v>D2V3|03/03/2026|High</v>
      </c>
      <c r="B139" s="7" t="s">
        <v>348</v>
      </c>
      <c r="C139" s="9" t="s">
        <v>129</v>
      </c>
      <c r="D139" s="9" t="s">
        <v>150</v>
      </c>
      <c r="E139" s="9" t="s">
        <v>162</v>
      </c>
      <c r="F139" s="7" t="s">
        <v>283</v>
      </c>
      <c r="G139" s="9" t="s">
        <v>284</v>
      </c>
      <c r="H139" s="41" t="n">
        <f aca="false">INDEX(Severity_Classes!$C$4:$C$9,MATCH(F139,Severity_Classes!$A$4:$A$9,0))</f>
        <v>0.26</v>
      </c>
      <c r="I139" s="41" t="n">
        <f aca="false">INDEX(Severity_Classes!$D$4:$D$9,MATCH(F139,Severity_Classes!$A$4:$A$9,0))</f>
        <v>0.38</v>
      </c>
      <c r="J139" s="41" t="n">
        <f aca="false">INDEX(Severity_Classes!$E$4:$E$9,MATCH(F139,Severity_Classes!$A$4:$A$9,0))</f>
        <v>0.5</v>
      </c>
      <c r="K139" s="42" t="n">
        <f aca="false">MATCH(B139&amp;"|"&amp;E139,Context!$A$4:$A$51,0)</f>
        <v>23</v>
      </c>
      <c r="L139" s="42" t="n">
        <f aca="false">INDEX(Context!$H$4:$H$51,K139)</f>
        <v>75</v>
      </c>
      <c r="M139" s="42" t="n">
        <f aca="false">INDEX(Context!$I$4:$I$51,K139)</f>
        <v>26</v>
      </c>
      <c r="N139" s="9" t="str">
        <f aca="false">INDEX(Context!$L$4:$L$51,K139)</f>
        <v>F</v>
      </c>
      <c r="O139" s="9" t="str">
        <f aca="false">INDEX(Context!$M$4:$M$51,K139)</f>
        <v>5th fully expanded leaf from top</v>
      </c>
      <c r="P139" s="43" t="n">
        <f aca="false">INDEX(Context!$R$4:$R$51,K139)</f>
        <v>0.433928571428571</v>
      </c>
      <c r="Q139" s="43" t="n">
        <f aca="false">INDEX(Context!$U$4:$U$51,K139)</f>
        <v>1.73951545534029</v>
      </c>
      <c r="R139" s="43" t="n">
        <f aca="false">INDEX(Context!$AD$4:$AD$51,K139)</f>
        <v>0.85</v>
      </c>
      <c r="S139" s="9" t="str">
        <f aca="false">INDEX(Context!$AI$4:$AN$51,K139,MATCH(F139,Severity_Classes!$A$4:$A$9,0))</f>
        <v>Likely</v>
      </c>
      <c r="T139" s="44" t="n">
        <f aca="false">Parameters!$E$4*IF($N139="V",Parameters!$I$4,IF($N139="F",Parameters!$J$4,Parameters!$K$4))*(1-Parameters!$L$4*$P139)*IF($D139="V1",Parameters!$M$4,IF($D139="V2",Parameters!$N$4,Parameters!$O$4))</f>
        <v>83.2927660714286</v>
      </c>
      <c r="U139" s="44" t="n">
        <f aca="false">MIN(100,T139*(1+INDEX(Response_Table!$E$4:$E$21,MATCH($F139&amp;"|mid",Response_Table!$A$4:$A$21,0))*$R139*INDEX(Parameters!$X$4:$AA$4,1,MATCH($E139,Parameters!$X$3:$AA$3,0))))</f>
        <v>71.8555467770342</v>
      </c>
      <c r="V139" s="44" t="n">
        <f aca="false">MAX(0,MIN(T139*(1+INDEX(Response_Table!$E$4:$E$21,MATCH($F139&amp;"|low",Response_Table!$A$4:$A$21,0))*$R139*INDEX(Parameters!$X$4:$AA$4,1,MATCH($E139,Parameters!$X$3:$AA$3,0))),T139*(1+INDEX(Response_Table!$E$4:$E$21,MATCH($F139&amp;"|high",Response_Table!$A$4:$A$21,0))*$R139*INDEX(Parameters!$X$4:$AA$4,1,MATCH($E139,Parameters!$X$3:$AA$3,0))))*(1-Inputs_General!$C$22*Parameters!$F$4))</f>
        <v>62.6279711713533</v>
      </c>
      <c r="W139" s="44" t="n">
        <f aca="false">MIN(100,MAX(T139*(1+INDEX(Response_Table!$E$4:$E$21,MATCH($F139&amp;"|low",Response_Table!$A$4:$A$21,0))*$R139*INDEX(Parameters!$X$4:$AA$4,1,MATCH($E139,Parameters!$X$3:$AA$3,0))),T139*(1+INDEX(Response_Table!$E$4:$E$21,MATCH($F139&amp;"|high",Response_Table!$A$4:$A$21,0))*$R139*INDEX(Parameters!$X$4:$AA$4,1,MATCH($E139,Parameters!$X$3:$AA$3,0))))*(1+Inputs_General!$C$22*Parameters!$F$4))</f>
        <v>82.34291026055</v>
      </c>
      <c r="X139" s="45" t="n">
        <f aca="false">IF(T139=0,0,U139/T139-1)</f>
        <v>-0.137313476714008</v>
      </c>
      <c r="Y139" s="44" t="n">
        <f aca="false">Parameters!$E$5*IF($N139="V",Parameters!$I$5,IF($N139="F",Parameters!$J$5,Parameters!$K$5))*(1-Parameters!$L$5*$P139)*IF($D139="V1",Parameters!$M$5,IF($D139="V2",Parameters!$N$5,Parameters!$O$5))</f>
        <v>66.88584</v>
      </c>
      <c r="Z139" s="44" t="n">
        <f aca="false">MIN(100,Y139*(1+INDEX(Response_Table!$F$4:$F$21,MATCH($F139&amp;"|mid",Response_Table!$A$4:$A$21,0))*$R139*INDEX(Parameters!$X$5:$AA$5,1,MATCH($E139,Parameters!$X$3:$AA$3,0))))</f>
        <v>38.4427021414568</v>
      </c>
      <c r="AA139" s="44" t="n">
        <f aca="false">MAX(0,MIN(Y139*(1+INDEX(Response_Table!$F$4:$F$21,MATCH($F139&amp;"|low",Response_Table!$A$4:$A$21,0))*$R139*INDEX(Parameters!$X$5:$AA$5,1,MATCH($E139,Parameters!$X$3:$AA$3,0))),Y139*(1+INDEX(Response_Table!$F$4:$F$21,MATCH($F139&amp;"|high",Response_Table!$A$4:$A$21,0))*$R139*INDEX(Parameters!$X$5:$AA$5,1,MATCH($E139,Parameters!$X$3:$AA$3,0))))*(1-Inputs_General!$C$22*Parameters!$F$5))</f>
        <v>27.6957566039868</v>
      </c>
      <c r="AB139" s="44" t="n">
        <f aca="false">MIN(100,MAX(Y139*(1+INDEX(Response_Table!$F$4:$F$21,MATCH($F139&amp;"|low",Response_Table!$A$4:$A$21,0))*$R139*INDEX(Parameters!$X$5:$AA$5,1,MATCH($E139,Parameters!$X$3:$AA$3,0))),Y139*(1+INDEX(Response_Table!$F$4:$F$21,MATCH($F139&amp;"|high",Response_Table!$A$4:$A$21,0))*$R139*INDEX(Parameters!$X$5:$AA$5,1,MATCH($E139,Parameters!$X$3:$AA$3,0))))*(1+Inputs_General!$C$22*Parameters!$F$5))</f>
        <v>56.0933637961493</v>
      </c>
      <c r="AC139" s="45" t="n">
        <f aca="false">IF(Y139=0,0,Z139/Y139-1)</f>
        <v>-0.425249019202618</v>
      </c>
      <c r="AD139" s="44" t="n">
        <f aca="false">Parameters!$E$6*IF($N139="V",Parameters!$I$6,IF($N139="F",Parameters!$J$6,Parameters!$K$6))*(1-Parameters!$L$6*$P139)*IF($D139="V1",Parameters!$M$6,IF($D139="V2",Parameters!$N$6,Parameters!$O$6))</f>
        <v>18.5509621428571</v>
      </c>
      <c r="AE139" s="44" t="n">
        <f aca="false">AD139*(1+INDEX(Response_Table!$G$4:$G$21,MATCH($F139&amp;"|mid",Response_Table!$A$4:$A$21,0))*$R139*INDEX(Parameters!$X$6:$AA$6,1,MATCH($E139,Parameters!$X$3:$AA$3,0)))</f>
        <v>8.9465303869456</v>
      </c>
      <c r="AF139" s="44" t="n">
        <f aca="false">MAX(0,MIN(AD139*(1+INDEX(Response_Table!$G$4:$G$21,MATCH($F139&amp;"|low",Response_Table!$A$4:$A$21,0))*$R139*INDEX(Parameters!$X$6:$AA$6,1,MATCH($E139,Parameters!$X$3:$AA$3,0))),AD139*(1+INDEX(Response_Table!$G$4:$G$21,MATCH($F139&amp;"|high",Response_Table!$A$4:$A$21,0))*$R139*INDEX(Parameters!$X$6:$AA$6,1,MATCH($E139,Parameters!$X$3:$AA$3,0))))*(1-Inputs_General!$C$22*Parameters!$F$6))</f>
        <v>6.44897795311595</v>
      </c>
      <c r="AG139" s="44" t="n">
        <f aca="false">MAX(AD139*(1+INDEX(Response_Table!$G$4:$G$21,MATCH($F139&amp;"|low",Response_Table!$A$4:$A$21,0))*$R139*INDEX(Parameters!$X$6:$AA$6,1,MATCH($E139,Parameters!$X$3:$AA$3,0))),AD139*(1+INDEX(Response_Table!$G$4:$G$21,MATCH($F139&amp;"|high",Response_Table!$A$4:$A$21,0))*$R139*INDEX(Parameters!$X$6:$AA$6,1,MATCH($E139,Parameters!$X$3:$AA$3,0))))*(1+Inputs_General!$C$22*Parameters!$F$6)</f>
        <v>12.56297825742</v>
      </c>
      <c r="AH139" s="45" t="n">
        <f aca="false">IF(AD139=0,0,AE139/AD139-1)</f>
        <v>-0.51773227080891</v>
      </c>
      <c r="AI139" s="46" t="n">
        <f aca="false">Parameters!$E$7*IF($N139="V",Parameters!$I$7,IF($N139="F",Parameters!$J$7,Parameters!$K$7))*(1-Parameters!$L$7*$P139)*IF($D139="V1",Parameters!$M$7,IF($D139="V2",Parameters!$N$7,Parameters!$O$7))*POWER($Q139/Inputs_General!$C$26,-Inputs_General!$C$25)</f>
        <v>0.341191629407368</v>
      </c>
      <c r="AJ139" s="46" t="n">
        <f aca="false">AI139*(1+INDEX(Response_Table!$H$4:$H$21,MATCH($F139&amp;"|mid",Response_Table!$A$4:$A$21,0))*$R139*INDEX(Parameters!$X$7:$AA$7,1,MATCH($E139,Parameters!$X$3:$AA$3,0)))</f>
        <v>0.212971818335656</v>
      </c>
      <c r="AK139" s="46" t="n">
        <f aca="false">MAX(0,MIN(AI139*(1+INDEX(Response_Table!$H$4:$H$21,MATCH($F139&amp;"|low",Response_Table!$A$4:$A$21,0))*$R139*INDEX(Parameters!$X$7:$AA$7,1,MATCH($E139,Parameters!$X$3:$AA$3,0))),AI139*(1+INDEX(Response_Table!$H$4:$H$21,MATCH($F139&amp;"|high",Response_Table!$A$4:$A$21,0))*$R139*INDEX(Parameters!$X$7:$AA$7,1,MATCH($E139,Parameters!$X$3:$AA$3,0))))*(1-Inputs_General!$C$22*Parameters!$F$7))</f>
        <v>0.137081116799336</v>
      </c>
      <c r="AL139" s="46" t="n">
        <f aca="false">MAX(AI139*(1+INDEX(Response_Table!$H$4:$H$21,MATCH($F139&amp;"|low",Response_Table!$A$4:$A$21,0))*$R139*INDEX(Parameters!$X$7:$AA$7,1,MATCH($E139,Parameters!$X$3:$AA$3,0))),AI139*(1+INDEX(Response_Table!$H$4:$H$21,MATCH($F139&amp;"|high",Response_Table!$A$4:$A$21,0))*$R139*INDEX(Parameters!$X$7:$AA$7,1,MATCH($E139,Parameters!$X$3:$AA$3,0))))*(1+Inputs_General!$C$22*Parameters!$F$7)</f>
        <v>0.309893137677501</v>
      </c>
      <c r="AM139" s="45" t="n">
        <f aca="false">IF(AI139=0,0,AJ139/AI139-1)</f>
        <v>-0.375799990446492</v>
      </c>
      <c r="AN139" s="43" t="n">
        <f aca="false">AI139*$Q139/Inputs_General!$C$13*1000</f>
        <v>5.97691956280819</v>
      </c>
      <c r="AO139" s="43" t="n">
        <f aca="false">AJ139*$Q139/Inputs_General!$C$13*1000*(1+Inputs_General!$C$21*$I139)</f>
        <v>4.08521860678493</v>
      </c>
      <c r="AP139" s="43" t="n">
        <f aca="false">AK139*$Q139/Inputs_General!$C$13*1000*(1+Inputs_General!$C$21*$H139)</f>
        <v>2.55744489620097</v>
      </c>
      <c r="AQ139" s="43" t="n">
        <f aca="false">AL139*$Q139/Inputs_General!$C$13*1000*(1+Inputs_General!$C$21*$J139)</f>
        <v>6.10721943913038</v>
      </c>
      <c r="AR139" s="45" t="n">
        <f aca="false">IF(AN139=0,0,AO139/AN139-1)</f>
        <v>-0.316500989538909</v>
      </c>
      <c r="AS139" s="42" t="n">
        <f aca="false">Parameters!$E$9*IF($N139="V",Parameters!$I$9,IF($N139="F",Parameters!$J$9,Parameters!$K$9))*(1-Parameters!$L$9*$P139)*IF($D139="V1",Parameters!$M$9,IF($D139="V2",Parameters!$N$9,Parameters!$O$9))</f>
        <v>285</v>
      </c>
      <c r="AT139" s="42" t="n">
        <f aca="false">AS139*(1+INDEX(Response_Table!$I$4:$I$21,MATCH($F139&amp;"|mid",Response_Table!$A$4:$A$21,0))*$R139*INDEX(Parameters!$X$9:$AA$9,1,MATCH($E139,Parameters!$X$3:$AA$3,0)))</f>
        <v>341.780113615748</v>
      </c>
      <c r="AU139" s="42" t="n">
        <f aca="false">MAX(0,MIN(AS139*(1+INDEX(Response_Table!$I$4:$I$21,MATCH($F139&amp;"|low",Response_Table!$A$4:$A$21,0))*$R139*INDEX(Parameters!$X$9:$AA$9,1,MATCH($E139,Parameters!$X$3:$AA$3,0))),AS139*(1+INDEX(Response_Table!$I$4:$I$21,MATCH($F139&amp;"|high",Response_Table!$A$4:$A$21,0))*$R139*INDEX(Parameters!$X$9:$AA$9,1,MATCH($E139,Parameters!$X$3:$AA$3,0))))*(1-Inputs_General!$C$22*Parameters!$F$9))</f>
        <v>299.220496875066</v>
      </c>
      <c r="AV139" s="42" t="n">
        <f aca="false">MAX(AS139*(1+INDEX(Response_Table!$I$4:$I$21,MATCH($F139&amp;"|low",Response_Table!$A$4:$A$21,0))*$R139*INDEX(Parameters!$X$9:$AA$9,1,MATCH($E139,Parameters!$X$3:$AA$3,0))),AS139*(1+INDEX(Response_Table!$I$4:$I$21,MATCH($F139&amp;"|high",Response_Table!$A$4:$A$21,0))*$R139*INDEX(Parameters!$X$9:$AA$9,1,MATCH($E139,Parameters!$X$3:$AA$3,0))))*(1+Inputs_General!$C$22*Parameters!$F$9)</f>
        <v>382.171267759079</v>
      </c>
      <c r="AW139" s="45" t="n">
        <f aca="false">IF(AS139=0,0,AT139/AS139-1)</f>
        <v>0.199228468827185</v>
      </c>
      <c r="AX139" s="43" t="n">
        <f aca="false">INDEX(Context!$AB$4:$AB$51,$K139)</f>
        <v>3.07951475277641</v>
      </c>
      <c r="AY139" s="43" t="n">
        <f aca="false">AX139*(1+INDEX(Response_Table!$J$4:$J$21,MATCH($F139&amp;"|mid",Response_Table!$A$4:$A$21,0))*$R139*INDEX(Parameters!$X$10:$AA$10,1,MATCH($E139,Parameters!$X$3:$AA$3,0)))</f>
        <v>2.35714817770567</v>
      </c>
      <c r="AZ139" s="43" t="n">
        <f aca="false">MAX(0,MIN(AX139*(1+INDEX(Response_Table!$J$4:$J$21,MATCH($F139&amp;"|low",Response_Table!$A$4:$A$21,0))*$R139*INDEX(Parameters!$X$10:$AA$10,1,MATCH($E139,Parameters!$X$3:$AA$3,0))),AX139*(1+INDEX(Response_Table!$J$4:$J$21,MATCH($F139&amp;"|high",Response_Table!$A$4:$A$21,0))*$R139*INDEX(Parameters!$X$10:$AA$10,1,MATCH($E139,Parameters!$X$3:$AA$3,0))))*(1-Inputs_General!$C$22*Parameters!$F$10))</f>
        <v>1.79708439102287</v>
      </c>
      <c r="BA139" s="43" t="n">
        <f aca="false">MAX(AX139*(1+INDEX(Response_Table!$J$4:$J$21,MATCH($F139&amp;"|low",Response_Table!$A$4:$A$21,0))*$R139*INDEX(Parameters!$X$10:$AA$10,1,MATCH($E139,Parameters!$X$3:$AA$3,0))),AX139*(1+INDEX(Response_Table!$J$4:$J$21,MATCH($F139&amp;"|high",Response_Table!$A$4:$A$21,0))*$R139*INDEX(Parameters!$X$10:$AA$10,1,MATCH($E139,Parameters!$X$3:$AA$3,0))))*(1+Inputs_General!$C$22*Parameters!$F$10)</f>
        <v>3.01328774632529</v>
      </c>
      <c r="BB139" s="45" t="n">
        <f aca="false">IF(AX139=0,0,AY139/AX139-1)</f>
        <v>-0.234571558528653</v>
      </c>
      <c r="BC139" s="46" t="n">
        <f aca="false">Parameters!$E$11*IF($N139="V",Parameters!$I$11,IF($N139="F",Parameters!$J$11,Parameters!$K$11))*(1-Parameters!$L$11*$P139)*IF($D139="V1",Parameters!$M$11,IF($D139="V2",Parameters!$N$11,Parameters!$O$11))</f>
        <v>1.25397901785714</v>
      </c>
      <c r="BD139" s="46" t="n">
        <f aca="false">BC139*(1+INDEX(Response_Table!$K$4:$K$21,MATCH($F139&amp;"|mid",Response_Table!$A$4:$A$21,0))*$R139*INDEX(Parameters!$X$11:$AA$11,1,MATCH($E139,Parameters!$X$3:$AA$3,0)))</f>
        <v>0.766517788700374</v>
      </c>
      <c r="BE139" s="46" t="n">
        <f aca="false">MAX(0,MIN(BC139*(1+INDEX(Response_Table!$K$4:$K$21,MATCH($F139&amp;"|low",Response_Table!$A$4:$A$21,0))*$R139*INDEX(Parameters!$X$11:$AA$11,1,MATCH($E139,Parameters!$X$3:$AA$3,0))),BC139*(1+INDEX(Response_Table!$K$4:$K$21,MATCH($F139&amp;"|high",Response_Table!$A$4:$A$21,0))*$R139*INDEX(Parameters!$X$11:$AA$11,1,MATCH($E139,Parameters!$X$3:$AA$3,0))))*(1-Inputs_General!$C$22*Parameters!$F$11))</f>
        <v>0.585714110881613</v>
      </c>
      <c r="BF139" s="46" t="n">
        <f aca="false">MAX(BC139*(1+INDEX(Response_Table!$K$4:$K$21,MATCH($F139&amp;"|low",Response_Table!$A$4:$A$21,0))*$R139*INDEX(Parameters!$X$11:$AA$11,1,MATCH($E139,Parameters!$X$3:$AA$3,0))),BC139*(1+INDEX(Response_Table!$K$4:$K$21,MATCH($F139&amp;"|high",Response_Table!$A$4:$A$21,0))*$R139*INDEX(Parameters!$X$11:$AA$11,1,MATCH($E139,Parameters!$X$3:$AA$3,0))))*(1+Inputs_General!$C$22*Parameters!$F$11)</f>
        <v>1.00456425853807</v>
      </c>
      <c r="BG139" s="45" t="n">
        <f aca="false">IF(BC139=0,0,BD139/BC139-1)</f>
        <v>-0.388731567446611</v>
      </c>
      <c r="BH139" s="46" t="n">
        <f aca="false">Parameters!$E$12*IF($N139="V",Parameters!$I$12,IF($N139="F",Parameters!$J$12,Parameters!$K$12))*(1-Parameters!$L$12*$P139)*IF($D139="V1",Parameters!$M$12,IF($D139="V2",Parameters!$N$12,Parameters!$O$12))</f>
        <v>0.451432446428571</v>
      </c>
      <c r="BI139" s="46" t="n">
        <f aca="false">BH139*(1+INDEX(Response_Table!$L$4:$L$21,MATCH($F139&amp;"|mid",Response_Table!$A$4:$A$21,0))*$R139*INDEX(Parameters!$X$12:$AA$12,1,MATCH($E139,Parameters!$X$3:$AA$3,0)))</f>
        <v>0.307883877228108</v>
      </c>
      <c r="BJ139" s="46" t="n">
        <f aca="false">MAX(0,MIN(BH139*(1+INDEX(Response_Table!$L$4:$L$21,MATCH($F139&amp;"|low",Response_Table!$A$4:$A$21,0))*$R139*INDEX(Parameters!$X$12:$AA$12,1,MATCH($E139,Parameters!$X$3:$AA$3,0))),BH139*(1+INDEX(Response_Table!$L$4:$L$21,MATCH($F139&amp;"|high",Response_Table!$A$4:$A$21,0))*$R139*INDEX(Parameters!$X$12:$AA$12,1,MATCH($E139,Parameters!$X$3:$AA$3,0))))*(1-Inputs_General!$C$22*Parameters!$F$12))</f>
        <v>0.2307300101019</v>
      </c>
      <c r="BK139" s="46" t="n">
        <f aca="false">MAX(BH139*(1+INDEX(Response_Table!$L$4:$L$21,MATCH($F139&amp;"|low",Response_Table!$A$4:$A$21,0))*$R139*INDEX(Parameters!$X$12:$AA$12,1,MATCH($E139,Parameters!$X$3:$AA$3,0))),BH139*(1+INDEX(Response_Table!$L$4:$L$21,MATCH($F139&amp;"|high",Response_Table!$A$4:$A$21,0))*$R139*INDEX(Parameters!$X$12:$AA$12,1,MATCH($E139,Parameters!$X$3:$AA$3,0))))*(1+Inputs_General!$C$22*Parameters!$F$12)</f>
        <v>0.403681764015473</v>
      </c>
      <c r="BL139" s="45" t="n">
        <f aca="false">IF(BH139=0,0,BI139/BH139-1)</f>
        <v>-0.317984607300878</v>
      </c>
      <c r="BM139" s="46" t="n">
        <f aca="false">Parameters!$E$13*IF($N139="V",Parameters!$I$13,IF($N139="F",Parameters!$J$13,Parameters!$K$13))*(1-Parameters!$L$13*$P139)*IF($D139="V1",Parameters!$M$13,IF($D139="V2",Parameters!$N$13,Parameters!$O$13))</f>
        <v>0.304977482142857</v>
      </c>
      <c r="BN139" s="46" t="n">
        <f aca="false">BM139*(1+INDEX(Response_Table!$M$4:$M$21,MATCH($F139&amp;"|mid",Response_Table!$A$4:$A$21,0))*$R139*INDEX(Parameters!$X$13:$AA$13,1,MATCH($E139,Parameters!$X$3:$AA$3,0)))</f>
        <v>0.240438183251011</v>
      </c>
      <c r="BO139" s="46" t="n">
        <f aca="false">MAX(0,MIN(BM139*(1+INDEX(Response_Table!$M$4:$M$21,MATCH($F139&amp;"|low",Response_Table!$A$4:$A$21,0))*$R139*INDEX(Parameters!$X$13:$AA$13,1,MATCH($E139,Parameters!$X$3:$AA$3,0))),BM139*(1+INDEX(Response_Table!$M$4:$M$21,MATCH($F139&amp;"|high",Response_Table!$A$4:$A$21,0))*$R139*INDEX(Parameters!$X$13:$AA$13,1,MATCH($E139,Parameters!$X$3:$AA$3,0))))*(1-Inputs_General!$C$22*Parameters!$F$13))</f>
        <v>0.182026483187927</v>
      </c>
      <c r="BP139" s="46" t="n">
        <f aca="false">MAX(BM139*(1+INDEX(Response_Table!$M$4:$M$21,MATCH($F139&amp;"|low",Response_Table!$A$4:$A$21,0))*$R139*INDEX(Parameters!$X$13:$AA$13,1,MATCH($E139,Parameters!$X$3:$AA$3,0))),BM139*(1+INDEX(Response_Table!$M$4:$M$21,MATCH($F139&amp;"|high",Response_Table!$A$4:$A$21,0))*$R139*INDEX(Parameters!$X$13:$AA$13,1,MATCH($E139,Parameters!$X$3:$AA$3,0))))*(1+Inputs_General!$C$22*Parameters!$F$13)</f>
        <v>0.314229086457464</v>
      </c>
      <c r="BQ139" s="45" t="n">
        <f aca="false">IF(BM139=0,0,BN139/BM139-1)</f>
        <v>-0.211619882354511</v>
      </c>
      <c r="BR139" s="44" t="n">
        <f aca="false">Parameters!$E$14*IF($N139="V",Parameters!$I$14,IF($N139="F",Parameters!$J$14,Parameters!$K$14))*(1-Parameters!$L$14*$P139)*IF($D139="V1",Parameters!$M$14,IF($D139="V2",Parameters!$N$14,Parameters!$O$14))*INDEX(Context!$AC$4:$AC$51,$K139)</f>
        <v>15</v>
      </c>
      <c r="BS139" s="44" t="n">
        <f aca="false">BR139*(1+INDEX(Response_Table!$N$4:$N$21,MATCH($F139&amp;"|mid",Response_Table!$A$4:$A$21,0))*$R139*INDEX(Parameters!$X$14:$AA$14,1,MATCH($E139,Parameters!$X$3:$AA$3,0)))</f>
        <v>20.2033844831053</v>
      </c>
      <c r="BT139" s="44" t="n">
        <f aca="false">MAX(0,MIN(BR139*(1+INDEX(Response_Table!$N$4:$N$21,MATCH($F139&amp;"|low",Response_Table!$A$4:$A$21,0))*$R139*INDEX(Parameters!$X$14:$AA$14,1,MATCH($E139,Parameters!$X$3:$AA$3,0))),BR139*(1+INDEX(Response_Table!$N$4:$N$21,MATCH($F139&amp;"|high",Response_Table!$A$4:$A$21,0))*$R139*INDEX(Parameters!$X$14:$AA$14,1,MATCH($E139,Parameters!$X$3:$AA$3,0))))*(1-Inputs_General!$C$22*Parameters!$F$14))</f>
        <v>9.69602776784537</v>
      </c>
      <c r="BU139" s="44" t="n">
        <f aca="false">MAX(BR139*(1+INDEX(Response_Table!$N$4:$N$21,MATCH($F139&amp;"|low",Response_Table!$A$4:$A$21,0))*$R139*INDEX(Parameters!$X$14:$AA$14,1,MATCH($E139,Parameters!$X$3:$AA$3,0))),BR139*(1+INDEX(Response_Table!$N$4:$N$21,MATCH($F139&amp;"|high",Response_Table!$A$4:$A$21,0))*$R139*INDEX(Parameters!$X$14:$AA$14,1,MATCH($E139,Parameters!$X$3:$AA$3,0))))*(1+Inputs_General!$C$22*Parameters!$F$14)</f>
        <v>31.2784515595102</v>
      </c>
      <c r="BV139" s="45" t="n">
        <f aca="false">IF(BR139=0,0,BS139/BR139-1)</f>
        <v>0.346892298873685</v>
      </c>
      <c r="BW139" s="43" t="n">
        <f aca="false">Parameters!$E$15*IF($N139="V",Parameters!$I$15,IF($N139="F",Parameters!$J$15,Parameters!$K$15))*(1-Parameters!$L$15*$P139)*IF($D139="V1",Parameters!$M$15,IF($D139="V2",Parameters!$N$15,Parameters!$O$15))</f>
        <v>9.73964285714286</v>
      </c>
      <c r="BX139" s="43" t="n">
        <f aca="false">BW139*(1+INDEX(Response_Table!$O$4:$O$21,MATCH($F139&amp;"|mid",Response_Table!$A$4:$A$21,0))*$R139*INDEX(Parameters!$X$15:$AA$15,1,MATCH($E139,Parameters!$X$3:$AA$3,0)))</f>
        <v>8.89499108191212</v>
      </c>
      <c r="BY139" s="43" t="n">
        <f aca="false">MAX(0,MIN(BW139*(1+INDEX(Response_Table!$O$4:$O$21,MATCH($F139&amp;"|low",Response_Table!$A$4:$A$21,0))*$R139*INDEX(Parameters!$X$15:$AA$15,1,MATCH($E139,Parameters!$X$3:$AA$3,0))),BW139*(1+INDEX(Response_Table!$O$4:$O$21,MATCH($F139&amp;"|high",Response_Table!$A$4:$A$21,0))*$R139*INDEX(Parameters!$X$15:$AA$15,1,MATCH($E139,Parameters!$X$3:$AA$3,0))))*(1-Inputs_General!$C$22*Parameters!$F$15))</f>
        <v>7.0427527357738</v>
      </c>
      <c r="BZ139" s="43" t="n">
        <f aca="false">MAX(BW139*(1+INDEX(Response_Table!$O$4:$O$21,MATCH($F139&amp;"|low",Response_Table!$A$4:$A$21,0))*$R139*INDEX(Parameters!$X$15:$AA$15,1,MATCH($E139,Parameters!$X$3:$AA$3,0))),BW139*(1+INDEX(Response_Table!$O$4:$O$21,MATCH($F139&amp;"|high",Response_Table!$A$4:$A$21,0))*$R139*INDEX(Parameters!$X$15:$AA$15,1,MATCH($E139,Parameters!$X$3:$AA$3,0))))*(1+Inputs_General!$C$22*Parameters!$F$15)</f>
        <v>10.8569323975189</v>
      </c>
      <c r="CA139" s="45" t="n">
        <f aca="false">IF(BW139=0,0,BX139/BW139-1)</f>
        <v>-0.0867230747184212</v>
      </c>
      <c r="CB139" s="46" t="n">
        <f aca="false">BD139+BI139</f>
        <v>1.07440166592848</v>
      </c>
      <c r="CC139" s="43" t="n">
        <f aca="false">BD139/BI139</f>
        <v>2.48963276544835</v>
      </c>
      <c r="CD139" s="46" t="n">
        <f aca="false">BN139/CB139</f>
        <v>0.22378798439709</v>
      </c>
      <c r="CE139" s="43" t="n">
        <f aca="false">AE139/AO139</f>
        <v>2.18997592248473</v>
      </c>
      <c r="CF139" s="44" t="n">
        <f aca="false">AE139/AJ139</f>
        <v>42.0080480922849</v>
      </c>
      <c r="CG139" s="44" t="n">
        <f aca="false">INDEX(Context!$V$4:$V$51,$K139)</f>
        <v>28.62</v>
      </c>
      <c r="CH139" s="44" t="n">
        <f aca="false">INDEX(Context!$Y$4:$Y$51,$K139)</f>
        <v>25.3060134606718</v>
      </c>
      <c r="CI139" s="44" t="n">
        <f aca="false">INDEX(Context!$Z$4:$Z$51,$K139)</f>
        <v>32.62</v>
      </c>
      <c r="CJ139" s="43" t="n">
        <f aca="false">INDEX(Context!$AA$4:$AA$51,$K139)</f>
        <v>0.221696428571429</v>
      </c>
      <c r="CK139" s="43" t="n">
        <f aca="false">MAX(0,MIN(1,1-(1-CJ139)*AO139/AN139))</f>
        <v>0.468030279090238</v>
      </c>
      <c r="CL139" s="44" t="n">
        <f aca="false">CH139+CK139*(CI139-CH139)</f>
        <v>28.7291806219358</v>
      </c>
      <c r="CM139" s="44" t="n">
        <f aca="false">CH139+MAX(0,MIN(1,1-(1-CJ139)*AQ139/AN139))*(CI139-CH139)</f>
        <v>26.8033987291663</v>
      </c>
      <c r="CN139" s="44" t="n">
        <f aca="false">CH139+MAX(0,MIN(1,1-(1-CJ139)*AP139/AN139))*(CI139-CH139)</f>
        <v>30.1842536867076</v>
      </c>
      <c r="CO139" s="44" t="n">
        <f aca="false">CL139-CG139</f>
        <v>0.109180621935806</v>
      </c>
      <c r="CP139" s="44" t="n">
        <f aca="false">CL139-(CH139+CJ139*(CI139-CH139))</f>
        <v>1.80168246687547</v>
      </c>
      <c r="CQ139" s="46" t="n">
        <f aca="false">CL139/CG139</f>
        <v>1.00381483654563</v>
      </c>
      <c r="CR139" s="43" t="n">
        <f aca="false">IF(CL139-CH139&lt;=0,"n/a",(CI139-CL139)/(CL139-CH139))</f>
        <v>1.13661390016007</v>
      </c>
      <c r="CS139" s="43" t="n">
        <f aca="false">IF(CI139-CL139&lt;=0,"n/a",(CL139-CH139)/(CI139-CL139))</f>
        <v>0.879806238388577</v>
      </c>
      <c r="CT139" s="43" t="n">
        <f aca="false">Inputs_General!$C$23+Inputs_General!$C$24*$I139</f>
        <v>1.36</v>
      </c>
      <c r="CU139" s="44" t="n">
        <f aca="false">3.29*CT139</f>
        <v>4.4744</v>
      </c>
    </row>
    <row r="140" customFormat="false" ht="15" hidden="false" customHeight="false" outlineLevel="0" collapsed="false">
      <c r="A140" s="9" t="str">
        <f aca="false">B140&amp;"|"&amp;E140&amp;"|"&amp;F140</f>
        <v>D2V3|03/03/2026|Very high</v>
      </c>
      <c r="B140" s="7" t="s">
        <v>348</v>
      </c>
      <c r="C140" s="9" t="s">
        <v>129</v>
      </c>
      <c r="D140" s="9" t="s">
        <v>150</v>
      </c>
      <c r="E140" s="9" t="s">
        <v>162</v>
      </c>
      <c r="F140" s="7" t="s">
        <v>285</v>
      </c>
      <c r="G140" s="9" t="s">
        <v>286</v>
      </c>
      <c r="H140" s="41" t="n">
        <f aca="false">INDEX(Severity_Classes!$C$4:$C$9,MATCH(F140,Severity_Classes!$A$4:$A$9,0))</f>
        <v>0.51</v>
      </c>
      <c r="I140" s="41" t="n">
        <f aca="false">INDEX(Severity_Classes!$D$4:$D$9,MATCH(F140,Severity_Classes!$A$4:$A$9,0))</f>
        <v>0.65</v>
      </c>
      <c r="J140" s="41" t="n">
        <f aca="false">INDEX(Severity_Classes!$E$4:$E$9,MATCH(F140,Severity_Classes!$A$4:$A$9,0))</f>
        <v>0.85</v>
      </c>
      <c r="K140" s="42" t="n">
        <f aca="false">MATCH(B140&amp;"|"&amp;E140,Context!$A$4:$A$51,0)</f>
        <v>23</v>
      </c>
      <c r="L140" s="42" t="n">
        <f aca="false">INDEX(Context!$H$4:$H$51,K140)</f>
        <v>75</v>
      </c>
      <c r="M140" s="42" t="n">
        <f aca="false">INDEX(Context!$I$4:$I$51,K140)</f>
        <v>26</v>
      </c>
      <c r="N140" s="9" t="str">
        <f aca="false">INDEX(Context!$L$4:$L$51,K140)</f>
        <v>F</v>
      </c>
      <c r="O140" s="9" t="str">
        <f aca="false">INDEX(Context!$M$4:$M$51,K140)</f>
        <v>5th fully expanded leaf from top</v>
      </c>
      <c r="P140" s="43" t="n">
        <f aca="false">INDEX(Context!$R$4:$R$51,K140)</f>
        <v>0.433928571428571</v>
      </c>
      <c r="Q140" s="43" t="n">
        <f aca="false">INDEX(Context!$U$4:$U$51,K140)</f>
        <v>1.73951545534029</v>
      </c>
      <c r="R140" s="43" t="n">
        <f aca="false">INDEX(Context!$AD$4:$AD$51,K140)</f>
        <v>0.85</v>
      </c>
      <c r="S140" s="9" t="str">
        <f aca="false">INDEX(Context!$AI$4:$AN$51,K140,MATCH(F140,Severity_Classes!$A$4:$A$9,0))</f>
        <v>Possible</v>
      </c>
      <c r="T140" s="44" t="n">
        <f aca="false">Parameters!$E$4*IF($N140="V",Parameters!$I$4,IF($N140="F",Parameters!$J$4,Parameters!$K$4))*(1-Parameters!$L$4*$P140)*IF($D140="V1",Parameters!$M$4,IF($D140="V2",Parameters!$N$4,Parameters!$O$4))</f>
        <v>83.2927660714286</v>
      </c>
      <c r="U140" s="44" t="n">
        <f aca="false">MIN(100,T140*(1+INDEX(Response_Table!$E$4:$E$21,MATCH($F140&amp;"|mid",Response_Table!$A$4:$A$21,0))*$R140*INDEX(Parameters!$X$4:$AA$4,1,MATCH($E140,Parameters!$X$3:$AA$3,0))))</f>
        <v>63.7515005088741</v>
      </c>
      <c r="V140" s="44" t="n">
        <f aca="false">MAX(0,MIN(T140*(1+INDEX(Response_Table!$E$4:$E$21,MATCH($F140&amp;"|low",Response_Table!$A$4:$A$21,0))*$R140*INDEX(Parameters!$X$4:$AA$4,1,MATCH($E140,Parameters!$X$3:$AA$3,0))),T140*(1+INDEX(Response_Table!$E$4:$E$21,MATCH($F140&amp;"|high",Response_Table!$A$4:$A$21,0))*$R140*INDEX(Parameters!$X$4:$AA$4,1,MATCH($E140,Parameters!$X$3:$AA$3,0))))*(1-Inputs_General!$C$22*Parameters!$F$4))</f>
        <v>58.2893410195042</v>
      </c>
      <c r="W140" s="44" t="n">
        <f aca="false">MIN(100,MAX(T140*(1+INDEX(Response_Table!$E$4:$E$21,MATCH($F140&amp;"|low",Response_Table!$A$4:$A$21,0))*$R140*INDEX(Parameters!$X$4:$AA$4,1,MATCH($E140,Parameters!$X$3:$AA$3,0))),T140*(1+INDEX(Response_Table!$E$4:$E$21,MATCH($F140&amp;"|high",Response_Table!$A$4:$A$21,0))*$R140*INDEX(Parameters!$X$4:$AA$4,1,MATCH($E140,Parameters!$X$3:$AA$3,0))))*(1+Inputs_General!$C$22*Parameters!$F$4))</f>
        <v>71.114065927743</v>
      </c>
      <c r="X140" s="45" t="n">
        <f aca="false">IF(T140=0,0,U140/T140-1)</f>
        <v>-0.234609396280545</v>
      </c>
      <c r="Y140" s="44" t="n">
        <f aca="false">Parameters!$E$5*IF($N140="V",Parameters!$I$5,IF($N140="F",Parameters!$J$5,Parameters!$K$5))*(1-Parameters!$L$5*$P140)*IF($D140="V1",Parameters!$M$5,IF($D140="V2",Parameters!$N$5,Parameters!$O$5))</f>
        <v>66.88584</v>
      </c>
      <c r="Z140" s="44" t="n">
        <f aca="false">MIN(100,Y140*(1+INDEX(Response_Table!$F$4:$F$21,MATCH($F140&amp;"|mid",Response_Table!$A$4:$A$21,0))*$R140*INDEX(Parameters!$X$5:$AA$5,1,MATCH($E140,Parameters!$X$3:$AA$3,0))))</f>
        <v>28.1073389785052</v>
      </c>
      <c r="AA140" s="44" t="n">
        <f aca="false">MAX(0,MIN(Y140*(1+INDEX(Response_Table!$F$4:$F$21,MATCH($F140&amp;"|low",Response_Table!$A$4:$A$21,0))*$R140*INDEX(Parameters!$X$5:$AA$5,1,MATCH($E140,Parameters!$X$3:$AA$3,0))),Y140*(1+INDEX(Response_Table!$F$4:$F$21,MATCH($F140&amp;"|high",Response_Table!$A$4:$A$21,0))*$R140*INDEX(Parameters!$X$5:$AA$5,1,MATCH($E140,Parameters!$X$3:$AA$3,0))))*(1-Inputs_General!$C$22*Parameters!$F$5))</f>
        <v>24.0940683955445</v>
      </c>
      <c r="AB140" s="44" t="n">
        <f aca="false">MIN(100,MAX(Y140*(1+INDEX(Response_Table!$F$4:$F$21,MATCH($F140&amp;"|low",Response_Table!$A$4:$A$21,0))*$R140*INDEX(Parameters!$X$5:$AA$5,1,MATCH($E140,Parameters!$X$3:$AA$3,0))),Y140*(1+INDEX(Response_Table!$F$4:$F$21,MATCH($F140&amp;"|high",Response_Table!$A$4:$A$21,0))*$R140*INDEX(Parameters!$X$5:$AA$5,1,MATCH($E140,Parameters!$X$3:$AA$3,0))))*(1+Inputs_General!$C$22*Parameters!$F$5))</f>
        <v>34.4979634369581</v>
      </c>
      <c r="AC140" s="45" t="n">
        <f aca="false">IF(Y140=0,0,Z140/Y140-1)</f>
        <v>-0.579771458674883</v>
      </c>
      <c r="AD140" s="44" t="n">
        <f aca="false">Parameters!$E$6*IF($N140="V",Parameters!$I$6,IF($N140="F",Parameters!$J$6,Parameters!$K$6))*(1-Parameters!$L$6*$P140)*IF($D140="V1",Parameters!$M$6,IF($D140="V2",Parameters!$N$6,Parameters!$O$6))</f>
        <v>18.5509621428571</v>
      </c>
      <c r="AE140" s="44" t="n">
        <f aca="false">AD140*(1+INDEX(Response_Table!$G$4:$G$21,MATCH($F140&amp;"|mid",Response_Table!$A$4:$A$21,0))*$R140*INDEX(Parameters!$X$6:$AA$6,1,MATCH($E140,Parameters!$X$3:$AA$3,0)))</f>
        <v>7.40199778661453</v>
      </c>
      <c r="AF140" s="44" t="n">
        <f aca="false">MAX(0,MIN(AD140*(1+INDEX(Response_Table!$G$4:$G$21,MATCH($F140&amp;"|low",Response_Table!$A$4:$A$21,0))*$R140*INDEX(Parameters!$X$6:$AA$6,1,MATCH($E140,Parameters!$X$3:$AA$3,0))),AD140*(1+INDEX(Response_Table!$G$4:$G$21,MATCH($F140&amp;"|high",Response_Table!$A$4:$A$21,0))*$R140*INDEX(Parameters!$X$6:$AA$6,1,MATCH($E140,Parameters!$X$3:$AA$3,0))))*(1-Inputs_General!$C$22*Parameters!$F$6))</f>
        <v>5.62273104827375</v>
      </c>
      <c r="AG140" s="44" t="n">
        <f aca="false">MAX(AD140*(1+INDEX(Response_Table!$G$4:$G$21,MATCH($F140&amp;"|low",Response_Table!$A$4:$A$21,0))*$R140*INDEX(Parameters!$X$6:$AA$6,1,MATCH($E140,Parameters!$X$3:$AA$3,0))),AD140*(1+INDEX(Response_Table!$G$4:$G$21,MATCH($F140&amp;"|high",Response_Table!$A$4:$A$21,0))*$R140*INDEX(Parameters!$X$6:$AA$6,1,MATCH($E140,Parameters!$X$3:$AA$3,0))))*(1+Inputs_General!$C$22*Parameters!$F$6)</f>
        <v>9.55369713980431</v>
      </c>
      <c r="AH140" s="45" t="n">
        <f aca="false">IF(AD140=0,0,AE140/AD140-1)</f>
        <v>-0.600991165330765</v>
      </c>
      <c r="AI140" s="46" t="n">
        <f aca="false">Parameters!$E$7*IF($N140="V",Parameters!$I$7,IF($N140="F",Parameters!$J$7,Parameters!$K$7))*(1-Parameters!$L$7*$P140)*IF($D140="V1",Parameters!$M$7,IF($D140="V2",Parameters!$N$7,Parameters!$O$7))*POWER($Q140/Inputs_General!$C$26,-Inputs_General!$C$25)</f>
        <v>0.341191629407368</v>
      </c>
      <c r="AJ140" s="46" t="n">
        <f aca="false">AI140*(1+INDEX(Response_Table!$H$4:$H$21,MATCH($F140&amp;"|mid",Response_Table!$A$4:$A$21,0))*$R140*INDEX(Parameters!$X$7:$AA$7,1,MATCH($E140,Parameters!$X$3:$AA$3,0)))</f>
        <v>0.179503108234427</v>
      </c>
      <c r="AK140" s="46" t="n">
        <f aca="false">MAX(0,MIN(AI140*(1+INDEX(Response_Table!$H$4:$H$21,MATCH($F140&amp;"|low",Response_Table!$A$4:$A$21,0))*$R140*INDEX(Parameters!$X$7:$AA$7,1,MATCH($E140,Parameters!$X$3:$AA$3,0))),AI140*(1+INDEX(Response_Table!$H$4:$H$21,MATCH($F140&amp;"|high",Response_Table!$A$4:$A$21,0))*$R140*INDEX(Parameters!$X$7:$AA$7,1,MATCH($E140,Parameters!$X$3:$AA$3,0))))*(1-Inputs_General!$C$22*Parameters!$F$7))</f>
        <v>0.11783448048641</v>
      </c>
      <c r="AL140" s="46" t="n">
        <f aca="false">MAX(AI140*(1+INDEX(Response_Table!$H$4:$H$21,MATCH($F140&amp;"|low",Response_Table!$A$4:$A$21,0))*$R140*INDEX(Parameters!$X$7:$AA$7,1,MATCH($E140,Parameters!$X$3:$AA$3,0))),AI140*(1+INDEX(Response_Table!$H$4:$H$21,MATCH($F140&amp;"|high",Response_Table!$A$4:$A$21,0))*$R140*INDEX(Parameters!$X$7:$AA$7,1,MATCH($E140,Parameters!$X$3:$AA$3,0))))*(1+Inputs_General!$C$22*Parameters!$F$7)</f>
        <v>0.250797995325436</v>
      </c>
      <c r="AM140" s="45" t="n">
        <f aca="false">IF(AI140=0,0,AJ140/AI140-1)</f>
        <v>-0.473893575448451</v>
      </c>
      <c r="AN140" s="43" t="n">
        <f aca="false">AI140*$Q140/Inputs_General!$C$13*1000</f>
        <v>5.97691956280819</v>
      </c>
      <c r="AO140" s="43" t="n">
        <f aca="false">AJ140*$Q140/Inputs_General!$C$13*1000*(1+Inputs_General!$C$21*$I140)</f>
        <v>3.65547634543717</v>
      </c>
      <c r="AP140" s="43" t="n">
        <f aca="false">AK140*$Q140/Inputs_General!$C$13*1000*(1+Inputs_General!$C$21*$H140)</f>
        <v>2.32738368303437</v>
      </c>
      <c r="AQ140" s="43" t="n">
        <f aca="false">AL140*$Q140/Inputs_General!$C$13*1000*(1+Inputs_General!$C$21*$J140)</f>
        <v>5.32702642706255</v>
      </c>
      <c r="AR140" s="45" t="n">
        <f aca="false">IF(AN140=0,0,AO140/AN140-1)</f>
        <v>-0.388401281458825</v>
      </c>
      <c r="AS140" s="42" t="n">
        <f aca="false">Parameters!$E$9*IF($N140="V",Parameters!$I$9,IF($N140="F",Parameters!$J$9,Parameters!$K$9))*(1-Parameters!$L$9*$P140)*IF($D140="V1",Parameters!$M$9,IF($D140="V2",Parameters!$N$9,Parameters!$O$9))</f>
        <v>285</v>
      </c>
      <c r="AT140" s="42" t="n">
        <f aca="false">AS140*(1+INDEX(Response_Table!$I$4:$I$21,MATCH($F140&amp;"|mid",Response_Table!$A$4:$A$21,0))*$R140*INDEX(Parameters!$X$9:$AA$9,1,MATCH($E140,Parameters!$X$3:$AA$3,0)))</f>
        <v>352.277167703273</v>
      </c>
      <c r="AU140" s="42" t="n">
        <f aca="false">MAX(0,MIN(AS140*(1+INDEX(Response_Table!$I$4:$I$21,MATCH($F140&amp;"|low",Response_Table!$A$4:$A$21,0))*$R140*INDEX(Parameters!$X$9:$AA$9,1,MATCH($E140,Parameters!$X$3:$AA$3,0))),AS140*(1+INDEX(Response_Table!$I$4:$I$21,MATCH($F140&amp;"|high",Response_Table!$A$4:$A$21,0))*$R140*INDEX(Parameters!$X$9:$AA$9,1,MATCH($E140,Parameters!$X$3:$AA$3,0))))*(1-Inputs_General!$C$22*Parameters!$F$9))</f>
        <v>313.855339805687</v>
      </c>
      <c r="AV140" s="42" t="n">
        <f aca="false">MAX(AS140*(1+INDEX(Response_Table!$I$4:$I$21,MATCH($F140&amp;"|low",Response_Table!$A$4:$A$21,0))*$R140*INDEX(Parameters!$X$9:$AA$9,1,MATCH($E140,Parameters!$X$3:$AA$3,0))),AS140*(1+INDEX(Response_Table!$I$4:$I$21,MATCH($F140&amp;"|high",Response_Table!$A$4:$A$21,0))*$R140*INDEX(Parameters!$X$9:$AA$9,1,MATCH($E140,Parameters!$X$3:$AA$3,0))))*(1+Inputs_General!$C$22*Parameters!$F$9)</f>
        <v>390.312732889309</v>
      </c>
      <c r="AW140" s="45" t="n">
        <f aca="false">IF(AS140=0,0,AT140/AS140-1)</f>
        <v>0.236060237555345</v>
      </c>
      <c r="AX140" s="43" t="n">
        <f aca="false">INDEX(Context!$AB$4:$AB$51,$K140)</f>
        <v>3.07951475277641</v>
      </c>
      <c r="AY140" s="43" t="n">
        <f aca="false">AX140*(1+INDEX(Response_Table!$J$4:$J$21,MATCH($F140&amp;"|mid",Response_Table!$A$4:$A$21,0))*$R140*INDEX(Parameters!$X$10:$AA$10,1,MATCH($E140,Parameters!$X$3:$AA$3,0)))</f>
        <v>2.13354545619979</v>
      </c>
      <c r="AZ140" s="43" t="n">
        <f aca="false">MAX(0,MIN(AX140*(1+INDEX(Response_Table!$J$4:$J$21,MATCH($F140&amp;"|low",Response_Table!$A$4:$A$21,0))*$R140*INDEX(Parameters!$X$10:$AA$10,1,MATCH($E140,Parameters!$X$3:$AA$3,0))),AX140*(1+INDEX(Response_Table!$J$4:$J$21,MATCH($F140&amp;"|high",Response_Table!$A$4:$A$21,0))*$R140*INDEX(Parameters!$X$10:$AA$10,1,MATCH($E140,Parameters!$X$3:$AA$3,0))))*(1-Inputs_General!$C$22*Parameters!$F$10))</f>
        <v>1.63913567136919</v>
      </c>
      <c r="BA140" s="43" t="n">
        <f aca="false">MAX(AX140*(1+INDEX(Response_Table!$J$4:$J$21,MATCH($F140&amp;"|low",Response_Table!$A$4:$A$21,0))*$R140*INDEX(Parameters!$X$10:$AA$10,1,MATCH($E140,Parameters!$X$3:$AA$3,0))),AX140*(1+INDEX(Response_Table!$J$4:$J$21,MATCH($F140&amp;"|high",Response_Table!$A$4:$A$21,0))*$R140*INDEX(Parameters!$X$10:$AA$10,1,MATCH($E140,Parameters!$X$3:$AA$3,0))))*(1+Inputs_General!$C$22*Parameters!$F$10)</f>
        <v>2.67109540305793</v>
      </c>
      <c r="BB140" s="45" t="n">
        <f aca="false">IF(AX140=0,0,AY140/AX140-1)</f>
        <v>-0.307181284234396</v>
      </c>
      <c r="BC140" s="46" t="n">
        <f aca="false">Parameters!$E$11*IF($N140="V",Parameters!$I$11,IF($N140="F",Parameters!$J$11,Parameters!$K$11))*(1-Parameters!$L$11*$P140)*IF($D140="V1",Parameters!$M$11,IF($D140="V2",Parameters!$N$11,Parameters!$O$11))</f>
        <v>1.25397901785714</v>
      </c>
      <c r="BD140" s="46" t="n">
        <f aca="false">BC140*(1+INDEX(Response_Table!$K$4:$K$21,MATCH($F140&amp;"|mid",Response_Table!$A$4:$A$21,0))*$R140*INDEX(Parameters!$X$11:$AA$11,1,MATCH($E140,Parameters!$X$3:$AA$3,0)))</f>
        <v>0.64771018578946</v>
      </c>
      <c r="BE140" s="46" t="n">
        <f aca="false">MAX(0,MIN(BC140*(1+INDEX(Response_Table!$K$4:$K$21,MATCH($F140&amp;"|low",Response_Table!$A$4:$A$21,0))*$R140*INDEX(Parameters!$X$11:$AA$11,1,MATCH($E140,Parameters!$X$3:$AA$3,0))),BC140*(1+INDEX(Response_Table!$K$4:$K$21,MATCH($F140&amp;"|high",Response_Table!$A$4:$A$21,0))*$R140*INDEX(Parameters!$X$11:$AA$11,1,MATCH($E140,Parameters!$X$3:$AA$3,0))))*(1-Inputs_General!$C$22*Parameters!$F$11))</f>
        <v>0.506977374821822</v>
      </c>
      <c r="BF140" s="46" t="n">
        <f aca="false">MAX(BC140*(1+INDEX(Response_Table!$K$4:$K$21,MATCH($F140&amp;"|low",Response_Table!$A$4:$A$21,0))*$R140*INDEX(Parameters!$X$11:$AA$11,1,MATCH($E140,Parameters!$X$3:$AA$3,0))),BC140*(1+INDEX(Response_Table!$K$4:$K$21,MATCH($F140&amp;"|high",Response_Table!$A$4:$A$21,0))*$R140*INDEX(Parameters!$X$11:$AA$11,1,MATCH($E140,Parameters!$X$3:$AA$3,0))))*(1+Inputs_General!$C$22*Parameters!$F$11)</f>
        <v>0.811224456245876</v>
      </c>
      <c r="BG140" s="45" t="n">
        <f aca="false">IF(BC140=0,0,BD140/BC140-1)</f>
        <v>-0.483476057760283</v>
      </c>
      <c r="BH140" s="46" t="n">
        <f aca="false">Parameters!$E$12*IF($N140="V",Parameters!$I$12,IF($N140="F",Parameters!$J$12,Parameters!$K$12))*(1-Parameters!$L$12*$P140)*IF($D140="V1",Parameters!$M$12,IF($D140="V2",Parameters!$N$12,Parameters!$O$12))</f>
        <v>0.451432446428571</v>
      </c>
      <c r="BI140" s="46" t="n">
        <f aca="false">BH140*(1+INDEX(Response_Table!$L$4:$L$21,MATCH($F140&amp;"|mid",Response_Table!$A$4:$A$21,0))*$R140*INDEX(Parameters!$X$12:$AA$12,1,MATCH($E140,Parameters!$X$3:$AA$3,0)))</f>
        <v>0.270413962026552</v>
      </c>
      <c r="BJ140" s="46" t="n">
        <f aca="false">MAX(0,MIN(BH140*(1+INDEX(Response_Table!$L$4:$L$21,MATCH($F140&amp;"|low",Response_Table!$A$4:$A$21,0))*$R140*INDEX(Parameters!$X$12:$AA$12,1,MATCH($E140,Parameters!$X$3:$AA$3,0))),BH140*(1+INDEX(Response_Table!$L$4:$L$21,MATCH($F140&amp;"|high",Response_Table!$A$4:$A$21,0))*$R140*INDEX(Parameters!$X$12:$AA$12,1,MATCH($E140,Parameters!$X$3:$AA$3,0))))*(1-Inputs_General!$C$22*Parameters!$F$12))</f>
        <v>0.206161050537459</v>
      </c>
      <c r="BK140" s="46" t="n">
        <f aca="false">MAX(BH140*(1+INDEX(Response_Table!$L$4:$L$21,MATCH($F140&amp;"|low",Response_Table!$A$4:$A$21,0))*$R140*INDEX(Parameters!$X$12:$AA$12,1,MATCH($E140,Parameters!$X$3:$AA$3,0))),BH140*(1+INDEX(Response_Table!$L$4:$L$21,MATCH($F140&amp;"|high",Response_Table!$A$4:$A$21,0))*$R140*INDEX(Parameters!$X$12:$AA$12,1,MATCH($E140,Parameters!$X$3:$AA$3,0))))*(1+Inputs_General!$C$22*Parameters!$F$12)</f>
        <v>0.342559946236451</v>
      </c>
      <c r="BL140" s="45" t="n">
        <f aca="false">IF(BH140=0,0,BI140/BH140-1)</f>
        <v>-0.400986871533305</v>
      </c>
      <c r="BM140" s="46" t="n">
        <f aca="false">Parameters!$E$13*IF($N140="V",Parameters!$I$13,IF($N140="F",Parameters!$J$13,Parameters!$K$13))*(1-Parameters!$L$13*$P140)*IF($D140="V1",Parameters!$M$13,IF($D140="V2",Parameters!$N$13,Parameters!$O$13))</f>
        <v>0.304977482142857</v>
      </c>
      <c r="BN140" s="46" t="n">
        <f aca="false">BM140*(1+INDEX(Response_Table!$M$4:$M$21,MATCH($F140&amp;"|mid",Response_Table!$A$4:$A$21,0))*$R140*INDEX(Parameters!$X$13:$AA$13,1,MATCH($E140,Parameters!$X$3:$AA$3,0)))</f>
        <v>0.216726491405379</v>
      </c>
      <c r="BO140" s="46" t="n">
        <f aca="false">MAX(0,MIN(BM140*(1+INDEX(Response_Table!$M$4:$M$21,MATCH($F140&amp;"|low",Response_Table!$A$4:$A$21,0))*$R140*INDEX(Parameters!$X$13:$AA$13,1,MATCH($E140,Parameters!$X$3:$AA$3,0))),BM140*(1+INDEX(Response_Table!$M$4:$M$21,MATCH($F140&amp;"|high",Response_Table!$A$4:$A$21,0))*$R140*INDEX(Parameters!$X$13:$AA$13,1,MATCH($E140,Parameters!$X$3:$AA$3,0))))*(1-Inputs_General!$C$22*Parameters!$F$13))</f>
        <v>0.168147492434891</v>
      </c>
      <c r="BP140" s="46" t="n">
        <f aca="false">MAX(BM140*(1+INDEX(Response_Table!$M$4:$M$21,MATCH($F140&amp;"|low",Response_Table!$A$4:$A$21,0))*$R140*INDEX(Parameters!$X$13:$AA$13,1,MATCH($E140,Parameters!$X$3:$AA$3,0))),BM140*(1+INDEX(Response_Table!$M$4:$M$21,MATCH($F140&amp;"|high",Response_Table!$A$4:$A$21,0))*$R140*INDEX(Parameters!$X$13:$AA$13,1,MATCH($E140,Parameters!$X$3:$AA$3,0))))*(1+Inputs_General!$C$22*Parameters!$F$13)</f>
        <v>0.270527701956896</v>
      </c>
      <c r="BQ140" s="45" t="n">
        <f aca="false">IF(BM140=0,0,BN140/BM140-1)</f>
        <v>-0.289368874440834</v>
      </c>
      <c r="BR140" s="44" t="n">
        <f aca="false">Parameters!$E$14*IF($N140="V",Parameters!$I$14,IF($N140="F",Parameters!$J$14,Parameters!$K$14))*(1-Parameters!$L$14*$P140)*IF($D140="V1",Parameters!$M$14,IF($D140="V2",Parameters!$N$14,Parameters!$O$14))*INDEX(Context!$AC$4:$AC$51,$K140)</f>
        <v>15</v>
      </c>
      <c r="BS140" s="44" t="n">
        <f aca="false">BR140*(1+INDEX(Response_Table!$N$4:$N$21,MATCH($F140&amp;"|mid",Response_Table!$A$4:$A$21,0))*$R140*INDEX(Parameters!$X$14:$AA$14,1,MATCH($E140,Parameters!$X$3:$AA$3,0)))</f>
        <v>21.5616033523632</v>
      </c>
      <c r="BT140" s="44" t="n">
        <f aca="false">MAX(0,MIN(BR140*(1+INDEX(Response_Table!$N$4:$N$21,MATCH($F140&amp;"|low",Response_Table!$A$4:$A$21,0))*$R140*INDEX(Parameters!$X$14:$AA$14,1,MATCH($E140,Parameters!$X$3:$AA$3,0))),BR140*(1+INDEX(Response_Table!$N$4:$N$21,MATCH($F140&amp;"|high",Response_Table!$A$4:$A$21,0))*$R140*INDEX(Parameters!$X$14:$AA$14,1,MATCH($E140,Parameters!$X$3:$AA$3,0))))*(1-Inputs_General!$C$22*Parameters!$F$14))</f>
        <v>10.633208836459</v>
      </c>
      <c r="BU140" s="44" t="n">
        <f aca="false">MAX(BR140*(1+INDEX(Response_Table!$N$4:$N$21,MATCH($F140&amp;"|low",Response_Table!$A$4:$A$21,0))*$R140*INDEX(Parameters!$X$14:$AA$14,1,MATCH($E140,Parameters!$X$3:$AA$3,0))),BR140*(1+INDEX(Response_Table!$N$4:$N$21,MATCH($F140&amp;"|high",Response_Table!$A$4:$A$21,0))*$R140*INDEX(Parameters!$X$14:$AA$14,1,MATCH($E140,Parameters!$X$3:$AA$3,0))))*(1+Inputs_General!$C$22*Parameters!$F$14)</f>
        <v>32.9356704934787</v>
      </c>
      <c r="BV140" s="45" t="n">
        <f aca="false">IF(BR140=0,0,BS140/BR140-1)</f>
        <v>0.437440223490878</v>
      </c>
      <c r="BW140" s="43" t="n">
        <f aca="false">Parameters!$E$15*IF($N140="V",Parameters!$I$15,IF($N140="F",Parameters!$J$15,Parameters!$K$15))*(1-Parameters!$L$15*$P140)*IF($D140="V1",Parameters!$M$15,IF($D140="V2",Parameters!$N$15,Parameters!$O$15))</f>
        <v>9.73964285714286</v>
      </c>
      <c r="BX140" s="43" t="n">
        <f aca="false">BW140*(1+INDEX(Response_Table!$O$4:$O$21,MATCH($F140&amp;"|mid",Response_Table!$A$4:$A$21,0))*$R140*INDEX(Parameters!$X$15:$AA$15,1,MATCH($E140,Parameters!$X$3:$AA$3,0)))</f>
        <v>8.67451497010538</v>
      </c>
      <c r="BY140" s="43" t="n">
        <f aca="false">MAX(0,MIN(BW140*(1+INDEX(Response_Table!$O$4:$O$21,MATCH($F140&amp;"|low",Response_Table!$A$4:$A$21,0))*$R140*INDEX(Parameters!$X$15:$AA$15,1,MATCH($E140,Parameters!$X$3:$AA$3,0))),BW140*(1+INDEX(Response_Table!$O$4:$O$21,MATCH($F140&amp;"|high",Response_Table!$A$4:$A$21,0))*$R140*INDEX(Parameters!$X$15:$AA$15,1,MATCH($E140,Parameters!$X$3:$AA$3,0))))*(1-Inputs_General!$C$22*Parameters!$F$15))</f>
        <v>6.89818692486211</v>
      </c>
      <c r="BZ140" s="43" t="n">
        <f aca="false">MAX(BW140*(1+INDEX(Response_Table!$O$4:$O$21,MATCH($F140&amp;"|low",Response_Table!$A$4:$A$21,0))*$R140*INDEX(Parameters!$X$15:$AA$15,1,MATCH($E140,Parameters!$X$3:$AA$3,0))),BW140*(1+INDEX(Response_Table!$O$4:$O$21,MATCH($F140&amp;"|high",Response_Table!$A$4:$A$21,0))*$R140*INDEX(Parameters!$X$15:$AA$15,1,MATCH($E140,Parameters!$X$3:$AA$3,0))))*(1+Inputs_General!$C$22*Parameters!$F$15)</f>
        <v>10.4972865147356</v>
      </c>
      <c r="CA140" s="45" t="n">
        <f aca="false">IF(BW140=0,0,BX140/BW140-1)</f>
        <v>-0.10936005587272</v>
      </c>
      <c r="CB140" s="46" t="n">
        <f aca="false">BD140+BI140</f>
        <v>0.918124147816012</v>
      </c>
      <c r="CC140" s="43" t="n">
        <f aca="false">BD140/BI140</f>
        <v>2.3952542277601</v>
      </c>
      <c r="CD140" s="46" t="n">
        <f aca="false">BN140/CB140</f>
        <v>0.236053579378036</v>
      </c>
      <c r="CE140" s="43" t="n">
        <f aca="false">AE140/AO140</f>
        <v>2.02490649292638</v>
      </c>
      <c r="CF140" s="44" t="n">
        <f aca="false">AE140/AJ140</f>
        <v>41.2360424252246</v>
      </c>
      <c r="CG140" s="44" t="n">
        <f aca="false">INDEX(Context!$V$4:$V$51,$K140)</f>
        <v>28.62</v>
      </c>
      <c r="CH140" s="44" t="n">
        <f aca="false">INDEX(Context!$Y$4:$Y$51,$K140)</f>
        <v>25.3060134606718</v>
      </c>
      <c r="CI140" s="44" t="n">
        <f aca="false">INDEX(Context!$Z$4:$Z$51,$K140)</f>
        <v>32.62</v>
      </c>
      <c r="CJ140" s="43" t="n">
        <f aca="false">INDEX(Context!$AA$4:$AA$51,$K140)</f>
        <v>0.221696428571429</v>
      </c>
      <c r="CK140" s="43" t="n">
        <f aca="false">MAX(0,MIN(1,1-(1-CJ140)*AO140/AN140))</f>
        <v>0.523990533078266</v>
      </c>
      <c r="CL140" s="44" t="n">
        <f aca="false">CH140+CK140*(CI140-CH140)</f>
        <v>29.1384731663416</v>
      </c>
      <c r="CM140" s="44" t="n">
        <f aca="false">CH140+MAX(0,MIN(1,1-(1-CJ140)*AQ140/AN140))*(CI140-CH140)</f>
        <v>27.5464654734874</v>
      </c>
      <c r="CN140" s="44" t="n">
        <f aca="false">CH140+MAX(0,MIN(1,1-(1-CJ140)*AP140/AN140))*(CI140-CH140)</f>
        <v>30.4033672060778</v>
      </c>
      <c r="CO140" s="44" t="n">
        <f aca="false">CL140-CG140</f>
        <v>0.518473166341625</v>
      </c>
      <c r="CP140" s="44" t="n">
        <f aca="false">CL140-(CH140+CJ140*(CI140-CH140))</f>
        <v>2.21097501128129</v>
      </c>
      <c r="CQ140" s="46" t="n">
        <f aca="false">CL140/CG140</f>
        <v>1.01811576402312</v>
      </c>
      <c r="CR140" s="43" t="n">
        <f aca="false">IF(CL140-CH140&lt;=0,"n/a",(CI140-CL140)/(CL140-CH140))</f>
        <v>0.908431425517063</v>
      </c>
      <c r="CS140" s="43" t="n">
        <f aca="false">IF(CI140-CL140&lt;=0,"n/a",(CL140-CH140)/(CI140-CL140))</f>
        <v>1.10079855442123</v>
      </c>
      <c r="CT140" s="43" t="n">
        <f aca="false">Inputs_General!$C$23+Inputs_General!$C$24*$I140</f>
        <v>1.9</v>
      </c>
      <c r="CU140" s="44" t="n">
        <f aca="false">3.29*CT140</f>
        <v>6.251</v>
      </c>
    </row>
    <row r="141" customFormat="false" ht="15" hidden="false" customHeight="false" outlineLevel="0" collapsed="false">
      <c r="A141" s="33" t="str">
        <f aca="false">B141&amp;"|"&amp;E141&amp;"|"&amp;F141</f>
        <v>D2V3|13/03/2026|Healthy</v>
      </c>
      <c r="B141" s="34" t="s">
        <v>348</v>
      </c>
      <c r="C141" s="33" t="s">
        <v>129</v>
      </c>
      <c r="D141" s="33" t="s">
        <v>150</v>
      </c>
      <c r="E141" s="33" t="s">
        <v>164</v>
      </c>
      <c r="F141" s="34" t="s">
        <v>275</v>
      </c>
      <c r="G141" s="33" t="s">
        <v>276</v>
      </c>
      <c r="H141" s="35" t="n">
        <f aca="false">INDEX(Severity_Classes!$C$4:$C$9,MATCH(F141,Severity_Classes!$A$4:$A$9,0))</f>
        <v>0</v>
      </c>
      <c r="I141" s="35" t="n">
        <f aca="false">INDEX(Severity_Classes!$D$4:$D$9,MATCH(F141,Severity_Classes!$A$4:$A$9,0))</f>
        <v>0</v>
      </c>
      <c r="J141" s="35" t="n">
        <f aca="false">INDEX(Severity_Classes!$E$4:$E$9,MATCH(F141,Severity_Classes!$A$4:$A$9,0))</f>
        <v>0</v>
      </c>
      <c r="K141" s="36" t="n">
        <f aca="false">MATCH(B141&amp;"|"&amp;E141,Context!$A$4:$A$51,0)</f>
        <v>24</v>
      </c>
      <c r="L141" s="36" t="n">
        <f aca="false">INDEX(Context!$H$4:$H$51,K141)</f>
        <v>85</v>
      </c>
      <c r="M141" s="36" t="n">
        <f aca="false">INDEX(Context!$I$4:$I$51,K141)</f>
        <v>36</v>
      </c>
      <c r="N141" s="33" t="str">
        <f aca="false">INDEX(Context!$L$4:$L$51,K141)</f>
        <v>P</v>
      </c>
      <c r="O141" s="33" t="str">
        <f aca="false">INDEX(Context!$M$4:$M$51,K141)</f>
        <v>5th fully expanded leaf from top</v>
      </c>
      <c r="P141" s="37" t="n">
        <f aca="false">INDEX(Context!$R$4:$R$51,K141)</f>
        <v>0.953571428571428</v>
      </c>
      <c r="Q141" s="37" t="n">
        <f aca="false">INDEX(Context!$U$4:$U$51,K141)</f>
        <v>2.18945736698217</v>
      </c>
      <c r="R141" s="37" t="n">
        <f aca="false">INDEX(Context!$AD$4:$AD$51,K141)</f>
        <v>0.85</v>
      </c>
      <c r="S141" s="33" t="str">
        <f aca="false">INDEX(Context!$AI$4:$AN$51,K141,MATCH(F141,Severity_Classes!$A$4:$A$9,0))</f>
        <v>Reference: healthy (uninoculated) control plot</v>
      </c>
      <c r="T141" s="38" t="n">
        <f aca="false">Parameters!$E$4*IF($N141="V",Parameters!$I$4,IF($N141="F",Parameters!$J$4,Parameters!$K$4))*(1-Parameters!$L$4*$P141)*IF($D141="V1",Parameters!$M$4,IF($D141="V2",Parameters!$N$4,Parameters!$O$4))</f>
        <v>77.8046607142857</v>
      </c>
      <c r="U141" s="38" t="n">
        <f aca="false">MIN(100,T141*(1+INDEX(Response_Table!$E$4:$E$21,MATCH($F141&amp;"|mid",Response_Table!$A$4:$A$21,0))*$R141*INDEX(Parameters!$X$4:$AA$4,1,MATCH($E141,Parameters!$X$3:$AA$3,0))))</f>
        <v>77.8046607142857</v>
      </c>
      <c r="V141" s="38" t="n">
        <f aca="false">MAX(0,MIN(T141*(1+INDEX(Response_Table!$E$4:$E$21,MATCH($F141&amp;"|low",Response_Table!$A$4:$A$21,0))*$R141*INDEX(Parameters!$X$4:$AA$4,1,MATCH($E141,Parameters!$X$3:$AA$3,0))),T141*(1+INDEX(Response_Table!$E$4:$E$21,MATCH($F141&amp;"|high",Response_Table!$A$4:$A$21,0))*$R141*INDEX(Parameters!$X$4:$AA$4,1,MATCH($E141,Parameters!$X$3:$AA$3,0))))*(1-Inputs_General!$C$22*Parameters!$F$4))</f>
        <v>72.6851140392857</v>
      </c>
      <c r="W141" s="38" t="n">
        <f aca="false">MIN(100,MAX(T141*(1+INDEX(Response_Table!$E$4:$E$21,MATCH($F141&amp;"|low",Response_Table!$A$4:$A$21,0))*$R141*INDEX(Parameters!$X$4:$AA$4,1,MATCH($E141,Parameters!$X$3:$AA$3,0))),T141*(1+INDEX(Response_Table!$E$4:$E$21,MATCH($F141&amp;"|high",Response_Table!$A$4:$A$21,0))*$R141*INDEX(Parameters!$X$4:$AA$4,1,MATCH($E141,Parameters!$X$3:$AA$3,0))))*(1+Inputs_General!$C$22*Parameters!$F$4))</f>
        <v>82.9242073892857</v>
      </c>
      <c r="X141" s="39" t="n">
        <f aca="false">IF(T141=0,0,U141/T141-1)</f>
        <v>0</v>
      </c>
      <c r="Y141" s="38" t="n">
        <f aca="false">Parameters!$E$5*IF($N141="V",Parameters!$I$5,IF($N141="F",Parameters!$J$5,Parameters!$K$5))*(1-Parameters!$L$5*$P141)*IF($D141="V1",Parameters!$M$5,IF($D141="V2",Parameters!$N$5,Parameters!$O$5))</f>
        <v>58.6602514285714</v>
      </c>
      <c r="Z141" s="38" t="n">
        <f aca="false">MIN(100,Y141*(1+INDEX(Response_Table!$F$4:$F$21,MATCH($F141&amp;"|mid",Response_Table!$A$4:$A$21,0))*$R141*INDEX(Parameters!$X$5:$AA$5,1,MATCH($E141,Parameters!$X$3:$AA$3,0))))</f>
        <v>58.6602514285714</v>
      </c>
      <c r="AA141" s="38" t="n">
        <f aca="false">MAX(0,MIN(Y141*(1+INDEX(Response_Table!$F$4:$F$21,MATCH($F141&amp;"|low",Response_Table!$A$4:$A$21,0))*$R141*INDEX(Parameters!$X$5:$AA$5,1,MATCH($E141,Parameters!$X$3:$AA$3,0))),Y141*(1+INDEX(Response_Table!$F$4:$F$21,MATCH($F141&amp;"|high",Response_Table!$A$4:$A$21,0))*$R141*INDEX(Parameters!$X$5:$AA$5,1,MATCH($E141,Parameters!$X$3:$AA$3,0))))*(1-Inputs_General!$C$22*Parameters!$F$5))</f>
        <v>51.9055234765714</v>
      </c>
      <c r="AB141" s="38" t="n">
        <f aca="false">MIN(100,MAX(Y141*(1+INDEX(Response_Table!$F$4:$F$21,MATCH($F141&amp;"|low",Response_Table!$A$4:$A$21,0))*$R141*INDEX(Parameters!$X$5:$AA$5,1,MATCH($E141,Parameters!$X$3:$AA$3,0))),Y141*(1+INDEX(Response_Table!$F$4:$F$21,MATCH($F141&amp;"|high",Response_Table!$A$4:$A$21,0))*$R141*INDEX(Parameters!$X$5:$AA$5,1,MATCH($E141,Parameters!$X$3:$AA$3,0))))*(1+Inputs_General!$C$22*Parameters!$F$5))</f>
        <v>65.4149793805714</v>
      </c>
      <c r="AC141" s="39" t="n">
        <f aca="false">IF(Y141=0,0,Z141/Y141-1)</f>
        <v>0</v>
      </c>
      <c r="AD141" s="38" t="n">
        <f aca="false">Parameters!$E$6*IF($N141="V",Parameters!$I$6,IF($N141="F",Parameters!$J$6,Parameters!$K$6))*(1-Parameters!$L$6*$P141)*IF($D141="V1",Parameters!$M$6,IF($D141="V2",Parameters!$N$6,Parameters!$O$6))</f>
        <v>14.7310379285714</v>
      </c>
      <c r="AE141" s="38" t="n">
        <f aca="false">AD141*(1+INDEX(Response_Table!$G$4:$G$21,MATCH($F141&amp;"|mid",Response_Table!$A$4:$A$21,0))*$R141*INDEX(Parameters!$X$6:$AA$6,1,MATCH($E141,Parameters!$X$3:$AA$3,0)))</f>
        <v>14.7310379285714</v>
      </c>
      <c r="AF141" s="38" t="n">
        <f aca="false">MAX(0,MIN(AD141*(1+INDEX(Response_Table!$G$4:$G$21,MATCH($F141&amp;"|low",Response_Table!$A$4:$A$21,0))*$R141*INDEX(Parameters!$X$6:$AA$6,1,MATCH($E141,Parameters!$X$3:$AA$3,0))),AD141*(1+INDEX(Response_Table!$G$4:$G$21,MATCH($F141&amp;"|high",Response_Table!$A$4:$A$21,0))*$R141*INDEX(Parameters!$X$6:$AA$6,1,MATCH($E141,Parameters!$X$3:$AA$3,0))))*(1-Inputs_General!$C$22*Parameters!$F$6))</f>
        <v>11.8231310414714</v>
      </c>
      <c r="AG141" s="38" t="n">
        <f aca="false">MAX(AD141*(1+INDEX(Response_Table!$G$4:$G$21,MATCH($F141&amp;"|low",Response_Table!$A$4:$A$21,0))*$R141*INDEX(Parameters!$X$6:$AA$6,1,MATCH($E141,Parameters!$X$3:$AA$3,0))),AD141*(1+INDEX(Response_Table!$G$4:$G$21,MATCH($F141&amp;"|high",Response_Table!$A$4:$A$21,0))*$R141*INDEX(Parameters!$X$6:$AA$6,1,MATCH($E141,Parameters!$X$3:$AA$3,0))))*(1+Inputs_General!$C$22*Parameters!$F$6)</f>
        <v>17.6389448156714</v>
      </c>
      <c r="AH141" s="39" t="n">
        <f aca="false">IF(AD141=0,0,AE141/AD141-1)</f>
        <v>0</v>
      </c>
      <c r="AI141" s="40" t="n">
        <f aca="false">Parameters!$E$7*IF($N141="V",Parameters!$I$7,IF($N141="F",Parameters!$J$7,Parameters!$K$7))*(1-Parameters!$L$7*$P141)*IF($D141="V1",Parameters!$M$7,IF($D141="V2",Parameters!$N$7,Parameters!$O$7))*POWER($Q141/Inputs_General!$C$26,-Inputs_General!$C$25)</f>
        <v>0.258501574676089</v>
      </c>
      <c r="AJ141" s="40" t="n">
        <f aca="false">AI141*(1+INDEX(Response_Table!$H$4:$H$21,MATCH($F141&amp;"|mid",Response_Table!$A$4:$A$21,0))*$R141*INDEX(Parameters!$X$7:$AA$7,1,MATCH($E141,Parameters!$X$3:$AA$3,0)))</f>
        <v>0.258501574676089</v>
      </c>
      <c r="AK141" s="40" t="n">
        <f aca="false">MAX(0,MIN(AI141*(1+INDEX(Response_Table!$H$4:$H$21,MATCH($F141&amp;"|low",Response_Table!$A$4:$A$21,0))*$R141*INDEX(Parameters!$X$7:$AA$7,1,MATCH($E141,Parameters!$X$3:$AA$3,0))),AI141*(1+INDEX(Response_Table!$H$4:$H$21,MATCH($F141&amp;"|high",Response_Table!$A$4:$A$21,0))*$R141*INDEX(Parameters!$X$7:$AA$7,1,MATCH($E141,Parameters!$X$3:$AA$3,0))))*(1-Inputs_General!$C$22*Parameters!$F$7))</f>
        <v>0.181959258414499</v>
      </c>
      <c r="AL141" s="40" t="n">
        <f aca="false">MAX(AI141*(1+INDEX(Response_Table!$H$4:$H$21,MATCH($F141&amp;"|low",Response_Table!$A$4:$A$21,0))*$R141*INDEX(Parameters!$X$7:$AA$7,1,MATCH($E141,Parameters!$X$3:$AA$3,0))),AI141*(1+INDEX(Response_Table!$H$4:$H$21,MATCH($F141&amp;"|high",Response_Table!$A$4:$A$21,0))*$R141*INDEX(Parameters!$X$7:$AA$7,1,MATCH($E141,Parameters!$X$3:$AA$3,0))))*(1+Inputs_General!$C$22*Parameters!$F$7)</f>
        <v>0.335043890937679</v>
      </c>
      <c r="AM141" s="39" t="n">
        <f aca="false">IF(AI141=0,0,AJ141/AI141-1)</f>
        <v>0</v>
      </c>
      <c r="AN141" s="37" t="n">
        <f aca="false">AI141*$Q141/Inputs_General!$C$13*1000</f>
        <v>5.69967952720096</v>
      </c>
      <c r="AO141" s="37" t="n">
        <f aca="false">AJ141*$Q141/Inputs_General!$C$13*1000*(1+Inputs_General!$C$21*$I141)</f>
        <v>5.69967952720096</v>
      </c>
      <c r="AP141" s="37" t="n">
        <f aca="false">AK141*$Q141/Inputs_General!$C$13*1000*(1+Inputs_General!$C$21*$H141)</f>
        <v>4.01200441919675</v>
      </c>
      <c r="AQ141" s="37" t="n">
        <f aca="false">AL141*$Q141/Inputs_General!$C$13*1000*(1+Inputs_General!$C$21*$J141)</f>
        <v>7.38735463520516</v>
      </c>
      <c r="AR141" s="39" t="n">
        <f aca="false">IF(AN141=0,0,AO141/AN141-1)</f>
        <v>0</v>
      </c>
      <c r="AS141" s="36" t="n">
        <f aca="false">Parameters!$E$9*IF($N141="V",Parameters!$I$9,IF($N141="F",Parameters!$J$9,Parameters!$K$9))*(1-Parameters!$L$9*$P141)*IF($D141="V1",Parameters!$M$9,IF($D141="V2",Parameters!$N$9,Parameters!$O$9))</f>
        <v>293.55</v>
      </c>
      <c r="AT141" s="36" t="n">
        <f aca="false">AS141*(1+INDEX(Response_Table!$I$4:$I$21,MATCH($F141&amp;"|mid",Response_Table!$A$4:$A$21,0))*$R141*INDEX(Parameters!$X$9:$AA$9,1,MATCH($E141,Parameters!$X$3:$AA$3,0)))</f>
        <v>293.55</v>
      </c>
      <c r="AU141" s="36" t="n">
        <f aca="false">MAX(0,MIN(AS141*(1+INDEX(Response_Table!$I$4:$I$21,MATCH($F141&amp;"|low",Response_Table!$A$4:$A$21,0))*$R141*INDEX(Parameters!$X$9:$AA$9,1,MATCH($E141,Parameters!$X$3:$AA$3,0))),AS141*(1+INDEX(Response_Table!$I$4:$I$21,MATCH($F141&amp;"|high",Response_Table!$A$4:$A$21,0))*$R141*INDEX(Parameters!$X$9:$AA$9,1,MATCH($E141,Parameters!$X$3:$AA$3,0))))*(1-Inputs_General!$C$22*Parameters!$F$9))</f>
        <v>264.576615</v>
      </c>
      <c r="AV141" s="36" t="n">
        <f aca="false">MAX(AS141*(1+INDEX(Response_Table!$I$4:$I$21,MATCH($F141&amp;"|low",Response_Table!$A$4:$A$21,0))*$R141*INDEX(Parameters!$X$9:$AA$9,1,MATCH($E141,Parameters!$X$3:$AA$3,0))),AS141*(1+INDEX(Response_Table!$I$4:$I$21,MATCH($F141&amp;"|high",Response_Table!$A$4:$A$21,0))*$R141*INDEX(Parameters!$X$9:$AA$9,1,MATCH($E141,Parameters!$X$3:$AA$3,0))))*(1+Inputs_General!$C$22*Parameters!$F$9)</f>
        <v>322.523385</v>
      </c>
      <c r="AW141" s="39" t="n">
        <f aca="false">IF(AS141=0,0,AT141/AS141-1)</f>
        <v>0</v>
      </c>
      <c r="AX141" s="37" t="n">
        <f aca="false">INDEX(Context!$AB$4:$AB$51,$K141)</f>
        <v>3.08824606193307</v>
      </c>
      <c r="AY141" s="37" t="n">
        <f aca="false">AX141*(1+INDEX(Response_Table!$J$4:$J$21,MATCH($F141&amp;"|mid",Response_Table!$A$4:$A$21,0))*$R141*INDEX(Parameters!$X$10:$AA$10,1,MATCH($E141,Parameters!$X$3:$AA$3,0)))</f>
        <v>3.08824606193307</v>
      </c>
      <c r="AZ141" s="37" t="n">
        <f aca="false">MAX(0,MIN(AX141*(1+INDEX(Response_Table!$J$4:$J$21,MATCH($F141&amp;"|low",Response_Table!$A$4:$A$21,0))*$R141*INDEX(Parameters!$X$10:$AA$10,1,MATCH($E141,Parameters!$X$3:$AA$3,0))),AX141*(1+INDEX(Response_Table!$J$4:$J$21,MATCH($F141&amp;"|high",Response_Table!$A$4:$A$21,0))*$R141*INDEX(Parameters!$X$10:$AA$10,1,MATCH($E141,Parameters!$X$3:$AA$3,0))))*(1-Inputs_General!$C$22*Parameters!$F$10))</f>
        <v>2.47862628930749</v>
      </c>
      <c r="BA141" s="37" t="n">
        <f aca="false">MAX(AX141*(1+INDEX(Response_Table!$J$4:$J$21,MATCH($F141&amp;"|low",Response_Table!$A$4:$A$21,0))*$R141*INDEX(Parameters!$X$10:$AA$10,1,MATCH($E141,Parameters!$X$3:$AA$3,0))),AX141*(1+INDEX(Response_Table!$J$4:$J$21,MATCH($F141&amp;"|high",Response_Table!$A$4:$A$21,0))*$R141*INDEX(Parameters!$X$10:$AA$10,1,MATCH($E141,Parameters!$X$3:$AA$3,0))))*(1+Inputs_General!$C$22*Parameters!$F$10)</f>
        <v>3.69786583455866</v>
      </c>
      <c r="BB141" s="39" t="n">
        <f aca="false">IF(AX141=0,0,AY141/AX141-1)</f>
        <v>0</v>
      </c>
      <c r="BC141" s="40" t="n">
        <f aca="false">Parameters!$E$11*IF($N141="V",Parameters!$I$11,IF($N141="F",Parameters!$J$11,Parameters!$K$11))*(1-Parameters!$L$11*$P141)*IF($D141="V1",Parameters!$M$11,IF($D141="V2",Parameters!$N$11,Parameters!$O$11))</f>
        <v>1.03176111607143</v>
      </c>
      <c r="BD141" s="40" t="n">
        <f aca="false">BC141*(1+INDEX(Response_Table!$K$4:$K$21,MATCH($F141&amp;"|mid",Response_Table!$A$4:$A$21,0))*$R141*INDEX(Parameters!$X$11:$AA$11,1,MATCH($E141,Parameters!$X$3:$AA$3,0)))</f>
        <v>1.03176111607143</v>
      </c>
      <c r="BE141" s="40" t="n">
        <f aca="false">MAX(0,MIN(BC141*(1+INDEX(Response_Table!$K$4:$K$21,MATCH($F141&amp;"|low",Response_Table!$A$4:$A$21,0))*$R141*INDEX(Parameters!$X$11:$AA$11,1,MATCH($E141,Parameters!$X$3:$AA$3,0))),BC141*(1+INDEX(Response_Table!$K$4:$K$21,MATCH($F141&amp;"|high",Response_Table!$A$4:$A$21,0))*$R141*INDEX(Parameters!$X$11:$AA$11,1,MATCH($E141,Parameters!$X$3:$AA$3,0))))*(1-Inputs_General!$C$22*Parameters!$F$11))</f>
        <v>0.862036412477679</v>
      </c>
      <c r="BF141" s="40" t="n">
        <f aca="false">MAX(BC141*(1+INDEX(Response_Table!$K$4:$K$21,MATCH($F141&amp;"|low",Response_Table!$A$4:$A$21,0))*$R141*INDEX(Parameters!$X$11:$AA$11,1,MATCH($E141,Parameters!$X$3:$AA$3,0))),BC141*(1+INDEX(Response_Table!$K$4:$K$21,MATCH($F141&amp;"|high",Response_Table!$A$4:$A$21,0))*$R141*INDEX(Parameters!$X$11:$AA$11,1,MATCH($E141,Parameters!$X$3:$AA$3,0))))*(1+Inputs_General!$C$22*Parameters!$F$11)</f>
        <v>1.20148581966518</v>
      </c>
      <c r="BG141" s="39" t="n">
        <f aca="false">IF(BC141=0,0,BD141/BC141-1)</f>
        <v>0</v>
      </c>
      <c r="BH141" s="40" t="n">
        <f aca="false">Parameters!$E$12*IF($N141="V",Parameters!$I$12,IF($N141="F",Parameters!$J$12,Parameters!$K$12))*(1-Parameters!$L$12*$P141)*IF($D141="V1",Parameters!$M$12,IF($D141="V2",Parameters!$N$12,Parameters!$O$12))</f>
        <v>0.384543437142857</v>
      </c>
      <c r="BI141" s="40" t="n">
        <f aca="false">BH141*(1+INDEX(Response_Table!$L$4:$L$21,MATCH($F141&amp;"|mid",Response_Table!$A$4:$A$21,0))*$R141*INDEX(Parameters!$X$12:$AA$12,1,MATCH($E141,Parameters!$X$3:$AA$3,0)))</f>
        <v>0.384543437142857</v>
      </c>
      <c r="BJ141" s="40" t="n">
        <f aca="false">MAX(0,MIN(BH141*(1+INDEX(Response_Table!$L$4:$L$21,MATCH($F141&amp;"|low",Response_Table!$A$4:$A$21,0))*$R141*INDEX(Parameters!$X$12:$AA$12,1,MATCH($E141,Parameters!$X$3:$AA$3,0))),BH141*(1+INDEX(Response_Table!$L$4:$L$21,MATCH($F141&amp;"|high",Response_Table!$A$4:$A$21,0))*$R141*INDEX(Parameters!$X$12:$AA$12,1,MATCH($E141,Parameters!$X$3:$AA$3,0))))*(1-Inputs_General!$C$22*Parameters!$F$12))</f>
        <v>0.308634562650857</v>
      </c>
      <c r="BK141" s="40" t="n">
        <f aca="false">MAX(BH141*(1+INDEX(Response_Table!$L$4:$L$21,MATCH($F141&amp;"|low",Response_Table!$A$4:$A$21,0))*$R141*INDEX(Parameters!$X$12:$AA$12,1,MATCH($E141,Parameters!$X$3:$AA$3,0))),BH141*(1+INDEX(Response_Table!$L$4:$L$21,MATCH($F141&amp;"|high",Response_Table!$A$4:$A$21,0))*$R141*INDEX(Parameters!$X$12:$AA$12,1,MATCH($E141,Parameters!$X$3:$AA$3,0))))*(1+Inputs_General!$C$22*Parameters!$F$12)</f>
        <v>0.460452311634857</v>
      </c>
      <c r="BL141" s="39" t="n">
        <f aca="false">IF(BH141=0,0,BI141/BH141-1)</f>
        <v>0</v>
      </c>
      <c r="BM141" s="40" t="n">
        <f aca="false">Parameters!$E$13*IF($N141="V",Parameters!$I$13,IF($N141="F",Parameters!$J$13,Parameters!$K$13))*(1-Parameters!$L$13*$P141)*IF($D141="V1",Parameters!$M$13,IF($D141="V2",Parameters!$N$13,Parameters!$O$13))</f>
        <v>0.270144353571429</v>
      </c>
      <c r="BN141" s="40" t="n">
        <f aca="false">BM141*(1+INDEX(Response_Table!$M$4:$M$21,MATCH($F141&amp;"|mid",Response_Table!$A$4:$A$21,0))*$R141*INDEX(Parameters!$X$13:$AA$13,1,MATCH($E141,Parameters!$X$3:$AA$3,0)))</f>
        <v>0.270144353571429</v>
      </c>
      <c r="BO141" s="40" t="n">
        <f aca="false">MAX(0,MIN(BM141*(1+INDEX(Response_Table!$M$4:$M$21,MATCH($F141&amp;"|low",Response_Table!$A$4:$A$21,0))*$R141*INDEX(Parameters!$X$13:$AA$13,1,MATCH($E141,Parameters!$X$3:$AA$3,0))),BM141*(1+INDEX(Response_Table!$M$4:$M$21,MATCH($F141&amp;"|high",Response_Table!$A$4:$A$21,0))*$R141*INDEX(Parameters!$X$13:$AA$13,1,MATCH($E141,Parameters!$X$3:$AA$3,0))))*(1-Inputs_General!$C$22*Parameters!$F$13))</f>
        <v>0.216817858176429</v>
      </c>
      <c r="BP141" s="40" t="n">
        <f aca="false">MAX(BM141*(1+INDEX(Response_Table!$M$4:$M$21,MATCH($F141&amp;"|low",Response_Table!$A$4:$A$21,0))*$R141*INDEX(Parameters!$X$13:$AA$13,1,MATCH($E141,Parameters!$X$3:$AA$3,0))),BM141*(1+INDEX(Response_Table!$M$4:$M$21,MATCH($F141&amp;"|high",Response_Table!$A$4:$A$21,0))*$R141*INDEX(Parameters!$X$13:$AA$13,1,MATCH($E141,Parameters!$X$3:$AA$3,0))))*(1+Inputs_General!$C$22*Parameters!$F$13)</f>
        <v>0.323470848966429</v>
      </c>
      <c r="BQ141" s="39" t="n">
        <f aca="false">IF(BM141=0,0,BN141/BM141-1)</f>
        <v>0</v>
      </c>
      <c r="BR141" s="38" t="n">
        <f aca="false">Parameters!$E$14*IF($N141="V",Parameters!$I$14,IF($N141="F",Parameters!$J$14,Parameters!$K$14))*(1-Parameters!$L$14*$P141)*IF($D141="V1",Parameters!$M$14,IF($D141="V2",Parameters!$N$14,Parameters!$O$14))*INDEX(Context!$AC$4:$AC$51,$K141)</f>
        <v>17.25</v>
      </c>
      <c r="BS141" s="38" t="n">
        <f aca="false">BR141*(1+INDEX(Response_Table!$N$4:$N$21,MATCH($F141&amp;"|mid",Response_Table!$A$4:$A$21,0))*$R141*INDEX(Parameters!$X$14:$AA$14,1,MATCH($E141,Parameters!$X$3:$AA$3,0)))</f>
        <v>17.25</v>
      </c>
      <c r="BT141" s="38" t="n">
        <f aca="false">MAX(0,MIN(BR141*(1+INDEX(Response_Table!$N$4:$N$21,MATCH($F141&amp;"|low",Response_Table!$A$4:$A$21,0))*$R141*INDEX(Parameters!$X$14:$AA$14,1,MATCH($E141,Parameters!$X$3:$AA$3,0))),BR141*(1+INDEX(Response_Table!$N$4:$N$21,MATCH($F141&amp;"|high",Response_Table!$A$4:$A$21,0))*$R141*INDEX(Parameters!$X$14:$AA$14,1,MATCH($E141,Parameters!$X$3:$AA$3,0))))*(1-Inputs_General!$C$22*Parameters!$F$14))</f>
        <v>8.737125</v>
      </c>
      <c r="BU141" s="38" t="n">
        <f aca="false">MAX(BR141*(1+INDEX(Response_Table!$N$4:$N$21,MATCH($F141&amp;"|low",Response_Table!$A$4:$A$21,0))*$R141*INDEX(Parameters!$X$14:$AA$14,1,MATCH($E141,Parameters!$X$3:$AA$3,0))),BR141*(1+INDEX(Response_Table!$N$4:$N$21,MATCH($F141&amp;"|high",Response_Table!$A$4:$A$21,0))*$R141*INDEX(Parameters!$X$14:$AA$14,1,MATCH($E141,Parameters!$X$3:$AA$3,0))))*(1+Inputs_General!$C$22*Parameters!$F$14)</f>
        <v>25.762875</v>
      </c>
      <c r="BV141" s="39" t="n">
        <f aca="false">IF(BR141=0,0,BS141/BR141-1)</f>
        <v>0</v>
      </c>
      <c r="BW141" s="37" t="n">
        <f aca="false">Parameters!$E$15*IF($N141="V",Parameters!$I$15,IF($N141="F",Parameters!$J$15,Parameters!$K$15))*(1-Parameters!$L$15*$P141)*IF($D141="V1",Parameters!$M$15,IF($D141="V2",Parameters!$N$15,Parameters!$O$15))</f>
        <v>7.73084285714286</v>
      </c>
      <c r="BX141" s="37" t="n">
        <f aca="false">BW141*(1+INDEX(Response_Table!$O$4:$O$21,MATCH($F141&amp;"|mid",Response_Table!$A$4:$A$21,0))*$R141*INDEX(Parameters!$X$15:$AA$15,1,MATCH($E141,Parameters!$X$3:$AA$3,0)))</f>
        <v>7.73084285714286</v>
      </c>
      <c r="BY141" s="37" t="n">
        <f aca="false">MAX(0,MIN(BW141*(1+INDEX(Response_Table!$O$4:$O$21,MATCH($F141&amp;"|low",Response_Table!$A$4:$A$21,0))*$R141*INDEX(Parameters!$X$15:$AA$15,1,MATCH($E141,Parameters!$X$3:$AA$3,0))),BW141*(1+INDEX(Response_Table!$O$4:$O$21,MATCH($F141&amp;"|high",Response_Table!$A$4:$A$21,0))*$R141*INDEX(Parameters!$X$15:$AA$15,1,MATCH($E141,Parameters!$X$3:$AA$3,0))))*(1-Inputs_General!$C$22*Parameters!$F$15))</f>
        <v>6.20477447714286</v>
      </c>
      <c r="BZ141" s="37" t="n">
        <f aca="false">MAX(BW141*(1+INDEX(Response_Table!$O$4:$O$21,MATCH($F141&amp;"|low",Response_Table!$A$4:$A$21,0))*$R141*INDEX(Parameters!$X$15:$AA$15,1,MATCH($E141,Parameters!$X$3:$AA$3,0))),BW141*(1+INDEX(Response_Table!$O$4:$O$21,MATCH($F141&amp;"|high",Response_Table!$A$4:$A$21,0))*$R141*INDEX(Parameters!$X$15:$AA$15,1,MATCH($E141,Parameters!$X$3:$AA$3,0))))*(1+Inputs_General!$C$22*Parameters!$F$15)</f>
        <v>9.25691123714286</v>
      </c>
      <c r="CA141" s="39" t="n">
        <f aca="false">IF(BW141=0,0,BX141/BW141-1)</f>
        <v>0</v>
      </c>
      <c r="CB141" s="40" t="n">
        <f aca="false">BD141+BI141</f>
        <v>1.41630455321429</v>
      </c>
      <c r="CC141" s="37" t="n">
        <f aca="false">BD141/BI141</f>
        <v>2.68308080808081</v>
      </c>
      <c r="CD141" s="40" t="n">
        <f aca="false">BN141/CB141</f>
        <v>0.190738886603407</v>
      </c>
      <c r="CE141" s="37" t="n">
        <f aca="false">AE141/AO141</f>
        <v>2.58453793029407</v>
      </c>
      <c r="CF141" s="38" t="n">
        <f aca="false">AE141/AJ141</f>
        <v>56.9862599368298</v>
      </c>
      <c r="CG141" s="38" t="n">
        <f aca="false">INDEX(Context!$V$4:$V$51,$K141)</f>
        <v>32.7871428571429</v>
      </c>
      <c r="CH141" s="38" t="n">
        <f aca="false">INDEX(Context!$Y$4:$Y$51,$K141)</f>
        <v>28.36912210206</v>
      </c>
      <c r="CI141" s="38" t="n">
        <f aca="false">INDEX(Context!$Z$4:$Z$51,$K141)</f>
        <v>36.7871428571429</v>
      </c>
      <c r="CJ141" s="37" t="n">
        <f aca="false">INDEX(Context!$AA$4:$AA$51,$K141)</f>
        <v>0.347678571428571</v>
      </c>
      <c r="CK141" s="37" t="n">
        <f aca="false">MAX(0,MIN(1,1-(1-CJ141)*AO141/AN141))</f>
        <v>0.347678571428571</v>
      </c>
      <c r="CL141" s="38" t="n">
        <f aca="false">CH141+CK141*(CI141-CH141)</f>
        <v>31.2958875324433</v>
      </c>
      <c r="CM141" s="38" t="n">
        <f aca="false">CH141+MAX(0,MIN(1,1-(1-CJ141)*AQ141/AN141))*(CI141-CH141)</f>
        <v>29.6699268307998</v>
      </c>
      <c r="CN141" s="38" t="n">
        <f aca="false">CH141+MAX(0,MIN(1,1-(1-CJ141)*AP141/AN141))*(CI141-CH141)</f>
        <v>32.9218482340868</v>
      </c>
      <c r="CO141" s="38" t="n">
        <f aca="false">CL141-CG141</f>
        <v>-1.49125532469956</v>
      </c>
      <c r="CP141" s="38" t="n">
        <f aca="false">CL141-(CH141+CJ141*(CI141-CH141))</f>
        <v>0</v>
      </c>
      <c r="CQ141" s="40" t="n">
        <f aca="false">CL141/CG141</f>
        <v>0.954517069962542</v>
      </c>
      <c r="CR141" s="37" t="n">
        <f aca="false">IF(CL141-CH141&lt;=0,"n/a",(CI141-CL141)/(CL141-CH141))</f>
        <v>1.87621982537237</v>
      </c>
      <c r="CS141" s="37" t="n">
        <f aca="false">IF(CI141-CL141&lt;=0,"n/a",(CL141-CH141)/(CI141-CL141))</f>
        <v>0.53298658636737</v>
      </c>
      <c r="CT141" s="37" t="n">
        <f aca="false">Inputs_General!$C$23+Inputs_General!$C$24*$I141</f>
        <v>0.6</v>
      </c>
      <c r="CU141" s="38" t="n">
        <f aca="false">3.29*CT141</f>
        <v>1.974</v>
      </c>
    </row>
    <row r="142" customFormat="false" ht="15" hidden="false" customHeight="false" outlineLevel="0" collapsed="false">
      <c r="A142" s="9" t="str">
        <f aca="false">B142&amp;"|"&amp;E142&amp;"|"&amp;F142</f>
        <v>D2V3|13/03/2026|Very low</v>
      </c>
      <c r="B142" s="7" t="s">
        <v>348</v>
      </c>
      <c r="C142" s="9" t="s">
        <v>129</v>
      </c>
      <c r="D142" s="9" t="s">
        <v>150</v>
      </c>
      <c r="E142" s="9" t="s">
        <v>164</v>
      </c>
      <c r="F142" s="7" t="s">
        <v>277</v>
      </c>
      <c r="G142" s="9" t="s">
        <v>278</v>
      </c>
      <c r="H142" s="41" t="n">
        <f aca="false">INDEX(Severity_Classes!$C$4:$C$9,MATCH(F142,Severity_Classes!$A$4:$A$9,0))</f>
        <v>0.01</v>
      </c>
      <c r="I142" s="41" t="n">
        <f aca="false">INDEX(Severity_Classes!$D$4:$D$9,MATCH(F142,Severity_Classes!$A$4:$A$9,0))</f>
        <v>0.03</v>
      </c>
      <c r="J142" s="41" t="n">
        <f aca="false">INDEX(Severity_Classes!$E$4:$E$9,MATCH(F142,Severity_Classes!$A$4:$A$9,0))</f>
        <v>0.05</v>
      </c>
      <c r="K142" s="42" t="n">
        <f aca="false">MATCH(B142&amp;"|"&amp;E142,Context!$A$4:$A$51,0)</f>
        <v>24</v>
      </c>
      <c r="L142" s="42" t="n">
        <f aca="false">INDEX(Context!$H$4:$H$51,K142)</f>
        <v>85</v>
      </c>
      <c r="M142" s="42" t="n">
        <f aca="false">INDEX(Context!$I$4:$I$51,K142)</f>
        <v>36</v>
      </c>
      <c r="N142" s="9" t="str">
        <f aca="false">INDEX(Context!$L$4:$L$51,K142)</f>
        <v>P</v>
      </c>
      <c r="O142" s="9" t="str">
        <f aca="false">INDEX(Context!$M$4:$M$51,K142)</f>
        <v>5th fully expanded leaf from top</v>
      </c>
      <c r="P142" s="43" t="n">
        <f aca="false">INDEX(Context!$R$4:$R$51,K142)</f>
        <v>0.953571428571428</v>
      </c>
      <c r="Q142" s="43" t="n">
        <f aca="false">INDEX(Context!$U$4:$U$51,K142)</f>
        <v>2.18945736698217</v>
      </c>
      <c r="R142" s="43" t="n">
        <f aca="false">INDEX(Context!$AD$4:$AD$51,K142)</f>
        <v>0.85</v>
      </c>
      <c r="S142" s="9" t="str">
        <f aca="false">INDEX(Context!$AI$4:$AN$51,K142,MATCH(F142,Severity_Classes!$A$4:$A$9,0))</f>
        <v>Possible</v>
      </c>
      <c r="T142" s="44" t="n">
        <f aca="false">Parameters!$E$4*IF($N142="V",Parameters!$I$4,IF($N142="F",Parameters!$J$4,Parameters!$K$4))*(1-Parameters!$L$4*$P142)*IF($D142="V1",Parameters!$M$4,IF($D142="V2",Parameters!$N$4,Parameters!$O$4))</f>
        <v>77.8046607142857</v>
      </c>
      <c r="U142" s="44" t="n">
        <f aca="false">MIN(100,T142*(1+INDEX(Response_Table!$E$4:$E$21,MATCH($F142&amp;"|mid",Response_Table!$A$4:$A$21,0))*$R142*INDEX(Parameters!$X$4:$AA$4,1,MATCH($E142,Parameters!$X$3:$AA$3,0))))</f>
        <v>77.519534799563</v>
      </c>
      <c r="V142" s="44" t="n">
        <f aca="false">MAX(0,MIN(T142*(1+INDEX(Response_Table!$E$4:$E$21,MATCH($F142&amp;"|low",Response_Table!$A$4:$A$21,0))*$R142*INDEX(Parameters!$X$4:$AA$4,1,MATCH($E142,Parameters!$X$3:$AA$3,0))),T142*(1+INDEX(Response_Table!$E$4:$E$21,MATCH($F142&amp;"|high",Response_Table!$A$4:$A$21,0))*$R142*INDEX(Parameters!$X$4:$AA$4,1,MATCH($E142,Parameters!$X$3:$AA$3,0))))*(1-Inputs_General!$C$22*Parameters!$F$4))</f>
        <v>72.2060033262025</v>
      </c>
      <c r="W142" s="44" t="n">
        <f aca="false">MIN(100,MAX(T142*(1+INDEX(Response_Table!$E$4:$E$21,MATCH($F142&amp;"|low",Response_Table!$A$4:$A$21,0))*$R142*INDEX(Parameters!$X$4:$AA$4,1,MATCH($E142,Parameters!$X$3:$AA$3,0))),T142*(1+INDEX(Response_Table!$E$4:$E$21,MATCH($F142&amp;"|high",Response_Table!$A$4:$A$21,0))*$R142*INDEX(Parameters!$X$4:$AA$4,1,MATCH($E142,Parameters!$X$3:$AA$3,0))))*(1+Inputs_General!$C$22*Parameters!$F$4))</f>
        <v>82.8302894411452</v>
      </c>
      <c r="X142" s="45" t="n">
        <f aca="false">IF(T142=0,0,U142/T142-1)</f>
        <v>-0.00366463798061933</v>
      </c>
      <c r="Y142" s="44" t="n">
        <f aca="false">Parameters!$E$5*IF($N142="V",Parameters!$I$5,IF($N142="F",Parameters!$J$5,Parameters!$K$5))*(1-Parameters!$L$5*$P142)*IF($D142="V1",Parameters!$M$5,IF($D142="V2",Parameters!$N$5,Parameters!$O$5))</f>
        <v>58.6602514285714</v>
      </c>
      <c r="Z142" s="44" t="n">
        <f aca="false">MIN(100,Y142*(1+INDEX(Response_Table!$F$4:$F$21,MATCH($F142&amp;"|mid",Response_Table!$A$4:$A$21,0))*$R142*INDEX(Parameters!$X$5:$AA$5,1,MATCH($E142,Parameters!$X$3:$AA$3,0))))</f>
        <v>57.9740244756464</v>
      </c>
      <c r="AA142" s="44" t="n">
        <f aca="false">MAX(0,MIN(Y142*(1+INDEX(Response_Table!$F$4:$F$21,MATCH($F142&amp;"|low",Response_Table!$A$4:$A$21,0))*$R142*INDEX(Parameters!$X$5:$AA$5,1,MATCH($E142,Parameters!$X$3:$AA$3,0))),Y142*(1+INDEX(Response_Table!$F$4:$F$21,MATCH($F142&amp;"|high",Response_Table!$A$4:$A$21,0))*$R142*INDEX(Parameters!$X$5:$AA$5,1,MATCH($E142,Parameters!$X$3:$AA$3,0))))*(1-Inputs_General!$C$22*Parameters!$F$5))</f>
        <v>50.7982133751225</v>
      </c>
      <c r="AB142" s="44" t="n">
        <f aca="false">MIN(100,MAX(Y142*(1+INDEX(Response_Table!$F$4:$F$21,MATCH($F142&amp;"|low",Response_Table!$A$4:$A$21,0))*$R142*INDEX(Parameters!$X$5:$AA$5,1,MATCH($E142,Parameters!$X$3:$AA$3,0))),Y142*(1+INDEX(Response_Table!$F$4:$F$21,MATCH($F142&amp;"|high",Response_Table!$A$4:$A$21,0))*$R142*INDEX(Parameters!$X$5:$AA$5,1,MATCH($E142,Parameters!$X$3:$AA$3,0))))*(1+Inputs_General!$C$22*Parameters!$F$5))</f>
        <v>65.181731755569</v>
      </c>
      <c r="AC142" s="45" t="n">
        <f aca="false">IF(Y142=0,0,Z142/Y142-1)</f>
        <v>-0.0116983295538827</v>
      </c>
      <c r="AD142" s="44" t="n">
        <f aca="false">Parameters!$E$6*IF($N142="V",Parameters!$I$6,IF($N142="F",Parameters!$J$6,Parameters!$K$6))*(1-Parameters!$L$6*$P142)*IF($D142="V1",Parameters!$M$6,IF($D142="V2",Parameters!$N$6,Parameters!$O$6))</f>
        <v>14.7310379285714</v>
      </c>
      <c r="AE142" s="44" t="n">
        <f aca="false">AD142*(1+INDEX(Response_Table!$G$4:$G$21,MATCH($F142&amp;"|mid",Response_Table!$A$4:$A$21,0))*$R142*INDEX(Parameters!$X$6:$AA$6,1,MATCH($E142,Parameters!$X$3:$AA$3,0)))</f>
        <v>13.5697516776158</v>
      </c>
      <c r="AF142" s="44" t="n">
        <f aca="false">MAX(0,MIN(AD142*(1+INDEX(Response_Table!$G$4:$G$21,MATCH($F142&amp;"|low",Response_Table!$A$4:$A$21,0))*$R142*INDEX(Parameters!$X$6:$AA$6,1,MATCH($E142,Parameters!$X$3:$AA$3,0))),AD142*(1+INDEX(Response_Table!$G$4:$G$21,MATCH($F142&amp;"|high",Response_Table!$A$4:$A$21,0))*$R142*INDEX(Parameters!$X$6:$AA$6,1,MATCH($E142,Parameters!$X$3:$AA$3,0))))*(1-Inputs_General!$C$22*Parameters!$F$6))</f>
        <v>10.3346666336494</v>
      </c>
      <c r="AG142" s="44" t="n">
        <f aca="false">MAX(AD142*(1+INDEX(Response_Table!$G$4:$G$21,MATCH($F142&amp;"|low",Response_Table!$A$4:$A$21,0))*$R142*INDEX(Parameters!$X$6:$AA$6,1,MATCH($E142,Parameters!$X$3:$AA$3,0))),AD142*(1+INDEX(Response_Table!$G$4:$G$21,MATCH($F142&amp;"|high",Response_Table!$A$4:$A$21,0))*$R142*INDEX(Parameters!$X$6:$AA$6,1,MATCH($E142,Parameters!$X$3:$AA$3,0))))*(1+Inputs_General!$C$22*Parameters!$F$6)</f>
        <v>17.1548995006469</v>
      </c>
      <c r="AH142" s="45" t="n">
        <f aca="false">IF(AD142=0,0,AE142/AD142-1)</f>
        <v>-0.0788326156368996</v>
      </c>
      <c r="AI142" s="46" t="n">
        <f aca="false">Parameters!$E$7*IF($N142="V",Parameters!$I$7,IF($N142="F",Parameters!$J$7,Parameters!$K$7))*(1-Parameters!$L$7*$P142)*IF($D142="V1",Parameters!$M$7,IF($D142="V2",Parameters!$N$7,Parameters!$O$7))*POWER($Q142/Inputs_General!$C$26,-Inputs_General!$C$25)</f>
        <v>0.258501574676089</v>
      </c>
      <c r="AJ142" s="46" t="n">
        <f aca="false">AI142*(1+INDEX(Response_Table!$H$4:$H$21,MATCH($F142&amp;"|mid",Response_Table!$A$4:$A$21,0))*$R142*INDEX(Parameters!$X$7:$AA$7,1,MATCH($E142,Parameters!$X$3:$AA$3,0)))</f>
        <v>0.246209044089904</v>
      </c>
      <c r="AK142" s="46" t="n">
        <f aca="false">MAX(0,MIN(AI142*(1+INDEX(Response_Table!$H$4:$H$21,MATCH($F142&amp;"|low",Response_Table!$A$4:$A$21,0))*$R142*INDEX(Parameters!$X$7:$AA$7,1,MATCH($E142,Parameters!$X$3:$AA$3,0))),AI142*(1+INDEX(Response_Table!$H$4:$H$21,MATCH($F142&amp;"|high",Response_Table!$A$4:$A$21,0))*$R142*INDEX(Parameters!$X$7:$AA$7,1,MATCH($E142,Parameters!$X$3:$AA$3,0))))*(1-Inputs_General!$C$22*Parameters!$F$7))</f>
        <v>0.167955884409204</v>
      </c>
      <c r="AL142" s="46" t="n">
        <f aca="false">MAX(AI142*(1+INDEX(Response_Table!$H$4:$H$21,MATCH($F142&amp;"|low",Response_Table!$A$4:$A$21,0))*$R142*INDEX(Parameters!$X$7:$AA$7,1,MATCH($E142,Parameters!$X$3:$AA$3,0))),AI142*(1+INDEX(Response_Table!$H$4:$H$21,MATCH($F142&amp;"|high",Response_Table!$A$4:$A$21,0))*$R142*INDEX(Parameters!$X$7:$AA$7,1,MATCH($E142,Parameters!$X$3:$AA$3,0))))*(1+Inputs_General!$C$22*Parameters!$F$7)</f>
        <v>0.329573011940121</v>
      </c>
      <c r="AM142" s="45" t="n">
        <f aca="false">IF(AI142=0,0,AJ142/AI142-1)</f>
        <v>-0.0475530201376464</v>
      </c>
      <c r="AN142" s="43" t="n">
        <f aca="false">AI142*$Q142/Inputs_General!$C$13*1000</f>
        <v>5.69967952720096</v>
      </c>
      <c r="AO142" s="43" t="n">
        <f aca="false">AJ142*$Q142/Inputs_General!$C$13*1000*(1+Inputs_General!$C$21*$I142)</f>
        <v>5.46935737100483</v>
      </c>
      <c r="AP142" s="43" t="n">
        <f aca="false">AK142*$Q142/Inputs_General!$C$13*1000*(1+Inputs_General!$C$21*$H142)</f>
        <v>3.71250331388577</v>
      </c>
      <c r="AQ142" s="43" t="n">
        <f aca="false">AL142*$Q142/Inputs_General!$C$13*1000*(1+Inputs_General!$C$21*$J142)</f>
        <v>7.35756177933217</v>
      </c>
      <c r="AR142" s="45" t="n">
        <f aca="false">IF(AN142=0,0,AO142/AN142-1)</f>
        <v>-0.0404096677886787</v>
      </c>
      <c r="AS142" s="42" t="n">
        <f aca="false">Parameters!$E$9*IF($N142="V",Parameters!$I$9,IF($N142="F",Parameters!$J$9,Parameters!$K$9))*(1-Parameters!$L$9*$P142)*IF($D142="V1",Parameters!$M$9,IF($D142="V2",Parameters!$N$9,Parameters!$O$9))</f>
        <v>293.55</v>
      </c>
      <c r="AT142" s="42" t="n">
        <f aca="false">AS142*(1+INDEX(Response_Table!$I$4:$I$21,MATCH($F142&amp;"|mid",Response_Table!$A$4:$A$21,0))*$R142*INDEX(Parameters!$X$9:$AA$9,1,MATCH($E142,Parameters!$X$3:$AA$3,0)))</f>
        <v>302.014598979428</v>
      </c>
      <c r="AU142" s="42" t="n">
        <f aca="false">MAX(0,MIN(AS142*(1+INDEX(Response_Table!$I$4:$I$21,MATCH($F142&amp;"|low",Response_Table!$A$4:$A$21,0))*$R142*INDEX(Parameters!$X$9:$AA$9,1,MATCH($E142,Parameters!$X$3:$AA$3,0))),AS142*(1+INDEX(Response_Table!$I$4:$I$21,MATCH($F142&amp;"|high",Response_Table!$A$4:$A$21,0))*$R142*INDEX(Parameters!$X$9:$AA$9,1,MATCH($E142,Parameters!$X$3:$AA$3,0))))*(1-Inputs_General!$C$22*Parameters!$F$9))</f>
        <v>267.222035352639</v>
      </c>
      <c r="AV142" s="42" t="n">
        <f aca="false">MAX(AS142*(1+INDEX(Response_Table!$I$4:$I$21,MATCH($F142&amp;"|low",Response_Table!$A$4:$A$21,0))*$R142*INDEX(Parameters!$X$9:$AA$9,1,MATCH($E142,Parameters!$X$3:$AA$3,0))),AS142*(1+INDEX(Response_Table!$I$4:$I$21,MATCH($F142&amp;"|high",Response_Table!$A$4:$A$21,0))*$R142*INDEX(Parameters!$X$9:$AA$9,1,MATCH($E142,Parameters!$X$3:$AA$3,0))))*(1+Inputs_General!$C$22*Parameters!$F$9)</f>
        <v>337.431595633991</v>
      </c>
      <c r="AW142" s="45" t="n">
        <f aca="false">IF(AS142=0,0,AT142/AS142-1)</f>
        <v>0.0288352886371248</v>
      </c>
      <c r="AX142" s="43" t="n">
        <f aca="false">INDEX(Context!$AB$4:$AB$51,$K142)</f>
        <v>3.08824606193307</v>
      </c>
      <c r="AY142" s="43" t="n">
        <f aca="false">AX142*(1+INDEX(Response_Table!$J$4:$J$21,MATCH($F142&amp;"|mid",Response_Table!$A$4:$A$21,0))*$R142*INDEX(Parameters!$X$10:$AA$10,1,MATCH($E142,Parameters!$X$3:$AA$3,0)))</f>
        <v>3.00289275755654</v>
      </c>
      <c r="AZ142" s="43" t="n">
        <f aca="false">MAX(0,MIN(AX142*(1+INDEX(Response_Table!$J$4:$J$21,MATCH($F142&amp;"|low",Response_Table!$A$4:$A$21,0))*$R142*INDEX(Parameters!$X$10:$AA$10,1,MATCH($E142,Parameters!$X$3:$AA$3,0))),AX142*(1+INDEX(Response_Table!$J$4:$J$21,MATCH($F142&amp;"|high",Response_Table!$A$4:$A$21,0))*$R142*INDEX(Parameters!$X$10:$AA$10,1,MATCH($E142,Parameters!$X$3:$AA$3,0))))*(1-Inputs_General!$C$22*Parameters!$F$10))</f>
        <v>2.36722459243669</v>
      </c>
      <c r="BA142" s="43" t="n">
        <f aca="false">MAX(AX142*(1+INDEX(Response_Table!$J$4:$J$21,MATCH($F142&amp;"|low",Response_Table!$A$4:$A$21,0))*$R142*INDEX(Parameters!$X$10:$AA$10,1,MATCH($E142,Parameters!$X$3:$AA$3,0))),AX142*(1+INDEX(Response_Table!$J$4:$J$21,MATCH($F142&amp;"|high",Response_Table!$A$4:$A$21,0))*$R142*INDEX(Parameters!$X$10:$AA$10,1,MATCH($E142,Parameters!$X$3:$AA$3,0))))*(1+Inputs_General!$C$22*Parameters!$F$10)</f>
        <v>3.66294334252694</v>
      </c>
      <c r="BB142" s="45" t="n">
        <f aca="false">IF(AX142=0,0,AY142/AX142-1)</f>
        <v>-0.0276381164793286</v>
      </c>
      <c r="BC142" s="46" t="n">
        <f aca="false">Parameters!$E$11*IF($N142="V",Parameters!$I$11,IF($N142="F",Parameters!$J$11,Parameters!$K$11))*(1-Parameters!$L$11*$P142)*IF($D142="V1",Parameters!$M$11,IF($D142="V2",Parameters!$N$11,Parameters!$O$11))</f>
        <v>1.03176111607143</v>
      </c>
      <c r="BD142" s="46" t="n">
        <f aca="false">BC142*(1+INDEX(Response_Table!$K$4:$K$21,MATCH($F142&amp;"|mid",Response_Table!$A$4:$A$21,0))*$R142*INDEX(Parameters!$X$11:$AA$11,1,MATCH($E142,Parameters!$X$3:$AA$3,0)))</f>
        <v>0.979581209981168</v>
      </c>
      <c r="BE142" s="46" t="n">
        <f aca="false">MAX(0,MIN(BC142*(1+INDEX(Response_Table!$K$4:$K$21,MATCH($F142&amp;"|low",Response_Table!$A$4:$A$21,0))*$R142*INDEX(Parameters!$X$11:$AA$11,1,MATCH($E142,Parameters!$X$3:$AA$3,0))),BC142*(1+INDEX(Response_Table!$K$4:$K$21,MATCH($F142&amp;"|high",Response_Table!$A$4:$A$21,0))*$R142*INDEX(Parameters!$X$11:$AA$11,1,MATCH($E142,Parameters!$X$3:$AA$3,0))))*(1-Inputs_General!$C$22*Parameters!$F$11))</f>
        <v>0.791616178136213</v>
      </c>
      <c r="BF142" s="46" t="n">
        <f aca="false">MAX(BC142*(1+INDEX(Response_Table!$K$4:$K$21,MATCH($F142&amp;"|low",Response_Table!$A$4:$A$21,0))*$R142*INDEX(Parameters!$X$11:$AA$11,1,MATCH($E142,Parameters!$X$3:$AA$3,0))),BC142*(1+INDEX(Response_Table!$K$4:$K$21,MATCH($F142&amp;"|high",Response_Table!$A$4:$A$21,0))*$R142*INDEX(Parameters!$X$11:$AA$11,1,MATCH($E142,Parameters!$X$3:$AA$3,0))))*(1+Inputs_General!$C$22*Parameters!$F$11)</f>
        <v>1.18057983015302</v>
      </c>
      <c r="BG142" s="45" t="n">
        <f aca="false">IF(BC142=0,0,BD142/BC142-1)</f>
        <v>-0.0505736311220398</v>
      </c>
      <c r="BH142" s="46" t="n">
        <f aca="false">Parameters!$E$12*IF($N142="V",Parameters!$I$12,IF($N142="F",Parameters!$J$12,Parameters!$K$12))*(1-Parameters!$L$12*$P142)*IF($D142="V1",Parameters!$M$12,IF($D142="V2",Parameters!$N$12,Parameters!$O$12))</f>
        <v>0.384543437142857</v>
      </c>
      <c r="BI142" s="46" t="n">
        <f aca="false">BH142*(1+INDEX(Response_Table!$L$4:$L$21,MATCH($F142&amp;"|mid",Response_Table!$A$4:$A$21,0))*$R142*INDEX(Parameters!$X$12:$AA$12,1,MATCH($E142,Parameters!$X$3:$AA$3,0)))</f>
        <v>0.369070497149565</v>
      </c>
      <c r="BJ142" s="46" t="n">
        <f aca="false">MAX(0,MIN(BH142*(1+INDEX(Response_Table!$L$4:$L$21,MATCH($F142&amp;"|low",Response_Table!$A$4:$A$21,0))*$R142*INDEX(Parameters!$X$12:$AA$12,1,MATCH($E142,Parameters!$X$3:$AA$3,0))),BH142*(1+INDEX(Response_Table!$L$4:$L$21,MATCH($F142&amp;"|high",Response_Table!$A$4:$A$21,0))*$R142*INDEX(Parameters!$X$12:$AA$12,1,MATCH($E142,Parameters!$X$3:$AA$3,0))))*(1-Inputs_General!$C$22*Parameters!$F$12))</f>
        <v>0.288536582077701</v>
      </c>
      <c r="BK142" s="46" t="n">
        <f aca="false">MAX(BH142*(1+INDEX(Response_Table!$L$4:$L$21,MATCH($F142&amp;"|low",Response_Table!$A$4:$A$21,0))*$R142*INDEX(Parameters!$X$12:$AA$12,1,MATCH($E142,Parameters!$X$3:$AA$3,0))),BH142*(1+INDEX(Response_Table!$L$4:$L$21,MATCH($F142&amp;"|high",Response_Table!$A$4:$A$21,0))*$R142*INDEX(Parameters!$X$12:$AA$12,1,MATCH($E142,Parameters!$X$3:$AA$3,0))))*(1+Inputs_General!$C$22*Parameters!$F$12)</f>
        <v>0.454090374164389</v>
      </c>
      <c r="BL142" s="45" t="n">
        <f aca="false">IF(BH142=0,0,BI142/BH142-1)</f>
        <v>-0.0402371708857007</v>
      </c>
      <c r="BM142" s="46" t="n">
        <f aca="false">Parameters!$E$13*IF($N142="V",Parameters!$I$13,IF($N142="F",Parameters!$J$13,Parameters!$K$13))*(1-Parameters!$L$13*$P142)*IF($D142="V1",Parameters!$M$13,IF($D142="V2",Parameters!$N$13,Parameters!$O$13))</f>
        <v>0.270144353571429</v>
      </c>
      <c r="BN142" s="46" t="n">
        <f aca="false">BM142*(1+INDEX(Response_Table!$M$4:$M$21,MATCH($F142&amp;"|mid",Response_Table!$A$4:$A$21,0))*$R142*INDEX(Parameters!$X$13:$AA$13,1,MATCH($E142,Parameters!$X$3:$AA$3,0)))</f>
        <v>0.276111112150472</v>
      </c>
      <c r="BO142" s="46" t="n">
        <f aca="false">MAX(0,MIN(BM142*(1+INDEX(Response_Table!$M$4:$M$21,MATCH($F142&amp;"|low",Response_Table!$A$4:$A$21,0))*$R142*INDEX(Parameters!$X$13:$AA$13,1,MATCH($E142,Parameters!$X$3:$AA$3,0))),BM142*(1+INDEX(Response_Table!$M$4:$M$21,MATCH($F142&amp;"|high",Response_Table!$A$4:$A$21,0))*$R142*INDEX(Parameters!$X$13:$AA$13,1,MATCH($E142,Parameters!$X$3:$AA$3,0))))*(1-Inputs_General!$C$22*Parameters!$F$13))</f>
        <v>0.219172089864602</v>
      </c>
      <c r="BP142" s="46" t="n">
        <f aca="false">MAX(BM142*(1+INDEX(Response_Table!$M$4:$M$21,MATCH($F142&amp;"|low",Response_Table!$A$4:$A$21,0))*$R142*INDEX(Parameters!$X$13:$AA$13,1,MATCH($E142,Parameters!$X$3:$AA$3,0))),BM142*(1+INDEX(Response_Table!$M$4:$M$21,MATCH($F142&amp;"|high",Response_Table!$A$4:$A$21,0))*$R142*INDEX(Parameters!$X$13:$AA$13,1,MATCH($E142,Parameters!$X$3:$AA$3,0))))*(1+Inputs_General!$C$22*Parameters!$F$13)</f>
        <v>0.330817313804167</v>
      </c>
      <c r="BQ142" s="45" t="n">
        <f aca="false">IF(BM142=0,0,BN142/BM142-1)</f>
        <v>0.0220872970327148</v>
      </c>
      <c r="BR142" s="44" t="n">
        <f aca="false">Parameters!$E$14*IF($N142="V",Parameters!$I$14,IF($N142="F",Parameters!$J$14,Parameters!$K$14))*(1-Parameters!$L$14*$P142)*IF($D142="V1",Parameters!$M$14,IF($D142="V2",Parameters!$N$14,Parameters!$O$14))*INDEX(Context!$AC$4:$AC$51,$K142)</f>
        <v>17.25</v>
      </c>
      <c r="BS142" s="44" t="n">
        <f aca="false">BR142*(1+INDEX(Response_Table!$N$4:$N$21,MATCH($F142&amp;"|mid",Response_Table!$A$4:$A$21,0))*$R142*INDEX(Parameters!$X$14:$AA$14,1,MATCH($E142,Parameters!$X$3:$AA$3,0)))</f>
        <v>18.0071903975764</v>
      </c>
      <c r="BT142" s="44" t="n">
        <f aca="false">MAX(0,MIN(BR142*(1+INDEX(Response_Table!$N$4:$N$21,MATCH($F142&amp;"|low",Response_Table!$A$4:$A$21,0))*$R142*INDEX(Parameters!$X$14:$AA$14,1,MATCH($E142,Parameters!$X$3:$AA$3,0))),BR142*(1+INDEX(Response_Table!$N$4:$N$21,MATCH($F142&amp;"|high",Response_Table!$A$4:$A$21,0))*$R142*INDEX(Parameters!$X$14:$AA$14,1,MATCH($E142,Parameters!$X$3:$AA$3,0))))*(1-Inputs_General!$C$22*Parameters!$F$14))</f>
        <v>8.86881774452445</v>
      </c>
      <c r="BU142" s="44" t="n">
        <f aca="false">MAX(BR142*(1+INDEX(Response_Table!$N$4:$N$21,MATCH($F142&amp;"|low",Response_Table!$A$4:$A$21,0))*$R142*INDEX(Parameters!$X$14:$AA$14,1,MATCH($E142,Parameters!$X$3:$AA$3,0))),BR142*(1+INDEX(Response_Table!$N$4:$N$21,MATCH($F142&amp;"|high",Response_Table!$A$4:$A$21,0))*$R142*INDEX(Parameters!$X$14:$AA$14,1,MATCH($E142,Parameters!$X$3:$AA$3,0))))*(1+Inputs_General!$C$22*Parameters!$F$14)</f>
        <v>27.5930421258477</v>
      </c>
      <c r="BV142" s="45" t="n">
        <f aca="false">IF(BR142=0,0,BS142/BR142-1)</f>
        <v>0.0438950955116737</v>
      </c>
      <c r="BW142" s="43" t="n">
        <f aca="false">Parameters!$E$15*IF($N142="V",Parameters!$I$15,IF($N142="F",Parameters!$J$15,Parameters!$K$15))*(1-Parameters!$L$15*$P142)*IF($D142="V1",Parameters!$M$15,IF($D142="V2",Parameters!$N$15,Parameters!$O$15))</f>
        <v>7.73084285714286</v>
      </c>
      <c r="BX142" s="43" t="n">
        <f aca="false">BW142*(1+INDEX(Response_Table!$O$4:$O$21,MATCH($F142&amp;"|mid",Response_Table!$A$4:$A$21,0))*$R142*INDEX(Parameters!$X$15:$AA$15,1,MATCH($E142,Parameters!$X$3:$AA$3,0)))</f>
        <v>7.64600633574285</v>
      </c>
      <c r="BY142" s="43" t="n">
        <f aca="false">MAX(0,MIN(BW142*(1+INDEX(Response_Table!$O$4:$O$21,MATCH($F142&amp;"|low",Response_Table!$A$4:$A$21,0))*$R142*INDEX(Parameters!$X$15:$AA$15,1,MATCH($E142,Parameters!$X$3:$AA$3,0))),BW142*(1+INDEX(Response_Table!$O$4:$O$21,MATCH($F142&amp;"|high",Response_Table!$A$4:$A$21,0))*$R142*INDEX(Parameters!$X$15:$AA$15,1,MATCH($E142,Parameters!$X$3:$AA$3,0))))*(1-Inputs_General!$C$22*Parameters!$F$15))</f>
        <v>6.09457933906757</v>
      </c>
      <c r="BZ142" s="43" t="n">
        <f aca="false">MAX(BW142*(1+INDEX(Response_Table!$O$4:$O$21,MATCH($F142&amp;"|low",Response_Table!$A$4:$A$21,0))*$R142*INDEX(Parameters!$X$15:$AA$15,1,MATCH($E142,Parameters!$X$3:$AA$3,0))),BW142*(1+INDEX(Response_Table!$O$4:$O$21,MATCH($F142&amp;"|high",Response_Table!$A$4:$A$21,0))*$R142*INDEX(Parameters!$X$15:$AA$15,1,MATCH($E142,Parameters!$X$3:$AA$3,0))))*(1+Inputs_General!$C$22*Parameters!$F$15)</f>
        <v>9.22202939538603</v>
      </c>
      <c r="CA142" s="45" t="n">
        <f aca="false">IF(BW142=0,0,BX142/BW142-1)</f>
        <v>-0.0109737738779184</v>
      </c>
      <c r="CB142" s="46" t="n">
        <f aca="false">BD142+BI142</f>
        <v>1.34865170713073</v>
      </c>
      <c r="CC142" s="43" t="n">
        <f aca="false">BD142/BI142</f>
        <v>2.65418454616868</v>
      </c>
      <c r="CD142" s="46" t="n">
        <f aca="false">BN142/CB142</f>
        <v>0.20473122207208</v>
      </c>
      <c r="CE142" s="43" t="n">
        <f aca="false">AE142/AO142</f>
        <v>2.48105047030831</v>
      </c>
      <c r="CF142" s="44" t="n">
        <f aca="false">AE142/AJ142</f>
        <v>55.1147571681435</v>
      </c>
      <c r="CG142" s="44" t="n">
        <f aca="false">INDEX(Context!$V$4:$V$51,$K142)</f>
        <v>32.7871428571429</v>
      </c>
      <c r="CH142" s="44" t="n">
        <f aca="false">INDEX(Context!$Y$4:$Y$51,$K142)</f>
        <v>28.36912210206</v>
      </c>
      <c r="CI142" s="44" t="n">
        <f aca="false">INDEX(Context!$Z$4:$Z$51,$K142)</f>
        <v>36.7871428571429</v>
      </c>
      <c r="CJ142" s="43" t="n">
        <f aca="false">INDEX(Context!$AA$4:$AA$51,$K142)</f>
        <v>0.347678571428571</v>
      </c>
      <c r="CK142" s="43" t="n">
        <f aca="false">MAX(0,MIN(1,1-(1-CJ142)*AO142/AN142))</f>
        <v>0.374038663648579</v>
      </c>
      <c r="CL142" s="44" t="n">
        <f aca="false">CH142+CK142*(CI142-CH142)</f>
        <v>31.5177873358572</v>
      </c>
      <c r="CM142" s="44" t="n">
        <f aca="false">CH142+MAX(0,MIN(1,1-(1-CJ142)*AQ142/AN142))*(CI142-CH142)</f>
        <v>29.6986302302926</v>
      </c>
      <c r="CN142" s="44" t="n">
        <f aca="false">CH142+MAX(0,MIN(1,1-(1-CJ142)*AP142/AN142))*(CI142-CH142)</f>
        <v>33.2103972711763</v>
      </c>
      <c r="CO142" s="44" t="n">
        <f aca="false">CL142-CG142</f>
        <v>-1.26935552128564</v>
      </c>
      <c r="CP142" s="44" t="n">
        <f aca="false">CL142-(CH142+CJ142*(CI142-CH142))</f>
        <v>0.221899803413923</v>
      </c>
      <c r="CQ142" s="46" t="n">
        <f aca="false">CL142/CG142</f>
        <v>0.961284960790382</v>
      </c>
      <c r="CR142" s="43" t="n">
        <f aca="false">IF(CL142-CH142&lt;=0,"n/a",(CI142-CL142)/(CL142-CH142))</f>
        <v>1.67352040627418</v>
      </c>
      <c r="CS142" s="43" t="n">
        <f aca="false">IF(CI142-CL142&lt;=0,"n/a",(CL142-CH142)/(CI142-CL142))</f>
        <v>0.597542758517262</v>
      </c>
      <c r="CT142" s="43" t="n">
        <f aca="false">Inputs_General!$C$23+Inputs_General!$C$24*$I142</f>
        <v>0.66</v>
      </c>
      <c r="CU142" s="44" t="n">
        <f aca="false">3.29*CT142</f>
        <v>2.1714</v>
      </c>
    </row>
    <row r="143" customFormat="false" ht="15" hidden="false" customHeight="false" outlineLevel="0" collapsed="false">
      <c r="A143" s="9" t="str">
        <f aca="false">B143&amp;"|"&amp;E143&amp;"|"&amp;F143</f>
        <v>D2V3|13/03/2026|Low</v>
      </c>
      <c r="B143" s="7" t="s">
        <v>348</v>
      </c>
      <c r="C143" s="9" t="s">
        <v>129</v>
      </c>
      <c r="D143" s="9" t="s">
        <v>150</v>
      </c>
      <c r="E143" s="9" t="s">
        <v>164</v>
      </c>
      <c r="F143" s="7" t="s">
        <v>279</v>
      </c>
      <c r="G143" s="9" t="s">
        <v>280</v>
      </c>
      <c r="H143" s="41" t="n">
        <f aca="false">INDEX(Severity_Classes!$C$4:$C$9,MATCH(F143,Severity_Classes!$A$4:$A$9,0))</f>
        <v>0.06</v>
      </c>
      <c r="I143" s="41" t="n">
        <f aca="false">INDEX(Severity_Classes!$D$4:$D$9,MATCH(F143,Severity_Classes!$A$4:$A$9,0))</f>
        <v>0.08</v>
      </c>
      <c r="J143" s="41" t="n">
        <f aca="false">INDEX(Severity_Classes!$E$4:$E$9,MATCH(F143,Severity_Classes!$A$4:$A$9,0))</f>
        <v>0.1</v>
      </c>
      <c r="K143" s="42" t="n">
        <f aca="false">MATCH(B143&amp;"|"&amp;E143,Context!$A$4:$A$51,0)</f>
        <v>24</v>
      </c>
      <c r="L143" s="42" t="n">
        <f aca="false">INDEX(Context!$H$4:$H$51,K143)</f>
        <v>85</v>
      </c>
      <c r="M143" s="42" t="n">
        <f aca="false">INDEX(Context!$I$4:$I$51,K143)</f>
        <v>36</v>
      </c>
      <c r="N143" s="9" t="str">
        <f aca="false">INDEX(Context!$L$4:$L$51,K143)</f>
        <v>P</v>
      </c>
      <c r="O143" s="9" t="str">
        <f aca="false">INDEX(Context!$M$4:$M$51,K143)</f>
        <v>5th fully expanded leaf from top</v>
      </c>
      <c r="P143" s="43" t="n">
        <f aca="false">INDEX(Context!$R$4:$R$51,K143)</f>
        <v>0.953571428571428</v>
      </c>
      <c r="Q143" s="43" t="n">
        <f aca="false">INDEX(Context!$U$4:$U$51,K143)</f>
        <v>2.18945736698217</v>
      </c>
      <c r="R143" s="43" t="n">
        <f aca="false">INDEX(Context!$AD$4:$AD$51,K143)</f>
        <v>0.85</v>
      </c>
      <c r="S143" s="9" t="str">
        <f aca="false">INDEX(Context!$AI$4:$AN$51,K143,MATCH(F143,Severity_Classes!$A$4:$A$9,0))</f>
        <v>Likely</v>
      </c>
      <c r="T143" s="44" t="n">
        <f aca="false">Parameters!$E$4*IF($N143="V",Parameters!$I$4,IF($N143="F",Parameters!$J$4,Parameters!$K$4))*(1-Parameters!$L$4*$P143)*IF($D143="V1",Parameters!$M$4,IF($D143="V2",Parameters!$N$4,Parameters!$O$4))</f>
        <v>77.8046607142857</v>
      </c>
      <c r="U143" s="44" t="n">
        <f aca="false">MIN(100,T143*(1+INDEX(Response_Table!$E$4:$E$21,MATCH($F143&amp;"|mid",Response_Table!$A$4:$A$21,0))*$R143*INDEX(Parameters!$X$4:$AA$4,1,MATCH($E143,Parameters!$X$3:$AA$3,0))))</f>
        <v>76.8841668897645</v>
      </c>
      <c r="V143" s="44" t="n">
        <f aca="false">MAX(0,MIN(T143*(1+INDEX(Response_Table!$E$4:$E$21,MATCH($F143&amp;"|low",Response_Table!$A$4:$A$21,0))*$R143*INDEX(Parameters!$X$4:$AA$4,1,MATCH($E143,Parameters!$X$3:$AA$3,0))),T143*(1+INDEX(Response_Table!$E$4:$E$21,MATCH($F143&amp;"|high",Response_Table!$A$4:$A$21,0))*$R143*INDEX(Parameters!$X$4:$AA$4,1,MATCH($E143,Parameters!$X$3:$AA$3,0))))*(1-Inputs_General!$C$22*Parameters!$F$4))</f>
        <v>71.524741032591</v>
      </c>
      <c r="W143" s="44" t="n">
        <f aca="false">MIN(100,MAX(T143*(1+INDEX(Response_Table!$E$4:$E$21,MATCH($F143&amp;"|low",Response_Table!$A$4:$A$21,0))*$R143*INDEX(Parameters!$X$4:$AA$4,1,MATCH($E143,Parameters!$X$3:$AA$3,0))),T143*(1+INDEX(Response_Table!$E$4:$E$21,MATCH($F143&amp;"|high",Response_Table!$A$4:$A$21,0))*$R143*INDEX(Parameters!$X$4:$AA$4,1,MATCH($E143,Parameters!$X$3:$AA$3,0))))*(1+Inputs_General!$C$22*Parameters!$F$4))</f>
        <v>82.2426971382136</v>
      </c>
      <c r="X143" s="45" t="n">
        <f aca="false">IF(T143=0,0,U143/T143-1)</f>
        <v>-0.0118308314189739</v>
      </c>
      <c r="Y143" s="44" t="n">
        <f aca="false">Parameters!$E$5*IF($N143="V",Parameters!$I$5,IF($N143="F",Parameters!$J$5,Parameters!$K$5))*(1-Parameters!$L$5*$P143)*IF($D143="V1",Parameters!$M$5,IF($D143="V2",Parameters!$N$5,Parameters!$O$5))</f>
        <v>58.6602514285714</v>
      </c>
      <c r="Z143" s="44" t="n">
        <f aca="false">MIN(100,Y143*(1+INDEX(Response_Table!$F$4:$F$21,MATCH($F143&amp;"|mid",Response_Table!$A$4:$A$21,0))*$R143*INDEX(Parameters!$X$5:$AA$5,1,MATCH($E143,Parameters!$X$3:$AA$3,0))))</f>
        <v>56.3691726566768</v>
      </c>
      <c r="AA143" s="44" t="n">
        <f aca="false">MAX(0,MIN(Y143*(1+INDEX(Response_Table!$F$4:$F$21,MATCH($F143&amp;"|low",Response_Table!$A$4:$A$21,0))*$R143*INDEX(Parameters!$X$5:$AA$5,1,MATCH($E143,Parameters!$X$3:$AA$3,0))),Y143*(1+INDEX(Response_Table!$F$4:$F$21,MATCH($F143&amp;"|high",Response_Table!$A$4:$A$21,0))*$R143*INDEX(Parameters!$X$5:$AA$5,1,MATCH($E143,Parameters!$X$3:$AA$3,0))))*(1-Inputs_General!$C$22*Parameters!$F$5))</f>
        <v>49.1362677854468</v>
      </c>
      <c r="AB143" s="44" t="n">
        <f aca="false">MIN(100,MAX(Y143*(1+INDEX(Response_Table!$F$4:$F$21,MATCH($F143&amp;"|low",Response_Table!$A$4:$A$21,0))*$R143*INDEX(Parameters!$X$5:$AA$5,1,MATCH($E143,Parameters!$X$3:$AA$3,0))),Y143*(1+INDEX(Response_Table!$F$4:$F$21,MATCH($F143&amp;"|high",Response_Table!$A$4:$A$21,0))*$R143*INDEX(Parameters!$X$5:$AA$5,1,MATCH($E143,Parameters!$X$3:$AA$3,0))))*(1+Inputs_General!$C$22*Parameters!$F$5))</f>
        <v>63.6632496570772</v>
      </c>
      <c r="AC143" s="45" t="n">
        <f aca="false">IF(Y143=0,0,Z143/Y143-1)</f>
        <v>-0.0390567499473533</v>
      </c>
      <c r="AD143" s="44" t="n">
        <f aca="false">Parameters!$E$6*IF($N143="V",Parameters!$I$6,IF($N143="F",Parameters!$J$6,Parameters!$K$6))*(1-Parameters!$L$6*$P143)*IF($D143="V1",Parameters!$M$6,IF($D143="V2",Parameters!$N$6,Parameters!$O$6))</f>
        <v>14.7310379285714</v>
      </c>
      <c r="AE143" s="44" t="n">
        <f aca="false">AD143*(1+INDEX(Response_Table!$G$4:$G$21,MATCH($F143&amp;"|mid",Response_Table!$A$4:$A$21,0))*$R143*INDEX(Parameters!$X$6:$AA$6,1,MATCH($E143,Parameters!$X$3:$AA$3,0)))</f>
        <v>11.9445306705251</v>
      </c>
      <c r="AF143" s="44" t="n">
        <f aca="false">MAX(0,MIN(AD143*(1+INDEX(Response_Table!$G$4:$G$21,MATCH($F143&amp;"|low",Response_Table!$A$4:$A$21,0))*$R143*INDEX(Parameters!$X$6:$AA$6,1,MATCH($E143,Parameters!$X$3:$AA$3,0))),AD143*(1+INDEX(Response_Table!$G$4:$G$21,MATCH($F143&amp;"|high",Response_Table!$A$4:$A$21,0))*$R143*INDEX(Parameters!$X$6:$AA$6,1,MATCH($E143,Parameters!$X$3:$AA$3,0))))*(1-Inputs_General!$C$22*Parameters!$F$6))</f>
        <v>9.14014596627413</v>
      </c>
      <c r="AG143" s="44" t="n">
        <f aca="false">MAX(AD143*(1+INDEX(Response_Table!$G$4:$G$21,MATCH($F143&amp;"|low",Response_Table!$A$4:$A$21,0))*$R143*INDEX(Parameters!$X$6:$AA$6,1,MATCH($E143,Parameters!$X$3:$AA$3,0))),AD143*(1+INDEX(Response_Table!$G$4:$G$21,MATCH($F143&amp;"|high",Response_Table!$A$4:$A$21,0))*$R143*INDEX(Parameters!$X$6:$AA$6,1,MATCH($E143,Parameters!$X$3:$AA$3,0))))*(1+Inputs_General!$C$22*Parameters!$F$6)</f>
        <v>15.0298473354425</v>
      </c>
      <c r="AH143" s="45" t="n">
        <f aca="false">IF(AD143=0,0,AE143/AD143-1)</f>
        <v>-0.189158922240083</v>
      </c>
      <c r="AI143" s="46" t="n">
        <f aca="false">Parameters!$E$7*IF($N143="V",Parameters!$I$7,IF($N143="F",Parameters!$J$7,Parameters!$K$7))*(1-Parameters!$L$7*$P143)*IF($D143="V1",Parameters!$M$7,IF($D143="V2",Parameters!$N$7,Parameters!$O$7))*POWER($Q143/Inputs_General!$C$26,-Inputs_General!$C$25)</f>
        <v>0.258501574676089</v>
      </c>
      <c r="AJ143" s="46" t="n">
        <f aca="false">AI143*(1+INDEX(Response_Table!$H$4:$H$21,MATCH($F143&amp;"|mid",Response_Table!$A$4:$A$21,0))*$R143*INDEX(Parameters!$X$7:$AA$7,1,MATCH($E143,Parameters!$X$3:$AA$3,0)))</f>
        <v>0.228027313442858</v>
      </c>
      <c r="AK143" s="46" t="n">
        <f aca="false">MAX(0,MIN(AI143*(1+INDEX(Response_Table!$H$4:$H$21,MATCH($F143&amp;"|low",Response_Table!$A$4:$A$21,0))*$R143*INDEX(Parameters!$X$7:$AA$7,1,MATCH($E143,Parameters!$X$3:$AA$3,0))),AI143*(1+INDEX(Response_Table!$H$4:$H$21,MATCH($F143&amp;"|high",Response_Table!$A$4:$A$21,0))*$R143*INDEX(Parameters!$X$7:$AA$7,1,MATCH($E143,Parameters!$X$3:$AA$3,0))))*(1-Inputs_General!$C$22*Parameters!$F$7))</f>
        <v>0.155903068705983</v>
      </c>
      <c r="AL143" s="46" t="n">
        <f aca="false">MAX(AI143*(1+INDEX(Response_Table!$H$4:$H$21,MATCH($F143&amp;"|low",Response_Table!$A$4:$A$21,0))*$R143*INDEX(Parameters!$X$7:$AA$7,1,MATCH($E143,Parameters!$X$3:$AA$3,0))),AI143*(1+INDEX(Response_Table!$H$4:$H$21,MATCH($F143&amp;"|high",Response_Table!$A$4:$A$21,0))*$R143*INDEX(Parameters!$X$7:$AA$7,1,MATCH($E143,Parameters!$X$3:$AA$3,0))))*(1+Inputs_General!$C$22*Parameters!$F$7)</f>
        <v>0.304550471537214</v>
      </c>
      <c r="AM143" s="45" t="n">
        <f aca="false">IF(AI143=0,0,AJ143/AI143-1)</f>
        <v>-0.117888106760729</v>
      </c>
      <c r="AN143" s="43" t="n">
        <f aca="false">AI143*$Q143/Inputs_General!$C$13*1000</f>
        <v>5.69967952720096</v>
      </c>
      <c r="AO143" s="43" t="n">
        <f aca="false">AJ143*$Q143/Inputs_General!$C$13*1000*(1+Inputs_General!$C$21*$I143)</f>
        <v>5.12831020056827</v>
      </c>
      <c r="AP143" s="43" t="n">
        <f aca="false">AK143*$Q143/Inputs_General!$C$13*1000*(1+Inputs_General!$C$21*$H143)</f>
        <v>3.48905608406993</v>
      </c>
      <c r="AQ143" s="43" t="n">
        <f aca="false">AL143*$Q143/Inputs_General!$C$13*1000*(1+Inputs_General!$C$21*$J143)</f>
        <v>6.88288298452339</v>
      </c>
      <c r="AR143" s="45" t="n">
        <f aca="false">IF(AN143=0,0,AO143/AN143-1)</f>
        <v>-0.100245868895944</v>
      </c>
      <c r="AS143" s="42" t="n">
        <f aca="false">Parameters!$E$9*IF($N143="V",Parameters!$I$9,IF($N143="F",Parameters!$J$9,Parameters!$K$9))*(1-Parameters!$L$9*$P143)*IF($D143="V1",Parameters!$M$9,IF($D143="V2",Parameters!$N$9,Parameters!$O$9))</f>
        <v>293.55</v>
      </c>
      <c r="AT143" s="42" t="n">
        <f aca="false">AS143*(1+INDEX(Response_Table!$I$4:$I$21,MATCH($F143&amp;"|mid",Response_Table!$A$4:$A$21,0))*$R143*INDEX(Parameters!$X$9:$AA$9,1,MATCH($E143,Parameters!$X$3:$AA$3,0)))</f>
        <v>314.04918229259</v>
      </c>
      <c r="AU143" s="42" t="n">
        <f aca="false">MAX(0,MIN(AS143*(1+INDEX(Response_Table!$I$4:$I$21,MATCH($F143&amp;"|low",Response_Table!$A$4:$A$21,0))*$R143*INDEX(Parameters!$X$9:$AA$9,1,MATCH($E143,Parameters!$X$3:$AA$3,0))),AS143*(1+INDEX(Response_Table!$I$4:$I$21,MATCH($F143&amp;"|high",Response_Table!$A$4:$A$21,0))*$R143*INDEX(Parameters!$X$9:$AA$9,1,MATCH($E143,Parameters!$X$3:$AA$3,0))))*(1-Inputs_General!$C$22*Parameters!$F$9))</f>
        <v>278.972200954852</v>
      </c>
      <c r="AV143" s="42" t="n">
        <f aca="false">MAX(AS143*(1+INDEX(Response_Table!$I$4:$I$21,MATCH($F143&amp;"|low",Response_Table!$A$4:$A$21,0))*$R143*INDEX(Parameters!$X$9:$AA$9,1,MATCH($E143,Parameters!$X$3:$AA$3,0))),AS143*(1+INDEX(Response_Table!$I$4:$I$21,MATCH($F143&amp;"|high",Response_Table!$A$4:$A$21,0))*$R143*INDEX(Parameters!$X$9:$AA$9,1,MATCH($E143,Parameters!$X$3:$AA$3,0))))*(1+Inputs_General!$C$22*Parameters!$F$9)</f>
        <v>349.637406153404</v>
      </c>
      <c r="AW143" s="45" t="n">
        <f aca="false">IF(AS143=0,0,AT143/AS143-1)</f>
        <v>0.0698319955462088</v>
      </c>
      <c r="AX143" s="43" t="n">
        <f aca="false">INDEX(Context!$AB$4:$AB$51,$K143)</f>
        <v>3.08824606193307</v>
      </c>
      <c r="AY143" s="43" t="n">
        <f aca="false">AX143*(1+INDEX(Response_Table!$J$4:$J$21,MATCH($F143&amp;"|mid",Response_Table!$A$4:$A$21,0))*$R143*INDEX(Parameters!$X$10:$AA$10,1,MATCH($E143,Parameters!$X$3:$AA$3,0)))</f>
        <v>2.87412101741471</v>
      </c>
      <c r="AZ143" s="43" t="n">
        <f aca="false">MAX(0,MIN(AX143*(1+INDEX(Response_Table!$J$4:$J$21,MATCH($F143&amp;"|low",Response_Table!$A$4:$A$21,0))*$R143*INDEX(Parameters!$X$10:$AA$10,1,MATCH($E143,Parameters!$X$3:$AA$3,0))),AX143*(1+INDEX(Response_Table!$J$4:$J$21,MATCH($F143&amp;"|high",Response_Table!$A$4:$A$21,0))*$R143*INDEX(Parameters!$X$10:$AA$10,1,MATCH($E143,Parameters!$X$3:$AA$3,0))))*(1-Inputs_General!$C$22*Parameters!$F$10))</f>
        <v>2.26891294000554</v>
      </c>
      <c r="BA143" s="43" t="n">
        <f aca="false">MAX(AX143*(1+INDEX(Response_Table!$J$4:$J$21,MATCH($F143&amp;"|low",Response_Table!$A$4:$A$21,0))*$R143*INDEX(Parameters!$X$10:$AA$10,1,MATCH($E143,Parameters!$X$3:$AA$3,0))),AX143*(1+INDEX(Response_Table!$J$4:$J$21,MATCH($F143&amp;"|high",Response_Table!$A$4:$A$21,0))*$R143*INDEX(Parameters!$X$10:$AA$10,1,MATCH($E143,Parameters!$X$3:$AA$3,0))))*(1+Inputs_General!$C$22*Parameters!$F$10)</f>
        <v>3.50084650481951</v>
      </c>
      <c r="BB143" s="45" t="n">
        <f aca="false">IF(AX143=0,0,AY143/AX143-1)</f>
        <v>-0.069335486947672</v>
      </c>
      <c r="BC143" s="46" t="n">
        <f aca="false">Parameters!$E$11*IF($N143="V",Parameters!$I$11,IF($N143="F",Parameters!$J$11,Parameters!$K$11))*(1-Parameters!$L$11*$P143)*IF($D143="V1",Parameters!$M$11,IF($D143="V2",Parameters!$N$11,Parameters!$O$11))</f>
        <v>1.03176111607143</v>
      </c>
      <c r="BD143" s="46" t="n">
        <f aca="false">BC143*(1+INDEX(Response_Table!$K$4:$K$21,MATCH($F143&amp;"|mid",Response_Table!$A$4:$A$21,0))*$R143*INDEX(Parameters!$X$11:$AA$11,1,MATCH($E143,Parameters!$X$3:$AA$3,0)))</f>
        <v>0.903011193341614</v>
      </c>
      <c r="BE143" s="46" t="n">
        <f aca="false">MAX(0,MIN(BC143*(1+INDEX(Response_Table!$K$4:$K$21,MATCH($F143&amp;"|low",Response_Table!$A$4:$A$21,0))*$R143*INDEX(Parameters!$X$11:$AA$11,1,MATCH($E143,Parameters!$X$3:$AA$3,0))),BC143*(1+INDEX(Response_Table!$K$4:$K$21,MATCH($F143&amp;"|high",Response_Table!$A$4:$A$21,0))*$R143*INDEX(Parameters!$X$11:$AA$11,1,MATCH($E143,Parameters!$X$3:$AA$3,0))))*(1-Inputs_General!$C$22*Parameters!$F$11))</f>
        <v>0.731608012824588</v>
      </c>
      <c r="BF143" s="46" t="n">
        <f aca="false">MAX(BC143*(1+INDEX(Response_Table!$K$4:$K$21,MATCH($F143&amp;"|low",Response_Table!$A$4:$A$21,0))*$R143*INDEX(Parameters!$X$11:$AA$11,1,MATCH($E143,Parameters!$X$3:$AA$3,0))),BC143*(1+INDEX(Response_Table!$K$4:$K$21,MATCH($F143&amp;"|high",Response_Table!$A$4:$A$21,0))*$R143*INDEX(Parameters!$X$11:$AA$11,1,MATCH($E143,Parameters!$X$3:$AA$3,0))))*(1+Inputs_General!$C$22*Parameters!$F$11)</f>
        <v>1.08552086519935</v>
      </c>
      <c r="BG143" s="45" t="n">
        <f aca="false">IF(BC143=0,0,BD143/BC143-1)</f>
        <v>-0.124786562242283</v>
      </c>
      <c r="BH143" s="46" t="n">
        <f aca="false">Parameters!$E$12*IF($N143="V",Parameters!$I$12,IF($N143="F",Parameters!$J$12,Parameters!$K$12))*(1-Parameters!$L$12*$P143)*IF($D143="V1",Parameters!$M$12,IF($D143="V2",Parameters!$N$12,Parameters!$O$12))</f>
        <v>0.384543437142857</v>
      </c>
      <c r="BI143" s="46" t="n">
        <f aca="false">BH143*(1+INDEX(Response_Table!$L$4:$L$21,MATCH($F143&amp;"|mid",Response_Table!$A$4:$A$21,0))*$R143*INDEX(Parameters!$X$12:$AA$12,1,MATCH($E143,Parameters!$X$3:$AA$3,0)))</f>
        <v>0.346184662104981</v>
      </c>
      <c r="BJ143" s="46" t="n">
        <f aca="false">MAX(0,MIN(BH143*(1+INDEX(Response_Table!$L$4:$L$21,MATCH($F143&amp;"|low",Response_Table!$A$4:$A$21,0))*$R143*INDEX(Parameters!$X$12:$AA$12,1,MATCH($E143,Parameters!$X$3:$AA$3,0))),BH143*(1+INDEX(Response_Table!$L$4:$L$21,MATCH($F143&amp;"|high",Response_Table!$A$4:$A$21,0))*$R143*INDEX(Parameters!$X$12:$AA$12,1,MATCH($E143,Parameters!$X$3:$AA$3,0))))*(1-Inputs_General!$C$22*Parameters!$F$12))</f>
        <v>0.271238089888349</v>
      </c>
      <c r="BK143" s="46" t="n">
        <f aca="false">MAX(BH143*(1+INDEX(Response_Table!$L$4:$L$21,MATCH($F143&amp;"|low",Response_Table!$A$4:$A$21,0))*$R143*INDEX(Parameters!$X$12:$AA$12,1,MATCH($E143,Parameters!$X$3:$AA$3,0))),BH143*(1+INDEX(Response_Table!$L$4:$L$21,MATCH($F143&amp;"|high",Response_Table!$A$4:$A$21,0))*$R143*INDEX(Parameters!$X$12:$AA$12,1,MATCH($E143,Parameters!$X$3:$AA$3,0))))*(1+Inputs_General!$C$22*Parameters!$F$12)</f>
        <v>0.424992337547858</v>
      </c>
      <c r="BL143" s="45" t="n">
        <f aca="false">IF(BH143=0,0,BI143/BH143-1)</f>
        <v>-0.0997514749513864</v>
      </c>
      <c r="BM143" s="46" t="n">
        <f aca="false">Parameters!$E$13*IF($N143="V",Parameters!$I$13,IF($N143="F",Parameters!$J$13,Parameters!$K$13))*(1-Parameters!$L$13*$P143)*IF($D143="V1",Parameters!$M$13,IF($D143="V2",Parameters!$N$13,Parameters!$O$13))</f>
        <v>0.270144353571429</v>
      </c>
      <c r="BN143" s="46" t="n">
        <f aca="false">BM143*(1+INDEX(Response_Table!$M$4:$M$21,MATCH($F143&amp;"|mid",Response_Table!$A$4:$A$21,0))*$R143*INDEX(Parameters!$X$13:$AA$13,1,MATCH($E143,Parameters!$X$3:$AA$3,0)))</f>
        <v>0.272983262848677</v>
      </c>
      <c r="BO143" s="46" t="n">
        <f aca="false">MAX(0,MIN(BM143*(1+INDEX(Response_Table!$M$4:$M$21,MATCH($F143&amp;"|low",Response_Table!$A$4:$A$21,0))*$R143*INDEX(Parameters!$X$13:$AA$13,1,MATCH($E143,Parameters!$X$3:$AA$3,0))),BM143*(1+INDEX(Response_Table!$M$4:$M$21,MATCH($F143&amp;"|high",Response_Table!$A$4:$A$21,0))*$R143*INDEX(Parameters!$X$13:$AA$13,1,MATCH($E143,Parameters!$X$3:$AA$3,0))))*(1-Inputs_General!$C$22*Parameters!$F$13))</f>
        <v>0.216140995109576</v>
      </c>
      <c r="BP143" s="46" t="n">
        <f aca="false">MAX(BM143*(1+INDEX(Response_Table!$M$4:$M$21,MATCH($F143&amp;"|low",Response_Table!$A$4:$A$21,0))*$R143*INDEX(Parameters!$X$13:$AA$13,1,MATCH($E143,Parameters!$X$3:$AA$3,0))),BM143*(1+INDEX(Response_Table!$M$4:$M$21,MATCH($F143&amp;"|high",Response_Table!$A$4:$A$21,0))*$R143*INDEX(Parameters!$X$13:$AA$13,1,MATCH($E143,Parameters!$X$3:$AA$3,0))))*(1+Inputs_General!$C$22*Parameters!$F$13)</f>
        <v>0.329964504088588</v>
      </c>
      <c r="BQ143" s="45" t="n">
        <f aca="false">IF(BM143=0,0,BN143/BM143-1)</f>
        <v>0.0105088603175196</v>
      </c>
      <c r="BR143" s="44" t="n">
        <f aca="false">Parameters!$E$14*IF($N143="V",Parameters!$I$14,IF($N143="F",Parameters!$J$14,Parameters!$K$14))*(1-Parameters!$L$14*$P143)*IF($D143="V1",Parameters!$M$14,IF($D143="V2",Parameters!$N$14,Parameters!$O$14))*INDEX(Context!$AC$4:$AC$51,$K143)</f>
        <v>17.25</v>
      </c>
      <c r="BS143" s="44" t="n">
        <f aca="false">BR143*(1+INDEX(Response_Table!$N$4:$N$21,MATCH($F143&amp;"|mid",Response_Table!$A$4:$A$21,0))*$R143*INDEX(Parameters!$X$14:$AA$14,1,MATCH($E143,Parameters!$X$3:$AA$3,0)))</f>
        <v>19.127141392267</v>
      </c>
      <c r="BT143" s="44" t="n">
        <f aca="false">MAX(0,MIN(BR143*(1+INDEX(Response_Table!$N$4:$N$21,MATCH($F143&amp;"|low",Response_Table!$A$4:$A$21,0))*$R143*INDEX(Parameters!$X$14:$AA$14,1,MATCH($E143,Parameters!$X$3:$AA$3,0))),BR143*(1+INDEX(Response_Table!$N$4:$N$21,MATCH($F143&amp;"|high",Response_Table!$A$4:$A$21,0))*$R143*INDEX(Parameters!$X$14:$AA$14,1,MATCH($E143,Parameters!$X$3:$AA$3,0))))*(1-Inputs_General!$C$22*Parameters!$F$14))</f>
        <v>9.47115002460288</v>
      </c>
      <c r="BU143" s="44" t="n">
        <f aca="false">MAX(BR143*(1+INDEX(Response_Table!$N$4:$N$21,MATCH($F143&amp;"|low",Response_Table!$A$4:$A$21,0))*$R143*INDEX(Parameters!$X$14:$AA$14,1,MATCH($E143,Parameters!$X$3:$AA$3,0))),BR143*(1+INDEX(Response_Table!$N$4:$N$21,MATCH($F143&amp;"|high",Response_Table!$A$4:$A$21,0))*$R143*INDEX(Parameters!$X$14:$AA$14,1,MATCH($E143,Parameters!$X$3:$AA$3,0))))*(1+Inputs_General!$C$22*Parameters!$F$14)</f>
        <v>29.1682815692558</v>
      </c>
      <c r="BV143" s="45" t="n">
        <f aca="false">IF(BR143=0,0,BS143/BR143-1)</f>
        <v>0.108819790856058</v>
      </c>
      <c r="BW143" s="43" t="n">
        <f aca="false">Parameters!$E$15*IF($N143="V",Parameters!$I$15,IF($N143="F",Parameters!$J$15,Parameters!$K$15))*(1-Parameters!$L$15*$P143)*IF($D143="V1",Parameters!$M$15,IF($D143="V2",Parameters!$N$15,Parameters!$O$15))</f>
        <v>7.73084285714286</v>
      </c>
      <c r="BX143" s="43" t="n">
        <f aca="false">BW143*(1+INDEX(Response_Table!$O$4:$O$21,MATCH($F143&amp;"|mid",Response_Table!$A$4:$A$21,0))*$R143*INDEX(Parameters!$X$15:$AA$15,1,MATCH($E143,Parameters!$X$3:$AA$3,0)))</f>
        <v>7.52052568142902</v>
      </c>
      <c r="BY143" s="43" t="n">
        <f aca="false">MAX(0,MIN(BW143*(1+INDEX(Response_Table!$O$4:$O$21,MATCH($F143&amp;"|low",Response_Table!$A$4:$A$21,0))*$R143*INDEX(Parameters!$X$15:$AA$15,1,MATCH($E143,Parameters!$X$3:$AA$3,0))),BW143*(1+INDEX(Response_Table!$O$4:$O$21,MATCH($F143&amp;"|high",Response_Table!$A$4:$A$21,0))*$R143*INDEX(Parameters!$X$15:$AA$15,1,MATCH($E143,Parameters!$X$3:$AA$3,0))))*(1-Inputs_General!$C$22*Parameters!$F$15))</f>
        <v>5.9997335047629</v>
      </c>
      <c r="BZ143" s="43" t="n">
        <f aca="false">MAX(BW143*(1+INDEX(Response_Table!$O$4:$O$21,MATCH($F143&amp;"|low",Response_Table!$A$4:$A$21,0))*$R143*INDEX(Parameters!$X$15:$AA$15,1,MATCH($E143,Parameters!$X$3:$AA$3,0))),BW143*(1+INDEX(Response_Table!$O$4:$O$21,MATCH($F143&amp;"|high",Response_Table!$A$4:$A$21,0))*$R143*INDEX(Parameters!$X$15:$AA$15,1,MATCH($E143,Parameters!$X$3:$AA$3,0))))*(1+Inputs_General!$C$22*Parameters!$F$15)</f>
        <v>9.06248788568026</v>
      </c>
      <c r="CA143" s="45" t="n">
        <f aca="false">IF(BW143=0,0,BX143/BW143-1)</f>
        <v>-0.0272049477140144</v>
      </c>
      <c r="CB143" s="46" t="n">
        <f aca="false">BD143+BI143</f>
        <v>1.2491958554466</v>
      </c>
      <c r="CC143" s="43" t="n">
        <f aca="false">BD143/BI143</f>
        <v>2.60846678720784</v>
      </c>
      <c r="CD143" s="46" t="n">
        <f aca="false">BN143/CB143</f>
        <v>0.21852719224007</v>
      </c>
      <c r="CE143" s="43" t="n">
        <f aca="false">AE143/AO143</f>
        <v>2.32913575883173</v>
      </c>
      <c r="CF143" s="44" t="n">
        <f aca="false">AE143/AJ143</f>
        <v>52.3820172688142</v>
      </c>
      <c r="CG143" s="44" t="n">
        <f aca="false">INDEX(Context!$V$4:$V$51,$K143)</f>
        <v>32.7871428571429</v>
      </c>
      <c r="CH143" s="44" t="n">
        <f aca="false">INDEX(Context!$Y$4:$Y$51,$K143)</f>
        <v>28.36912210206</v>
      </c>
      <c r="CI143" s="44" t="n">
        <f aca="false">INDEX(Context!$Z$4:$Z$51,$K143)</f>
        <v>36.7871428571429</v>
      </c>
      <c r="CJ143" s="43" t="n">
        <f aca="false">INDEX(Context!$AA$4:$AA$51,$K143)</f>
        <v>0.347678571428571</v>
      </c>
      <c r="CK143" s="43" t="n">
        <f aca="false">MAX(0,MIN(1,1-(1-CJ143)*AO143/AN143))</f>
        <v>0.413071099835158</v>
      </c>
      <c r="CL143" s="44" t="n">
        <f aca="false">CH143+CK143*(CI143-CH143)</f>
        <v>31.8463631937973</v>
      </c>
      <c r="CM143" s="44" t="n">
        <f aca="false">CH143+MAX(0,MIN(1,1-(1-CJ143)*AQ143/AN143))*(CI143-CH143)</f>
        <v>30.1559511107169</v>
      </c>
      <c r="CN143" s="44" t="n">
        <f aca="false">CH143+MAX(0,MIN(1,1-(1-CJ143)*AP143/AN143))*(CI143-CH143)</f>
        <v>33.4256735484933</v>
      </c>
      <c r="CO143" s="44" t="n">
        <f aca="false">CL143-CG143</f>
        <v>-0.940779663345573</v>
      </c>
      <c r="CP143" s="44" t="n">
        <f aca="false">CL143-(CH143+CJ143*(CI143-CH143))</f>
        <v>0.550475661353985</v>
      </c>
      <c r="CQ143" s="46" t="n">
        <f aca="false">CL143/CG143</f>
        <v>0.971306445717315</v>
      </c>
      <c r="CR143" s="43" t="n">
        <f aca="false">IF(CL143-CH143&lt;=0,"n/a",(CI143-CL143)/(CL143-CH143))</f>
        <v>1.42089073866234</v>
      </c>
      <c r="CS143" s="43" t="n">
        <f aca="false">IF(CI143-CL143&lt;=0,"n/a",(CL143-CH143)/(CI143-CL143))</f>
        <v>0.703783882032635</v>
      </c>
      <c r="CT143" s="43" t="n">
        <f aca="false">Inputs_General!$C$23+Inputs_General!$C$24*$I143</f>
        <v>0.76</v>
      </c>
      <c r="CU143" s="44" t="n">
        <f aca="false">3.29*CT143</f>
        <v>2.5004</v>
      </c>
    </row>
    <row r="144" customFormat="false" ht="15" hidden="false" customHeight="false" outlineLevel="0" collapsed="false">
      <c r="A144" s="9" t="str">
        <f aca="false">B144&amp;"|"&amp;E144&amp;"|"&amp;F144</f>
        <v>D2V3|13/03/2026|Moderate</v>
      </c>
      <c r="B144" s="7" t="s">
        <v>348</v>
      </c>
      <c r="C144" s="9" t="s">
        <v>129</v>
      </c>
      <c r="D144" s="9" t="s">
        <v>150</v>
      </c>
      <c r="E144" s="9" t="s">
        <v>164</v>
      </c>
      <c r="F144" s="7" t="s">
        <v>281</v>
      </c>
      <c r="G144" s="9" t="s">
        <v>282</v>
      </c>
      <c r="H144" s="41" t="n">
        <f aca="false">INDEX(Severity_Classes!$C$4:$C$9,MATCH(F144,Severity_Classes!$A$4:$A$9,0))</f>
        <v>0.11</v>
      </c>
      <c r="I144" s="41" t="n">
        <f aca="false">INDEX(Severity_Classes!$D$4:$D$9,MATCH(F144,Severity_Classes!$A$4:$A$9,0))</f>
        <v>0.18</v>
      </c>
      <c r="J144" s="41" t="n">
        <f aca="false">INDEX(Severity_Classes!$E$4:$E$9,MATCH(F144,Severity_Classes!$A$4:$A$9,0))</f>
        <v>0.25</v>
      </c>
      <c r="K144" s="42" t="n">
        <f aca="false">MATCH(B144&amp;"|"&amp;E144,Context!$A$4:$A$51,0)</f>
        <v>24</v>
      </c>
      <c r="L144" s="42" t="n">
        <f aca="false">INDEX(Context!$H$4:$H$51,K144)</f>
        <v>85</v>
      </c>
      <c r="M144" s="42" t="n">
        <f aca="false">INDEX(Context!$I$4:$I$51,K144)</f>
        <v>36</v>
      </c>
      <c r="N144" s="9" t="str">
        <f aca="false">INDEX(Context!$L$4:$L$51,K144)</f>
        <v>P</v>
      </c>
      <c r="O144" s="9" t="str">
        <f aca="false">INDEX(Context!$M$4:$M$51,K144)</f>
        <v>5th fully expanded leaf from top</v>
      </c>
      <c r="P144" s="43" t="n">
        <f aca="false">INDEX(Context!$R$4:$R$51,K144)</f>
        <v>0.953571428571428</v>
      </c>
      <c r="Q144" s="43" t="n">
        <f aca="false">INDEX(Context!$U$4:$U$51,K144)</f>
        <v>2.18945736698217</v>
      </c>
      <c r="R144" s="43" t="n">
        <f aca="false">INDEX(Context!$AD$4:$AD$51,K144)</f>
        <v>0.85</v>
      </c>
      <c r="S144" s="9" t="str">
        <f aca="false">INDEX(Context!$AI$4:$AN$51,K144,MATCH(F144,Severity_Classes!$A$4:$A$9,0))</f>
        <v>Likely</v>
      </c>
      <c r="T144" s="44" t="n">
        <f aca="false">Parameters!$E$4*IF($N144="V",Parameters!$I$4,IF($N144="F",Parameters!$J$4,Parameters!$K$4))*(1-Parameters!$L$4*$P144)*IF($D144="V1",Parameters!$M$4,IF($D144="V2",Parameters!$N$4,Parameters!$O$4))</f>
        <v>77.8046607142857</v>
      </c>
      <c r="U144" s="44" t="n">
        <f aca="false">MIN(100,T144*(1+INDEX(Response_Table!$E$4:$E$21,MATCH($F144&amp;"|mid",Response_Table!$A$4:$A$21,0))*$R144*INDEX(Parameters!$X$4:$AA$4,1,MATCH($E144,Parameters!$X$3:$AA$3,0))))</f>
        <v>74.7962316528955</v>
      </c>
      <c r="V144" s="44" t="n">
        <f aca="false">MAX(0,MIN(T144*(1+INDEX(Response_Table!$E$4:$E$21,MATCH($F144&amp;"|low",Response_Table!$A$4:$A$21,0))*$R144*INDEX(Parameters!$X$4:$AA$4,1,MATCH($E144,Parameters!$X$3:$AA$3,0))),T144*(1+INDEX(Response_Table!$E$4:$E$21,MATCH($F144&amp;"|high",Response_Table!$A$4:$A$21,0))*$R144*INDEX(Parameters!$X$4:$AA$4,1,MATCH($E144,Parameters!$X$3:$AA$3,0))))*(1-Inputs_General!$C$22*Parameters!$F$4))</f>
        <v>67.7693358771701</v>
      </c>
      <c r="W144" s="44" t="n">
        <f aca="false">MIN(100,MAX(T144*(1+INDEX(Response_Table!$E$4:$E$21,MATCH($F144&amp;"|low",Response_Table!$A$4:$A$21,0))*$R144*INDEX(Parameters!$X$4:$AA$4,1,MATCH($E144,Parameters!$X$3:$AA$3,0))),T144*(1+INDEX(Response_Table!$E$4:$E$21,MATCH($F144&amp;"|high",Response_Table!$A$4:$A$21,0))*$R144*INDEX(Parameters!$X$4:$AA$4,1,MATCH($E144,Parameters!$X$3:$AA$3,0))))*(1+Inputs_General!$C$22*Parameters!$F$4))</f>
        <v>81.4114528265618</v>
      </c>
      <c r="X144" s="45" t="n">
        <f aca="false">IF(T144=0,0,U144/T144-1)</f>
        <v>-0.0386664376371717</v>
      </c>
      <c r="Y144" s="44" t="n">
        <f aca="false">Parameters!$E$5*IF($N144="V",Parameters!$I$5,IF($N144="F",Parameters!$J$5,Parameters!$K$5))*(1-Parameters!$L$5*$P144)*IF($D144="V1",Parameters!$M$5,IF($D144="V2",Parameters!$N$5,Parameters!$O$5))</f>
        <v>58.6602514285714</v>
      </c>
      <c r="Z144" s="44" t="n">
        <f aca="false">MIN(100,Y144*(1+INDEX(Response_Table!$F$4:$F$21,MATCH($F144&amp;"|mid",Response_Table!$A$4:$A$21,0))*$R144*INDEX(Parameters!$X$5:$AA$5,1,MATCH($E144,Parameters!$X$3:$AA$3,0))))</f>
        <v>50.825060684725</v>
      </c>
      <c r="AA144" s="44" t="n">
        <f aca="false">MAX(0,MIN(Y144*(1+INDEX(Response_Table!$F$4:$F$21,MATCH($F144&amp;"|low",Response_Table!$A$4:$A$21,0))*$R144*INDEX(Parameters!$X$5:$AA$5,1,MATCH($E144,Parameters!$X$3:$AA$3,0))),Y144*(1+INDEX(Response_Table!$F$4:$F$21,MATCH($F144&amp;"|high",Response_Table!$A$4:$A$21,0))*$R144*INDEX(Parameters!$X$5:$AA$5,1,MATCH($E144,Parameters!$X$3:$AA$3,0))))*(1-Inputs_General!$C$22*Parameters!$F$5))</f>
        <v>39.8415259259992</v>
      </c>
      <c r="AB144" s="44" t="n">
        <f aca="false">MIN(100,MAX(Y144*(1+INDEX(Response_Table!$F$4:$F$21,MATCH($F144&amp;"|low",Response_Table!$A$4:$A$21,0))*$R144*INDEX(Parameters!$X$5:$AA$5,1,MATCH($E144,Parameters!$X$3:$AA$3,0))),Y144*(1+INDEX(Response_Table!$F$4:$F$21,MATCH($F144&amp;"|high",Response_Table!$A$4:$A$21,0))*$R144*INDEX(Parameters!$X$5:$AA$5,1,MATCH($E144,Parameters!$X$3:$AA$3,0))))*(1+Inputs_General!$C$22*Parameters!$F$5))</f>
        <v>61.4041445853885</v>
      </c>
      <c r="AC144" s="45" t="n">
        <f aca="false">IF(Y144=0,0,Z144/Y144-1)</f>
        <v>-0.133568993535377</v>
      </c>
      <c r="AD144" s="44" t="n">
        <f aca="false">Parameters!$E$6*IF($N144="V",Parameters!$I$6,IF($N144="F",Parameters!$J$6,Parameters!$K$6))*(1-Parameters!$L$6*$P144)*IF($D144="V1",Parameters!$M$6,IF($D144="V2",Parameters!$N$6,Parameters!$O$6))</f>
        <v>14.7310379285714</v>
      </c>
      <c r="AE144" s="44" t="n">
        <f aca="false">AD144*(1+INDEX(Response_Table!$G$4:$G$21,MATCH($F144&amp;"|mid",Response_Table!$A$4:$A$21,0))*$R144*INDEX(Parameters!$X$6:$AA$6,1,MATCH($E144,Parameters!$X$3:$AA$3,0)))</f>
        <v>9.59355874061546</v>
      </c>
      <c r="AF144" s="44" t="n">
        <f aca="false">MAX(0,MIN(AD144*(1+INDEX(Response_Table!$G$4:$G$21,MATCH($F144&amp;"|low",Response_Table!$A$4:$A$21,0))*$R144*INDEX(Parameters!$X$6:$AA$6,1,MATCH($E144,Parameters!$X$3:$AA$3,0))),AD144*(1+INDEX(Response_Table!$G$4:$G$21,MATCH($F144&amp;"|high",Response_Table!$A$4:$A$21,0))*$R144*INDEX(Parameters!$X$6:$AA$6,1,MATCH($E144,Parameters!$X$3:$AA$3,0))))*(1-Inputs_General!$C$22*Parameters!$F$6))</f>
        <v>6.79481625961375</v>
      </c>
      <c r="AG144" s="44" t="n">
        <f aca="false">MAX(AD144*(1+INDEX(Response_Table!$G$4:$G$21,MATCH($F144&amp;"|low",Response_Table!$A$4:$A$21,0))*$R144*INDEX(Parameters!$X$6:$AA$6,1,MATCH($E144,Parameters!$X$3:$AA$3,0))),AD144*(1+INDEX(Response_Table!$G$4:$G$21,MATCH($F144&amp;"|high",Response_Table!$A$4:$A$21,0))*$R144*INDEX(Parameters!$X$6:$AA$6,1,MATCH($E144,Parameters!$X$3:$AA$3,0))))*(1+Inputs_General!$C$22*Parameters!$F$6)</f>
        <v>13.3244530262151</v>
      </c>
      <c r="AH144" s="45" t="n">
        <f aca="false">IF(AD144=0,0,AE144/AD144-1)</f>
        <v>-0.348752016854945</v>
      </c>
      <c r="AI144" s="46" t="n">
        <f aca="false">Parameters!$E$7*IF($N144="V",Parameters!$I$7,IF($N144="F",Parameters!$J$7,Parameters!$K$7))*(1-Parameters!$L$7*$P144)*IF($D144="V1",Parameters!$M$7,IF($D144="V2",Parameters!$N$7,Parameters!$O$7))*POWER($Q144/Inputs_General!$C$26,-Inputs_General!$C$25)</f>
        <v>0.258501574676089</v>
      </c>
      <c r="AJ144" s="46" t="n">
        <f aca="false">AI144*(1+INDEX(Response_Table!$H$4:$H$21,MATCH($F144&amp;"|mid",Response_Table!$A$4:$A$21,0))*$R144*INDEX(Parameters!$X$7:$AA$7,1,MATCH($E144,Parameters!$X$3:$AA$3,0)))</f>
        <v>0.198908795502874</v>
      </c>
      <c r="AK144" s="46" t="n">
        <f aca="false">MAX(0,MIN(AI144*(1+INDEX(Response_Table!$H$4:$H$21,MATCH($F144&amp;"|low",Response_Table!$A$4:$A$21,0))*$R144*INDEX(Parameters!$X$7:$AA$7,1,MATCH($E144,Parameters!$X$3:$AA$3,0))),AI144*(1+INDEX(Response_Table!$H$4:$H$21,MATCH($F144&amp;"|high",Response_Table!$A$4:$A$21,0))*$R144*INDEX(Parameters!$X$7:$AA$7,1,MATCH($E144,Parameters!$X$3:$AA$3,0))))*(1-Inputs_General!$C$22*Parameters!$F$7))</f>
        <v>0.128914954009692</v>
      </c>
      <c r="AL144" s="46" t="n">
        <f aca="false">MAX(AI144*(1+INDEX(Response_Table!$H$4:$H$21,MATCH($F144&amp;"|low",Response_Table!$A$4:$A$21,0))*$R144*INDEX(Parameters!$X$7:$AA$7,1,MATCH($E144,Parameters!$X$3:$AA$3,0))),AI144*(1+INDEX(Response_Table!$H$4:$H$21,MATCH($F144&amp;"|high",Response_Table!$A$4:$A$21,0))*$R144*INDEX(Parameters!$X$7:$AA$7,1,MATCH($E144,Parameters!$X$3:$AA$3,0))))*(1+Inputs_General!$C$22*Parameters!$F$7)</f>
        <v>0.283013371422014</v>
      </c>
      <c r="AM144" s="45" t="n">
        <f aca="false">IF(AI144=0,0,AJ144/AI144-1)</f>
        <v>-0.230531590563371</v>
      </c>
      <c r="AN144" s="43" t="n">
        <f aca="false">AI144*$Q144/Inputs_General!$C$13*1000</f>
        <v>5.69967952720096</v>
      </c>
      <c r="AO144" s="43" t="n">
        <f aca="false">AJ144*$Q144/Inputs_General!$C$13*1000*(1+Inputs_General!$C$21*$I144)</f>
        <v>4.58308089039806</v>
      </c>
      <c r="AP144" s="43" t="n">
        <f aca="false">AK144*$Q144/Inputs_General!$C$13*1000*(1+Inputs_General!$C$21*$H144)</f>
        <v>2.92060196530093</v>
      </c>
      <c r="AQ144" s="43" t="n">
        <f aca="false">AL144*$Q144/Inputs_General!$C$13*1000*(1+Inputs_General!$C$21*$J144)</f>
        <v>6.6301467064732</v>
      </c>
      <c r="AR144" s="45" t="n">
        <f aca="false">IF(AN144=0,0,AO144/AN144-1)</f>
        <v>-0.195905512138722</v>
      </c>
      <c r="AS144" s="42" t="n">
        <f aca="false">Parameters!$E$9*IF($N144="V",Parameters!$I$9,IF($N144="F",Parameters!$J$9,Parameters!$K$9))*(1-Parameters!$L$9*$P144)*IF($D144="V1",Parameters!$M$9,IF($D144="V2",Parameters!$N$9,Parameters!$O$9))</f>
        <v>293.55</v>
      </c>
      <c r="AT144" s="42" t="n">
        <f aca="false">AS144*(1+INDEX(Response_Table!$I$4:$I$21,MATCH($F144&amp;"|mid",Response_Table!$A$4:$A$21,0))*$R144*INDEX(Parameters!$X$9:$AA$9,1,MATCH($E144,Parameters!$X$3:$AA$3,0)))</f>
        <v>331.969288192052</v>
      </c>
      <c r="AU144" s="42" t="n">
        <f aca="false">MAX(0,MIN(AS144*(1+INDEX(Response_Table!$I$4:$I$21,MATCH($F144&amp;"|low",Response_Table!$A$4:$A$21,0))*$R144*INDEX(Parameters!$X$9:$AA$9,1,MATCH($E144,Parameters!$X$3:$AA$3,0))),AS144*(1+INDEX(Response_Table!$I$4:$I$21,MATCH($F144&amp;"|high",Response_Table!$A$4:$A$21,0))*$R144*INDEX(Parameters!$X$9:$AA$9,1,MATCH($E144,Parameters!$X$3:$AA$3,0))))*(1-Inputs_General!$C$22*Parameters!$F$9))</f>
        <v>288.592422887142</v>
      </c>
      <c r="AV144" s="42" t="n">
        <f aca="false">MAX(AS144*(1+INDEX(Response_Table!$I$4:$I$21,MATCH($F144&amp;"|low",Response_Table!$A$4:$A$21,0))*$R144*INDEX(Parameters!$X$9:$AA$9,1,MATCH($E144,Parameters!$X$3:$AA$3,0))),AS144*(1+INDEX(Response_Table!$I$4:$I$21,MATCH($F144&amp;"|high",Response_Table!$A$4:$A$21,0))*$R144*INDEX(Parameters!$X$9:$AA$9,1,MATCH($E144,Parameters!$X$3:$AA$3,0))))*(1+Inputs_General!$C$22*Parameters!$F$9)</f>
        <v>374.511168902177</v>
      </c>
      <c r="AW144" s="45" t="n">
        <f aca="false">IF(AS144=0,0,AT144/AS144-1)</f>
        <v>0.130878174730207</v>
      </c>
      <c r="AX144" s="43" t="n">
        <f aca="false">INDEX(Context!$AB$4:$AB$51,$K144)</f>
        <v>3.08824606193307</v>
      </c>
      <c r="AY144" s="43" t="n">
        <f aca="false">AX144*(1+INDEX(Response_Table!$J$4:$J$21,MATCH($F144&amp;"|mid",Response_Table!$A$4:$A$21,0))*$R144*INDEX(Parameters!$X$10:$AA$10,1,MATCH($E144,Parameters!$X$3:$AA$3,0)))</f>
        <v>2.6601928235392</v>
      </c>
      <c r="AZ144" s="43" t="n">
        <f aca="false">MAX(0,MIN(AX144*(1+INDEX(Response_Table!$J$4:$J$21,MATCH($F144&amp;"|low",Response_Table!$A$4:$A$21,0))*$R144*INDEX(Parameters!$X$10:$AA$10,1,MATCH($E144,Parameters!$X$3:$AA$3,0))),AX144*(1+INDEX(Response_Table!$J$4:$J$21,MATCH($F144&amp;"|high",Response_Table!$A$4:$A$21,0))*$R144*INDEX(Parameters!$X$10:$AA$10,1,MATCH($E144,Parameters!$X$3:$AA$3,0))))*(1-Inputs_General!$C$22*Parameters!$F$10))</f>
        <v>2.03801947465251</v>
      </c>
      <c r="BA144" s="43" t="n">
        <f aca="false">MAX(AX144*(1+INDEX(Response_Table!$J$4:$J$21,MATCH($F144&amp;"|low",Response_Table!$A$4:$A$21,0))*$R144*INDEX(Parameters!$X$10:$AA$10,1,MATCH($E144,Parameters!$X$3:$AA$3,0))),AX144*(1+INDEX(Response_Table!$J$4:$J$21,MATCH($F144&amp;"|high",Response_Table!$A$4:$A$21,0))*$R144*INDEX(Parameters!$X$10:$AA$10,1,MATCH($E144,Parameters!$X$3:$AA$3,0))))*(1+Inputs_General!$C$22*Parameters!$F$10)</f>
        <v>3.35779654762395</v>
      </c>
      <c r="BB144" s="45" t="n">
        <f aca="false">IF(AX144=0,0,AY144/AX144-1)</f>
        <v>-0.138607232004672</v>
      </c>
      <c r="BC144" s="46" t="n">
        <f aca="false">Parameters!$E$11*IF($N144="V",Parameters!$I$11,IF($N144="F",Parameters!$J$11,Parameters!$K$11))*(1-Parameters!$L$11*$P144)*IF($D144="V1",Parameters!$M$11,IF($D144="V2",Parameters!$N$11,Parameters!$O$11))</f>
        <v>1.03176111607143</v>
      </c>
      <c r="BD144" s="46" t="n">
        <f aca="false">BC144*(1+INDEX(Response_Table!$K$4:$K$21,MATCH($F144&amp;"|mid",Response_Table!$A$4:$A$21,0))*$R144*INDEX(Parameters!$X$11:$AA$11,1,MATCH($E144,Parameters!$X$3:$AA$3,0)))</f>
        <v>0.782161285389651</v>
      </c>
      <c r="BE144" s="46" t="n">
        <f aca="false">MAX(0,MIN(BC144*(1+INDEX(Response_Table!$K$4:$K$21,MATCH($F144&amp;"|low",Response_Table!$A$4:$A$21,0))*$R144*INDEX(Parameters!$X$11:$AA$11,1,MATCH($E144,Parameters!$X$3:$AA$3,0))),BC144*(1+INDEX(Response_Table!$K$4:$K$21,MATCH($F144&amp;"|high",Response_Table!$A$4:$A$21,0))*$R144*INDEX(Parameters!$X$11:$AA$11,1,MATCH($E144,Parameters!$X$3:$AA$3,0))))*(1-Inputs_General!$C$22*Parameters!$F$11))</f>
        <v>0.599765499941843</v>
      </c>
      <c r="BF144" s="46" t="n">
        <f aca="false">MAX(BC144*(1+INDEX(Response_Table!$K$4:$K$21,MATCH($F144&amp;"|low",Response_Table!$A$4:$A$21,0))*$R144*INDEX(Parameters!$X$11:$AA$11,1,MATCH($E144,Parameters!$X$3:$AA$3,0))),BC144*(1+INDEX(Response_Table!$K$4:$K$21,MATCH($F144&amp;"|high",Response_Table!$A$4:$A$21,0))*$R144*INDEX(Parameters!$X$11:$AA$11,1,MATCH($E144,Parameters!$X$3:$AA$3,0))))*(1+Inputs_General!$C$22*Parameters!$F$11)</f>
        <v>1.00451695862852</v>
      </c>
      <c r="BG144" s="45" t="n">
        <f aca="false">IF(BC144=0,0,BD144/BC144-1)</f>
        <v>-0.241916299028756</v>
      </c>
      <c r="BH144" s="46" t="n">
        <f aca="false">Parameters!$E$12*IF($N144="V",Parameters!$I$12,IF($N144="F",Parameters!$J$12,Parameters!$K$12))*(1-Parameters!$L$12*$P144)*IF($D144="V1",Parameters!$M$12,IF($D144="V2",Parameters!$N$12,Parameters!$O$12))</f>
        <v>0.384543437142857</v>
      </c>
      <c r="BI144" s="46" t="n">
        <f aca="false">BH144*(1+INDEX(Response_Table!$L$4:$L$21,MATCH($F144&amp;"|mid",Response_Table!$A$4:$A$21,0))*$R144*INDEX(Parameters!$X$12:$AA$12,1,MATCH($E144,Parameters!$X$3:$AA$3,0)))</f>
        <v>0.309532397738416</v>
      </c>
      <c r="BJ144" s="46" t="n">
        <f aca="false">MAX(0,MIN(BH144*(1+INDEX(Response_Table!$L$4:$L$21,MATCH($F144&amp;"|low",Response_Table!$A$4:$A$21,0))*$R144*INDEX(Parameters!$X$12:$AA$12,1,MATCH($E144,Parameters!$X$3:$AA$3,0))),BH144*(1+INDEX(Response_Table!$L$4:$L$21,MATCH($F144&amp;"|high",Response_Table!$A$4:$A$21,0))*$R144*INDEX(Parameters!$X$12:$AA$12,1,MATCH($E144,Parameters!$X$3:$AA$3,0))))*(1-Inputs_General!$C$22*Parameters!$F$12))</f>
        <v>0.232504095876116</v>
      </c>
      <c r="BK144" s="46" t="n">
        <f aca="false">MAX(BH144*(1+INDEX(Response_Table!$L$4:$L$21,MATCH($F144&amp;"|low",Response_Table!$A$4:$A$21,0))*$R144*INDEX(Parameters!$X$12:$AA$12,1,MATCH($E144,Parameters!$X$3:$AA$3,0))),BH144*(1+INDEX(Response_Table!$L$4:$L$21,MATCH($F144&amp;"|high",Response_Table!$A$4:$A$21,0))*$R144*INDEX(Parameters!$X$12:$AA$12,1,MATCH($E144,Parameters!$X$3:$AA$3,0))))*(1+Inputs_General!$C$22*Parameters!$F$12)</f>
        <v>0.399947425333701</v>
      </c>
      <c r="BL144" s="45" t="n">
        <f aca="false">IF(BH144=0,0,BI144/BH144-1)</f>
        <v>-0.19506519201516</v>
      </c>
      <c r="BM144" s="46" t="n">
        <f aca="false">Parameters!$E$13*IF($N144="V",Parameters!$I$13,IF($N144="F",Parameters!$J$13,Parameters!$K$13))*(1-Parameters!$L$13*$P144)*IF($D144="V1",Parameters!$M$13,IF($D144="V2",Parameters!$N$13,Parameters!$O$13))</f>
        <v>0.270144353571429</v>
      </c>
      <c r="BN144" s="46" t="n">
        <f aca="false">BM144*(1+INDEX(Response_Table!$M$4:$M$21,MATCH($F144&amp;"|mid",Response_Table!$A$4:$A$21,0))*$R144*INDEX(Parameters!$X$13:$AA$13,1,MATCH($E144,Parameters!$X$3:$AA$3,0)))</f>
        <v>0.250391867764688</v>
      </c>
      <c r="BO144" s="46" t="n">
        <f aca="false">MAX(0,MIN(BM144*(1+INDEX(Response_Table!$M$4:$M$21,MATCH($F144&amp;"|low",Response_Table!$A$4:$A$21,0))*$R144*INDEX(Parameters!$X$13:$AA$13,1,MATCH($E144,Parameters!$X$3:$AA$3,0))),BM144*(1+INDEX(Response_Table!$M$4:$M$21,MATCH($F144&amp;"|high",Response_Table!$A$4:$A$21,0))*$R144*INDEX(Parameters!$X$13:$AA$13,1,MATCH($E144,Parameters!$X$3:$AA$3,0))))*(1-Inputs_General!$C$22*Parameters!$F$13))</f>
        <v>0.188202191064183</v>
      </c>
      <c r="BP144" s="46" t="n">
        <f aca="false">MAX(BM144*(1+INDEX(Response_Table!$M$4:$M$21,MATCH($F144&amp;"|low",Response_Table!$A$4:$A$21,0))*$R144*INDEX(Parameters!$X$13:$AA$13,1,MATCH($E144,Parameters!$X$3:$AA$3,0))),BM144*(1+INDEX(Response_Table!$M$4:$M$21,MATCH($F144&amp;"|high",Response_Table!$A$4:$A$21,0))*$R144*INDEX(Parameters!$X$13:$AA$13,1,MATCH($E144,Parameters!$X$3:$AA$3,0))))*(1+Inputs_General!$C$22*Parameters!$F$13)</f>
        <v>0.3199244336005</v>
      </c>
      <c r="BQ144" s="45" t="n">
        <f aca="false">IF(BM144=0,0,BN144/BM144-1)</f>
        <v>-0.0731182626829087</v>
      </c>
      <c r="BR144" s="44" t="n">
        <f aca="false">Parameters!$E$14*IF($N144="V",Parameters!$I$14,IF($N144="F",Parameters!$J$14,Parameters!$K$14))*(1-Parameters!$L$14*$P144)*IF($D144="V1",Parameters!$M$14,IF($D144="V2",Parameters!$N$14,Parameters!$O$14))*INDEX(Context!$AC$4:$AC$51,$K144)</f>
        <v>17.25</v>
      </c>
      <c r="BS144" s="44" t="n">
        <f aca="false">BR144*(1+INDEX(Response_Table!$N$4:$N$21,MATCH($F144&amp;"|mid",Response_Table!$A$4:$A$21,0))*$R144*INDEX(Parameters!$X$14:$AA$14,1,MATCH($E144,Parameters!$X$3:$AA$3,0)))</f>
        <v>20.9207722497398</v>
      </c>
      <c r="BT144" s="44" t="n">
        <f aca="false">MAX(0,MIN(BR144*(1+INDEX(Response_Table!$N$4:$N$21,MATCH($F144&amp;"|low",Response_Table!$A$4:$A$21,0))*$R144*INDEX(Parameters!$X$14:$AA$14,1,MATCH($E144,Parameters!$X$3:$AA$3,0))),BR144*(1+INDEX(Response_Table!$N$4:$N$21,MATCH($F144&amp;"|high",Response_Table!$A$4:$A$21,0))*$R144*INDEX(Parameters!$X$14:$AA$14,1,MATCH($E144,Parameters!$X$3:$AA$3,0))))*(1-Inputs_General!$C$22*Parameters!$F$14))</f>
        <v>9.98958222252468</v>
      </c>
      <c r="BU144" s="44" t="n">
        <f aca="false">MAX(BR144*(1+INDEX(Response_Table!$N$4:$N$21,MATCH($F144&amp;"|low",Response_Table!$A$4:$A$21,0))*$R144*INDEX(Parameters!$X$14:$AA$14,1,MATCH($E144,Parameters!$X$3:$AA$3,0))),BR144*(1+INDEX(Response_Table!$N$4:$N$21,MATCH($F144&amp;"|high",Response_Table!$A$4:$A$21,0))*$R144*INDEX(Parameters!$X$14:$AA$14,1,MATCH($E144,Parameters!$X$3:$AA$3,0))))*(1+Inputs_General!$C$22*Parameters!$F$14)</f>
        <v>32.6954858192517</v>
      </c>
      <c r="BV144" s="45" t="n">
        <f aca="false">IF(BR144=0,0,BS144/BR144-1)</f>
        <v>0.212798391289265</v>
      </c>
      <c r="BW144" s="43" t="n">
        <f aca="false">Parameters!$E$15*IF($N144="V",Parameters!$I$15,IF($N144="F",Parameters!$J$15,Parameters!$K$15))*(1-Parameters!$L$15*$P144)*IF($D144="V1",Parameters!$M$15,IF($D144="V2",Parameters!$N$15,Parameters!$O$15))</f>
        <v>7.73084285714286</v>
      </c>
      <c r="BX144" s="43" t="n">
        <f aca="false">BW144*(1+INDEX(Response_Table!$O$4:$O$21,MATCH($F144&amp;"|mid",Response_Table!$A$4:$A$21,0))*$R144*INDEX(Parameters!$X$15:$AA$15,1,MATCH($E144,Parameters!$X$3:$AA$3,0)))</f>
        <v>7.31956512631533</v>
      </c>
      <c r="BY144" s="43" t="n">
        <f aca="false">MAX(0,MIN(BW144*(1+INDEX(Response_Table!$O$4:$O$21,MATCH($F144&amp;"|low",Response_Table!$A$4:$A$21,0))*$R144*INDEX(Parameters!$X$15:$AA$15,1,MATCH($E144,Parameters!$X$3:$AA$3,0))),BW144*(1+INDEX(Response_Table!$O$4:$O$21,MATCH($F144&amp;"|high",Response_Table!$A$4:$A$21,0))*$R144*INDEX(Parameters!$X$15:$AA$15,1,MATCH($E144,Parameters!$X$3:$AA$3,0))))*(1-Inputs_General!$C$22*Parameters!$F$15))</f>
        <v>5.78735904242083</v>
      </c>
      <c r="BZ144" s="43" t="n">
        <f aca="false">MAX(BW144*(1+INDEX(Response_Table!$O$4:$O$21,MATCH($F144&amp;"|low",Response_Table!$A$4:$A$21,0))*$R144*INDEX(Parameters!$X$15:$AA$15,1,MATCH($E144,Parameters!$X$3:$AA$3,0))),BW144*(1+INDEX(Response_Table!$O$4:$O$21,MATCH($F144&amp;"|high",Response_Table!$A$4:$A$21,0))*$R144*INDEX(Parameters!$X$15:$AA$15,1,MATCH($E144,Parameters!$X$3:$AA$3,0))))*(1+Inputs_General!$C$22*Parameters!$F$15)</f>
        <v>8.92516923570562</v>
      </c>
      <c r="CA144" s="45" t="n">
        <f aca="false">IF(BW144=0,0,BX144/BW144-1)</f>
        <v>-0.0531995978223163</v>
      </c>
      <c r="CB144" s="46" t="n">
        <f aca="false">BD144+BI144</f>
        <v>1.09169368312807</v>
      </c>
      <c r="CC144" s="43" t="n">
        <f aca="false">BD144/BI144</f>
        <v>2.52691250125827</v>
      </c>
      <c r="CD144" s="46" t="n">
        <f aca="false">BN144/CB144</f>
        <v>0.229360920223732</v>
      </c>
      <c r="CE144" s="43" t="n">
        <f aca="false">AE144/AO144</f>
        <v>2.09325538214147</v>
      </c>
      <c r="CF144" s="44" t="n">
        <f aca="false">AE144/AJ144</f>
        <v>48.2309428115602</v>
      </c>
      <c r="CG144" s="44" t="n">
        <f aca="false">INDEX(Context!$V$4:$V$51,$K144)</f>
        <v>32.7871428571429</v>
      </c>
      <c r="CH144" s="44" t="n">
        <f aca="false">INDEX(Context!$Y$4:$Y$51,$K144)</f>
        <v>28.36912210206</v>
      </c>
      <c r="CI144" s="44" t="n">
        <f aca="false">INDEX(Context!$Z$4:$Z$51,$K144)</f>
        <v>36.7871428571429</v>
      </c>
      <c r="CJ144" s="43" t="n">
        <f aca="false">INDEX(Context!$AA$4:$AA$51,$K144)</f>
        <v>0.347678571428571</v>
      </c>
      <c r="CK144" s="43" t="n">
        <f aca="false">MAX(0,MIN(1,1-(1-CJ144)*AO144/AN144))</f>
        <v>0.47547193497192</v>
      </c>
      <c r="CL144" s="44" t="n">
        <f aca="false">CH144+CK144*(CI144-CH144)</f>
        <v>32.371654719113</v>
      </c>
      <c r="CM144" s="44" t="n">
        <f aca="false">CH144+MAX(0,MIN(1,1-(1-CJ144)*AQ144/AN144))*(CI144-CH144)</f>
        <v>30.3994454029774</v>
      </c>
      <c r="CN144" s="44" t="n">
        <f aca="false">CH144+MAX(0,MIN(1,1-(1-CJ144)*AP144/AN144))*(CI144-CH144)</f>
        <v>33.9733406044463</v>
      </c>
      <c r="CO144" s="44" t="n">
        <f aca="false">CL144-CG144</f>
        <v>-0.415488138029808</v>
      </c>
      <c r="CP144" s="44" t="n">
        <f aca="false">CL144-(CH144+CJ144*(CI144-CH144))</f>
        <v>1.07576718666975</v>
      </c>
      <c r="CQ144" s="46" t="n">
        <f aca="false">CL144/CG144</f>
        <v>0.987327711358073</v>
      </c>
      <c r="CR144" s="43" t="n">
        <f aca="false">IF(CL144-CH144&lt;=0,"n/a",(CI144-CL144)/(CL144-CH144))</f>
        <v>1.1031735554677</v>
      </c>
      <c r="CS144" s="43" t="n">
        <f aca="false">IF(CI144-CL144&lt;=0,"n/a",(CL144-CH144)/(CI144-CL144))</f>
        <v>0.906475681041902</v>
      </c>
      <c r="CT144" s="43" t="n">
        <f aca="false">Inputs_General!$C$23+Inputs_General!$C$24*$I144</f>
        <v>0.96</v>
      </c>
      <c r="CU144" s="44" t="n">
        <f aca="false">3.29*CT144</f>
        <v>3.1584</v>
      </c>
    </row>
    <row r="145" customFormat="false" ht="15" hidden="false" customHeight="false" outlineLevel="0" collapsed="false">
      <c r="A145" s="9" t="str">
        <f aca="false">B145&amp;"|"&amp;E145&amp;"|"&amp;F145</f>
        <v>D2V3|13/03/2026|High</v>
      </c>
      <c r="B145" s="7" t="s">
        <v>348</v>
      </c>
      <c r="C145" s="9" t="s">
        <v>129</v>
      </c>
      <c r="D145" s="9" t="s">
        <v>150</v>
      </c>
      <c r="E145" s="9" t="s">
        <v>164</v>
      </c>
      <c r="F145" s="7" t="s">
        <v>283</v>
      </c>
      <c r="G145" s="9" t="s">
        <v>284</v>
      </c>
      <c r="H145" s="41" t="n">
        <f aca="false">INDEX(Severity_Classes!$C$4:$C$9,MATCH(F145,Severity_Classes!$A$4:$A$9,0))</f>
        <v>0.26</v>
      </c>
      <c r="I145" s="41" t="n">
        <f aca="false">INDEX(Severity_Classes!$D$4:$D$9,MATCH(F145,Severity_Classes!$A$4:$A$9,0))</f>
        <v>0.38</v>
      </c>
      <c r="J145" s="41" t="n">
        <f aca="false">INDEX(Severity_Classes!$E$4:$E$9,MATCH(F145,Severity_Classes!$A$4:$A$9,0))</f>
        <v>0.5</v>
      </c>
      <c r="K145" s="42" t="n">
        <f aca="false">MATCH(B145&amp;"|"&amp;E145,Context!$A$4:$A$51,0)</f>
        <v>24</v>
      </c>
      <c r="L145" s="42" t="n">
        <f aca="false">INDEX(Context!$H$4:$H$51,K145)</f>
        <v>85</v>
      </c>
      <c r="M145" s="42" t="n">
        <f aca="false">INDEX(Context!$I$4:$I$51,K145)</f>
        <v>36</v>
      </c>
      <c r="N145" s="9" t="str">
        <f aca="false">INDEX(Context!$L$4:$L$51,K145)</f>
        <v>P</v>
      </c>
      <c r="O145" s="9" t="str">
        <f aca="false">INDEX(Context!$M$4:$M$51,K145)</f>
        <v>5th fully expanded leaf from top</v>
      </c>
      <c r="P145" s="43" t="n">
        <f aca="false">INDEX(Context!$R$4:$R$51,K145)</f>
        <v>0.953571428571428</v>
      </c>
      <c r="Q145" s="43" t="n">
        <f aca="false">INDEX(Context!$U$4:$U$51,K145)</f>
        <v>2.18945736698217</v>
      </c>
      <c r="R145" s="43" t="n">
        <f aca="false">INDEX(Context!$AD$4:$AD$51,K145)</f>
        <v>0.85</v>
      </c>
      <c r="S145" s="9" t="str">
        <f aca="false">INDEX(Context!$AI$4:$AN$51,K145,MATCH(F145,Severity_Classes!$A$4:$A$9,0))</f>
        <v>Likely</v>
      </c>
      <c r="T145" s="44" t="n">
        <f aca="false">Parameters!$E$4*IF($N145="V",Parameters!$I$4,IF($N145="F",Parameters!$J$4,Parameters!$K$4))*(1-Parameters!$L$4*$P145)*IF($D145="V1",Parameters!$M$4,IF($D145="V2",Parameters!$N$4,Parameters!$O$4))</f>
        <v>77.8046607142857</v>
      </c>
      <c r="U145" s="44" t="n">
        <f aca="false">MIN(100,T145*(1+INDEX(Response_Table!$E$4:$E$21,MATCH($F145&amp;"|mid",Response_Table!$A$4:$A$21,0))*$R145*INDEX(Parameters!$X$4:$AA$4,1,MATCH($E145,Parameters!$X$3:$AA$3,0))))</f>
        <v>67.1210322470534</v>
      </c>
      <c r="V145" s="44" t="n">
        <f aca="false">MAX(0,MIN(T145*(1+INDEX(Response_Table!$E$4:$E$21,MATCH($F145&amp;"|low",Response_Table!$A$4:$A$21,0))*$R145*INDEX(Parameters!$X$4:$AA$4,1,MATCH($E145,Parameters!$X$3:$AA$3,0))),T145*(1+INDEX(Response_Table!$E$4:$E$21,MATCH($F145&amp;"|high",Response_Table!$A$4:$A$21,0))*$R145*INDEX(Parameters!$X$4:$AA$4,1,MATCH($E145,Parameters!$X$3:$AA$3,0))))*(1-Inputs_General!$C$22*Parameters!$F$4))</f>
        <v>58.5014555049419</v>
      </c>
      <c r="W145" s="44" t="n">
        <f aca="false">MIN(100,MAX(T145*(1+INDEX(Response_Table!$E$4:$E$21,MATCH($F145&amp;"|low",Response_Table!$A$4:$A$21,0))*$R145*INDEX(Parameters!$X$4:$AA$4,1,MATCH($E145,Parameters!$X$3:$AA$3,0))),T145*(1+INDEX(Response_Table!$E$4:$E$21,MATCH($F145&amp;"|high",Response_Table!$A$4:$A$21,0))*$R145*INDEX(Parameters!$X$4:$AA$4,1,MATCH($E145,Parameters!$X$3:$AA$3,0))))*(1+Inputs_General!$C$22*Parameters!$F$4))</f>
        <v>76.9173902755837</v>
      </c>
      <c r="X145" s="45" t="n">
        <f aca="false">IF(T145=0,0,U145/T145-1)</f>
        <v>-0.137313476714008</v>
      </c>
      <c r="Y145" s="44" t="n">
        <f aca="false">Parameters!$E$5*IF($N145="V",Parameters!$I$5,IF($N145="F",Parameters!$J$5,Parameters!$K$5))*(1-Parameters!$L$5*$P145)*IF($D145="V1",Parameters!$M$5,IF($D145="V2",Parameters!$N$5,Parameters!$O$5))</f>
        <v>58.6602514285714</v>
      </c>
      <c r="Z145" s="44" t="n">
        <f aca="false">MIN(100,Y145*(1+INDEX(Response_Table!$F$4:$F$21,MATCH($F145&amp;"|mid",Response_Table!$A$4:$A$21,0))*$R145*INDEX(Parameters!$X$5:$AA$5,1,MATCH($E145,Parameters!$X$3:$AA$3,0))))</f>
        <v>33.7150370423924</v>
      </c>
      <c r="AA145" s="44" t="n">
        <f aca="false">MAX(0,MIN(Y145*(1+INDEX(Response_Table!$F$4:$F$21,MATCH($F145&amp;"|low",Response_Table!$A$4:$A$21,0))*$R145*INDEX(Parameters!$X$5:$AA$5,1,MATCH($E145,Parameters!$X$3:$AA$3,0))),Y145*(1+INDEX(Response_Table!$F$4:$F$21,MATCH($F145&amp;"|high",Response_Table!$A$4:$A$21,0))*$R145*INDEX(Parameters!$X$5:$AA$5,1,MATCH($E145,Parameters!$X$3:$AA$3,0))))*(1-Inputs_General!$C$22*Parameters!$F$5))</f>
        <v>24.2897457203854</v>
      </c>
      <c r="AB145" s="44" t="n">
        <f aca="false">MIN(100,MAX(Y145*(1+INDEX(Response_Table!$F$4:$F$21,MATCH($F145&amp;"|low",Response_Table!$A$4:$A$21,0))*$R145*INDEX(Parameters!$X$5:$AA$5,1,MATCH($E145,Parameters!$X$3:$AA$3,0))),Y145*(1+INDEX(Response_Table!$F$4:$F$21,MATCH($F145&amp;"|high",Response_Table!$A$4:$A$21,0))*$R145*INDEX(Parameters!$X$5:$AA$5,1,MATCH($E145,Parameters!$X$3:$AA$3,0))))*(1+Inputs_General!$C$22*Parameters!$F$5))</f>
        <v>49.1950287797304</v>
      </c>
      <c r="AC145" s="45" t="n">
        <f aca="false">IF(Y145=0,0,Z145/Y145-1)</f>
        <v>-0.425249019202618</v>
      </c>
      <c r="AD145" s="44" t="n">
        <f aca="false">Parameters!$E$6*IF($N145="V",Parameters!$I$6,IF($N145="F",Parameters!$J$6,Parameters!$K$6))*(1-Parameters!$L$6*$P145)*IF($D145="V1",Parameters!$M$6,IF($D145="V2",Parameters!$N$6,Parameters!$O$6))</f>
        <v>14.7310379285714</v>
      </c>
      <c r="AE145" s="44" t="n">
        <f aca="false">AD145*(1+INDEX(Response_Table!$G$4:$G$21,MATCH($F145&amp;"|mid",Response_Table!$A$4:$A$21,0))*$R145*INDEX(Parameters!$X$6:$AA$6,1,MATCH($E145,Parameters!$X$3:$AA$3,0)))</f>
        <v>7.10430421043997</v>
      </c>
      <c r="AF145" s="44" t="n">
        <f aca="false">MAX(0,MIN(AD145*(1+INDEX(Response_Table!$G$4:$G$21,MATCH($F145&amp;"|low",Response_Table!$A$4:$A$21,0))*$R145*INDEX(Parameters!$X$6:$AA$6,1,MATCH($E145,Parameters!$X$3:$AA$3,0))),AD145*(1+INDEX(Response_Table!$G$4:$G$21,MATCH($F145&amp;"|high",Response_Table!$A$4:$A$21,0))*$R145*INDEX(Parameters!$X$6:$AA$6,1,MATCH($E145,Parameters!$X$3:$AA$3,0))))*(1-Inputs_General!$C$22*Parameters!$F$6))</f>
        <v>5.12103566900172</v>
      </c>
      <c r="AG145" s="44" t="n">
        <f aca="false">MAX(AD145*(1+INDEX(Response_Table!$G$4:$G$21,MATCH($F145&amp;"|low",Response_Table!$A$4:$A$21,0))*$R145*INDEX(Parameters!$X$6:$AA$6,1,MATCH($E145,Parameters!$X$3:$AA$3,0))),AD145*(1+INDEX(Response_Table!$G$4:$G$21,MATCH($F145&amp;"|high",Response_Table!$A$4:$A$21,0))*$R145*INDEX(Parameters!$X$6:$AA$6,1,MATCH($E145,Parameters!$X$3:$AA$3,0))))*(1+Inputs_General!$C$22*Parameters!$F$6)</f>
        <v>9.97607066311271</v>
      </c>
      <c r="AH145" s="45" t="n">
        <f aca="false">IF(AD145=0,0,AE145/AD145-1)</f>
        <v>-0.51773227080891</v>
      </c>
      <c r="AI145" s="46" t="n">
        <f aca="false">Parameters!$E$7*IF($N145="V",Parameters!$I$7,IF($N145="F",Parameters!$J$7,Parameters!$K$7))*(1-Parameters!$L$7*$P145)*IF($D145="V1",Parameters!$M$7,IF($D145="V2",Parameters!$N$7,Parameters!$O$7))*POWER($Q145/Inputs_General!$C$26,-Inputs_General!$C$25)</f>
        <v>0.258501574676089</v>
      </c>
      <c r="AJ145" s="46" t="n">
        <f aca="false">AI145*(1+INDEX(Response_Table!$H$4:$H$21,MATCH($F145&amp;"|mid",Response_Table!$A$4:$A$21,0))*$R145*INDEX(Parameters!$X$7:$AA$7,1,MATCH($E145,Parameters!$X$3:$AA$3,0)))</f>
        <v>0.161356685382412</v>
      </c>
      <c r="AK145" s="46" t="n">
        <f aca="false">MAX(0,MIN(AI145*(1+INDEX(Response_Table!$H$4:$H$21,MATCH($F145&amp;"|low",Response_Table!$A$4:$A$21,0))*$R145*INDEX(Parameters!$X$7:$AA$7,1,MATCH($E145,Parameters!$X$3:$AA$3,0))),AI145*(1+INDEX(Response_Table!$H$4:$H$21,MATCH($F145&amp;"|high",Response_Table!$A$4:$A$21,0))*$R145*INDEX(Parameters!$X$7:$AA$7,1,MATCH($E145,Parameters!$X$3:$AA$3,0))))*(1-Inputs_General!$C$22*Parameters!$F$7))</f>
        <v>0.103858598795449</v>
      </c>
      <c r="AL145" s="46" t="n">
        <f aca="false">MAX(AI145*(1+INDEX(Response_Table!$H$4:$H$21,MATCH($F145&amp;"|low",Response_Table!$A$4:$A$21,0))*$R145*INDEX(Parameters!$X$7:$AA$7,1,MATCH($E145,Parameters!$X$3:$AA$3,0))),AI145*(1+INDEX(Response_Table!$H$4:$H$21,MATCH($F145&amp;"|high",Response_Table!$A$4:$A$21,0))*$R145*INDEX(Parameters!$X$7:$AA$7,1,MATCH($E145,Parameters!$X$3:$AA$3,0))))*(1+Inputs_General!$C$22*Parameters!$F$7)</f>
        <v>0.234788480040062</v>
      </c>
      <c r="AM145" s="45" t="n">
        <f aca="false">IF(AI145=0,0,AJ145/AI145-1)</f>
        <v>-0.375799990446492</v>
      </c>
      <c r="AN145" s="43" t="n">
        <f aca="false">AI145*$Q145/Inputs_General!$C$13*1000</f>
        <v>5.69967952720096</v>
      </c>
      <c r="AO145" s="43" t="n">
        <f aca="false">AJ145*$Q145/Inputs_General!$C$13*1000*(1+Inputs_General!$C$21*$I145)</f>
        <v>3.89572531678719</v>
      </c>
      <c r="AP145" s="43" t="n">
        <f aca="false">AK145*$Q145/Inputs_General!$C$13*1000*(1+Inputs_General!$C$21*$H145)</f>
        <v>2.43881754867931</v>
      </c>
      <c r="AQ145" s="43" t="n">
        <f aca="false">AL145*$Q145/Inputs_General!$C$13*1000*(1+Inputs_General!$C$21*$J145)</f>
        <v>5.82393543020687</v>
      </c>
      <c r="AR145" s="45" t="n">
        <f aca="false">IF(AN145=0,0,AO145/AN145-1)</f>
        <v>-0.316500989538909</v>
      </c>
      <c r="AS145" s="42" t="n">
        <f aca="false">Parameters!$E$9*IF($N145="V",Parameters!$I$9,IF($N145="F",Parameters!$J$9,Parameters!$K$9))*(1-Parameters!$L$9*$P145)*IF($D145="V1",Parameters!$M$9,IF($D145="V2",Parameters!$N$9,Parameters!$O$9))</f>
        <v>293.55</v>
      </c>
      <c r="AT145" s="42" t="n">
        <f aca="false">AS145*(1+INDEX(Response_Table!$I$4:$I$21,MATCH($F145&amp;"|mid",Response_Table!$A$4:$A$21,0))*$R145*INDEX(Parameters!$X$9:$AA$9,1,MATCH($E145,Parameters!$X$3:$AA$3,0)))</f>
        <v>352.03351702422</v>
      </c>
      <c r="AU145" s="42" t="n">
        <f aca="false">MAX(0,MIN(AS145*(1+INDEX(Response_Table!$I$4:$I$21,MATCH($F145&amp;"|low",Response_Table!$A$4:$A$21,0))*$R145*INDEX(Parameters!$X$9:$AA$9,1,MATCH($E145,Parameters!$X$3:$AA$3,0))),AS145*(1+INDEX(Response_Table!$I$4:$I$21,MATCH($F145&amp;"|high",Response_Table!$A$4:$A$21,0))*$R145*INDEX(Parameters!$X$9:$AA$9,1,MATCH($E145,Parameters!$X$3:$AA$3,0))))*(1-Inputs_General!$C$22*Parameters!$F$9))</f>
        <v>308.197111781318</v>
      </c>
      <c r="AV145" s="42" t="n">
        <f aca="false">MAX(AS145*(1+INDEX(Response_Table!$I$4:$I$21,MATCH($F145&amp;"|low",Response_Table!$A$4:$A$21,0))*$R145*INDEX(Parameters!$X$9:$AA$9,1,MATCH($E145,Parameters!$X$3:$AA$3,0))),AS145*(1+INDEX(Response_Table!$I$4:$I$21,MATCH($F145&amp;"|high",Response_Table!$A$4:$A$21,0))*$R145*INDEX(Parameters!$X$9:$AA$9,1,MATCH($E145,Parameters!$X$3:$AA$3,0))))*(1+Inputs_General!$C$22*Parameters!$F$9)</f>
        <v>393.636405791852</v>
      </c>
      <c r="AW145" s="45" t="n">
        <f aca="false">IF(AS145=0,0,AT145/AS145-1)</f>
        <v>0.199228468827185</v>
      </c>
      <c r="AX145" s="43" t="n">
        <f aca="false">INDEX(Context!$AB$4:$AB$51,$K145)</f>
        <v>3.08824606193307</v>
      </c>
      <c r="AY145" s="43" t="n">
        <f aca="false">AX145*(1+INDEX(Response_Table!$J$4:$J$21,MATCH($F145&amp;"|mid",Response_Table!$A$4:$A$21,0))*$R145*INDEX(Parameters!$X$10:$AA$10,1,MATCH($E145,Parameters!$X$3:$AA$3,0)))</f>
        <v>2.36383137006546</v>
      </c>
      <c r="AZ145" s="43" t="n">
        <f aca="false">MAX(0,MIN(AX145*(1+INDEX(Response_Table!$J$4:$J$21,MATCH($F145&amp;"|low",Response_Table!$A$4:$A$21,0))*$R145*INDEX(Parameters!$X$10:$AA$10,1,MATCH($E145,Parameters!$X$3:$AA$3,0))),AX145*(1+INDEX(Response_Table!$J$4:$J$21,MATCH($F145&amp;"|high",Response_Table!$A$4:$A$21,0))*$R145*INDEX(Parameters!$X$10:$AA$10,1,MATCH($E145,Parameters!$X$3:$AA$3,0))))*(1-Inputs_General!$C$22*Parameters!$F$10))</f>
        <v>1.80217964162509</v>
      </c>
      <c r="BA145" s="43" t="n">
        <f aca="false">MAX(AX145*(1+INDEX(Response_Table!$J$4:$J$21,MATCH($F145&amp;"|low",Response_Table!$A$4:$A$21,0))*$R145*INDEX(Parameters!$X$10:$AA$10,1,MATCH($E145,Parameters!$X$3:$AA$3,0))),AX145*(1+INDEX(Response_Table!$J$4:$J$21,MATCH($F145&amp;"|high",Response_Table!$A$4:$A$21,0))*$R145*INDEX(Parameters!$X$10:$AA$10,1,MATCH($E145,Parameters!$X$3:$AA$3,0))))*(1+Inputs_General!$C$22*Parameters!$F$10)</f>
        <v>3.02183128288975</v>
      </c>
      <c r="BB145" s="45" t="n">
        <f aca="false">IF(AX145=0,0,AY145/AX145-1)</f>
        <v>-0.234571558528653</v>
      </c>
      <c r="BC145" s="46" t="n">
        <f aca="false">Parameters!$E$11*IF($N145="V",Parameters!$I$11,IF($N145="F",Parameters!$J$11,Parameters!$K$11))*(1-Parameters!$L$11*$P145)*IF($D145="V1",Parameters!$M$11,IF($D145="V2",Parameters!$N$11,Parameters!$O$11))</f>
        <v>1.03176111607143</v>
      </c>
      <c r="BD145" s="46" t="n">
        <f aca="false">BC145*(1+INDEX(Response_Table!$K$4:$K$21,MATCH($F145&amp;"|mid",Response_Table!$A$4:$A$21,0))*$R145*INDEX(Parameters!$X$11:$AA$11,1,MATCH($E145,Parameters!$X$3:$AA$3,0)))</f>
        <v>0.630683000190517</v>
      </c>
      <c r="BE145" s="46" t="n">
        <f aca="false">MAX(0,MIN(BC145*(1+INDEX(Response_Table!$K$4:$K$21,MATCH($F145&amp;"|low",Response_Table!$A$4:$A$21,0))*$R145*INDEX(Parameters!$X$11:$AA$11,1,MATCH($E145,Parameters!$X$3:$AA$3,0))),BC145*(1+INDEX(Response_Table!$K$4:$K$21,MATCH($F145&amp;"|high",Response_Table!$A$4:$A$21,0))*$R145*INDEX(Parameters!$X$11:$AA$11,1,MATCH($E145,Parameters!$X$3:$AA$3,0))))*(1-Inputs_General!$C$22*Parameters!$F$11))</f>
        <v>0.481919582494037</v>
      </c>
      <c r="BF145" s="46" t="n">
        <f aca="false">MAX(BC145*(1+INDEX(Response_Table!$K$4:$K$21,MATCH($F145&amp;"|low",Response_Table!$A$4:$A$21,0))*$R145*INDEX(Parameters!$X$11:$AA$11,1,MATCH($E145,Parameters!$X$3:$AA$3,0))),BC145*(1+INDEX(Response_Table!$K$4:$K$21,MATCH($F145&amp;"|high",Response_Table!$A$4:$A$21,0))*$R145*INDEX(Parameters!$X$11:$AA$11,1,MATCH($E145,Parameters!$X$3:$AA$3,0))))*(1+Inputs_General!$C$22*Parameters!$F$11)</f>
        <v>0.82654520194913</v>
      </c>
      <c r="BG145" s="45" t="n">
        <f aca="false">IF(BC145=0,0,BD145/BC145-1)</f>
        <v>-0.388731567446611</v>
      </c>
      <c r="BH145" s="46" t="n">
        <f aca="false">Parameters!$E$12*IF($N145="V",Parameters!$I$12,IF($N145="F",Parameters!$J$12,Parameters!$K$12))*(1-Parameters!$L$12*$P145)*IF($D145="V1",Parameters!$M$12,IF($D145="V2",Parameters!$N$12,Parameters!$O$12))</f>
        <v>0.384543437142857</v>
      </c>
      <c r="BI145" s="46" t="n">
        <f aca="false">BH145*(1+INDEX(Response_Table!$L$4:$L$21,MATCH($F145&amp;"|mid",Response_Table!$A$4:$A$21,0))*$R145*INDEX(Parameters!$X$12:$AA$12,1,MATCH($E145,Parameters!$X$3:$AA$3,0)))</f>
        <v>0.262264543292856</v>
      </c>
      <c r="BJ145" s="46" t="n">
        <f aca="false">MAX(0,MIN(BH145*(1+INDEX(Response_Table!$L$4:$L$21,MATCH($F145&amp;"|low",Response_Table!$A$4:$A$21,0))*$R145*INDEX(Parameters!$X$12:$AA$12,1,MATCH($E145,Parameters!$X$3:$AA$3,0))),BH145*(1+INDEX(Response_Table!$L$4:$L$21,MATCH($F145&amp;"|high",Response_Table!$A$4:$A$21,0))*$R145*INDEX(Parameters!$X$12:$AA$12,1,MATCH($E145,Parameters!$X$3:$AA$3,0))))*(1-Inputs_General!$C$22*Parameters!$F$12))</f>
        <v>0.196542609727167</v>
      </c>
      <c r="BK145" s="46" t="n">
        <f aca="false">MAX(BH145*(1+INDEX(Response_Table!$L$4:$L$21,MATCH($F145&amp;"|low",Response_Table!$A$4:$A$21,0))*$R145*INDEX(Parameters!$X$12:$AA$12,1,MATCH($E145,Parameters!$X$3:$AA$3,0))),BH145*(1+INDEX(Response_Table!$L$4:$L$21,MATCH($F145&amp;"|high",Response_Table!$A$4:$A$21,0))*$R145*INDEX(Parameters!$X$12:$AA$12,1,MATCH($E145,Parameters!$X$3:$AA$3,0))))*(1+Inputs_General!$C$22*Parameters!$F$12)</f>
        <v>0.343868001235848</v>
      </c>
      <c r="BL145" s="45" t="n">
        <f aca="false">IF(BH145=0,0,BI145/BH145-1)</f>
        <v>-0.317984607300878</v>
      </c>
      <c r="BM145" s="46" t="n">
        <f aca="false">Parameters!$E$13*IF($N145="V",Parameters!$I$13,IF($N145="F",Parameters!$J$13,Parameters!$K$13))*(1-Parameters!$L$13*$P145)*IF($D145="V1",Parameters!$M$13,IF($D145="V2",Parameters!$N$13,Parameters!$O$13))</f>
        <v>0.270144353571429</v>
      </c>
      <c r="BN145" s="46" t="n">
        <f aca="false">BM145*(1+INDEX(Response_Table!$M$4:$M$21,MATCH($F145&amp;"|mid",Response_Table!$A$4:$A$21,0))*$R145*INDEX(Parameters!$X$13:$AA$13,1,MATCH($E145,Parameters!$X$3:$AA$3,0)))</f>
        <v>0.212976437249907</v>
      </c>
      <c r="BO145" s="46" t="n">
        <f aca="false">MAX(0,MIN(BM145*(1+INDEX(Response_Table!$M$4:$M$21,MATCH($F145&amp;"|low",Response_Table!$A$4:$A$21,0))*$R145*INDEX(Parameters!$X$13:$AA$13,1,MATCH($E145,Parameters!$X$3:$AA$3,0))),BM145*(1+INDEX(Response_Table!$M$4:$M$21,MATCH($F145&amp;"|high",Response_Table!$A$4:$A$21,0))*$R145*INDEX(Parameters!$X$13:$AA$13,1,MATCH($E145,Parameters!$X$3:$AA$3,0))))*(1-Inputs_General!$C$22*Parameters!$F$13))</f>
        <v>0.161236253536415</v>
      </c>
      <c r="BP145" s="46" t="n">
        <f aca="false">MAX(BM145*(1+INDEX(Response_Table!$M$4:$M$21,MATCH($F145&amp;"|low",Response_Table!$A$4:$A$21,0))*$R145*INDEX(Parameters!$X$13:$AA$13,1,MATCH($E145,Parameters!$X$3:$AA$3,0))),BM145*(1+INDEX(Response_Table!$M$4:$M$21,MATCH($F145&amp;"|high",Response_Table!$A$4:$A$21,0))*$R145*INDEX(Parameters!$X$13:$AA$13,1,MATCH($E145,Parameters!$X$3:$AA$3,0))))*(1+Inputs_General!$C$22*Parameters!$F$13)</f>
        <v>0.278339282093716</v>
      </c>
      <c r="BQ145" s="45" t="n">
        <f aca="false">IF(BM145=0,0,BN145/BM145-1)</f>
        <v>-0.211619882354511</v>
      </c>
      <c r="BR145" s="44" t="n">
        <f aca="false">Parameters!$E$14*IF($N145="V",Parameters!$I$14,IF($N145="F",Parameters!$J$14,Parameters!$K$14))*(1-Parameters!$L$14*$P145)*IF($D145="V1",Parameters!$M$14,IF($D145="V2",Parameters!$N$14,Parameters!$O$14))*INDEX(Context!$AC$4:$AC$51,$K145)</f>
        <v>17.25</v>
      </c>
      <c r="BS145" s="44" t="n">
        <f aca="false">BR145*(1+INDEX(Response_Table!$N$4:$N$21,MATCH($F145&amp;"|mid",Response_Table!$A$4:$A$21,0))*$R145*INDEX(Parameters!$X$14:$AA$14,1,MATCH($E145,Parameters!$X$3:$AA$3,0)))</f>
        <v>23.2338921555711</v>
      </c>
      <c r="BT145" s="44" t="n">
        <f aca="false">MAX(0,MIN(BR145*(1+INDEX(Response_Table!$N$4:$N$21,MATCH($F145&amp;"|low",Response_Table!$A$4:$A$21,0))*$R145*INDEX(Parameters!$X$14:$AA$14,1,MATCH($E145,Parameters!$X$3:$AA$3,0))),BR145*(1+INDEX(Response_Table!$N$4:$N$21,MATCH($F145&amp;"|high",Response_Table!$A$4:$A$21,0))*$R145*INDEX(Parameters!$X$14:$AA$14,1,MATCH($E145,Parameters!$X$3:$AA$3,0))))*(1-Inputs_General!$C$22*Parameters!$F$14))</f>
        <v>11.1504319330222</v>
      </c>
      <c r="BU145" s="44" t="n">
        <f aca="false">MAX(BR145*(1+INDEX(Response_Table!$N$4:$N$21,MATCH($F145&amp;"|low",Response_Table!$A$4:$A$21,0))*$R145*INDEX(Parameters!$X$14:$AA$14,1,MATCH($E145,Parameters!$X$3:$AA$3,0))),BR145*(1+INDEX(Response_Table!$N$4:$N$21,MATCH($F145&amp;"|high",Response_Table!$A$4:$A$21,0))*$R145*INDEX(Parameters!$X$14:$AA$14,1,MATCH($E145,Parameters!$X$3:$AA$3,0))))*(1+Inputs_General!$C$22*Parameters!$F$14)</f>
        <v>35.9702192934367</v>
      </c>
      <c r="BV145" s="45" t="n">
        <f aca="false">IF(BR145=0,0,BS145/BR145-1)</f>
        <v>0.346892298873685</v>
      </c>
      <c r="BW145" s="43" t="n">
        <f aca="false">Parameters!$E$15*IF($N145="V",Parameters!$I$15,IF($N145="F",Parameters!$J$15,Parameters!$K$15))*(1-Parameters!$L$15*$P145)*IF($D145="V1",Parameters!$M$15,IF($D145="V2",Parameters!$N$15,Parameters!$O$15))</f>
        <v>7.73084285714286</v>
      </c>
      <c r="BX145" s="43" t="n">
        <f aca="false">BW145*(1+INDEX(Response_Table!$O$4:$O$21,MATCH($F145&amp;"|mid",Response_Table!$A$4:$A$21,0))*$R145*INDEX(Parameters!$X$15:$AA$15,1,MATCH($E145,Parameters!$X$3:$AA$3,0)))</f>
        <v>7.06040039440648</v>
      </c>
      <c r="BY145" s="43" t="n">
        <f aca="false">MAX(0,MIN(BW145*(1+INDEX(Response_Table!$O$4:$O$21,MATCH($F145&amp;"|low",Response_Table!$A$4:$A$21,0))*$R145*INDEX(Parameters!$X$15:$AA$15,1,MATCH($E145,Parameters!$X$3:$AA$3,0))),BW145*(1+INDEX(Response_Table!$O$4:$O$21,MATCH($F145&amp;"|high",Response_Table!$A$4:$A$21,0))*$R145*INDEX(Parameters!$X$15:$AA$15,1,MATCH($E145,Parameters!$X$3:$AA$3,0))))*(1-Inputs_General!$C$22*Parameters!$F$15))</f>
        <v>5.59018595246029</v>
      </c>
      <c r="BZ145" s="43" t="n">
        <f aca="false">MAX(BW145*(1+INDEX(Response_Table!$O$4:$O$21,MATCH($F145&amp;"|low",Response_Table!$A$4:$A$21,0))*$R145*INDEX(Parameters!$X$15:$AA$15,1,MATCH($E145,Parameters!$X$3:$AA$3,0))),BW145*(1+INDEX(Response_Table!$O$4:$O$21,MATCH($F145&amp;"|high",Response_Table!$A$4:$A$21,0))*$R145*INDEX(Parameters!$X$15:$AA$15,1,MATCH($E145,Parameters!$X$3:$AA$3,0))))*(1+Inputs_General!$C$22*Parameters!$F$15)</f>
        <v>8.61769158345335</v>
      </c>
      <c r="CA145" s="45" t="n">
        <f aca="false">IF(BW145=0,0,BX145/BW145-1)</f>
        <v>-0.0867230747184212</v>
      </c>
      <c r="CB145" s="46" t="n">
        <f aca="false">BD145+BI145</f>
        <v>0.892947543483373</v>
      </c>
      <c r="CC145" s="43" t="n">
        <f aca="false">BD145/BI145</f>
        <v>2.4047589211717</v>
      </c>
      <c r="CD145" s="46" t="n">
        <f aca="false">BN145/CB145</f>
        <v>0.238509460946709</v>
      </c>
      <c r="CE145" s="43" t="n">
        <f aca="false">AE145/AO145</f>
        <v>1.82361527898966</v>
      </c>
      <c r="CF145" s="44" t="n">
        <f aca="false">AE145/AJ145</f>
        <v>44.0285705770599</v>
      </c>
      <c r="CG145" s="44" t="n">
        <f aca="false">INDEX(Context!$V$4:$V$51,$K145)</f>
        <v>32.7871428571429</v>
      </c>
      <c r="CH145" s="44" t="n">
        <f aca="false">INDEX(Context!$Y$4:$Y$51,$K145)</f>
        <v>28.36912210206</v>
      </c>
      <c r="CI145" s="44" t="n">
        <f aca="false">INDEX(Context!$Z$4:$Z$51,$K145)</f>
        <v>36.7871428571429</v>
      </c>
      <c r="CJ145" s="43" t="n">
        <f aca="false">INDEX(Context!$AA$4:$AA$51,$K145)</f>
        <v>0.347678571428571</v>
      </c>
      <c r="CK145" s="43" t="n">
        <f aca="false">MAX(0,MIN(1,1-(1-CJ145)*AO145/AN145))</f>
        <v>0.554138949068863</v>
      </c>
      <c r="CL145" s="44" t="n">
        <f aca="false">CH145+CK145*(CI145-CH145)</f>
        <v>33.0338752765215</v>
      </c>
      <c r="CM145" s="44" t="n">
        <f aca="false">CH145+MAX(0,MIN(1,1-(1-CJ145)*AQ145/AN145))*(CI145-CH145)</f>
        <v>31.1761753827075</v>
      </c>
      <c r="CN145" s="44" t="n">
        <f aca="false">CH145+MAX(0,MIN(1,1-(1-CJ145)*AP145/AN145))*(CI145-CH145)</f>
        <v>34.4375072703974</v>
      </c>
      <c r="CO145" s="44" t="n">
        <f aca="false">CL145-CG145</f>
        <v>0.246732419378652</v>
      </c>
      <c r="CP145" s="44" t="n">
        <f aca="false">CL145-(CH145+CJ145*(CI145-CH145))</f>
        <v>1.73798774407821</v>
      </c>
      <c r="CQ145" s="46" t="n">
        <f aca="false">CL145/CG145</f>
        <v>1.00752527966385</v>
      </c>
      <c r="CR145" s="43" t="n">
        <f aca="false">IF(CL145-CH145&lt;=0,"n/a",(CI145-CL145)/(CL145-CH145))</f>
        <v>0.804601538441452</v>
      </c>
      <c r="CS145" s="43" t="n">
        <f aca="false">IF(CI145-CL145&lt;=0,"n/a",(CL145-CH145)/(CI145-CL145))</f>
        <v>1.24285121544391</v>
      </c>
      <c r="CT145" s="43" t="n">
        <f aca="false">Inputs_General!$C$23+Inputs_General!$C$24*$I145</f>
        <v>1.36</v>
      </c>
      <c r="CU145" s="44" t="n">
        <f aca="false">3.29*CT145</f>
        <v>4.4744</v>
      </c>
    </row>
    <row r="146" customFormat="false" ht="15" hidden="false" customHeight="false" outlineLevel="0" collapsed="false">
      <c r="A146" s="9" t="str">
        <f aca="false">B146&amp;"|"&amp;E146&amp;"|"&amp;F146</f>
        <v>D2V3|13/03/2026|Very high</v>
      </c>
      <c r="B146" s="7" t="s">
        <v>348</v>
      </c>
      <c r="C146" s="9" t="s">
        <v>129</v>
      </c>
      <c r="D146" s="9" t="s">
        <v>150</v>
      </c>
      <c r="E146" s="9" t="s">
        <v>164</v>
      </c>
      <c r="F146" s="7" t="s">
        <v>285</v>
      </c>
      <c r="G146" s="9" t="s">
        <v>286</v>
      </c>
      <c r="H146" s="41" t="n">
        <f aca="false">INDEX(Severity_Classes!$C$4:$C$9,MATCH(F146,Severity_Classes!$A$4:$A$9,0))</f>
        <v>0.51</v>
      </c>
      <c r="I146" s="41" t="n">
        <f aca="false">INDEX(Severity_Classes!$D$4:$D$9,MATCH(F146,Severity_Classes!$A$4:$A$9,0))</f>
        <v>0.65</v>
      </c>
      <c r="J146" s="41" t="n">
        <f aca="false">INDEX(Severity_Classes!$E$4:$E$9,MATCH(F146,Severity_Classes!$A$4:$A$9,0))</f>
        <v>0.85</v>
      </c>
      <c r="K146" s="42" t="n">
        <f aca="false">MATCH(B146&amp;"|"&amp;E146,Context!$A$4:$A$51,0)</f>
        <v>24</v>
      </c>
      <c r="L146" s="42" t="n">
        <f aca="false">INDEX(Context!$H$4:$H$51,K146)</f>
        <v>85</v>
      </c>
      <c r="M146" s="42" t="n">
        <f aca="false">INDEX(Context!$I$4:$I$51,K146)</f>
        <v>36</v>
      </c>
      <c r="N146" s="9" t="str">
        <f aca="false">INDEX(Context!$L$4:$L$51,K146)</f>
        <v>P</v>
      </c>
      <c r="O146" s="9" t="str">
        <f aca="false">INDEX(Context!$M$4:$M$51,K146)</f>
        <v>5th fully expanded leaf from top</v>
      </c>
      <c r="P146" s="43" t="n">
        <f aca="false">INDEX(Context!$R$4:$R$51,K146)</f>
        <v>0.953571428571428</v>
      </c>
      <c r="Q146" s="43" t="n">
        <f aca="false">INDEX(Context!$U$4:$U$51,K146)</f>
        <v>2.18945736698217</v>
      </c>
      <c r="R146" s="43" t="n">
        <f aca="false">INDEX(Context!$AD$4:$AD$51,K146)</f>
        <v>0.85</v>
      </c>
      <c r="S146" s="9" t="str">
        <f aca="false">INDEX(Context!$AI$4:$AN$51,K146,MATCH(F146,Severity_Classes!$A$4:$A$9,0))</f>
        <v>Possible</v>
      </c>
      <c r="T146" s="44" t="n">
        <f aca="false">Parameters!$E$4*IF($N146="V",Parameters!$I$4,IF($N146="F",Parameters!$J$4,Parameters!$K$4))*(1-Parameters!$L$4*$P146)*IF($D146="V1",Parameters!$M$4,IF($D146="V2",Parameters!$N$4,Parameters!$O$4))</f>
        <v>77.8046607142857</v>
      </c>
      <c r="U146" s="44" t="n">
        <f aca="false">MIN(100,T146*(1+INDEX(Response_Table!$E$4:$E$21,MATCH($F146&amp;"|mid",Response_Table!$A$4:$A$21,0))*$R146*INDEX(Parameters!$X$4:$AA$4,1,MATCH($E146,Parameters!$X$3:$AA$3,0))))</f>
        <v>59.5509562362945</v>
      </c>
      <c r="V146" s="44" t="n">
        <f aca="false">MAX(0,MIN(T146*(1+INDEX(Response_Table!$E$4:$E$21,MATCH($F146&amp;"|low",Response_Table!$A$4:$A$21,0))*$R146*INDEX(Parameters!$X$4:$AA$4,1,MATCH($E146,Parameters!$X$3:$AA$3,0))),T146*(1+INDEX(Response_Table!$E$4:$E$21,MATCH($F146&amp;"|high",Response_Table!$A$4:$A$21,0))*$R146*INDEX(Parameters!$X$4:$AA$4,1,MATCH($E146,Parameters!$X$3:$AA$3,0))))*(1-Inputs_General!$C$22*Parameters!$F$4))</f>
        <v>54.4486948289438</v>
      </c>
      <c r="W146" s="44" t="n">
        <f aca="false">MIN(100,MAX(T146*(1+INDEX(Response_Table!$E$4:$E$21,MATCH($F146&amp;"|low",Response_Table!$A$4:$A$21,0))*$R146*INDEX(Parameters!$X$4:$AA$4,1,MATCH($E146,Parameters!$X$3:$AA$3,0))),T146*(1+INDEX(Response_Table!$E$4:$E$21,MATCH($F146&amp;"|high",Response_Table!$A$4:$A$21,0))*$R146*INDEX(Parameters!$X$4:$AA$4,1,MATCH($E146,Parameters!$X$3:$AA$3,0))))*(1+Inputs_General!$C$22*Parameters!$F$4))</f>
        <v>66.4284070813125</v>
      </c>
      <c r="X146" s="45" t="n">
        <f aca="false">IF(T146=0,0,U146/T146-1)</f>
        <v>-0.234609396280545</v>
      </c>
      <c r="Y146" s="44" t="n">
        <f aca="false">Parameters!$E$5*IF($N146="V",Parameters!$I$5,IF($N146="F",Parameters!$J$5,Parameters!$K$5))*(1-Parameters!$L$5*$P146)*IF($D146="V1",Parameters!$M$5,IF($D146="V2",Parameters!$N$5,Parameters!$O$5))</f>
        <v>58.6602514285714</v>
      </c>
      <c r="Z146" s="44" t="n">
        <f aca="false">MIN(100,Y146*(1+INDEX(Response_Table!$F$4:$F$21,MATCH($F146&amp;"|mid",Response_Table!$A$4:$A$21,0))*$R146*INDEX(Parameters!$X$5:$AA$5,1,MATCH($E146,Parameters!$X$3:$AA$3,0))))</f>
        <v>24.6507118915932</v>
      </c>
      <c r="AA146" s="44" t="n">
        <f aca="false">MAX(0,MIN(Y146*(1+INDEX(Response_Table!$F$4:$F$21,MATCH($F146&amp;"|low",Response_Table!$A$4:$A$21,0))*$R146*INDEX(Parameters!$X$5:$AA$5,1,MATCH($E146,Parameters!$X$3:$AA$3,0))),Y146*(1+INDEX(Response_Table!$F$4:$F$21,MATCH($F146&amp;"|high",Response_Table!$A$4:$A$21,0))*$R146*INDEX(Parameters!$X$5:$AA$5,1,MATCH($E146,Parameters!$X$3:$AA$3,0))))*(1-Inputs_General!$C$22*Parameters!$F$5))</f>
        <v>21.1309914029612</v>
      </c>
      <c r="AB146" s="44" t="n">
        <f aca="false">MIN(100,MAX(Y146*(1+INDEX(Response_Table!$F$4:$F$21,MATCH($F146&amp;"|low",Response_Table!$A$4:$A$21,0))*$R146*INDEX(Parameters!$X$5:$AA$5,1,MATCH($E146,Parameters!$X$3:$AA$3,0))),Y146*(1+INDEX(Response_Table!$F$4:$F$21,MATCH($F146&amp;"|high",Response_Table!$A$4:$A$21,0))*$R146*INDEX(Parameters!$X$5:$AA$5,1,MATCH($E146,Parameters!$X$3:$AA$3,0))))*(1+Inputs_General!$C$22*Parameters!$F$5))</f>
        <v>30.2554204146292</v>
      </c>
      <c r="AC146" s="45" t="n">
        <f aca="false">IF(Y146=0,0,Z146/Y146-1)</f>
        <v>-0.579771458674883</v>
      </c>
      <c r="AD146" s="44" t="n">
        <f aca="false">Parameters!$E$6*IF($N146="V",Parameters!$I$6,IF($N146="F",Parameters!$J$6,Parameters!$K$6))*(1-Parameters!$L$6*$P146)*IF($D146="V1",Parameters!$M$6,IF($D146="V2",Parameters!$N$6,Parameters!$O$6))</f>
        <v>14.7310379285714</v>
      </c>
      <c r="AE146" s="44" t="n">
        <f aca="false">AD146*(1+INDEX(Response_Table!$G$4:$G$21,MATCH($F146&amp;"|mid",Response_Table!$A$4:$A$21,0))*$R146*INDEX(Parameters!$X$6:$AA$6,1,MATCH($E146,Parameters!$X$3:$AA$3,0)))</f>
        <v>5.87781427734759</v>
      </c>
      <c r="AF146" s="44" t="n">
        <f aca="false">MAX(0,MIN(AD146*(1+INDEX(Response_Table!$G$4:$G$21,MATCH($F146&amp;"|low",Response_Table!$A$4:$A$21,0))*$R146*INDEX(Parameters!$X$6:$AA$6,1,MATCH($E146,Parameters!$X$3:$AA$3,0))),AD146*(1+INDEX(Response_Table!$G$4:$G$21,MATCH($F146&amp;"|high",Response_Table!$A$4:$A$21,0))*$R146*INDEX(Parameters!$X$6:$AA$6,1,MATCH($E146,Parameters!$X$3:$AA$3,0))))*(1-Inputs_General!$C$22*Parameters!$F$6))</f>
        <v>4.46492552226835</v>
      </c>
      <c r="AG146" s="44" t="n">
        <f aca="false">MAX(AD146*(1+INDEX(Response_Table!$G$4:$G$21,MATCH($F146&amp;"|low",Response_Table!$A$4:$A$21,0))*$R146*INDEX(Parameters!$X$6:$AA$6,1,MATCH($E146,Parameters!$X$3:$AA$3,0))),AD146*(1+INDEX(Response_Table!$G$4:$G$21,MATCH($F146&amp;"|high",Response_Table!$A$4:$A$21,0))*$R146*INDEX(Parameters!$X$6:$AA$6,1,MATCH($E146,Parameters!$X$3:$AA$3,0))))*(1+Inputs_General!$C$22*Parameters!$F$6)</f>
        <v>7.58644612827969</v>
      </c>
      <c r="AH146" s="45" t="n">
        <f aca="false">IF(AD146=0,0,AE146/AD146-1)</f>
        <v>-0.600991165330765</v>
      </c>
      <c r="AI146" s="46" t="n">
        <f aca="false">Parameters!$E$7*IF($N146="V",Parameters!$I$7,IF($N146="F",Parameters!$J$7,Parameters!$K$7))*(1-Parameters!$L$7*$P146)*IF($D146="V1",Parameters!$M$7,IF($D146="V2",Parameters!$N$7,Parameters!$O$7))*POWER($Q146/Inputs_General!$C$26,-Inputs_General!$C$25)</f>
        <v>0.258501574676089</v>
      </c>
      <c r="AJ146" s="46" t="n">
        <f aca="false">AI146*(1+INDEX(Response_Table!$H$4:$H$21,MATCH($F146&amp;"|mid",Response_Table!$A$4:$A$21,0))*$R146*INDEX(Parameters!$X$7:$AA$7,1,MATCH($E146,Parameters!$X$3:$AA$3,0)))</f>
        <v>0.135999339193782</v>
      </c>
      <c r="AK146" s="46" t="n">
        <f aca="false">MAX(0,MIN(AI146*(1+INDEX(Response_Table!$H$4:$H$21,MATCH($F146&amp;"|low",Response_Table!$A$4:$A$21,0))*$R146*INDEX(Parameters!$X$7:$AA$7,1,MATCH($E146,Parameters!$X$3:$AA$3,0))),AI146*(1+INDEX(Response_Table!$H$4:$H$21,MATCH($F146&amp;"|high",Response_Table!$A$4:$A$21,0))*$R146*INDEX(Parameters!$X$7:$AA$7,1,MATCH($E146,Parameters!$X$3:$AA$3,0))))*(1-Inputs_General!$C$22*Parameters!$F$7))</f>
        <v>0.0892765124683278</v>
      </c>
      <c r="AL146" s="46" t="n">
        <f aca="false">MAX(AI146*(1+INDEX(Response_Table!$H$4:$H$21,MATCH($F146&amp;"|low",Response_Table!$A$4:$A$21,0))*$R146*INDEX(Parameters!$X$7:$AA$7,1,MATCH($E146,Parameters!$X$3:$AA$3,0))),AI146*(1+INDEX(Response_Table!$H$4:$H$21,MATCH($F146&amp;"|high",Response_Table!$A$4:$A$21,0))*$R146*INDEX(Parameters!$X$7:$AA$7,1,MATCH($E146,Parameters!$X$3:$AA$3,0))))*(1+Inputs_General!$C$22*Parameters!$F$7)</f>
        <v>0.19001543745326</v>
      </c>
      <c r="AM146" s="45" t="n">
        <f aca="false">IF(AI146=0,0,AJ146/AI146-1)</f>
        <v>-0.473893575448451</v>
      </c>
      <c r="AN146" s="43" t="n">
        <f aca="false">AI146*$Q146/Inputs_General!$C$13*1000</f>
        <v>5.69967952720096</v>
      </c>
      <c r="AO146" s="43" t="n">
        <f aca="false">AJ146*$Q146/Inputs_General!$C$13*1000*(1+Inputs_General!$C$21*$I146)</f>
        <v>3.48591669493148</v>
      </c>
      <c r="AP146" s="43" t="n">
        <f aca="false">AK146*$Q146/Inputs_General!$C$13*1000*(1+Inputs_General!$C$21*$H146)</f>
        <v>2.21942774881514</v>
      </c>
      <c r="AQ146" s="43" t="n">
        <f aca="false">AL146*$Q146/Inputs_General!$C$13*1000*(1+Inputs_General!$C$21*$J146)</f>
        <v>5.0799317521552</v>
      </c>
      <c r="AR146" s="45" t="n">
        <f aca="false">IF(AN146=0,0,AO146/AN146-1)</f>
        <v>-0.388401281458824</v>
      </c>
      <c r="AS146" s="42" t="n">
        <f aca="false">Parameters!$E$9*IF($N146="V",Parameters!$I$9,IF($N146="F",Parameters!$J$9,Parameters!$K$9))*(1-Parameters!$L$9*$P146)*IF($D146="V1",Parameters!$M$9,IF($D146="V2",Parameters!$N$9,Parameters!$O$9))</f>
        <v>293.55</v>
      </c>
      <c r="AT146" s="42" t="n">
        <f aca="false">AS146*(1+INDEX(Response_Table!$I$4:$I$21,MATCH($F146&amp;"|mid",Response_Table!$A$4:$A$21,0))*$R146*INDEX(Parameters!$X$9:$AA$9,1,MATCH($E146,Parameters!$X$3:$AA$3,0)))</f>
        <v>362.845482734372</v>
      </c>
      <c r="AU146" s="42" t="n">
        <f aca="false">MAX(0,MIN(AS146*(1+INDEX(Response_Table!$I$4:$I$21,MATCH($F146&amp;"|low",Response_Table!$A$4:$A$21,0))*$R146*INDEX(Parameters!$X$9:$AA$9,1,MATCH($E146,Parameters!$X$3:$AA$3,0))),AS146*(1+INDEX(Response_Table!$I$4:$I$21,MATCH($F146&amp;"|high",Response_Table!$A$4:$A$21,0))*$R146*INDEX(Parameters!$X$9:$AA$9,1,MATCH($E146,Parameters!$X$3:$AA$3,0))))*(1-Inputs_General!$C$22*Parameters!$F$9))</f>
        <v>323.270999999858</v>
      </c>
      <c r="AV146" s="42" t="n">
        <f aca="false">MAX(AS146*(1+INDEX(Response_Table!$I$4:$I$21,MATCH($F146&amp;"|low",Response_Table!$A$4:$A$21,0))*$R146*INDEX(Parameters!$X$9:$AA$9,1,MATCH($E146,Parameters!$X$3:$AA$3,0))),AS146*(1+INDEX(Response_Table!$I$4:$I$21,MATCH($F146&amp;"|high",Response_Table!$A$4:$A$21,0))*$R146*INDEX(Parameters!$X$9:$AA$9,1,MATCH($E146,Parameters!$X$3:$AA$3,0))))*(1+Inputs_General!$C$22*Parameters!$F$9)</f>
        <v>402.022114875989</v>
      </c>
      <c r="AW146" s="45" t="n">
        <f aca="false">IF(AS146=0,0,AT146/AS146-1)</f>
        <v>0.236060237555345</v>
      </c>
      <c r="AX146" s="43" t="n">
        <f aca="false">INDEX(Context!$AB$4:$AB$51,$K146)</f>
        <v>3.08824606193307</v>
      </c>
      <c r="AY146" s="43" t="n">
        <f aca="false">AX146*(1+INDEX(Response_Table!$J$4:$J$21,MATCH($F146&amp;"|mid",Response_Table!$A$4:$A$21,0))*$R146*INDEX(Parameters!$X$10:$AA$10,1,MATCH($E146,Parameters!$X$3:$AA$3,0)))</f>
        <v>2.13959467059666</v>
      </c>
      <c r="AZ146" s="43" t="n">
        <f aca="false">MAX(0,MIN(AX146*(1+INDEX(Response_Table!$J$4:$J$21,MATCH($F146&amp;"|low",Response_Table!$A$4:$A$21,0))*$R146*INDEX(Parameters!$X$10:$AA$10,1,MATCH($E146,Parameters!$X$3:$AA$3,0))),AX146*(1+INDEX(Response_Table!$J$4:$J$21,MATCH($F146&amp;"|high",Response_Table!$A$4:$A$21,0))*$R146*INDEX(Parameters!$X$10:$AA$10,1,MATCH($E146,Parameters!$X$3:$AA$3,0))))*(1-Inputs_General!$C$22*Parameters!$F$10))</f>
        <v>1.64378309196801</v>
      </c>
      <c r="BA146" s="43" t="n">
        <f aca="false">MAX(AX146*(1+INDEX(Response_Table!$J$4:$J$21,MATCH($F146&amp;"|low",Response_Table!$A$4:$A$21,0))*$R146*INDEX(Parameters!$X$10:$AA$10,1,MATCH($E146,Parameters!$X$3:$AA$3,0))),AX146*(1+INDEX(Response_Table!$J$4:$J$21,MATCH($F146&amp;"|high",Response_Table!$A$4:$A$21,0))*$R146*INDEX(Parameters!$X$10:$AA$10,1,MATCH($E146,Parameters!$X$3:$AA$3,0))))*(1+Inputs_General!$C$22*Parameters!$F$10)</f>
        <v>2.6786687260076</v>
      </c>
      <c r="BB146" s="45" t="n">
        <f aca="false">IF(AX146=0,0,AY146/AX146-1)</f>
        <v>-0.307181284234396</v>
      </c>
      <c r="BC146" s="46" t="n">
        <f aca="false">Parameters!$E$11*IF($N146="V",Parameters!$I$11,IF($N146="F",Parameters!$J$11,Parameters!$K$11))*(1-Parameters!$L$11*$P146)*IF($D146="V1",Parameters!$M$11,IF($D146="V2",Parameters!$N$11,Parameters!$O$11))</f>
        <v>1.03176111607143</v>
      </c>
      <c r="BD146" s="46" t="n">
        <f aca="false">BC146*(1+INDEX(Response_Table!$K$4:$K$21,MATCH($F146&amp;"|mid",Response_Table!$A$4:$A$21,0))*$R146*INDEX(Parameters!$X$11:$AA$11,1,MATCH($E146,Parameters!$X$3:$AA$3,0)))</f>
        <v>0.532929319122865</v>
      </c>
      <c r="BE146" s="46" t="n">
        <f aca="false">MAX(0,MIN(BC146*(1+INDEX(Response_Table!$K$4:$K$21,MATCH($F146&amp;"|low",Response_Table!$A$4:$A$21,0))*$R146*INDEX(Parameters!$X$11:$AA$11,1,MATCH($E146,Parameters!$X$3:$AA$3,0))),BC146*(1+INDEX(Response_Table!$K$4:$K$21,MATCH($F146&amp;"|high",Response_Table!$A$4:$A$21,0))*$R146*INDEX(Parameters!$X$11:$AA$11,1,MATCH($E146,Parameters!$X$3:$AA$3,0))))*(1-Inputs_General!$C$22*Parameters!$F$11))</f>
        <v>0.417135801014429</v>
      </c>
      <c r="BF146" s="46" t="n">
        <f aca="false">MAX(BC146*(1+INDEX(Response_Table!$K$4:$K$21,MATCH($F146&amp;"|low",Response_Table!$A$4:$A$21,0))*$R146*INDEX(Parameters!$X$11:$AA$11,1,MATCH($E146,Parameters!$X$3:$AA$3,0))),BC146*(1+INDEX(Response_Table!$K$4:$K$21,MATCH($F146&amp;"|high",Response_Table!$A$4:$A$21,0))*$R146*INDEX(Parameters!$X$11:$AA$11,1,MATCH($E146,Parameters!$X$3:$AA$3,0))))*(1+Inputs_General!$C$22*Parameters!$F$11)</f>
        <v>0.66746718919665</v>
      </c>
      <c r="BG146" s="45" t="n">
        <f aca="false">IF(BC146=0,0,BD146/BC146-1)</f>
        <v>-0.483476057760283</v>
      </c>
      <c r="BH146" s="46" t="n">
        <f aca="false">Parameters!$E$12*IF($N146="V",Parameters!$I$12,IF($N146="F",Parameters!$J$12,Parameters!$K$12))*(1-Parameters!$L$12*$P146)*IF($D146="V1",Parameters!$M$12,IF($D146="V2",Parameters!$N$12,Parameters!$O$12))</f>
        <v>0.384543437142857</v>
      </c>
      <c r="BI146" s="46" t="n">
        <f aca="false">BH146*(1+INDEX(Response_Table!$L$4:$L$21,MATCH($F146&amp;"|mid",Response_Table!$A$4:$A$21,0))*$R146*INDEX(Parameters!$X$12:$AA$12,1,MATCH($E146,Parameters!$X$3:$AA$3,0)))</f>
        <v>0.230346567314279</v>
      </c>
      <c r="BJ146" s="46" t="n">
        <f aca="false">MAX(0,MIN(BH146*(1+INDEX(Response_Table!$L$4:$L$21,MATCH($F146&amp;"|low",Response_Table!$A$4:$A$21,0))*$R146*INDEX(Parameters!$X$12:$AA$12,1,MATCH($E146,Parameters!$X$3:$AA$3,0))),BH146*(1+INDEX(Response_Table!$L$4:$L$21,MATCH($F146&amp;"|high",Response_Table!$A$4:$A$21,0))*$R146*INDEX(Parameters!$X$12:$AA$12,1,MATCH($E146,Parameters!$X$3:$AA$3,0))))*(1-Inputs_General!$C$22*Parameters!$F$12))</f>
        <v>0.175614047253027</v>
      </c>
      <c r="BK146" s="46" t="n">
        <f aca="false">MAX(BH146*(1+INDEX(Response_Table!$L$4:$L$21,MATCH($F146&amp;"|low",Response_Table!$A$4:$A$21,0))*$R146*INDEX(Parameters!$X$12:$AA$12,1,MATCH($E146,Parameters!$X$3:$AA$3,0))),BH146*(1+INDEX(Response_Table!$L$4:$L$21,MATCH($F146&amp;"|high",Response_Table!$A$4:$A$21,0))*$R146*INDEX(Parameters!$X$12:$AA$12,1,MATCH($E146,Parameters!$X$3:$AA$3,0))))*(1+Inputs_General!$C$22*Parameters!$F$12)</f>
        <v>0.291802638900658</v>
      </c>
      <c r="BL146" s="45" t="n">
        <f aca="false">IF(BH146=0,0,BI146/BH146-1)</f>
        <v>-0.400986871533305</v>
      </c>
      <c r="BM146" s="46" t="n">
        <f aca="false">Parameters!$E$13*IF($N146="V",Parameters!$I$13,IF($N146="F",Parameters!$J$13,Parameters!$K$13))*(1-Parameters!$L$13*$P146)*IF($D146="V1",Parameters!$M$13,IF($D146="V2",Parameters!$N$13,Parameters!$O$13))</f>
        <v>0.270144353571429</v>
      </c>
      <c r="BN146" s="46" t="n">
        <f aca="false">BM146*(1+INDEX(Response_Table!$M$4:$M$21,MATCH($F146&amp;"|mid",Response_Table!$A$4:$A$21,0))*$R146*INDEX(Parameters!$X$13:$AA$13,1,MATCH($E146,Parameters!$X$3:$AA$3,0)))</f>
        <v>0.191972986041918</v>
      </c>
      <c r="BO146" s="46" t="n">
        <f aca="false">MAX(0,MIN(BM146*(1+INDEX(Response_Table!$M$4:$M$21,MATCH($F146&amp;"|low",Response_Table!$A$4:$A$21,0))*$R146*INDEX(Parameters!$X$13:$AA$13,1,MATCH($E146,Parameters!$X$3:$AA$3,0))),BM146*(1+INDEX(Response_Table!$M$4:$M$21,MATCH($F146&amp;"|high",Response_Table!$A$4:$A$21,0))*$R146*INDEX(Parameters!$X$13:$AA$13,1,MATCH($E146,Parameters!$X$3:$AA$3,0))))*(1-Inputs_General!$C$22*Parameters!$F$13))</f>
        <v>0.148942457421177</v>
      </c>
      <c r="BP146" s="46" t="n">
        <f aca="false">MAX(BM146*(1+INDEX(Response_Table!$M$4:$M$21,MATCH($F146&amp;"|low",Response_Table!$A$4:$A$21,0))*$R146*INDEX(Parameters!$X$13:$AA$13,1,MATCH($E146,Parameters!$X$3:$AA$3,0))),BM146*(1+INDEX(Response_Table!$M$4:$M$21,MATCH($F146&amp;"|high",Response_Table!$A$4:$A$21,0))*$R146*INDEX(Parameters!$X$13:$AA$13,1,MATCH($E146,Parameters!$X$3:$AA$3,0))))*(1+Inputs_General!$C$22*Parameters!$F$13)</f>
        <v>0.239629269199871</v>
      </c>
      <c r="BQ146" s="45" t="n">
        <f aca="false">IF(BM146=0,0,BN146/BM146-1)</f>
        <v>-0.289368874440834</v>
      </c>
      <c r="BR146" s="44" t="n">
        <f aca="false">Parameters!$E$14*IF($N146="V",Parameters!$I$14,IF($N146="F",Parameters!$J$14,Parameters!$K$14))*(1-Parameters!$L$14*$P146)*IF($D146="V1",Parameters!$M$14,IF($D146="V2",Parameters!$N$14,Parameters!$O$14))*INDEX(Context!$AC$4:$AC$51,$K146)</f>
        <v>17.25</v>
      </c>
      <c r="BS146" s="44" t="n">
        <f aca="false">BR146*(1+INDEX(Response_Table!$N$4:$N$21,MATCH($F146&amp;"|mid",Response_Table!$A$4:$A$21,0))*$R146*INDEX(Parameters!$X$14:$AA$14,1,MATCH($E146,Parameters!$X$3:$AA$3,0)))</f>
        <v>24.7958438552176</v>
      </c>
      <c r="BT146" s="44" t="n">
        <f aca="false">MAX(0,MIN(BR146*(1+INDEX(Response_Table!$N$4:$N$21,MATCH($F146&amp;"|low",Response_Table!$A$4:$A$21,0))*$R146*INDEX(Parameters!$X$14:$AA$14,1,MATCH($E146,Parameters!$X$3:$AA$3,0))),BR146*(1+INDEX(Response_Table!$N$4:$N$21,MATCH($F146&amp;"|high",Response_Table!$A$4:$A$21,0))*$R146*INDEX(Parameters!$X$14:$AA$14,1,MATCH($E146,Parameters!$X$3:$AA$3,0))))*(1-Inputs_General!$C$22*Parameters!$F$14))</f>
        <v>12.2281901619278</v>
      </c>
      <c r="BU146" s="44" t="n">
        <f aca="false">MAX(BR146*(1+INDEX(Response_Table!$N$4:$N$21,MATCH($F146&amp;"|low",Response_Table!$A$4:$A$21,0))*$R146*INDEX(Parameters!$X$14:$AA$14,1,MATCH($E146,Parameters!$X$3:$AA$3,0))),BR146*(1+INDEX(Response_Table!$N$4:$N$21,MATCH($F146&amp;"|high",Response_Table!$A$4:$A$21,0))*$R146*INDEX(Parameters!$X$14:$AA$14,1,MATCH($E146,Parameters!$X$3:$AA$3,0))))*(1+Inputs_General!$C$22*Parameters!$F$14)</f>
        <v>37.8760210675005</v>
      </c>
      <c r="BV146" s="45" t="n">
        <f aca="false">IF(BR146=0,0,BS146/BR146-1)</f>
        <v>0.437440223490878</v>
      </c>
      <c r="BW146" s="43" t="n">
        <f aca="false">Parameters!$E$15*IF($N146="V",Parameters!$I$15,IF($N146="F",Parameters!$J$15,Parameters!$K$15))*(1-Parameters!$L$15*$P146)*IF($D146="V1",Parameters!$M$15,IF($D146="V2",Parameters!$N$15,Parameters!$O$15))</f>
        <v>7.73084285714286</v>
      </c>
      <c r="BX146" s="43" t="n">
        <f aca="false">BW146*(1+INDEX(Response_Table!$O$4:$O$21,MATCH($F146&amp;"|mid",Response_Table!$A$4:$A$21,0))*$R146*INDEX(Parameters!$X$15:$AA$15,1,MATCH($E146,Parameters!$X$3:$AA$3,0)))</f>
        <v>6.8853974503425</v>
      </c>
      <c r="BY146" s="43" t="n">
        <f aca="false">MAX(0,MIN(BW146*(1+INDEX(Response_Table!$O$4:$O$21,MATCH($F146&amp;"|low",Response_Table!$A$4:$A$21,0))*$R146*INDEX(Parameters!$X$15:$AA$15,1,MATCH($E146,Parameters!$X$3:$AA$3,0))),BW146*(1+INDEX(Response_Table!$O$4:$O$21,MATCH($F146&amp;"|high",Response_Table!$A$4:$A$21,0))*$R146*INDEX(Parameters!$X$15:$AA$15,1,MATCH($E146,Parameters!$X$3:$AA$3,0))))*(1-Inputs_General!$C$22*Parameters!$F$15))</f>
        <v>5.47543682017008</v>
      </c>
      <c r="BZ146" s="43" t="n">
        <f aca="false">MAX(BW146*(1+INDEX(Response_Table!$O$4:$O$21,MATCH($F146&amp;"|low",Response_Table!$A$4:$A$21,0))*$R146*INDEX(Parameters!$X$15:$AA$15,1,MATCH($E146,Parameters!$X$3:$AA$3,0))),BW146*(1+INDEX(Response_Table!$O$4:$O$21,MATCH($F146&amp;"|high",Response_Table!$A$4:$A$21,0))*$R146*INDEX(Parameters!$X$15:$AA$15,1,MATCH($E146,Parameters!$X$3:$AA$3,0))))*(1+Inputs_General!$C$22*Parameters!$F$15)</f>
        <v>8.33222261453966</v>
      </c>
      <c r="CA146" s="45" t="n">
        <f aca="false">IF(BW146=0,0,BX146/BW146-1)</f>
        <v>-0.109360055872719</v>
      </c>
      <c r="CB146" s="46" t="n">
        <f aca="false">BD146+BI146</f>
        <v>0.763275886437143</v>
      </c>
      <c r="CC146" s="43" t="n">
        <f aca="false">BD146/BI146</f>
        <v>2.31359783363192</v>
      </c>
      <c r="CD146" s="46" t="n">
        <f aca="false">BN146/CB146</f>
        <v>0.251511923084612</v>
      </c>
      <c r="CE146" s="43" t="n">
        <f aca="false">AE146/AO146</f>
        <v>1.68616028199811</v>
      </c>
      <c r="CF146" s="44" t="n">
        <f aca="false">AE146/AJ146</f>
        <v>43.2194326251279</v>
      </c>
      <c r="CG146" s="44" t="n">
        <f aca="false">INDEX(Context!$V$4:$V$51,$K146)</f>
        <v>32.7871428571429</v>
      </c>
      <c r="CH146" s="44" t="n">
        <f aca="false">INDEX(Context!$Y$4:$Y$51,$K146)</f>
        <v>28.36912210206</v>
      </c>
      <c r="CI146" s="44" t="n">
        <f aca="false">INDEX(Context!$Z$4:$Z$51,$K146)</f>
        <v>36.7871428571429</v>
      </c>
      <c r="CJ146" s="43" t="n">
        <f aca="false">INDEX(Context!$AA$4:$AA$51,$K146)</f>
        <v>0.347678571428571</v>
      </c>
      <c r="CK146" s="43" t="n">
        <f aca="false">MAX(0,MIN(1,1-(1-CJ146)*AO146/AN146))</f>
        <v>0.601041050208765</v>
      </c>
      <c r="CL146" s="44" t="n">
        <f aca="false">CH146+CK146*(CI146-CH146)</f>
        <v>33.4286981373742</v>
      </c>
      <c r="CM146" s="44" t="n">
        <f aca="false">CH146+MAX(0,MIN(1,1-(1-CJ146)*AQ146/AN146))*(CI146-CH146)</f>
        <v>31.8929725533553</v>
      </c>
      <c r="CN146" s="44" t="n">
        <f aca="false">CH146+MAX(0,MIN(1,1-(1-CJ146)*AP146/AN146))*(CI146-CH146)</f>
        <v>34.6488744886663</v>
      </c>
      <c r="CO146" s="44" t="n">
        <f aca="false">CL146-CG146</f>
        <v>0.641555280231344</v>
      </c>
      <c r="CP146" s="44" t="n">
        <f aca="false">CL146-(CH146+CJ146*(CI146-CH146))</f>
        <v>2.1328106049309</v>
      </c>
      <c r="CQ146" s="46" t="n">
        <f aca="false">CL146/CG146</f>
        <v>1.01956728230412</v>
      </c>
      <c r="CR146" s="43" t="n">
        <f aca="false">IF(CL146-CH146&lt;=0,"n/a",(CI146-CL146)/(CL146-CH146))</f>
        <v>0.663779869366094</v>
      </c>
      <c r="CS146" s="43" t="n">
        <f aca="false">IF(CI146-CL146&lt;=0,"n/a",(CL146-CH146)/(CI146-CL146))</f>
        <v>1.50652354214206</v>
      </c>
      <c r="CT146" s="43" t="n">
        <f aca="false">Inputs_General!$C$23+Inputs_General!$C$24*$I146</f>
        <v>1.9</v>
      </c>
      <c r="CU146" s="44" t="n">
        <f aca="false">3.29*CT146</f>
        <v>6.251</v>
      </c>
    </row>
    <row r="147" customFormat="false" ht="15" hidden="false" customHeight="false" outlineLevel="0" collapsed="false">
      <c r="A147" s="33" t="str">
        <f aca="false">B147&amp;"|"&amp;E147&amp;"|"&amp;F147</f>
        <v>D3V1|11/02/2026|Healthy</v>
      </c>
      <c r="B147" s="34" t="s">
        <v>349</v>
      </c>
      <c r="C147" s="33" t="s">
        <v>131</v>
      </c>
      <c r="D147" s="33" t="s">
        <v>142</v>
      </c>
      <c r="E147" s="33" t="s">
        <v>158</v>
      </c>
      <c r="F147" s="34" t="s">
        <v>275</v>
      </c>
      <c r="G147" s="33" t="s">
        <v>276</v>
      </c>
      <c r="H147" s="35" t="n">
        <f aca="false">INDEX(Severity_Classes!$C$4:$C$9,MATCH(F147,Severity_Classes!$A$4:$A$9,0))</f>
        <v>0</v>
      </c>
      <c r="I147" s="35" t="n">
        <f aca="false">INDEX(Severity_Classes!$D$4:$D$9,MATCH(F147,Severity_Classes!$A$4:$A$9,0))</f>
        <v>0</v>
      </c>
      <c r="J147" s="35" t="n">
        <f aca="false">INDEX(Severity_Classes!$E$4:$E$9,MATCH(F147,Severity_Classes!$A$4:$A$9,0))</f>
        <v>0</v>
      </c>
      <c r="K147" s="36" t="n">
        <f aca="false">MATCH(B147&amp;"|"&amp;E147,Context!$A$4:$A$51,0)</f>
        <v>25</v>
      </c>
      <c r="L147" s="36" t="n">
        <f aca="false">INDEX(Context!$H$4:$H$51,K147)</f>
        <v>46</v>
      </c>
      <c r="M147" s="36" t="n">
        <f aca="false">INDEX(Context!$I$4:$I$51,K147)</f>
        <v>6</v>
      </c>
      <c r="N147" s="33" t="str">
        <f aca="false">INDEX(Context!$L$4:$L$51,K147)</f>
        <v>V</v>
      </c>
      <c r="O147" s="33" t="str">
        <f aca="false">INDEX(Context!$M$4:$M$51,K147)</f>
        <v>3rd fully expanded leaf from top</v>
      </c>
      <c r="P147" s="37" t="n">
        <f aca="false">INDEX(Context!$R$4:$R$51,K147)</f>
        <v>0</v>
      </c>
      <c r="Q147" s="37" t="n">
        <f aca="false">INDEX(Context!$U$4:$U$51,K147)</f>
        <v>0.937791824040773</v>
      </c>
      <c r="R147" s="37" t="n">
        <f aca="false">INDEX(Context!$AD$4:$AD$51,K147)</f>
        <v>1</v>
      </c>
      <c r="S147" s="33" t="str">
        <f aca="false">INDEX(Context!$AI$4:$AN$51,K147,MATCH(F147,Severity_Classes!$A$4:$A$9,0))</f>
        <v>Reference: healthy (uninoculated) control plot</v>
      </c>
      <c r="T147" s="38" t="n">
        <f aca="false">Parameters!$E$4*IF($N147="V",Parameters!$I$4,IF($N147="F",Parameters!$J$4,Parameters!$K$4))*(1-Parameters!$L$4*$P147)*IF($D147="V1",Parameters!$M$4,IF($D147="V2",Parameters!$N$4,Parameters!$O$4))</f>
        <v>86</v>
      </c>
      <c r="U147" s="38" t="n">
        <f aca="false">MIN(100,T147*(1+INDEX(Response_Table!$E$4:$E$21,MATCH($F147&amp;"|mid",Response_Table!$A$4:$A$21,0))*$R147*INDEX(Parameters!$X$4:$AA$4,1,MATCH($E147,Parameters!$X$3:$AA$3,0))))</f>
        <v>86</v>
      </c>
      <c r="V147" s="38" t="n">
        <f aca="false">MAX(0,MIN(T147*(1+INDEX(Response_Table!$E$4:$E$21,MATCH($F147&amp;"|low",Response_Table!$A$4:$A$21,0))*$R147*INDEX(Parameters!$X$4:$AA$4,1,MATCH($E147,Parameters!$X$3:$AA$3,0))),T147*(1+INDEX(Response_Table!$E$4:$E$21,MATCH($F147&amp;"|high",Response_Table!$A$4:$A$21,0))*$R147*INDEX(Parameters!$X$4:$AA$4,1,MATCH($E147,Parameters!$X$3:$AA$3,0))))*(1-Inputs_General!$C$22*Parameters!$F$4))</f>
        <v>80.3412</v>
      </c>
      <c r="W147" s="38" t="n">
        <f aca="false">MIN(100,MAX(T147*(1+INDEX(Response_Table!$E$4:$E$21,MATCH($F147&amp;"|low",Response_Table!$A$4:$A$21,0))*$R147*INDEX(Parameters!$X$4:$AA$4,1,MATCH($E147,Parameters!$X$3:$AA$3,0))),T147*(1+INDEX(Response_Table!$E$4:$E$21,MATCH($F147&amp;"|high",Response_Table!$A$4:$A$21,0))*$R147*INDEX(Parameters!$X$4:$AA$4,1,MATCH($E147,Parameters!$X$3:$AA$3,0))))*(1+Inputs_General!$C$22*Parameters!$F$4))</f>
        <v>91.6588</v>
      </c>
      <c r="X147" s="39" t="n">
        <f aca="false">IF(T147=0,0,U147/T147-1)</f>
        <v>0</v>
      </c>
      <c r="Y147" s="38" t="n">
        <f aca="false">Parameters!$E$5*IF($N147="V",Parameters!$I$5,IF($N147="F",Parameters!$J$5,Parameters!$K$5))*(1-Parameters!$L$5*$P147)*IF($D147="V1",Parameters!$M$5,IF($D147="V2",Parameters!$N$5,Parameters!$O$5))</f>
        <v>72</v>
      </c>
      <c r="Z147" s="38" t="n">
        <f aca="false">MIN(100,Y147*(1+INDEX(Response_Table!$F$4:$F$21,MATCH($F147&amp;"|mid",Response_Table!$A$4:$A$21,0))*$R147*INDEX(Parameters!$X$5:$AA$5,1,MATCH($E147,Parameters!$X$3:$AA$3,0))))</f>
        <v>72</v>
      </c>
      <c r="AA147" s="38" t="n">
        <f aca="false">MAX(0,MIN(Y147*(1+INDEX(Response_Table!$F$4:$F$21,MATCH($F147&amp;"|low",Response_Table!$A$4:$A$21,0))*$R147*INDEX(Parameters!$X$5:$AA$5,1,MATCH($E147,Parameters!$X$3:$AA$3,0))),Y147*(1+INDEX(Response_Table!$F$4:$F$21,MATCH($F147&amp;"|high",Response_Table!$A$4:$A$21,0))*$R147*INDEX(Parameters!$X$5:$AA$5,1,MATCH($E147,Parameters!$X$3:$AA$3,0))))*(1-Inputs_General!$C$22*Parameters!$F$5))</f>
        <v>63.7092</v>
      </c>
      <c r="AB147" s="38" t="n">
        <f aca="false">MIN(100,MAX(Y147*(1+INDEX(Response_Table!$F$4:$F$21,MATCH($F147&amp;"|low",Response_Table!$A$4:$A$21,0))*$R147*INDEX(Parameters!$X$5:$AA$5,1,MATCH($E147,Parameters!$X$3:$AA$3,0))),Y147*(1+INDEX(Response_Table!$F$4:$F$21,MATCH($F147&amp;"|high",Response_Table!$A$4:$A$21,0))*$R147*INDEX(Parameters!$X$5:$AA$5,1,MATCH($E147,Parameters!$X$3:$AA$3,0))))*(1+Inputs_General!$C$22*Parameters!$F$5))</f>
        <v>80.2908</v>
      </c>
      <c r="AC147" s="39" t="n">
        <f aca="false">IF(Y147=0,0,Z147/Y147-1)</f>
        <v>0</v>
      </c>
      <c r="AD147" s="38" t="n">
        <f aca="false">Parameters!$E$6*IF($N147="V",Parameters!$I$6,IF($N147="F",Parameters!$J$6,Parameters!$K$6))*(1-Parameters!$L$6*$P147)*IF($D147="V1",Parameters!$M$6,IF($D147="V2",Parameters!$N$6,Parameters!$O$6))</f>
        <v>19</v>
      </c>
      <c r="AE147" s="38" t="n">
        <f aca="false">AD147*(1+INDEX(Response_Table!$G$4:$G$21,MATCH($F147&amp;"|mid",Response_Table!$A$4:$A$21,0))*$R147*INDEX(Parameters!$X$6:$AA$6,1,MATCH($E147,Parameters!$X$3:$AA$3,0)))</f>
        <v>19</v>
      </c>
      <c r="AF147" s="38" t="n">
        <f aca="false">MAX(0,MIN(AD147*(1+INDEX(Response_Table!$G$4:$G$21,MATCH($F147&amp;"|low",Response_Table!$A$4:$A$21,0))*$R147*INDEX(Parameters!$X$6:$AA$6,1,MATCH($E147,Parameters!$X$3:$AA$3,0))),AD147*(1+INDEX(Response_Table!$G$4:$G$21,MATCH($F147&amp;"|high",Response_Table!$A$4:$A$21,0))*$R147*INDEX(Parameters!$X$6:$AA$6,1,MATCH($E147,Parameters!$X$3:$AA$3,0))))*(1-Inputs_General!$C$22*Parameters!$F$6))</f>
        <v>15.2494</v>
      </c>
      <c r="AG147" s="38" t="n">
        <f aca="false">MAX(AD147*(1+INDEX(Response_Table!$G$4:$G$21,MATCH($F147&amp;"|low",Response_Table!$A$4:$A$21,0))*$R147*INDEX(Parameters!$X$6:$AA$6,1,MATCH($E147,Parameters!$X$3:$AA$3,0))),AD147*(1+INDEX(Response_Table!$G$4:$G$21,MATCH($F147&amp;"|high",Response_Table!$A$4:$A$21,0))*$R147*INDEX(Parameters!$X$6:$AA$6,1,MATCH($E147,Parameters!$X$3:$AA$3,0))))*(1+Inputs_General!$C$22*Parameters!$F$6)</f>
        <v>22.7506</v>
      </c>
      <c r="AH147" s="39" t="n">
        <f aca="false">IF(AD147=0,0,AE147/AD147-1)</f>
        <v>0</v>
      </c>
      <c r="AI147" s="40" t="n">
        <f aca="false">Parameters!$E$7*IF($N147="V",Parameters!$I$7,IF($N147="F",Parameters!$J$7,Parameters!$K$7))*(1-Parameters!$L$7*$P147)*IF($D147="V1",Parameters!$M$7,IF($D147="V2",Parameters!$N$7,Parameters!$O$7))*POWER($Q147/Inputs_General!$C$26,-Inputs_General!$C$25)</f>
        <v>0.464685683730118</v>
      </c>
      <c r="AJ147" s="40" t="n">
        <f aca="false">AI147*(1+INDEX(Response_Table!$H$4:$H$21,MATCH($F147&amp;"|mid",Response_Table!$A$4:$A$21,0))*$R147*INDEX(Parameters!$X$7:$AA$7,1,MATCH($E147,Parameters!$X$3:$AA$3,0)))</f>
        <v>0.464685683730118</v>
      </c>
      <c r="AK147" s="40" t="n">
        <f aca="false">MAX(0,MIN(AI147*(1+INDEX(Response_Table!$H$4:$H$21,MATCH($F147&amp;"|low",Response_Table!$A$4:$A$21,0))*$R147*INDEX(Parameters!$X$7:$AA$7,1,MATCH($E147,Parameters!$X$3:$AA$3,0))),AI147*(1+INDEX(Response_Table!$H$4:$H$21,MATCH($F147&amp;"|high",Response_Table!$A$4:$A$21,0))*$R147*INDEX(Parameters!$X$7:$AA$7,1,MATCH($E147,Parameters!$X$3:$AA$3,0))))*(1-Inputs_General!$C$22*Parameters!$F$7))</f>
        <v>0.32709225277763</v>
      </c>
      <c r="AL147" s="40" t="n">
        <f aca="false">MAX(AI147*(1+INDEX(Response_Table!$H$4:$H$21,MATCH($F147&amp;"|low",Response_Table!$A$4:$A$21,0))*$R147*INDEX(Parameters!$X$7:$AA$7,1,MATCH($E147,Parameters!$X$3:$AA$3,0))),AI147*(1+INDEX(Response_Table!$H$4:$H$21,MATCH($F147&amp;"|high",Response_Table!$A$4:$A$21,0))*$R147*INDEX(Parameters!$X$7:$AA$7,1,MATCH($E147,Parameters!$X$3:$AA$3,0))))*(1+Inputs_General!$C$22*Parameters!$F$7)</f>
        <v>0.602279114682606</v>
      </c>
      <c r="AM147" s="39" t="n">
        <f aca="false">IF(AI147=0,0,AJ147/AI147-1)</f>
        <v>0</v>
      </c>
      <c r="AN147" s="37" t="n">
        <f aca="false">AI147*$Q147/Inputs_General!$C$13*1000</f>
        <v>4.38850387664553</v>
      </c>
      <c r="AO147" s="37" t="n">
        <f aca="false">AJ147*$Q147/Inputs_General!$C$13*1000*(1+Inputs_General!$C$21*$I147)</f>
        <v>4.38850387664553</v>
      </c>
      <c r="AP147" s="37" t="n">
        <f aca="false">AK147*$Q147/Inputs_General!$C$13*1000*(1+Inputs_General!$C$21*$H147)</f>
        <v>3.08906787877079</v>
      </c>
      <c r="AQ147" s="37" t="n">
        <f aca="false">AL147*$Q147/Inputs_General!$C$13*1000*(1+Inputs_General!$C$21*$J147)</f>
        <v>5.68793987452027</v>
      </c>
      <c r="AR147" s="39" t="n">
        <f aca="false">IF(AN147=0,0,AO147/AN147-1)</f>
        <v>0</v>
      </c>
      <c r="AS147" s="36" t="n">
        <f aca="false">Parameters!$E$9*IF($N147="V",Parameters!$I$9,IF($N147="F",Parameters!$J$9,Parameters!$K$9))*(1-Parameters!$L$9*$P147)*IF($D147="V1",Parameters!$M$9,IF($D147="V2",Parameters!$N$9,Parameters!$O$9))</f>
        <v>285</v>
      </c>
      <c r="AT147" s="36" t="n">
        <f aca="false">AS147*(1+INDEX(Response_Table!$I$4:$I$21,MATCH($F147&amp;"|mid",Response_Table!$A$4:$A$21,0))*$R147*INDEX(Parameters!$X$9:$AA$9,1,MATCH($E147,Parameters!$X$3:$AA$3,0)))</f>
        <v>285</v>
      </c>
      <c r="AU147" s="36" t="n">
        <f aca="false">MAX(0,MIN(AS147*(1+INDEX(Response_Table!$I$4:$I$21,MATCH($F147&amp;"|low",Response_Table!$A$4:$A$21,0))*$R147*INDEX(Parameters!$X$9:$AA$9,1,MATCH($E147,Parameters!$X$3:$AA$3,0))),AS147*(1+INDEX(Response_Table!$I$4:$I$21,MATCH($F147&amp;"|high",Response_Table!$A$4:$A$21,0))*$R147*INDEX(Parameters!$X$9:$AA$9,1,MATCH($E147,Parameters!$X$3:$AA$3,0))))*(1-Inputs_General!$C$22*Parameters!$F$9))</f>
        <v>256.8705</v>
      </c>
      <c r="AV147" s="36" t="n">
        <f aca="false">MAX(AS147*(1+INDEX(Response_Table!$I$4:$I$21,MATCH($F147&amp;"|low",Response_Table!$A$4:$A$21,0))*$R147*INDEX(Parameters!$X$9:$AA$9,1,MATCH($E147,Parameters!$X$3:$AA$3,0))),AS147*(1+INDEX(Response_Table!$I$4:$I$21,MATCH($F147&amp;"|high",Response_Table!$A$4:$A$21,0))*$R147*INDEX(Parameters!$X$9:$AA$9,1,MATCH($E147,Parameters!$X$3:$AA$3,0))))*(1+Inputs_General!$C$22*Parameters!$F$9)</f>
        <v>313.1295</v>
      </c>
      <c r="AW147" s="39" t="n">
        <f aca="false">IF(AS147=0,0,AT147/AS147-1)</f>
        <v>0</v>
      </c>
      <c r="AX147" s="37" t="n">
        <f aca="false">INDEX(Context!$AB$4:$AB$51,$K147)</f>
        <v>1.03915356823757</v>
      </c>
      <c r="AY147" s="37" t="n">
        <f aca="false">AX147*(1+INDEX(Response_Table!$J$4:$J$21,MATCH($F147&amp;"|mid",Response_Table!$A$4:$A$21,0))*$R147*INDEX(Parameters!$X$10:$AA$10,1,MATCH($E147,Parameters!$X$3:$AA$3,0)))</f>
        <v>1.03915356823757</v>
      </c>
      <c r="AZ147" s="37" t="n">
        <f aca="false">MAX(0,MIN(AX147*(1+INDEX(Response_Table!$J$4:$J$21,MATCH($F147&amp;"|low",Response_Table!$A$4:$A$21,0))*$R147*INDEX(Parameters!$X$10:$AA$10,1,MATCH($E147,Parameters!$X$3:$AA$3,0))),AX147*(1+INDEX(Response_Table!$J$4:$J$21,MATCH($F147&amp;"|high",Response_Table!$A$4:$A$21,0))*$R147*INDEX(Parameters!$X$10:$AA$10,1,MATCH($E147,Parameters!$X$3:$AA$3,0))))*(1-Inputs_General!$C$22*Parameters!$F$10))</f>
        <v>0.834024653867474</v>
      </c>
      <c r="BA147" s="37" t="n">
        <f aca="false">MAX(AX147*(1+INDEX(Response_Table!$J$4:$J$21,MATCH($F147&amp;"|low",Response_Table!$A$4:$A$21,0))*$R147*INDEX(Parameters!$X$10:$AA$10,1,MATCH($E147,Parameters!$X$3:$AA$3,0))),AX147*(1+INDEX(Response_Table!$J$4:$J$21,MATCH($F147&amp;"|high",Response_Table!$A$4:$A$21,0))*$R147*INDEX(Parameters!$X$10:$AA$10,1,MATCH($E147,Parameters!$X$3:$AA$3,0))))*(1+Inputs_General!$C$22*Parameters!$F$10)</f>
        <v>1.24428248260767</v>
      </c>
      <c r="BB147" s="39" t="n">
        <f aca="false">IF(AX147=0,0,AY147/AX147-1)</f>
        <v>0</v>
      </c>
      <c r="BC147" s="40" t="n">
        <f aca="false">Parameters!$E$11*IF($N147="V",Parameters!$I$11,IF($N147="F",Parameters!$J$11,Parameters!$K$11))*(1-Parameters!$L$11*$P147)*IF($D147="V1",Parameters!$M$11,IF($D147="V2",Parameters!$N$11,Parameters!$O$11))</f>
        <v>1.1875</v>
      </c>
      <c r="BD147" s="40" t="n">
        <f aca="false">BC147*(1+INDEX(Response_Table!$K$4:$K$21,MATCH($F147&amp;"|mid",Response_Table!$A$4:$A$21,0))*$R147*INDEX(Parameters!$X$11:$AA$11,1,MATCH($E147,Parameters!$X$3:$AA$3,0)))</f>
        <v>1.1875</v>
      </c>
      <c r="BE147" s="40" t="n">
        <f aca="false">MAX(0,MIN(BC147*(1+INDEX(Response_Table!$K$4:$K$21,MATCH($F147&amp;"|low",Response_Table!$A$4:$A$21,0))*$R147*INDEX(Parameters!$X$11:$AA$11,1,MATCH($E147,Parameters!$X$3:$AA$3,0))),BC147*(1+INDEX(Response_Table!$K$4:$K$21,MATCH($F147&amp;"|high",Response_Table!$A$4:$A$21,0))*$R147*INDEX(Parameters!$X$11:$AA$11,1,MATCH($E147,Parameters!$X$3:$AA$3,0))))*(1-Inputs_General!$C$22*Parameters!$F$11))</f>
        <v>0.99215625</v>
      </c>
      <c r="BF147" s="40" t="n">
        <f aca="false">MAX(BC147*(1+INDEX(Response_Table!$K$4:$K$21,MATCH($F147&amp;"|low",Response_Table!$A$4:$A$21,0))*$R147*INDEX(Parameters!$X$11:$AA$11,1,MATCH($E147,Parameters!$X$3:$AA$3,0))),BC147*(1+INDEX(Response_Table!$K$4:$K$21,MATCH($F147&amp;"|high",Response_Table!$A$4:$A$21,0))*$R147*INDEX(Parameters!$X$11:$AA$11,1,MATCH($E147,Parameters!$X$3:$AA$3,0))))*(1+Inputs_General!$C$22*Parameters!$F$11)</f>
        <v>1.38284375</v>
      </c>
      <c r="BG147" s="39" t="n">
        <f aca="false">IF(BC147=0,0,BD147/BC147-1)</f>
        <v>0</v>
      </c>
      <c r="BH147" s="40" t="n">
        <f aca="false">Parameters!$E$12*IF($N147="V",Parameters!$I$12,IF($N147="F",Parameters!$J$12,Parameters!$K$12))*(1-Parameters!$L$12*$P147)*IF($D147="V1",Parameters!$M$12,IF($D147="V2",Parameters!$N$12,Parameters!$O$12))</f>
        <v>0.4275</v>
      </c>
      <c r="BI147" s="40" t="n">
        <f aca="false">BH147*(1+INDEX(Response_Table!$L$4:$L$21,MATCH($F147&amp;"|mid",Response_Table!$A$4:$A$21,0))*$R147*INDEX(Parameters!$X$12:$AA$12,1,MATCH($E147,Parameters!$X$3:$AA$3,0)))</f>
        <v>0.4275</v>
      </c>
      <c r="BJ147" s="40" t="n">
        <f aca="false">MAX(0,MIN(BH147*(1+INDEX(Response_Table!$L$4:$L$21,MATCH($F147&amp;"|low",Response_Table!$A$4:$A$21,0))*$R147*INDEX(Parameters!$X$12:$AA$12,1,MATCH($E147,Parameters!$X$3:$AA$3,0))),BH147*(1+INDEX(Response_Table!$L$4:$L$21,MATCH($F147&amp;"|high",Response_Table!$A$4:$A$21,0))*$R147*INDEX(Parameters!$X$12:$AA$12,1,MATCH($E147,Parameters!$X$3:$AA$3,0))))*(1-Inputs_General!$C$22*Parameters!$F$12))</f>
        <v>0.3431115</v>
      </c>
      <c r="BK147" s="40" t="n">
        <f aca="false">MAX(BH147*(1+INDEX(Response_Table!$L$4:$L$21,MATCH($F147&amp;"|low",Response_Table!$A$4:$A$21,0))*$R147*INDEX(Parameters!$X$12:$AA$12,1,MATCH($E147,Parameters!$X$3:$AA$3,0))),BH147*(1+INDEX(Response_Table!$L$4:$L$21,MATCH($F147&amp;"|high",Response_Table!$A$4:$A$21,0))*$R147*INDEX(Parameters!$X$12:$AA$12,1,MATCH($E147,Parameters!$X$3:$AA$3,0))))*(1+Inputs_General!$C$22*Parameters!$F$12)</f>
        <v>0.5118885</v>
      </c>
      <c r="BL147" s="39" t="n">
        <f aca="false">IF(BH147=0,0,BI147/BH147-1)</f>
        <v>0</v>
      </c>
      <c r="BM147" s="40" t="n">
        <f aca="false">Parameters!$E$13*IF($N147="V",Parameters!$I$13,IF($N147="F",Parameters!$J$13,Parameters!$K$13))*(1-Parameters!$L$13*$P147)*IF($D147="V1",Parameters!$M$13,IF($D147="V2",Parameters!$N$13,Parameters!$O$13))</f>
        <v>0.285</v>
      </c>
      <c r="BN147" s="40" t="n">
        <f aca="false">BM147*(1+INDEX(Response_Table!$M$4:$M$21,MATCH($F147&amp;"|mid",Response_Table!$A$4:$A$21,0))*$R147*INDEX(Parameters!$X$13:$AA$13,1,MATCH($E147,Parameters!$X$3:$AA$3,0)))</f>
        <v>0.285</v>
      </c>
      <c r="BO147" s="40" t="n">
        <f aca="false">MAX(0,MIN(BM147*(1+INDEX(Response_Table!$M$4:$M$21,MATCH($F147&amp;"|low",Response_Table!$A$4:$A$21,0))*$R147*INDEX(Parameters!$X$13:$AA$13,1,MATCH($E147,Parameters!$X$3:$AA$3,0))),BM147*(1+INDEX(Response_Table!$M$4:$M$21,MATCH($F147&amp;"|high",Response_Table!$A$4:$A$21,0))*$R147*INDEX(Parameters!$X$13:$AA$13,1,MATCH($E147,Parameters!$X$3:$AA$3,0))))*(1-Inputs_General!$C$22*Parameters!$F$13))</f>
        <v>0.228741</v>
      </c>
      <c r="BP147" s="40" t="n">
        <f aca="false">MAX(BM147*(1+INDEX(Response_Table!$M$4:$M$21,MATCH($F147&amp;"|low",Response_Table!$A$4:$A$21,0))*$R147*INDEX(Parameters!$X$13:$AA$13,1,MATCH($E147,Parameters!$X$3:$AA$3,0))),BM147*(1+INDEX(Response_Table!$M$4:$M$21,MATCH($F147&amp;"|high",Response_Table!$A$4:$A$21,0))*$R147*INDEX(Parameters!$X$13:$AA$13,1,MATCH($E147,Parameters!$X$3:$AA$3,0))))*(1+Inputs_General!$C$22*Parameters!$F$13)</f>
        <v>0.341259</v>
      </c>
      <c r="BQ147" s="39" t="n">
        <f aca="false">IF(BM147=0,0,BN147/BM147-1)</f>
        <v>0</v>
      </c>
      <c r="BR147" s="38" t="n">
        <f aca="false">Parameters!$E$14*IF($N147="V",Parameters!$I$14,IF($N147="F",Parameters!$J$14,Parameters!$K$14))*(1-Parameters!$L$14*$P147)*IF($D147="V1",Parameters!$M$14,IF($D147="V2",Parameters!$N$14,Parameters!$O$14))*INDEX(Context!$AC$4:$AC$51,$K147)</f>
        <v>19.8</v>
      </c>
      <c r="BS147" s="38" t="n">
        <f aca="false">BR147*(1+INDEX(Response_Table!$N$4:$N$21,MATCH($F147&amp;"|mid",Response_Table!$A$4:$A$21,0))*$R147*INDEX(Parameters!$X$14:$AA$14,1,MATCH($E147,Parameters!$X$3:$AA$3,0)))</f>
        <v>19.8</v>
      </c>
      <c r="BT147" s="38" t="n">
        <f aca="false">MAX(0,MIN(BR147*(1+INDEX(Response_Table!$N$4:$N$21,MATCH($F147&amp;"|low",Response_Table!$A$4:$A$21,0))*$R147*INDEX(Parameters!$X$14:$AA$14,1,MATCH($E147,Parameters!$X$3:$AA$3,0))),BR147*(1+INDEX(Response_Table!$N$4:$N$21,MATCH($F147&amp;"|high",Response_Table!$A$4:$A$21,0))*$R147*INDEX(Parameters!$X$14:$AA$14,1,MATCH($E147,Parameters!$X$3:$AA$3,0))))*(1-Inputs_General!$C$22*Parameters!$F$14))</f>
        <v>10.0287</v>
      </c>
      <c r="BU147" s="38" t="n">
        <f aca="false">MAX(BR147*(1+INDEX(Response_Table!$N$4:$N$21,MATCH($F147&amp;"|low",Response_Table!$A$4:$A$21,0))*$R147*INDEX(Parameters!$X$14:$AA$14,1,MATCH($E147,Parameters!$X$3:$AA$3,0))),BR147*(1+INDEX(Response_Table!$N$4:$N$21,MATCH($F147&amp;"|high",Response_Table!$A$4:$A$21,0))*$R147*INDEX(Parameters!$X$14:$AA$14,1,MATCH($E147,Parameters!$X$3:$AA$3,0))))*(1+Inputs_General!$C$22*Parameters!$F$14)</f>
        <v>29.5713</v>
      </c>
      <c r="BV147" s="39" t="n">
        <f aca="false">IF(BR147=0,0,BS147/BR147-1)</f>
        <v>0</v>
      </c>
      <c r="BW147" s="37" t="n">
        <f aca="false">Parameters!$E$15*IF($N147="V",Parameters!$I$15,IF($N147="F",Parameters!$J$15,Parameters!$K$15))*(1-Parameters!$L$15*$P147)*IF($D147="V1",Parameters!$M$15,IF($D147="V2",Parameters!$N$15,Parameters!$O$15))</f>
        <v>11.232</v>
      </c>
      <c r="BX147" s="37" t="n">
        <f aca="false">BW147*(1+INDEX(Response_Table!$O$4:$O$21,MATCH($F147&amp;"|mid",Response_Table!$A$4:$A$21,0))*$R147*INDEX(Parameters!$X$15:$AA$15,1,MATCH($E147,Parameters!$X$3:$AA$3,0)))</f>
        <v>11.232</v>
      </c>
      <c r="BY147" s="37" t="n">
        <f aca="false">MAX(0,MIN(BW147*(1+INDEX(Response_Table!$O$4:$O$21,MATCH($F147&amp;"|low",Response_Table!$A$4:$A$21,0))*$R147*INDEX(Parameters!$X$15:$AA$15,1,MATCH($E147,Parameters!$X$3:$AA$3,0))),BW147*(1+INDEX(Response_Table!$O$4:$O$21,MATCH($F147&amp;"|high",Response_Table!$A$4:$A$21,0))*$R147*INDEX(Parameters!$X$15:$AA$15,1,MATCH($E147,Parameters!$X$3:$AA$3,0))))*(1-Inputs_General!$C$22*Parameters!$F$15))</f>
        <v>9.0148032</v>
      </c>
      <c r="BZ147" s="37" t="n">
        <f aca="false">MAX(BW147*(1+INDEX(Response_Table!$O$4:$O$21,MATCH($F147&amp;"|low",Response_Table!$A$4:$A$21,0))*$R147*INDEX(Parameters!$X$15:$AA$15,1,MATCH($E147,Parameters!$X$3:$AA$3,0))),BW147*(1+INDEX(Response_Table!$O$4:$O$21,MATCH($F147&amp;"|high",Response_Table!$A$4:$A$21,0))*$R147*INDEX(Parameters!$X$15:$AA$15,1,MATCH($E147,Parameters!$X$3:$AA$3,0))))*(1+Inputs_General!$C$22*Parameters!$F$15)</f>
        <v>13.4491968</v>
      </c>
      <c r="CA147" s="39" t="n">
        <f aca="false">IF(BW147=0,0,BX147/BW147-1)</f>
        <v>0</v>
      </c>
      <c r="CB147" s="40" t="n">
        <f aca="false">BD147+BI147</f>
        <v>1.615</v>
      </c>
      <c r="CC147" s="37" t="n">
        <f aca="false">BD147/BI147</f>
        <v>2.77777777777778</v>
      </c>
      <c r="CD147" s="40" t="n">
        <f aca="false">BN147/CB147</f>
        <v>0.176470588235294</v>
      </c>
      <c r="CE147" s="37" t="n">
        <f aca="false">AE147/AO147</f>
        <v>4.32949372589439</v>
      </c>
      <c r="CF147" s="38" t="n">
        <f aca="false">AE147/AJ147</f>
        <v>40.887853155887</v>
      </c>
      <c r="CG147" s="38" t="n">
        <f aca="false">INDEX(Context!$V$4:$V$51,$K147)</f>
        <v>22.6257142857143</v>
      </c>
      <c r="CH147" s="38" t="n">
        <f aca="false">INDEX(Context!$Y$4:$Y$51,$K147)</f>
        <v>21.3177449518561</v>
      </c>
      <c r="CI147" s="38" t="n">
        <f aca="false">INDEX(Context!$Z$4:$Z$51,$K147)</f>
        <v>26.6257142857143</v>
      </c>
      <c r="CJ147" s="37" t="n">
        <f aca="false">INDEX(Context!$AA$4:$AA$51,$K147)</f>
        <v>0.12</v>
      </c>
      <c r="CK147" s="37" t="n">
        <f aca="false">MAX(0,MIN(1,1-(1-CJ147)*AO147/AN147))</f>
        <v>0.12</v>
      </c>
      <c r="CL147" s="38" t="n">
        <f aca="false">CH147+CK147*(CI147-CH147)</f>
        <v>21.954701271919</v>
      </c>
      <c r="CM147" s="38" t="n">
        <f aca="false">CH147+MAX(0,MIN(1,1-(1-CJ147)*AQ147/AN147))*(CI147-CH147)</f>
        <v>21.3177449518561</v>
      </c>
      <c r="CN147" s="38" t="n">
        <f aca="false">CH147+MAX(0,MIN(1,1-(1-CJ147)*AP147/AN147))*(CI147-CH147)</f>
        <v>23.3377882253038</v>
      </c>
      <c r="CO147" s="38" t="n">
        <f aca="false">CL147-CG147</f>
        <v>-0.67101301379525</v>
      </c>
      <c r="CP147" s="38" t="n">
        <f aca="false">CL147-(CH147+CJ147*(CI147-CH147))</f>
        <v>0</v>
      </c>
      <c r="CQ147" s="40" t="n">
        <f aca="false">CL147/CG147</f>
        <v>0.970342902534621</v>
      </c>
      <c r="CR147" s="37" t="n">
        <f aca="false">IF(CL147-CH147&lt;=0,"n/a",(CI147-CL147)/(CL147-CH147))</f>
        <v>7.33333333333333</v>
      </c>
      <c r="CS147" s="37" t="n">
        <f aca="false">IF(CI147-CL147&lt;=0,"n/a",(CL147-CH147)/(CI147-CL147))</f>
        <v>0.136363636363636</v>
      </c>
      <c r="CT147" s="37" t="n">
        <f aca="false">Inputs_General!$C$23+Inputs_General!$C$24*$I147</f>
        <v>0.6</v>
      </c>
      <c r="CU147" s="38" t="n">
        <f aca="false">3.29*CT147</f>
        <v>1.974</v>
      </c>
    </row>
    <row r="148" customFormat="false" ht="15" hidden="false" customHeight="false" outlineLevel="0" collapsed="false">
      <c r="A148" s="9" t="str">
        <f aca="false">B148&amp;"|"&amp;E148&amp;"|"&amp;F148</f>
        <v>D3V1|11/02/2026|Very low</v>
      </c>
      <c r="B148" s="7" t="s">
        <v>349</v>
      </c>
      <c r="C148" s="9" t="s">
        <v>131</v>
      </c>
      <c r="D148" s="9" t="s">
        <v>142</v>
      </c>
      <c r="E148" s="9" t="s">
        <v>158</v>
      </c>
      <c r="F148" s="7" t="s">
        <v>277</v>
      </c>
      <c r="G148" s="9" t="s">
        <v>278</v>
      </c>
      <c r="H148" s="41" t="n">
        <f aca="false">INDEX(Severity_Classes!$C$4:$C$9,MATCH(F148,Severity_Classes!$A$4:$A$9,0))</f>
        <v>0.01</v>
      </c>
      <c r="I148" s="41" t="n">
        <f aca="false">INDEX(Severity_Classes!$D$4:$D$9,MATCH(F148,Severity_Classes!$A$4:$A$9,0))</f>
        <v>0.03</v>
      </c>
      <c r="J148" s="41" t="n">
        <f aca="false">INDEX(Severity_Classes!$E$4:$E$9,MATCH(F148,Severity_Classes!$A$4:$A$9,0))</f>
        <v>0.05</v>
      </c>
      <c r="K148" s="42" t="n">
        <f aca="false">MATCH(B148&amp;"|"&amp;E148,Context!$A$4:$A$51,0)</f>
        <v>25</v>
      </c>
      <c r="L148" s="42" t="n">
        <f aca="false">INDEX(Context!$H$4:$H$51,K148)</f>
        <v>46</v>
      </c>
      <c r="M148" s="42" t="n">
        <f aca="false">INDEX(Context!$I$4:$I$51,K148)</f>
        <v>6</v>
      </c>
      <c r="N148" s="9" t="str">
        <f aca="false">INDEX(Context!$L$4:$L$51,K148)</f>
        <v>V</v>
      </c>
      <c r="O148" s="9" t="str">
        <f aca="false">INDEX(Context!$M$4:$M$51,K148)</f>
        <v>3rd fully expanded leaf from top</v>
      </c>
      <c r="P148" s="43" t="n">
        <f aca="false">INDEX(Context!$R$4:$R$51,K148)</f>
        <v>0</v>
      </c>
      <c r="Q148" s="43" t="n">
        <f aca="false">INDEX(Context!$U$4:$U$51,K148)</f>
        <v>0.937791824040773</v>
      </c>
      <c r="R148" s="43" t="n">
        <f aca="false">INDEX(Context!$AD$4:$AD$51,K148)</f>
        <v>1</v>
      </c>
      <c r="S148" s="9" t="str">
        <f aca="false">INDEX(Context!$AI$4:$AN$51,K148,MATCH(F148,Severity_Classes!$A$4:$A$9,0))</f>
        <v>Likely</v>
      </c>
      <c r="T148" s="44" t="n">
        <f aca="false">Parameters!$E$4*IF($N148="V",Parameters!$I$4,IF($N148="F",Parameters!$J$4,Parameters!$K$4))*(1-Parameters!$L$4*$P148)*IF($D148="V1",Parameters!$M$4,IF($D148="V2",Parameters!$N$4,Parameters!$O$4))</f>
        <v>86</v>
      </c>
      <c r="U148" s="44" t="n">
        <f aca="false">MIN(100,T148*(1+INDEX(Response_Table!$E$4:$E$21,MATCH($F148&amp;"|mid",Response_Table!$A$4:$A$21,0))*$R148*INDEX(Parameters!$X$4:$AA$4,1,MATCH($E148,Parameters!$X$3:$AA$3,0))))</f>
        <v>85.8146124315687</v>
      </c>
      <c r="V148" s="44" t="n">
        <f aca="false">MAX(0,MIN(T148*(1+INDEX(Response_Table!$E$4:$E$21,MATCH($F148&amp;"|low",Response_Table!$A$4:$A$21,0))*$R148*INDEX(Parameters!$X$4:$AA$4,1,MATCH($E148,Parameters!$X$3:$AA$3,0))),T148*(1+INDEX(Response_Table!$E$4:$E$21,MATCH($F148&amp;"|high",Response_Table!$A$4:$A$21,0))*$R148*INDEX(Parameters!$X$4:$AA$4,1,MATCH($E148,Parameters!$X$3:$AA$3,0))))*(1-Inputs_General!$C$22*Parameters!$F$4))</f>
        <v>80.0296844010259</v>
      </c>
      <c r="W148" s="44" t="n">
        <f aca="false">MIN(100,MAX(T148*(1+INDEX(Response_Table!$E$4:$E$21,MATCH($F148&amp;"|low",Response_Table!$A$4:$A$21,0))*$R148*INDEX(Parameters!$X$4:$AA$4,1,MATCH($E148,Parameters!$X$3:$AA$3,0))),T148*(1+INDEX(Response_Table!$E$4:$E$21,MATCH($F148&amp;"|high",Response_Table!$A$4:$A$21,0))*$R148*INDEX(Parameters!$X$4:$AA$4,1,MATCH($E148,Parameters!$X$3:$AA$3,0))))*(1+Inputs_General!$C$22*Parameters!$F$4))</f>
        <v>91.5977349787627</v>
      </c>
      <c r="X148" s="45" t="n">
        <f aca="false">IF(T148=0,0,U148/T148-1)</f>
        <v>-0.00215566940036427</v>
      </c>
      <c r="Y148" s="44" t="n">
        <f aca="false">Parameters!$E$5*IF($N148="V",Parameters!$I$5,IF($N148="F",Parameters!$J$5,Parameters!$K$5))*(1-Parameters!$L$5*$P148)*IF($D148="V1",Parameters!$M$5,IF($D148="V2",Parameters!$N$5,Parameters!$O$5))</f>
        <v>72</v>
      </c>
      <c r="Z148" s="44" t="n">
        <f aca="false">MIN(100,Y148*(1+INDEX(Response_Table!$F$4:$F$21,MATCH($F148&amp;"|mid",Response_Table!$A$4:$A$21,0))*$R148*INDEX(Parameters!$X$5:$AA$5,1,MATCH($E148,Parameters!$X$3:$AA$3,0))))</f>
        <v>71.5045413365414</v>
      </c>
      <c r="AA148" s="44" t="n">
        <f aca="false">MAX(0,MIN(Y148*(1+INDEX(Response_Table!$F$4:$F$21,MATCH($F148&amp;"|low",Response_Table!$A$4:$A$21,0))*$R148*INDEX(Parameters!$X$5:$AA$5,1,MATCH($E148,Parameters!$X$3:$AA$3,0))),Y148*(1+INDEX(Response_Table!$F$4:$F$21,MATCH($F148&amp;"|high",Response_Table!$A$4:$A$21,0))*$R148*INDEX(Parameters!$X$5:$AA$5,1,MATCH($E148,Parameters!$X$3:$AA$3,0))))*(1-Inputs_General!$C$22*Parameters!$F$5))</f>
        <v>62.9097175830539</v>
      </c>
      <c r="AB148" s="44" t="n">
        <f aca="false">MIN(100,MAX(Y148*(1+INDEX(Response_Table!$F$4:$F$21,MATCH($F148&amp;"|low",Response_Table!$A$4:$A$21,0))*$R148*INDEX(Parameters!$X$5:$AA$5,1,MATCH($E148,Parameters!$X$3:$AA$3,0))),Y148*(1+INDEX(Response_Table!$F$4:$F$21,MATCH($F148&amp;"|high",Response_Table!$A$4:$A$21,0))*$R148*INDEX(Parameters!$X$5:$AA$5,1,MATCH($E148,Parameters!$X$3:$AA$3,0))))*(1+Inputs_General!$C$22*Parameters!$F$5))</f>
        <v>80.1223942618605</v>
      </c>
      <c r="AC148" s="45" t="n">
        <f aca="false">IF(Y148=0,0,Z148/Y148-1)</f>
        <v>-0.00688137032581337</v>
      </c>
      <c r="AD148" s="44" t="n">
        <f aca="false">Parameters!$E$6*IF($N148="V",Parameters!$I$6,IF($N148="F",Parameters!$J$6,Parameters!$K$6))*(1-Parameters!$L$6*$P148)*IF($D148="V1",Parameters!$M$6,IF($D148="V2",Parameters!$N$6,Parameters!$O$6))</f>
        <v>19</v>
      </c>
      <c r="AE148" s="44" t="n">
        <f aca="false">AD148*(1+INDEX(Response_Table!$G$4:$G$21,MATCH($F148&amp;"|mid",Response_Table!$A$4:$A$21,0))*$R148*INDEX(Parameters!$X$6:$AA$6,1,MATCH($E148,Parameters!$X$3:$AA$3,0)))</f>
        <v>17.5902873439049</v>
      </c>
      <c r="AF148" s="44" t="n">
        <f aca="false">MAX(0,MIN(AD148*(1+INDEX(Response_Table!$G$4:$G$21,MATCH($F148&amp;"|low",Response_Table!$A$4:$A$21,0))*$R148*INDEX(Parameters!$X$6:$AA$6,1,MATCH($E148,Parameters!$X$3:$AA$3,0))),AD148*(1+INDEX(Response_Table!$G$4:$G$21,MATCH($F148&amp;"|high",Response_Table!$A$4:$A$21,0))*$R148*INDEX(Parameters!$X$6:$AA$6,1,MATCH($E148,Parameters!$X$3:$AA$3,0))))*(1-Inputs_General!$C$22*Parameters!$F$6))</f>
        <v>13.4425180945894</v>
      </c>
      <c r="AG148" s="44" t="n">
        <f aca="false">MAX(AD148*(1+INDEX(Response_Table!$G$4:$G$21,MATCH($F148&amp;"|low",Response_Table!$A$4:$A$21,0))*$R148*INDEX(Parameters!$X$6:$AA$6,1,MATCH($E148,Parameters!$X$3:$AA$3,0))),AD148*(1+INDEX(Response_Table!$G$4:$G$21,MATCH($F148&amp;"|high",Response_Table!$A$4:$A$21,0))*$R148*INDEX(Parameters!$X$6:$AA$6,1,MATCH($E148,Parameters!$X$3:$AA$3,0))))*(1+Inputs_General!$C$22*Parameters!$F$6)</f>
        <v>22.1630060229318</v>
      </c>
      <c r="AH148" s="45" t="n">
        <f aca="false">IF(AD148=0,0,AE148/AD148-1)</f>
        <v>-0.074195402952376</v>
      </c>
      <c r="AI148" s="46" t="n">
        <f aca="false">Parameters!$E$7*IF($N148="V",Parameters!$I$7,IF($N148="F",Parameters!$J$7,Parameters!$K$7))*(1-Parameters!$L$7*$P148)*IF($D148="V1",Parameters!$M$7,IF($D148="V2",Parameters!$N$7,Parameters!$O$7))*POWER($Q148/Inputs_General!$C$26,-Inputs_General!$C$25)</f>
        <v>0.464685683730118</v>
      </c>
      <c r="AJ148" s="46" t="n">
        <f aca="false">AI148*(1+INDEX(Response_Table!$H$4:$H$21,MATCH($F148&amp;"|mid",Response_Table!$A$4:$A$21,0))*$R148*INDEX(Parameters!$X$7:$AA$7,1,MATCH($E148,Parameters!$X$3:$AA$3,0)))</f>
        <v>0.443888311799676</v>
      </c>
      <c r="AK148" s="46" t="n">
        <f aca="false">MAX(0,MIN(AI148*(1+INDEX(Response_Table!$H$4:$H$21,MATCH($F148&amp;"|low",Response_Table!$A$4:$A$21,0))*$R148*INDEX(Parameters!$X$7:$AA$7,1,MATCH($E148,Parameters!$X$3:$AA$3,0))),AI148*(1+INDEX(Response_Table!$H$4:$H$21,MATCH($F148&amp;"|high",Response_Table!$A$4:$A$21,0))*$R148*INDEX(Parameters!$X$7:$AA$7,1,MATCH($E148,Parameters!$X$3:$AA$3,0))))*(1-Inputs_General!$C$22*Parameters!$F$7))</f>
        <v>0.303400355049387</v>
      </c>
      <c r="AL148" s="46" t="n">
        <f aca="false">MAX(AI148*(1+INDEX(Response_Table!$H$4:$H$21,MATCH($F148&amp;"|low",Response_Table!$A$4:$A$21,0))*$R148*INDEX(Parameters!$X$7:$AA$7,1,MATCH($E148,Parameters!$X$3:$AA$3,0))),AI148*(1+INDEX(Response_Table!$H$4:$H$21,MATCH($F148&amp;"|high",Response_Table!$A$4:$A$21,0))*$R148*INDEX(Parameters!$X$7:$AA$7,1,MATCH($E148,Parameters!$X$3:$AA$3,0))))*(1+Inputs_General!$C$22*Parameters!$F$7)</f>
        <v>0.593023094980159</v>
      </c>
      <c r="AM148" s="45" t="n">
        <f aca="false">IF(AI148=0,0,AJ148/AI148-1)</f>
        <v>-0.0447557836589614</v>
      </c>
      <c r="AN148" s="43" t="n">
        <f aca="false">AI148*$Q148/Inputs_General!$C$13*1000</f>
        <v>4.38850387664553</v>
      </c>
      <c r="AO148" s="43" t="n">
        <f aca="false">AJ148*$Q148/Inputs_General!$C$13*1000*(1+Inputs_General!$C$21*$I148)</f>
        <v>4.22353364365504</v>
      </c>
      <c r="AP148" s="43" t="n">
        <f aca="false">AK148*$Q148/Inputs_General!$C$13*1000*(1+Inputs_General!$C$21*$H148)</f>
        <v>2.87248427298412</v>
      </c>
      <c r="AQ148" s="43" t="n">
        <f aca="false">AL148*$Q148/Inputs_General!$C$13*1000*(1+Inputs_General!$C$21*$J148)</f>
        <v>5.67053235210467</v>
      </c>
      <c r="AR148" s="45" t="n">
        <f aca="false">IF(AN148=0,0,AO148/AN148-1)</f>
        <v>-0.0375914520364035</v>
      </c>
      <c r="AS148" s="42" t="n">
        <f aca="false">Parameters!$E$9*IF($N148="V",Parameters!$I$9,IF($N148="F",Parameters!$J$9,Parameters!$K$9))*(1-Parameters!$L$9*$P148)*IF($D148="V1",Parameters!$M$9,IF($D148="V2",Parameters!$N$9,Parameters!$O$9))</f>
        <v>285</v>
      </c>
      <c r="AT148" s="42" t="n">
        <f aca="false">AS148*(1+INDEX(Response_Table!$I$4:$I$21,MATCH($F148&amp;"|mid",Response_Table!$A$4:$A$21,0))*$R148*INDEX(Parameters!$X$9:$AA$9,1,MATCH($E148,Parameters!$X$3:$AA$3,0)))</f>
        <v>292.734642128546</v>
      </c>
      <c r="AU148" s="42" t="n">
        <f aca="false">MAX(0,MIN(AS148*(1+INDEX(Response_Table!$I$4:$I$21,MATCH($F148&amp;"|low",Response_Table!$A$4:$A$21,0))*$R148*INDEX(Parameters!$X$9:$AA$9,1,MATCH($E148,Parameters!$X$3:$AA$3,0))),AS148*(1+INDEX(Response_Table!$I$4:$I$21,MATCH($F148&amp;"|high",Response_Table!$A$4:$A$21,0))*$R148*INDEX(Parameters!$X$9:$AA$9,1,MATCH($E148,Parameters!$X$3:$AA$3,0))))*(1-Inputs_General!$C$22*Parameters!$F$9))</f>
        <v>259.287788728854</v>
      </c>
      <c r="AV148" s="42" t="n">
        <f aca="false">MAX(AS148*(1+INDEX(Response_Table!$I$4:$I$21,MATCH($F148&amp;"|low",Response_Table!$A$4:$A$21,0))*$R148*INDEX(Parameters!$X$9:$AA$9,1,MATCH($E148,Parameters!$X$3:$AA$3,0))),AS148*(1+INDEX(Response_Table!$I$4:$I$21,MATCH($F148&amp;"|high",Response_Table!$A$4:$A$21,0))*$R148*INDEX(Parameters!$X$9:$AA$9,1,MATCH($E148,Parameters!$X$3:$AA$3,0))))*(1+Inputs_General!$C$22*Parameters!$F$9)</f>
        <v>326.752079676976</v>
      </c>
      <c r="AW148" s="45" t="n">
        <f aca="false">IF(AS148=0,0,AT148/AS148-1)</f>
        <v>0.0271390951878823</v>
      </c>
      <c r="AX148" s="43" t="n">
        <f aca="false">INDEX(Context!$AB$4:$AB$51,$K148)</f>
        <v>1.03915356823757</v>
      </c>
      <c r="AY148" s="43" t="n">
        <f aca="false">AX148*(1+INDEX(Response_Table!$J$4:$J$21,MATCH($F148&amp;"|mid",Response_Table!$A$4:$A$21,0))*$R148*INDEX(Parameters!$X$10:$AA$10,1,MATCH($E148,Parameters!$X$3:$AA$3,0)))</f>
        <v>1.0222593050853</v>
      </c>
      <c r="AZ148" s="43" t="n">
        <f aca="false">MAX(0,MIN(AX148*(1+INDEX(Response_Table!$J$4:$J$21,MATCH($F148&amp;"|low",Response_Table!$A$4:$A$21,0))*$R148*INDEX(Parameters!$X$10:$AA$10,1,MATCH($E148,Parameters!$X$3:$AA$3,0))),AX148*(1+INDEX(Response_Table!$J$4:$J$21,MATCH($F148&amp;"|high",Response_Table!$A$4:$A$21,0))*$R148*INDEX(Parameters!$X$10:$AA$10,1,MATCH($E148,Parameters!$X$3:$AA$3,0))))*(1-Inputs_General!$C$22*Parameters!$F$10))</f>
        <v>0.811974545833671</v>
      </c>
      <c r="BA148" s="43" t="n">
        <f aca="false">MAX(AX148*(1+INDEX(Response_Table!$J$4:$J$21,MATCH($F148&amp;"|low",Response_Table!$A$4:$A$21,0))*$R148*INDEX(Parameters!$X$10:$AA$10,1,MATCH($E148,Parameters!$X$3:$AA$3,0))),AX148*(1+INDEX(Response_Table!$J$4:$J$21,MATCH($F148&amp;"|high",Response_Table!$A$4:$A$21,0))*$R148*INDEX(Parameters!$X$10:$AA$10,1,MATCH($E148,Parameters!$X$3:$AA$3,0))))*(1+Inputs_General!$C$22*Parameters!$F$10)</f>
        <v>1.2373701577173</v>
      </c>
      <c r="BB148" s="45" t="n">
        <f aca="false">IF(AX148=0,0,AY148/AX148-1)</f>
        <v>-0.0162577155760755</v>
      </c>
      <c r="BC148" s="46" t="n">
        <f aca="false">Parameters!$E$11*IF($N148="V",Parameters!$I$11,IF($N148="F",Parameters!$J$11,Parameters!$K$11))*(1-Parameters!$L$11*$P148)*IF($D148="V1",Parameters!$M$11,IF($D148="V2",Parameters!$N$11,Parameters!$O$11))</f>
        <v>1.1875</v>
      </c>
      <c r="BD148" s="46" t="n">
        <f aca="false">BC148*(1+INDEX(Response_Table!$K$4:$K$21,MATCH($F148&amp;"|mid",Response_Table!$A$4:$A$21,0))*$R148*INDEX(Parameters!$X$11:$AA$11,1,MATCH($E148,Parameters!$X$3:$AA$3,0)))</f>
        <v>1.15217283120152</v>
      </c>
      <c r="BE148" s="46" t="n">
        <f aca="false">MAX(0,MIN(BC148*(1+INDEX(Response_Table!$K$4:$K$21,MATCH($F148&amp;"|low",Response_Table!$A$4:$A$21,0))*$R148*INDEX(Parameters!$X$11:$AA$11,1,MATCH($E148,Parameters!$X$3:$AA$3,0))),BC148*(1+INDEX(Response_Table!$K$4:$K$21,MATCH($F148&amp;"|high",Response_Table!$A$4:$A$21,0))*$R148*INDEX(Parameters!$X$11:$AA$11,1,MATCH($E148,Parameters!$X$3:$AA$3,0))))*(1-Inputs_General!$C$22*Parameters!$F$11))</f>
        <v>0.94447989923949</v>
      </c>
      <c r="BF148" s="46" t="n">
        <f aca="false">MAX(BC148*(1+INDEX(Response_Table!$K$4:$K$21,MATCH($F148&amp;"|low",Response_Table!$A$4:$A$21,0))*$R148*INDEX(Parameters!$X$11:$AA$11,1,MATCH($E148,Parameters!$X$3:$AA$3,0))),BC148*(1+INDEX(Response_Table!$K$4:$K$21,MATCH($F148&amp;"|high",Response_Table!$A$4:$A$21,0))*$R148*INDEX(Parameters!$X$11:$AA$11,1,MATCH($E148,Parameters!$X$3:$AA$3,0))))*(1+Inputs_General!$C$22*Parameters!$F$11)</f>
        <v>1.36868984525518</v>
      </c>
      <c r="BG148" s="45" t="n">
        <f aca="false">IF(BC148=0,0,BD148/BC148-1)</f>
        <v>-0.0297491947776706</v>
      </c>
      <c r="BH148" s="46" t="n">
        <f aca="false">Parameters!$E$12*IF($N148="V",Parameters!$I$12,IF($N148="F",Parameters!$J$12,Parameters!$K$12))*(1-Parameters!$L$12*$P148)*IF($D148="V1",Parameters!$M$12,IF($D148="V2",Parameters!$N$12,Parameters!$O$12))</f>
        <v>0.4275</v>
      </c>
      <c r="BI148" s="46" t="n">
        <f aca="false">BH148*(1+INDEX(Response_Table!$L$4:$L$21,MATCH($F148&amp;"|mid",Response_Table!$A$4:$A$21,0))*$R148*INDEX(Parameters!$X$12:$AA$12,1,MATCH($E148,Parameters!$X$3:$AA$3,0)))</f>
        <v>0.417381534968449</v>
      </c>
      <c r="BJ148" s="46" t="n">
        <f aca="false">MAX(0,MIN(BH148*(1+INDEX(Response_Table!$L$4:$L$21,MATCH($F148&amp;"|low",Response_Table!$A$4:$A$21,0))*$R148*INDEX(Parameters!$X$12:$AA$12,1,MATCH($E148,Parameters!$X$3:$AA$3,0))),BH148*(1+INDEX(Response_Table!$L$4:$L$21,MATCH($F148&amp;"|high",Response_Table!$A$4:$A$21,0))*$R148*INDEX(Parameters!$X$12:$AA$12,1,MATCH($E148,Parameters!$X$3:$AA$3,0))))*(1-Inputs_General!$C$22*Parameters!$F$12))</f>
        <v>0.329968508834621</v>
      </c>
      <c r="BK148" s="46" t="n">
        <f aca="false">MAX(BH148*(1+INDEX(Response_Table!$L$4:$L$21,MATCH($F148&amp;"|low",Response_Table!$A$4:$A$21,0))*$R148*INDEX(Parameters!$X$12:$AA$12,1,MATCH($E148,Parameters!$X$3:$AA$3,0))),BH148*(1+INDEX(Response_Table!$L$4:$L$21,MATCH($F148&amp;"|high",Response_Table!$A$4:$A$21,0))*$R148*INDEX(Parameters!$X$12:$AA$12,1,MATCH($E148,Parameters!$X$3:$AA$3,0))))*(1+Inputs_General!$C$22*Parameters!$F$12)</f>
        <v>0.507728137337458</v>
      </c>
      <c r="BL148" s="45" t="n">
        <f aca="false">IF(BH148=0,0,BI148/BH148-1)</f>
        <v>-0.0236689240504122</v>
      </c>
      <c r="BM148" s="46" t="n">
        <f aca="false">Parameters!$E$13*IF($N148="V",Parameters!$I$13,IF($N148="F",Parameters!$J$13,Parameters!$K$13))*(1-Parameters!$L$13*$P148)*IF($D148="V1",Parameters!$M$13,IF($D148="V2",Parameters!$N$13,Parameters!$O$13))</f>
        <v>0.285</v>
      </c>
      <c r="BN148" s="46" t="n">
        <f aca="false">BM148*(1+INDEX(Response_Table!$M$4:$M$21,MATCH($F148&amp;"|mid",Response_Table!$A$4:$A$21,0))*$R148*INDEX(Parameters!$X$13:$AA$13,1,MATCH($E148,Parameters!$X$3:$AA$3,0)))</f>
        <v>0.288702870384896</v>
      </c>
      <c r="BO148" s="46" t="n">
        <f aca="false">MAX(0,MIN(BM148*(1+INDEX(Response_Table!$M$4:$M$21,MATCH($F148&amp;"|low",Response_Table!$A$4:$A$21,0))*$R148*INDEX(Parameters!$X$13:$AA$13,1,MATCH($E148,Parameters!$X$3:$AA$3,0))),BM148*(1+INDEX(Response_Table!$M$4:$M$21,MATCH($F148&amp;"|high",Response_Table!$A$4:$A$21,0))*$R148*INDEX(Parameters!$X$13:$AA$13,1,MATCH($E148,Parameters!$X$3:$AA$3,0))))*(1-Inputs_General!$C$22*Parameters!$F$13))</f>
        <v>0.23020199673413</v>
      </c>
      <c r="BP148" s="46" t="n">
        <f aca="false">MAX(BM148*(1+INDEX(Response_Table!$M$4:$M$21,MATCH($F148&amp;"|low",Response_Table!$A$4:$A$21,0))*$R148*INDEX(Parameters!$X$13:$AA$13,1,MATCH($E148,Parameters!$X$3:$AA$3,0))),BM148*(1+INDEX(Response_Table!$M$4:$M$21,MATCH($F148&amp;"|high",Response_Table!$A$4:$A$21,0))*$R148*INDEX(Parameters!$X$13:$AA$13,1,MATCH($E148,Parameters!$X$3:$AA$3,0))))*(1+Inputs_General!$C$22*Parameters!$F$13)</f>
        <v>0.345818092968314</v>
      </c>
      <c r="BQ148" s="45" t="n">
        <f aca="false">IF(BM148=0,0,BN148/BM148-1)</f>
        <v>0.0129925276663028</v>
      </c>
      <c r="BR148" s="44" t="n">
        <f aca="false">Parameters!$E$14*IF($N148="V",Parameters!$I$14,IF($N148="F",Parameters!$J$14,Parameters!$K$14))*(1-Parameters!$L$14*$P148)*IF($D148="V1",Parameters!$M$14,IF($D148="V2",Parameters!$N$14,Parameters!$O$14))*INDEX(Context!$AC$4:$AC$51,$K148)</f>
        <v>19.8</v>
      </c>
      <c r="BS148" s="44" t="n">
        <f aca="false">BR148*(1+INDEX(Response_Table!$N$4:$N$21,MATCH($F148&amp;"|mid",Response_Table!$A$4:$A$21,0))*$R148*INDEX(Parameters!$X$14:$AA$14,1,MATCH($E148,Parameters!$X$3:$AA$3,0)))</f>
        <v>20.3112487594889</v>
      </c>
      <c r="BT148" s="44" t="n">
        <f aca="false">MAX(0,MIN(BR148*(1+INDEX(Response_Table!$N$4:$N$21,MATCH($F148&amp;"|low",Response_Table!$A$4:$A$21,0))*$R148*INDEX(Parameters!$X$14:$AA$14,1,MATCH($E148,Parameters!$X$3:$AA$3,0))),BR148*(1+INDEX(Response_Table!$N$4:$N$21,MATCH($F148&amp;"|high",Response_Table!$A$4:$A$21,0))*$R148*INDEX(Parameters!$X$14:$AA$14,1,MATCH($E148,Parameters!$X$3:$AA$3,0))))*(1-Inputs_General!$C$22*Parameters!$F$14))</f>
        <v>10.1176178633106</v>
      </c>
      <c r="BU148" s="44" t="n">
        <f aca="false">MAX(BR148*(1+INDEX(Response_Table!$N$4:$N$21,MATCH($F148&amp;"|low",Response_Table!$A$4:$A$21,0))*$R148*INDEX(Parameters!$X$14:$AA$14,1,MATCH($E148,Parameters!$X$3:$AA$3,0))),BR148*(1+INDEX(Response_Table!$N$4:$N$21,MATCH($F148&amp;"|high",Response_Table!$A$4:$A$21,0))*$R148*INDEX(Parameters!$X$14:$AA$14,1,MATCH($E148,Parameters!$X$3:$AA$3,0))))*(1+Inputs_General!$C$22*Parameters!$F$14)</f>
        <v>30.8070138650225</v>
      </c>
      <c r="BV148" s="45" t="n">
        <f aca="false">IF(BR148=0,0,BS148/BR148-1)</f>
        <v>0.0258206444186315</v>
      </c>
      <c r="BW148" s="43" t="n">
        <f aca="false">Parameters!$E$15*IF($N148="V",Parameters!$I$15,IF($N148="F",Parameters!$J$15,Parameters!$K$15))*(1-Parameters!$L$15*$P148)*IF($D148="V1",Parameters!$M$15,IF($D148="V2",Parameters!$N$15,Parameters!$O$15))</f>
        <v>11.232</v>
      </c>
      <c r="BX148" s="43" t="n">
        <f aca="false">BW148*(1+INDEX(Response_Table!$O$4:$O$21,MATCH($F148&amp;"|mid",Response_Table!$A$4:$A$21,0))*$R148*INDEX(Parameters!$X$15:$AA$15,1,MATCH($E148,Parameters!$X$3:$AA$3,0)))</f>
        <v>11.1594956304725</v>
      </c>
      <c r="BY148" s="43" t="n">
        <f aca="false">MAX(0,MIN(BW148*(1+INDEX(Response_Table!$O$4:$O$21,MATCH($F148&amp;"|low",Response_Table!$A$4:$A$21,0))*$R148*INDEX(Parameters!$X$15:$AA$15,1,MATCH($E148,Parameters!$X$3:$AA$3,0))),BW148*(1+INDEX(Response_Table!$O$4:$O$21,MATCH($F148&amp;"|high",Response_Table!$A$4:$A$21,0))*$R148*INDEX(Parameters!$X$15:$AA$15,1,MATCH($E148,Parameters!$X$3:$AA$3,0))))*(1-Inputs_General!$C$22*Parameters!$F$15))</f>
        <v>8.92062643651066</v>
      </c>
      <c r="BZ148" s="43" t="n">
        <f aca="false">MAX(BW148*(1+INDEX(Response_Table!$O$4:$O$21,MATCH($F148&amp;"|low",Response_Table!$A$4:$A$21,0))*$R148*INDEX(Parameters!$X$15:$AA$15,1,MATCH($E148,Parameters!$X$3:$AA$3,0))),BW148*(1+INDEX(Response_Table!$O$4:$O$21,MATCH($F148&amp;"|high",Response_Table!$A$4:$A$21,0))*$R148*INDEX(Parameters!$X$15:$AA$15,1,MATCH($E148,Parameters!$X$3:$AA$3,0))))*(1+Inputs_General!$C$22*Parameters!$F$15)</f>
        <v>13.4193855123281</v>
      </c>
      <c r="CA148" s="45" t="n">
        <f aca="false">IF(BW148=0,0,BX148/BW148-1)</f>
        <v>-0.00645516110465794</v>
      </c>
      <c r="CB148" s="46" t="n">
        <f aca="false">BD148+BI148</f>
        <v>1.56955436616997</v>
      </c>
      <c r="CC148" s="43" t="n">
        <f aca="false">BD148/BI148</f>
        <v>2.7604786859788</v>
      </c>
      <c r="CD148" s="46" t="n">
        <f aca="false">BN148/CB148</f>
        <v>0.183939388534461</v>
      </c>
      <c r="CE148" s="43" t="n">
        <f aca="false">AE148/AO148</f>
        <v>4.16482709219815</v>
      </c>
      <c r="CF148" s="44" t="n">
        <f aca="false">AE148/AJ148</f>
        <v>39.6277326442496</v>
      </c>
      <c r="CG148" s="44" t="n">
        <f aca="false">INDEX(Context!$V$4:$V$51,$K148)</f>
        <v>22.6257142857143</v>
      </c>
      <c r="CH148" s="44" t="n">
        <f aca="false">INDEX(Context!$Y$4:$Y$51,$K148)</f>
        <v>21.3177449518561</v>
      </c>
      <c r="CI148" s="44" t="n">
        <f aca="false">INDEX(Context!$Z$4:$Z$51,$K148)</f>
        <v>26.6257142857143</v>
      </c>
      <c r="CJ148" s="43" t="n">
        <f aca="false">INDEX(Context!$AA$4:$AA$51,$K148)</f>
        <v>0.12</v>
      </c>
      <c r="CK148" s="43" t="n">
        <f aca="false">MAX(0,MIN(1,1-(1-CJ148)*AO148/AN148))</f>
        <v>0.153080477792035</v>
      </c>
      <c r="CL148" s="44" t="n">
        <f aca="false">CH148+CK148*(CI148-CH148)</f>
        <v>22.1302914335885</v>
      </c>
      <c r="CM148" s="44" t="n">
        <f aca="false">CH148+MAX(0,MIN(1,1-(1-CJ148)*AQ148/AN148))*(CI148-CH148)</f>
        <v>21.3177449518561</v>
      </c>
      <c r="CN148" s="44" t="n">
        <f aca="false">CH148+MAX(0,MIN(1,1-(1-CJ148)*AP148/AN148))*(CI148-CH148)</f>
        <v>23.5683143612355</v>
      </c>
      <c r="CO148" s="44" t="n">
        <f aca="false">CL148-CG148</f>
        <v>-0.495422852125749</v>
      </c>
      <c r="CP148" s="44" t="n">
        <f aca="false">CL148-(CH148+CJ148*(CI148-CH148))</f>
        <v>0.175590161669501</v>
      </c>
      <c r="CQ148" s="46" t="n">
        <f aca="false">CL148/CG148</f>
        <v>0.978103548649575</v>
      </c>
      <c r="CR148" s="43" t="n">
        <f aca="false">IF(CL148-CH148&lt;=0,"n/a",(CI148-CL148)/(CL148-CH148))</f>
        <v>5.53251162018538</v>
      </c>
      <c r="CS148" s="43" t="n">
        <f aca="false">IF(CI148-CL148&lt;=0,"n/a",(CL148-CH148)/(CI148-CL148))</f>
        <v>0.180749733331151</v>
      </c>
      <c r="CT148" s="43" t="n">
        <f aca="false">Inputs_General!$C$23+Inputs_General!$C$24*$I148</f>
        <v>0.66</v>
      </c>
      <c r="CU148" s="44" t="n">
        <f aca="false">3.29*CT148</f>
        <v>2.1714</v>
      </c>
    </row>
    <row r="149" customFormat="false" ht="15" hidden="false" customHeight="false" outlineLevel="0" collapsed="false">
      <c r="A149" s="9" t="str">
        <f aca="false">B149&amp;"|"&amp;E149&amp;"|"&amp;F149</f>
        <v>D3V1|11/02/2026|Low</v>
      </c>
      <c r="B149" s="7" t="s">
        <v>349</v>
      </c>
      <c r="C149" s="9" t="s">
        <v>131</v>
      </c>
      <c r="D149" s="9" t="s">
        <v>142</v>
      </c>
      <c r="E149" s="9" t="s">
        <v>158</v>
      </c>
      <c r="F149" s="7" t="s">
        <v>279</v>
      </c>
      <c r="G149" s="9" t="s">
        <v>280</v>
      </c>
      <c r="H149" s="41" t="n">
        <f aca="false">INDEX(Severity_Classes!$C$4:$C$9,MATCH(F149,Severity_Classes!$A$4:$A$9,0))</f>
        <v>0.06</v>
      </c>
      <c r="I149" s="41" t="n">
        <f aca="false">INDEX(Severity_Classes!$D$4:$D$9,MATCH(F149,Severity_Classes!$A$4:$A$9,0))</f>
        <v>0.08</v>
      </c>
      <c r="J149" s="41" t="n">
        <f aca="false">INDEX(Severity_Classes!$E$4:$E$9,MATCH(F149,Severity_Classes!$A$4:$A$9,0))</f>
        <v>0.1</v>
      </c>
      <c r="K149" s="42" t="n">
        <f aca="false">MATCH(B149&amp;"|"&amp;E149,Context!$A$4:$A$51,0)</f>
        <v>25</v>
      </c>
      <c r="L149" s="42" t="n">
        <f aca="false">INDEX(Context!$H$4:$H$51,K149)</f>
        <v>46</v>
      </c>
      <c r="M149" s="42" t="n">
        <f aca="false">INDEX(Context!$I$4:$I$51,K149)</f>
        <v>6</v>
      </c>
      <c r="N149" s="9" t="str">
        <f aca="false">INDEX(Context!$L$4:$L$51,K149)</f>
        <v>V</v>
      </c>
      <c r="O149" s="9" t="str">
        <f aca="false">INDEX(Context!$M$4:$M$51,K149)</f>
        <v>3rd fully expanded leaf from top</v>
      </c>
      <c r="P149" s="43" t="n">
        <f aca="false">INDEX(Context!$R$4:$R$51,K149)</f>
        <v>0</v>
      </c>
      <c r="Q149" s="43" t="n">
        <f aca="false">INDEX(Context!$U$4:$U$51,K149)</f>
        <v>0.937791824040773</v>
      </c>
      <c r="R149" s="43" t="n">
        <f aca="false">INDEX(Context!$AD$4:$AD$51,K149)</f>
        <v>1</v>
      </c>
      <c r="S149" s="9" t="str">
        <f aca="false">INDEX(Context!$AI$4:$AN$51,K149,MATCH(F149,Severity_Classes!$A$4:$A$9,0))</f>
        <v>Likely</v>
      </c>
      <c r="T149" s="44" t="n">
        <f aca="false">Parameters!$E$4*IF($N149="V",Parameters!$I$4,IF($N149="F",Parameters!$J$4,Parameters!$K$4))*(1-Parameters!$L$4*$P149)*IF($D149="V1",Parameters!$M$4,IF($D149="V2",Parameters!$N$4,Parameters!$O$4))</f>
        <v>86</v>
      </c>
      <c r="U149" s="44" t="n">
        <f aca="false">MIN(100,T149*(1+INDEX(Response_Table!$E$4:$E$21,MATCH($F149&amp;"|mid",Response_Table!$A$4:$A$21,0))*$R149*INDEX(Parameters!$X$4:$AA$4,1,MATCH($E149,Parameters!$X$3:$AA$3,0))))</f>
        <v>85.4014991164519</v>
      </c>
      <c r="V149" s="44" t="n">
        <f aca="false">MAX(0,MIN(T149*(1+INDEX(Response_Table!$E$4:$E$21,MATCH($F149&amp;"|low",Response_Table!$A$4:$A$21,0))*$R149*INDEX(Parameters!$X$4:$AA$4,1,MATCH($E149,Parameters!$X$3:$AA$3,0))),T149*(1+INDEX(Response_Table!$E$4:$E$21,MATCH($F149&amp;"|high",Response_Table!$A$4:$A$21,0))*$R149*INDEX(Parameters!$X$4:$AA$4,1,MATCH($E149,Parameters!$X$3:$AA$3,0))))*(1-Inputs_General!$C$22*Parameters!$F$4))</f>
        <v>79.5867307670169</v>
      </c>
      <c r="W149" s="44" t="n">
        <f aca="false">MIN(100,MAX(T149*(1+INDEX(Response_Table!$E$4:$E$21,MATCH($F149&amp;"|low",Response_Table!$A$4:$A$21,0))*$R149*INDEX(Parameters!$X$4:$AA$4,1,MATCH($E149,Parameters!$X$3:$AA$3,0))),T149*(1+INDEX(Response_Table!$E$4:$E$21,MATCH($F149&amp;"|high",Response_Table!$A$4:$A$21,0))*$R149*INDEX(Parameters!$X$4:$AA$4,1,MATCH($E149,Parameters!$X$3:$AA$3,0))))*(1+Inputs_General!$C$22*Parameters!$F$4))</f>
        <v>91.2156851451818</v>
      </c>
      <c r="X149" s="45" t="n">
        <f aca="false">IF(T149=0,0,U149/T149-1)</f>
        <v>-0.00695931259939653</v>
      </c>
      <c r="Y149" s="44" t="n">
        <f aca="false">Parameters!$E$5*IF($N149="V",Parameters!$I$5,IF($N149="F",Parameters!$J$5,Parameters!$K$5))*(1-Parameters!$L$5*$P149)*IF($D149="V1",Parameters!$M$5,IF($D149="V2",Parameters!$N$5,Parameters!$O$5))</f>
        <v>72</v>
      </c>
      <c r="Z149" s="44" t="n">
        <f aca="false">MIN(100,Y149*(1+INDEX(Response_Table!$F$4:$F$21,MATCH($F149&amp;"|mid",Response_Table!$A$4:$A$21,0))*$R149*INDEX(Parameters!$X$5:$AA$5,1,MATCH($E149,Parameters!$X$3:$AA$3,0))))</f>
        <v>70.3458317669356</v>
      </c>
      <c r="AA149" s="44" t="n">
        <f aca="false">MAX(0,MIN(Y149*(1+INDEX(Response_Table!$F$4:$F$21,MATCH($F149&amp;"|low",Response_Table!$A$4:$A$21,0))*$R149*INDEX(Parameters!$X$5:$AA$5,1,MATCH($E149,Parameters!$X$3:$AA$3,0))),Y149*(1+INDEX(Response_Table!$F$4:$F$21,MATCH($F149&amp;"|high",Response_Table!$A$4:$A$21,0))*$R149*INDEX(Parameters!$X$5:$AA$5,1,MATCH($E149,Parameters!$X$3:$AA$3,0))))*(1-Inputs_General!$C$22*Parameters!$F$5))</f>
        <v>61.7097860777528</v>
      </c>
      <c r="AB149" s="44" t="n">
        <f aca="false">MIN(100,MAX(Y149*(1+INDEX(Response_Table!$F$4:$F$21,MATCH($F149&amp;"|low",Response_Table!$A$4:$A$21,0))*$R149*INDEX(Parameters!$X$5:$AA$5,1,MATCH($E149,Parameters!$X$3:$AA$3,0))),Y149*(1+INDEX(Response_Table!$F$4:$F$21,MATCH($F149&amp;"|high",Response_Table!$A$4:$A$21,0))*$R149*INDEX(Parameters!$X$5:$AA$5,1,MATCH($E149,Parameters!$X$3:$AA$3,0))))*(1+Inputs_General!$C$22*Parameters!$F$5))</f>
        <v>79.0260439832863</v>
      </c>
      <c r="AC149" s="45" t="n">
        <f aca="false">IF(Y149=0,0,Z149/Y149-1)</f>
        <v>-0.0229745587925607</v>
      </c>
      <c r="AD149" s="44" t="n">
        <f aca="false">Parameters!$E$6*IF($N149="V",Parameters!$I$6,IF($N149="F",Parameters!$J$6,Parameters!$K$6))*(1-Parameters!$L$6*$P149)*IF($D149="V1",Parameters!$M$6,IF($D149="V2",Parameters!$N$6,Parameters!$O$6))</f>
        <v>19</v>
      </c>
      <c r="AE149" s="44" t="n">
        <f aca="false">AD149*(1+INDEX(Response_Table!$G$4:$G$21,MATCH($F149&amp;"|mid",Response_Table!$A$4:$A$21,0))*$R149*INDEX(Parameters!$X$6:$AA$6,1,MATCH($E149,Parameters!$X$3:$AA$3,0)))</f>
        <v>15.6173933905303</v>
      </c>
      <c r="AF149" s="44" t="n">
        <f aca="false">MAX(0,MIN(AD149*(1+INDEX(Response_Table!$G$4:$G$21,MATCH($F149&amp;"|low",Response_Table!$A$4:$A$21,0))*$R149*INDEX(Parameters!$X$6:$AA$6,1,MATCH($E149,Parameters!$X$3:$AA$3,0))),AD149*(1+INDEX(Response_Table!$G$4:$G$21,MATCH($F149&amp;"|high",Response_Table!$A$4:$A$21,0))*$R149*INDEX(Parameters!$X$6:$AA$6,1,MATCH($E149,Parameters!$X$3:$AA$3,0))))*(1-Inputs_General!$C$22*Parameters!$F$6))</f>
        <v>11.9924613997992</v>
      </c>
      <c r="AG149" s="44" t="n">
        <f aca="false">MAX(AD149*(1+INDEX(Response_Table!$G$4:$G$21,MATCH($F149&amp;"|low",Response_Table!$A$4:$A$21,0))*$R149*INDEX(Parameters!$X$6:$AA$6,1,MATCH($E149,Parameters!$X$3:$AA$3,0))),AD149*(1+INDEX(Response_Table!$G$4:$G$21,MATCH($F149&amp;"|high",Response_Table!$A$4:$A$21,0))*$R149*INDEX(Parameters!$X$6:$AA$6,1,MATCH($E149,Parameters!$X$3:$AA$3,0))))*(1+Inputs_General!$C$22*Parameters!$F$6)</f>
        <v>19.5833552867883</v>
      </c>
      <c r="AH149" s="45" t="n">
        <f aca="false">IF(AD149=0,0,AE149/AD149-1)</f>
        <v>-0.178031926814195</v>
      </c>
      <c r="AI149" s="46" t="n">
        <f aca="false">Parameters!$E$7*IF($N149="V",Parameters!$I$7,IF($N149="F",Parameters!$J$7,Parameters!$K$7))*(1-Parameters!$L$7*$P149)*IF($D149="V1",Parameters!$M$7,IF($D149="V2",Parameters!$N$7,Parameters!$O$7))*POWER($Q149/Inputs_General!$C$26,-Inputs_General!$C$25)</f>
        <v>0.464685683730118</v>
      </c>
      <c r="AJ149" s="46" t="n">
        <f aca="false">AI149*(1+INDEX(Response_Table!$H$4:$H$21,MATCH($F149&amp;"|mid",Response_Table!$A$4:$A$21,0))*$R149*INDEX(Parameters!$X$7:$AA$7,1,MATCH($E149,Parameters!$X$3:$AA$3,0)))</f>
        <v>0.41312717503011</v>
      </c>
      <c r="AK149" s="46" t="n">
        <f aca="false">MAX(0,MIN(AI149*(1+INDEX(Response_Table!$H$4:$H$21,MATCH($F149&amp;"|low",Response_Table!$A$4:$A$21,0))*$R149*INDEX(Parameters!$X$7:$AA$7,1,MATCH($E149,Parameters!$X$3:$AA$3,0))),AI149*(1+INDEX(Response_Table!$H$4:$H$21,MATCH($F149&amp;"|high",Response_Table!$A$4:$A$21,0))*$R149*INDEX(Parameters!$X$7:$AA$7,1,MATCH($E149,Parameters!$X$3:$AA$3,0))))*(1-Inputs_General!$C$22*Parameters!$F$7))</f>
        <v>0.283008549698042</v>
      </c>
      <c r="AL149" s="46" t="n">
        <f aca="false">MAX(AI149*(1+INDEX(Response_Table!$H$4:$H$21,MATCH($F149&amp;"|low",Response_Table!$A$4:$A$21,0))*$R149*INDEX(Parameters!$X$7:$AA$7,1,MATCH($E149,Parameters!$X$3:$AA$3,0))),AI149*(1+INDEX(Response_Table!$H$4:$H$21,MATCH($F149&amp;"|high",Response_Table!$A$4:$A$21,0))*$R149*INDEX(Parameters!$X$7:$AA$7,1,MATCH($E149,Parameters!$X$3:$AA$3,0))))*(1+Inputs_General!$C$22*Parameters!$F$7)</f>
        <v>0.550688192841408</v>
      </c>
      <c r="AM149" s="45" t="n">
        <f aca="false">IF(AI149=0,0,AJ149/AI149-1)</f>
        <v>-0.110953512245392</v>
      </c>
      <c r="AN149" s="43" t="n">
        <f aca="false">AI149*$Q149/Inputs_General!$C$13*1000</f>
        <v>4.38850387664553</v>
      </c>
      <c r="AO149" s="43" t="n">
        <f aca="false">AJ149*$Q149/Inputs_General!$C$13*1000*(1+Inputs_General!$C$21*$I149)</f>
        <v>3.97961563718977</v>
      </c>
      <c r="AP149" s="43" t="n">
        <f aca="false">AK149*$Q149/Inputs_General!$C$13*1000*(1+Inputs_General!$C$21*$H149)</f>
        <v>2.71283132528768</v>
      </c>
      <c r="AQ149" s="43" t="n">
        <f aca="false">AL149*$Q149/Inputs_General!$C$13*1000*(1+Inputs_General!$C$21*$J149)</f>
        <v>5.33073169147555</v>
      </c>
      <c r="AR149" s="45" t="n">
        <f aca="false">IF(AN149=0,0,AO149/AN149-1)</f>
        <v>-0.0931725824902999</v>
      </c>
      <c r="AS149" s="42" t="n">
        <f aca="false">Parameters!$E$9*IF($N149="V",Parameters!$I$9,IF($N149="F",Parameters!$J$9,Parameters!$K$9))*(1-Parameters!$L$9*$P149)*IF($D149="V1",Parameters!$M$9,IF($D149="V2",Parameters!$N$9,Parameters!$O$9))</f>
        <v>285</v>
      </c>
      <c r="AT149" s="42" t="n">
        <f aca="false">AS149*(1+INDEX(Response_Table!$I$4:$I$21,MATCH($F149&amp;"|mid",Response_Table!$A$4:$A$21,0))*$R149*INDEX(Parameters!$X$9:$AA$9,1,MATCH($E149,Parameters!$X$3:$AA$3,0)))</f>
        <v>303.73140586416</v>
      </c>
      <c r="AU149" s="42" t="n">
        <f aca="false">MAX(0,MIN(AS149*(1+INDEX(Response_Table!$I$4:$I$21,MATCH($F149&amp;"|low",Response_Table!$A$4:$A$21,0))*$R149*INDEX(Parameters!$X$9:$AA$9,1,MATCH($E149,Parameters!$X$3:$AA$3,0))),AS149*(1+INDEX(Response_Table!$I$4:$I$21,MATCH($F149&amp;"|high",Response_Table!$A$4:$A$21,0))*$R149*INDEX(Parameters!$X$9:$AA$9,1,MATCH($E149,Parameters!$X$3:$AA$3,0))))*(1-Inputs_General!$C$22*Parameters!$F$9))</f>
        <v>270.024661923337</v>
      </c>
      <c r="AV149" s="42" t="n">
        <f aca="false">MAX(AS149*(1+INDEX(Response_Table!$I$4:$I$21,MATCH($F149&amp;"|low",Response_Table!$A$4:$A$21,0))*$R149*INDEX(Parameters!$X$9:$AA$9,1,MATCH($E149,Parameters!$X$3:$AA$3,0))),AS149*(1+INDEX(Response_Table!$I$4:$I$21,MATCH($F149&amp;"|high",Response_Table!$A$4:$A$21,0))*$R149*INDEX(Parameters!$X$9:$AA$9,1,MATCH($E149,Parameters!$X$3:$AA$3,0))))*(1+Inputs_General!$C$22*Parameters!$F$9)</f>
        <v>337.905304594772</v>
      </c>
      <c r="AW149" s="45" t="n">
        <f aca="false">IF(AS149=0,0,AT149/AS149-1)</f>
        <v>0.0657242311023141</v>
      </c>
      <c r="AX149" s="43" t="n">
        <f aca="false">INDEX(Context!$AB$4:$AB$51,$K149)</f>
        <v>1.03915356823757</v>
      </c>
      <c r="AY149" s="43" t="n">
        <f aca="false">AX149*(1+INDEX(Response_Table!$J$4:$J$21,MATCH($F149&amp;"|mid",Response_Table!$A$4:$A$21,0))*$R149*INDEX(Parameters!$X$10:$AA$10,1,MATCH($E149,Parameters!$X$3:$AA$3,0)))</f>
        <v>0.996771086668651</v>
      </c>
      <c r="AZ149" s="43" t="n">
        <f aca="false">MAX(0,MIN(AX149*(1+INDEX(Response_Table!$J$4:$J$21,MATCH($F149&amp;"|low",Response_Table!$A$4:$A$21,0))*$R149*INDEX(Parameters!$X$10:$AA$10,1,MATCH($E149,Parameters!$X$3:$AA$3,0))),AX149*(1+INDEX(Response_Table!$J$4:$J$21,MATCH($F149&amp;"|high",Response_Table!$A$4:$A$21,0))*$R149*INDEX(Parameters!$X$10:$AA$10,1,MATCH($E149,Parameters!$X$3:$AA$3,0))))*(1-Inputs_General!$C$22*Parameters!$F$10))</f>
        <v>0.792515393792183</v>
      </c>
      <c r="BA149" s="43" t="n">
        <f aca="false">MAX(AX149*(1+INDEX(Response_Table!$J$4:$J$21,MATCH($F149&amp;"|low",Response_Table!$A$4:$A$21,0))*$R149*INDEX(Parameters!$X$10:$AA$10,1,MATCH($E149,Parameters!$X$3:$AA$3,0))),AX149*(1+INDEX(Response_Table!$J$4:$J$21,MATCH($F149&amp;"|high",Response_Table!$A$4:$A$21,0))*$R149*INDEX(Parameters!$X$10:$AA$10,1,MATCH($E149,Parameters!$X$3:$AA$3,0))))*(1+Inputs_General!$C$22*Parameters!$F$10)</f>
        <v>1.20528579200488</v>
      </c>
      <c r="BB149" s="45" t="n">
        <f aca="false">IF(AX149=0,0,AY149/AX149-1)</f>
        <v>-0.0407855805574541</v>
      </c>
      <c r="BC149" s="46" t="n">
        <f aca="false">Parameters!$E$11*IF($N149="V",Parameters!$I$11,IF($N149="F",Parameters!$J$11,Parameters!$K$11))*(1-Parameters!$L$11*$P149)*IF($D149="V1",Parameters!$M$11,IF($D149="V2",Parameters!$N$11,Parameters!$O$11))</f>
        <v>1.1875</v>
      </c>
      <c r="BD149" s="46" t="n">
        <f aca="false">BC149*(1+INDEX(Response_Table!$K$4:$K$21,MATCH($F149&amp;"|mid",Response_Table!$A$4:$A$21,0))*$R149*INDEX(Parameters!$X$11:$AA$11,1,MATCH($E149,Parameters!$X$3:$AA$3,0)))</f>
        <v>1.10033291608076</v>
      </c>
      <c r="BE149" s="46" t="n">
        <f aca="false">MAX(0,MIN(BC149*(1+INDEX(Response_Table!$K$4:$K$21,MATCH($F149&amp;"|low",Response_Table!$A$4:$A$21,0))*$R149*INDEX(Parameters!$X$11:$AA$11,1,MATCH($E149,Parameters!$X$3:$AA$3,0))),BC149*(1+INDEX(Response_Table!$K$4:$K$21,MATCH($F149&amp;"|high",Response_Table!$A$4:$A$21,0))*$R149*INDEX(Parameters!$X$11:$AA$11,1,MATCH($E149,Parameters!$X$3:$AA$3,0))))*(1-Inputs_General!$C$22*Parameters!$F$11))</f>
        <v>0.903852793058347</v>
      </c>
      <c r="BF149" s="46" t="n">
        <f aca="false">MAX(BC149*(1+INDEX(Response_Table!$K$4:$K$21,MATCH($F149&amp;"|low",Response_Table!$A$4:$A$21,0))*$R149*INDEX(Parameters!$X$11:$AA$11,1,MATCH($E149,Parameters!$X$3:$AA$3,0))),BC149*(1+INDEX(Response_Table!$K$4:$K$21,MATCH($F149&amp;"|high",Response_Table!$A$4:$A$21,0))*$R149*INDEX(Parameters!$X$11:$AA$11,1,MATCH($E149,Parameters!$X$3:$AA$3,0))))*(1+Inputs_General!$C$22*Parameters!$F$11)</f>
        <v>1.30433242585088</v>
      </c>
      <c r="BG149" s="45" t="n">
        <f aca="false">IF(BC149=0,0,BD149/BC149-1)</f>
        <v>-0.0734038601425194</v>
      </c>
      <c r="BH149" s="46" t="n">
        <f aca="false">Parameters!$E$12*IF($N149="V",Parameters!$I$12,IF($N149="F",Parameters!$J$12,Parameters!$K$12))*(1-Parameters!$L$12*$P149)*IF($D149="V1",Parameters!$M$12,IF($D149="V2",Parameters!$N$12,Parameters!$O$12))</f>
        <v>0.4275</v>
      </c>
      <c r="BI149" s="46" t="n">
        <f aca="false">BH149*(1+INDEX(Response_Table!$L$4:$L$21,MATCH($F149&amp;"|mid",Response_Table!$A$4:$A$21,0))*$R149*INDEX(Parameters!$X$12:$AA$12,1,MATCH($E149,Parameters!$X$3:$AA$3,0)))</f>
        <v>0.402415437916637</v>
      </c>
      <c r="BJ149" s="46" t="n">
        <f aca="false">MAX(0,MIN(BH149*(1+INDEX(Response_Table!$L$4:$L$21,MATCH($F149&amp;"|low",Response_Table!$A$4:$A$21,0))*$R149*INDEX(Parameters!$X$12:$AA$12,1,MATCH($E149,Parameters!$X$3:$AA$3,0))),BH149*(1+INDEX(Response_Table!$L$4:$L$21,MATCH($F149&amp;"|high",Response_Table!$A$4:$A$21,0))*$R149*INDEX(Parameters!$X$12:$AA$12,1,MATCH($E149,Parameters!$X$3:$AA$3,0))))*(1-Inputs_General!$C$22*Parameters!$F$12))</f>
        <v>0.318656231504495</v>
      </c>
      <c r="BK149" s="46" t="n">
        <f aca="false">MAX(BH149*(1+INDEX(Response_Table!$L$4:$L$21,MATCH($F149&amp;"|low",Response_Table!$A$4:$A$21,0))*$R149*INDEX(Parameters!$X$12:$AA$12,1,MATCH($E149,Parameters!$X$3:$AA$3,0))),BH149*(1+INDEX(Response_Table!$L$4:$L$21,MATCH($F149&amp;"|high",Response_Table!$A$4:$A$21,0))*$R149*INDEX(Parameters!$X$12:$AA$12,1,MATCH($E149,Parameters!$X$3:$AA$3,0))))*(1+Inputs_General!$C$22*Parameters!$F$12)</f>
        <v>0.48869959679385</v>
      </c>
      <c r="BL149" s="45" t="n">
        <f aca="false">IF(BH149=0,0,BI149/BH149-1)</f>
        <v>-0.0586773382066979</v>
      </c>
      <c r="BM149" s="46" t="n">
        <f aca="false">Parameters!$E$13*IF($N149="V",Parameters!$I$13,IF($N149="F",Parameters!$J$13,Parameters!$K$13))*(1-Parameters!$L$13*$P149)*IF($D149="V1",Parameters!$M$13,IF($D149="V2",Parameters!$N$13,Parameters!$O$13))</f>
        <v>0.285</v>
      </c>
      <c r="BN149" s="46" t="n">
        <f aca="false">BM149*(1+INDEX(Response_Table!$M$4:$M$21,MATCH($F149&amp;"|mid",Response_Table!$A$4:$A$21,0))*$R149*INDEX(Parameters!$X$13:$AA$13,1,MATCH($E149,Parameters!$X$3:$AA$3,0)))</f>
        <v>0.286761779523819</v>
      </c>
      <c r="BO149" s="46" t="n">
        <f aca="false">MAX(0,MIN(BM149*(1+INDEX(Response_Table!$M$4:$M$21,MATCH($F149&amp;"|low",Response_Table!$A$4:$A$21,0))*$R149*INDEX(Parameters!$X$13:$AA$13,1,MATCH($E149,Parameters!$X$3:$AA$3,0))),BM149*(1+INDEX(Response_Table!$M$4:$M$21,MATCH($F149&amp;"|high",Response_Table!$A$4:$A$21,0))*$R149*INDEX(Parameters!$X$13:$AA$13,1,MATCH($E149,Parameters!$X$3:$AA$3,0))))*(1-Inputs_General!$C$22*Parameters!$F$13))</f>
        <v>0.228320950123391</v>
      </c>
      <c r="BP149" s="46" t="n">
        <f aca="false">MAX(BM149*(1+INDEX(Response_Table!$M$4:$M$21,MATCH($F149&amp;"|low",Response_Table!$A$4:$A$21,0))*$R149*INDEX(Parameters!$X$13:$AA$13,1,MATCH($E149,Parameters!$X$3:$AA$3,0))),BM149*(1+INDEX(Response_Table!$M$4:$M$21,MATCH($F149&amp;"|high",Response_Table!$A$4:$A$21,0))*$R149*INDEX(Parameters!$X$13:$AA$13,1,MATCH($E149,Parameters!$X$3:$AA$3,0))))*(1+Inputs_General!$C$22*Parameters!$F$13)</f>
        <v>0.345288853549971</v>
      </c>
      <c r="BQ149" s="45" t="n">
        <f aca="false">IF(BM149=0,0,BN149/BM149-1)</f>
        <v>0.0061816825397174</v>
      </c>
      <c r="BR149" s="44" t="n">
        <f aca="false">Parameters!$E$14*IF($N149="V",Parameters!$I$14,IF($N149="F",Parameters!$J$14,Parameters!$K$14))*(1-Parameters!$L$14*$P149)*IF($D149="V1",Parameters!$M$14,IF($D149="V2",Parameters!$N$14,Parameters!$O$14))*INDEX(Context!$AC$4:$AC$51,$K149)</f>
        <v>19.8</v>
      </c>
      <c r="BS149" s="44" t="n">
        <f aca="false">BR149*(1+INDEX(Response_Table!$N$4:$N$21,MATCH($F149&amp;"|mid",Response_Table!$A$4:$A$21,0))*$R149*INDEX(Parameters!$X$14:$AA$14,1,MATCH($E149,Parameters!$X$3:$AA$3,0)))</f>
        <v>21.0674305052647</v>
      </c>
      <c r="BT149" s="44" t="n">
        <f aca="false">MAX(0,MIN(BR149*(1+INDEX(Response_Table!$N$4:$N$21,MATCH($F149&amp;"|low",Response_Table!$A$4:$A$21,0))*$R149*INDEX(Parameters!$X$14:$AA$14,1,MATCH($E149,Parameters!$X$3:$AA$3,0))),BR149*(1+INDEX(Response_Table!$N$4:$N$21,MATCH($F149&amp;"|high",Response_Table!$A$4:$A$21,0))*$R149*INDEX(Parameters!$X$14:$AA$14,1,MATCH($E149,Parameters!$X$3:$AA$3,0))))*(1-Inputs_General!$C$22*Parameters!$F$14))</f>
        <v>10.5243076892459</v>
      </c>
      <c r="BU149" s="44" t="n">
        <f aca="false">MAX(BR149*(1+INDEX(Response_Table!$N$4:$N$21,MATCH($F149&amp;"|low",Response_Table!$A$4:$A$21,0))*$R149*INDEX(Parameters!$X$14:$AA$14,1,MATCH($E149,Parameters!$X$3:$AA$3,0))),BR149*(1+INDEX(Response_Table!$N$4:$N$21,MATCH($F149&amp;"|high",Response_Table!$A$4:$A$21,0))*$R149*INDEX(Parameters!$X$14:$AA$14,1,MATCH($E149,Parameters!$X$3:$AA$3,0))))*(1+Inputs_General!$C$22*Parameters!$F$14)</f>
        <v>31.8706026452264</v>
      </c>
      <c r="BV149" s="45" t="n">
        <f aca="false">IF(BR149=0,0,BS149/BR149-1)</f>
        <v>0.064011641680034</v>
      </c>
      <c r="BW149" s="43" t="n">
        <f aca="false">Parameters!$E$15*IF($N149="V",Parameters!$I$15,IF($N149="F",Parameters!$J$15,Parameters!$K$15))*(1-Parameters!$L$15*$P149)*IF($D149="V1",Parameters!$M$15,IF($D149="V2",Parameters!$N$15,Parameters!$O$15))</f>
        <v>11.232</v>
      </c>
      <c r="BX149" s="43" t="n">
        <f aca="false">BW149*(1+INDEX(Response_Table!$O$4:$O$21,MATCH($F149&amp;"|mid",Response_Table!$A$4:$A$21,0))*$R149*INDEX(Parameters!$X$15:$AA$15,1,MATCH($E149,Parameters!$X$3:$AA$3,0)))</f>
        <v>11.0522553101625</v>
      </c>
      <c r="BY149" s="43" t="n">
        <f aca="false">MAX(0,MIN(BW149*(1+INDEX(Response_Table!$O$4:$O$21,MATCH($F149&amp;"|low",Response_Table!$A$4:$A$21,0))*$R149*INDEX(Parameters!$X$15:$AA$15,1,MATCH($E149,Parameters!$X$3:$AA$3,0))),BW149*(1+INDEX(Response_Table!$O$4:$O$21,MATCH($F149&amp;"|high",Response_Table!$A$4:$A$21,0))*$R149*INDEX(Parameters!$X$15:$AA$15,1,MATCH($E149,Parameters!$X$3:$AA$3,0))))*(1-Inputs_General!$C$22*Parameters!$F$15))</f>
        <v>8.83956774498149</v>
      </c>
      <c r="BZ149" s="43" t="n">
        <f aca="false">MAX(BW149*(1+INDEX(Response_Table!$O$4:$O$21,MATCH($F149&amp;"|low",Response_Table!$A$4:$A$21,0))*$R149*INDEX(Parameters!$X$15:$AA$15,1,MATCH($E149,Parameters!$X$3:$AA$3,0))),BW149*(1+INDEX(Response_Table!$O$4:$O$21,MATCH($F149&amp;"|high",Response_Table!$A$4:$A$21,0))*$R149*INDEX(Parameters!$X$15:$AA$15,1,MATCH($E149,Parameters!$X$3:$AA$3,0))))*(1+Inputs_General!$C$22*Parameters!$F$15)</f>
        <v>13.2830355490836</v>
      </c>
      <c r="CA149" s="45" t="n">
        <f aca="false">IF(BW149=0,0,BX149/BW149-1)</f>
        <v>-0.0160029104200083</v>
      </c>
      <c r="CB149" s="46" t="n">
        <f aca="false">BD149+BI149</f>
        <v>1.5027483539974</v>
      </c>
      <c r="CC149" s="43" t="n">
        <f aca="false">BD149/BI149</f>
        <v>2.73432083465123</v>
      </c>
      <c r="CD149" s="46" t="n">
        <f aca="false">BN149/CB149</f>
        <v>0.190824883461703</v>
      </c>
      <c r="CE149" s="43" t="n">
        <f aca="false">AE149/AO149</f>
        <v>3.92434717679384</v>
      </c>
      <c r="CF149" s="44" t="n">
        <f aca="false">AE149/AJ149</f>
        <v>37.8028712088283</v>
      </c>
      <c r="CG149" s="44" t="n">
        <f aca="false">INDEX(Context!$V$4:$V$51,$K149)</f>
        <v>22.6257142857143</v>
      </c>
      <c r="CH149" s="44" t="n">
        <f aca="false">INDEX(Context!$Y$4:$Y$51,$K149)</f>
        <v>21.3177449518561</v>
      </c>
      <c r="CI149" s="44" t="n">
        <f aca="false">INDEX(Context!$Z$4:$Z$51,$K149)</f>
        <v>26.6257142857143</v>
      </c>
      <c r="CJ149" s="43" t="n">
        <f aca="false">INDEX(Context!$AA$4:$AA$51,$K149)</f>
        <v>0.12</v>
      </c>
      <c r="CK149" s="43" t="n">
        <f aca="false">MAX(0,MIN(1,1-(1-CJ149)*AO149/AN149))</f>
        <v>0.201991872591464</v>
      </c>
      <c r="CL149" s="44" t="n">
        <f aca="false">CH149+CK149*(CI149-CH149)</f>
        <v>22.3899116172601</v>
      </c>
      <c r="CM149" s="44" t="n">
        <f aca="false">CH149+MAX(0,MIN(1,1-(1-CJ149)*AQ149/AN149))*(CI149-CH149)</f>
        <v>21.3177449518561</v>
      </c>
      <c r="CN149" s="44" t="n">
        <f aca="false">CH149+MAX(0,MIN(1,1-(1-CJ149)*AP149/AN149))*(CI149-CH149)</f>
        <v>23.7382449383393</v>
      </c>
      <c r="CO149" s="44" t="n">
        <f aca="false">CL149-CG149</f>
        <v>-0.235802668454149</v>
      </c>
      <c r="CP149" s="44" t="n">
        <f aca="false">CL149-(CH149+CJ149*(CI149-CH149))</f>
        <v>0.435210345341101</v>
      </c>
      <c r="CQ149" s="46" t="n">
        <f aca="false">CL149/CG149</f>
        <v>0.98957811163544</v>
      </c>
      <c r="CR149" s="43" t="n">
        <f aca="false">IF(CL149-CH149&lt;=0,"n/a",(CI149-CL149)/(CL149-CH149))</f>
        <v>3.95069423918129</v>
      </c>
      <c r="CS149" s="43" t="n">
        <f aca="false">IF(CI149-CL149&lt;=0,"n/a",(CL149-CH149)/(CI149-CL149))</f>
        <v>0.253120069400064</v>
      </c>
      <c r="CT149" s="43" t="n">
        <f aca="false">Inputs_General!$C$23+Inputs_General!$C$24*$I149</f>
        <v>0.76</v>
      </c>
      <c r="CU149" s="44" t="n">
        <f aca="false">3.29*CT149</f>
        <v>2.5004</v>
      </c>
    </row>
    <row r="150" customFormat="false" ht="15" hidden="false" customHeight="false" outlineLevel="0" collapsed="false">
      <c r="A150" s="9" t="str">
        <f aca="false">B150&amp;"|"&amp;E150&amp;"|"&amp;F150</f>
        <v>D3V1|11/02/2026|Moderate</v>
      </c>
      <c r="B150" s="7" t="s">
        <v>349</v>
      </c>
      <c r="C150" s="9" t="s">
        <v>131</v>
      </c>
      <c r="D150" s="9" t="s">
        <v>142</v>
      </c>
      <c r="E150" s="9" t="s">
        <v>158</v>
      </c>
      <c r="F150" s="7" t="s">
        <v>281</v>
      </c>
      <c r="G150" s="9" t="s">
        <v>282</v>
      </c>
      <c r="H150" s="41" t="n">
        <f aca="false">INDEX(Severity_Classes!$C$4:$C$9,MATCH(F150,Severity_Classes!$A$4:$A$9,0))</f>
        <v>0.11</v>
      </c>
      <c r="I150" s="41" t="n">
        <f aca="false">INDEX(Severity_Classes!$D$4:$D$9,MATCH(F150,Severity_Classes!$A$4:$A$9,0))</f>
        <v>0.18</v>
      </c>
      <c r="J150" s="41" t="n">
        <f aca="false">INDEX(Severity_Classes!$E$4:$E$9,MATCH(F150,Severity_Classes!$A$4:$A$9,0))</f>
        <v>0.25</v>
      </c>
      <c r="K150" s="42" t="n">
        <f aca="false">MATCH(B150&amp;"|"&amp;E150,Context!$A$4:$A$51,0)</f>
        <v>25</v>
      </c>
      <c r="L150" s="42" t="n">
        <f aca="false">INDEX(Context!$H$4:$H$51,K150)</f>
        <v>46</v>
      </c>
      <c r="M150" s="42" t="n">
        <f aca="false">INDEX(Context!$I$4:$I$51,K150)</f>
        <v>6</v>
      </c>
      <c r="N150" s="9" t="str">
        <f aca="false">INDEX(Context!$L$4:$L$51,K150)</f>
        <v>V</v>
      </c>
      <c r="O150" s="9" t="str">
        <f aca="false">INDEX(Context!$M$4:$M$51,K150)</f>
        <v>3rd fully expanded leaf from top</v>
      </c>
      <c r="P150" s="43" t="n">
        <f aca="false">INDEX(Context!$R$4:$R$51,K150)</f>
        <v>0</v>
      </c>
      <c r="Q150" s="43" t="n">
        <f aca="false">INDEX(Context!$U$4:$U$51,K150)</f>
        <v>0.937791824040773</v>
      </c>
      <c r="R150" s="43" t="n">
        <f aca="false">INDEX(Context!$AD$4:$AD$51,K150)</f>
        <v>1</v>
      </c>
      <c r="S150" s="9" t="str">
        <f aca="false">INDEX(Context!$AI$4:$AN$51,K150,MATCH(F150,Severity_Classes!$A$4:$A$9,0))</f>
        <v>Unlikely (only via pre-inoculation natural infection)</v>
      </c>
      <c r="T150" s="44" t="n">
        <f aca="false">Parameters!$E$4*IF($N150="V",Parameters!$I$4,IF($N150="F",Parameters!$J$4,Parameters!$K$4))*(1-Parameters!$L$4*$P150)*IF($D150="V1",Parameters!$M$4,IF($D150="V2",Parameters!$N$4,Parameters!$O$4))</f>
        <v>86</v>
      </c>
      <c r="U150" s="44" t="n">
        <f aca="false">MIN(100,T150*(1+INDEX(Response_Table!$E$4:$E$21,MATCH($F150&amp;"|mid",Response_Table!$A$4:$A$21,0))*$R150*INDEX(Parameters!$X$4:$AA$4,1,MATCH($E150,Parameters!$X$3:$AA$3,0))))</f>
        <v>84.0439331548254</v>
      </c>
      <c r="V150" s="44" t="n">
        <f aca="false">MAX(0,MIN(T150*(1+INDEX(Response_Table!$E$4:$E$21,MATCH($F150&amp;"|low",Response_Table!$A$4:$A$21,0))*$R150*INDEX(Parameters!$X$4:$AA$4,1,MATCH($E150,Parameters!$X$3:$AA$3,0))),T150*(1+INDEX(Response_Table!$E$4:$E$21,MATCH($F150&amp;"|high",Response_Table!$A$4:$A$21,0))*$R150*INDEX(Parameters!$X$4:$AA$4,1,MATCH($E150,Parameters!$X$3:$AA$3,0))))*(1-Inputs_General!$C$22*Parameters!$F$4))</f>
        <v>77.1449834747202</v>
      </c>
      <c r="W150" s="44" t="n">
        <f aca="false">MIN(100,MAX(T150*(1+INDEX(Response_Table!$E$4:$E$21,MATCH($F150&amp;"|low",Response_Table!$A$4:$A$21,0))*$R150*INDEX(Parameters!$X$4:$AA$4,1,MATCH($E150,Parameters!$X$3:$AA$3,0))),T150*(1+INDEX(Response_Table!$E$4:$E$21,MATCH($F150&amp;"|high",Response_Table!$A$4:$A$21,0))*$R150*INDEX(Parameters!$X$4:$AA$4,1,MATCH($E150,Parameters!$X$3:$AA$3,0))))*(1+Inputs_General!$C$22*Parameters!$F$4))</f>
        <v>90.6752138875645</v>
      </c>
      <c r="X150" s="45" t="n">
        <f aca="false">IF(T150=0,0,U150/T150-1)</f>
        <v>-0.0227449633159834</v>
      </c>
      <c r="Y150" s="44" t="n">
        <f aca="false">Parameters!$E$5*IF($N150="V",Parameters!$I$5,IF($N150="F",Parameters!$J$5,Parameters!$K$5))*(1-Parameters!$L$5*$P150)*IF($D150="V1",Parameters!$M$5,IF($D150="V2",Parameters!$N$5,Parameters!$O$5))</f>
        <v>72</v>
      </c>
      <c r="Z150" s="44" t="n">
        <f aca="false">MIN(100,Y150*(1+INDEX(Response_Table!$F$4:$F$21,MATCH($F150&amp;"|mid",Response_Table!$A$4:$A$21,0))*$R150*INDEX(Parameters!$X$5:$AA$5,1,MATCH($E150,Parameters!$X$3:$AA$3,0))))</f>
        <v>66.3429602737958</v>
      </c>
      <c r="AA150" s="44" t="n">
        <f aca="false">MAX(0,MIN(Y150*(1+INDEX(Response_Table!$F$4:$F$21,MATCH($F150&amp;"|low",Response_Table!$A$4:$A$21,0))*$R150*INDEX(Parameters!$X$5:$AA$5,1,MATCH($E150,Parameters!$X$3:$AA$3,0))),Y150*(1+INDEX(Response_Table!$F$4:$F$21,MATCH($F150&amp;"|high",Response_Table!$A$4:$A$21,0))*$R150*INDEX(Parameters!$X$5:$AA$5,1,MATCH($E150,Parameters!$X$3:$AA$3,0))))*(1-Inputs_General!$C$22*Parameters!$F$5))</f>
        <v>54.9989444833725</v>
      </c>
      <c r="AB150" s="44" t="n">
        <f aca="false">MIN(100,MAX(Y150*(1+INDEX(Response_Table!$F$4:$F$21,MATCH($F150&amp;"|low",Response_Table!$A$4:$A$21,0))*$R150*INDEX(Parameters!$X$5:$AA$5,1,MATCH($E150,Parameters!$X$3:$AA$3,0))),Y150*(1+INDEX(Response_Table!$F$4:$F$21,MATCH($F150&amp;"|high",Response_Table!$A$4:$A$21,0))*$R150*INDEX(Parameters!$X$5:$AA$5,1,MATCH($E150,Parameters!$X$3:$AA$3,0))))*(1+Inputs_General!$C$22*Parameters!$F$5))</f>
        <v>77.3949608923929</v>
      </c>
      <c r="AC150" s="45" t="n">
        <f aca="false">IF(Y150=0,0,Z150/Y150-1)</f>
        <v>-0.0785699961972806</v>
      </c>
      <c r="AD150" s="44" t="n">
        <f aca="false">Parameters!$E$6*IF($N150="V",Parameters!$I$6,IF($N150="F",Parameters!$J$6,Parameters!$K$6))*(1-Parameters!$L$6*$P150)*IF($D150="V1",Parameters!$M$6,IF($D150="V2",Parameters!$N$6,Parameters!$O$6))</f>
        <v>19</v>
      </c>
      <c r="AE150" s="44" t="n">
        <f aca="false">AD150*(1+INDEX(Response_Table!$G$4:$G$21,MATCH($F150&amp;"|mid",Response_Table!$A$4:$A$21,0))*$R150*INDEX(Parameters!$X$6:$AA$6,1,MATCH($E150,Parameters!$X$3:$AA$3,0)))</f>
        <v>12.7634933456528</v>
      </c>
      <c r="AF150" s="44" t="n">
        <f aca="false">MAX(0,MIN(AD150*(1+INDEX(Response_Table!$G$4:$G$21,MATCH($F150&amp;"|low",Response_Table!$A$4:$A$21,0))*$R150*INDEX(Parameters!$X$6:$AA$6,1,MATCH($E150,Parameters!$X$3:$AA$3,0))),AD150*(1+INDEX(Response_Table!$G$4:$G$21,MATCH($F150&amp;"|high",Response_Table!$A$4:$A$21,0))*$R150*INDEX(Parameters!$X$6:$AA$6,1,MATCH($E150,Parameters!$X$3:$AA$3,0))))*(1-Inputs_General!$C$22*Parameters!$F$6))</f>
        <v>9.1454105822473</v>
      </c>
      <c r="AG150" s="44" t="n">
        <f aca="false">MAX(AD150*(1+INDEX(Response_Table!$G$4:$G$21,MATCH($F150&amp;"|low",Response_Table!$A$4:$A$21,0))*$R150*INDEX(Parameters!$X$6:$AA$6,1,MATCH($E150,Parameters!$X$3:$AA$3,0))),AD150*(1+INDEX(Response_Table!$G$4:$G$21,MATCH($F150&amp;"|high",Response_Table!$A$4:$A$21,0))*$R150*INDEX(Parameters!$X$6:$AA$6,1,MATCH($E150,Parameters!$X$3:$AA$3,0))))*(1+Inputs_General!$C$22*Parameters!$F$6)</f>
        <v>17.5131370788554</v>
      </c>
      <c r="AH150" s="45" t="n">
        <f aca="false">IF(AD150=0,0,AE150/AD150-1)</f>
        <v>-0.328237192334065</v>
      </c>
      <c r="AI150" s="46" t="n">
        <f aca="false">Parameters!$E$7*IF($N150="V",Parameters!$I$7,IF($N150="F",Parameters!$J$7,Parameters!$K$7))*(1-Parameters!$L$7*$P150)*IF($D150="V1",Parameters!$M$7,IF($D150="V2",Parameters!$N$7,Parameters!$O$7))*POWER($Q150/Inputs_General!$C$26,-Inputs_General!$C$25)</f>
        <v>0.464685683730118</v>
      </c>
      <c r="AJ150" s="46" t="n">
        <f aca="false">AI150*(1+INDEX(Response_Table!$H$4:$H$21,MATCH($F150&amp;"|mid",Response_Table!$A$4:$A$21,0))*$R150*INDEX(Parameters!$X$7:$AA$7,1,MATCH($E150,Parameters!$X$3:$AA$3,0)))</f>
        <v>0.363862408640865</v>
      </c>
      <c r="AK150" s="46" t="n">
        <f aca="false">MAX(0,MIN(AI150*(1+INDEX(Response_Table!$H$4:$H$21,MATCH($F150&amp;"|low",Response_Table!$A$4:$A$21,0))*$R150*INDEX(Parameters!$X$7:$AA$7,1,MATCH($E150,Parameters!$X$3:$AA$3,0))),AI150*(1+INDEX(Response_Table!$H$4:$H$21,MATCH($F150&amp;"|high",Response_Table!$A$4:$A$21,0))*$R150*INDEX(Parameters!$X$7:$AA$7,1,MATCH($E150,Parameters!$X$3:$AA$3,0))))*(1-Inputs_General!$C$22*Parameters!$F$7))</f>
        <v>0.23734815006715</v>
      </c>
      <c r="AL150" s="46" t="n">
        <f aca="false">MAX(AI150*(1+INDEX(Response_Table!$H$4:$H$21,MATCH($F150&amp;"|low",Response_Table!$A$4:$A$21,0))*$R150*INDEX(Parameters!$X$7:$AA$7,1,MATCH($E150,Parameters!$X$3:$AA$3,0))),AI150*(1+INDEX(Response_Table!$H$4:$H$21,MATCH($F150&amp;"|high",Response_Table!$A$4:$A$21,0))*$R150*INDEX(Parameters!$X$7:$AA$7,1,MATCH($E150,Parameters!$X$3:$AA$3,0))))*(1+Inputs_General!$C$22*Parameters!$F$7)</f>
        <v>0.514250204889412</v>
      </c>
      <c r="AM150" s="45" t="n">
        <f aca="false">IF(AI150=0,0,AJ150/AI150-1)</f>
        <v>-0.216970908765525</v>
      </c>
      <c r="AN150" s="43" t="n">
        <f aca="false">AI150*$Q150/Inputs_General!$C$13*1000</f>
        <v>4.38850387664553</v>
      </c>
      <c r="AO150" s="43" t="n">
        <f aca="false">AJ150*$Q150/Inputs_General!$C$13*1000*(1+Inputs_General!$C$21*$I150)</f>
        <v>3.59096088151711</v>
      </c>
      <c r="AP150" s="43" t="n">
        <f aca="false">AK150*$Q150/Inputs_General!$C$13*1000*(1+Inputs_General!$C$21*$H150)</f>
        <v>2.3031640617849</v>
      </c>
      <c r="AQ150" s="43" t="n">
        <f aca="false">AL150*$Q150/Inputs_General!$C$13*1000*(1+Inputs_General!$C$21*$J150)</f>
        <v>5.16012955700019</v>
      </c>
      <c r="AR150" s="45" t="n">
        <f aca="false">IF(AN150=0,0,AO150/AN150-1)</f>
        <v>-0.181734599659974</v>
      </c>
      <c r="AS150" s="42" t="n">
        <f aca="false">Parameters!$E$9*IF($N150="V",Parameters!$I$9,IF($N150="F",Parameters!$J$9,Parameters!$K$9))*(1-Parameters!$L$9*$P150)*IF($D150="V1",Parameters!$M$9,IF($D150="V2",Parameters!$N$9,Parameters!$O$9))</f>
        <v>285</v>
      </c>
      <c r="AT150" s="42" t="n">
        <f aca="false">AS150*(1+INDEX(Response_Table!$I$4:$I$21,MATCH($F150&amp;"|mid",Response_Table!$A$4:$A$21,0))*$R150*INDEX(Parameters!$X$9:$AA$9,1,MATCH($E150,Parameters!$X$3:$AA$3,0)))</f>
        <v>320.106145692338</v>
      </c>
      <c r="AU150" s="42" t="n">
        <f aca="false">MAX(0,MIN(AS150*(1+INDEX(Response_Table!$I$4:$I$21,MATCH($F150&amp;"|low",Response_Table!$A$4:$A$21,0))*$R150*INDEX(Parameters!$X$9:$AA$9,1,MATCH($E150,Parameters!$X$3:$AA$3,0))),AS150*(1+INDEX(Response_Table!$I$4:$I$21,MATCH($F150&amp;"|high",Response_Table!$A$4:$A$21,0))*$R150*INDEX(Parameters!$X$9:$AA$9,1,MATCH($E150,Parameters!$X$3:$AA$3,0))))*(1-Inputs_General!$C$22*Parameters!$F$9))</f>
        <v>278.815270199559</v>
      </c>
      <c r="AV150" s="42" t="n">
        <f aca="false">MAX(AS150*(1+INDEX(Response_Table!$I$4:$I$21,MATCH($F150&amp;"|low",Response_Table!$A$4:$A$21,0))*$R150*INDEX(Parameters!$X$9:$AA$9,1,MATCH($E150,Parameters!$X$3:$AA$3,0))),AS150*(1+INDEX(Response_Table!$I$4:$I$21,MATCH($F150&amp;"|high",Response_Table!$A$4:$A$21,0))*$R150*INDEX(Parameters!$X$9:$AA$9,1,MATCH($E150,Parameters!$X$3:$AA$3,0))))*(1+Inputs_General!$C$22*Parameters!$F$9)</f>
        <v>360.63404268617</v>
      </c>
      <c r="AW150" s="45" t="n">
        <f aca="false">IF(AS150=0,0,AT150/AS150-1)</f>
        <v>0.123179458569607</v>
      </c>
      <c r="AX150" s="43" t="n">
        <f aca="false">INDEX(Context!$AB$4:$AB$51,$K150)</f>
        <v>1.03915356823757</v>
      </c>
      <c r="AY150" s="43" t="n">
        <f aca="false">AX150*(1+INDEX(Response_Table!$J$4:$J$21,MATCH($F150&amp;"|mid",Response_Table!$A$4:$A$21,0))*$R150*INDEX(Parameters!$X$10:$AA$10,1,MATCH($E150,Parameters!$X$3:$AA$3,0)))</f>
        <v>0.954427568401578</v>
      </c>
      <c r="AZ150" s="43" t="n">
        <f aca="false">MAX(0,MIN(AX150*(1+INDEX(Response_Table!$J$4:$J$21,MATCH($F150&amp;"|low",Response_Table!$A$4:$A$21,0))*$R150*INDEX(Parameters!$X$10:$AA$10,1,MATCH($E150,Parameters!$X$3:$AA$3,0))),AX150*(1+INDEX(Response_Table!$J$4:$J$21,MATCH($F150&amp;"|high",Response_Table!$A$4:$A$21,0))*$R150*INDEX(Parameters!$X$10:$AA$10,1,MATCH($E150,Parameters!$X$3:$AA$3,0))))*(1-Inputs_General!$C$22*Parameters!$F$10))</f>
        <v>0.746813882968354</v>
      </c>
      <c r="BA150" s="43" t="n">
        <f aca="false">MAX(AX150*(1+INDEX(Response_Table!$J$4:$J$21,MATCH($F150&amp;"|low",Response_Table!$A$4:$A$21,0))*$R150*INDEX(Parameters!$X$10:$AA$10,1,MATCH($E150,Parameters!$X$3:$AA$3,0))),AX150*(1+INDEX(Response_Table!$J$4:$J$21,MATCH($F150&amp;"|high",Response_Table!$A$4:$A$21,0))*$R150*INDEX(Parameters!$X$10:$AA$10,1,MATCH($E150,Parameters!$X$3:$AA$3,0))))*(1+Inputs_General!$C$22*Parameters!$F$10)</f>
        <v>1.17697143864228</v>
      </c>
      <c r="BB150" s="45" t="n">
        <f aca="false">IF(AX150=0,0,AY150/AX150-1)</f>
        <v>-0.081533665885101</v>
      </c>
      <c r="BC150" s="46" t="n">
        <f aca="false">Parameters!$E$11*IF($N150="V",Parameters!$I$11,IF($N150="F",Parameters!$J$11,Parameters!$K$11))*(1-Parameters!$L$11*$P150)*IF($D150="V1",Parameters!$M$11,IF($D150="V2",Parameters!$N$11,Parameters!$O$11))</f>
        <v>1.1875</v>
      </c>
      <c r="BD150" s="46" t="n">
        <f aca="false">BC150*(1+INDEX(Response_Table!$K$4:$K$21,MATCH($F150&amp;"|mid",Response_Table!$A$4:$A$21,0))*$R150*INDEX(Parameters!$X$11:$AA$11,1,MATCH($E150,Parameters!$X$3:$AA$3,0)))</f>
        <v>1.01851434994315</v>
      </c>
      <c r="BE150" s="46" t="n">
        <f aca="false">MAX(0,MIN(BC150*(1+INDEX(Response_Table!$K$4:$K$21,MATCH($F150&amp;"|low",Response_Table!$A$4:$A$21,0))*$R150*INDEX(Parameters!$X$11:$AA$11,1,MATCH($E150,Parameters!$X$3:$AA$3,0))),BC150*(1+INDEX(Response_Table!$K$4:$K$21,MATCH($F150&amp;"|high",Response_Table!$A$4:$A$21,0))*$R150*INDEX(Parameters!$X$11:$AA$11,1,MATCH($E150,Parameters!$X$3:$AA$3,0))))*(1-Inputs_General!$C$22*Parameters!$F$11))</f>
        <v>0.814591944267851</v>
      </c>
      <c r="BF150" s="46" t="n">
        <f aca="false">MAX(BC150*(1+INDEX(Response_Table!$K$4:$K$21,MATCH($F150&amp;"|low",Response_Table!$A$4:$A$21,0))*$R150*INDEX(Parameters!$X$11:$AA$11,1,MATCH($E150,Parameters!$X$3:$AA$3,0))),BC150*(1+INDEX(Response_Table!$K$4:$K$21,MATCH($F150&amp;"|high",Response_Table!$A$4:$A$21,0))*$R150*INDEX(Parameters!$X$11:$AA$11,1,MATCH($E150,Parameters!$X$3:$AA$3,0))))*(1+Inputs_General!$C$22*Parameters!$F$11)</f>
        <v>1.24949065063162</v>
      </c>
      <c r="BG150" s="45" t="n">
        <f aca="false">IF(BC150=0,0,BD150/BC150-1)</f>
        <v>-0.142303705311033</v>
      </c>
      <c r="BH150" s="46" t="n">
        <f aca="false">Parameters!$E$12*IF($N150="V",Parameters!$I$12,IF($N150="F",Parameters!$J$12,Parameters!$K$12))*(1-Parameters!$L$12*$P150)*IF($D150="V1",Parameters!$M$12,IF($D150="V2",Parameters!$N$12,Parameters!$O$12))</f>
        <v>0.4275</v>
      </c>
      <c r="BI150" s="46" t="n">
        <f aca="false">BH150*(1+INDEX(Response_Table!$L$4:$L$21,MATCH($F150&amp;"|mid",Response_Table!$A$4:$A$21,0))*$R150*INDEX(Parameters!$X$12:$AA$12,1,MATCH($E150,Parameters!$X$3:$AA$3,0)))</f>
        <v>0.378446841419717</v>
      </c>
      <c r="BJ150" s="46" t="n">
        <f aca="false">MAX(0,MIN(BH150*(1+INDEX(Response_Table!$L$4:$L$21,MATCH($F150&amp;"|low",Response_Table!$A$4:$A$21,0))*$R150*INDEX(Parameters!$X$12:$AA$12,1,MATCH($E150,Parameters!$X$3:$AA$3,0))),BH150*(1+INDEX(Response_Table!$L$4:$L$21,MATCH($F150&amp;"|high",Response_Table!$A$4:$A$21,0))*$R150*INDEX(Parameters!$X$12:$AA$12,1,MATCH($E150,Parameters!$X$3:$AA$3,0))))*(1-Inputs_General!$C$22*Parameters!$F$12))</f>
        <v>0.29332629652672</v>
      </c>
      <c r="BK150" s="46" t="n">
        <f aca="false">MAX(BH150*(1+INDEX(Response_Table!$L$4:$L$21,MATCH($F150&amp;"|low",Response_Table!$A$4:$A$21,0))*$R150*INDEX(Parameters!$X$12:$AA$12,1,MATCH($E150,Parameters!$X$3:$AA$3,0))),BH150*(1+INDEX(Response_Table!$L$4:$L$21,MATCH($F150&amp;"|high",Response_Table!$A$4:$A$21,0))*$R150*INDEX(Parameters!$X$12:$AA$12,1,MATCH($E150,Parameters!$X$3:$AA$3,0))))*(1+Inputs_General!$C$22*Parameters!$F$12)</f>
        <v>0.472321580168239</v>
      </c>
      <c r="BL150" s="45" t="n">
        <f aca="false">IF(BH150=0,0,BI150/BH150-1)</f>
        <v>-0.114744230597153</v>
      </c>
      <c r="BM150" s="46" t="n">
        <f aca="false">Parameters!$E$13*IF($N150="V",Parameters!$I$13,IF($N150="F",Parameters!$J$13,Parameters!$K$13))*(1-Parameters!$L$13*$P150)*IF($D150="V1",Parameters!$M$13,IF($D150="V2",Parameters!$N$13,Parameters!$O$13))</f>
        <v>0.285</v>
      </c>
      <c r="BN150" s="46" t="n">
        <f aca="false">BM150*(1+INDEX(Response_Table!$M$4:$M$21,MATCH($F150&amp;"|mid",Response_Table!$A$4:$A$21,0))*$R150*INDEX(Parameters!$X$13:$AA$13,1,MATCH($E150,Parameters!$X$3:$AA$3,0)))</f>
        <v>0.272741938314924</v>
      </c>
      <c r="BO150" s="46" t="n">
        <f aca="false">MAX(0,MIN(BM150*(1+INDEX(Response_Table!$M$4:$M$21,MATCH($F150&amp;"|low",Response_Table!$A$4:$A$21,0))*$R150*INDEX(Parameters!$X$13:$AA$13,1,MATCH($E150,Parameters!$X$3:$AA$3,0))),BM150*(1+INDEX(Response_Table!$M$4:$M$21,MATCH($F150&amp;"|high",Response_Table!$A$4:$A$21,0))*$R150*INDEX(Parameters!$X$13:$AA$13,1,MATCH($E150,Parameters!$X$3:$AA$3,0))))*(1-Inputs_General!$C$22*Parameters!$F$13))</f>
        <v>0.21098259652342</v>
      </c>
      <c r="BP150" s="46" t="n">
        <f aca="false">MAX(BM150*(1+INDEX(Response_Table!$M$4:$M$21,MATCH($F150&amp;"|low",Response_Table!$A$4:$A$21,0))*$R150*INDEX(Parameters!$X$13:$AA$13,1,MATCH($E150,Parameters!$X$3:$AA$3,0))),BM150*(1+INDEX(Response_Table!$M$4:$M$21,MATCH($F150&amp;"|high",Response_Table!$A$4:$A$21,0))*$R150*INDEX(Parameters!$X$13:$AA$13,1,MATCH($E150,Parameters!$X$3:$AA$3,0))))*(1+Inputs_General!$C$22*Parameters!$F$13)</f>
        <v>0.339058154053733</v>
      </c>
      <c r="BQ150" s="45" t="n">
        <f aca="false">IF(BM150=0,0,BN150/BM150-1)</f>
        <v>-0.0430107427546522</v>
      </c>
      <c r="BR150" s="44" t="n">
        <f aca="false">Parameters!$E$14*IF($N150="V",Parameters!$I$14,IF($N150="F",Parameters!$J$14,Parameters!$K$14))*(1-Parameters!$L$14*$P150)*IF($D150="V1",Parameters!$M$14,IF($D150="V2",Parameters!$N$14,Parameters!$O$14))*INDEX(Context!$AC$4:$AC$51,$K150)</f>
        <v>19.8</v>
      </c>
      <c r="BS150" s="44" t="n">
        <f aca="false">BR150*(1+INDEX(Response_Table!$N$4:$N$21,MATCH($F150&amp;"|mid",Response_Table!$A$4:$A$21,0))*$R150*INDEX(Parameters!$X$14:$AA$14,1,MATCH($E150,Parameters!$X$3:$AA$3,0)))</f>
        <v>22.2784753808985</v>
      </c>
      <c r="BT150" s="44" t="n">
        <f aca="false">MAX(0,MIN(BR150*(1+INDEX(Response_Table!$N$4:$N$21,MATCH($F150&amp;"|low",Response_Table!$A$4:$A$21,0))*$R150*INDEX(Parameters!$X$14:$AA$14,1,MATCH($E150,Parameters!$X$3:$AA$3,0))),BR150*(1+INDEX(Response_Table!$N$4:$N$21,MATCH($F150&amp;"|high",Response_Table!$A$4:$A$21,0))*$R150*INDEX(Parameters!$X$14:$AA$14,1,MATCH($E150,Parameters!$X$3:$AA$3,0))))*(1-Inputs_General!$C$22*Parameters!$F$14))</f>
        <v>10.8743488663594</v>
      </c>
      <c r="BU150" s="44" t="n">
        <f aca="false">MAX(BR150*(1+INDEX(Response_Table!$N$4:$N$21,MATCH($F150&amp;"|low",Response_Table!$A$4:$A$21,0))*$R150*INDEX(Parameters!$X$14:$AA$14,1,MATCH($E150,Parameters!$X$3:$AA$3,0))),BR150*(1+INDEX(Response_Table!$N$4:$N$21,MATCH($F150&amp;"|high",Response_Table!$A$4:$A$21,0))*$R150*INDEX(Parameters!$X$14:$AA$14,1,MATCH($E150,Parameters!$X$3:$AA$3,0))))*(1+Inputs_General!$C$22*Parameters!$F$14)</f>
        <v>34.2521420876789</v>
      </c>
      <c r="BV150" s="45" t="n">
        <f aca="false">IF(BR150=0,0,BS150/BR150-1)</f>
        <v>0.125175524287803</v>
      </c>
      <c r="BW150" s="43" t="n">
        <f aca="false">Parameters!$E$15*IF($N150="V",Parameters!$I$15,IF($N150="F",Parameters!$J$15,Parameters!$K$15))*(1-Parameters!$L$15*$P150)*IF($D150="V1",Parameters!$M$15,IF($D150="V2",Parameters!$N$15,Parameters!$O$15))</f>
        <v>11.232</v>
      </c>
      <c r="BX150" s="43" t="n">
        <f aca="false">BW150*(1+INDEX(Response_Table!$O$4:$O$21,MATCH($F150&amp;"|mid",Response_Table!$A$4:$A$21,0))*$R150*INDEX(Parameters!$X$15:$AA$15,1,MATCH($E150,Parameters!$X$3:$AA$3,0)))</f>
        <v>10.8805071277999</v>
      </c>
      <c r="BY150" s="43" t="n">
        <f aca="false">MAX(0,MIN(BW150*(1+INDEX(Response_Table!$O$4:$O$21,MATCH($F150&amp;"|low",Response_Table!$A$4:$A$21,0))*$R150*INDEX(Parameters!$X$15:$AA$15,1,MATCH($E150,Parameters!$X$3:$AA$3,0))),BW150*(1+INDEX(Response_Table!$O$4:$O$21,MATCH($F150&amp;"|high",Response_Table!$A$4:$A$21,0))*$R150*INDEX(Parameters!$X$15:$AA$15,1,MATCH($E150,Parameters!$X$3:$AA$3,0))))*(1-Inputs_General!$C$22*Parameters!$F$15))</f>
        <v>8.6580648233417</v>
      </c>
      <c r="BZ150" s="43" t="n">
        <f aca="false">MAX(BW150*(1+INDEX(Response_Table!$O$4:$O$21,MATCH($F150&amp;"|low",Response_Table!$A$4:$A$21,0))*$R150*INDEX(Parameters!$X$15:$AA$15,1,MATCH($E150,Parameters!$X$3:$AA$3,0))),BW150*(1+INDEX(Response_Table!$O$4:$O$21,MATCH($F150&amp;"|high",Response_Table!$A$4:$A$21,0))*$R150*INDEX(Parameters!$X$15:$AA$15,1,MATCH($E150,Parameters!$X$3:$AA$3,0))))*(1+Inputs_General!$C$22*Parameters!$F$15)</f>
        <v>13.1656780481338</v>
      </c>
      <c r="CA150" s="45" t="n">
        <f aca="false">IF(BW150=0,0,BX150/BW150-1)</f>
        <v>-0.0312938810719508</v>
      </c>
      <c r="CB150" s="46" t="n">
        <f aca="false">BD150+BI150</f>
        <v>1.39696119136287</v>
      </c>
      <c r="CC150" s="43" t="n">
        <f aca="false">BD150/BI150</f>
        <v>2.69130096613374</v>
      </c>
      <c r="CD150" s="46" t="n">
        <f aca="false">BN150/CB150</f>
        <v>0.195239452607011</v>
      </c>
      <c r="CE150" s="43" t="n">
        <f aca="false">AE150/AO150</f>
        <v>3.55433928878124</v>
      </c>
      <c r="CF150" s="44" t="n">
        <f aca="false">AE150/AJ150</f>
        <v>35.0778015055972</v>
      </c>
      <c r="CG150" s="44" t="n">
        <f aca="false">INDEX(Context!$V$4:$V$51,$K150)</f>
        <v>22.6257142857143</v>
      </c>
      <c r="CH150" s="44" t="n">
        <f aca="false">INDEX(Context!$Y$4:$Y$51,$K150)</f>
        <v>21.3177449518561</v>
      </c>
      <c r="CI150" s="44" t="n">
        <f aca="false">INDEX(Context!$Z$4:$Z$51,$K150)</f>
        <v>26.6257142857143</v>
      </c>
      <c r="CJ150" s="43" t="n">
        <f aca="false">INDEX(Context!$AA$4:$AA$51,$K150)</f>
        <v>0.12</v>
      </c>
      <c r="CK150" s="43" t="n">
        <f aca="false">MAX(0,MIN(1,1-(1-CJ150)*AO150/AN150))</f>
        <v>0.279926447700777</v>
      </c>
      <c r="CL150" s="44" t="n">
        <f aca="false">CH150+CK150*(CI150-CH150)</f>
        <v>22.8035859519876</v>
      </c>
      <c r="CM150" s="44" t="n">
        <f aca="false">CH150+MAX(0,MIN(1,1-(1-CJ150)*AQ150/AN150))*(CI150-CH150)</f>
        <v>21.3177449518561</v>
      </c>
      <c r="CN150" s="44" t="n">
        <f aca="false">CH150+MAX(0,MIN(1,1-(1-CJ150)*AP150/AN150))*(CI150-CH150)</f>
        <v>24.1742844572585</v>
      </c>
      <c r="CO150" s="44" t="n">
        <f aca="false">CL150-CG150</f>
        <v>0.177871666273358</v>
      </c>
      <c r="CP150" s="44" t="n">
        <f aca="false">CL150-(CH150+CJ150*(CI150-CH150))</f>
        <v>0.848884680068608</v>
      </c>
      <c r="CQ150" s="46" t="n">
        <f aca="false">CL150/CG150</f>
        <v>1.00786148291396</v>
      </c>
      <c r="CR150" s="43" t="n">
        <f aca="false">IF(CL150-CH150&lt;=0,"n/a",(CI150-CL150)/(CL150-CH150))</f>
        <v>2.57236698501934</v>
      </c>
      <c r="CS150" s="43" t="n">
        <f aca="false">IF(CI150-CL150&lt;=0,"n/a",(CL150-CH150)/(CI150-CL150))</f>
        <v>0.38874702008838</v>
      </c>
      <c r="CT150" s="43" t="n">
        <f aca="false">Inputs_General!$C$23+Inputs_General!$C$24*$I150</f>
        <v>0.96</v>
      </c>
      <c r="CU150" s="44" t="n">
        <f aca="false">3.29*CT150</f>
        <v>3.1584</v>
      </c>
    </row>
    <row r="151" customFormat="false" ht="15" hidden="false" customHeight="false" outlineLevel="0" collapsed="false">
      <c r="A151" s="9" t="str">
        <f aca="false">B151&amp;"|"&amp;E151&amp;"|"&amp;F151</f>
        <v>D3V1|11/02/2026|High</v>
      </c>
      <c r="B151" s="7" t="s">
        <v>349</v>
      </c>
      <c r="C151" s="9" t="s">
        <v>131</v>
      </c>
      <c r="D151" s="9" t="s">
        <v>142</v>
      </c>
      <c r="E151" s="9" t="s">
        <v>158</v>
      </c>
      <c r="F151" s="7" t="s">
        <v>283</v>
      </c>
      <c r="G151" s="9" t="s">
        <v>284</v>
      </c>
      <c r="H151" s="41" t="n">
        <f aca="false">INDEX(Severity_Classes!$C$4:$C$9,MATCH(F151,Severity_Classes!$A$4:$A$9,0))</f>
        <v>0.26</v>
      </c>
      <c r="I151" s="41" t="n">
        <f aca="false">INDEX(Severity_Classes!$D$4:$D$9,MATCH(F151,Severity_Classes!$A$4:$A$9,0))</f>
        <v>0.38</v>
      </c>
      <c r="J151" s="41" t="n">
        <f aca="false">INDEX(Severity_Classes!$E$4:$E$9,MATCH(F151,Severity_Classes!$A$4:$A$9,0))</f>
        <v>0.5</v>
      </c>
      <c r="K151" s="42" t="n">
        <f aca="false">MATCH(B151&amp;"|"&amp;E151,Context!$A$4:$A$51,0)</f>
        <v>25</v>
      </c>
      <c r="L151" s="42" t="n">
        <f aca="false">INDEX(Context!$H$4:$H$51,K151)</f>
        <v>46</v>
      </c>
      <c r="M151" s="42" t="n">
        <f aca="false">INDEX(Context!$I$4:$I$51,K151)</f>
        <v>6</v>
      </c>
      <c r="N151" s="9" t="str">
        <f aca="false">INDEX(Context!$L$4:$L$51,K151)</f>
        <v>V</v>
      </c>
      <c r="O151" s="9" t="str">
        <f aca="false">INDEX(Context!$M$4:$M$51,K151)</f>
        <v>3rd fully expanded leaf from top</v>
      </c>
      <c r="P151" s="43" t="n">
        <f aca="false">INDEX(Context!$R$4:$R$51,K151)</f>
        <v>0</v>
      </c>
      <c r="Q151" s="43" t="n">
        <f aca="false">INDEX(Context!$U$4:$U$51,K151)</f>
        <v>0.937791824040773</v>
      </c>
      <c r="R151" s="43" t="n">
        <f aca="false">INDEX(Context!$AD$4:$AD$51,K151)</f>
        <v>1</v>
      </c>
      <c r="S151" s="9" t="str">
        <f aca="false">INDEX(Context!$AI$4:$AN$51,K151,MATCH(F151,Severity_Classes!$A$4:$A$9,0))</f>
        <v>Unlikely (only via pre-inoculation natural infection)</v>
      </c>
      <c r="T151" s="44" t="n">
        <f aca="false">Parameters!$E$4*IF($N151="V",Parameters!$I$4,IF($N151="F",Parameters!$J$4,Parameters!$K$4))*(1-Parameters!$L$4*$P151)*IF($D151="V1",Parameters!$M$4,IF($D151="V2",Parameters!$N$4,Parameters!$O$4))</f>
        <v>86</v>
      </c>
      <c r="U151" s="44" t="n">
        <f aca="false">MIN(100,T151*(1+INDEX(Response_Table!$E$4:$E$21,MATCH($F151&amp;"|mid",Response_Table!$A$4:$A$21,0))*$R151*INDEX(Parameters!$X$4:$AA$4,1,MATCH($E151,Parameters!$X$3:$AA$3,0))))</f>
        <v>79.0535535309384</v>
      </c>
      <c r="V151" s="44" t="n">
        <f aca="false">MAX(0,MIN(T151*(1+INDEX(Response_Table!$E$4:$E$21,MATCH($F151&amp;"|low",Response_Table!$A$4:$A$21,0))*$R151*INDEX(Parameters!$X$4:$AA$4,1,MATCH($E151,Parameters!$X$3:$AA$3,0))),T151*(1+INDEX(Response_Table!$E$4:$E$21,MATCH($F151&amp;"|high",Response_Table!$A$4:$A$21,0))*$R151*INDEX(Parameters!$X$4:$AA$4,1,MATCH($E151,Parameters!$X$3:$AA$3,0))))*(1-Inputs_General!$C$22*Parameters!$F$4))</f>
        <v>71.1190499555225</v>
      </c>
      <c r="W151" s="44" t="n">
        <f aca="false">MIN(100,MAX(T151*(1+INDEX(Response_Table!$E$4:$E$21,MATCH($F151&amp;"|low",Response_Table!$A$4:$A$21,0))*$R151*INDEX(Parameters!$X$4:$AA$4,1,MATCH($E151,Parameters!$X$3:$AA$3,0))),T151*(1+INDEX(Response_Table!$E$4:$E$21,MATCH($F151&amp;"|high",Response_Table!$A$4:$A$21,0))*$R151*INDEX(Parameters!$X$4:$AA$4,1,MATCH($E151,Parameters!$X$3:$AA$3,0))))*(1+Inputs_General!$C$22*Parameters!$F$4))</f>
        <v>87.7531949279262</v>
      </c>
      <c r="X151" s="45" t="n">
        <f aca="false">IF(T151=0,0,U151/T151-1)</f>
        <v>-0.080772633361181</v>
      </c>
      <c r="Y151" s="44" t="n">
        <f aca="false">Parameters!$E$5*IF($N151="V",Parameters!$I$5,IF($N151="F",Parameters!$J$5,Parameters!$K$5))*(1-Parameters!$L$5*$P151)*IF($D151="V1",Parameters!$M$5,IF($D151="V2",Parameters!$N$5,Parameters!$O$5))</f>
        <v>72</v>
      </c>
      <c r="Z151" s="44" t="n">
        <f aca="false">MIN(100,Y151*(1+INDEX(Response_Table!$F$4:$F$21,MATCH($F151&amp;"|mid",Response_Table!$A$4:$A$21,0))*$R151*INDEX(Parameters!$X$5:$AA$5,1,MATCH($E151,Parameters!$X$3:$AA$3,0))))</f>
        <v>53.9894533043597</v>
      </c>
      <c r="AA151" s="44" t="n">
        <f aca="false">MAX(0,MIN(Y151*(1+INDEX(Response_Table!$F$4:$F$21,MATCH($F151&amp;"|low",Response_Table!$A$4:$A$21,0))*$R151*INDEX(Parameters!$X$5:$AA$5,1,MATCH($E151,Parameters!$X$3:$AA$3,0))),Y151*(1+INDEX(Response_Table!$F$4:$F$21,MATCH($F151&amp;"|high",Response_Table!$A$4:$A$21,0))*$R151*INDEX(Parameters!$X$5:$AA$5,1,MATCH($E151,Parameters!$X$3:$AA$3,0))))*(1-Inputs_General!$C$22*Parameters!$F$5))</f>
        <v>43.7704956411476</v>
      </c>
      <c r="AB151" s="44" t="n">
        <f aca="false">MIN(100,MAX(Y151*(1+INDEX(Response_Table!$F$4:$F$21,MATCH($F151&amp;"|low",Response_Table!$A$4:$A$21,0))*$R151*INDEX(Parameters!$X$5:$AA$5,1,MATCH($E151,Parameters!$X$3:$AA$3,0))),Y151*(1+INDEX(Response_Table!$F$4:$F$21,MATCH($F151&amp;"|high",Response_Table!$A$4:$A$21,0))*$R151*INDEX(Parameters!$X$5:$AA$5,1,MATCH($E151,Parameters!$X$3:$AA$3,0))))*(1+Inputs_General!$C$22*Parameters!$F$5))</f>
        <v>68.579929402741</v>
      </c>
      <c r="AC151" s="45" t="n">
        <f aca="false">IF(Y151=0,0,Z151/Y151-1)</f>
        <v>-0.250146481883893</v>
      </c>
      <c r="AD151" s="44" t="n">
        <f aca="false">Parameters!$E$6*IF($N151="V",Parameters!$I$6,IF($N151="F",Parameters!$J$6,Parameters!$K$6))*(1-Parameters!$L$6*$P151)*IF($D151="V1",Parameters!$M$6,IF($D151="V2",Parameters!$N$6,Parameters!$O$6))</f>
        <v>19</v>
      </c>
      <c r="AE151" s="44" t="n">
        <f aca="false">AD151*(1+INDEX(Response_Table!$G$4:$G$21,MATCH($F151&amp;"|mid",Response_Table!$A$4:$A$21,0))*$R151*INDEX(Parameters!$X$6:$AA$6,1,MATCH($E151,Parameters!$X$3:$AA$3,0)))</f>
        <v>9.74172880435832</v>
      </c>
      <c r="AF151" s="44" t="n">
        <f aca="false">MAX(0,MIN(AD151*(1+INDEX(Response_Table!$G$4:$G$21,MATCH($F151&amp;"|low",Response_Table!$A$4:$A$21,0))*$R151*INDEX(Parameters!$X$6:$AA$6,1,MATCH($E151,Parameters!$X$3:$AA$3,0))),AD151*(1+INDEX(Response_Table!$G$4:$G$21,MATCH($F151&amp;"|high",Response_Table!$A$4:$A$21,0))*$R151*INDEX(Parameters!$X$6:$AA$6,1,MATCH($E151,Parameters!$X$3:$AA$3,0))))*(1-Inputs_General!$C$22*Parameters!$F$6))</f>
        <v>7.11356900987835</v>
      </c>
      <c r="AG151" s="44" t="n">
        <f aca="false">MAX(AD151*(1+INDEX(Response_Table!$G$4:$G$21,MATCH($F151&amp;"|low",Response_Table!$A$4:$A$21,0))*$R151*INDEX(Parameters!$X$6:$AA$6,1,MATCH($E151,Parameters!$X$3:$AA$3,0))),AD151*(1+INDEX(Response_Table!$G$4:$G$21,MATCH($F151&amp;"|high",Response_Table!$A$4:$A$21,0))*$R151*INDEX(Parameters!$X$6:$AA$6,1,MATCH($E151,Parameters!$X$3:$AA$3,0))))*(1+Inputs_General!$C$22*Parameters!$F$6)</f>
        <v>13.4484570821478</v>
      </c>
      <c r="AH151" s="45" t="n">
        <f aca="false">IF(AD151=0,0,AE151/AD151-1)</f>
        <v>-0.487277431349562</v>
      </c>
      <c r="AI151" s="46" t="n">
        <f aca="false">Parameters!$E$7*IF($N151="V",Parameters!$I$7,IF($N151="F",Parameters!$J$7,Parameters!$K$7))*(1-Parameters!$L$7*$P151)*IF($D151="V1",Parameters!$M$7,IF($D151="V2",Parameters!$N$7,Parameters!$O$7))*POWER($Q151/Inputs_General!$C$26,-Inputs_General!$C$25)</f>
        <v>0.464685683730118</v>
      </c>
      <c r="AJ151" s="46" t="n">
        <f aca="false">AI151*(1+INDEX(Response_Table!$H$4:$H$21,MATCH($F151&amp;"|mid",Response_Table!$A$4:$A$21,0))*$R151*INDEX(Parameters!$X$7:$AA$7,1,MATCH($E151,Parameters!$X$3:$AA$3,0)))</f>
        <v>0.300329095018212</v>
      </c>
      <c r="AK151" s="46" t="n">
        <f aca="false">MAX(0,MIN(AI151*(1+INDEX(Response_Table!$H$4:$H$21,MATCH($F151&amp;"|low",Response_Table!$A$4:$A$21,0))*$R151*INDEX(Parameters!$X$7:$AA$7,1,MATCH($E151,Parameters!$X$3:$AA$3,0))),AI151*(1+INDEX(Response_Table!$H$4:$H$21,MATCH($F151&amp;"|high",Response_Table!$A$4:$A$21,0))*$R151*INDEX(Parameters!$X$7:$AA$7,1,MATCH($E151,Parameters!$X$3:$AA$3,0))))*(1-Inputs_General!$C$22*Parameters!$F$7))</f>
        <v>0.194956037640966</v>
      </c>
      <c r="AL151" s="46" t="n">
        <f aca="false">MAX(AI151*(1+INDEX(Response_Table!$H$4:$H$21,MATCH($F151&amp;"|low",Response_Table!$A$4:$A$21,0))*$R151*INDEX(Parameters!$X$7:$AA$7,1,MATCH($E151,Parameters!$X$3:$AA$3,0))),AI151*(1+INDEX(Response_Table!$H$4:$H$21,MATCH($F151&amp;"|high",Response_Table!$A$4:$A$21,0))*$R151*INDEX(Parameters!$X$7:$AA$7,1,MATCH($E151,Parameters!$X$3:$AA$3,0))))*(1+Inputs_General!$C$22*Parameters!$F$7)</f>
        <v>0.43265992570778</v>
      </c>
      <c r="AM151" s="45" t="n">
        <f aca="false">IF(AI151=0,0,AJ151/AI151-1)</f>
        <v>-0.353694108655522</v>
      </c>
      <c r="AN151" s="43" t="n">
        <f aca="false">AI151*$Q151/Inputs_General!$C$13*1000</f>
        <v>4.38850387664553</v>
      </c>
      <c r="AO151" s="43" t="n">
        <f aca="false">AJ151*$Q151/Inputs_General!$C$13*1000*(1+Inputs_General!$C$21*$I151)</f>
        <v>3.10576592108217</v>
      </c>
      <c r="AP151" s="43" t="n">
        <f aca="false">AK151*$Q151/Inputs_General!$C$13*1000*(1+Inputs_General!$C$21*$H151)</f>
        <v>1.96084601940225</v>
      </c>
      <c r="AQ151" s="43" t="n">
        <f aca="false">AL151*$Q151/Inputs_General!$C$13*1000*(1+Inputs_General!$C$21*$J151)</f>
        <v>4.59680824303826</v>
      </c>
      <c r="AR151" s="45" t="n">
        <f aca="false">IF(AN151=0,0,AO151/AN151-1)</f>
        <v>-0.292295048977797</v>
      </c>
      <c r="AS151" s="42" t="n">
        <f aca="false">Parameters!$E$9*IF($N151="V",Parameters!$I$9,IF($N151="F",Parameters!$J$9,Parameters!$K$9))*(1-Parameters!$L$9*$P151)*IF($D151="V1",Parameters!$M$9,IF($D151="V2",Parameters!$N$9,Parameters!$O$9))</f>
        <v>285</v>
      </c>
      <c r="AT151" s="42" t="n">
        <f aca="false">AS151*(1+INDEX(Response_Table!$I$4:$I$21,MATCH($F151&amp;"|mid",Response_Table!$A$4:$A$21,0))*$R151*INDEX(Parameters!$X$9:$AA$9,1,MATCH($E151,Parameters!$X$3:$AA$3,0)))</f>
        <v>338.440106932469</v>
      </c>
      <c r="AU151" s="42" t="n">
        <f aca="false">MAX(0,MIN(AS151*(1+INDEX(Response_Table!$I$4:$I$21,MATCH($F151&amp;"|low",Response_Table!$A$4:$A$21,0))*$R151*INDEX(Parameters!$X$9:$AA$9,1,MATCH($E151,Parameters!$X$3:$AA$3,0))),AS151*(1+INDEX(Response_Table!$I$4:$I$21,MATCH($F151&amp;"|high",Response_Table!$A$4:$A$21,0))*$R151*INDEX(Parameters!$X$9:$AA$9,1,MATCH($E151,Parameters!$X$3:$AA$3,0))))*(1-Inputs_General!$C$22*Parameters!$F$9))</f>
        <v>296.729320588298</v>
      </c>
      <c r="AV151" s="42" t="n">
        <f aca="false">MAX(AS151*(1+INDEX(Response_Table!$I$4:$I$21,MATCH($F151&amp;"|low",Response_Table!$A$4:$A$21,0))*$R151*INDEX(Parameters!$X$9:$AA$9,1,MATCH($E151,Parameters!$X$3:$AA$3,0))),AS151*(1+INDEX(Response_Table!$I$4:$I$21,MATCH($F151&amp;"|high",Response_Table!$A$4:$A$21,0))*$R151*INDEX(Parameters!$X$9:$AA$9,1,MATCH($E151,Parameters!$X$3:$AA$3,0))))*(1+Inputs_General!$C$22*Parameters!$F$9)</f>
        <v>378.109987302663</v>
      </c>
      <c r="AW151" s="45" t="n">
        <f aca="false">IF(AS151=0,0,AT151/AS151-1)</f>
        <v>0.187509147131469</v>
      </c>
      <c r="AX151" s="43" t="n">
        <f aca="false">INDEX(Context!$AB$4:$AB$51,$K151)</f>
        <v>1.03915356823757</v>
      </c>
      <c r="AY151" s="43" t="n">
        <f aca="false">AX151*(1+INDEX(Response_Table!$J$4:$J$21,MATCH($F151&amp;"|mid",Response_Table!$A$4:$A$21,0))*$R151*INDEX(Parameters!$X$10:$AA$10,1,MATCH($E151,Parameters!$X$3:$AA$3,0)))</f>
        <v>0.895767761148101</v>
      </c>
      <c r="AZ151" s="43" t="n">
        <f aca="false">MAX(0,MIN(AX151*(1+INDEX(Response_Table!$J$4:$J$21,MATCH($F151&amp;"|low",Response_Table!$A$4:$A$21,0))*$R151*INDEX(Parameters!$X$10:$AA$10,1,MATCH($E151,Parameters!$X$3:$AA$3,0))),AX151*(1+INDEX(Response_Table!$J$4:$J$21,MATCH($F151&amp;"|high",Response_Table!$A$4:$A$21,0))*$R151*INDEX(Parameters!$X$10:$AA$10,1,MATCH($E151,Parameters!$X$3:$AA$3,0))))*(1-Inputs_General!$C$22*Parameters!$F$10))</f>
        <v>0.700133321154648</v>
      </c>
      <c r="BA151" s="43" t="n">
        <f aca="false">MAX(AX151*(1+INDEX(Response_Table!$J$4:$J$21,MATCH($F151&amp;"|low",Response_Table!$A$4:$A$21,0))*$R151*INDEX(Parameters!$X$10:$AA$10,1,MATCH($E151,Parameters!$X$3:$AA$3,0))),AX151*(1+INDEX(Response_Table!$J$4:$J$21,MATCH($F151&amp;"|high",Response_Table!$A$4:$A$21,0))*$R151*INDEX(Parameters!$X$10:$AA$10,1,MATCH($E151,Parameters!$X$3:$AA$3,0))))*(1+Inputs_General!$C$22*Parameters!$F$10)</f>
        <v>1.11047271742813</v>
      </c>
      <c r="BB151" s="45" t="n">
        <f aca="false">IF(AX151=0,0,AY151/AX151-1)</f>
        <v>-0.137983269722737</v>
      </c>
      <c r="BC151" s="46" t="n">
        <f aca="false">Parameters!$E$11*IF($N151="V",Parameters!$I$11,IF($N151="F",Parameters!$J$11,Parameters!$K$11))*(1-Parameters!$L$11*$P151)*IF($D151="V1",Parameters!$M$11,IF($D151="V2",Parameters!$N$11,Parameters!$O$11))</f>
        <v>1.1875</v>
      </c>
      <c r="BD151" s="46" t="n">
        <f aca="false">BC151*(1+INDEX(Response_Table!$K$4:$K$21,MATCH($F151&amp;"|mid",Response_Table!$A$4:$A$21,0))*$R151*INDEX(Parameters!$X$11:$AA$11,1,MATCH($E151,Parameters!$X$3:$AA$3,0)))</f>
        <v>0.915959566857147</v>
      </c>
      <c r="BE151" s="46" t="n">
        <f aca="false">MAX(0,MIN(BC151*(1+INDEX(Response_Table!$K$4:$K$21,MATCH($F151&amp;"|low",Response_Table!$A$4:$A$21,0))*$R151*INDEX(Parameters!$X$11:$AA$11,1,MATCH($E151,Parameters!$X$3:$AA$3,0))),BC151*(1+INDEX(Response_Table!$K$4:$K$21,MATCH($F151&amp;"|high",Response_Table!$A$4:$A$21,0))*$R151*INDEX(Parameters!$X$11:$AA$11,1,MATCH($E151,Parameters!$X$3:$AA$3,0))))*(1-Inputs_General!$C$22*Parameters!$F$11))</f>
        <v>0.734807158709031</v>
      </c>
      <c r="BF151" s="46" t="n">
        <f aca="false">MAX(BC151*(1+INDEX(Response_Table!$K$4:$K$21,MATCH($F151&amp;"|low",Response_Table!$A$4:$A$21,0))*$R151*INDEX(Parameters!$X$11:$AA$11,1,MATCH($E151,Parameters!$X$3:$AA$3,0))),BC151*(1+INDEX(Response_Table!$K$4:$K$21,MATCH($F151&amp;"|high",Response_Table!$A$4:$A$21,0))*$R151*INDEX(Parameters!$X$11:$AA$11,1,MATCH($E151,Parameters!$X$3:$AA$3,0))))*(1+Inputs_General!$C$22*Parameters!$F$11)</f>
        <v>1.12899909055292</v>
      </c>
      <c r="BG151" s="45" t="n">
        <f aca="false">IF(BC151=0,0,BD151/BC151-1)</f>
        <v>-0.228665627909771</v>
      </c>
      <c r="BH151" s="46" t="n">
        <f aca="false">Parameters!$E$12*IF($N151="V",Parameters!$I$12,IF($N151="F",Parameters!$J$12,Parameters!$K$12))*(1-Parameters!$L$12*$P151)*IF($D151="V1",Parameters!$M$12,IF($D151="V2",Parameters!$N$12,Parameters!$O$12))</f>
        <v>0.4275</v>
      </c>
      <c r="BI151" s="46" t="n">
        <f aca="false">BH151*(1+INDEX(Response_Table!$L$4:$L$21,MATCH($F151&amp;"|mid",Response_Table!$A$4:$A$21,0))*$R151*INDEX(Parameters!$X$12:$AA$12,1,MATCH($E151,Parameters!$X$3:$AA$3,0)))</f>
        <v>0.347536223752279</v>
      </c>
      <c r="BJ151" s="46" t="n">
        <f aca="false">MAX(0,MIN(BH151*(1+INDEX(Response_Table!$L$4:$L$21,MATCH($F151&amp;"|low",Response_Table!$A$4:$A$21,0))*$R151*INDEX(Parameters!$X$12:$AA$12,1,MATCH($E151,Parameters!$X$3:$AA$3,0))),BH151*(1+INDEX(Response_Table!$L$4:$L$21,MATCH($F151&amp;"|high",Response_Table!$A$4:$A$21,0))*$R151*INDEX(Parameters!$X$12:$AA$12,1,MATCH($E151,Parameters!$X$3:$AA$3,0))))*(1-Inputs_General!$C$22*Parameters!$F$12))</f>
        <v>0.269809431584536</v>
      </c>
      <c r="BK151" s="46" t="n">
        <f aca="false">MAX(BH151*(1+INDEX(Response_Table!$L$4:$L$21,MATCH($F151&amp;"|low",Response_Table!$A$4:$A$21,0))*$R151*INDEX(Parameters!$X$12:$AA$12,1,MATCH($E151,Parameters!$X$3:$AA$3,0))),BH151*(1+INDEX(Response_Table!$L$4:$L$21,MATCH($F151&amp;"|high",Response_Table!$A$4:$A$21,0))*$R151*INDEX(Parameters!$X$12:$AA$12,1,MATCH($E151,Parameters!$X$3:$AA$3,0))))*(1+Inputs_General!$C$22*Parameters!$F$12)</f>
        <v>0.435648673017454</v>
      </c>
      <c r="BL151" s="45" t="n">
        <f aca="false">IF(BH151=0,0,BI151/BH151-1)</f>
        <v>-0.187049769000516</v>
      </c>
      <c r="BM151" s="46" t="n">
        <f aca="false">Parameters!$E$13*IF($N151="V",Parameters!$I$13,IF($N151="F",Parameters!$J$13,Parameters!$K$13))*(1-Parameters!$L$13*$P151)*IF($D151="V1",Parameters!$M$13,IF($D151="V2",Parameters!$N$13,Parameters!$O$13))</f>
        <v>0.285</v>
      </c>
      <c r="BN151" s="46" t="n">
        <f aca="false">BM151*(1+INDEX(Response_Table!$M$4:$M$21,MATCH($F151&amp;"|mid",Response_Table!$A$4:$A$21,0))*$R151*INDEX(Parameters!$X$13:$AA$13,1,MATCH($E151,Parameters!$X$3:$AA$3,0)))</f>
        <v>0.249522549134685</v>
      </c>
      <c r="BO151" s="46" t="n">
        <f aca="false">MAX(0,MIN(BM151*(1+INDEX(Response_Table!$M$4:$M$21,MATCH($F151&amp;"|low",Response_Table!$A$4:$A$21,0))*$R151*INDEX(Parameters!$X$13:$AA$13,1,MATCH($E151,Parameters!$X$3:$AA$3,0))),BM151*(1+INDEX(Response_Table!$M$4:$M$21,MATCH($F151&amp;"|high",Response_Table!$A$4:$A$21,0))*$R151*INDEX(Parameters!$X$13:$AA$13,1,MATCH($E151,Parameters!$X$3:$AA$3,0))))*(1-Inputs_General!$C$22*Parameters!$F$13))</f>
        <v>0.194247987581264</v>
      </c>
      <c r="BP151" s="46" t="n">
        <f aca="false">MAX(BM151*(1+INDEX(Response_Table!$M$4:$M$21,MATCH($F151&amp;"|low",Response_Table!$A$4:$A$21,0))*$R151*INDEX(Parameters!$X$13:$AA$13,1,MATCH($E151,Parameters!$X$3:$AA$3,0))),BM151*(1+INDEX(Response_Table!$M$4:$M$21,MATCH($F151&amp;"|high",Response_Table!$A$4:$A$21,0))*$R151*INDEX(Parameters!$X$13:$AA$13,1,MATCH($E151,Parameters!$X$3:$AA$3,0))))*(1+Inputs_General!$C$22*Parameters!$F$13)</f>
        <v>0.313251105900866</v>
      </c>
      <c r="BQ151" s="45" t="n">
        <f aca="false">IF(BM151=0,0,BN151/BM151-1)</f>
        <v>-0.124482283737948</v>
      </c>
      <c r="BR151" s="44" t="n">
        <f aca="false">Parameters!$E$14*IF($N151="V",Parameters!$I$14,IF($N151="F",Parameters!$J$14,Parameters!$K$14))*(1-Parameters!$L$14*$P151)*IF($D151="V1",Parameters!$M$14,IF($D151="V2",Parameters!$N$14,Parameters!$O$14))*INDEX(Context!$AC$4:$AC$51,$K151)</f>
        <v>19.8</v>
      </c>
      <c r="BS151" s="44" t="n">
        <f aca="false">BR151*(1+INDEX(Response_Table!$N$4:$N$21,MATCH($F151&amp;"|mid",Response_Table!$A$4:$A$21,0))*$R151*INDEX(Parameters!$X$14:$AA$14,1,MATCH($E151,Parameters!$X$3:$AA$3,0)))</f>
        <v>23.8402750104112</v>
      </c>
      <c r="BT151" s="44" t="n">
        <f aca="false">MAX(0,MIN(BR151*(1+INDEX(Response_Table!$N$4:$N$21,MATCH($F151&amp;"|low",Response_Table!$A$4:$A$21,0))*$R151*INDEX(Parameters!$X$14:$AA$14,1,MATCH($E151,Parameters!$X$3:$AA$3,0))),BR151*(1+INDEX(Response_Table!$N$4:$N$21,MATCH($F151&amp;"|high",Response_Table!$A$4:$A$21,0))*$R151*INDEX(Parameters!$X$14:$AA$14,1,MATCH($E151,Parameters!$X$3:$AA$3,0))))*(1-Inputs_General!$C$22*Parameters!$F$14))</f>
        <v>11.658145090327</v>
      </c>
      <c r="BU151" s="44" t="n">
        <f aca="false">MAX(BR151*(1+INDEX(Response_Table!$N$4:$N$21,MATCH($F151&amp;"|low",Response_Table!$A$4:$A$21,0))*$R151*INDEX(Parameters!$X$14:$AA$14,1,MATCH($E151,Parameters!$X$3:$AA$3,0))),BR151*(1+INDEX(Response_Table!$N$4:$N$21,MATCH($F151&amp;"|high",Response_Table!$A$4:$A$21,0))*$R151*INDEX(Parameters!$X$14:$AA$14,1,MATCH($E151,Parameters!$X$3:$AA$3,0))))*(1+Inputs_General!$C$22*Parameters!$F$14)</f>
        <v>36.4632153285608</v>
      </c>
      <c r="BV151" s="45" t="n">
        <f aca="false">IF(BR151=0,0,BS151/BR151-1)</f>
        <v>0.204054293455109</v>
      </c>
      <c r="BW151" s="43" t="n">
        <f aca="false">Parameters!$E$15*IF($N151="V",Parameters!$I$15,IF($N151="F",Parameters!$J$15,Parameters!$K$15))*(1-Parameters!$L$15*$P151)*IF($D151="V1",Parameters!$M$15,IF($D151="V2",Parameters!$N$15,Parameters!$O$15))</f>
        <v>11.232</v>
      </c>
      <c r="BX151" s="43" t="n">
        <f aca="false">BW151*(1+INDEX(Response_Table!$O$4:$O$21,MATCH($F151&amp;"|mid",Response_Table!$A$4:$A$21,0))*$R151*INDEX(Parameters!$X$15:$AA$15,1,MATCH($E151,Parameters!$X$3:$AA$3,0)))</f>
        <v>10.6590155439781</v>
      </c>
      <c r="BY151" s="43" t="n">
        <f aca="false">MAX(0,MIN(BW151*(1+INDEX(Response_Table!$O$4:$O$21,MATCH($F151&amp;"|low",Response_Table!$A$4:$A$21,0))*$R151*INDEX(Parameters!$X$15:$AA$15,1,MATCH($E151,Parameters!$X$3:$AA$3,0))),BW151*(1+INDEX(Response_Table!$O$4:$O$21,MATCH($F151&amp;"|high",Response_Table!$A$4:$A$21,0))*$R151*INDEX(Parameters!$X$15:$AA$15,1,MATCH($E151,Parameters!$X$3:$AA$3,0))))*(1-Inputs_General!$C$22*Parameters!$F$15))</f>
        <v>8.48955354612919</v>
      </c>
      <c r="BZ151" s="43" t="n">
        <f aca="false">MAX(BW151*(1+INDEX(Response_Table!$O$4:$O$21,MATCH($F151&amp;"|low",Response_Table!$A$4:$A$21,0))*$R151*INDEX(Parameters!$X$15:$AA$15,1,MATCH($E151,Parameters!$X$3:$AA$3,0))),BW151*(1+INDEX(Response_Table!$O$4:$O$21,MATCH($F151&amp;"|high",Response_Table!$A$4:$A$21,0))*$R151*INDEX(Parameters!$X$15:$AA$15,1,MATCH($E151,Parameters!$X$3:$AA$3,0))))*(1+Inputs_General!$C$22*Parameters!$F$15)</f>
        <v>12.902896489526</v>
      </c>
      <c r="CA151" s="45" t="n">
        <f aca="false">IF(BW151=0,0,BX151/BW151-1)</f>
        <v>-0.0510135733637772</v>
      </c>
      <c r="CB151" s="46" t="n">
        <f aca="false">BD151+BI151</f>
        <v>1.26349579060943</v>
      </c>
      <c r="CC151" s="43" t="n">
        <f aca="false">BD151/BI151</f>
        <v>2.63558013310876</v>
      </c>
      <c r="CD151" s="46" t="n">
        <f aca="false">BN151/CB151</f>
        <v>0.197485857087289</v>
      </c>
      <c r="CE151" s="43" t="n">
        <f aca="false">AE151/AO151</f>
        <v>3.13665905670184</v>
      </c>
      <c r="CF151" s="44" t="n">
        <f aca="false">AE151/AJ151</f>
        <v>32.4368466657138</v>
      </c>
      <c r="CG151" s="44" t="n">
        <f aca="false">INDEX(Context!$V$4:$V$51,$K151)</f>
        <v>22.6257142857143</v>
      </c>
      <c r="CH151" s="44" t="n">
        <f aca="false">INDEX(Context!$Y$4:$Y$51,$K151)</f>
        <v>21.3177449518561</v>
      </c>
      <c r="CI151" s="44" t="n">
        <f aca="false">INDEX(Context!$Z$4:$Z$51,$K151)</f>
        <v>26.6257142857143</v>
      </c>
      <c r="CJ151" s="43" t="n">
        <f aca="false">INDEX(Context!$AA$4:$AA$51,$K151)</f>
        <v>0.12</v>
      </c>
      <c r="CK151" s="43" t="n">
        <f aca="false">MAX(0,MIN(1,1-(1-CJ151)*AO151/AN151))</f>
        <v>0.377219643100461</v>
      </c>
      <c r="CL151" s="44" t="n">
        <f aca="false">CH151+CK151*(CI151-CH151)</f>
        <v>23.3200152495622</v>
      </c>
      <c r="CM151" s="44" t="n">
        <f aca="false">CH151+MAX(0,MIN(1,1-(1-CJ151)*AQ151/AN151))*(CI151-CH151)</f>
        <v>21.7329873499082</v>
      </c>
      <c r="CN151" s="44" t="n">
        <f aca="false">CH151+MAX(0,MIN(1,1-(1-CJ151)*AP151/AN151))*(CI151-CH151)</f>
        <v>24.5386391612239</v>
      </c>
      <c r="CO151" s="44" t="n">
        <f aca="false">CL151-CG151</f>
        <v>0.694300963847958</v>
      </c>
      <c r="CP151" s="44" t="n">
        <f aca="false">CL151-(CH151+CJ151*(CI151-CH151))</f>
        <v>1.36531397764321</v>
      </c>
      <c r="CQ151" s="46" t="n">
        <f aca="false">CL151/CG151</f>
        <v>1.03068636663048</v>
      </c>
      <c r="CR151" s="43" t="n">
        <f aca="false">IF(CL151-CH151&lt;=0,"n/a",(CI151-CL151)/(CL151-CH151))</f>
        <v>1.65097541522693</v>
      </c>
      <c r="CS151" s="43" t="n">
        <f aca="false">IF(CI151-CL151&lt;=0,"n/a",(CL151-CH151)/(CI151-CL151))</f>
        <v>0.60570253849755</v>
      </c>
      <c r="CT151" s="43" t="n">
        <f aca="false">Inputs_General!$C$23+Inputs_General!$C$24*$I151</f>
        <v>1.36</v>
      </c>
      <c r="CU151" s="44" t="n">
        <f aca="false">3.29*CT151</f>
        <v>4.4744</v>
      </c>
    </row>
    <row r="152" customFormat="false" ht="15" hidden="false" customHeight="false" outlineLevel="0" collapsed="false">
      <c r="A152" s="9" t="str">
        <f aca="false">B152&amp;"|"&amp;E152&amp;"|"&amp;F152</f>
        <v>D3V1|11/02/2026|Very high</v>
      </c>
      <c r="B152" s="7" t="s">
        <v>349</v>
      </c>
      <c r="C152" s="9" t="s">
        <v>131</v>
      </c>
      <c r="D152" s="9" t="s">
        <v>142</v>
      </c>
      <c r="E152" s="9" t="s">
        <v>158</v>
      </c>
      <c r="F152" s="7" t="s">
        <v>285</v>
      </c>
      <c r="G152" s="9" t="s">
        <v>286</v>
      </c>
      <c r="H152" s="41" t="n">
        <f aca="false">INDEX(Severity_Classes!$C$4:$C$9,MATCH(F152,Severity_Classes!$A$4:$A$9,0))</f>
        <v>0.51</v>
      </c>
      <c r="I152" s="41" t="n">
        <f aca="false">INDEX(Severity_Classes!$D$4:$D$9,MATCH(F152,Severity_Classes!$A$4:$A$9,0))</f>
        <v>0.65</v>
      </c>
      <c r="J152" s="41" t="n">
        <f aca="false">INDEX(Severity_Classes!$E$4:$E$9,MATCH(F152,Severity_Classes!$A$4:$A$9,0))</f>
        <v>0.85</v>
      </c>
      <c r="K152" s="42" t="n">
        <f aca="false">MATCH(B152&amp;"|"&amp;E152,Context!$A$4:$A$51,0)</f>
        <v>25</v>
      </c>
      <c r="L152" s="42" t="n">
        <f aca="false">INDEX(Context!$H$4:$H$51,K152)</f>
        <v>46</v>
      </c>
      <c r="M152" s="42" t="n">
        <f aca="false">INDEX(Context!$I$4:$I$51,K152)</f>
        <v>6</v>
      </c>
      <c r="N152" s="9" t="str">
        <f aca="false">INDEX(Context!$L$4:$L$51,K152)</f>
        <v>V</v>
      </c>
      <c r="O152" s="9" t="str">
        <f aca="false">INDEX(Context!$M$4:$M$51,K152)</f>
        <v>3rd fully expanded leaf from top</v>
      </c>
      <c r="P152" s="43" t="n">
        <f aca="false">INDEX(Context!$R$4:$R$51,K152)</f>
        <v>0</v>
      </c>
      <c r="Q152" s="43" t="n">
        <f aca="false">INDEX(Context!$U$4:$U$51,K152)</f>
        <v>0.937791824040773</v>
      </c>
      <c r="R152" s="43" t="n">
        <f aca="false">INDEX(Context!$AD$4:$AD$51,K152)</f>
        <v>1</v>
      </c>
      <c r="S152" s="9" t="str">
        <f aca="false">INDEX(Context!$AI$4:$AN$51,K152,MATCH(F152,Severity_Classes!$A$4:$A$9,0))</f>
        <v>Unlikely (only via pre-inoculation natural infection)</v>
      </c>
      <c r="T152" s="44" t="n">
        <f aca="false">Parameters!$E$4*IF($N152="V",Parameters!$I$4,IF($N152="F",Parameters!$J$4,Parameters!$K$4))*(1-Parameters!$L$4*$P152)*IF($D152="V1",Parameters!$M$4,IF($D152="V2",Parameters!$N$4,Parameters!$O$4))</f>
        <v>86</v>
      </c>
      <c r="U152" s="44" t="n">
        <f aca="false">MIN(100,T152*(1+INDEX(Response_Table!$E$4:$E$21,MATCH($F152&amp;"|mid",Response_Table!$A$4:$A$21,0))*$R152*INDEX(Parameters!$X$4:$AA$4,1,MATCH($E152,Parameters!$X$3:$AA$3,0))))</f>
        <v>74.1315246587489</v>
      </c>
      <c r="V152" s="44" t="n">
        <f aca="false">MAX(0,MIN(T152*(1+INDEX(Response_Table!$E$4:$E$21,MATCH($F152&amp;"|low",Response_Table!$A$4:$A$21,0))*$R152*INDEX(Parameters!$X$4:$AA$4,1,MATCH($E152,Parameters!$X$3:$AA$3,0))),T152*(1+INDEX(Response_Table!$E$4:$E$21,MATCH($F152&amp;"|high",Response_Table!$A$4:$A$21,0))*$R152*INDEX(Parameters!$X$4:$AA$4,1,MATCH($E152,Parameters!$X$3:$AA$3,0))))*(1-Inputs_General!$C$22*Parameters!$F$4))</f>
        <v>68.4839634608841</v>
      </c>
      <c r="W152" s="44" t="n">
        <f aca="false">MIN(100,MAX(T152*(1+INDEX(Response_Table!$E$4:$E$21,MATCH($F152&amp;"|low",Response_Table!$A$4:$A$21,0))*$R152*INDEX(Parameters!$X$4:$AA$4,1,MATCH($E152,Parameters!$X$3:$AA$3,0))),T152*(1+INDEX(Response_Table!$E$4:$E$21,MATCH($F152&amp;"|high",Response_Table!$A$4:$A$21,0))*$R152*INDEX(Parameters!$X$4:$AA$4,1,MATCH($E152,Parameters!$X$3:$AA$3,0))))*(1+Inputs_General!$C$22*Parameters!$F$4))</f>
        <v>80.9333059269784</v>
      </c>
      <c r="X152" s="45" t="n">
        <f aca="false">IF(T152=0,0,U152/T152-1)</f>
        <v>-0.13800552722385</v>
      </c>
      <c r="Y152" s="44" t="n">
        <f aca="false">Parameters!$E$5*IF($N152="V",Parameters!$I$5,IF($N152="F",Parameters!$J$5,Parameters!$K$5))*(1-Parameters!$L$5*$P152)*IF($D152="V1",Parameters!$M$5,IF($D152="V2",Parameters!$N$5,Parameters!$O$5))</f>
        <v>72</v>
      </c>
      <c r="Z152" s="44" t="n">
        <f aca="false">MIN(100,Y152*(1+INDEX(Response_Table!$F$4:$F$21,MATCH($F152&amp;"|mid",Response_Table!$A$4:$A$21,0))*$R152*INDEX(Parameters!$X$5:$AA$5,1,MATCH($E152,Parameters!$X$3:$AA$3,0))))</f>
        <v>47.4449735149462</v>
      </c>
      <c r="AA152" s="44" t="n">
        <f aca="false">MAX(0,MIN(Y152*(1+INDEX(Response_Table!$F$4:$F$21,MATCH($F152&amp;"|low",Response_Table!$A$4:$A$21,0))*$R152*INDEX(Parameters!$X$5:$AA$5,1,MATCH($E152,Parameters!$X$3:$AA$3,0))),Y152*(1+INDEX(Response_Table!$F$4:$F$21,MATCH($F152&amp;"|high",Response_Table!$A$4:$A$21,0))*$R152*INDEX(Parameters!$X$5:$AA$5,1,MATCH($E152,Parameters!$X$3:$AA$3,0))))*(1-Inputs_General!$C$22*Parameters!$F$5))</f>
        <v>41.4898621194913</v>
      </c>
      <c r="AB152" s="44" t="n">
        <f aca="false">MIN(100,MAX(Y152*(1+INDEX(Response_Table!$F$4:$F$21,MATCH($F152&amp;"|low",Response_Table!$A$4:$A$21,0))*$R152*INDEX(Parameters!$X$5:$AA$5,1,MATCH($E152,Parameters!$X$3:$AA$3,0))),Y152*(1+INDEX(Response_Table!$F$4:$F$21,MATCH($F152&amp;"|high",Response_Table!$A$4:$A$21,0))*$R152*INDEX(Parameters!$X$5:$AA$5,1,MATCH($E152,Parameters!$X$3:$AA$3,0))))*(1+Inputs_General!$C$22*Parameters!$F$5))</f>
        <v>54.9054547890536</v>
      </c>
      <c r="AC152" s="45" t="n">
        <f aca="false">IF(Y152=0,0,Z152/Y152-1)</f>
        <v>-0.341042034514637</v>
      </c>
      <c r="AD152" s="44" t="n">
        <f aca="false">Parameters!$E$6*IF($N152="V",Parameters!$I$6,IF($N152="F",Parameters!$J$6,Parameters!$K$6))*(1-Parameters!$L$6*$P152)*IF($D152="V1",Parameters!$M$6,IF($D152="V2",Parameters!$N$6,Parameters!$O$6))</f>
        <v>19</v>
      </c>
      <c r="AE152" s="44" t="n">
        <f aca="false">AD152*(1+INDEX(Response_Table!$G$4:$G$21,MATCH($F152&amp;"|mid",Response_Table!$A$4:$A$21,0))*$R152*INDEX(Parameters!$X$6:$AA$6,1,MATCH($E152,Parameters!$X$3:$AA$3,0)))</f>
        <v>8.25286386702633</v>
      </c>
      <c r="AF152" s="44" t="n">
        <f aca="false">MAX(0,MIN(AD152*(1+INDEX(Response_Table!$G$4:$G$21,MATCH($F152&amp;"|low",Response_Table!$A$4:$A$21,0))*$R152*INDEX(Parameters!$X$6:$AA$6,1,MATCH($E152,Parameters!$X$3:$AA$3,0))),AD152*(1+INDEX(Response_Table!$G$4:$G$21,MATCH($F152&amp;"|high",Response_Table!$A$4:$A$21,0))*$R152*INDEX(Parameters!$X$6:$AA$6,1,MATCH($E152,Parameters!$X$3:$AA$3,0))))*(1-Inputs_General!$C$22*Parameters!$F$6))</f>
        <v>6.31710149217431</v>
      </c>
      <c r="AG152" s="44" t="n">
        <f aca="false">MAX(AD152*(1+INDEX(Response_Table!$G$4:$G$21,MATCH($F152&amp;"|low",Response_Table!$A$4:$A$21,0))*$R152*INDEX(Parameters!$X$6:$AA$6,1,MATCH($E152,Parameters!$X$3:$AA$3,0))),AD152*(1+INDEX(Response_Table!$G$4:$G$21,MATCH($F152&amp;"|high",Response_Table!$A$4:$A$21,0))*$R152*INDEX(Parameters!$X$6:$AA$6,1,MATCH($E152,Parameters!$X$3:$AA$3,0))))*(1+Inputs_General!$C$22*Parameters!$F$6)</f>
        <v>10.547635732289</v>
      </c>
      <c r="AH152" s="45" t="n">
        <f aca="false">IF(AD152=0,0,AE152/AD152-1)</f>
        <v>-0.56563874384072</v>
      </c>
      <c r="AI152" s="46" t="n">
        <f aca="false">Parameters!$E$7*IF($N152="V",Parameters!$I$7,IF($N152="F",Parameters!$J$7,Parameters!$K$7))*(1-Parameters!$L$7*$P152)*IF($D152="V1",Parameters!$M$7,IF($D152="V2",Parameters!$N$7,Parameters!$O$7))*POWER($Q152/Inputs_General!$C$26,-Inputs_General!$C$25)</f>
        <v>0.464685683730118</v>
      </c>
      <c r="AJ152" s="46" t="n">
        <f aca="false">AI152*(1+INDEX(Response_Table!$H$4:$H$21,MATCH($F152&amp;"|mid",Response_Table!$A$4:$A$21,0))*$R152*INDEX(Parameters!$X$7:$AA$7,1,MATCH($E152,Parameters!$X$3:$AA$3,0)))</f>
        <v>0.257427744791225</v>
      </c>
      <c r="AK152" s="46" t="n">
        <f aca="false">MAX(0,MIN(AI152*(1+INDEX(Response_Table!$H$4:$H$21,MATCH($F152&amp;"|low",Response_Table!$A$4:$A$21,0))*$R152*INDEX(Parameters!$X$7:$AA$7,1,MATCH($E152,Parameters!$X$3:$AA$3,0))),AI152*(1+INDEX(Response_Table!$H$4:$H$21,MATCH($F152&amp;"|high",Response_Table!$A$4:$A$21,0))*$R152*INDEX(Parameters!$X$7:$AA$7,1,MATCH($E152,Parameters!$X$3:$AA$3,0))))*(1-Inputs_General!$C$22*Parameters!$F$7))</f>
        <v>0.170285033510395</v>
      </c>
      <c r="AL152" s="46" t="n">
        <f aca="false">MAX(AI152*(1+INDEX(Response_Table!$H$4:$H$21,MATCH($F152&amp;"|low",Response_Table!$A$4:$A$21,0))*$R152*INDEX(Parameters!$X$7:$AA$7,1,MATCH($E152,Parameters!$X$3:$AA$3,0))),AI152*(1+INDEX(Response_Table!$H$4:$H$21,MATCH($F152&amp;"|high",Response_Table!$A$4:$A$21,0))*$R152*INDEX(Parameters!$X$7:$AA$7,1,MATCH($E152,Parameters!$X$3:$AA$3,0))))*(1+Inputs_General!$C$22*Parameters!$F$7)</f>
        <v>0.356909728251963</v>
      </c>
      <c r="AM152" s="45" t="n">
        <f aca="false">IF(AI152=0,0,AJ152/AI152-1)</f>
        <v>-0.446017482775013</v>
      </c>
      <c r="AN152" s="43" t="n">
        <f aca="false">AI152*$Q152/Inputs_General!$C$13*1000</f>
        <v>4.38850387664553</v>
      </c>
      <c r="AO152" s="43" t="n">
        <f aca="false">AJ152*$Q152/Inputs_General!$C$13*1000*(1+Inputs_General!$C$21*$I152)</f>
        <v>2.82621701840651</v>
      </c>
      <c r="AP152" s="43" t="n">
        <f aca="false">AK152*$Q152/Inputs_General!$C$13*1000*(1+Inputs_General!$C$21*$H152)</f>
        <v>1.81321884175059</v>
      </c>
      <c r="AQ152" s="43" t="n">
        <f aca="false">AL152*$Q152/Inputs_General!$C$13*1000*(1+Inputs_General!$C$21*$J152)</f>
        <v>4.08693119742001</v>
      </c>
      <c r="AR152" s="45" t="n">
        <f aca="false">IF(AN152=0,0,AO152/AN152-1)</f>
        <v>-0.355995323725952</v>
      </c>
      <c r="AS152" s="42" t="n">
        <f aca="false">Parameters!$E$9*IF($N152="V",Parameters!$I$9,IF($N152="F",Parameters!$J$9,Parameters!$K$9))*(1-Parameters!$L$9*$P152)*IF($D152="V1",Parameters!$M$9,IF($D152="V2",Parameters!$N$9,Parameters!$O$9))</f>
        <v>285</v>
      </c>
      <c r="AT152" s="42" t="n">
        <f aca="false">AS152*(1+INDEX(Response_Table!$I$4:$I$21,MATCH($F152&amp;"|mid",Response_Table!$A$4:$A$21,0))*$R152*INDEX(Parameters!$X$9:$AA$9,1,MATCH($E152,Parameters!$X$3:$AA$3,0)))</f>
        <v>348.31968725014</v>
      </c>
      <c r="AU152" s="42" t="n">
        <f aca="false">MAX(0,MIN(AS152*(1+INDEX(Response_Table!$I$4:$I$21,MATCH($F152&amp;"|low",Response_Table!$A$4:$A$21,0))*$R152*INDEX(Parameters!$X$9:$AA$9,1,MATCH($E152,Parameters!$X$3:$AA$3,0))),AS152*(1+INDEX(Response_Table!$I$4:$I$21,MATCH($F152&amp;"|high",Response_Table!$A$4:$A$21,0))*$R152*INDEX(Parameters!$X$9:$AA$9,1,MATCH($E152,Parameters!$X$3:$AA$3,0))))*(1-Inputs_General!$C$22*Parameters!$F$9))</f>
        <v>310.503290405353</v>
      </c>
      <c r="AV152" s="42" t="n">
        <f aca="false">MAX(AS152*(1+INDEX(Response_Table!$I$4:$I$21,MATCH($F152&amp;"|low",Response_Table!$A$4:$A$21,0))*$R152*INDEX(Parameters!$X$9:$AA$9,1,MATCH($E152,Parameters!$X$3:$AA$3,0))),AS152*(1+INDEX(Response_Table!$I$4:$I$21,MATCH($F152&amp;"|high",Response_Table!$A$4:$A$21,0))*$R152*INDEX(Parameters!$X$9:$AA$9,1,MATCH($E152,Parameters!$X$3:$AA$3,0))))*(1+Inputs_General!$C$22*Parameters!$F$9)</f>
        <v>385.77254271935</v>
      </c>
      <c r="AW152" s="45" t="n">
        <f aca="false">IF(AS152=0,0,AT152/AS152-1)</f>
        <v>0.22217434122856</v>
      </c>
      <c r="AX152" s="43" t="n">
        <f aca="false">INDEX(Context!$AB$4:$AB$51,$K152)</f>
        <v>1.03915356823757</v>
      </c>
      <c r="AY152" s="43" t="n">
        <f aca="false">AX152*(1+INDEX(Response_Table!$J$4:$J$21,MATCH($F152&amp;"|mid",Response_Table!$A$4:$A$21,0))*$R152*INDEX(Parameters!$X$10:$AA$10,1,MATCH($E152,Parameters!$X$3:$AA$3,0)))</f>
        <v>0.851383846115234</v>
      </c>
      <c r="AZ152" s="43" t="n">
        <f aca="false">MAX(0,MIN(AX152*(1+INDEX(Response_Table!$J$4:$J$21,MATCH($F152&amp;"|low",Response_Table!$A$4:$A$21,0))*$R152*INDEX(Parameters!$X$10:$AA$10,1,MATCH($E152,Parameters!$X$3:$AA$3,0))),AX152*(1+INDEX(Response_Table!$J$4:$J$21,MATCH($F152&amp;"|high",Response_Table!$A$4:$A$21,0))*$R152*INDEX(Parameters!$X$10:$AA$10,1,MATCH($E152,Parameters!$X$3:$AA$3,0))))*(1-Inputs_General!$C$22*Parameters!$F$10))</f>
        <v>0.668781365751571</v>
      </c>
      <c r="BA152" s="43" t="n">
        <f aca="false">MAX(AX152*(1+INDEX(Response_Table!$J$4:$J$21,MATCH($F152&amp;"|low",Response_Table!$A$4:$A$21,0))*$R152*INDEX(Parameters!$X$10:$AA$10,1,MATCH($E152,Parameters!$X$3:$AA$3,0))),AX152*(1+INDEX(Response_Table!$J$4:$J$21,MATCH($F152&amp;"|high",Response_Table!$A$4:$A$21,0))*$R152*INDEX(Parameters!$X$10:$AA$10,1,MATCH($E152,Parameters!$X$3:$AA$3,0))))*(1+Inputs_General!$C$22*Parameters!$F$10)</f>
        <v>1.04254941226354</v>
      </c>
      <c r="BB152" s="45" t="n">
        <f aca="false">IF(AX152=0,0,AY152/AX152-1)</f>
        <v>-0.180694873079056</v>
      </c>
      <c r="BC152" s="46" t="n">
        <f aca="false">Parameters!$E$11*IF($N152="V",Parameters!$I$11,IF($N152="F",Parameters!$J$11,Parameters!$K$11))*(1-Parameters!$L$11*$P152)*IF($D152="V1",Parameters!$M$11,IF($D152="V2",Parameters!$N$11,Parameters!$O$11))</f>
        <v>1.1875</v>
      </c>
      <c r="BD152" s="46" t="n">
        <f aca="false">BC152*(1+INDEX(Response_Table!$K$4:$K$21,MATCH($F152&amp;"|mid",Response_Table!$A$4:$A$21,0))*$R152*INDEX(Parameters!$X$11:$AA$11,1,MATCH($E152,Parameters!$X$3:$AA$3,0)))</f>
        <v>0.84977775377039</v>
      </c>
      <c r="BE152" s="46" t="n">
        <f aca="false">MAX(0,MIN(BC152*(1+INDEX(Response_Table!$K$4:$K$21,MATCH($F152&amp;"|low",Response_Table!$A$4:$A$21,0))*$R152*INDEX(Parameters!$X$11:$AA$11,1,MATCH($E152,Parameters!$X$3:$AA$3,0))),BC152*(1+INDEX(Response_Table!$K$4:$K$21,MATCH($F152&amp;"|high",Response_Table!$A$4:$A$21,0))*$R152*INDEX(Parameters!$X$11:$AA$11,1,MATCH($E152,Parameters!$X$3:$AA$3,0))))*(1-Inputs_General!$C$22*Parameters!$F$11))</f>
        <v>0.690946834779446</v>
      </c>
      <c r="BF152" s="46" t="n">
        <f aca="false">MAX(BC152*(1+INDEX(Response_Table!$K$4:$K$21,MATCH($F152&amp;"|low",Response_Table!$A$4:$A$21,0))*$R152*INDEX(Parameters!$X$11:$AA$11,1,MATCH($E152,Parameters!$X$3:$AA$3,0))),BC152*(1+INDEX(Response_Table!$K$4:$K$21,MATCH($F152&amp;"|high",Response_Table!$A$4:$A$21,0))*$R152*INDEX(Parameters!$X$11:$AA$11,1,MATCH($E152,Parameters!$X$3:$AA$3,0))))*(1+Inputs_General!$C$22*Parameters!$F$11)</f>
        <v>1.02129909203409</v>
      </c>
      <c r="BG152" s="45" t="n">
        <f aca="false">IF(BC152=0,0,BD152/BC152-1)</f>
        <v>-0.284397681035461</v>
      </c>
      <c r="BH152" s="46" t="n">
        <f aca="false">Parameters!$E$12*IF($N152="V",Parameters!$I$12,IF($N152="F",Parameters!$J$12,Parameters!$K$12))*(1-Parameters!$L$12*$P152)*IF($D152="V1",Parameters!$M$12,IF($D152="V2",Parameters!$N$12,Parameters!$O$12))</f>
        <v>0.4275</v>
      </c>
      <c r="BI152" s="46" t="n">
        <f aca="false">BH152*(1+INDEX(Response_Table!$L$4:$L$21,MATCH($F152&amp;"|mid",Response_Table!$A$4:$A$21,0))*$R152*INDEX(Parameters!$X$12:$AA$12,1,MATCH($E152,Parameters!$X$3:$AA$3,0)))</f>
        <v>0.32666359554089</v>
      </c>
      <c r="BJ152" s="46" t="n">
        <f aca="false">MAX(0,MIN(BH152*(1+INDEX(Response_Table!$L$4:$L$21,MATCH($F152&amp;"|low",Response_Table!$A$4:$A$21,0))*$R152*INDEX(Parameters!$X$12:$AA$12,1,MATCH($E152,Parameters!$X$3:$AA$3,0))),BH152*(1+INDEX(Response_Table!$L$4:$L$21,MATCH($F152&amp;"|high",Response_Table!$A$4:$A$21,0))*$R152*INDEX(Parameters!$X$12:$AA$12,1,MATCH($E152,Parameters!$X$3:$AA$3,0))))*(1-Inputs_General!$C$22*Parameters!$F$12))</f>
        <v>0.256123284824642</v>
      </c>
      <c r="BK152" s="46" t="n">
        <f aca="false">MAX(BH152*(1+INDEX(Response_Table!$L$4:$L$21,MATCH($F152&amp;"|low",Response_Table!$A$4:$A$21,0))*$R152*INDEX(Parameters!$X$12:$AA$12,1,MATCH($E152,Parameters!$X$3:$AA$3,0))),BH152*(1+INDEX(Response_Table!$L$4:$L$21,MATCH($F152&amp;"|high",Response_Table!$A$4:$A$21,0))*$R152*INDEX(Parameters!$X$12:$AA$12,1,MATCH($E152,Parameters!$X$3:$AA$3,0))))*(1+Inputs_General!$C$22*Parameters!$F$12)</f>
        <v>0.401600744933195</v>
      </c>
      <c r="BL152" s="45" t="n">
        <f aca="false">IF(BH152=0,0,BI152/BH152-1)</f>
        <v>-0.235874630313709</v>
      </c>
      <c r="BM152" s="46" t="n">
        <f aca="false">Parameters!$E$13*IF($N152="V",Parameters!$I$13,IF($N152="F",Parameters!$J$13,Parameters!$K$13))*(1-Parameters!$L$13*$P152)*IF($D152="V1",Parameters!$M$13,IF($D152="V2",Parameters!$N$13,Parameters!$O$13))</f>
        <v>0.285</v>
      </c>
      <c r="BN152" s="46" t="n">
        <f aca="false">BM152*(1+INDEX(Response_Table!$M$4:$M$21,MATCH($F152&amp;"|mid",Response_Table!$A$4:$A$21,0))*$R152*INDEX(Parameters!$X$13:$AA$13,1,MATCH($E152,Parameters!$X$3:$AA$3,0)))</f>
        <v>0.236488159284919</v>
      </c>
      <c r="BO152" s="46" t="n">
        <f aca="false">MAX(0,MIN(BM152*(1+INDEX(Response_Table!$M$4:$M$21,MATCH($F152&amp;"|low",Response_Table!$A$4:$A$21,0))*$R152*INDEX(Parameters!$X$13:$AA$13,1,MATCH($E152,Parameters!$X$3:$AA$3,0))),BM152*(1+INDEX(Response_Table!$M$4:$M$21,MATCH($F152&amp;"|high",Response_Table!$A$4:$A$21,0))*$R152*INDEX(Parameters!$X$13:$AA$13,1,MATCH($E152,Parameters!$X$3:$AA$3,0))))*(1-Inputs_General!$C$22*Parameters!$F$13))</f>
        <v>0.186618663728117</v>
      </c>
      <c r="BP152" s="46" t="n">
        <f aca="false">MAX(BM152*(1+INDEX(Response_Table!$M$4:$M$21,MATCH($F152&amp;"|low",Response_Table!$A$4:$A$21,0))*$R152*INDEX(Parameters!$X$13:$AA$13,1,MATCH($E152,Parameters!$X$3:$AA$3,0))),BM152*(1+INDEX(Response_Table!$M$4:$M$21,MATCH($F152&amp;"|high",Response_Table!$A$4:$A$21,0))*$R152*INDEX(Parameters!$X$13:$AA$13,1,MATCH($E152,Parameters!$X$3:$AA$3,0))))*(1+Inputs_General!$C$22*Parameters!$F$13)</f>
        <v>0.289228320590426</v>
      </c>
      <c r="BQ152" s="45" t="n">
        <f aca="false">IF(BM152=0,0,BN152/BM152-1)</f>
        <v>-0.170216984965196</v>
      </c>
      <c r="BR152" s="44" t="n">
        <f aca="false">Parameters!$E$14*IF($N152="V",Parameters!$I$14,IF($N152="F",Parameters!$J$14,Parameters!$K$14))*(1-Parameters!$L$14*$P152)*IF($D152="V1",Parameters!$M$14,IF($D152="V2",Parameters!$N$14,Parameters!$O$14))*INDEX(Context!$AC$4:$AC$51,$K152)</f>
        <v>19.8</v>
      </c>
      <c r="BS152" s="44" t="n">
        <f aca="false">BR152*(1+INDEX(Response_Table!$N$4:$N$21,MATCH($F152&amp;"|mid",Response_Table!$A$4:$A$21,0))*$R152*INDEX(Parameters!$X$14:$AA$14,1,MATCH($E152,Parameters!$X$3:$AA$3,0)))</f>
        <v>24.8948920147761</v>
      </c>
      <c r="BT152" s="44" t="n">
        <f aca="false">MAX(0,MIN(BR152*(1+INDEX(Response_Table!$N$4:$N$21,MATCH($F152&amp;"|low",Response_Table!$A$4:$A$21,0))*$R152*INDEX(Parameters!$X$14:$AA$14,1,MATCH($E152,Parameters!$X$3:$AA$3,0))),BR152*(1+INDEX(Response_Table!$N$4:$N$21,MATCH($F152&amp;"|high",Response_Table!$A$4:$A$21,0))*$R152*INDEX(Parameters!$X$14:$AA$14,1,MATCH($E152,Parameters!$X$3:$AA$3,0))))*(1-Inputs_General!$C$22*Parameters!$F$14))</f>
        <v>12.3858386259564</v>
      </c>
      <c r="BU152" s="44" t="n">
        <f aca="false">MAX(BR152*(1+INDEX(Response_Table!$N$4:$N$21,MATCH($F152&amp;"|low",Response_Table!$A$4:$A$21,0))*$R152*INDEX(Parameters!$X$14:$AA$14,1,MATCH($E152,Parameters!$X$3:$AA$3,0))),BR152*(1+INDEX(Response_Table!$N$4:$N$21,MATCH($F152&amp;"|high",Response_Table!$A$4:$A$21,0))*$R152*INDEX(Parameters!$X$14:$AA$14,1,MATCH($E152,Parameters!$X$3:$AA$3,0))))*(1+Inputs_General!$C$22*Parameters!$F$14)</f>
        <v>37.749997089054</v>
      </c>
      <c r="BV152" s="45" t="n">
        <f aca="false">IF(BR152=0,0,BS152/BR152-1)</f>
        <v>0.257317778524046</v>
      </c>
      <c r="BW152" s="43" t="n">
        <f aca="false">Parameters!$E$15*IF($N152="V",Parameters!$I$15,IF($N152="F",Parameters!$J$15,Parameters!$K$15))*(1-Parameters!$L$15*$P152)*IF($D152="V1",Parameters!$M$15,IF($D152="V2",Parameters!$N$15,Parameters!$O$15))</f>
        <v>11.232</v>
      </c>
      <c r="BX152" s="43" t="n">
        <f aca="false">BW152*(1+INDEX(Response_Table!$O$4:$O$21,MATCH($F152&amp;"|mid",Response_Table!$A$4:$A$21,0))*$R152*INDEX(Parameters!$X$15:$AA$15,1,MATCH($E152,Parameters!$X$3:$AA$3,0)))</f>
        <v>10.5094516779045</v>
      </c>
      <c r="BY152" s="43" t="n">
        <f aca="false">MAX(0,MIN(BW152*(1+INDEX(Response_Table!$O$4:$O$21,MATCH($F152&amp;"|low",Response_Table!$A$4:$A$21,0))*$R152*INDEX(Parameters!$X$15:$AA$15,1,MATCH($E152,Parameters!$X$3:$AA$3,0))),BW152*(1+INDEX(Response_Table!$O$4:$O$21,MATCH($F152&amp;"|high",Response_Table!$A$4:$A$21,0))*$R152*INDEX(Parameters!$X$15:$AA$15,1,MATCH($E152,Parameters!$X$3:$AA$3,0))))*(1-Inputs_General!$C$22*Parameters!$F$15))</f>
        <v>8.39148477393964</v>
      </c>
      <c r="BZ152" s="43" t="n">
        <f aca="false">MAX(BW152*(1+INDEX(Response_Table!$O$4:$O$21,MATCH($F152&amp;"|low",Response_Table!$A$4:$A$21,0))*$R152*INDEX(Parameters!$X$15:$AA$15,1,MATCH($E152,Parameters!$X$3:$AA$3,0))),BW152*(1+INDEX(Response_Table!$O$4:$O$21,MATCH($F152&amp;"|high",Response_Table!$A$4:$A$21,0))*$R152*INDEX(Parameters!$X$15:$AA$15,1,MATCH($E152,Parameters!$X$3:$AA$3,0))))*(1+Inputs_General!$C$22*Parameters!$F$15)</f>
        <v>12.6589243502964</v>
      </c>
      <c r="CA152" s="45" t="n">
        <f aca="false">IF(BW152=0,0,BX152/BW152-1)</f>
        <v>-0.0643294446310114</v>
      </c>
      <c r="CB152" s="46" t="n">
        <f aca="false">BD152+BI152</f>
        <v>1.17644134931128</v>
      </c>
      <c r="CC152" s="43" t="n">
        <f aca="false">BD152/BI152</f>
        <v>2.60138492740009</v>
      </c>
      <c r="CD152" s="46" t="n">
        <f aca="false">BN152/CB152</f>
        <v>0.201019931357705</v>
      </c>
      <c r="CE152" s="43" t="n">
        <f aca="false">AE152/AO152</f>
        <v>2.92010974857108</v>
      </c>
      <c r="CF152" s="44" t="n">
        <f aca="false">AE152/AJ152</f>
        <v>32.0589525954921</v>
      </c>
      <c r="CG152" s="44" t="n">
        <f aca="false">INDEX(Context!$V$4:$V$51,$K152)</f>
        <v>22.6257142857143</v>
      </c>
      <c r="CH152" s="44" t="n">
        <f aca="false">INDEX(Context!$Y$4:$Y$51,$K152)</f>
        <v>21.3177449518561</v>
      </c>
      <c r="CI152" s="44" t="n">
        <f aca="false">INDEX(Context!$Z$4:$Z$51,$K152)</f>
        <v>26.6257142857143</v>
      </c>
      <c r="CJ152" s="43" t="n">
        <f aca="false">INDEX(Context!$AA$4:$AA$51,$K152)</f>
        <v>0.12</v>
      </c>
      <c r="CK152" s="43" t="n">
        <f aca="false">MAX(0,MIN(1,1-(1-CJ152)*AO152/AN152))</f>
        <v>0.433275884878838</v>
      </c>
      <c r="CL152" s="44" t="n">
        <f aca="false">CH152+CK152*(CI152-CH152)</f>
        <v>23.6175600618932</v>
      </c>
      <c r="CM152" s="44" t="n">
        <f aca="false">CH152+MAX(0,MIN(1,1-(1-CJ152)*AQ152/AN152))*(CI152-CH152)</f>
        <v>22.2756876374009</v>
      </c>
      <c r="CN152" s="44" t="n">
        <f aca="false">CH152+MAX(0,MIN(1,1-(1-CJ152)*AP152/AN152))*(CI152-CH152)</f>
        <v>24.6957698115283</v>
      </c>
      <c r="CO152" s="44" t="n">
        <f aca="false">CL152-CG152</f>
        <v>0.991845776178927</v>
      </c>
      <c r="CP152" s="44" t="n">
        <f aca="false">CL152-(CH152+CJ152*(CI152-CH152))</f>
        <v>1.66285878997418</v>
      </c>
      <c r="CQ152" s="46" t="n">
        <f aca="false">CL152/CG152</f>
        <v>1.04383710337955</v>
      </c>
      <c r="CR152" s="43" t="n">
        <f aca="false">IF(CL152-CH152&lt;=0,"n/a",(CI152-CL152)/(CL152-CH152))</f>
        <v>1.30799828677204</v>
      </c>
      <c r="CS152" s="43" t="n">
        <f aca="false">IF(CI152-CL152&lt;=0,"n/a",(CL152-CH152)/(CI152-CL152))</f>
        <v>0.764526995266836</v>
      </c>
      <c r="CT152" s="43" t="n">
        <f aca="false">Inputs_General!$C$23+Inputs_General!$C$24*$I152</f>
        <v>1.9</v>
      </c>
      <c r="CU152" s="44" t="n">
        <f aca="false">3.29*CT152</f>
        <v>6.251</v>
      </c>
    </row>
    <row r="153" customFormat="false" ht="15" hidden="false" customHeight="false" outlineLevel="0" collapsed="false">
      <c r="A153" s="33" t="str">
        <f aca="false">B153&amp;"|"&amp;E153&amp;"|"&amp;F153</f>
        <v>D3V1|24/02/2026|Healthy</v>
      </c>
      <c r="B153" s="34" t="s">
        <v>349</v>
      </c>
      <c r="C153" s="33" t="s">
        <v>131</v>
      </c>
      <c r="D153" s="33" t="s">
        <v>142</v>
      </c>
      <c r="E153" s="33" t="s">
        <v>160</v>
      </c>
      <c r="F153" s="34" t="s">
        <v>275</v>
      </c>
      <c r="G153" s="33" t="s">
        <v>276</v>
      </c>
      <c r="H153" s="35" t="n">
        <f aca="false">INDEX(Severity_Classes!$C$4:$C$9,MATCH(F153,Severity_Classes!$A$4:$A$9,0))</f>
        <v>0</v>
      </c>
      <c r="I153" s="35" t="n">
        <f aca="false">INDEX(Severity_Classes!$D$4:$D$9,MATCH(F153,Severity_Classes!$A$4:$A$9,0))</f>
        <v>0</v>
      </c>
      <c r="J153" s="35" t="n">
        <f aca="false">INDEX(Severity_Classes!$E$4:$E$9,MATCH(F153,Severity_Classes!$A$4:$A$9,0))</f>
        <v>0</v>
      </c>
      <c r="K153" s="36" t="n">
        <f aca="false">MATCH(B153&amp;"|"&amp;E153,Context!$A$4:$A$51,0)</f>
        <v>26</v>
      </c>
      <c r="L153" s="36" t="n">
        <f aca="false">INDEX(Context!$H$4:$H$51,K153)</f>
        <v>59</v>
      </c>
      <c r="M153" s="36" t="n">
        <f aca="false">INDEX(Context!$I$4:$I$51,K153)</f>
        <v>19</v>
      </c>
      <c r="N153" s="33" t="str">
        <f aca="false">INDEX(Context!$L$4:$L$51,K153)</f>
        <v>F</v>
      </c>
      <c r="O153" s="33" t="str">
        <f aca="false">INDEX(Context!$M$4:$M$51,K153)</f>
        <v>5th fully expanded leaf from top</v>
      </c>
      <c r="P153" s="37" t="n">
        <f aca="false">INDEX(Context!$R$4:$R$51,K153)</f>
        <v>0.0232142857142859</v>
      </c>
      <c r="Q153" s="37" t="n">
        <f aca="false">INDEX(Context!$U$4:$U$51,K153)</f>
        <v>1.19492600027053</v>
      </c>
      <c r="R153" s="37" t="n">
        <f aca="false">INDEX(Context!$AD$4:$AD$51,K153)</f>
        <v>1</v>
      </c>
      <c r="S153" s="33" t="str">
        <f aca="false">INDEX(Context!$AI$4:$AN$51,K153,MATCH(F153,Severity_Classes!$A$4:$A$9,0))</f>
        <v>Reference: healthy (uninoculated) control plot</v>
      </c>
      <c r="T153" s="38" t="n">
        <f aca="false">Parameters!$E$4*IF($N153="V",Parameters!$I$4,IF($N153="F",Parameters!$J$4,Parameters!$K$4))*(1-Parameters!$L$4*$P153)*IF($D153="V1",Parameters!$M$4,IF($D153="V2",Parameters!$N$4,Parameters!$O$4))</f>
        <v>85.0411767857143</v>
      </c>
      <c r="U153" s="38" t="n">
        <f aca="false">MIN(100,T153*(1+INDEX(Response_Table!$E$4:$E$21,MATCH($F153&amp;"|mid",Response_Table!$A$4:$A$21,0))*$R153*INDEX(Parameters!$X$4:$AA$4,1,MATCH($E153,Parameters!$X$3:$AA$3,0))))</f>
        <v>85.0411767857143</v>
      </c>
      <c r="V153" s="38" t="n">
        <f aca="false">MAX(0,MIN(T153*(1+INDEX(Response_Table!$E$4:$E$21,MATCH($F153&amp;"|low",Response_Table!$A$4:$A$21,0))*$R153*INDEX(Parameters!$X$4:$AA$4,1,MATCH($E153,Parameters!$X$3:$AA$3,0))),T153*(1+INDEX(Response_Table!$E$4:$E$21,MATCH($F153&amp;"|high",Response_Table!$A$4:$A$21,0))*$R153*INDEX(Parameters!$X$4:$AA$4,1,MATCH($E153,Parameters!$X$3:$AA$3,0))))*(1-Inputs_General!$C$22*Parameters!$F$4))</f>
        <v>79.4454673532143</v>
      </c>
      <c r="W153" s="38" t="n">
        <f aca="false">MIN(100,MAX(T153*(1+INDEX(Response_Table!$E$4:$E$21,MATCH($F153&amp;"|low",Response_Table!$A$4:$A$21,0))*$R153*INDEX(Parameters!$X$4:$AA$4,1,MATCH($E153,Parameters!$X$3:$AA$3,0))),T153*(1+INDEX(Response_Table!$E$4:$E$21,MATCH($F153&amp;"|high",Response_Table!$A$4:$A$21,0))*$R153*INDEX(Parameters!$X$4:$AA$4,1,MATCH($E153,Parameters!$X$3:$AA$3,0))))*(1+Inputs_General!$C$22*Parameters!$F$4))</f>
        <v>90.6368862182143</v>
      </c>
      <c r="X153" s="39" t="n">
        <f aca="false">IF(T153=0,0,U153/T153-1)</f>
        <v>0</v>
      </c>
      <c r="Y153" s="38" t="n">
        <f aca="false">Parameters!$E$5*IF($N153="V",Parameters!$I$5,IF($N153="F",Parameters!$J$5,Parameters!$K$5))*(1-Parameters!$L$5*$P153)*IF($D153="V1",Parameters!$M$5,IF($D153="V2",Parameters!$N$5,Parameters!$O$5))</f>
        <v>70.36344</v>
      </c>
      <c r="Z153" s="38" t="n">
        <f aca="false">MIN(100,Y153*(1+INDEX(Response_Table!$F$4:$F$21,MATCH($F153&amp;"|mid",Response_Table!$A$4:$A$21,0))*$R153*INDEX(Parameters!$X$5:$AA$5,1,MATCH($E153,Parameters!$X$3:$AA$3,0))))</f>
        <v>70.36344</v>
      </c>
      <c r="AA153" s="38" t="n">
        <f aca="false">MAX(0,MIN(Y153*(1+INDEX(Response_Table!$F$4:$F$21,MATCH($F153&amp;"|low",Response_Table!$A$4:$A$21,0))*$R153*INDEX(Parameters!$X$5:$AA$5,1,MATCH($E153,Parameters!$X$3:$AA$3,0))),Y153*(1+INDEX(Response_Table!$F$4:$F$21,MATCH($F153&amp;"|high",Response_Table!$A$4:$A$21,0))*$R153*INDEX(Parameters!$X$5:$AA$5,1,MATCH($E153,Parameters!$X$3:$AA$3,0))))*(1-Inputs_General!$C$22*Parameters!$F$5))</f>
        <v>62.261089884</v>
      </c>
      <c r="AB153" s="38" t="n">
        <f aca="false">MIN(100,MAX(Y153*(1+INDEX(Response_Table!$F$4:$F$21,MATCH($F153&amp;"|low",Response_Table!$A$4:$A$21,0))*$R153*INDEX(Parameters!$X$5:$AA$5,1,MATCH($E153,Parameters!$X$3:$AA$3,0))),Y153*(1+INDEX(Response_Table!$F$4:$F$21,MATCH($F153&amp;"|high",Response_Table!$A$4:$A$21,0))*$R153*INDEX(Parameters!$X$5:$AA$5,1,MATCH($E153,Parameters!$X$3:$AA$3,0))))*(1+Inputs_General!$C$22*Parameters!$F$5))</f>
        <v>78.465790116</v>
      </c>
      <c r="AC153" s="39" t="n">
        <f aca="false">IF(Y153=0,0,Z153/Y153-1)</f>
        <v>0</v>
      </c>
      <c r="AD153" s="38" t="n">
        <f aca="false">Parameters!$E$6*IF($N153="V",Parameters!$I$6,IF($N153="F",Parameters!$J$6,Parameters!$K$6))*(1-Parameters!$L$6*$P153)*IF($D153="V1",Parameters!$M$6,IF($D153="V2",Parameters!$N$6,Parameters!$O$6))</f>
        <v>18.9470714285714</v>
      </c>
      <c r="AE153" s="38" t="n">
        <f aca="false">AD153*(1+INDEX(Response_Table!$G$4:$G$21,MATCH($F153&amp;"|mid",Response_Table!$A$4:$A$21,0))*$R153*INDEX(Parameters!$X$6:$AA$6,1,MATCH($E153,Parameters!$X$3:$AA$3,0)))</f>
        <v>18.9470714285714</v>
      </c>
      <c r="AF153" s="38" t="n">
        <f aca="false">MAX(0,MIN(AD153*(1+INDEX(Response_Table!$G$4:$G$21,MATCH($F153&amp;"|low",Response_Table!$A$4:$A$21,0))*$R153*INDEX(Parameters!$X$6:$AA$6,1,MATCH($E153,Parameters!$X$3:$AA$3,0))),AD153*(1+INDEX(Response_Table!$G$4:$G$21,MATCH($F153&amp;"|high",Response_Table!$A$4:$A$21,0))*$R153*INDEX(Parameters!$X$6:$AA$6,1,MATCH($E153,Parameters!$X$3:$AA$3,0))))*(1-Inputs_General!$C$22*Parameters!$F$6))</f>
        <v>15.2069195285714</v>
      </c>
      <c r="AG153" s="38" t="n">
        <f aca="false">MAX(AD153*(1+INDEX(Response_Table!$G$4:$G$21,MATCH($F153&amp;"|low",Response_Table!$A$4:$A$21,0))*$R153*INDEX(Parameters!$X$6:$AA$6,1,MATCH($E153,Parameters!$X$3:$AA$3,0))),AD153*(1+INDEX(Response_Table!$G$4:$G$21,MATCH($F153&amp;"|high",Response_Table!$A$4:$A$21,0))*$R153*INDEX(Parameters!$X$6:$AA$6,1,MATCH($E153,Parameters!$X$3:$AA$3,0))))*(1+Inputs_General!$C$22*Parameters!$F$6)</f>
        <v>22.6872233285714</v>
      </c>
      <c r="AH153" s="39" t="n">
        <f aca="false">IF(AD153=0,0,AE153/AD153-1)</f>
        <v>0</v>
      </c>
      <c r="AI153" s="40" t="n">
        <f aca="false">Parameters!$E$7*IF($N153="V",Parameters!$I$7,IF($N153="F",Parameters!$J$7,Parameters!$K$7))*(1-Parameters!$L$7*$P153)*IF($D153="V1",Parameters!$M$7,IF($D153="V2",Parameters!$N$7,Parameters!$O$7))*POWER($Q153/Inputs_General!$C$26,-Inputs_General!$C$25)</f>
        <v>0.411663164578586</v>
      </c>
      <c r="AJ153" s="40" t="n">
        <f aca="false">AI153*(1+INDEX(Response_Table!$H$4:$H$21,MATCH($F153&amp;"|mid",Response_Table!$A$4:$A$21,0))*$R153*INDEX(Parameters!$X$7:$AA$7,1,MATCH($E153,Parameters!$X$3:$AA$3,0)))</f>
        <v>0.411663164578586</v>
      </c>
      <c r="AK153" s="40" t="n">
        <f aca="false">MAX(0,MIN(AI153*(1+INDEX(Response_Table!$H$4:$H$21,MATCH($F153&amp;"|low",Response_Table!$A$4:$A$21,0))*$R153*INDEX(Parameters!$X$7:$AA$7,1,MATCH($E153,Parameters!$X$3:$AA$3,0))),AI153*(1+INDEX(Response_Table!$H$4:$H$21,MATCH($F153&amp;"|high",Response_Table!$A$4:$A$21,0))*$R153*INDEX(Parameters!$X$7:$AA$7,1,MATCH($E153,Parameters!$X$3:$AA$3,0))))*(1-Inputs_General!$C$22*Parameters!$F$7))</f>
        <v>0.289769701546867</v>
      </c>
      <c r="AL153" s="40" t="n">
        <f aca="false">MAX(AI153*(1+INDEX(Response_Table!$H$4:$H$21,MATCH($F153&amp;"|low",Response_Table!$A$4:$A$21,0))*$R153*INDEX(Parameters!$X$7:$AA$7,1,MATCH($E153,Parameters!$X$3:$AA$3,0))),AI153*(1+INDEX(Response_Table!$H$4:$H$21,MATCH($F153&amp;"|high",Response_Table!$A$4:$A$21,0))*$R153*INDEX(Parameters!$X$7:$AA$7,1,MATCH($E153,Parameters!$X$3:$AA$3,0))))*(1+Inputs_General!$C$22*Parameters!$F$7)</f>
        <v>0.533556627610306</v>
      </c>
      <c r="AM153" s="39" t="n">
        <f aca="false">IF(AI153=0,0,AJ153/AI153-1)</f>
        <v>0</v>
      </c>
      <c r="AN153" s="37" t="n">
        <f aca="false">AI153*$Q153/Inputs_General!$C$13*1000</f>
        <v>4.95374641196979</v>
      </c>
      <c r="AO153" s="37" t="n">
        <f aca="false">AJ153*$Q153/Inputs_General!$C$13*1000*(1+Inputs_General!$C$21*$I153)</f>
        <v>4.95374641196979</v>
      </c>
      <c r="AP153" s="37" t="n">
        <f aca="false">AK153*$Q153/Inputs_General!$C$13*1000*(1+Inputs_General!$C$21*$H153)</f>
        <v>3.48694209938553</v>
      </c>
      <c r="AQ153" s="37" t="n">
        <f aca="false">AL153*$Q153/Inputs_General!$C$13*1000*(1+Inputs_General!$C$21*$J153)</f>
        <v>6.42055072455404</v>
      </c>
      <c r="AR153" s="39" t="n">
        <f aca="false">IF(AN153=0,0,AO153/AN153-1)</f>
        <v>0</v>
      </c>
      <c r="AS153" s="36" t="n">
        <f aca="false">Parameters!$E$9*IF($N153="V",Parameters!$I$9,IF($N153="F",Parameters!$J$9,Parameters!$K$9))*(1-Parameters!$L$9*$P153)*IF($D153="V1",Parameters!$M$9,IF($D153="V2",Parameters!$N$9,Parameters!$O$9))</f>
        <v>285</v>
      </c>
      <c r="AT153" s="36" t="n">
        <f aca="false">AS153*(1+INDEX(Response_Table!$I$4:$I$21,MATCH($F153&amp;"|mid",Response_Table!$A$4:$A$21,0))*$R153*INDEX(Parameters!$X$9:$AA$9,1,MATCH($E153,Parameters!$X$3:$AA$3,0)))</f>
        <v>285</v>
      </c>
      <c r="AU153" s="36" t="n">
        <f aca="false">MAX(0,MIN(AS153*(1+INDEX(Response_Table!$I$4:$I$21,MATCH($F153&amp;"|low",Response_Table!$A$4:$A$21,0))*$R153*INDEX(Parameters!$X$9:$AA$9,1,MATCH($E153,Parameters!$X$3:$AA$3,0))),AS153*(1+INDEX(Response_Table!$I$4:$I$21,MATCH($F153&amp;"|high",Response_Table!$A$4:$A$21,0))*$R153*INDEX(Parameters!$X$9:$AA$9,1,MATCH($E153,Parameters!$X$3:$AA$3,0))))*(1-Inputs_General!$C$22*Parameters!$F$9))</f>
        <v>256.8705</v>
      </c>
      <c r="AV153" s="36" t="n">
        <f aca="false">MAX(AS153*(1+INDEX(Response_Table!$I$4:$I$21,MATCH($F153&amp;"|low",Response_Table!$A$4:$A$21,0))*$R153*INDEX(Parameters!$X$9:$AA$9,1,MATCH($E153,Parameters!$X$3:$AA$3,0))),AS153*(1+INDEX(Response_Table!$I$4:$I$21,MATCH($F153&amp;"|high",Response_Table!$A$4:$A$21,0))*$R153*INDEX(Parameters!$X$9:$AA$9,1,MATCH($E153,Parameters!$X$3:$AA$3,0))))*(1+Inputs_General!$C$22*Parameters!$F$9)</f>
        <v>313.1295</v>
      </c>
      <c r="AW153" s="39" t="n">
        <f aca="false">IF(AS153=0,0,AT153/AS153-1)</f>
        <v>0</v>
      </c>
      <c r="AX153" s="37" t="n">
        <f aca="false">INDEX(Context!$AB$4:$AB$51,$K153)</f>
        <v>2.14026803183101</v>
      </c>
      <c r="AY153" s="37" t="n">
        <f aca="false">AX153*(1+INDEX(Response_Table!$J$4:$J$21,MATCH($F153&amp;"|mid",Response_Table!$A$4:$A$21,0))*$R153*INDEX(Parameters!$X$10:$AA$10,1,MATCH($E153,Parameters!$X$3:$AA$3,0)))</f>
        <v>2.14026803183101</v>
      </c>
      <c r="AZ153" s="37" t="n">
        <f aca="false">MAX(0,MIN(AX153*(1+INDEX(Response_Table!$J$4:$J$21,MATCH($F153&amp;"|low",Response_Table!$A$4:$A$21,0))*$R153*INDEX(Parameters!$X$10:$AA$10,1,MATCH($E153,Parameters!$X$3:$AA$3,0))),AX153*(1+INDEX(Response_Table!$J$4:$J$21,MATCH($F153&amp;"|high",Response_Table!$A$4:$A$21,0))*$R153*INDEX(Parameters!$X$10:$AA$10,1,MATCH($E153,Parameters!$X$3:$AA$3,0))))*(1-Inputs_General!$C$22*Parameters!$F$10))</f>
        <v>1.71777912234757</v>
      </c>
      <c r="BA153" s="37" t="n">
        <f aca="false">MAX(AX153*(1+INDEX(Response_Table!$J$4:$J$21,MATCH($F153&amp;"|low",Response_Table!$A$4:$A$21,0))*$R153*INDEX(Parameters!$X$10:$AA$10,1,MATCH($E153,Parameters!$X$3:$AA$3,0))),AX153*(1+INDEX(Response_Table!$J$4:$J$21,MATCH($F153&amp;"|high",Response_Table!$A$4:$A$21,0))*$R153*INDEX(Parameters!$X$10:$AA$10,1,MATCH($E153,Parameters!$X$3:$AA$3,0))))*(1+Inputs_General!$C$22*Parameters!$F$10)</f>
        <v>2.56275694131445</v>
      </c>
      <c r="BB153" s="39" t="n">
        <f aca="false">IF(AX153=0,0,AY153/AX153-1)</f>
        <v>0</v>
      </c>
      <c r="BC153" s="40" t="n">
        <f aca="false">Parameters!$E$11*IF($N153="V",Parameters!$I$11,IF($N153="F",Parameters!$J$11,Parameters!$K$11))*(1-Parameters!$L$11*$P153)*IF($D153="V1",Parameters!$M$11,IF($D153="V2",Parameters!$N$11,Parameters!$O$11))</f>
        <v>1.24825892857143</v>
      </c>
      <c r="BD153" s="40" t="n">
        <f aca="false">BC153*(1+INDEX(Response_Table!$K$4:$K$21,MATCH($F153&amp;"|mid",Response_Table!$A$4:$A$21,0))*$R153*INDEX(Parameters!$X$11:$AA$11,1,MATCH($E153,Parameters!$X$3:$AA$3,0)))</f>
        <v>1.24825892857143</v>
      </c>
      <c r="BE153" s="40" t="n">
        <f aca="false">MAX(0,MIN(BC153*(1+INDEX(Response_Table!$K$4:$K$21,MATCH($F153&amp;"|low",Response_Table!$A$4:$A$21,0))*$R153*INDEX(Parameters!$X$11:$AA$11,1,MATCH($E153,Parameters!$X$3:$AA$3,0))),BC153*(1+INDEX(Response_Table!$K$4:$K$21,MATCH($F153&amp;"|high",Response_Table!$A$4:$A$21,0))*$R153*INDEX(Parameters!$X$11:$AA$11,1,MATCH($E153,Parameters!$X$3:$AA$3,0))))*(1-Inputs_General!$C$22*Parameters!$F$11))</f>
        <v>1.04292033482143</v>
      </c>
      <c r="BF153" s="40" t="n">
        <f aca="false">MAX(BC153*(1+INDEX(Response_Table!$K$4:$K$21,MATCH($F153&amp;"|low",Response_Table!$A$4:$A$21,0))*$R153*INDEX(Parameters!$X$11:$AA$11,1,MATCH($E153,Parameters!$X$3:$AA$3,0))),BC153*(1+INDEX(Response_Table!$K$4:$K$21,MATCH($F153&amp;"|high",Response_Table!$A$4:$A$21,0))*$R153*INDEX(Parameters!$X$11:$AA$11,1,MATCH($E153,Parameters!$X$3:$AA$3,0))))*(1+Inputs_General!$C$22*Parameters!$F$11)</f>
        <v>1.45359752232143</v>
      </c>
      <c r="BG153" s="39" t="n">
        <f aca="false">IF(BC153=0,0,BD153/BC153-1)</f>
        <v>0</v>
      </c>
      <c r="BH153" s="40" t="n">
        <f aca="false">Parameters!$E$12*IF($N153="V",Parameters!$I$12,IF($N153="F",Parameters!$J$12,Parameters!$K$12))*(1-Parameters!$L$12*$P153)*IF($D153="V1",Parameters!$M$12,IF($D153="V2",Parameters!$N$12,Parameters!$O$12))</f>
        <v>0.449373214285714</v>
      </c>
      <c r="BI153" s="40" t="n">
        <f aca="false">BH153*(1+INDEX(Response_Table!$L$4:$L$21,MATCH($F153&amp;"|mid",Response_Table!$A$4:$A$21,0))*$R153*INDEX(Parameters!$X$12:$AA$12,1,MATCH($E153,Parameters!$X$3:$AA$3,0)))</f>
        <v>0.449373214285714</v>
      </c>
      <c r="BJ153" s="40" t="n">
        <f aca="false">MAX(0,MIN(BH153*(1+INDEX(Response_Table!$L$4:$L$21,MATCH($F153&amp;"|low",Response_Table!$A$4:$A$21,0))*$R153*INDEX(Parameters!$X$12:$AA$12,1,MATCH($E153,Parameters!$X$3:$AA$3,0))),BH153*(1+INDEX(Response_Table!$L$4:$L$21,MATCH($F153&amp;"|high",Response_Table!$A$4:$A$21,0))*$R153*INDEX(Parameters!$X$12:$AA$12,1,MATCH($E153,Parameters!$X$3:$AA$3,0))))*(1-Inputs_General!$C$22*Parameters!$F$12))</f>
        <v>0.360666941785714</v>
      </c>
      <c r="BK153" s="40" t="n">
        <f aca="false">MAX(BH153*(1+INDEX(Response_Table!$L$4:$L$21,MATCH($F153&amp;"|low",Response_Table!$A$4:$A$21,0))*$R153*INDEX(Parameters!$X$12:$AA$12,1,MATCH($E153,Parameters!$X$3:$AA$3,0))),BH153*(1+INDEX(Response_Table!$L$4:$L$21,MATCH($F153&amp;"|high",Response_Table!$A$4:$A$21,0))*$R153*INDEX(Parameters!$X$12:$AA$12,1,MATCH($E153,Parameters!$X$3:$AA$3,0))))*(1+Inputs_General!$C$22*Parameters!$F$12)</f>
        <v>0.538079486785714</v>
      </c>
      <c r="BL153" s="39" t="n">
        <f aca="false">IF(BH153=0,0,BI153/BH153-1)</f>
        <v>0</v>
      </c>
      <c r="BM153" s="40" t="n">
        <f aca="false">Parameters!$E$13*IF($N153="V",Parameters!$I$13,IF($N153="F",Parameters!$J$13,Parameters!$K$13))*(1-Parameters!$L$13*$P153)*IF($D153="V1",Parameters!$M$13,IF($D153="V2",Parameters!$N$13,Parameters!$O$13))</f>
        <v>0.299791071428571</v>
      </c>
      <c r="BN153" s="40" t="n">
        <f aca="false">BM153*(1+INDEX(Response_Table!$M$4:$M$21,MATCH($F153&amp;"|mid",Response_Table!$A$4:$A$21,0))*$R153*INDEX(Parameters!$X$13:$AA$13,1,MATCH($E153,Parameters!$X$3:$AA$3,0)))</f>
        <v>0.299791071428571</v>
      </c>
      <c r="BO153" s="40" t="n">
        <f aca="false">MAX(0,MIN(BM153*(1+INDEX(Response_Table!$M$4:$M$21,MATCH($F153&amp;"|low",Response_Table!$A$4:$A$21,0))*$R153*INDEX(Parameters!$X$13:$AA$13,1,MATCH($E153,Parameters!$X$3:$AA$3,0))),BM153*(1+INDEX(Response_Table!$M$4:$M$21,MATCH($F153&amp;"|high",Response_Table!$A$4:$A$21,0))*$R153*INDEX(Parameters!$X$13:$AA$13,1,MATCH($E153,Parameters!$X$3:$AA$3,0))))*(1-Inputs_General!$C$22*Parameters!$F$13))</f>
        <v>0.240612313928571</v>
      </c>
      <c r="BP153" s="40" t="n">
        <f aca="false">MAX(BM153*(1+INDEX(Response_Table!$M$4:$M$21,MATCH($F153&amp;"|low",Response_Table!$A$4:$A$21,0))*$R153*INDEX(Parameters!$X$13:$AA$13,1,MATCH($E153,Parameters!$X$3:$AA$3,0))),BM153*(1+INDEX(Response_Table!$M$4:$M$21,MATCH($F153&amp;"|high",Response_Table!$A$4:$A$21,0))*$R153*INDEX(Parameters!$X$13:$AA$13,1,MATCH($E153,Parameters!$X$3:$AA$3,0))))*(1+Inputs_General!$C$22*Parameters!$F$13)</f>
        <v>0.358969828928571</v>
      </c>
      <c r="BQ153" s="39" t="n">
        <f aca="false">IF(BM153=0,0,BN153/BM153-1)</f>
        <v>0</v>
      </c>
      <c r="BR153" s="38" t="n">
        <f aca="false">Parameters!$E$14*IF($N153="V",Parameters!$I$14,IF($N153="F",Parameters!$J$14,Parameters!$K$14))*(1-Parameters!$L$14*$P153)*IF($D153="V1",Parameters!$M$14,IF($D153="V2",Parameters!$N$14,Parameters!$O$14))*INDEX(Context!$AC$4:$AC$51,$K153)</f>
        <v>15.75</v>
      </c>
      <c r="BS153" s="38" t="n">
        <f aca="false">BR153*(1+INDEX(Response_Table!$N$4:$N$21,MATCH($F153&amp;"|mid",Response_Table!$A$4:$A$21,0))*$R153*INDEX(Parameters!$X$14:$AA$14,1,MATCH($E153,Parameters!$X$3:$AA$3,0)))</f>
        <v>15.75</v>
      </c>
      <c r="BT153" s="38" t="n">
        <f aca="false">MAX(0,MIN(BR153*(1+INDEX(Response_Table!$N$4:$N$21,MATCH($F153&amp;"|low",Response_Table!$A$4:$A$21,0))*$R153*INDEX(Parameters!$X$14:$AA$14,1,MATCH($E153,Parameters!$X$3:$AA$3,0))),BR153*(1+INDEX(Response_Table!$N$4:$N$21,MATCH($F153&amp;"|high",Response_Table!$A$4:$A$21,0))*$R153*INDEX(Parameters!$X$14:$AA$14,1,MATCH($E153,Parameters!$X$3:$AA$3,0))))*(1-Inputs_General!$C$22*Parameters!$F$14))</f>
        <v>7.977375</v>
      </c>
      <c r="BU153" s="38" t="n">
        <f aca="false">MAX(BR153*(1+INDEX(Response_Table!$N$4:$N$21,MATCH($F153&amp;"|low",Response_Table!$A$4:$A$21,0))*$R153*INDEX(Parameters!$X$14:$AA$14,1,MATCH($E153,Parameters!$X$3:$AA$3,0))),BR153*(1+INDEX(Response_Table!$N$4:$N$21,MATCH($F153&amp;"|high",Response_Table!$A$4:$A$21,0))*$R153*INDEX(Parameters!$X$14:$AA$14,1,MATCH($E153,Parameters!$X$3:$AA$3,0))))*(1+Inputs_General!$C$22*Parameters!$F$14)</f>
        <v>23.522625</v>
      </c>
      <c r="BV153" s="39" t="n">
        <f aca="false">IF(BR153=0,0,BS153/BR153-1)</f>
        <v>0</v>
      </c>
      <c r="BW153" s="37" t="n">
        <f aca="false">Parameters!$E$15*IF($N153="V",Parameters!$I$15,IF($N153="F",Parameters!$J$15,Parameters!$K$15))*(1-Parameters!$L$15*$P153)*IF($D153="V1",Parameters!$M$15,IF($D153="V2",Parameters!$N$15,Parameters!$O$15))</f>
        <v>10.3855142857143</v>
      </c>
      <c r="BX153" s="37" t="n">
        <f aca="false">BW153*(1+INDEX(Response_Table!$O$4:$O$21,MATCH($F153&amp;"|mid",Response_Table!$A$4:$A$21,0))*$R153*INDEX(Parameters!$X$15:$AA$15,1,MATCH($E153,Parameters!$X$3:$AA$3,0)))</f>
        <v>10.3855142857143</v>
      </c>
      <c r="BY153" s="37" t="n">
        <f aca="false">MAX(0,MIN(BW153*(1+INDEX(Response_Table!$O$4:$O$21,MATCH($F153&amp;"|low",Response_Table!$A$4:$A$21,0))*$R153*INDEX(Parameters!$X$15:$AA$15,1,MATCH($E153,Parameters!$X$3:$AA$3,0))),BW153*(1+INDEX(Response_Table!$O$4:$O$21,MATCH($F153&amp;"|high",Response_Table!$A$4:$A$21,0))*$R153*INDEX(Parameters!$X$15:$AA$15,1,MATCH($E153,Parameters!$X$3:$AA$3,0))))*(1-Inputs_General!$C$22*Parameters!$F$15))</f>
        <v>8.33541376571428</v>
      </c>
      <c r="BZ153" s="37" t="n">
        <f aca="false">MAX(BW153*(1+INDEX(Response_Table!$O$4:$O$21,MATCH($F153&amp;"|low",Response_Table!$A$4:$A$21,0))*$R153*INDEX(Parameters!$X$15:$AA$15,1,MATCH($E153,Parameters!$X$3:$AA$3,0))),BW153*(1+INDEX(Response_Table!$O$4:$O$21,MATCH($F153&amp;"|high",Response_Table!$A$4:$A$21,0))*$R153*INDEX(Parameters!$X$15:$AA$15,1,MATCH($E153,Parameters!$X$3:$AA$3,0))))*(1+Inputs_General!$C$22*Parameters!$F$15)</f>
        <v>12.4356148057143</v>
      </c>
      <c r="CA153" s="39" t="n">
        <f aca="false">IF(BW153=0,0,BX153/BW153-1)</f>
        <v>0</v>
      </c>
      <c r="CB153" s="40" t="n">
        <f aca="false">BD153+BI153</f>
        <v>1.69763214285714</v>
      </c>
      <c r="CC153" s="37" t="n">
        <f aca="false">BD153/BI153</f>
        <v>2.77777777777778</v>
      </c>
      <c r="CD153" s="40" t="n">
        <f aca="false">BN153/CB153</f>
        <v>0.176593658814694</v>
      </c>
      <c r="CE153" s="37" t="n">
        <f aca="false">AE153/AO153</f>
        <v>3.82479639708432</v>
      </c>
      <c r="CF153" s="38" t="n">
        <f aca="false">AE153/AJ153</f>
        <v>46.0256662700615</v>
      </c>
      <c r="CG153" s="38" t="n">
        <f aca="false">INDEX(Context!$V$4:$V$51,$K153)</f>
        <v>25.5785714285714</v>
      </c>
      <c r="CH153" s="38" t="n">
        <f aca="false">INDEX(Context!$Y$4:$Y$51,$K153)</f>
        <v>23.620522619794</v>
      </c>
      <c r="CI153" s="38" t="n">
        <f aca="false">INDEX(Context!$Z$4:$Z$51,$K153)</f>
        <v>29.5785714285714</v>
      </c>
      <c r="CJ153" s="37" t="n">
        <f aca="false">INDEX(Context!$AA$4:$AA$51,$K153)</f>
        <v>0.201160714285714</v>
      </c>
      <c r="CK153" s="37" t="n">
        <f aca="false">MAX(0,MIN(1,1-(1-CJ153)*AO153/AN153))</f>
        <v>0.201160714285714</v>
      </c>
      <c r="CL153" s="38" t="n">
        <f aca="false">CH153+CK153*(CI153-CH153)</f>
        <v>24.8190479739168</v>
      </c>
      <c r="CM153" s="38" t="n">
        <f aca="false">CH153+MAX(0,MIN(1,1-(1-CJ153)*AQ153/AN153))*(CI153-CH153)</f>
        <v>23.620522619794</v>
      </c>
      <c r="CN153" s="38" t="n">
        <f aca="false">CH153+MAX(0,MIN(1,1-(1-CJ153)*AP153/AN153))*(CI153-CH153)</f>
        <v>26.2283428688401</v>
      </c>
      <c r="CO153" s="38" t="n">
        <f aca="false">CL153-CG153</f>
        <v>-0.759523454654609</v>
      </c>
      <c r="CP153" s="38" t="n">
        <f aca="false">CL153-(CH153+CJ153*(CI153-CH153))</f>
        <v>0</v>
      </c>
      <c r="CQ153" s="40" t="n">
        <f aca="false">CL153/CG153</f>
        <v>0.970306259801272</v>
      </c>
      <c r="CR153" s="37" t="n">
        <f aca="false">IF(CL153-CH153&lt;=0,"n/a",(CI153-CL153)/(CL153-CH153))</f>
        <v>3.97114957834</v>
      </c>
      <c r="CS153" s="37" t="n">
        <f aca="false">IF(CI153-CL153&lt;=0,"n/a",(CL153-CH153)/(CI153-CL153))</f>
        <v>0.251816251257405</v>
      </c>
      <c r="CT153" s="37" t="n">
        <f aca="false">Inputs_General!$C$23+Inputs_General!$C$24*$I153</f>
        <v>0.6</v>
      </c>
      <c r="CU153" s="38" t="n">
        <f aca="false">3.29*CT153</f>
        <v>1.974</v>
      </c>
    </row>
    <row r="154" customFormat="false" ht="15" hidden="false" customHeight="false" outlineLevel="0" collapsed="false">
      <c r="A154" s="9" t="str">
        <f aca="false">B154&amp;"|"&amp;E154&amp;"|"&amp;F154</f>
        <v>D3V1|24/02/2026|Very low</v>
      </c>
      <c r="B154" s="7" t="s">
        <v>349</v>
      </c>
      <c r="C154" s="9" t="s">
        <v>131</v>
      </c>
      <c r="D154" s="9" t="s">
        <v>142</v>
      </c>
      <c r="E154" s="9" t="s">
        <v>160</v>
      </c>
      <c r="F154" s="7" t="s">
        <v>277</v>
      </c>
      <c r="G154" s="9" t="s">
        <v>278</v>
      </c>
      <c r="H154" s="41" t="n">
        <f aca="false">INDEX(Severity_Classes!$C$4:$C$9,MATCH(F154,Severity_Classes!$A$4:$A$9,0))</f>
        <v>0.01</v>
      </c>
      <c r="I154" s="41" t="n">
        <f aca="false">INDEX(Severity_Classes!$D$4:$D$9,MATCH(F154,Severity_Classes!$A$4:$A$9,0))</f>
        <v>0.03</v>
      </c>
      <c r="J154" s="41" t="n">
        <f aca="false">INDEX(Severity_Classes!$E$4:$E$9,MATCH(F154,Severity_Classes!$A$4:$A$9,0))</f>
        <v>0.05</v>
      </c>
      <c r="K154" s="42" t="n">
        <f aca="false">MATCH(B154&amp;"|"&amp;E154,Context!$A$4:$A$51,0)</f>
        <v>26</v>
      </c>
      <c r="L154" s="42" t="n">
        <f aca="false">INDEX(Context!$H$4:$H$51,K154)</f>
        <v>59</v>
      </c>
      <c r="M154" s="42" t="n">
        <f aca="false">INDEX(Context!$I$4:$I$51,K154)</f>
        <v>19</v>
      </c>
      <c r="N154" s="9" t="str">
        <f aca="false">INDEX(Context!$L$4:$L$51,K154)</f>
        <v>F</v>
      </c>
      <c r="O154" s="9" t="str">
        <f aca="false">INDEX(Context!$M$4:$M$51,K154)</f>
        <v>5th fully expanded leaf from top</v>
      </c>
      <c r="P154" s="43" t="n">
        <f aca="false">INDEX(Context!$R$4:$R$51,K154)</f>
        <v>0.0232142857142859</v>
      </c>
      <c r="Q154" s="43" t="n">
        <f aca="false">INDEX(Context!$U$4:$U$51,K154)</f>
        <v>1.19492600027053</v>
      </c>
      <c r="R154" s="43" t="n">
        <f aca="false">INDEX(Context!$AD$4:$AD$51,K154)</f>
        <v>1</v>
      </c>
      <c r="S154" s="9" t="str">
        <f aca="false">INDEX(Context!$AI$4:$AN$51,K154,MATCH(F154,Severity_Classes!$A$4:$A$9,0))</f>
        <v>Possible</v>
      </c>
      <c r="T154" s="44" t="n">
        <f aca="false">Parameters!$E$4*IF($N154="V",Parameters!$I$4,IF($N154="F",Parameters!$J$4,Parameters!$K$4))*(1-Parameters!$L$4*$P154)*IF($D154="V1",Parameters!$M$4,IF($D154="V2",Parameters!$N$4,Parameters!$O$4))</f>
        <v>85.0411767857143</v>
      </c>
      <c r="U154" s="44" t="n">
        <f aca="false">MIN(100,T154*(1+INDEX(Response_Table!$E$4:$E$21,MATCH($F154&amp;"|mid",Response_Table!$A$4:$A$21,0))*$R154*INDEX(Parameters!$X$4:$AA$4,1,MATCH($E154,Parameters!$X$3:$AA$3,0))))</f>
        <v>84.6745354605784</v>
      </c>
      <c r="V154" s="44" t="n">
        <f aca="false">MAX(0,MIN(T154*(1+INDEX(Response_Table!$E$4:$E$21,MATCH($F154&amp;"|low",Response_Table!$A$4:$A$21,0))*$R154*INDEX(Parameters!$X$4:$AA$4,1,MATCH($E154,Parameters!$X$3:$AA$3,0))),T154*(1+INDEX(Response_Table!$E$4:$E$21,MATCH($F154&amp;"|high",Response_Table!$A$4:$A$21,0))*$R154*INDEX(Parameters!$X$4:$AA$4,1,MATCH($E154,Parameters!$X$3:$AA$3,0))))*(1-Inputs_General!$C$22*Parameters!$F$4))</f>
        <v>78.8293823968454</v>
      </c>
      <c r="W154" s="44" t="n">
        <f aca="false">MIN(100,MAX(T154*(1+INDEX(Response_Table!$E$4:$E$21,MATCH($F154&amp;"|low",Response_Table!$A$4:$A$21,0))*$R154*INDEX(Parameters!$X$4:$AA$4,1,MATCH($E154,Parameters!$X$3:$AA$3,0))),T154*(1+INDEX(Response_Table!$E$4:$E$21,MATCH($F154&amp;"|high",Response_Table!$A$4:$A$21,0))*$R154*INDEX(Parameters!$X$4:$AA$4,1,MATCH($E154,Parameters!$X$3:$AA$3,0))))*(1+Inputs_General!$C$22*Parameters!$F$4))</f>
        <v>90.5161178166687</v>
      </c>
      <c r="X154" s="45" t="n">
        <f aca="false">IF(T154=0,0,U154/T154-1)</f>
        <v>-0.00431133880072843</v>
      </c>
      <c r="Y154" s="44" t="n">
        <f aca="false">Parameters!$E$5*IF($N154="V",Parameters!$I$5,IF($N154="F",Parameters!$J$5,Parameters!$K$5))*(1-Parameters!$L$5*$P154)*IF($D154="V1",Parameters!$M$5,IF($D154="V2",Parameters!$N$5,Parameters!$O$5))</f>
        <v>70.36344</v>
      </c>
      <c r="Z154" s="44" t="n">
        <f aca="false">MIN(100,Y154*(1+INDEX(Response_Table!$F$4:$F$21,MATCH($F154&amp;"|mid",Response_Table!$A$4:$A$21,0))*$R154*INDEX(Parameters!$X$5:$AA$5,1,MATCH($E154,Parameters!$X$3:$AA$3,0))))</f>
        <v>69.3950462239237</v>
      </c>
      <c r="AA154" s="44" t="n">
        <f aca="false">MAX(0,MIN(Y154*(1+INDEX(Response_Table!$F$4:$F$21,MATCH($F154&amp;"|low",Response_Table!$A$4:$A$21,0))*$R154*INDEX(Parameters!$X$5:$AA$5,1,MATCH($E154,Parameters!$X$3:$AA$3,0))),Y154*(1+INDEX(Response_Table!$F$4:$F$21,MATCH($F154&amp;"|high",Response_Table!$A$4:$A$21,0))*$R154*INDEX(Parameters!$X$5:$AA$5,1,MATCH($E154,Parameters!$X$3:$AA$3,0))))*(1-Inputs_General!$C$22*Parameters!$F$5))</f>
        <v>60.6984695207822</v>
      </c>
      <c r="AB154" s="44" t="n">
        <f aca="false">MIN(100,MAX(Y154*(1+INDEX(Response_Table!$F$4:$F$21,MATCH($F154&amp;"|low",Response_Table!$A$4:$A$21,0))*$R154*INDEX(Parameters!$X$5:$AA$5,1,MATCH($E154,Parameters!$X$3:$AA$3,0))),Y154*(1+INDEX(Response_Table!$F$4:$F$21,MATCH($F154&amp;"|high",Response_Table!$A$4:$A$21,0))*$R154*INDEX(Parameters!$X$5:$AA$5,1,MATCH($E154,Parameters!$X$3:$AA$3,0))))*(1+Inputs_General!$C$22*Parameters!$F$5))</f>
        <v>78.1366343645767</v>
      </c>
      <c r="AC154" s="45" t="n">
        <f aca="false">IF(Y154=0,0,Z154/Y154-1)</f>
        <v>-0.0137627406516267</v>
      </c>
      <c r="AD154" s="44" t="n">
        <f aca="false">Parameters!$E$6*IF($N154="V",Parameters!$I$6,IF($N154="F",Parameters!$J$6,Parameters!$K$6))*(1-Parameters!$L$6*$P154)*IF($D154="V1",Parameters!$M$6,IF($D154="V2",Parameters!$N$6,Parameters!$O$6))</f>
        <v>18.9470714285714</v>
      </c>
      <c r="AE154" s="44" t="n">
        <f aca="false">AD154*(1+INDEX(Response_Table!$G$4:$G$21,MATCH($F154&amp;"|mid",Response_Table!$A$4:$A$21,0))*$R154*INDEX(Parameters!$X$6:$AA$6,1,MATCH($E154,Parameters!$X$3:$AA$3,0)))</f>
        <v>17.1898394293085</v>
      </c>
      <c r="AF154" s="44" t="n">
        <f aca="false">MAX(0,MIN(AD154*(1+INDEX(Response_Table!$G$4:$G$21,MATCH($F154&amp;"|low",Response_Table!$A$4:$A$21,0))*$R154*INDEX(Parameters!$X$6:$AA$6,1,MATCH($E154,Parameters!$X$3:$AA$3,0))),AD154*(1+INDEX(Response_Table!$G$4:$G$21,MATCH($F154&amp;"|high",Response_Table!$A$4:$A$21,0))*$R154*INDEX(Parameters!$X$6:$AA$6,1,MATCH($E154,Parameters!$X$3:$AA$3,0))))*(1-Inputs_General!$C$22*Parameters!$F$6))</f>
        <v>12.9546089677288</v>
      </c>
      <c r="AG154" s="44" t="n">
        <f aca="false">MAX(AD154*(1+INDEX(Response_Table!$G$4:$G$21,MATCH($F154&amp;"|low",Response_Table!$A$4:$A$21,0))*$R154*INDEX(Parameters!$X$6:$AA$6,1,MATCH($E154,Parameters!$X$3:$AA$3,0))),AD154*(1+INDEX(Response_Table!$G$4:$G$21,MATCH($F154&amp;"|high",Response_Table!$A$4:$A$21,0))*$R154*INDEX(Parameters!$X$6:$AA$6,1,MATCH($E154,Parameters!$X$3:$AA$3,0))))*(1+Inputs_General!$C$22*Parameters!$F$6)</f>
        <v>21.9547769434063</v>
      </c>
      <c r="AH154" s="45" t="n">
        <f aca="false">IF(AD154=0,0,AE154/AD154-1)</f>
        <v>-0.0927442536904702</v>
      </c>
      <c r="AI154" s="46" t="n">
        <f aca="false">Parameters!$E$7*IF($N154="V",Parameters!$I$7,IF($N154="F",Parameters!$J$7,Parameters!$K$7))*(1-Parameters!$L$7*$P154)*IF($D154="V1",Parameters!$M$7,IF($D154="V2",Parameters!$N$7,Parameters!$O$7))*POWER($Q154/Inputs_General!$C$26,-Inputs_General!$C$25)</f>
        <v>0.411663164578586</v>
      </c>
      <c r="AJ154" s="46" t="n">
        <f aca="false">AI154*(1+INDEX(Response_Table!$H$4:$H$21,MATCH($F154&amp;"|mid",Response_Table!$A$4:$A$21,0))*$R154*INDEX(Parameters!$X$7:$AA$7,1,MATCH($E154,Parameters!$X$3:$AA$3,0)))</f>
        <v>0.388632780160783</v>
      </c>
      <c r="AK154" s="46" t="n">
        <f aca="false">MAX(0,MIN(AI154*(1+INDEX(Response_Table!$H$4:$H$21,MATCH($F154&amp;"|low",Response_Table!$A$4:$A$21,0))*$R154*INDEX(Parameters!$X$7:$AA$7,1,MATCH($E154,Parameters!$X$3:$AA$3,0))),AI154*(1+INDEX(Response_Table!$H$4:$H$21,MATCH($F154&amp;"|high",Response_Table!$A$4:$A$21,0))*$R154*INDEX(Parameters!$X$7:$AA$7,1,MATCH($E154,Parameters!$X$3:$AA$3,0))))*(1-Inputs_General!$C$22*Parameters!$F$7))</f>
        <v>0.263534006282406</v>
      </c>
      <c r="AL154" s="46" t="n">
        <f aca="false">MAX(AI154*(1+INDEX(Response_Table!$H$4:$H$21,MATCH($F154&amp;"|low",Response_Table!$A$4:$A$21,0))*$R154*INDEX(Parameters!$X$7:$AA$7,1,MATCH($E154,Parameters!$X$3:$AA$3,0))),AI154*(1+INDEX(Response_Table!$H$4:$H$21,MATCH($F154&amp;"|high",Response_Table!$A$4:$A$21,0))*$R154*INDEX(Parameters!$X$7:$AA$7,1,MATCH($E154,Parameters!$X$3:$AA$3,0))))*(1+Inputs_General!$C$22*Parameters!$F$7)</f>
        <v>0.523306789667364</v>
      </c>
      <c r="AM154" s="45" t="n">
        <f aca="false">IF(AI154=0,0,AJ154/AI154-1)</f>
        <v>-0.0559447295737017</v>
      </c>
      <c r="AN154" s="43" t="n">
        <f aca="false">AI154*$Q154/Inputs_General!$C$13*1000</f>
        <v>4.95374641196979</v>
      </c>
      <c r="AO154" s="43" t="n">
        <f aca="false">AJ154*$Q154/Inputs_General!$C$13*1000*(1+Inputs_General!$C$21*$I154)</f>
        <v>4.71168498663976</v>
      </c>
      <c r="AP154" s="43" t="n">
        <f aca="false">AK154*$Q154/Inputs_General!$C$13*1000*(1+Inputs_General!$C$21*$H154)</f>
        <v>3.17916309317684</v>
      </c>
      <c r="AQ154" s="43" t="n">
        <f aca="false">AL154*$Q154/Inputs_General!$C$13*1000*(1+Inputs_General!$C$21*$J154)</f>
        <v>6.37592447336637</v>
      </c>
      <c r="AR154" s="45" t="n">
        <f aca="false">IF(AN154=0,0,AO154/AN154-1)</f>
        <v>-0.0488643150455043</v>
      </c>
      <c r="AS154" s="42" t="n">
        <f aca="false">Parameters!$E$9*IF($N154="V",Parameters!$I$9,IF($N154="F",Parameters!$J$9,Parameters!$K$9))*(1-Parameters!$L$9*$P154)*IF($D154="V1",Parameters!$M$9,IF($D154="V2",Parameters!$N$9,Parameters!$O$9))</f>
        <v>285</v>
      </c>
      <c r="AT154" s="42" t="n">
        <f aca="false">AS154*(1+INDEX(Response_Table!$I$4:$I$21,MATCH($F154&amp;"|mid",Response_Table!$A$4:$A$21,0))*$R154*INDEX(Parameters!$X$9:$AA$9,1,MATCH($E154,Parameters!$X$3:$AA$3,0)))</f>
        <v>294.668302660683</v>
      </c>
      <c r="AU154" s="42" t="n">
        <f aca="false">MAX(0,MIN(AS154*(1+INDEX(Response_Table!$I$4:$I$21,MATCH($F154&amp;"|low",Response_Table!$A$4:$A$21,0))*$R154*INDEX(Parameters!$X$9:$AA$9,1,MATCH($E154,Parameters!$X$3:$AA$3,0))),AS154*(1+INDEX(Response_Table!$I$4:$I$21,MATCH($F154&amp;"|high",Response_Table!$A$4:$A$21,0))*$R154*INDEX(Parameters!$X$9:$AA$9,1,MATCH($E154,Parameters!$X$3:$AA$3,0))))*(1-Inputs_General!$C$22*Parameters!$F$9))</f>
        <v>259.892110911067</v>
      </c>
      <c r="AV154" s="42" t="n">
        <f aca="false">MAX(AS154*(1+INDEX(Response_Table!$I$4:$I$21,MATCH($F154&amp;"|low",Response_Table!$A$4:$A$21,0))*$R154*INDEX(Parameters!$X$9:$AA$9,1,MATCH($E154,Parameters!$X$3:$AA$3,0))),AS154*(1+INDEX(Response_Table!$I$4:$I$21,MATCH($F154&amp;"|high",Response_Table!$A$4:$A$21,0))*$R154*INDEX(Parameters!$X$9:$AA$9,1,MATCH($E154,Parameters!$X$3:$AA$3,0))))*(1+Inputs_General!$C$22*Parameters!$F$9)</f>
        <v>330.15772459622</v>
      </c>
      <c r="AW154" s="45" t="n">
        <f aca="false">IF(AS154=0,0,AT154/AS154-1)</f>
        <v>0.0339238689848527</v>
      </c>
      <c r="AX154" s="43" t="n">
        <f aca="false">INDEX(Context!$AB$4:$AB$51,$K154)</f>
        <v>2.14026803183101</v>
      </c>
      <c r="AY154" s="43" t="n">
        <f aca="false">AX154*(1+INDEX(Response_Table!$J$4:$J$21,MATCH($F154&amp;"|mid",Response_Table!$A$4:$A$21,0))*$R154*INDEX(Parameters!$X$10:$AA$10,1,MATCH($E154,Parameters!$X$3:$AA$3,0)))</f>
        <v>2.07067629399486</v>
      </c>
      <c r="AZ154" s="43" t="n">
        <f aca="false">MAX(0,MIN(AX154*(1+INDEX(Response_Table!$J$4:$J$21,MATCH($F154&amp;"|low",Response_Table!$A$4:$A$21,0))*$R154*INDEX(Parameters!$X$10:$AA$10,1,MATCH($E154,Parameters!$X$3:$AA$3,0))),AX154*(1+INDEX(Response_Table!$J$4:$J$21,MATCH($F154&amp;"|high",Response_Table!$A$4:$A$21,0))*$R154*INDEX(Parameters!$X$10:$AA$10,1,MATCH($E154,Parameters!$X$3:$AA$3,0))))*(1-Inputs_General!$C$22*Parameters!$F$10))</f>
        <v>1.62694915694946</v>
      </c>
      <c r="BA154" s="43" t="n">
        <f aca="false">MAX(AX154*(1+INDEX(Response_Table!$J$4:$J$21,MATCH($F154&amp;"|low",Response_Table!$A$4:$A$21,0))*$R154*INDEX(Parameters!$X$10:$AA$10,1,MATCH($E154,Parameters!$X$3:$AA$3,0))),AX154*(1+INDEX(Response_Table!$J$4:$J$21,MATCH($F154&amp;"|high",Response_Table!$A$4:$A$21,0))*$R154*INDEX(Parameters!$X$10:$AA$10,1,MATCH($E154,Parameters!$X$3:$AA$3,0))))*(1+Inputs_General!$C$22*Parameters!$F$10)</f>
        <v>2.53428332886548</v>
      </c>
      <c r="BB154" s="45" t="n">
        <f aca="false">IF(AX154=0,0,AY154/AX154-1)</f>
        <v>-0.0325154311521512</v>
      </c>
      <c r="BC154" s="46" t="n">
        <f aca="false">Parameters!$E$11*IF($N154="V",Parameters!$I$11,IF($N154="F",Parameters!$J$11,Parameters!$K$11))*(1-Parameters!$L$11*$P154)*IF($D154="V1",Parameters!$M$11,IF($D154="V2",Parameters!$N$11,Parameters!$O$11))</f>
        <v>1.24825892857143</v>
      </c>
      <c r="BD154" s="46" t="n">
        <f aca="false">BC154*(1+INDEX(Response_Table!$K$4:$K$21,MATCH($F154&amp;"|mid",Response_Table!$A$4:$A$21,0))*$R154*INDEX(Parameters!$X$11:$AA$11,1,MATCH($E154,Parameters!$X$3:$AA$3,0)))</f>
        <v>1.17398953257335</v>
      </c>
      <c r="BE154" s="46" t="n">
        <f aca="false">MAX(0,MIN(BC154*(1+INDEX(Response_Table!$K$4:$K$21,MATCH($F154&amp;"|low",Response_Table!$A$4:$A$21,0))*$R154*INDEX(Parameters!$X$11:$AA$11,1,MATCH($E154,Parameters!$X$3:$AA$3,0))),BC154*(1+INDEX(Response_Table!$K$4:$K$21,MATCH($F154&amp;"|high",Response_Table!$A$4:$A$21,0))*$R154*INDEX(Parameters!$X$11:$AA$11,1,MATCH($E154,Parameters!$X$3:$AA$3,0))))*(1-Inputs_General!$C$22*Parameters!$F$11))</f>
        <v>0.942688872895517</v>
      </c>
      <c r="BF154" s="46" t="n">
        <f aca="false">MAX(BC154*(1+INDEX(Response_Table!$K$4:$K$21,MATCH($F154&amp;"|low",Response_Table!$A$4:$A$21,0))*$R154*INDEX(Parameters!$X$11:$AA$11,1,MATCH($E154,Parameters!$X$3:$AA$3,0))),BC154*(1+INDEX(Response_Table!$K$4:$K$21,MATCH($F154&amp;"|high",Response_Table!$A$4:$A$21,0))*$R154*INDEX(Parameters!$X$11:$AA$11,1,MATCH($E154,Parameters!$X$3:$AA$3,0))))*(1+Inputs_General!$C$22*Parameters!$F$11)</f>
        <v>1.42384133205301</v>
      </c>
      <c r="BG154" s="45" t="n">
        <f aca="false">IF(BC154=0,0,BD154/BC154-1)</f>
        <v>-0.0594983895553409</v>
      </c>
      <c r="BH154" s="46" t="n">
        <f aca="false">Parameters!$E$12*IF($N154="V",Parameters!$I$12,IF($N154="F",Parameters!$J$12,Parameters!$K$12))*(1-Parameters!$L$12*$P154)*IF($D154="V1",Parameters!$M$12,IF($D154="V2",Parameters!$N$12,Parameters!$O$12))</f>
        <v>0.449373214285714</v>
      </c>
      <c r="BI154" s="46" t="n">
        <f aca="false">BH154*(1+INDEX(Response_Table!$L$4:$L$21,MATCH($F154&amp;"|mid",Response_Table!$A$4:$A$21,0))*$R154*INDEX(Parameters!$X$12:$AA$12,1,MATCH($E154,Parameters!$X$3:$AA$3,0)))</f>
        <v>0.428100853327278</v>
      </c>
      <c r="BJ154" s="46" t="n">
        <f aca="false">MAX(0,MIN(BH154*(1+INDEX(Response_Table!$L$4:$L$21,MATCH($F154&amp;"|low",Response_Table!$A$4:$A$21,0))*$R154*INDEX(Parameters!$X$12:$AA$12,1,MATCH($E154,Parameters!$X$3:$AA$3,0))),BH154*(1+INDEX(Response_Table!$L$4:$L$21,MATCH($F154&amp;"|high",Response_Table!$A$4:$A$21,0))*$R154*INDEX(Parameters!$X$12:$AA$12,1,MATCH($E154,Parameters!$X$3:$AA$3,0))))*(1-Inputs_General!$C$22*Parameters!$F$12))</f>
        <v>0.333036026298859</v>
      </c>
      <c r="BK154" s="46" t="n">
        <f aca="false">MAX(BH154*(1+INDEX(Response_Table!$L$4:$L$21,MATCH($F154&amp;"|low",Response_Table!$A$4:$A$21,0))*$R154*INDEX(Parameters!$X$12:$AA$12,1,MATCH($E154,Parameters!$X$3:$AA$3,0))),BH154*(1+INDEX(Response_Table!$L$4:$L$21,MATCH($F154&amp;"|high",Response_Table!$A$4:$A$21,0))*$R154*INDEX(Parameters!$X$12:$AA$12,1,MATCH($E154,Parameters!$X$3:$AA$3,0))))*(1+Inputs_General!$C$22*Parameters!$F$12)</f>
        <v>0.52933302810847</v>
      </c>
      <c r="BL154" s="45" t="n">
        <f aca="false">IF(BH154=0,0,BI154/BH154-1)</f>
        <v>-0.0473378481008245</v>
      </c>
      <c r="BM154" s="46" t="n">
        <f aca="false">Parameters!$E$13*IF($N154="V",Parameters!$I$13,IF($N154="F",Parameters!$J$13,Parameters!$K$13))*(1-Parameters!$L$13*$P154)*IF($D154="V1",Parameters!$M$13,IF($D154="V2",Parameters!$N$13,Parameters!$O$13))</f>
        <v>0.299791071428571</v>
      </c>
      <c r="BN154" s="46" t="n">
        <f aca="false">BM154*(1+INDEX(Response_Table!$M$4:$M$21,MATCH($F154&amp;"|mid",Response_Table!$A$4:$A$21,0))*$R154*INDEX(Parameters!$X$13:$AA$13,1,MATCH($E154,Parameters!$X$3:$AA$3,0)))</f>
        <v>0.307581159007864</v>
      </c>
      <c r="BO154" s="46" t="n">
        <f aca="false">MAX(0,MIN(BM154*(1+INDEX(Response_Table!$M$4:$M$21,MATCH($F154&amp;"|low",Response_Table!$A$4:$A$21,0))*$R154*INDEX(Parameters!$X$13:$AA$13,1,MATCH($E154,Parameters!$X$3:$AA$3,0))),BM154*(1+INDEX(Response_Table!$M$4:$M$21,MATCH($F154&amp;"|high",Response_Table!$A$4:$A$21,0))*$R154*INDEX(Parameters!$X$13:$AA$13,1,MATCH($E154,Parameters!$X$3:$AA$3,0))))*(1-Inputs_General!$C$22*Parameters!$F$13))</f>
        <v>0.243685954463858</v>
      </c>
      <c r="BP154" s="46" t="n">
        <f aca="false">MAX(BM154*(1+INDEX(Response_Table!$M$4:$M$21,MATCH($F154&amp;"|low",Response_Table!$A$4:$A$21,0))*$R154*INDEX(Parameters!$X$13:$AA$13,1,MATCH($E154,Parameters!$X$3:$AA$3,0))),BM154*(1+INDEX(Response_Table!$M$4:$M$21,MATCH($F154&amp;"|high",Response_Table!$A$4:$A$21,0))*$R154*INDEX(Parameters!$X$13:$AA$13,1,MATCH($E154,Parameters!$X$3:$AA$3,0))))*(1+Inputs_General!$C$22*Parameters!$F$13)</f>
        <v>0.368561235003753</v>
      </c>
      <c r="BQ154" s="45" t="n">
        <f aca="false">IF(BM154=0,0,BN154/BM154-1)</f>
        <v>0.0259850553326055</v>
      </c>
      <c r="BR154" s="44" t="n">
        <f aca="false">Parameters!$E$14*IF($N154="V",Parameters!$I$14,IF($N154="F",Parameters!$J$14,Parameters!$K$14))*(1-Parameters!$L$14*$P154)*IF($D154="V1",Parameters!$M$14,IF($D154="V2",Parameters!$N$14,Parameters!$O$14))*INDEX(Context!$AC$4:$AC$51,$K154)</f>
        <v>15.75</v>
      </c>
      <c r="BS154" s="44" t="n">
        <f aca="false">BR154*(1+INDEX(Response_Table!$N$4:$N$21,MATCH($F154&amp;"|mid",Response_Table!$A$4:$A$21,0))*$R154*INDEX(Parameters!$X$14:$AA$14,1,MATCH($E154,Parameters!$X$3:$AA$3,0)))</f>
        <v>16.5633502991869</v>
      </c>
      <c r="BT154" s="44" t="n">
        <f aca="false">MAX(0,MIN(BR154*(1+INDEX(Response_Table!$N$4:$N$21,MATCH($F154&amp;"|low",Response_Table!$A$4:$A$21,0))*$R154*INDEX(Parameters!$X$14:$AA$14,1,MATCH($E154,Parameters!$X$3:$AA$3,0))),BR154*(1+INDEX(Response_Table!$N$4:$N$21,MATCH($F154&amp;"|high",Response_Table!$A$4:$A$21,0))*$R154*INDEX(Parameters!$X$14:$AA$14,1,MATCH($E154,Parameters!$X$3:$AA$3,0))))*(1-Inputs_General!$C$22*Parameters!$F$14))</f>
        <v>8.11883523708508</v>
      </c>
      <c r="BU154" s="44" t="n">
        <f aca="false">MAX(BR154*(1+INDEX(Response_Table!$N$4:$N$21,MATCH($F154&amp;"|low",Response_Table!$A$4:$A$21,0))*$R154*INDEX(Parameters!$X$14:$AA$14,1,MATCH($E154,Parameters!$X$3:$AA$3,0))),BR154*(1+INDEX(Response_Table!$N$4:$N$21,MATCH($F154&amp;"|high",Response_Table!$A$4:$A$21,0))*$R154*INDEX(Parameters!$X$14:$AA$14,1,MATCH($E154,Parameters!$X$3:$AA$3,0))))*(1+Inputs_General!$C$22*Parameters!$F$14)</f>
        <v>25.4885334216267</v>
      </c>
      <c r="BV154" s="45" t="n">
        <f aca="false">IF(BR154=0,0,BS154/BR154-1)</f>
        <v>0.051641288837263</v>
      </c>
      <c r="BW154" s="43" t="n">
        <f aca="false">Parameters!$E$15*IF($N154="V",Parameters!$I$15,IF($N154="F",Parameters!$J$15,Parameters!$K$15))*(1-Parameters!$L$15*$P154)*IF($D154="V1",Parameters!$M$15,IF($D154="V2",Parameters!$N$15,Parameters!$O$15))</f>
        <v>10.3855142857143</v>
      </c>
      <c r="BX154" s="43" t="n">
        <f aca="false">BW154*(1+INDEX(Response_Table!$O$4:$O$21,MATCH($F154&amp;"|mid",Response_Table!$A$4:$A$21,0))*$R154*INDEX(Parameters!$X$15:$AA$15,1,MATCH($E154,Parameters!$X$3:$AA$3,0)))</f>
        <v>10.2514339499763</v>
      </c>
      <c r="BY154" s="43" t="n">
        <f aca="false">MAX(0,MIN(BW154*(1+INDEX(Response_Table!$O$4:$O$21,MATCH($F154&amp;"|low",Response_Table!$A$4:$A$21,0))*$R154*INDEX(Parameters!$X$15:$AA$15,1,MATCH($E154,Parameters!$X$3:$AA$3,0))),BW154*(1+INDEX(Response_Table!$O$4:$O$21,MATCH($F154&amp;"|high",Response_Table!$A$4:$A$21,0))*$R154*INDEX(Parameters!$X$15:$AA$15,1,MATCH($E154,Parameters!$X$3:$AA$3,0))))*(1-Inputs_General!$C$22*Parameters!$F$15))</f>
        <v>8.16125526810017</v>
      </c>
      <c r="BZ154" s="43" t="n">
        <f aca="false">MAX(BW154*(1+INDEX(Response_Table!$O$4:$O$21,MATCH($F154&amp;"|low",Response_Table!$A$4:$A$21,0))*$R154*INDEX(Parameters!$X$15:$AA$15,1,MATCH($E154,Parameters!$X$3:$AA$3,0))),BW154*(1+INDEX(Response_Table!$O$4:$O$21,MATCH($F154&amp;"|high",Response_Table!$A$4:$A$21,0))*$R154*INDEX(Parameters!$X$15:$AA$15,1,MATCH($E154,Parameters!$X$3:$AA$3,0))))*(1+Inputs_General!$C$22*Parameters!$F$15)</f>
        <v>12.3804856116274</v>
      </c>
      <c r="CA154" s="45" t="n">
        <f aca="false">IF(BW154=0,0,BX154/BW154-1)</f>
        <v>-0.0129103222093158</v>
      </c>
      <c r="CB154" s="46" t="n">
        <f aca="false">BD154+BI154</f>
        <v>1.60209038590063</v>
      </c>
      <c r="CC154" s="43" t="n">
        <f aca="false">BD154/BI154</f>
        <v>2.74232000111397</v>
      </c>
      <c r="CD154" s="46" t="n">
        <f aca="false">BN154/CB154</f>
        <v>0.191987394540761</v>
      </c>
      <c r="CE154" s="43" t="n">
        <f aca="false">AE154/AO154</f>
        <v>3.64834225506401</v>
      </c>
      <c r="CF154" s="44" t="n">
        <f aca="false">AE154/AJ154</f>
        <v>44.2315736263854</v>
      </c>
      <c r="CG154" s="44" t="n">
        <f aca="false">INDEX(Context!$V$4:$V$51,$K154)</f>
        <v>25.5785714285714</v>
      </c>
      <c r="CH154" s="44" t="n">
        <f aca="false">INDEX(Context!$Y$4:$Y$51,$K154)</f>
        <v>23.620522619794</v>
      </c>
      <c r="CI154" s="44" t="n">
        <f aca="false">INDEX(Context!$Z$4:$Z$51,$K154)</f>
        <v>29.5785714285714</v>
      </c>
      <c r="CJ154" s="43" t="n">
        <f aca="false">INDEX(Context!$AA$4:$AA$51,$K154)</f>
        <v>0.201160714285714</v>
      </c>
      <c r="CK154" s="43" t="n">
        <f aca="false">MAX(0,MIN(1,1-(1-CJ154)*AO154/AN154))</f>
        <v>0.240195448813583</v>
      </c>
      <c r="CL154" s="44" t="n">
        <f aca="false">CH154+CK154*(CI154-CH154)</f>
        <v>25.0516188274715</v>
      </c>
      <c r="CM154" s="44" t="n">
        <f aca="false">CH154+MAX(0,MIN(1,1-(1-CJ154)*AQ154/AN154))*(CI154-CH154)</f>
        <v>23.620522619794</v>
      </c>
      <c r="CN154" s="44" t="n">
        <f aca="false">CH154+MAX(0,MIN(1,1-(1-CJ154)*AP154/AN154))*(CI154-CH154)</f>
        <v>26.5240546952188</v>
      </c>
      <c r="CO154" s="44" t="n">
        <f aca="false">CL154-CG154</f>
        <v>-0.5269526010999</v>
      </c>
      <c r="CP154" s="44" t="n">
        <f aca="false">CL154-(CH154+CJ154*(CI154-CH154))</f>
        <v>0.232570853554709</v>
      </c>
      <c r="CQ154" s="46" t="n">
        <f aca="false">CL154/CG154</f>
        <v>0.97939866960235</v>
      </c>
      <c r="CR154" s="43" t="n">
        <f aca="false">IF(CL154-CH154&lt;=0,"n/a",(CI154-CL154)/(CL154-CH154))</f>
        <v>3.16327621917644</v>
      </c>
      <c r="CS154" s="43" t="n">
        <f aca="false">IF(CI154-CL154&lt;=0,"n/a",(CL154-CH154)/(CI154-CL154))</f>
        <v>0.316127941637784</v>
      </c>
      <c r="CT154" s="43" t="n">
        <f aca="false">Inputs_General!$C$23+Inputs_General!$C$24*$I154</f>
        <v>0.66</v>
      </c>
      <c r="CU154" s="44" t="n">
        <f aca="false">3.29*CT154</f>
        <v>2.1714</v>
      </c>
    </row>
    <row r="155" customFormat="false" ht="15" hidden="false" customHeight="false" outlineLevel="0" collapsed="false">
      <c r="A155" s="9" t="str">
        <f aca="false">B155&amp;"|"&amp;E155&amp;"|"&amp;F155</f>
        <v>D3V1|24/02/2026|Low</v>
      </c>
      <c r="B155" s="7" t="s">
        <v>349</v>
      </c>
      <c r="C155" s="9" t="s">
        <v>131</v>
      </c>
      <c r="D155" s="9" t="s">
        <v>142</v>
      </c>
      <c r="E155" s="9" t="s">
        <v>160</v>
      </c>
      <c r="F155" s="7" t="s">
        <v>279</v>
      </c>
      <c r="G155" s="9" t="s">
        <v>280</v>
      </c>
      <c r="H155" s="41" t="n">
        <f aca="false">INDEX(Severity_Classes!$C$4:$C$9,MATCH(F155,Severity_Classes!$A$4:$A$9,0))</f>
        <v>0.06</v>
      </c>
      <c r="I155" s="41" t="n">
        <f aca="false">INDEX(Severity_Classes!$D$4:$D$9,MATCH(F155,Severity_Classes!$A$4:$A$9,0))</f>
        <v>0.08</v>
      </c>
      <c r="J155" s="41" t="n">
        <f aca="false">INDEX(Severity_Classes!$E$4:$E$9,MATCH(F155,Severity_Classes!$A$4:$A$9,0))</f>
        <v>0.1</v>
      </c>
      <c r="K155" s="42" t="n">
        <f aca="false">MATCH(B155&amp;"|"&amp;E155,Context!$A$4:$A$51,0)</f>
        <v>26</v>
      </c>
      <c r="L155" s="42" t="n">
        <f aca="false">INDEX(Context!$H$4:$H$51,K155)</f>
        <v>59</v>
      </c>
      <c r="M155" s="42" t="n">
        <f aca="false">INDEX(Context!$I$4:$I$51,K155)</f>
        <v>19</v>
      </c>
      <c r="N155" s="9" t="str">
        <f aca="false">INDEX(Context!$L$4:$L$51,K155)</f>
        <v>F</v>
      </c>
      <c r="O155" s="9" t="str">
        <f aca="false">INDEX(Context!$M$4:$M$51,K155)</f>
        <v>5th fully expanded leaf from top</v>
      </c>
      <c r="P155" s="43" t="n">
        <f aca="false">INDEX(Context!$R$4:$R$51,K155)</f>
        <v>0.0232142857142859</v>
      </c>
      <c r="Q155" s="43" t="n">
        <f aca="false">INDEX(Context!$U$4:$U$51,K155)</f>
        <v>1.19492600027053</v>
      </c>
      <c r="R155" s="43" t="n">
        <f aca="false">INDEX(Context!$AD$4:$AD$51,K155)</f>
        <v>1</v>
      </c>
      <c r="S155" s="9" t="str">
        <f aca="false">INDEX(Context!$AI$4:$AN$51,K155,MATCH(F155,Severity_Classes!$A$4:$A$9,0))</f>
        <v>Likely</v>
      </c>
      <c r="T155" s="44" t="n">
        <f aca="false">Parameters!$E$4*IF($N155="V",Parameters!$I$4,IF($N155="F",Parameters!$J$4,Parameters!$K$4))*(1-Parameters!$L$4*$P155)*IF($D155="V1",Parameters!$M$4,IF($D155="V2",Parameters!$N$4,Parameters!$O$4))</f>
        <v>85.0411767857143</v>
      </c>
      <c r="U155" s="44" t="n">
        <f aca="false">MIN(100,T155*(1+INDEX(Response_Table!$E$4:$E$21,MATCH($F155&amp;"|mid",Response_Table!$A$4:$A$21,0))*$R155*INDEX(Parameters!$X$4:$AA$4,1,MATCH($E155,Parameters!$X$3:$AA$3,0))))</f>
        <v>83.8575205195697</v>
      </c>
      <c r="V155" s="44" t="n">
        <f aca="false">MAX(0,MIN(T155*(1+INDEX(Response_Table!$E$4:$E$21,MATCH($F155&amp;"|low",Response_Table!$A$4:$A$21,0))*$R155*INDEX(Parameters!$X$4:$AA$4,1,MATCH($E155,Parameters!$X$3:$AA$3,0))),T155*(1+INDEX(Response_Table!$E$4:$E$21,MATCH($F155&amp;"|high",Response_Table!$A$4:$A$21,0))*$R155*INDEX(Parameters!$X$4:$AA$4,1,MATCH($E155,Parameters!$X$3:$AA$3,0))))*(1-Inputs_General!$C$22*Parameters!$F$4))</f>
        <v>77.9533522038771</v>
      </c>
      <c r="W155" s="44" t="n">
        <f aca="false">MIN(100,MAX(T155*(1+INDEX(Response_Table!$E$4:$E$21,MATCH($F155&amp;"|low",Response_Table!$A$4:$A$21,0))*$R155*INDEX(Parameters!$X$4:$AA$4,1,MATCH($E155,Parameters!$X$3:$AA$3,0))),T155*(1+INDEX(Response_Table!$E$4:$E$21,MATCH($F155&amp;"|high",Response_Table!$A$4:$A$21,0))*$R155*INDEX(Parameters!$X$4:$AA$4,1,MATCH($E155,Parameters!$X$3:$AA$3,0))))*(1+Inputs_General!$C$22*Parameters!$F$4))</f>
        <v>89.7605371785638</v>
      </c>
      <c r="X155" s="45" t="n">
        <f aca="false">IF(T155=0,0,U155/T155-1)</f>
        <v>-0.0139186251987928</v>
      </c>
      <c r="Y155" s="44" t="n">
        <f aca="false">Parameters!$E$5*IF($N155="V",Parameters!$I$5,IF($N155="F",Parameters!$J$5,Parameters!$K$5))*(1-Parameters!$L$5*$P155)*IF($D155="V1",Parameters!$M$5,IF($D155="V2",Parameters!$N$5,Parameters!$O$5))</f>
        <v>70.36344</v>
      </c>
      <c r="Z155" s="44" t="n">
        <f aca="false">MIN(100,Y155*(1+INDEX(Response_Table!$F$4:$F$21,MATCH($F155&amp;"|mid",Response_Table!$A$4:$A$21,0))*$R155*INDEX(Parameters!$X$5:$AA$5,1,MATCH($E155,Parameters!$X$3:$AA$3,0))))</f>
        <v>67.1303020217464</v>
      </c>
      <c r="AA155" s="44" t="n">
        <f aca="false">MAX(0,MIN(Y155*(1+INDEX(Response_Table!$F$4:$F$21,MATCH($F155&amp;"|low",Response_Table!$A$4:$A$21,0))*$R155*INDEX(Parameters!$X$5:$AA$5,1,MATCH($E155,Parameters!$X$3:$AA$3,0))),Y155*(1+INDEX(Response_Table!$F$4:$F$21,MATCH($F155&amp;"|high",Response_Table!$A$4:$A$21,0))*$R155*INDEX(Parameters!$X$5:$AA$5,1,MATCH($E155,Parameters!$X$3:$AA$3,0))))*(1-Inputs_General!$C$22*Parameters!$F$5))</f>
        <v>58.3531553964109</v>
      </c>
      <c r="AB155" s="44" t="n">
        <f aca="false">MIN(100,MAX(Y155*(1+INDEX(Response_Table!$F$4:$F$21,MATCH($F155&amp;"|low",Response_Table!$A$4:$A$21,0))*$R155*INDEX(Parameters!$X$5:$AA$5,1,MATCH($E155,Parameters!$X$3:$AA$3,0))),Y155*(1+INDEX(Response_Table!$F$4:$F$21,MATCH($F155&amp;"|high",Response_Table!$A$4:$A$21,0))*$R155*INDEX(Parameters!$X$5:$AA$5,1,MATCH($E155,Parameters!$X$3:$AA$3,0))))*(1+Inputs_General!$C$22*Parameters!$F$5))</f>
        <v>75.9937738910924</v>
      </c>
      <c r="AC155" s="45" t="n">
        <f aca="false">IF(Y155=0,0,Z155/Y155-1)</f>
        <v>-0.0459491175851214</v>
      </c>
      <c r="AD155" s="44" t="n">
        <f aca="false">Parameters!$E$6*IF($N155="V",Parameters!$I$6,IF($N155="F",Parameters!$J$6,Parameters!$K$6))*(1-Parameters!$L$6*$P155)*IF($D155="V1",Parameters!$M$6,IF($D155="V2",Parameters!$N$6,Parameters!$O$6))</f>
        <v>18.9470714285714</v>
      </c>
      <c r="AE155" s="44" t="n">
        <f aca="false">AD155*(1+INDEX(Response_Table!$G$4:$G$21,MATCH($F155&amp;"|mid",Response_Table!$A$4:$A$21,0))*$R155*INDEX(Parameters!$X$6:$AA$6,1,MATCH($E155,Parameters!$X$3:$AA$3,0)))</f>
        <v>14.730591886178</v>
      </c>
      <c r="AF155" s="44" t="n">
        <f aca="false">MAX(0,MIN(AD155*(1+INDEX(Response_Table!$G$4:$G$21,MATCH($F155&amp;"|low",Response_Table!$A$4:$A$21,0))*$R155*INDEX(Parameters!$X$6:$AA$6,1,MATCH($E155,Parameters!$X$3:$AA$3,0))),AD155*(1+INDEX(Response_Table!$G$4:$G$21,MATCH($F155&amp;"|high",Response_Table!$A$4:$A$21,0))*$R155*INDEX(Parameters!$X$6:$AA$6,1,MATCH($E155,Parameters!$X$3:$AA$3,0))))*(1-Inputs_General!$C$22*Parameters!$F$6))</f>
        <v>11.1470874038032</v>
      </c>
      <c r="AG155" s="44" t="n">
        <f aca="false">MAX(AD155*(1+INDEX(Response_Table!$G$4:$G$21,MATCH($F155&amp;"|low",Response_Table!$A$4:$A$21,0))*$R155*INDEX(Parameters!$X$6:$AA$6,1,MATCH($E155,Parameters!$X$3:$AA$3,0))),AD155*(1+INDEX(Response_Table!$G$4:$G$21,MATCH($F155&amp;"|high",Response_Table!$A$4:$A$21,0))*$R155*INDEX(Parameters!$X$6:$AA$6,1,MATCH($E155,Parameters!$X$3:$AA$3,0))))*(1+Inputs_General!$C$22*Parameters!$F$6)</f>
        <v>18.7391962356118</v>
      </c>
      <c r="AH155" s="45" t="n">
        <f aca="false">IF(AD155=0,0,AE155/AD155-1)</f>
        <v>-0.222539908517744</v>
      </c>
      <c r="AI155" s="46" t="n">
        <f aca="false">Parameters!$E$7*IF($N155="V",Parameters!$I$7,IF($N155="F",Parameters!$J$7,Parameters!$K$7))*(1-Parameters!$L$7*$P155)*IF($D155="V1",Parameters!$M$7,IF($D155="V2",Parameters!$N$7,Parameters!$O$7))*POWER($Q155/Inputs_General!$C$26,-Inputs_General!$C$25)</f>
        <v>0.411663164578586</v>
      </c>
      <c r="AJ155" s="46" t="n">
        <f aca="false">AI155*(1+INDEX(Response_Table!$H$4:$H$21,MATCH($F155&amp;"|mid",Response_Table!$A$4:$A$21,0))*$R155*INDEX(Parameters!$X$7:$AA$7,1,MATCH($E155,Parameters!$X$3:$AA$3,0)))</f>
        <v>0.354568822113528</v>
      </c>
      <c r="AK155" s="46" t="n">
        <f aca="false">MAX(0,MIN(AI155*(1+INDEX(Response_Table!$H$4:$H$21,MATCH($F155&amp;"|low",Response_Table!$A$4:$A$21,0))*$R155*INDEX(Parameters!$X$7:$AA$7,1,MATCH($E155,Parameters!$X$3:$AA$3,0))),AI155*(1+INDEX(Response_Table!$H$4:$H$21,MATCH($F155&amp;"|high",Response_Table!$A$4:$A$21,0))*$R155*INDEX(Parameters!$X$7:$AA$7,1,MATCH($E155,Parameters!$X$3:$AA$3,0))))*(1-Inputs_General!$C$22*Parameters!$F$7))</f>
        <v>0.240952734101228</v>
      </c>
      <c r="AL155" s="46" t="n">
        <f aca="false">MAX(AI155*(1+INDEX(Response_Table!$H$4:$H$21,MATCH($F155&amp;"|low",Response_Table!$A$4:$A$21,0))*$R155*INDEX(Parameters!$X$7:$AA$7,1,MATCH($E155,Parameters!$X$3:$AA$3,0))),AI155*(1+INDEX(Response_Table!$H$4:$H$21,MATCH($F155&amp;"|high",Response_Table!$A$4:$A$21,0))*$R155*INDEX(Parameters!$X$7:$AA$7,1,MATCH($E155,Parameters!$X$3:$AA$3,0))))*(1+Inputs_General!$C$22*Parameters!$F$7)</f>
        <v>0.476426391807172</v>
      </c>
      <c r="AM155" s="45" t="n">
        <f aca="false">IF(AI155=0,0,AJ155/AI155-1)</f>
        <v>-0.13869189030674</v>
      </c>
      <c r="AN155" s="43" t="n">
        <f aca="false">AI155*$Q155/Inputs_General!$C$13*1000</f>
        <v>4.95374641196979</v>
      </c>
      <c r="AO155" s="43" t="n">
        <f aca="false">AJ155*$Q155/Inputs_General!$C$13*1000*(1+Inputs_General!$C$21*$I155)</f>
        <v>4.35203599715333</v>
      </c>
      <c r="AP155" s="43" t="n">
        <f aca="false">AK155*$Q155/Inputs_General!$C$13*1000*(1+Inputs_General!$C$21*$H155)</f>
        <v>2.94299594275968</v>
      </c>
      <c r="AQ155" s="43" t="n">
        <f aca="false">AL155*$Q155/Inputs_General!$C$13*1000*(1+Inputs_General!$C$21*$J155)</f>
        <v>5.87640120700001</v>
      </c>
      <c r="AR155" s="45" t="n">
        <f aca="false">IF(AN155=0,0,AO155/AN155-1)</f>
        <v>-0.121465728112875</v>
      </c>
      <c r="AS155" s="42" t="n">
        <f aca="false">Parameters!$E$9*IF($N155="V",Parameters!$I$9,IF($N155="F",Parameters!$J$9,Parameters!$K$9))*(1-Parameters!$L$9*$P155)*IF($D155="V1",Parameters!$M$9,IF($D155="V2",Parameters!$N$9,Parameters!$O$9))</f>
        <v>285</v>
      </c>
      <c r="AT155" s="42" t="n">
        <f aca="false">AS155*(1+INDEX(Response_Table!$I$4:$I$21,MATCH($F155&amp;"|mid",Response_Table!$A$4:$A$21,0))*$R155*INDEX(Parameters!$X$9:$AA$9,1,MATCH($E155,Parameters!$X$3:$AA$3,0)))</f>
        <v>308.414257330199</v>
      </c>
      <c r="AU155" s="42" t="n">
        <f aca="false">MAX(0,MIN(AS155*(1+INDEX(Response_Table!$I$4:$I$21,MATCH($F155&amp;"|low",Response_Table!$A$4:$A$21,0))*$R155*INDEX(Parameters!$X$9:$AA$9,1,MATCH($E155,Parameters!$X$3:$AA$3,0))),AS155*(1+INDEX(Response_Table!$I$4:$I$21,MATCH($F155&amp;"|high",Response_Table!$A$4:$A$21,0))*$R155*INDEX(Parameters!$X$9:$AA$9,1,MATCH($E155,Parameters!$X$3:$AA$3,0))))*(1-Inputs_General!$C$22*Parameters!$F$9))</f>
        <v>273.313202404171</v>
      </c>
      <c r="AV155" s="42" t="n">
        <f aca="false">MAX(AS155*(1+INDEX(Response_Table!$I$4:$I$21,MATCH($F155&amp;"|low",Response_Table!$A$4:$A$21,0))*$R155*INDEX(Parameters!$X$9:$AA$9,1,MATCH($E155,Parameters!$X$3:$AA$3,0))),AS155*(1+INDEX(Response_Table!$I$4:$I$21,MATCH($F155&amp;"|high",Response_Table!$A$4:$A$21,0))*$R155*INDEX(Parameters!$X$9:$AA$9,1,MATCH($E155,Parameters!$X$3:$AA$3,0))))*(1+Inputs_General!$C$22*Parameters!$F$9)</f>
        <v>344.099255743465</v>
      </c>
      <c r="AW155" s="45" t="n">
        <f aca="false">IF(AS155=0,0,AT155/AS155-1)</f>
        <v>0.0821552888778927</v>
      </c>
      <c r="AX155" s="43" t="n">
        <f aca="false">INDEX(Context!$AB$4:$AB$51,$K155)</f>
        <v>2.14026803183101</v>
      </c>
      <c r="AY155" s="43" t="n">
        <f aca="false">AX155*(1+INDEX(Response_Table!$J$4:$J$21,MATCH($F155&amp;"|mid",Response_Table!$A$4:$A$21,0))*$R155*INDEX(Parameters!$X$10:$AA$10,1,MATCH($E155,Parameters!$X$3:$AA$3,0)))</f>
        <v>1.96568388337744</v>
      </c>
      <c r="AZ155" s="43" t="n">
        <f aca="false">MAX(0,MIN(AX155*(1+INDEX(Response_Table!$J$4:$J$21,MATCH($F155&amp;"|low",Response_Table!$A$4:$A$21,0))*$R155*INDEX(Parameters!$X$10:$AA$10,1,MATCH($E155,Parameters!$X$3:$AA$3,0))),AX155*(1+INDEX(Response_Table!$J$4:$J$21,MATCH($F155&amp;"|high",Response_Table!$A$4:$A$21,0))*$R155*INDEX(Parameters!$X$10:$AA$10,1,MATCH($E155,Parameters!$X$3:$AA$3,0))))*(1-Inputs_General!$C$22*Parameters!$F$10))</f>
        <v>1.54679199382376</v>
      </c>
      <c r="BA155" s="43" t="n">
        <f aca="false">MAX(AX155*(1+INDEX(Response_Table!$J$4:$J$21,MATCH($F155&amp;"|low",Response_Table!$A$4:$A$21,0))*$R155*INDEX(Parameters!$X$10:$AA$10,1,MATCH($E155,Parameters!$X$3:$AA$3,0))),AX155*(1+INDEX(Response_Table!$J$4:$J$21,MATCH($F155&amp;"|high",Response_Table!$A$4:$A$21,0))*$R155*INDEX(Parameters!$X$10:$AA$10,1,MATCH($E155,Parameters!$X$3:$AA$3,0))))*(1+Inputs_General!$C$22*Parameters!$F$10)</f>
        <v>2.40211972118556</v>
      </c>
      <c r="BB155" s="45" t="n">
        <f aca="false">IF(AX155=0,0,AY155/AX155-1)</f>
        <v>-0.0815711611149081</v>
      </c>
      <c r="BC155" s="46" t="n">
        <f aca="false">Parameters!$E$11*IF($N155="V",Parameters!$I$11,IF($N155="F",Parameters!$J$11,Parameters!$K$11))*(1-Parameters!$L$11*$P155)*IF($D155="V1",Parameters!$M$11,IF($D155="V2",Parameters!$N$11,Parameters!$O$11))</f>
        <v>1.24825892857143</v>
      </c>
      <c r="BD155" s="46" t="n">
        <f aca="false">BC155*(1+INDEX(Response_Table!$K$4:$K$21,MATCH($F155&amp;"|mid",Response_Table!$A$4:$A$21,0))*$R155*INDEX(Parameters!$X$11:$AA$11,1,MATCH($E155,Parameters!$X$3:$AA$3,0)))</f>
        <v>1.06500488094241</v>
      </c>
      <c r="BE155" s="46" t="n">
        <f aca="false">MAX(0,MIN(BC155*(1+INDEX(Response_Table!$K$4:$K$21,MATCH($F155&amp;"|low",Response_Table!$A$4:$A$21,0))*$R155*INDEX(Parameters!$X$11:$AA$11,1,MATCH($E155,Parameters!$X$3:$AA$3,0))),BC155*(1+INDEX(Response_Table!$K$4:$K$21,MATCH($F155&amp;"|high",Response_Table!$A$4:$A$21,0))*$R155*INDEX(Parameters!$X$11:$AA$11,1,MATCH($E155,Parameters!$X$3:$AA$3,0))))*(1-Inputs_General!$C$22*Parameters!$F$11))</f>
        <v>0.857277255156348</v>
      </c>
      <c r="BF155" s="46" t="n">
        <f aca="false">MAX(BC155*(1+INDEX(Response_Table!$K$4:$K$21,MATCH($F155&amp;"|low",Response_Table!$A$4:$A$21,0))*$R155*INDEX(Parameters!$X$11:$AA$11,1,MATCH($E155,Parameters!$X$3:$AA$3,0))),BC155*(1+INDEX(Response_Table!$K$4:$K$21,MATCH($F155&amp;"|high",Response_Table!$A$4:$A$21,0))*$R155*INDEX(Parameters!$X$11:$AA$11,1,MATCH($E155,Parameters!$X$3:$AA$3,0))))*(1+Inputs_General!$C$22*Parameters!$F$11)</f>
        <v>1.28854074528884</v>
      </c>
      <c r="BG155" s="45" t="n">
        <f aca="false">IF(BC155=0,0,BD155/BC155-1)</f>
        <v>-0.146807720285039</v>
      </c>
      <c r="BH155" s="46" t="n">
        <f aca="false">Parameters!$E$12*IF($N155="V",Parameters!$I$12,IF($N155="F",Parameters!$J$12,Parameters!$K$12))*(1-Parameters!$L$12*$P155)*IF($D155="V1",Parameters!$M$12,IF($D155="V2",Parameters!$N$12,Parameters!$O$12))</f>
        <v>0.449373214285714</v>
      </c>
      <c r="BI155" s="46" t="n">
        <f aca="false">BH155*(1+INDEX(Response_Table!$L$4:$L$21,MATCH($F155&amp;"|mid",Response_Table!$A$4:$A$21,0))*$R155*INDEX(Parameters!$X$12:$AA$12,1,MATCH($E155,Parameters!$X$3:$AA$3,0)))</f>
        <v>0.396637166134367</v>
      </c>
      <c r="BJ155" s="46" t="n">
        <f aca="false">MAX(0,MIN(BH155*(1+INDEX(Response_Table!$L$4:$L$21,MATCH($F155&amp;"|low",Response_Table!$A$4:$A$21,0))*$R155*INDEX(Parameters!$X$12:$AA$12,1,MATCH($E155,Parameters!$X$3:$AA$3,0))),BH155*(1+INDEX(Response_Table!$L$4:$L$21,MATCH($F155&amp;"|high",Response_Table!$A$4:$A$21,0))*$R155*INDEX(Parameters!$X$12:$AA$12,1,MATCH($E155,Parameters!$X$3:$AA$3,0))))*(1-Inputs_General!$C$22*Parameters!$F$12))</f>
        <v>0.309253876943397</v>
      </c>
      <c r="BK155" s="46" t="n">
        <f aca="false">MAX(BH155*(1+INDEX(Response_Table!$L$4:$L$21,MATCH($F155&amp;"|low",Response_Table!$A$4:$A$21,0))*$R155*INDEX(Parameters!$X$12:$AA$12,1,MATCH($E155,Parameters!$X$3:$AA$3,0))),BH155*(1+INDEX(Response_Table!$L$4:$L$21,MATCH($F155&amp;"|high",Response_Table!$A$4:$A$21,0))*$R155*INDEX(Parameters!$X$12:$AA$12,1,MATCH($E155,Parameters!$X$3:$AA$3,0))))*(1+Inputs_General!$C$22*Parameters!$F$12)</f>
        <v>0.489328740729536</v>
      </c>
      <c r="BL155" s="45" t="n">
        <f aca="false">IF(BH155=0,0,BI155/BH155-1)</f>
        <v>-0.117354676413396</v>
      </c>
      <c r="BM155" s="46" t="n">
        <f aca="false">Parameters!$E$13*IF($N155="V",Parameters!$I$13,IF($N155="F",Parameters!$J$13,Parameters!$K$13))*(1-Parameters!$L$13*$P155)*IF($D155="V1",Parameters!$M$13,IF($D155="V2",Parameters!$N$13,Parameters!$O$13))</f>
        <v>0.299791071428571</v>
      </c>
      <c r="BN155" s="46" t="n">
        <f aca="false">BM155*(1+INDEX(Response_Table!$M$4:$M$21,MATCH($F155&amp;"|mid",Response_Table!$A$4:$A$21,0))*$R155*INDEX(Parameters!$X$13:$AA$13,1,MATCH($E155,Parameters!$X$3:$AA$3,0)))</f>
        <v>0.303497497892198</v>
      </c>
      <c r="BO155" s="46" t="n">
        <f aca="false">MAX(0,MIN(BM155*(1+INDEX(Response_Table!$M$4:$M$21,MATCH($F155&amp;"|low",Response_Table!$A$4:$A$21,0))*$R155*INDEX(Parameters!$X$13:$AA$13,1,MATCH($E155,Parameters!$X$3:$AA$3,0))),BM155*(1+INDEX(Response_Table!$M$4:$M$21,MATCH($F155&amp;"|high",Response_Table!$A$4:$A$21,0))*$R155*INDEX(Parameters!$X$13:$AA$13,1,MATCH($E155,Parameters!$X$3:$AA$3,0))))*(1-Inputs_General!$C$22*Parameters!$F$13))</f>
        <v>0.23972861426147</v>
      </c>
      <c r="BP155" s="46" t="n">
        <f aca="false">MAX(BM155*(1+INDEX(Response_Table!$M$4:$M$21,MATCH($F155&amp;"|low",Response_Table!$A$4:$A$21,0))*$R155*INDEX(Parameters!$X$13:$AA$13,1,MATCH($E155,Parameters!$X$3:$AA$3,0))),BM155*(1+INDEX(Response_Table!$M$4:$M$21,MATCH($F155&amp;"|high",Response_Table!$A$4:$A$21,0))*$R155*INDEX(Parameters!$X$13:$AA$13,1,MATCH($E155,Parameters!$X$3:$AA$3,0))))*(1+Inputs_General!$C$22*Parameters!$F$13)</f>
        <v>0.36744782270714</v>
      </c>
      <c r="BQ155" s="45" t="n">
        <f aca="false">IF(BM155=0,0,BN155/BM155-1)</f>
        <v>0.012363365079435</v>
      </c>
      <c r="BR155" s="44" t="n">
        <f aca="false">Parameters!$E$14*IF($N155="V",Parameters!$I$14,IF($N155="F",Parameters!$J$14,Parameters!$K$14))*(1-Parameters!$L$14*$P155)*IF($D155="V1",Parameters!$M$14,IF($D155="V2",Parameters!$N$14,Parameters!$O$14))*INDEX(Context!$AC$4:$AC$51,$K155)</f>
        <v>15.75</v>
      </c>
      <c r="BS155" s="44" t="n">
        <f aca="false">BR155*(1+INDEX(Response_Table!$N$4:$N$21,MATCH($F155&amp;"|mid",Response_Table!$A$4:$A$21,0))*$R155*INDEX(Parameters!$X$14:$AA$14,1,MATCH($E155,Parameters!$X$3:$AA$3,0)))</f>
        <v>17.7663667129211</v>
      </c>
      <c r="BT155" s="44" t="n">
        <f aca="false">MAX(0,MIN(BR155*(1+INDEX(Response_Table!$N$4:$N$21,MATCH($F155&amp;"|low",Response_Table!$A$4:$A$21,0))*$R155*INDEX(Parameters!$X$14:$AA$14,1,MATCH($E155,Parameters!$X$3:$AA$3,0))),BR155*(1+INDEX(Response_Table!$N$4:$N$21,MATCH($F155&amp;"|high",Response_Table!$A$4:$A$21,0))*$R155*INDEX(Parameters!$X$14:$AA$14,1,MATCH($E155,Parameters!$X$3:$AA$3,0))))*(1-Inputs_General!$C$22*Parameters!$F$14))</f>
        <v>8.7658417783458</v>
      </c>
      <c r="BU155" s="44" t="n">
        <f aca="false">MAX(BR155*(1+INDEX(Response_Table!$N$4:$N$21,MATCH($F155&amp;"|low",Response_Table!$A$4:$A$21,0))*$R155*INDEX(Parameters!$X$14:$AA$14,1,MATCH($E155,Parameters!$X$3:$AA$3,0))),BR155*(1+INDEX(Response_Table!$N$4:$N$21,MATCH($F155&amp;"|high",Response_Table!$A$4:$A$21,0))*$R155*INDEX(Parameters!$X$14:$AA$14,1,MATCH($E155,Parameters!$X$3:$AA$3,0))))*(1+Inputs_General!$C$22*Parameters!$F$14)</f>
        <v>27.180606481042</v>
      </c>
      <c r="BV155" s="45" t="n">
        <f aca="false">IF(BR155=0,0,BS155/BR155-1)</f>
        <v>0.128023283360068</v>
      </c>
      <c r="BW155" s="43" t="n">
        <f aca="false">Parameters!$E$15*IF($N155="V",Parameters!$I$15,IF($N155="F",Parameters!$J$15,Parameters!$K$15))*(1-Parameters!$L$15*$P155)*IF($D155="V1",Parameters!$M$15,IF($D155="V2",Parameters!$N$15,Parameters!$O$15))</f>
        <v>10.3855142857143</v>
      </c>
      <c r="BX155" s="43" t="n">
        <f aca="false">BW155*(1+INDEX(Response_Table!$O$4:$O$21,MATCH($F155&amp;"|mid",Response_Table!$A$4:$A$21,0))*$R155*INDEX(Parameters!$X$15:$AA$15,1,MATCH($E155,Parameters!$X$3:$AA$3,0)))</f>
        <v>10.0531173761543</v>
      </c>
      <c r="BY155" s="43" t="n">
        <f aca="false">MAX(0,MIN(BW155*(1+INDEX(Response_Table!$O$4:$O$21,MATCH($F155&amp;"|low",Response_Table!$A$4:$A$21,0))*$R155*INDEX(Parameters!$X$15:$AA$15,1,MATCH($E155,Parameters!$X$3:$AA$3,0))),BW155*(1+INDEX(Response_Table!$O$4:$O$21,MATCH($F155&amp;"|high",Response_Table!$A$4:$A$21,0))*$R155*INDEX(Parameters!$X$15:$AA$15,1,MATCH($E155,Parameters!$X$3:$AA$3,0))))*(1-Inputs_General!$C$22*Parameters!$F$15))</f>
        <v>8.0113556600415</v>
      </c>
      <c r="BZ155" s="43" t="n">
        <f aca="false">MAX(BW155*(1+INDEX(Response_Table!$O$4:$O$21,MATCH($F155&amp;"|low",Response_Table!$A$4:$A$21,0))*$R155*INDEX(Parameters!$X$15:$AA$15,1,MATCH($E155,Parameters!$X$3:$AA$3,0))),BW155*(1+INDEX(Response_Table!$O$4:$O$21,MATCH($F155&amp;"|high",Response_Table!$A$4:$A$21,0))*$R155*INDEX(Parameters!$X$15:$AA$15,1,MATCH($E155,Parameters!$X$3:$AA$3,0))))*(1+Inputs_General!$C$22*Parameters!$F$15)</f>
        <v>12.1283373760269</v>
      </c>
      <c r="CA155" s="45" t="n">
        <f aca="false">IF(BW155=0,0,BX155/BW155-1)</f>
        <v>-0.032005820840017</v>
      </c>
      <c r="CB155" s="46" t="n">
        <f aca="false">BD155+BI155</f>
        <v>1.46164204707678</v>
      </c>
      <c r="CC155" s="43" t="n">
        <f aca="false">BD155/BI155</f>
        <v>2.68508594724486</v>
      </c>
      <c r="CD155" s="46" t="n">
        <f aca="false">BN155/CB155</f>
        <v>0.207641466321511</v>
      </c>
      <c r="CE155" s="43" t="n">
        <f aca="false">AE155/AO155</f>
        <v>3.3847587418425</v>
      </c>
      <c r="CF155" s="44" t="n">
        <f aca="false">AE155/AJ155</f>
        <v>41.5450850934137</v>
      </c>
      <c r="CG155" s="44" t="n">
        <f aca="false">INDEX(Context!$V$4:$V$51,$K155)</f>
        <v>25.5785714285714</v>
      </c>
      <c r="CH155" s="44" t="n">
        <f aca="false">INDEX(Context!$Y$4:$Y$51,$K155)</f>
        <v>23.620522619794</v>
      </c>
      <c r="CI155" s="44" t="n">
        <f aca="false">INDEX(Context!$Z$4:$Z$51,$K155)</f>
        <v>29.5785714285714</v>
      </c>
      <c r="CJ155" s="43" t="n">
        <f aca="false">INDEX(Context!$AA$4:$AA$51,$K155)</f>
        <v>0.201160714285714</v>
      </c>
      <c r="CK155" s="43" t="n">
        <f aca="false">MAX(0,MIN(1,1-(1-CJ155)*AO155/AN155))</f>
        <v>0.298192309770169</v>
      </c>
      <c r="CL155" s="44" t="n">
        <f aca="false">CH155+CK155*(CI155-CH155)</f>
        <v>25.3971669558068</v>
      </c>
      <c r="CM155" s="44" t="n">
        <f aca="false">CH155+MAX(0,MIN(1,1-(1-CJ155)*AQ155/AN155))*(CI155-CH155)</f>
        <v>23.9325679702402</v>
      </c>
      <c r="CN155" s="44" t="n">
        <f aca="false">CH155+MAX(0,MIN(1,1-(1-CJ155)*AP155/AN155))*(CI155-CH155)</f>
        <v>26.7509623723888</v>
      </c>
      <c r="CO155" s="44" t="n">
        <f aca="false">CL155-CG155</f>
        <v>-0.18140447276468</v>
      </c>
      <c r="CP155" s="44" t="n">
        <f aca="false">CL155-(CH155+CJ155*(CI155-CH155))</f>
        <v>0.578118981889929</v>
      </c>
      <c r="CQ155" s="46" t="n">
        <f aca="false">CL155/CG155</f>
        <v>0.992907951357985</v>
      </c>
      <c r="CR155" s="43" t="n">
        <f aca="false">IF(CL155-CH155&lt;=0,"n/a",(CI155-CL155)/(CL155-CH155))</f>
        <v>2.35354054157449</v>
      </c>
      <c r="CS155" s="43" t="n">
        <f aca="false">IF(CI155-CL155&lt;=0,"n/a",(CL155-CH155)/(CI155-CL155))</f>
        <v>0.424891767248255</v>
      </c>
      <c r="CT155" s="43" t="n">
        <f aca="false">Inputs_General!$C$23+Inputs_General!$C$24*$I155</f>
        <v>0.76</v>
      </c>
      <c r="CU155" s="44" t="n">
        <f aca="false">3.29*CT155</f>
        <v>2.5004</v>
      </c>
    </row>
    <row r="156" customFormat="false" ht="15" hidden="false" customHeight="false" outlineLevel="0" collapsed="false">
      <c r="A156" s="9" t="str">
        <f aca="false">B156&amp;"|"&amp;E156&amp;"|"&amp;F156</f>
        <v>D3V1|24/02/2026|Moderate</v>
      </c>
      <c r="B156" s="7" t="s">
        <v>349</v>
      </c>
      <c r="C156" s="9" t="s">
        <v>131</v>
      </c>
      <c r="D156" s="9" t="s">
        <v>142</v>
      </c>
      <c r="E156" s="9" t="s">
        <v>160</v>
      </c>
      <c r="F156" s="7" t="s">
        <v>281</v>
      </c>
      <c r="G156" s="9" t="s">
        <v>282</v>
      </c>
      <c r="H156" s="41" t="n">
        <f aca="false">INDEX(Severity_Classes!$C$4:$C$9,MATCH(F156,Severity_Classes!$A$4:$A$9,0))</f>
        <v>0.11</v>
      </c>
      <c r="I156" s="41" t="n">
        <f aca="false">INDEX(Severity_Classes!$D$4:$D$9,MATCH(F156,Severity_Classes!$A$4:$A$9,0))</f>
        <v>0.18</v>
      </c>
      <c r="J156" s="41" t="n">
        <f aca="false">INDEX(Severity_Classes!$E$4:$E$9,MATCH(F156,Severity_Classes!$A$4:$A$9,0))</f>
        <v>0.25</v>
      </c>
      <c r="K156" s="42" t="n">
        <f aca="false">MATCH(B156&amp;"|"&amp;E156,Context!$A$4:$A$51,0)</f>
        <v>26</v>
      </c>
      <c r="L156" s="42" t="n">
        <f aca="false">INDEX(Context!$H$4:$H$51,K156)</f>
        <v>59</v>
      </c>
      <c r="M156" s="42" t="n">
        <f aca="false">INDEX(Context!$I$4:$I$51,K156)</f>
        <v>19</v>
      </c>
      <c r="N156" s="9" t="str">
        <f aca="false">INDEX(Context!$L$4:$L$51,K156)</f>
        <v>F</v>
      </c>
      <c r="O156" s="9" t="str">
        <f aca="false">INDEX(Context!$M$4:$M$51,K156)</f>
        <v>5th fully expanded leaf from top</v>
      </c>
      <c r="P156" s="43" t="n">
        <f aca="false">INDEX(Context!$R$4:$R$51,K156)</f>
        <v>0.0232142857142859</v>
      </c>
      <c r="Q156" s="43" t="n">
        <f aca="false">INDEX(Context!$U$4:$U$51,K156)</f>
        <v>1.19492600027053</v>
      </c>
      <c r="R156" s="43" t="n">
        <f aca="false">INDEX(Context!$AD$4:$AD$51,K156)</f>
        <v>1</v>
      </c>
      <c r="S156" s="9" t="str">
        <f aca="false">INDEX(Context!$AI$4:$AN$51,K156,MATCH(F156,Severity_Classes!$A$4:$A$9,0))</f>
        <v>Likely</v>
      </c>
      <c r="T156" s="44" t="n">
        <f aca="false">Parameters!$E$4*IF($N156="V",Parameters!$I$4,IF($N156="F",Parameters!$J$4,Parameters!$K$4))*(1-Parameters!$L$4*$P156)*IF($D156="V1",Parameters!$M$4,IF($D156="V2",Parameters!$N$4,Parameters!$O$4))</f>
        <v>85.0411767857143</v>
      </c>
      <c r="U156" s="44" t="n">
        <f aca="false">MIN(100,T156*(1+INDEX(Response_Table!$E$4:$E$21,MATCH($F156&amp;"|mid",Response_Table!$A$4:$A$21,0))*$R156*INDEX(Parameters!$X$4:$AA$4,1,MATCH($E156,Parameters!$X$3:$AA$3,0))))</f>
        <v>81.172659893036</v>
      </c>
      <c r="V156" s="44" t="n">
        <f aca="false">MAX(0,MIN(T156*(1+INDEX(Response_Table!$E$4:$E$21,MATCH($F156&amp;"|low",Response_Table!$A$4:$A$21,0))*$R156*INDEX(Parameters!$X$4:$AA$4,1,MATCH($E156,Parameters!$X$3:$AA$3,0))),T156*(1+INDEX(Response_Table!$E$4:$E$21,MATCH($F156&amp;"|high",Response_Table!$A$4:$A$21,0))*$R156*INDEX(Parameters!$X$4:$AA$4,1,MATCH($E156,Parameters!$X$3:$AA$3,0))))*(1-Inputs_General!$C$22*Parameters!$F$4))</f>
        <v>73.1243042236388</v>
      </c>
      <c r="W156" s="44" t="n">
        <f aca="false">MIN(100,MAX(T156*(1+INDEX(Response_Table!$E$4:$E$21,MATCH($F156&amp;"|low",Response_Table!$A$4:$A$21,0))*$R156*INDEX(Parameters!$X$4:$AA$4,1,MATCH($E156,Parameters!$X$3:$AA$3,0))),T156*(1+INDEX(Response_Table!$E$4:$E$21,MATCH($F156&amp;"|high",Response_Table!$A$4:$A$21,0))*$R156*INDEX(Parameters!$X$4:$AA$4,1,MATCH($E156,Parameters!$X$3:$AA$3,0))))*(1+Inputs_General!$C$22*Parameters!$F$4))</f>
        <v>88.6916462072468</v>
      </c>
      <c r="X156" s="45" t="n">
        <f aca="false">IF(T156=0,0,U156/T156-1)</f>
        <v>-0.0454899266319667</v>
      </c>
      <c r="Y156" s="44" t="n">
        <f aca="false">Parameters!$E$5*IF($N156="V",Parameters!$I$5,IF($N156="F",Parameters!$J$5,Parameters!$K$5))*(1-Parameters!$L$5*$P156)*IF($D156="V1",Parameters!$M$5,IF($D156="V2",Parameters!$N$5,Parameters!$O$5))</f>
        <v>70.36344</v>
      </c>
      <c r="Z156" s="44" t="n">
        <f aca="false">MIN(100,Y156*(1+INDEX(Response_Table!$F$4:$F$21,MATCH($F156&amp;"|mid",Response_Table!$A$4:$A$21,0))*$R156*INDEX(Parameters!$X$5:$AA$5,1,MATCH($E156,Parameters!$X$3:$AA$3,0))))</f>
        <v>59.3065295735448</v>
      </c>
      <c r="AA156" s="44" t="n">
        <f aca="false">MAX(0,MIN(Y156*(1+INDEX(Response_Table!$F$4:$F$21,MATCH($F156&amp;"|low",Response_Table!$A$4:$A$21,0))*$R156*INDEX(Parameters!$X$5:$AA$5,1,MATCH($E156,Parameters!$X$3:$AA$3,0))),Y156*(1+INDEX(Response_Table!$F$4:$F$21,MATCH($F156&amp;"|high",Response_Table!$A$4:$A$21,0))*$R156*INDEX(Parameters!$X$5:$AA$5,1,MATCH($E156,Parameters!$X$3:$AA$3,0))))*(1-Inputs_General!$C$22*Parameters!$F$5))</f>
        <v>45.2365470665309</v>
      </c>
      <c r="AB156" s="44" t="n">
        <f aca="false">MIN(100,MAX(Y156*(1+INDEX(Response_Table!$F$4:$F$21,MATCH($F156&amp;"|low",Response_Table!$A$4:$A$21,0))*$R156*INDEX(Parameters!$X$5:$AA$5,1,MATCH($E156,Parameters!$X$3:$AA$3,0))),Y156*(1+INDEX(Response_Table!$F$4:$F$21,MATCH($F156&amp;"|high",Response_Table!$A$4:$A$21,0))*$R156*INDEX(Parameters!$X$5:$AA$5,1,MATCH($E156,Parameters!$X$3:$AA$3,0))))*(1+Inputs_General!$C$22*Parameters!$F$5))</f>
        <v>72.8057567466175</v>
      </c>
      <c r="AC156" s="45" t="n">
        <f aca="false">IF(Y156=0,0,Z156/Y156-1)</f>
        <v>-0.157139992394561</v>
      </c>
      <c r="AD156" s="44" t="n">
        <f aca="false">Parameters!$E$6*IF($N156="V",Parameters!$I$6,IF($N156="F",Parameters!$J$6,Parameters!$K$6))*(1-Parameters!$L$6*$P156)*IF($D156="V1",Parameters!$M$6,IF($D156="V2",Parameters!$N$6,Parameters!$O$6))</f>
        <v>18.9470714285714</v>
      </c>
      <c r="AE156" s="44" t="n">
        <f aca="false">AD156*(1+INDEX(Response_Table!$G$4:$G$21,MATCH($F156&amp;"|mid",Response_Table!$A$4:$A$21,0))*$R156*INDEX(Parameters!$X$6:$AA$6,1,MATCH($E156,Parameters!$X$3:$AA$3,0)))</f>
        <v>11.1731545177373</v>
      </c>
      <c r="AF156" s="44" t="n">
        <f aca="false">MAX(0,MIN(AD156*(1+INDEX(Response_Table!$G$4:$G$21,MATCH($F156&amp;"|low",Response_Table!$A$4:$A$21,0))*$R156*INDEX(Parameters!$X$6:$AA$6,1,MATCH($E156,Parameters!$X$3:$AA$3,0))),AD156*(1+INDEX(Response_Table!$G$4:$G$21,MATCH($F156&amp;"|high",Response_Table!$A$4:$A$21,0))*$R156*INDEX(Parameters!$X$6:$AA$6,1,MATCH($E156,Parameters!$X$3:$AA$3,0))))*(1-Inputs_General!$C$22*Parameters!$F$6))</f>
        <v>7.59818771953165</v>
      </c>
      <c r="AG156" s="44" t="n">
        <f aca="false">MAX(AD156*(1+INDEX(Response_Table!$G$4:$G$21,MATCH($F156&amp;"|low",Response_Table!$A$4:$A$21,0))*$R156*INDEX(Parameters!$X$6:$AA$6,1,MATCH($E156,Parameters!$X$3:$AA$3,0))),AD156*(1+INDEX(Response_Table!$G$4:$G$21,MATCH($F156&amp;"|high",Response_Table!$A$4:$A$21,0))*$R156*INDEX(Parameters!$X$6:$AA$6,1,MATCH($E156,Parameters!$X$3:$AA$3,0))))*(1+Inputs_General!$C$22*Parameters!$F$6)</f>
        <v>16.1586322712411</v>
      </c>
      <c r="AH156" s="45" t="n">
        <f aca="false">IF(AD156=0,0,AE156/AD156-1)</f>
        <v>-0.410296490417582</v>
      </c>
      <c r="AI156" s="46" t="n">
        <f aca="false">Parameters!$E$7*IF($N156="V",Parameters!$I$7,IF($N156="F",Parameters!$J$7,Parameters!$K$7))*(1-Parameters!$L$7*$P156)*IF($D156="V1",Parameters!$M$7,IF($D156="V2",Parameters!$N$7,Parameters!$O$7))*POWER($Q156/Inputs_General!$C$26,-Inputs_General!$C$25)</f>
        <v>0.411663164578586</v>
      </c>
      <c r="AJ156" s="46" t="n">
        <f aca="false">AI156*(1+INDEX(Response_Table!$H$4:$H$21,MATCH($F156&amp;"|mid",Response_Table!$A$4:$A$21,0))*$R156*INDEX(Parameters!$X$7:$AA$7,1,MATCH($E156,Parameters!$X$3:$AA$3,0)))</f>
        <v>0.300014500923701</v>
      </c>
      <c r="AK156" s="46" t="n">
        <f aca="false">MAX(0,MIN(AI156*(1+INDEX(Response_Table!$H$4:$H$21,MATCH($F156&amp;"|low",Response_Table!$A$4:$A$21,0))*$R156*INDEX(Parameters!$X$7:$AA$7,1,MATCH($E156,Parameters!$X$3:$AA$3,0))),AI156*(1+INDEX(Response_Table!$H$4:$H$21,MATCH($F156&amp;"|high",Response_Table!$A$4:$A$21,0))*$R156*INDEX(Parameters!$X$7:$AA$7,1,MATCH($E156,Parameters!$X$3:$AA$3,0))))*(1-Inputs_General!$C$22*Parameters!$F$7))</f>
        <v>0.190389780296919</v>
      </c>
      <c r="AL156" s="46" t="n">
        <f aca="false">MAX(AI156*(1+INDEX(Response_Table!$H$4:$H$21,MATCH($F156&amp;"|low",Response_Table!$A$4:$A$21,0))*$R156*INDEX(Parameters!$X$7:$AA$7,1,MATCH($E156,Parameters!$X$3:$AA$3,0))),AI156*(1+INDEX(Response_Table!$H$4:$H$21,MATCH($F156&amp;"|high",Response_Table!$A$4:$A$21,0))*$R156*INDEX(Parameters!$X$7:$AA$7,1,MATCH($E156,Parameters!$X$3:$AA$3,0))))*(1+Inputs_General!$C$22*Parameters!$F$7)</f>
        <v>0.436076059430924</v>
      </c>
      <c r="AM156" s="45" t="n">
        <f aca="false">IF(AI156=0,0,AJ156/AI156-1)</f>
        <v>-0.271213635956907</v>
      </c>
      <c r="AN156" s="43" t="n">
        <f aca="false">AI156*$Q156/Inputs_General!$C$13*1000</f>
        <v>4.95374641196979</v>
      </c>
      <c r="AO156" s="43" t="n">
        <f aca="false">AJ156*$Q156/Inputs_General!$C$13*1000*(1+Inputs_General!$C$21*$I156)</f>
        <v>3.77268286358967</v>
      </c>
      <c r="AP156" s="43" t="n">
        <f aca="false">AK156*$Q156/Inputs_General!$C$13*1000*(1+Inputs_General!$C$21*$H156)</f>
        <v>2.3540583622941</v>
      </c>
      <c r="AQ156" s="43" t="n">
        <f aca="false">AL156*$Q156/Inputs_General!$C$13*1000*(1+Inputs_General!$C$21*$J156)</f>
        <v>5.57548877496348</v>
      </c>
      <c r="AR156" s="45" t="n">
        <f aca="false">IF(AN156=0,0,AO156/AN156-1)</f>
        <v>-0.238418249574968</v>
      </c>
      <c r="AS156" s="42" t="n">
        <f aca="false">Parameters!$E$9*IF($N156="V",Parameters!$I$9,IF($N156="F",Parameters!$J$9,Parameters!$K$9))*(1-Parameters!$L$9*$P156)*IF($D156="V1",Parameters!$M$9,IF($D156="V2",Parameters!$N$9,Parameters!$O$9))</f>
        <v>285</v>
      </c>
      <c r="AT156" s="42" t="n">
        <f aca="false">AS156*(1+INDEX(Response_Table!$I$4:$I$21,MATCH($F156&amp;"|mid",Response_Table!$A$4:$A$21,0))*$R156*INDEX(Parameters!$X$9:$AA$9,1,MATCH($E156,Parameters!$X$3:$AA$3,0)))</f>
        <v>328.882682115422</v>
      </c>
      <c r="AU156" s="42" t="n">
        <f aca="false">MAX(0,MIN(AS156*(1+INDEX(Response_Table!$I$4:$I$21,MATCH($F156&amp;"|low",Response_Table!$A$4:$A$21,0))*$R156*INDEX(Parameters!$X$9:$AA$9,1,MATCH($E156,Parameters!$X$3:$AA$3,0))),AS156*(1+INDEX(Response_Table!$I$4:$I$21,MATCH($F156&amp;"|high",Response_Table!$A$4:$A$21,0))*$R156*INDEX(Parameters!$X$9:$AA$9,1,MATCH($E156,Parameters!$X$3:$AA$3,0))))*(1-Inputs_General!$C$22*Parameters!$F$9))</f>
        <v>284.301462749449</v>
      </c>
      <c r="AV156" s="42" t="n">
        <f aca="false">MAX(AS156*(1+INDEX(Response_Table!$I$4:$I$21,MATCH($F156&amp;"|low",Response_Table!$A$4:$A$21,0))*$R156*INDEX(Parameters!$X$9:$AA$9,1,MATCH($E156,Parameters!$X$3:$AA$3,0))),AS156*(1+INDEX(Response_Table!$I$4:$I$21,MATCH($F156&amp;"|high",Response_Table!$A$4:$A$21,0))*$R156*INDEX(Parameters!$X$9:$AA$9,1,MATCH($E156,Parameters!$X$3:$AA$3,0))))*(1+Inputs_General!$C$22*Parameters!$F$9)</f>
        <v>372.510178357712</v>
      </c>
      <c r="AW156" s="45" t="n">
        <f aca="false">IF(AS156=0,0,AT156/AS156-1)</f>
        <v>0.153974323212009</v>
      </c>
      <c r="AX156" s="43" t="n">
        <f aca="false">INDEX(Context!$AB$4:$AB$51,$K156)</f>
        <v>2.14026803183101</v>
      </c>
      <c r="AY156" s="43" t="n">
        <f aca="false">AX156*(1+INDEX(Response_Table!$J$4:$J$21,MATCH($F156&amp;"|mid",Response_Table!$A$4:$A$21,0))*$R156*INDEX(Parameters!$X$10:$AA$10,1,MATCH($E156,Parameters!$X$3:$AA$3,0)))</f>
        <v>1.79126023460727</v>
      </c>
      <c r="AZ156" s="43" t="n">
        <f aca="false">MAX(0,MIN(AX156*(1+INDEX(Response_Table!$J$4:$J$21,MATCH($F156&amp;"|low",Response_Table!$A$4:$A$21,0))*$R156*INDEX(Parameters!$X$10:$AA$10,1,MATCH($E156,Parameters!$X$3:$AA$3,0))),AX156*(1+INDEX(Response_Table!$J$4:$J$21,MATCH($F156&amp;"|high",Response_Table!$A$4:$A$21,0))*$R156*INDEX(Parameters!$X$10:$AA$10,1,MATCH($E156,Parameters!$X$3:$AA$3,0))))*(1-Inputs_General!$C$22*Parameters!$F$10))</f>
        <v>1.3585359253997</v>
      </c>
      <c r="BA156" s="43" t="n">
        <f aca="false">MAX(AX156*(1+INDEX(Response_Table!$J$4:$J$21,MATCH($F156&amp;"|low",Response_Table!$A$4:$A$21,0))*$R156*INDEX(Parameters!$X$10:$AA$10,1,MATCH($E156,Parameters!$X$3:$AA$3,0))),AX156*(1+INDEX(Response_Table!$J$4:$J$21,MATCH($F156&amp;"|high",Response_Table!$A$4:$A$21,0))*$R156*INDEX(Parameters!$X$10:$AA$10,1,MATCH($E156,Parameters!$X$3:$AA$3,0))))*(1+Inputs_General!$C$22*Parameters!$F$10)</f>
        <v>2.28548574677363</v>
      </c>
      <c r="BB156" s="45" t="n">
        <f aca="false">IF(AX156=0,0,AY156/AX156-1)</f>
        <v>-0.163067331770202</v>
      </c>
      <c r="BC156" s="46" t="n">
        <f aca="false">Parameters!$E$11*IF($N156="V",Parameters!$I$11,IF($N156="F",Parameters!$J$11,Parameters!$K$11))*(1-Parameters!$L$11*$P156)*IF($D156="V1",Parameters!$M$11,IF($D156="V2",Parameters!$N$11,Parameters!$O$11))</f>
        <v>1.24825892857143</v>
      </c>
      <c r="BD156" s="46" t="n">
        <f aca="false">BC156*(1+INDEX(Response_Table!$K$4:$K$21,MATCH($F156&amp;"|mid",Response_Table!$A$4:$A$21,0))*$R156*INDEX(Parameters!$X$11:$AA$11,1,MATCH($E156,Parameters!$X$3:$AA$3,0)))</f>
        <v>0.892995187124841</v>
      </c>
      <c r="BE156" s="46" t="n">
        <f aca="false">MAX(0,MIN(BC156*(1+INDEX(Response_Table!$K$4:$K$21,MATCH($F156&amp;"|low",Response_Table!$A$4:$A$21,0))*$R156*INDEX(Parameters!$X$11:$AA$11,1,MATCH($E156,Parameters!$X$3:$AA$3,0))),BC156*(1+INDEX(Response_Table!$K$4:$K$21,MATCH($F156&amp;"|high",Response_Table!$A$4:$A$21,0))*$R156*INDEX(Parameters!$X$11:$AA$11,1,MATCH($E156,Parameters!$X$3:$AA$3,0))))*(1-Inputs_General!$C$22*Parameters!$F$11))</f>
        <v>0.669621421093864</v>
      </c>
      <c r="BF156" s="46" t="n">
        <f aca="false">MAX(BC156*(1+INDEX(Response_Table!$K$4:$K$21,MATCH($F156&amp;"|low",Response_Table!$A$4:$A$21,0))*$R156*INDEX(Parameters!$X$11:$AA$11,1,MATCH($E156,Parameters!$X$3:$AA$3,0))),BC156*(1+INDEX(Response_Table!$K$4:$K$21,MATCH($F156&amp;"|high",Response_Table!$A$4:$A$21,0))*$R156*INDEX(Parameters!$X$11:$AA$11,1,MATCH($E156,Parameters!$X$3:$AA$3,0))))*(1+Inputs_General!$C$22*Parameters!$F$11)</f>
        <v>1.17324519063427</v>
      </c>
      <c r="BG156" s="45" t="n">
        <f aca="false">IF(BC156=0,0,BD156/BC156-1)</f>
        <v>-0.284607410622065</v>
      </c>
      <c r="BH156" s="46" t="n">
        <f aca="false">Parameters!$E$12*IF($N156="V",Parameters!$I$12,IF($N156="F",Parameters!$J$12,Parameters!$K$12))*(1-Parameters!$L$12*$P156)*IF($D156="V1",Parameters!$M$12,IF($D156="V2",Parameters!$N$12,Parameters!$O$12))</f>
        <v>0.449373214285714</v>
      </c>
      <c r="BI156" s="46" t="n">
        <f aca="false">BH156*(1+INDEX(Response_Table!$L$4:$L$21,MATCH($F156&amp;"|mid",Response_Table!$A$4:$A$21,0))*$R156*INDEX(Parameters!$X$12:$AA$12,1,MATCH($E156,Parameters!$X$3:$AA$3,0)))</f>
        <v>0.346247246837347</v>
      </c>
      <c r="BJ156" s="46" t="n">
        <f aca="false">MAX(0,MIN(BH156*(1+INDEX(Response_Table!$L$4:$L$21,MATCH($F156&amp;"|low",Response_Table!$A$4:$A$21,0))*$R156*INDEX(Parameters!$X$12:$AA$12,1,MATCH($E156,Parameters!$X$3:$AA$3,0))),BH156*(1+INDEX(Response_Table!$L$4:$L$21,MATCH($F156&amp;"|high",Response_Table!$A$4:$A$21,0))*$R156*INDEX(Parameters!$X$12:$AA$12,1,MATCH($E156,Parameters!$X$3:$AA$3,0))))*(1-Inputs_General!$C$22*Parameters!$F$12))</f>
        <v>0.256001973792001</v>
      </c>
      <c r="BK156" s="46" t="n">
        <f aca="false">MAX(BH156*(1+INDEX(Response_Table!$L$4:$L$21,MATCH($F156&amp;"|low",Response_Table!$A$4:$A$21,0))*$R156*INDEX(Parameters!$X$12:$AA$12,1,MATCH($E156,Parameters!$X$3:$AA$3,0))),BH156*(1+INDEX(Response_Table!$L$4:$L$21,MATCH($F156&amp;"|high",Response_Table!$A$4:$A$21,0))*$R156*INDEX(Parameters!$X$12:$AA$12,1,MATCH($E156,Parameters!$X$3:$AA$3,0))))*(1+Inputs_General!$C$22*Parameters!$F$12)</f>
        <v>0.454896731491288</v>
      </c>
      <c r="BL156" s="45" t="n">
        <f aca="false">IF(BH156=0,0,BI156/BH156-1)</f>
        <v>-0.229488461194306</v>
      </c>
      <c r="BM156" s="46" t="n">
        <f aca="false">Parameters!$E$13*IF($N156="V",Parameters!$I$13,IF($N156="F",Parameters!$J$13,Parameters!$K$13))*(1-Parameters!$L$13*$P156)*IF($D156="V1",Parameters!$M$13,IF($D156="V2",Parameters!$N$13,Parameters!$O$13))</f>
        <v>0.299791071428571</v>
      </c>
      <c r="BN156" s="46" t="n">
        <f aca="false">BM156*(1+INDEX(Response_Table!$M$4:$M$21,MATCH($F156&amp;"|mid",Response_Table!$A$4:$A$21,0))*$R156*INDEX(Parameters!$X$13:$AA$13,1,MATCH($E156,Parameters!$X$3:$AA$3,0)))</f>
        <v>0.27400259812186</v>
      </c>
      <c r="BO156" s="46" t="n">
        <f aca="false">MAX(0,MIN(BM156*(1+INDEX(Response_Table!$M$4:$M$21,MATCH($F156&amp;"|low",Response_Table!$A$4:$A$21,0))*$R156*INDEX(Parameters!$X$13:$AA$13,1,MATCH($E156,Parameters!$X$3:$AA$3,0))),BM156*(1+INDEX(Response_Table!$M$4:$M$21,MATCH($F156&amp;"|high",Response_Table!$A$4:$A$21,0))*$R156*INDEX(Parameters!$X$13:$AA$13,1,MATCH($E156,Parameters!$X$3:$AA$3,0))))*(1-Inputs_General!$C$22*Parameters!$F$13))</f>
        <v>0.203252238103276</v>
      </c>
      <c r="BP156" s="46" t="n">
        <f aca="false">MAX(BM156*(1+INDEX(Response_Table!$M$4:$M$21,MATCH($F156&amp;"|low",Response_Table!$A$4:$A$21,0))*$R156*INDEX(Parameters!$X$13:$AA$13,1,MATCH($E156,Parameters!$X$3:$AA$3,0))),BM156*(1+INDEX(Response_Table!$M$4:$M$21,MATCH($F156&amp;"|high",Response_Table!$A$4:$A$21,0))*$R156*INDEX(Parameters!$X$13:$AA$13,1,MATCH($E156,Parameters!$X$3:$AA$3,0))))*(1+Inputs_General!$C$22*Parameters!$F$13)</f>
        <v>0.354339695845901</v>
      </c>
      <c r="BQ156" s="45" t="n">
        <f aca="false">IF(BM156=0,0,BN156/BM156-1)</f>
        <v>-0.0860214855093042</v>
      </c>
      <c r="BR156" s="44" t="n">
        <f aca="false">Parameters!$E$14*IF($N156="V",Parameters!$I$14,IF($N156="F",Parameters!$J$14,Parameters!$K$14))*(1-Parameters!$L$14*$P156)*IF($D156="V1",Parameters!$M$14,IF($D156="V2",Parameters!$N$14,Parameters!$O$14))*INDEX(Context!$AC$4:$AC$51,$K156)</f>
        <v>15.75</v>
      </c>
      <c r="BS156" s="44" t="n">
        <f aca="false">BR156*(1+INDEX(Response_Table!$N$4:$N$21,MATCH($F156&amp;"|mid",Response_Table!$A$4:$A$21,0))*$R156*INDEX(Parameters!$X$14:$AA$14,1,MATCH($E156,Parameters!$X$3:$AA$3,0)))</f>
        <v>19.6930290150658</v>
      </c>
      <c r="BT156" s="44" t="n">
        <f aca="false">MAX(0,MIN(BR156*(1+INDEX(Response_Table!$N$4:$N$21,MATCH($F156&amp;"|low",Response_Table!$A$4:$A$21,0))*$R156*INDEX(Parameters!$X$14:$AA$14,1,MATCH($E156,Parameters!$X$3:$AA$3,0))),BR156*(1+INDEX(Response_Table!$N$4:$N$21,MATCH($F156&amp;"|high",Response_Table!$A$4:$A$21,0))*$R156*INDEX(Parameters!$X$14:$AA$14,1,MATCH($E156,Parameters!$X$3:$AA$3,0))))*(1-Inputs_General!$C$22*Parameters!$F$14))</f>
        <v>9.32272546920809</v>
      </c>
      <c r="BU156" s="44" t="n">
        <f aca="false">MAX(BR156*(1+INDEX(Response_Table!$N$4:$N$21,MATCH($F156&amp;"|low",Response_Table!$A$4:$A$21,0))*$R156*INDEX(Parameters!$X$14:$AA$14,1,MATCH($E156,Parameters!$X$3:$AA$3,0))),BR156*(1+INDEX(Response_Table!$N$4:$N$21,MATCH($F156&amp;"|high",Response_Table!$A$4:$A$21,0))*$R156*INDEX(Parameters!$X$14:$AA$14,1,MATCH($E156,Parameters!$X$3:$AA$3,0))))*(1+Inputs_General!$C$22*Parameters!$F$14)</f>
        <v>30.9694192303982</v>
      </c>
      <c r="BV156" s="45" t="n">
        <f aca="false">IF(BR156=0,0,BS156/BR156-1)</f>
        <v>0.250351048575606</v>
      </c>
      <c r="BW156" s="43" t="n">
        <f aca="false">Parameters!$E$15*IF($N156="V",Parameters!$I$15,IF($N156="F",Parameters!$J$15,Parameters!$K$15))*(1-Parameters!$L$15*$P156)*IF($D156="V1",Parameters!$M$15,IF($D156="V2",Parameters!$N$15,Parameters!$O$15))</f>
        <v>10.3855142857143</v>
      </c>
      <c r="BX156" s="43" t="n">
        <f aca="false">BW156*(1+INDEX(Response_Table!$O$4:$O$21,MATCH($F156&amp;"|mid",Response_Table!$A$4:$A$21,0))*$R156*INDEX(Parameters!$X$15:$AA$15,1,MATCH($E156,Parameters!$X$3:$AA$3,0)))</f>
        <v>9.73550818785791</v>
      </c>
      <c r="BY156" s="43" t="n">
        <f aca="false">MAX(0,MIN(BW156*(1+INDEX(Response_Table!$O$4:$O$21,MATCH($F156&amp;"|low",Response_Table!$A$4:$A$21,0))*$R156*INDEX(Parameters!$X$15:$AA$15,1,MATCH($E156,Parameters!$X$3:$AA$3,0))),BW156*(1+INDEX(Response_Table!$O$4:$O$21,MATCH($F156&amp;"|high",Response_Table!$A$4:$A$21,0))*$R156*INDEX(Parameters!$X$15:$AA$15,1,MATCH($E156,Parameters!$X$3:$AA$3,0))))*(1-Inputs_General!$C$22*Parameters!$F$15))</f>
        <v>7.67570730078421</v>
      </c>
      <c r="BZ156" s="43" t="n">
        <f aca="false">MAX(BW156*(1+INDEX(Response_Table!$O$4:$O$21,MATCH($F156&amp;"|low",Response_Table!$A$4:$A$21,0))*$R156*INDEX(Parameters!$X$15:$AA$15,1,MATCH($E156,Parameters!$X$3:$AA$3,0))),BW156*(1+INDEX(Response_Table!$O$4:$O$21,MATCH($F156&amp;"|high",Response_Table!$A$4:$A$21,0))*$R156*INDEX(Parameters!$X$15:$AA$15,1,MATCH($E156,Parameters!$X$3:$AA$3,0))))*(1+Inputs_General!$C$22*Parameters!$F$15)</f>
        <v>11.911311378404</v>
      </c>
      <c r="CA156" s="45" t="n">
        <f aca="false">IF(BW156=0,0,BX156/BW156-1)</f>
        <v>-0.0625877621439015</v>
      </c>
      <c r="CB156" s="46" t="n">
        <f aca="false">BD156+BI156</f>
        <v>1.23924243396219</v>
      </c>
      <c r="CC156" s="43" t="n">
        <f aca="false">BD156/BI156</f>
        <v>2.57906797897034</v>
      </c>
      <c r="CD156" s="46" t="n">
        <f aca="false">BN156/CB156</f>
        <v>0.221104919112397</v>
      </c>
      <c r="CE156" s="43" t="n">
        <f aca="false">AE156/AO156</f>
        <v>2.96159389000595</v>
      </c>
      <c r="CF156" s="44" t="n">
        <f aca="false">AE156/AJ156</f>
        <v>37.2420482454575</v>
      </c>
      <c r="CG156" s="44" t="n">
        <f aca="false">INDEX(Context!$V$4:$V$51,$K156)</f>
        <v>25.5785714285714</v>
      </c>
      <c r="CH156" s="44" t="n">
        <f aca="false">INDEX(Context!$Y$4:$Y$51,$K156)</f>
        <v>23.620522619794</v>
      </c>
      <c r="CI156" s="44" t="n">
        <f aca="false">INDEX(Context!$Z$4:$Z$51,$K156)</f>
        <v>29.5785714285714</v>
      </c>
      <c r="CJ156" s="43" t="n">
        <f aca="false">INDEX(Context!$AA$4:$AA$51,$K156)</f>
        <v>0.201160714285714</v>
      </c>
      <c r="CK156" s="43" t="n">
        <f aca="false">MAX(0,MIN(1,1-(1-CJ156)*AO156/AN156))</f>
        <v>0.391618578477432</v>
      </c>
      <c r="CL156" s="44" t="n">
        <f aca="false">CH156+CK156*(CI156-CH156)</f>
        <v>25.9538052247866</v>
      </c>
      <c r="CM156" s="44" t="n">
        <f aca="false">CH156+MAX(0,MIN(1,1-(1-CJ156)*AQ156/AN156))*(CI156-CH156)</f>
        <v>24.2216824421911</v>
      </c>
      <c r="CN156" s="44" t="n">
        <f aca="false">CH156+MAX(0,MIN(1,1-(1-CJ156)*AP156/AN156))*(CI156-CH156)</f>
        <v>27.3168093081101</v>
      </c>
      <c r="CO156" s="44" t="n">
        <f aca="false">CL156-CG156</f>
        <v>0.375233796215145</v>
      </c>
      <c r="CP156" s="44" t="n">
        <f aca="false">CL156-(CH156+CJ156*(CI156-CH156))</f>
        <v>1.13475725086975</v>
      </c>
      <c r="CQ156" s="46" t="n">
        <f aca="false">CL156/CG156</f>
        <v>1.01466984961467</v>
      </c>
      <c r="CR156" s="43" t="n">
        <f aca="false">IF(CL156-CH156&lt;=0,"n/a",(CI156-CL156)/(CL156-CH156))</f>
        <v>1.5535050045069</v>
      </c>
      <c r="CS156" s="43" t="n">
        <f aca="false">IF(CI156-CL156&lt;=0,"n/a",(CL156-CH156)/(CI156-CL156))</f>
        <v>0.64370568301929</v>
      </c>
      <c r="CT156" s="43" t="n">
        <f aca="false">Inputs_General!$C$23+Inputs_General!$C$24*$I156</f>
        <v>0.96</v>
      </c>
      <c r="CU156" s="44" t="n">
        <f aca="false">3.29*CT156</f>
        <v>3.1584</v>
      </c>
    </row>
    <row r="157" customFormat="false" ht="15" hidden="false" customHeight="false" outlineLevel="0" collapsed="false">
      <c r="A157" s="9" t="str">
        <f aca="false">B157&amp;"|"&amp;E157&amp;"|"&amp;F157</f>
        <v>D3V1|24/02/2026|High</v>
      </c>
      <c r="B157" s="7" t="s">
        <v>349</v>
      </c>
      <c r="C157" s="9" t="s">
        <v>131</v>
      </c>
      <c r="D157" s="9" t="s">
        <v>142</v>
      </c>
      <c r="E157" s="9" t="s">
        <v>160</v>
      </c>
      <c r="F157" s="7" t="s">
        <v>283</v>
      </c>
      <c r="G157" s="9" t="s">
        <v>284</v>
      </c>
      <c r="H157" s="41" t="n">
        <f aca="false">INDEX(Severity_Classes!$C$4:$C$9,MATCH(F157,Severity_Classes!$A$4:$A$9,0))</f>
        <v>0.26</v>
      </c>
      <c r="I157" s="41" t="n">
        <f aca="false">INDEX(Severity_Classes!$D$4:$D$9,MATCH(F157,Severity_Classes!$A$4:$A$9,0))</f>
        <v>0.38</v>
      </c>
      <c r="J157" s="41" t="n">
        <f aca="false">INDEX(Severity_Classes!$E$4:$E$9,MATCH(F157,Severity_Classes!$A$4:$A$9,0))</f>
        <v>0.5</v>
      </c>
      <c r="K157" s="42" t="n">
        <f aca="false">MATCH(B157&amp;"|"&amp;E157,Context!$A$4:$A$51,0)</f>
        <v>26</v>
      </c>
      <c r="L157" s="42" t="n">
        <f aca="false">INDEX(Context!$H$4:$H$51,K157)</f>
        <v>59</v>
      </c>
      <c r="M157" s="42" t="n">
        <f aca="false">INDEX(Context!$I$4:$I$51,K157)</f>
        <v>19</v>
      </c>
      <c r="N157" s="9" t="str">
        <f aca="false">INDEX(Context!$L$4:$L$51,K157)</f>
        <v>F</v>
      </c>
      <c r="O157" s="9" t="str">
        <f aca="false">INDEX(Context!$M$4:$M$51,K157)</f>
        <v>5th fully expanded leaf from top</v>
      </c>
      <c r="P157" s="43" t="n">
        <f aca="false">INDEX(Context!$R$4:$R$51,K157)</f>
        <v>0.0232142857142859</v>
      </c>
      <c r="Q157" s="43" t="n">
        <f aca="false">INDEX(Context!$U$4:$U$51,K157)</f>
        <v>1.19492600027053</v>
      </c>
      <c r="R157" s="43" t="n">
        <f aca="false">INDEX(Context!$AD$4:$AD$51,K157)</f>
        <v>1</v>
      </c>
      <c r="S157" s="9" t="str">
        <f aca="false">INDEX(Context!$AI$4:$AN$51,K157,MATCH(F157,Severity_Classes!$A$4:$A$9,0))</f>
        <v>Likely</v>
      </c>
      <c r="T157" s="44" t="n">
        <f aca="false">Parameters!$E$4*IF($N157="V",Parameters!$I$4,IF($N157="F",Parameters!$J$4,Parameters!$K$4))*(1-Parameters!$L$4*$P157)*IF($D157="V1",Parameters!$M$4,IF($D157="V2",Parameters!$N$4,Parameters!$O$4))</f>
        <v>85.0411767857143</v>
      </c>
      <c r="U157" s="44" t="n">
        <f aca="false">MIN(100,T157*(1+INDEX(Response_Table!$E$4:$E$21,MATCH($F157&amp;"|mid",Response_Table!$A$4:$A$21,0))*$R157*INDEX(Parameters!$X$4:$AA$4,1,MATCH($E157,Parameters!$X$3:$AA$3,0))))</f>
        <v>71.3031771994825</v>
      </c>
      <c r="V157" s="44" t="n">
        <f aca="false">MAX(0,MIN(T157*(1+INDEX(Response_Table!$E$4:$E$21,MATCH($F157&amp;"|low",Response_Table!$A$4:$A$21,0))*$R157*INDEX(Parameters!$X$4:$AA$4,1,MATCH($E157,Parameters!$X$3:$AA$3,0))),T157*(1+INDEX(Response_Table!$E$4:$E$21,MATCH($F157&amp;"|high",Response_Table!$A$4:$A$21,0))*$R157*INDEX(Parameters!$X$4:$AA$4,1,MATCH($E157,Parameters!$X$3:$AA$3,0))))*(1-Inputs_General!$C$22*Parameters!$F$4))</f>
        <v>61.2068047421261</v>
      </c>
      <c r="W157" s="44" t="n">
        <f aca="false">MIN(100,MAX(T157*(1+INDEX(Response_Table!$E$4:$E$21,MATCH($F157&amp;"|low",Response_Table!$A$4:$A$21,0))*$R157*INDEX(Parameters!$X$4:$AA$4,1,MATCH($E157,Parameters!$X$3:$AA$3,0))),T157*(1+INDEX(Response_Table!$E$4:$E$21,MATCH($F157&amp;"|high",Response_Table!$A$4:$A$21,0))*$R157*INDEX(Parameters!$X$4:$AA$4,1,MATCH($E157,Parameters!$X$3:$AA$3,0))))*(1+Inputs_General!$C$22*Parameters!$F$4))</f>
        <v>82.9127640928792</v>
      </c>
      <c r="X157" s="45" t="n">
        <f aca="false">IF(T157=0,0,U157/T157-1)</f>
        <v>-0.161545266722362</v>
      </c>
      <c r="Y157" s="44" t="n">
        <f aca="false">Parameters!$E$5*IF($N157="V",Parameters!$I$5,IF($N157="F",Parameters!$J$5,Parameters!$K$5))*(1-Parameters!$L$5*$P157)*IF($D157="V1",Parameters!$M$5,IF($D157="V2",Parameters!$N$5,Parameters!$O$5))</f>
        <v>70.36344</v>
      </c>
      <c r="Z157" s="44" t="n">
        <f aca="false">MIN(100,Y157*(1+INDEX(Response_Table!$F$4:$F$21,MATCH($F157&amp;"|mid",Response_Table!$A$4:$A$21,0))*$R157*INDEX(Parameters!$X$5:$AA$5,1,MATCH($E157,Parameters!$X$3:$AA$3,0))))</f>
        <v>35.1611060615032</v>
      </c>
      <c r="AA157" s="44" t="n">
        <f aca="false">MAX(0,MIN(Y157*(1+INDEX(Response_Table!$F$4:$F$21,MATCH($F157&amp;"|low",Response_Table!$A$4:$A$21,0))*$R157*INDEX(Parameters!$X$5:$AA$5,1,MATCH($E157,Parameters!$X$3:$AA$3,0))),Y157*(1+INDEX(Response_Table!$F$4:$F$21,MATCH($F157&amp;"|high",Response_Table!$A$4:$A$21,0))*$R157*INDEX(Parameters!$X$5:$AA$5,1,MATCH($E157,Parameters!$X$3:$AA$3,0))))*(1-Inputs_General!$C$22*Parameters!$F$5))</f>
        <v>23.2900946664487</v>
      </c>
      <c r="AB157" s="44" t="n">
        <f aca="false">MIN(100,MAX(Y157*(1+INDEX(Response_Table!$F$4:$F$21,MATCH($F157&amp;"|low",Response_Table!$A$4:$A$21,0))*$R157*INDEX(Parameters!$X$5:$AA$5,1,MATCH($E157,Parameters!$X$3:$AA$3,0))),Y157*(1+INDEX(Response_Table!$F$4:$F$21,MATCH($F157&amp;"|high",Response_Table!$A$4:$A$21,0))*$R157*INDEX(Parameters!$X$5:$AA$5,1,MATCH($E157,Parameters!$X$3:$AA$3,0))))*(1+Inputs_General!$C$22*Parameters!$F$5))</f>
        <v>55.5764250988334</v>
      </c>
      <c r="AC157" s="45" t="n">
        <f aca="false">IF(Y157=0,0,Z157/Y157-1)</f>
        <v>-0.500292963767786</v>
      </c>
      <c r="AD157" s="44" t="n">
        <f aca="false">Parameters!$E$6*IF($N157="V",Parameters!$I$6,IF($N157="F",Parameters!$J$6,Parameters!$K$6))*(1-Parameters!$L$6*$P157)*IF($D157="V1",Parameters!$M$6,IF($D157="V2",Parameters!$N$6,Parameters!$O$6))</f>
        <v>18.9470714285714</v>
      </c>
      <c r="AE157" s="44" t="n">
        <f aca="false">AD157*(1+INDEX(Response_Table!$G$4:$G$21,MATCH($F157&amp;"|mid",Response_Table!$A$4:$A$21,0))*$R157*INDEX(Parameters!$X$6:$AA$6,1,MATCH($E157,Parameters!$X$3:$AA$3,0)))</f>
        <v>7.40647105693273</v>
      </c>
      <c r="AF157" s="44" t="n">
        <f aca="false">MAX(0,MIN(AD157*(1+INDEX(Response_Table!$G$4:$G$21,MATCH($F157&amp;"|low",Response_Table!$A$4:$A$21,0))*$R157*INDEX(Parameters!$X$6:$AA$6,1,MATCH($E157,Parameters!$X$3:$AA$3,0))),AD157*(1+INDEX(Response_Table!$G$4:$G$21,MATCH($F157&amp;"|high",Response_Table!$A$4:$A$21,0))*$R157*INDEX(Parameters!$X$6:$AA$6,1,MATCH($E157,Parameters!$X$3:$AA$3,0))))*(1-Inputs_General!$C$22*Parameters!$F$6))</f>
        <v>5.06546091668854</v>
      </c>
      <c r="AG157" s="44" t="n">
        <f aca="false">MAX(AD157*(1+INDEX(Response_Table!$G$4:$G$21,MATCH($F157&amp;"|low",Response_Table!$A$4:$A$21,0))*$R157*INDEX(Parameters!$X$6:$AA$6,1,MATCH($E157,Parameters!$X$3:$AA$3,0))),AD157*(1+INDEX(Response_Table!$G$4:$G$21,MATCH($F157&amp;"|high",Response_Table!$A$4:$A$21,0))*$R157*INDEX(Parameters!$X$6:$AA$6,1,MATCH($E157,Parameters!$X$3:$AA$3,0))))*(1+Inputs_General!$C$22*Parameters!$F$6)</f>
        <v>11.0919360717736</v>
      </c>
      <c r="AH157" s="45" t="n">
        <f aca="false">IF(AD157=0,0,AE157/AD157-1)</f>
        <v>-0.609096789186953</v>
      </c>
      <c r="AI157" s="46" t="n">
        <f aca="false">Parameters!$E$7*IF($N157="V",Parameters!$I$7,IF($N157="F",Parameters!$J$7,Parameters!$K$7))*(1-Parameters!$L$7*$P157)*IF($D157="V1",Parameters!$M$7,IF($D157="V2",Parameters!$N$7,Parameters!$O$7))*POWER($Q157/Inputs_General!$C$26,-Inputs_General!$C$25)</f>
        <v>0.411663164578586</v>
      </c>
      <c r="AJ157" s="46" t="n">
        <f aca="false">AI157*(1+INDEX(Response_Table!$H$4:$H$21,MATCH($F157&amp;"|mid",Response_Table!$A$4:$A$21,0))*$R157*INDEX(Parameters!$X$7:$AA$7,1,MATCH($E157,Parameters!$X$3:$AA$3,0)))</f>
        <v>0.229659619501168</v>
      </c>
      <c r="AK157" s="46" t="n">
        <f aca="false">MAX(0,MIN(AI157*(1+INDEX(Response_Table!$H$4:$H$21,MATCH($F157&amp;"|low",Response_Table!$A$4:$A$21,0))*$R157*INDEX(Parameters!$X$7:$AA$7,1,MATCH($E157,Parameters!$X$3:$AA$3,0))),AI157*(1+INDEX(Response_Table!$H$4:$H$21,MATCH($F157&amp;"|high",Response_Table!$A$4:$A$21,0))*$R157*INDEX(Parameters!$X$7:$AA$7,1,MATCH($E157,Parameters!$X$3:$AA$3,0))))*(1-Inputs_General!$C$22*Parameters!$F$7))</f>
        <v>0.143446029484408</v>
      </c>
      <c r="AL157" s="46" t="n">
        <f aca="false">MAX(AI157*(1+INDEX(Response_Table!$H$4:$H$21,MATCH($F157&amp;"|low",Response_Table!$A$4:$A$21,0))*$R157*INDEX(Parameters!$X$7:$AA$7,1,MATCH($E157,Parameters!$X$3:$AA$3,0))),AI157*(1+INDEX(Response_Table!$H$4:$H$21,MATCH($F157&amp;"|high",Response_Table!$A$4:$A$21,0))*$R157*INDEX(Parameters!$X$7:$AA$7,1,MATCH($E157,Parameters!$X$3:$AA$3,0))))*(1+Inputs_General!$C$22*Parameters!$F$7)</f>
        <v>0.345725437218006</v>
      </c>
      <c r="AM157" s="45" t="n">
        <f aca="false">IF(AI157=0,0,AJ157/AI157-1)</f>
        <v>-0.442117635819403</v>
      </c>
      <c r="AN157" s="43" t="n">
        <f aca="false">AI157*$Q157/Inputs_General!$C$13*1000</f>
        <v>4.95374641196979</v>
      </c>
      <c r="AO157" s="43" t="n">
        <f aca="false">AJ157*$Q157/Inputs_General!$C$13*1000*(1+Inputs_General!$C$21*$I157)</f>
        <v>3.02615049704764</v>
      </c>
      <c r="AP157" s="43" t="n">
        <f aca="false">AK157*$Q157/Inputs_General!$C$13*1000*(1+Inputs_General!$C$21*$H157)</f>
        <v>1.83835720678565</v>
      </c>
      <c r="AQ157" s="43" t="n">
        <f aca="false">AL157*$Q157/Inputs_General!$C$13*1000*(1+Inputs_General!$C$21*$J157)</f>
        <v>4.68032077666193</v>
      </c>
      <c r="AR157" s="45" t="n">
        <f aca="false">IF(AN157=0,0,AO157/AN157-1)</f>
        <v>-0.389118811222246</v>
      </c>
      <c r="AS157" s="42" t="n">
        <f aca="false">Parameters!$E$9*IF($N157="V",Parameters!$I$9,IF($N157="F",Parameters!$J$9,Parameters!$K$9))*(1-Parameters!$L$9*$P157)*IF($D157="V1",Parameters!$M$9,IF($D157="V2",Parameters!$N$9,Parameters!$O$9))</f>
        <v>285</v>
      </c>
      <c r="AT157" s="42" t="n">
        <f aca="false">AS157*(1+INDEX(Response_Table!$I$4:$I$21,MATCH($F157&amp;"|mid",Response_Table!$A$4:$A$21,0))*$R157*INDEX(Parameters!$X$9:$AA$9,1,MATCH($E157,Parameters!$X$3:$AA$3,0)))</f>
        <v>351.800133665586</v>
      </c>
      <c r="AU157" s="42" t="n">
        <f aca="false">MAX(0,MIN(AS157*(1+INDEX(Response_Table!$I$4:$I$21,MATCH($F157&amp;"|low",Response_Table!$A$4:$A$21,0))*$R157*INDEX(Parameters!$X$9:$AA$9,1,MATCH($E157,Parameters!$X$3:$AA$3,0))),AS157*(1+INDEX(Response_Table!$I$4:$I$21,MATCH($F157&amp;"|high",Response_Table!$A$4:$A$21,0))*$R157*INDEX(Parameters!$X$9:$AA$9,1,MATCH($E157,Parameters!$X$3:$AA$3,0))))*(1-Inputs_General!$C$22*Parameters!$F$9))</f>
        <v>306.694025735372</v>
      </c>
      <c r="AV157" s="42" t="n">
        <f aca="false">MAX(AS157*(1+INDEX(Response_Table!$I$4:$I$21,MATCH($F157&amp;"|low",Response_Table!$A$4:$A$21,0))*$R157*INDEX(Parameters!$X$9:$AA$9,1,MATCH($E157,Parameters!$X$3:$AA$3,0))),AS157*(1+INDEX(Response_Table!$I$4:$I$21,MATCH($F157&amp;"|high",Response_Table!$A$4:$A$21,0))*$R157*INDEX(Parameters!$X$9:$AA$9,1,MATCH($E157,Parameters!$X$3:$AA$3,0))))*(1+Inputs_General!$C$22*Parameters!$F$9)</f>
        <v>394.355109128328</v>
      </c>
      <c r="AW157" s="45" t="n">
        <f aca="false">IF(AS157=0,0,AT157/AS157-1)</f>
        <v>0.234386433914336</v>
      </c>
      <c r="AX157" s="43" t="n">
        <f aca="false">INDEX(Context!$AB$4:$AB$51,$K157)</f>
        <v>2.14026803183101</v>
      </c>
      <c r="AY157" s="43" t="n">
        <f aca="false">AX157*(1+INDEX(Response_Table!$J$4:$J$21,MATCH($F157&amp;"|mid",Response_Table!$A$4:$A$21,0))*$R157*INDEX(Parameters!$X$10:$AA$10,1,MATCH($E157,Parameters!$X$3:$AA$3,0)))</f>
        <v>1.54962566960083</v>
      </c>
      <c r="AZ157" s="43" t="n">
        <f aca="false">MAX(0,MIN(AX157*(1+INDEX(Response_Table!$J$4:$J$21,MATCH($F157&amp;"|low",Response_Table!$A$4:$A$21,0))*$R157*INDEX(Parameters!$X$10:$AA$10,1,MATCH($E157,Parameters!$X$3:$AA$3,0))),AX157*(1+INDEX(Response_Table!$J$4:$J$21,MATCH($F157&amp;"|high",Response_Table!$A$4:$A$21,0))*$R157*INDEX(Parameters!$X$10:$AA$10,1,MATCH($E157,Parameters!$X$3:$AA$3,0))))*(1-Inputs_General!$C$22*Parameters!$F$10))</f>
        <v>1.16624689861565</v>
      </c>
      <c r="BA157" s="43" t="n">
        <f aca="false">MAX(AX157*(1+INDEX(Response_Table!$J$4:$J$21,MATCH($F157&amp;"|low",Response_Table!$A$4:$A$21,0))*$R157*INDEX(Parameters!$X$10:$AA$10,1,MATCH($E157,Parameters!$X$3:$AA$3,0))),AX157*(1+INDEX(Response_Table!$J$4:$J$21,MATCH($F157&amp;"|high",Response_Table!$A$4:$A$21,0))*$R157*INDEX(Parameters!$X$10:$AA$10,1,MATCH($E157,Parameters!$X$3:$AA$3,0))))*(1+Inputs_General!$C$22*Parameters!$F$10)</f>
        <v>2.01156071485813</v>
      </c>
      <c r="BB157" s="45" t="n">
        <f aca="false">IF(AX157=0,0,AY157/AX157-1)</f>
        <v>-0.275966539445474</v>
      </c>
      <c r="BC157" s="46" t="n">
        <f aca="false">Parameters!$E$11*IF($N157="V",Parameters!$I$11,IF($N157="F",Parameters!$J$11,Parameters!$K$11))*(1-Parameters!$L$11*$P157)*IF($D157="V1",Parameters!$M$11,IF($D157="V2",Parameters!$N$11,Parameters!$O$11))</f>
        <v>1.24825892857143</v>
      </c>
      <c r="BD157" s="46" t="n">
        <f aca="false">BC157*(1+INDEX(Response_Table!$K$4:$K$21,MATCH($F157&amp;"|mid",Response_Table!$A$4:$A$21,0))*$R157*INDEX(Parameters!$X$11:$AA$11,1,MATCH($E157,Parameters!$X$3:$AA$3,0)))</f>
        <v>0.6773911051799</v>
      </c>
      <c r="BE157" s="46" t="n">
        <f aca="false">MAX(0,MIN(BC157*(1+INDEX(Response_Table!$K$4:$K$21,MATCH($F157&amp;"|low",Response_Table!$A$4:$A$21,0))*$R157*INDEX(Parameters!$X$11:$AA$11,1,MATCH($E157,Parameters!$X$3:$AA$3,0))),BC157*(1+INDEX(Response_Table!$K$4:$K$21,MATCH($F157&amp;"|high",Response_Table!$A$4:$A$21,0))*$R157*INDEX(Parameters!$X$11:$AA$11,1,MATCH($E157,Parameters!$X$3:$AA$3,0))))*(1-Inputs_General!$C$22*Parameters!$F$11))</f>
        <v>0.501887406882573</v>
      </c>
      <c r="BF157" s="46" t="n">
        <f aca="false">MAX(BC157*(1+INDEX(Response_Table!$K$4:$K$21,MATCH($F157&amp;"|low",Response_Table!$A$4:$A$21,0))*$R157*INDEX(Parameters!$X$11:$AA$11,1,MATCH($E157,Parameters!$X$3:$AA$3,0))),BC157*(1+INDEX(Response_Table!$K$4:$K$21,MATCH($F157&amp;"|high",Response_Table!$A$4:$A$21,0))*$R157*INDEX(Parameters!$X$11:$AA$11,1,MATCH($E157,Parameters!$X$3:$AA$3,0))))*(1+Inputs_General!$C$22*Parameters!$F$11)</f>
        <v>0.919932069479345</v>
      </c>
      <c r="BG157" s="45" t="n">
        <f aca="false">IF(BC157=0,0,BD157/BC157-1)</f>
        <v>-0.457331255819543</v>
      </c>
      <c r="BH157" s="46" t="n">
        <f aca="false">Parameters!$E$12*IF($N157="V",Parameters!$I$12,IF($N157="F",Parameters!$J$12,Parameters!$K$12))*(1-Parameters!$L$12*$P157)*IF($D157="V1",Parameters!$M$12,IF($D157="V2",Parameters!$N$12,Parameters!$O$12))</f>
        <v>0.449373214285714</v>
      </c>
      <c r="BI157" s="46" t="n">
        <f aca="false">BH157*(1+INDEX(Response_Table!$L$4:$L$21,MATCH($F157&amp;"|mid",Response_Table!$A$4:$A$21,0))*$R157*INDEX(Parameters!$X$12:$AA$12,1,MATCH($E157,Parameters!$X$3:$AA$3,0)))</f>
        <v>0.281262902431389</v>
      </c>
      <c r="BJ157" s="46" t="n">
        <f aca="false">MAX(0,MIN(BH157*(1+INDEX(Response_Table!$L$4:$L$21,MATCH($F157&amp;"|low",Response_Table!$A$4:$A$21,0))*$R157*INDEX(Parameters!$X$12:$AA$12,1,MATCH($E157,Parameters!$X$3:$AA$3,0))),BH157*(1+INDEX(Response_Table!$L$4:$L$21,MATCH($F157&amp;"|high",Response_Table!$A$4:$A$21,0))*$R157*INDEX(Parameters!$X$12:$AA$12,1,MATCH($E157,Parameters!$X$3:$AA$3,0))))*(1-Inputs_General!$C$22*Parameters!$F$12))</f>
        <v>0.206561743668061</v>
      </c>
      <c r="BK157" s="46" t="n">
        <f aca="false">MAX(BH157*(1+INDEX(Response_Table!$L$4:$L$21,MATCH($F157&amp;"|low",Response_Table!$A$4:$A$21,0))*$R157*INDEX(Parameters!$X$12:$AA$12,1,MATCH($E157,Parameters!$X$3:$AA$3,0))),BH157*(1+INDEX(Response_Table!$L$4:$L$21,MATCH($F157&amp;"|high",Response_Table!$A$4:$A$21,0))*$R157*INDEX(Parameters!$X$12:$AA$12,1,MATCH($E157,Parameters!$X$3:$AA$3,0))))*(1+Inputs_General!$C$22*Parameters!$F$12)</f>
        <v>0.377798148270002</v>
      </c>
      <c r="BL157" s="45" t="n">
        <f aca="false">IF(BH157=0,0,BI157/BH157-1)</f>
        <v>-0.374099538001033</v>
      </c>
      <c r="BM157" s="46" t="n">
        <f aca="false">Parameters!$E$13*IF($N157="V",Parameters!$I$13,IF($N157="F",Parameters!$J$13,Parameters!$K$13))*(1-Parameters!$L$13*$P157)*IF($D157="V1",Parameters!$M$13,IF($D157="V2",Parameters!$N$13,Parameters!$O$13))</f>
        <v>0.299791071428571</v>
      </c>
      <c r="BN157" s="46" t="n">
        <f aca="false">BM157*(1+INDEX(Response_Table!$M$4:$M$21,MATCH($F157&amp;"|mid",Response_Table!$A$4:$A$21,0))*$R157*INDEX(Parameters!$X$13:$AA$13,1,MATCH($E157,Parameters!$X$3:$AA$3,0)))</f>
        <v>0.225153716997222</v>
      </c>
      <c r="BO157" s="46" t="n">
        <f aca="false">MAX(0,MIN(BM157*(1+INDEX(Response_Table!$M$4:$M$21,MATCH($F157&amp;"|low",Response_Table!$A$4:$A$21,0))*$R157*INDEX(Parameters!$X$13:$AA$13,1,MATCH($E157,Parameters!$X$3:$AA$3,0))),BM157*(1+INDEX(Response_Table!$M$4:$M$21,MATCH($F157&amp;"|high",Response_Table!$A$4:$A$21,0))*$R157*INDEX(Parameters!$X$13:$AA$13,1,MATCH($E157,Parameters!$X$3:$AA$3,0))))*(1-Inputs_General!$C$22*Parameters!$F$13))</f>
        <v>0.168046018140419</v>
      </c>
      <c r="BP157" s="46" t="n">
        <f aca="false">MAX(BM157*(1+INDEX(Response_Table!$M$4:$M$21,MATCH($F157&amp;"|low",Response_Table!$A$4:$A$21,0))*$R157*INDEX(Parameters!$X$13:$AA$13,1,MATCH($E157,Parameters!$X$3:$AA$3,0))),BM157*(1+INDEX(Response_Table!$M$4:$M$21,MATCH($F157&amp;"|high",Response_Table!$A$4:$A$21,0))*$R157*INDEX(Parameters!$X$13:$AA$13,1,MATCH($E157,Parameters!$X$3:$AA$3,0))))*(1+Inputs_General!$C$22*Parameters!$F$13)</f>
        <v>0.300046905557081</v>
      </c>
      <c r="BQ157" s="45" t="n">
        <f aca="false">IF(BM157=0,0,BN157/BM157-1)</f>
        <v>-0.248964567475896</v>
      </c>
      <c r="BR157" s="44" t="n">
        <f aca="false">Parameters!$E$14*IF($N157="V",Parameters!$I$14,IF($N157="F",Parameters!$J$14,Parameters!$K$14))*(1-Parameters!$L$14*$P157)*IF($D157="V1",Parameters!$M$14,IF($D157="V2",Parameters!$N$14,Parameters!$O$14))*INDEX(Context!$AC$4:$AC$51,$K157)</f>
        <v>15.75</v>
      </c>
      <c r="BS157" s="44" t="n">
        <f aca="false">BR157*(1+INDEX(Response_Table!$N$4:$N$21,MATCH($F157&amp;"|mid",Response_Table!$A$4:$A$21,0))*$R157*INDEX(Parameters!$X$14:$AA$14,1,MATCH($E157,Parameters!$X$3:$AA$3,0)))</f>
        <v>22.1777102438359</v>
      </c>
      <c r="BT157" s="44" t="n">
        <f aca="false">MAX(0,MIN(BR157*(1+INDEX(Response_Table!$N$4:$N$21,MATCH($F157&amp;"|low",Response_Table!$A$4:$A$21,0))*$R157*INDEX(Parameters!$X$14:$AA$14,1,MATCH($E157,Parameters!$X$3:$AA$3,0))),BR157*(1+INDEX(Response_Table!$N$4:$N$21,MATCH($F157&amp;"|high",Response_Table!$A$4:$A$21,0))*$R157*INDEX(Parameters!$X$14:$AA$14,1,MATCH($E157,Parameters!$X$3:$AA$3,0))))*(1-Inputs_General!$C$22*Parameters!$F$14))</f>
        <v>10.5696740073384</v>
      </c>
      <c r="BU157" s="44" t="n">
        <f aca="false">MAX(BR157*(1+INDEX(Response_Table!$N$4:$N$21,MATCH($F157&amp;"|low",Response_Table!$A$4:$A$21,0))*$R157*INDEX(Parameters!$X$14:$AA$14,1,MATCH($E157,Parameters!$X$3:$AA$3,0))),BR157*(1+INDEX(Response_Table!$N$4:$N$21,MATCH($F157&amp;"|high",Response_Table!$A$4:$A$21,0))*$R157*INDEX(Parameters!$X$14:$AA$14,1,MATCH($E157,Parameters!$X$3:$AA$3,0))))*(1+Inputs_General!$C$22*Parameters!$F$14)</f>
        <v>34.4870357499831</v>
      </c>
      <c r="BV157" s="45" t="n">
        <f aca="false">IF(BR157=0,0,BS157/BR157-1)</f>
        <v>0.408108586910218</v>
      </c>
      <c r="BW157" s="43" t="n">
        <f aca="false">Parameters!$E$15*IF($N157="V",Parameters!$I$15,IF($N157="F",Parameters!$J$15,Parameters!$K$15))*(1-Parameters!$L$15*$P157)*IF($D157="V1",Parameters!$M$15,IF($D157="V2",Parameters!$N$15,Parameters!$O$15))</f>
        <v>10.3855142857143</v>
      </c>
      <c r="BX157" s="43" t="n">
        <f aca="false">BW157*(1+INDEX(Response_Table!$O$4:$O$21,MATCH($F157&amp;"|mid",Response_Table!$A$4:$A$21,0))*$R157*INDEX(Parameters!$X$15:$AA$15,1,MATCH($E157,Parameters!$X$3:$AA$3,0)))</f>
        <v>9.3259098958446</v>
      </c>
      <c r="BY157" s="43" t="n">
        <f aca="false">MAX(0,MIN(BW157*(1+INDEX(Response_Table!$O$4:$O$21,MATCH($F157&amp;"|low",Response_Table!$A$4:$A$21,0))*$R157*INDEX(Parameters!$X$15:$AA$15,1,MATCH($E157,Parameters!$X$3:$AA$3,0))),BW157*(1+INDEX(Response_Table!$O$4:$O$21,MATCH($F157&amp;"|high",Response_Table!$A$4:$A$21,0))*$R157*INDEX(Parameters!$X$15:$AA$15,1,MATCH($E157,Parameters!$X$3:$AA$3,0))))*(1-Inputs_General!$C$22*Parameters!$F$15))</f>
        <v>7.36408403212423</v>
      </c>
      <c r="BZ157" s="43" t="n">
        <f aca="false">MAX(BW157*(1+INDEX(Response_Table!$O$4:$O$21,MATCH($F157&amp;"|low",Response_Table!$A$4:$A$21,0))*$R157*INDEX(Parameters!$X$15:$AA$15,1,MATCH($E157,Parameters!$X$3:$AA$3,0))),BW157*(1+INDEX(Response_Table!$O$4:$O$21,MATCH($F157&amp;"|high",Response_Table!$A$4:$A$21,0))*$R157*INDEX(Parameters!$X$15:$AA$15,1,MATCH($E157,Parameters!$X$3:$AA$3,0))))*(1+Inputs_General!$C$22*Parameters!$F$15)</f>
        <v>11.4253566720395</v>
      </c>
      <c r="CA157" s="45" t="n">
        <f aca="false">IF(BW157=0,0,BX157/BW157-1)</f>
        <v>-0.102027146727554</v>
      </c>
      <c r="CB157" s="46" t="n">
        <f aca="false">BD157+BI157</f>
        <v>0.95865400761129</v>
      </c>
      <c r="CC157" s="43" t="n">
        <f aca="false">BD157/BI157</f>
        <v>2.40839122160855</v>
      </c>
      <c r="CD157" s="46" t="n">
        <f aca="false">BN157/CB157</f>
        <v>0.234864419498172</v>
      </c>
      <c r="CE157" s="43" t="n">
        <f aca="false">AE157/AO157</f>
        <v>2.44748933146537</v>
      </c>
      <c r="CF157" s="44" t="n">
        <f aca="false">AE157/AJ157</f>
        <v>32.2497750062459</v>
      </c>
      <c r="CG157" s="44" t="n">
        <f aca="false">INDEX(Context!$V$4:$V$51,$K157)</f>
        <v>25.5785714285714</v>
      </c>
      <c r="CH157" s="44" t="n">
        <f aca="false">INDEX(Context!$Y$4:$Y$51,$K157)</f>
        <v>23.620522619794</v>
      </c>
      <c r="CI157" s="44" t="n">
        <f aca="false">INDEX(Context!$Z$4:$Z$51,$K157)</f>
        <v>29.5785714285714</v>
      </c>
      <c r="CJ157" s="43" t="n">
        <f aca="false">INDEX(Context!$AA$4:$AA$51,$K157)</f>
        <v>0.201160714285714</v>
      </c>
      <c r="CK157" s="43" t="n">
        <f aca="false">MAX(0,MIN(1,1-(1-CJ157)*AO157/AN157))</f>
        <v>0.512004107500485</v>
      </c>
      <c r="CL157" s="44" t="n">
        <f aca="false">CH157+CK157*(CI157-CH157)</f>
        <v>26.6710680825764</v>
      </c>
      <c r="CM157" s="44" t="n">
        <f aca="false">CH157+MAX(0,MIN(1,1-(1-CJ157)*AQ157/AN157))*(CI157-CH157)</f>
        <v>25.0817533318671</v>
      </c>
      <c r="CN157" s="44" t="n">
        <f aca="false">CH157+MAX(0,MIN(1,1-(1-CJ157)*AP157/AN157))*(CI157-CH157)</f>
        <v>27.8122912204066</v>
      </c>
      <c r="CO157" s="44" t="n">
        <f aca="false">CL157-CG157</f>
        <v>1.09249665400499</v>
      </c>
      <c r="CP157" s="44" t="n">
        <f aca="false">CL157-(CH157+CJ157*(CI157-CH157))</f>
        <v>1.8520201086596</v>
      </c>
      <c r="CQ157" s="46" t="n">
        <f aca="false">CL157/CG157</f>
        <v>1.04271140227889</v>
      </c>
      <c r="CR157" s="43" t="n">
        <f aca="false">IF(CL157-CH157&lt;=0,"n/a",(CI157-CL157)/(CL157-CH157))</f>
        <v>0.953109331254833</v>
      </c>
      <c r="CS157" s="43" t="n">
        <f aca="false">IF(CI157-CL157&lt;=0,"n/a",(CL157-CH157)/(CI157-CL157))</f>
        <v>1.04919757598368</v>
      </c>
      <c r="CT157" s="43" t="n">
        <f aca="false">Inputs_General!$C$23+Inputs_General!$C$24*$I157</f>
        <v>1.36</v>
      </c>
      <c r="CU157" s="44" t="n">
        <f aca="false">3.29*CT157</f>
        <v>4.4744</v>
      </c>
    </row>
    <row r="158" customFormat="false" ht="15" hidden="false" customHeight="false" outlineLevel="0" collapsed="false">
      <c r="A158" s="9" t="str">
        <f aca="false">B158&amp;"|"&amp;E158&amp;"|"&amp;F158</f>
        <v>D3V1|24/02/2026|Very high</v>
      </c>
      <c r="B158" s="7" t="s">
        <v>349</v>
      </c>
      <c r="C158" s="9" t="s">
        <v>131</v>
      </c>
      <c r="D158" s="9" t="s">
        <v>142</v>
      </c>
      <c r="E158" s="9" t="s">
        <v>160</v>
      </c>
      <c r="F158" s="7" t="s">
        <v>285</v>
      </c>
      <c r="G158" s="9" t="s">
        <v>286</v>
      </c>
      <c r="H158" s="41" t="n">
        <f aca="false">INDEX(Severity_Classes!$C$4:$C$9,MATCH(F158,Severity_Classes!$A$4:$A$9,0))</f>
        <v>0.51</v>
      </c>
      <c r="I158" s="41" t="n">
        <f aca="false">INDEX(Severity_Classes!$D$4:$D$9,MATCH(F158,Severity_Classes!$A$4:$A$9,0))</f>
        <v>0.65</v>
      </c>
      <c r="J158" s="41" t="n">
        <f aca="false">INDEX(Severity_Classes!$E$4:$E$9,MATCH(F158,Severity_Classes!$A$4:$A$9,0))</f>
        <v>0.85</v>
      </c>
      <c r="K158" s="42" t="n">
        <f aca="false">MATCH(B158&amp;"|"&amp;E158,Context!$A$4:$A$51,0)</f>
        <v>26</v>
      </c>
      <c r="L158" s="42" t="n">
        <f aca="false">INDEX(Context!$H$4:$H$51,K158)</f>
        <v>59</v>
      </c>
      <c r="M158" s="42" t="n">
        <f aca="false">INDEX(Context!$I$4:$I$51,K158)</f>
        <v>19</v>
      </c>
      <c r="N158" s="9" t="str">
        <f aca="false">INDEX(Context!$L$4:$L$51,K158)</f>
        <v>F</v>
      </c>
      <c r="O158" s="9" t="str">
        <f aca="false">INDEX(Context!$M$4:$M$51,K158)</f>
        <v>5th fully expanded leaf from top</v>
      </c>
      <c r="P158" s="43" t="n">
        <f aca="false">INDEX(Context!$R$4:$R$51,K158)</f>
        <v>0.0232142857142859</v>
      </c>
      <c r="Q158" s="43" t="n">
        <f aca="false">INDEX(Context!$U$4:$U$51,K158)</f>
        <v>1.19492600027053</v>
      </c>
      <c r="R158" s="43" t="n">
        <f aca="false">INDEX(Context!$AD$4:$AD$51,K158)</f>
        <v>1</v>
      </c>
      <c r="S158" s="9" t="str">
        <f aca="false">INDEX(Context!$AI$4:$AN$51,K158,MATCH(F158,Severity_Classes!$A$4:$A$9,0))</f>
        <v>Possible</v>
      </c>
      <c r="T158" s="44" t="n">
        <f aca="false">Parameters!$E$4*IF($N158="V",Parameters!$I$4,IF($N158="F",Parameters!$J$4,Parameters!$K$4))*(1-Parameters!$L$4*$P158)*IF($D158="V1",Parameters!$M$4,IF($D158="V2",Parameters!$N$4,Parameters!$O$4))</f>
        <v>85.0411767857143</v>
      </c>
      <c r="U158" s="44" t="n">
        <f aca="false">MIN(100,T158*(1+INDEX(Response_Table!$E$4:$E$21,MATCH($F158&amp;"|mid",Response_Table!$A$4:$A$21,0))*$R158*INDEX(Parameters!$X$4:$AA$4,1,MATCH($E158,Parameters!$X$3:$AA$3,0))))</f>
        <v>61.5688719096161</v>
      </c>
      <c r="V158" s="44" t="n">
        <f aca="false">MAX(0,MIN(T158*(1+INDEX(Response_Table!$E$4:$E$21,MATCH($F158&amp;"|low",Response_Table!$A$4:$A$21,0))*$R158*INDEX(Parameters!$X$4:$AA$4,1,MATCH($E158,Parameters!$X$3:$AA$3,0))),T158*(1+INDEX(Response_Table!$E$4:$E$21,MATCH($F158&amp;"|high",Response_Table!$A$4:$A$21,0))*$R158*INDEX(Parameters!$X$4:$AA$4,1,MATCH($E158,Parameters!$X$3:$AA$3,0))))*(1-Inputs_General!$C$22*Parameters!$F$4))</f>
        <v>55.9953894761681</v>
      </c>
      <c r="W158" s="44" t="n">
        <f aca="false">MIN(100,MAX(T158*(1+INDEX(Response_Table!$E$4:$E$21,MATCH($F158&amp;"|low",Response_Table!$A$4:$A$21,0))*$R158*INDEX(Parameters!$X$4:$AA$4,1,MATCH($E158,Parameters!$X$3:$AA$3,0))),T158*(1+INDEX(Response_Table!$E$4:$E$21,MATCH($F158&amp;"|high",Response_Table!$A$4:$A$21,0))*$R158*INDEX(Parameters!$X$4:$AA$4,1,MATCH($E158,Parameters!$X$3:$AA$3,0))))*(1+Inputs_General!$C$22*Parameters!$F$4))</f>
        <v>69.4250574373315</v>
      </c>
      <c r="X158" s="45" t="n">
        <f aca="false">IF(T158=0,0,U158/T158-1)</f>
        <v>-0.276011054447699</v>
      </c>
      <c r="Y158" s="44" t="n">
        <f aca="false">Parameters!$E$5*IF($N158="V",Parameters!$I$5,IF($N158="F",Parameters!$J$5,Parameters!$K$5))*(1-Parameters!$L$5*$P158)*IF($D158="V1",Parameters!$M$5,IF($D158="V2",Parameters!$N$5,Parameters!$O$5))</f>
        <v>70.36344</v>
      </c>
      <c r="Z158" s="44" t="n">
        <f aca="false">MIN(100,Y158*(1+INDEX(Response_Table!$F$4:$F$21,MATCH($F158&amp;"|mid",Response_Table!$A$4:$A$21,0))*$R158*INDEX(Parameters!$X$5:$AA$5,1,MATCH($E158,Parameters!$X$3:$AA$3,0))))</f>
        <v>22.3696585339028</v>
      </c>
      <c r="AA158" s="44" t="n">
        <f aca="false">MAX(0,MIN(Y158*(1+INDEX(Response_Table!$F$4:$F$21,MATCH($F158&amp;"|low",Response_Table!$A$4:$A$21,0))*$R158*INDEX(Parameters!$X$5:$AA$5,1,MATCH($E158,Parameters!$X$3:$AA$3,0))),Y158*(1+INDEX(Response_Table!$F$4:$F$21,MATCH($F158&amp;"|high",Response_Table!$A$4:$A$21,0))*$R158*INDEX(Parameters!$X$5:$AA$5,1,MATCH($E158,Parameters!$X$3:$AA$3,0))))*(1-Inputs_General!$C$22*Parameters!$F$5))</f>
        <v>18.8325052230305</v>
      </c>
      <c r="AB158" s="44" t="n">
        <f aca="false">MIN(100,MAX(Y158*(1+INDEX(Response_Table!$F$4:$F$21,MATCH($F158&amp;"|low",Response_Table!$A$4:$A$21,0))*$R158*INDEX(Parameters!$X$5:$AA$5,1,MATCH($E158,Parameters!$X$3:$AA$3,0))),Y158*(1+INDEX(Response_Table!$F$4:$F$21,MATCH($F158&amp;"|high",Response_Table!$A$4:$A$21,0))*$R158*INDEX(Parameters!$X$5:$AA$5,1,MATCH($E158,Parameters!$X$3:$AA$3,0))))*(1+Inputs_General!$C$22*Parameters!$F$5))</f>
        <v>28.8491174873968</v>
      </c>
      <c r="AC158" s="45" t="n">
        <f aca="false">IF(Y158=0,0,Z158/Y158-1)</f>
        <v>-0.682084069029274</v>
      </c>
      <c r="AD158" s="44" t="n">
        <f aca="false">Parameters!$E$6*IF($N158="V",Parameters!$I$6,IF($N158="F",Parameters!$J$6,Parameters!$K$6))*(1-Parameters!$L$6*$P158)*IF($D158="V1",Parameters!$M$6,IF($D158="V2",Parameters!$N$6,Parameters!$O$6))</f>
        <v>18.9470714285714</v>
      </c>
      <c r="AE158" s="44" t="n">
        <f aca="false">AD158*(1+INDEX(Response_Table!$G$4:$G$21,MATCH($F158&amp;"|mid",Response_Table!$A$4:$A$21,0))*$R158*INDEX(Parameters!$X$6:$AA$6,1,MATCH($E158,Parameters!$X$3:$AA$3,0)))</f>
        <v>5.55057432567452</v>
      </c>
      <c r="AF158" s="44" t="n">
        <f aca="false">MAX(0,MIN(AD158*(1+INDEX(Response_Table!$G$4:$G$21,MATCH($F158&amp;"|low",Response_Table!$A$4:$A$21,0))*$R158*INDEX(Parameters!$X$6:$AA$6,1,MATCH($E158,Parameters!$X$3:$AA$3,0))),AD158*(1+INDEX(Response_Table!$G$4:$G$21,MATCH($F158&amp;"|high",Response_Table!$A$4:$A$21,0))*$R158*INDEX(Parameters!$X$6:$AA$6,1,MATCH($E158,Parameters!$X$3:$AA$3,0))))*(1-Inputs_General!$C$22*Parameters!$F$6))</f>
        <v>4.07264993323621</v>
      </c>
      <c r="AG158" s="44" t="n">
        <f aca="false">MAX(AD158*(1+INDEX(Response_Table!$G$4:$G$21,MATCH($F158&amp;"|low",Response_Table!$A$4:$A$21,0))*$R158*INDEX(Parameters!$X$6:$AA$6,1,MATCH($E158,Parameters!$X$3:$AA$3,0))),AD158*(1+INDEX(Response_Table!$G$4:$G$21,MATCH($F158&amp;"|high",Response_Table!$A$4:$A$21,0))*$R158*INDEX(Parameters!$X$6:$AA$6,1,MATCH($E158,Parameters!$X$3:$AA$3,0))))*(1+Inputs_General!$C$22*Parameters!$F$6)</f>
        <v>7.47601045879349</v>
      </c>
      <c r="AH158" s="45" t="n">
        <f aca="false">IF(AD158=0,0,AE158/AD158-1)</f>
        <v>-0.707048429800899</v>
      </c>
      <c r="AI158" s="46" t="n">
        <f aca="false">Parameters!$E$7*IF($N158="V",Parameters!$I$7,IF($N158="F",Parameters!$J$7,Parameters!$K$7))*(1-Parameters!$L$7*$P158)*IF($D158="V1",Parameters!$M$7,IF($D158="V2",Parameters!$N$7,Parameters!$O$7))*POWER($Q158/Inputs_General!$C$26,-Inputs_General!$C$25)</f>
        <v>0.411663164578586</v>
      </c>
      <c r="AJ158" s="46" t="n">
        <f aca="false">AI158*(1+INDEX(Response_Table!$H$4:$H$21,MATCH($F158&amp;"|mid",Response_Table!$A$4:$A$21,0))*$R158*INDEX(Parameters!$X$7:$AA$7,1,MATCH($E158,Parameters!$X$3:$AA$3,0)))</f>
        <v>0.182151954057915</v>
      </c>
      <c r="AK158" s="46" t="n">
        <f aca="false">MAX(0,MIN(AI158*(1+INDEX(Response_Table!$H$4:$H$21,MATCH($F158&amp;"|low",Response_Table!$A$4:$A$21,0))*$R158*INDEX(Parameters!$X$7:$AA$7,1,MATCH($E158,Parameters!$X$3:$AA$3,0))),AI158*(1+INDEX(Response_Table!$H$4:$H$21,MATCH($F158&amp;"|high",Response_Table!$A$4:$A$21,0))*$R158*INDEX(Parameters!$X$7:$AA$7,1,MATCH($E158,Parameters!$X$3:$AA$3,0))))*(1-Inputs_General!$C$22*Parameters!$F$7))</f>
        <v>0.116126101226137</v>
      </c>
      <c r="AL158" s="46" t="n">
        <f aca="false">MAX(AI158*(1+INDEX(Response_Table!$H$4:$H$21,MATCH($F158&amp;"|low",Response_Table!$A$4:$A$21,0))*$R158*INDEX(Parameters!$X$7:$AA$7,1,MATCH($E158,Parameters!$X$3:$AA$3,0))),AI158*(1+INDEX(Response_Table!$H$4:$H$21,MATCH($F158&amp;"|high",Response_Table!$A$4:$A$21,0))*$R158*INDEX(Parameters!$X$7:$AA$7,1,MATCH($E158,Parameters!$X$3:$AA$3,0))))*(1+Inputs_General!$C$22*Parameters!$F$7)</f>
        <v>0.261841945930416</v>
      </c>
      <c r="AM158" s="45" t="n">
        <f aca="false">IF(AI158=0,0,AJ158/AI158-1)</f>
        <v>-0.557521853468766</v>
      </c>
      <c r="AN158" s="43" t="n">
        <f aca="false">AI158*$Q158/Inputs_General!$C$13*1000</f>
        <v>4.95374641196979</v>
      </c>
      <c r="AO158" s="43" t="n">
        <f aca="false">AJ158*$Q158/Inputs_General!$C$13*1000*(1+Inputs_General!$C$21*$I158)</f>
        <v>2.54811226700169</v>
      </c>
      <c r="AP158" s="43" t="n">
        <f aca="false">AK158*$Q158/Inputs_General!$C$13*1000*(1+Inputs_General!$C$21*$H158)</f>
        <v>1.57557165274387</v>
      </c>
      <c r="AQ158" s="43" t="n">
        <f aca="false">AL158*$Q158/Inputs_General!$C$13*1000*(1+Inputs_General!$C$21*$J158)</f>
        <v>3.82043424822601</v>
      </c>
      <c r="AR158" s="45" t="n">
        <f aca="false">IF(AN158=0,0,AO158/AN158-1)</f>
        <v>-0.485619154657441</v>
      </c>
      <c r="AS158" s="42" t="n">
        <f aca="false">Parameters!$E$9*IF($N158="V",Parameters!$I$9,IF($N158="F",Parameters!$J$9,Parameters!$K$9))*(1-Parameters!$L$9*$P158)*IF($D158="V1",Parameters!$M$9,IF($D158="V2",Parameters!$N$9,Parameters!$O$9))</f>
        <v>285</v>
      </c>
      <c r="AT158" s="42" t="n">
        <f aca="false">AS158*(1+INDEX(Response_Table!$I$4:$I$21,MATCH($F158&amp;"|mid",Response_Table!$A$4:$A$21,0))*$R158*INDEX(Parameters!$X$9:$AA$9,1,MATCH($E158,Parameters!$X$3:$AA$3,0)))</f>
        <v>364.149609062674</v>
      </c>
      <c r="AU158" s="42" t="n">
        <f aca="false">MAX(0,MIN(AS158*(1+INDEX(Response_Table!$I$4:$I$21,MATCH($F158&amp;"|low",Response_Table!$A$4:$A$21,0))*$R158*INDEX(Parameters!$X$9:$AA$9,1,MATCH($E158,Parameters!$X$3:$AA$3,0))),AS158*(1+INDEX(Response_Table!$I$4:$I$21,MATCH($F158&amp;"|high",Response_Table!$A$4:$A$21,0))*$R158*INDEX(Parameters!$X$9:$AA$9,1,MATCH($E158,Parameters!$X$3:$AA$3,0))))*(1-Inputs_General!$C$22*Parameters!$F$9))</f>
        <v>323.911488006691</v>
      </c>
      <c r="AV158" s="42" t="n">
        <f aca="false">MAX(AS158*(1+INDEX(Response_Table!$I$4:$I$21,MATCH($F158&amp;"|low",Response_Table!$A$4:$A$21,0))*$R158*INDEX(Parameters!$X$9:$AA$9,1,MATCH($E158,Parameters!$X$3:$AA$3,0))),AS158*(1+INDEX(Response_Table!$I$4:$I$21,MATCH($F158&amp;"|high",Response_Table!$A$4:$A$21,0))*$R158*INDEX(Parameters!$X$9:$AA$9,1,MATCH($E158,Parameters!$X$3:$AA$3,0))))*(1+Inputs_General!$C$22*Parameters!$F$9)</f>
        <v>403.933303399187</v>
      </c>
      <c r="AW158" s="45" t="n">
        <f aca="false">IF(AS158=0,0,AT158/AS158-1)</f>
        <v>0.2777179265357</v>
      </c>
      <c r="AX158" s="43" t="n">
        <f aca="false">INDEX(Context!$AB$4:$AB$51,$K158)</f>
        <v>2.14026803183101</v>
      </c>
      <c r="AY158" s="43" t="n">
        <f aca="false">AX158*(1+INDEX(Response_Table!$J$4:$J$21,MATCH($F158&amp;"|mid",Response_Table!$A$4:$A$21,0))*$R158*INDEX(Parameters!$X$10:$AA$10,1,MATCH($E158,Parameters!$X$3:$AA$3,0)))</f>
        <v>1.36679711109728</v>
      </c>
      <c r="AZ158" s="43" t="n">
        <f aca="false">MAX(0,MIN(AX158*(1+INDEX(Response_Table!$J$4:$J$21,MATCH($F158&amp;"|low",Response_Table!$A$4:$A$21,0))*$R158*INDEX(Parameters!$X$10:$AA$10,1,MATCH($E158,Parameters!$X$3:$AA$3,0))),AX158*(1+INDEX(Response_Table!$J$4:$J$21,MATCH($F158&amp;"|high",Response_Table!$A$4:$A$21,0))*$R158*INDEX(Parameters!$X$10:$AA$10,1,MATCH($E158,Parameters!$X$3:$AA$3,0))))*(1-Inputs_General!$C$22*Parameters!$F$10))</f>
        <v>1.03710027402502</v>
      </c>
      <c r="BA158" s="43" t="n">
        <f aca="false">MAX(AX158*(1+INDEX(Response_Table!$J$4:$J$21,MATCH($F158&amp;"|low",Response_Table!$A$4:$A$21,0))*$R158*INDEX(Parameters!$X$10:$AA$10,1,MATCH($E158,Parameters!$X$3:$AA$3,0))),AX158*(1+INDEX(Response_Table!$J$4:$J$21,MATCH($F158&amp;"|high",Response_Table!$A$4:$A$21,0))*$R158*INDEX(Parameters!$X$10:$AA$10,1,MATCH($E158,Parameters!$X$3:$AA$3,0))))*(1+Inputs_General!$C$22*Parameters!$F$10)</f>
        <v>1.73176746176538</v>
      </c>
      <c r="BB158" s="45" t="n">
        <f aca="false">IF(AX158=0,0,AY158/AX158-1)</f>
        <v>-0.361389746158113</v>
      </c>
      <c r="BC158" s="46" t="n">
        <f aca="false">Parameters!$E$11*IF($N158="V",Parameters!$I$11,IF($N158="F",Parameters!$J$11,Parameters!$K$11))*(1-Parameters!$L$11*$P158)*IF($D158="V1",Parameters!$M$11,IF($D158="V2",Parameters!$N$11,Parameters!$O$11))</f>
        <v>1.24825892857143</v>
      </c>
      <c r="BD158" s="46" t="n">
        <f aca="false">BC158*(1+INDEX(Response_Table!$K$4:$K$21,MATCH($F158&amp;"|mid",Response_Table!$A$4:$A$21,0))*$R158*INDEX(Parameters!$X$11:$AA$11,1,MATCH($E158,Parameters!$X$3:$AA$3,0)))</f>
        <v>0.538255039336382</v>
      </c>
      <c r="BE158" s="46" t="n">
        <f aca="false">MAX(0,MIN(BC158*(1+INDEX(Response_Table!$K$4:$K$21,MATCH($F158&amp;"|low",Response_Table!$A$4:$A$21,0))*$R158*INDEX(Parameters!$X$11:$AA$11,1,MATCH($E158,Parameters!$X$3:$AA$3,0))),BC158*(1+INDEX(Response_Table!$K$4:$K$21,MATCH($F158&amp;"|high",Response_Table!$A$4:$A$21,0))*$R158*INDEX(Parameters!$X$11:$AA$11,1,MATCH($E158,Parameters!$X$3:$AA$3,0))))*(1-Inputs_General!$C$22*Parameters!$F$11))</f>
        <v>0.409678495800231</v>
      </c>
      <c r="BF158" s="46" t="n">
        <f aca="false">MAX(BC158*(1+INDEX(Response_Table!$K$4:$K$21,MATCH($F158&amp;"|low",Response_Table!$A$4:$A$21,0))*$R158*INDEX(Parameters!$X$11:$AA$11,1,MATCH($E158,Parameters!$X$3:$AA$3,0))),BC158*(1+INDEX(Response_Table!$K$4:$K$21,MATCH($F158&amp;"|high",Response_Table!$A$4:$A$21,0))*$R158*INDEX(Parameters!$X$11:$AA$11,1,MATCH($E158,Parameters!$X$3:$AA$3,0))))*(1+Inputs_General!$C$22*Parameters!$F$11)</f>
        <v>0.69351104251805</v>
      </c>
      <c r="BG158" s="45" t="n">
        <f aca="false">IF(BC158=0,0,BD158/BC158-1)</f>
        <v>-0.568795362070921</v>
      </c>
      <c r="BH158" s="46" t="n">
        <f aca="false">Parameters!$E$12*IF($N158="V",Parameters!$I$12,IF($N158="F",Parameters!$J$12,Parameters!$K$12))*(1-Parameters!$L$12*$P158)*IF($D158="V1",Parameters!$M$12,IF($D158="V2",Parameters!$N$12,Parameters!$O$12))</f>
        <v>0.449373214285714</v>
      </c>
      <c r="BI158" s="46" t="n">
        <f aca="false">BH158*(1+INDEX(Response_Table!$L$4:$L$21,MATCH($F158&amp;"|mid",Response_Table!$A$4:$A$21,0))*$R158*INDEX(Parameters!$X$12:$AA$12,1,MATCH($E158,Parameters!$X$3:$AA$3,0)))</f>
        <v>0.237381732700662</v>
      </c>
      <c r="BJ158" s="46" t="n">
        <f aca="false">MAX(0,MIN(BH158*(1+INDEX(Response_Table!$L$4:$L$21,MATCH($F158&amp;"|low",Response_Table!$A$4:$A$21,0))*$R158*INDEX(Parameters!$X$12:$AA$12,1,MATCH($E158,Parameters!$X$3:$AA$3,0))),BH158*(1+INDEX(Response_Table!$L$4:$L$21,MATCH($F158&amp;"|high",Response_Table!$A$4:$A$21,0))*$R158*INDEX(Parameters!$X$12:$AA$12,1,MATCH($E158,Parameters!$X$3:$AA$3,0))))*(1-Inputs_General!$C$22*Parameters!$F$12))</f>
        <v>0.177788935430965</v>
      </c>
      <c r="BK158" s="46" t="n">
        <f aca="false">MAX(BH158*(1+INDEX(Response_Table!$L$4:$L$21,MATCH($F158&amp;"|low",Response_Table!$A$4:$A$21,0))*$R158*INDEX(Parameters!$X$12:$AA$12,1,MATCH($E158,Parameters!$X$3:$AA$3,0))),BH158*(1+INDEX(Response_Table!$L$4:$L$21,MATCH($F158&amp;"|high",Response_Table!$A$4:$A$21,0))*$R158*INDEX(Parameters!$X$12:$AA$12,1,MATCH($E158,Parameters!$X$3:$AA$3,0))))*(1+Inputs_General!$C$22*Parameters!$F$12)</f>
        <v>0.306218139460681</v>
      </c>
      <c r="BL158" s="45" t="n">
        <f aca="false">IF(BH158=0,0,BI158/BH158-1)</f>
        <v>-0.471749260627418</v>
      </c>
      <c r="BM158" s="46" t="n">
        <f aca="false">Parameters!$E$13*IF($N158="V",Parameters!$I$13,IF($N158="F",Parameters!$J$13,Parameters!$K$13))*(1-Parameters!$L$13*$P158)*IF($D158="V1",Parameters!$M$13,IF($D158="V2",Parameters!$N$13,Parameters!$O$13))</f>
        <v>0.299791071428571</v>
      </c>
      <c r="BN158" s="46" t="n">
        <f aca="false">BM158*(1+INDEX(Response_Table!$M$4:$M$21,MATCH($F158&amp;"|mid",Response_Table!$A$4:$A$21,0))*$R158*INDEX(Parameters!$X$13:$AA$13,1,MATCH($E158,Parameters!$X$3:$AA$3,0)))</f>
        <v>0.197732006832457</v>
      </c>
      <c r="BO158" s="46" t="n">
        <f aca="false">MAX(0,MIN(BM158*(1+INDEX(Response_Table!$M$4:$M$21,MATCH($F158&amp;"|low",Response_Table!$A$4:$A$21,0))*$R158*INDEX(Parameters!$X$13:$AA$13,1,MATCH($E158,Parameters!$X$3:$AA$3,0))),BM158*(1+INDEX(Response_Table!$M$4:$M$21,MATCH($F158&amp;"|high",Response_Table!$A$4:$A$21,0))*$R158*INDEX(Parameters!$X$13:$AA$13,1,MATCH($E158,Parameters!$X$3:$AA$3,0))))*(1-Inputs_General!$C$22*Parameters!$F$13))</f>
        <v>0.151995469563501</v>
      </c>
      <c r="BP158" s="46" t="n">
        <f aca="false">MAX(BM158*(1+INDEX(Response_Table!$M$4:$M$21,MATCH($F158&amp;"|low",Response_Table!$A$4:$A$21,0))*$R158*INDEX(Parameters!$X$13:$AA$13,1,MATCH($E158,Parameters!$X$3:$AA$3,0))),BM158*(1+INDEX(Response_Table!$M$4:$M$21,MATCH($F158&amp;"|high",Response_Table!$A$4:$A$21,0))*$R158*INDEX(Parameters!$X$13:$AA$13,1,MATCH($E158,Parameters!$X$3:$AA$3,0))))*(1+Inputs_General!$C$22*Parameters!$F$13)</f>
        <v>0.249507842069955</v>
      </c>
      <c r="BQ158" s="45" t="n">
        <f aca="false">IF(BM158=0,0,BN158/BM158-1)</f>
        <v>-0.340433969930393</v>
      </c>
      <c r="BR158" s="44" t="n">
        <f aca="false">Parameters!$E$14*IF($N158="V",Parameters!$I$14,IF($N158="F",Parameters!$J$14,Parameters!$K$14))*(1-Parameters!$L$14*$P158)*IF($D158="V1",Parameters!$M$14,IF($D158="V2",Parameters!$N$14,Parameters!$O$14))*INDEX(Context!$AC$4:$AC$51,$K158)</f>
        <v>15.75</v>
      </c>
      <c r="BS158" s="44" t="n">
        <f aca="false">BR158*(1+INDEX(Response_Table!$N$4:$N$21,MATCH($F158&amp;"|mid",Response_Table!$A$4:$A$21,0))*$R158*INDEX(Parameters!$X$14:$AA$14,1,MATCH($E158,Parameters!$X$3:$AA$3,0)))</f>
        <v>23.8555100235074</v>
      </c>
      <c r="BT158" s="44" t="n">
        <f aca="false">MAX(0,MIN(BR158*(1+INDEX(Response_Table!$N$4:$N$21,MATCH($F158&amp;"|low",Response_Table!$A$4:$A$21,0))*$R158*INDEX(Parameters!$X$14:$AA$14,1,MATCH($E158,Parameters!$X$3:$AA$3,0))),BR158*(1+INDEX(Response_Table!$N$4:$N$21,MATCH($F158&amp;"|high",Response_Table!$A$4:$A$21,0))*$R158*INDEX(Parameters!$X$14:$AA$14,1,MATCH($E158,Parameters!$X$3:$AA$3,0))))*(1-Inputs_General!$C$22*Parameters!$F$14))</f>
        <v>11.727368268567</v>
      </c>
      <c r="BU158" s="44" t="n">
        <f aca="false">MAX(BR158*(1+INDEX(Response_Table!$N$4:$N$21,MATCH($F158&amp;"|low",Response_Table!$A$4:$A$21,0))*$R158*INDEX(Parameters!$X$14:$AA$14,1,MATCH($E158,Parameters!$X$3:$AA$3,0))),BR158*(1+INDEX(Response_Table!$N$4:$N$21,MATCH($F158&amp;"|high",Response_Table!$A$4:$A$21,0))*$R158*INDEX(Parameters!$X$14:$AA$14,1,MATCH($E158,Parameters!$X$3:$AA$3,0))))*(1+Inputs_General!$C$22*Parameters!$F$14)</f>
        <v>36.5341885507678</v>
      </c>
      <c r="BV158" s="45" t="n">
        <f aca="false">IF(BR158=0,0,BS158/BR158-1)</f>
        <v>0.514635557048092</v>
      </c>
      <c r="BW158" s="43" t="n">
        <f aca="false">Parameters!$E$15*IF($N158="V",Parameters!$I$15,IF($N158="F",Parameters!$J$15,Parameters!$K$15))*(1-Parameters!$L$15*$P158)*IF($D158="V1",Parameters!$M$15,IF($D158="V2",Parameters!$N$15,Parameters!$O$15))</f>
        <v>10.3855142857143</v>
      </c>
      <c r="BX158" s="43" t="n">
        <f aca="false">BW158*(1+INDEX(Response_Table!$O$4:$O$21,MATCH($F158&amp;"|mid",Response_Table!$A$4:$A$21,0))*$R158*INDEX(Parameters!$X$15:$AA$15,1,MATCH($E158,Parameters!$X$3:$AA$3,0)))</f>
        <v>9.04932555329941</v>
      </c>
      <c r="BY158" s="43" t="n">
        <f aca="false">MAX(0,MIN(BW158*(1+INDEX(Response_Table!$O$4:$O$21,MATCH($F158&amp;"|low",Response_Table!$A$4:$A$21,0))*$R158*INDEX(Parameters!$X$15:$AA$15,1,MATCH($E158,Parameters!$X$3:$AA$3,0))),BW158*(1+INDEX(Response_Table!$O$4:$O$21,MATCH($F158&amp;"|high",Response_Table!$A$4:$A$21,0))*$R158*INDEX(Parameters!$X$15:$AA$15,1,MATCH($E158,Parameters!$X$3:$AA$3,0))))*(1-Inputs_General!$C$22*Parameters!$F$15))</f>
        <v>7.18272814990253</v>
      </c>
      <c r="BZ158" s="43" t="n">
        <f aca="false">MAX(BW158*(1+INDEX(Response_Table!$O$4:$O$21,MATCH($F158&amp;"|low",Response_Table!$A$4:$A$21,0))*$R158*INDEX(Parameters!$X$15:$AA$15,1,MATCH($E158,Parameters!$X$3:$AA$3,0))),BW158*(1+INDEX(Response_Table!$O$4:$O$21,MATCH($F158&amp;"|high",Response_Table!$A$4:$A$21,0))*$R158*INDEX(Parameters!$X$15:$AA$15,1,MATCH($E158,Parameters!$X$3:$AA$3,0))))*(1+Inputs_General!$C$22*Parameters!$F$15)</f>
        <v>10.9741857074232</v>
      </c>
      <c r="CA158" s="45" t="n">
        <f aca="false">IF(BW158=0,0,BX158/BW158-1)</f>
        <v>-0.128658889262023</v>
      </c>
      <c r="CB158" s="46" t="n">
        <f aca="false">BD158+BI158</f>
        <v>0.775636772037045</v>
      </c>
      <c r="CC158" s="43" t="n">
        <f aca="false">BD158/BI158</f>
        <v>2.26746613234608</v>
      </c>
      <c r="CD158" s="46" t="n">
        <f aca="false">BN158/CB158</f>
        <v>0.254928613445126</v>
      </c>
      <c r="CE158" s="43" t="n">
        <f aca="false">AE158/AO158</f>
        <v>2.17830838835283</v>
      </c>
      <c r="CF158" s="44" t="n">
        <f aca="false">AE158/AJ158</f>
        <v>30.4722194959803</v>
      </c>
      <c r="CG158" s="44" t="n">
        <f aca="false">INDEX(Context!$V$4:$V$51,$K158)</f>
        <v>25.5785714285714</v>
      </c>
      <c r="CH158" s="44" t="n">
        <f aca="false">INDEX(Context!$Y$4:$Y$51,$K158)</f>
        <v>23.620522619794</v>
      </c>
      <c r="CI158" s="44" t="n">
        <f aca="false">INDEX(Context!$Z$4:$Z$51,$K158)</f>
        <v>29.5785714285714</v>
      </c>
      <c r="CJ158" s="43" t="n">
        <f aca="false">INDEX(Context!$AA$4:$AA$51,$K158)</f>
        <v>0.201160714285714</v>
      </c>
      <c r="CK158" s="43" t="n">
        <f aca="false">MAX(0,MIN(1,1-(1-CJ158)*AO158/AN158))</f>
        <v>0.58909237292144</v>
      </c>
      <c r="CL158" s="44" t="n">
        <f aca="false">CH158+CK158*(CI158-CH158)</f>
        <v>27.1303637305385</v>
      </c>
      <c r="CM158" s="44" t="n">
        <f aca="false">CH158+MAX(0,MIN(1,1-(1-CJ158)*AQ158/AN158))*(CI158-CH158)</f>
        <v>25.9079260423925</v>
      </c>
      <c r="CN158" s="44" t="n">
        <f aca="false">CH158+MAX(0,MIN(1,1-(1-CJ158)*AP158/AN158))*(CI158-CH158)</f>
        <v>28.0647736658108</v>
      </c>
      <c r="CO158" s="44" t="n">
        <f aca="false">CL158-CG158</f>
        <v>1.55179230196703</v>
      </c>
      <c r="CP158" s="44" t="n">
        <f aca="false">CL158-(CH158+CJ158*(CI158-CH158))</f>
        <v>2.31131575662164</v>
      </c>
      <c r="CQ158" s="46" t="n">
        <f aca="false">CL158/CG158</f>
        <v>1.0606676688845</v>
      </c>
      <c r="CR158" s="43" t="n">
        <f aca="false">IF(CL158-CH158&lt;=0,"n/a",(CI158-CL158)/(CL158-CH158))</f>
        <v>0.697526646017802</v>
      </c>
      <c r="CS158" s="43" t="n">
        <f aca="false">IF(CI158-CL158&lt;=0,"n/a",(CL158-CH158)/(CI158-CL158))</f>
        <v>1.43363698821977</v>
      </c>
      <c r="CT158" s="43" t="n">
        <f aca="false">Inputs_General!$C$23+Inputs_General!$C$24*$I158</f>
        <v>1.9</v>
      </c>
      <c r="CU158" s="44" t="n">
        <f aca="false">3.29*CT158</f>
        <v>6.251</v>
      </c>
    </row>
    <row r="159" customFormat="false" ht="15" hidden="false" customHeight="false" outlineLevel="0" collapsed="false">
      <c r="A159" s="33" t="str">
        <f aca="false">B159&amp;"|"&amp;E159&amp;"|"&amp;F159</f>
        <v>D3V1|03/03/2026|Healthy</v>
      </c>
      <c r="B159" s="34" t="s">
        <v>349</v>
      </c>
      <c r="C159" s="33" t="s">
        <v>131</v>
      </c>
      <c r="D159" s="33" t="s">
        <v>142</v>
      </c>
      <c r="E159" s="33" t="s">
        <v>162</v>
      </c>
      <c r="F159" s="34" t="s">
        <v>275</v>
      </c>
      <c r="G159" s="33" t="s">
        <v>276</v>
      </c>
      <c r="H159" s="35" t="n">
        <f aca="false">INDEX(Severity_Classes!$C$4:$C$9,MATCH(F159,Severity_Classes!$A$4:$A$9,0))</f>
        <v>0</v>
      </c>
      <c r="I159" s="35" t="n">
        <f aca="false">INDEX(Severity_Classes!$D$4:$D$9,MATCH(F159,Severity_Classes!$A$4:$A$9,0))</f>
        <v>0</v>
      </c>
      <c r="J159" s="35" t="n">
        <f aca="false">INDEX(Severity_Classes!$E$4:$E$9,MATCH(F159,Severity_Classes!$A$4:$A$9,0))</f>
        <v>0</v>
      </c>
      <c r="K159" s="36" t="n">
        <f aca="false">MATCH(B159&amp;"|"&amp;E159,Context!$A$4:$A$51,0)</f>
        <v>27</v>
      </c>
      <c r="L159" s="36" t="n">
        <f aca="false">INDEX(Context!$H$4:$H$51,K159)</f>
        <v>66</v>
      </c>
      <c r="M159" s="36" t="n">
        <f aca="false">INDEX(Context!$I$4:$I$51,K159)</f>
        <v>26</v>
      </c>
      <c r="N159" s="33" t="str">
        <f aca="false">INDEX(Context!$L$4:$L$51,K159)</f>
        <v>F</v>
      </c>
      <c r="O159" s="33" t="str">
        <f aca="false">INDEX(Context!$M$4:$M$51,K159)</f>
        <v>5th fully expanded leaf from top</v>
      </c>
      <c r="P159" s="37" t="n">
        <f aca="false">INDEX(Context!$R$4:$R$51,K159)</f>
        <v>0.433928571428571</v>
      </c>
      <c r="Q159" s="37" t="n">
        <f aca="false">INDEX(Context!$U$4:$U$51,K159)</f>
        <v>1.73951545534029</v>
      </c>
      <c r="R159" s="37" t="n">
        <f aca="false">INDEX(Context!$AD$4:$AD$51,K159)</f>
        <v>1</v>
      </c>
      <c r="S159" s="33" t="str">
        <f aca="false">INDEX(Context!$AI$4:$AN$51,K159,MATCH(F159,Severity_Classes!$A$4:$A$9,0))</f>
        <v>Reference: healthy (uninoculated) control plot</v>
      </c>
      <c r="T159" s="38" t="n">
        <f aca="false">Parameters!$E$4*IF($N159="V",Parameters!$I$4,IF($N159="F",Parameters!$J$4,Parameters!$K$4))*(1-Parameters!$L$4*$P159)*IF($D159="V1",Parameters!$M$4,IF($D159="V2",Parameters!$N$4,Parameters!$O$4))</f>
        <v>83.2927660714286</v>
      </c>
      <c r="U159" s="38" t="n">
        <f aca="false">MIN(100,T159*(1+INDEX(Response_Table!$E$4:$E$21,MATCH($F159&amp;"|mid",Response_Table!$A$4:$A$21,0))*$R159*INDEX(Parameters!$X$4:$AA$4,1,MATCH($E159,Parameters!$X$3:$AA$3,0))))</f>
        <v>83.2927660714286</v>
      </c>
      <c r="V159" s="38" t="n">
        <f aca="false">MAX(0,MIN(T159*(1+INDEX(Response_Table!$E$4:$E$21,MATCH($F159&amp;"|low",Response_Table!$A$4:$A$21,0))*$R159*INDEX(Parameters!$X$4:$AA$4,1,MATCH($E159,Parameters!$X$3:$AA$3,0))),T159*(1+INDEX(Response_Table!$E$4:$E$21,MATCH($F159&amp;"|high",Response_Table!$A$4:$A$21,0))*$R159*INDEX(Parameters!$X$4:$AA$4,1,MATCH($E159,Parameters!$X$3:$AA$3,0))))*(1-Inputs_General!$C$22*Parameters!$F$4))</f>
        <v>77.8121020639286</v>
      </c>
      <c r="W159" s="38" t="n">
        <f aca="false">MIN(100,MAX(T159*(1+INDEX(Response_Table!$E$4:$E$21,MATCH($F159&amp;"|low",Response_Table!$A$4:$A$21,0))*$R159*INDEX(Parameters!$X$4:$AA$4,1,MATCH($E159,Parameters!$X$3:$AA$3,0))),T159*(1+INDEX(Response_Table!$E$4:$E$21,MATCH($F159&amp;"|high",Response_Table!$A$4:$A$21,0))*$R159*INDEX(Parameters!$X$4:$AA$4,1,MATCH($E159,Parameters!$X$3:$AA$3,0))))*(1+Inputs_General!$C$22*Parameters!$F$4))</f>
        <v>88.7734300789286</v>
      </c>
      <c r="X159" s="39" t="n">
        <f aca="false">IF(T159=0,0,U159/T159-1)</f>
        <v>0</v>
      </c>
      <c r="Y159" s="38" t="n">
        <f aca="false">Parameters!$E$5*IF($N159="V",Parameters!$I$5,IF($N159="F",Parameters!$J$5,Parameters!$K$5))*(1-Parameters!$L$5*$P159)*IF($D159="V1",Parameters!$M$5,IF($D159="V2",Parameters!$N$5,Parameters!$O$5))</f>
        <v>66.88584</v>
      </c>
      <c r="Z159" s="38" t="n">
        <f aca="false">MIN(100,Y159*(1+INDEX(Response_Table!$F$4:$F$21,MATCH($F159&amp;"|mid",Response_Table!$A$4:$A$21,0))*$R159*INDEX(Parameters!$X$5:$AA$5,1,MATCH($E159,Parameters!$X$3:$AA$3,0))))</f>
        <v>66.88584</v>
      </c>
      <c r="AA159" s="38" t="n">
        <f aca="false">MAX(0,MIN(Y159*(1+INDEX(Response_Table!$F$4:$F$21,MATCH($F159&amp;"|low",Response_Table!$A$4:$A$21,0))*$R159*INDEX(Parameters!$X$5:$AA$5,1,MATCH($E159,Parameters!$X$3:$AA$3,0))),Y159*(1+INDEX(Response_Table!$F$4:$F$21,MATCH($F159&amp;"|high",Response_Table!$A$4:$A$21,0))*$R159*INDEX(Parameters!$X$5:$AA$5,1,MATCH($E159,Parameters!$X$3:$AA$3,0))))*(1-Inputs_General!$C$22*Parameters!$F$5))</f>
        <v>59.183935524</v>
      </c>
      <c r="AB159" s="38" t="n">
        <f aca="false">MIN(100,MAX(Y159*(1+INDEX(Response_Table!$F$4:$F$21,MATCH($F159&amp;"|low",Response_Table!$A$4:$A$21,0))*$R159*INDEX(Parameters!$X$5:$AA$5,1,MATCH($E159,Parameters!$X$3:$AA$3,0))),Y159*(1+INDEX(Response_Table!$F$4:$F$21,MATCH($F159&amp;"|high",Response_Table!$A$4:$A$21,0))*$R159*INDEX(Parameters!$X$5:$AA$5,1,MATCH($E159,Parameters!$X$3:$AA$3,0))))*(1+Inputs_General!$C$22*Parameters!$F$5))</f>
        <v>74.587744476</v>
      </c>
      <c r="AC159" s="39" t="n">
        <f aca="false">IF(Y159=0,0,Z159/Y159-1)</f>
        <v>0</v>
      </c>
      <c r="AD159" s="38" t="n">
        <f aca="false">Parameters!$E$6*IF($N159="V",Parameters!$I$6,IF($N159="F",Parameters!$J$6,Parameters!$K$6))*(1-Parameters!$L$6*$P159)*IF($D159="V1",Parameters!$M$6,IF($D159="V2",Parameters!$N$6,Parameters!$O$6))</f>
        <v>18.0106428571429</v>
      </c>
      <c r="AE159" s="38" t="n">
        <f aca="false">AD159*(1+INDEX(Response_Table!$G$4:$G$21,MATCH($F159&amp;"|mid",Response_Table!$A$4:$A$21,0))*$R159*INDEX(Parameters!$X$6:$AA$6,1,MATCH($E159,Parameters!$X$3:$AA$3,0)))</f>
        <v>18.0106428571429</v>
      </c>
      <c r="AF159" s="38" t="n">
        <f aca="false">MAX(0,MIN(AD159*(1+INDEX(Response_Table!$G$4:$G$21,MATCH($F159&amp;"|low",Response_Table!$A$4:$A$21,0))*$R159*INDEX(Parameters!$X$6:$AA$6,1,MATCH($E159,Parameters!$X$3:$AA$3,0))),AD159*(1+INDEX(Response_Table!$G$4:$G$21,MATCH($F159&amp;"|high",Response_Table!$A$4:$A$21,0))*$R159*INDEX(Parameters!$X$6:$AA$6,1,MATCH($E159,Parameters!$X$3:$AA$3,0))))*(1-Inputs_General!$C$22*Parameters!$F$6))</f>
        <v>14.4553419571429</v>
      </c>
      <c r="AG159" s="38" t="n">
        <f aca="false">MAX(AD159*(1+INDEX(Response_Table!$G$4:$G$21,MATCH($F159&amp;"|low",Response_Table!$A$4:$A$21,0))*$R159*INDEX(Parameters!$X$6:$AA$6,1,MATCH($E159,Parameters!$X$3:$AA$3,0))),AD159*(1+INDEX(Response_Table!$G$4:$G$21,MATCH($F159&amp;"|high",Response_Table!$A$4:$A$21,0))*$R159*INDEX(Parameters!$X$6:$AA$6,1,MATCH($E159,Parameters!$X$3:$AA$3,0))))*(1+Inputs_General!$C$22*Parameters!$F$6)</f>
        <v>21.5659437571429</v>
      </c>
      <c r="AH159" s="39" t="n">
        <f aca="false">IF(AD159=0,0,AE159/AD159-1)</f>
        <v>0</v>
      </c>
      <c r="AI159" s="40" t="n">
        <f aca="false">Parameters!$E$7*IF($N159="V",Parameters!$I$7,IF($N159="F",Parameters!$J$7,Parameters!$K$7))*(1-Parameters!$L$7*$P159)*IF($D159="V1",Parameters!$M$7,IF($D159="V2",Parameters!$N$7,Parameters!$O$7))*POWER($Q159/Inputs_General!$C$26,-Inputs_General!$C$25)</f>
        <v>0.341191629407368</v>
      </c>
      <c r="AJ159" s="40" t="n">
        <f aca="false">AI159*(1+INDEX(Response_Table!$H$4:$H$21,MATCH($F159&amp;"|mid",Response_Table!$A$4:$A$21,0))*$R159*INDEX(Parameters!$X$7:$AA$7,1,MATCH($E159,Parameters!$X$3:$AA$3,0)))</f>
        <v>0.341191629407368</v>
      </c>
      <c r="AK159" s="40" t="n">
        <f aca="false">MAX(0,MIN(AI159*(1+INDEX(Response_Table!$H$4:$H$21,MATCH($F159&amp;"|low",Response_Table!$A$4:$A$21,0))*$R159*INDEX(Parameters!$X$7:$AA$7,1,MATCH($E159,Parameters!$X$3:$AA$3,0))),AI159*(1+INDEX(Response_Table!$H$4:$H$21,MATCH($F159&amp;"|high",Response_Table!$A$4:$A$21,0))*$R159*INDEX(Parameters!$X$7:$AA$7,1,MATCH($E159,Parameters!$X$3:$AA$3,0))))*(1-Inputs_General!$C$22*Parameters!$F$7))</f>
        <v>0.240164787939846</v>
      </c>
      <c r="AL159" s="40" t="n">
        <f aca="false">MAX(AI159*(1+INDEX(Response_Table!$H$4:$H$21,MATCH($F159&amp;"|low",Response_Table!$A$4:$A$21,0))*$R159*INDEX(Parameters!$X$7:$AA$7,1,MATCH($E159,Parameters!$X$3:$AA$3,0))),AI159*(1+INDEX(Response_Table!$H$4:$H$21,MATCH($F159&amp;"|high",Response_Table!$A$4:$A$21,0))*$R159*INDEX(Parameters!$X$7:$AA$7,1,MATCH($E159,Parameters!$X$3:$AA$3,0))))*(1+Inputs_General!$C$22*Parameters!$F$7)</f>
        <v>0.44221847087489</v>
      </c>
      <c r="AM159" s="39" t="n">
        <f aca="false">IF(AI159=0,0,AJ159/AI159-1)</f>
        <v>0</v>
      </c>
      <c r="AN159" s="37" t="n">
        <f aca="false">AI159*$Q159/Inputs_General!$C$13*1000</f>
        <v>5.97691956280819</v>
      </c>
      <c r="AO159" s="37" t="n">
        <f aca="false">AJ159*$Q159/Inputs_General!$C$13*1000*(1+Inputs_General!$C$21*$I159)</f>
        <v>5.97691956280819</v>
      </c>
      <c r="AP159" s="37" t="n">
        <f aca="false">AK159*$Q159/Inputs_General!$C$13*1000*(1+Inputs_General!$C$21*$H159)</f>
        <v>4.20715368026068</v>
      </c>
      <c r="AQ159" s="37" t="n">
        <f aca="false">AL159*$Q159/Inputs_General!$C$13*1000*(1+Inputs_General!$C$21*$J159)</f>
        <v>7.74668544535569</v>
      </c>
      <c r="AR159" s="39" t="n">
        <f aca="false">IF(AN159=0,0,AO159/AN159-1)</f>
        <v>0</v>
      </c>
      <c r="AS159" s="36" t="n">
        <f aca="false">Parameters!$E$9*IF($N159="V",Parameters!$I$9,IF($N159="F",Parameters!$J$9,Parameters!$K$9))*(1-Parameters!$L$9*$P159)*IF($D159="V1",Parameters!$M$9,IF($D159="V2",Parameters!$N$9,Parameters!$O$9))</f>
        <v>285</v>
      </c>
      <c r="AT159" s="36" t="n">
        <f aca="false">AS159*(1+INDEX(Response_Table!$I$4:$I$21,MATCH($F159&amp;"|mid",Response_Table!$A$4:$A$21,0))*$R159*INDEX(Parameters!$X$9:$AA$9,1,MATCH($E159,Parameters!$X$3:$AA$3,0)))</f>
        <v>285</v>
      </c>
      <c r="AU159" s="36" t="n">
        <f aca="false">MAX(0,MIN(AS159*(1+INDEX(Response_Table!$I$4:$I$21,MATCH($F159&amp;"|low",Response_Table!$A$4:$A$21,0))*$R159*INDEX(Parameters!$X$9:$AA$9,1,MATCH($E159,Parameters!$X$3:$AA$3,0))),AS159*(1+INDEX(Response_Table!$I$4:$I$21,MATCH($F159&amp;"|high",Response_Table!$A$4:$A$21,0))*$R159*INDEX(Parameters!$X$9:$AA$9,1,MATCH($E159,Parameters!$X$3:$AA$3,0))))*(1-Inputs_General!$C$22*Parameters!$F$9))</f>
        <v>256.8705</v>
      </c>
      <c r="AV159" s="36" t="n">
        <f aca="false">MAX(AS159*(1+INDEX(Response_Table!$I$4:$I$21,MATCH($F159&amp;"|low",Response_Table!$A$4:$A$21,0))*$R159*INDEX(Parameters!$X$9:$AA$9,1,MATCH($E159,Parameters!$X$3:$AA$3,0))),AS159*(1+INDEX(Response_Table!$I$4:$I$21,MATCH($F159&amp;"|high",Response_Table!$A$4:$A$21,0))*$R159*INDEX(Parameters!$X$9:$AA$9,1,MATCH($E159,Parameters!$X$3:$AA$3,0))))*(1+Inputs_General!$C$22*Parameters!$F$9)</f>
        <v>313.1295</v>
      </c>
      <c r="AW159" s="39" t="n">
        <f aca="false">IF(AS159=0,0,AT159/AS159-1)</f>
        <v>0</v>
      </c>
      <c r="AX159" s="37" t="n">
        <f aca="false">INDEX(Context!$AB$4:$AB$51,$K159)</f>
        <v>2.52215585742532</v>
      </c>
      <c r="AY159" s="37" t="n">
        <f aca="false">AX159*(1+INDEX(Response_Table!$J$4:$J$21,MATCH($F159&amp;"|mid",Response_Table!$A$4:$A$21,0))*$R159*INDEX(Parameters!$X$10:$AA$10,1,MATCH($E159,Parameters!$X$3:$AA$3,0)))</f>
        <v>2.52215585742532</v>
      </c>
      <c r="AZ159" s="37" t="n">
        <f aca="false">MAX(0,MIN(AX159*(1+INDEX(Response_Table!$J$4:$J$21,MATCH($F159&amp;"|low",Response_Table!$A$4:$A$21,0))*$R159*INDEX(Parameters!$X$10:$AA$10,1,MATCH($E159,Parameters!$X$3:$AA$3,0))),AX159*(1+INDEX(Response_Table!$J$4:$J$21,MATCH($F159&amp;"|high",Response_Table!$A$4:$A$21,0))*$R159*INDEX(Parameters!$X$10:$AA$10,1,MATCH($E159,Parameters!$X$3:$AA$3,0))))*(1-Inputs_General!$C$22*Parameters!$F$10))</f>
        <v>2.02428229116956</v>
      </c>
      <c r="BA159" s="37" t="n">
        <f aca="false">MAX(AX159*(1+INDEX(Response_Table!$J$4:$J$21,MATCH($F159&amp;"|low",Response_Table!$A$4:$A$21,0))*$R159*INDEX(Parameters!$X$10:$AA$10,1,MATCH($E159,Parameters!$X$3:$AA$3,0))),AX159*(1+INDEX(Response_Table!$J$4:$J$21,MATCH($F159&amp;"|high",Response_Table!$A$4:$A$21,0))*$R159*INDEX(Parameters!$X$10:$AA$10,1,MATCH($E159,Parameters!$X$3:$AA$3,0))))*(1+Inputs_General!$C$22*Parameters!$F$10)</f>
        <v>3.02002942368108</v>
      </c>
      <c r="BB159" s="39" t="n">
        <f aca="false">IF(AX159=0,0,AY159/AX159-1)</f>
        <v>0</v>
      </c>
      <c r="BC159" s="40" t="n">
        <f aca="false">Parameters!$E$11*IF($N159="V",Parameters!$I$11,IF($N159="F",Parameters!$J$11,Parameters!$K$11))*(1-Parameters!$L$11*$P159)*IF($D159="V1",Parameters!$M$11,IF($D159="V2",Parameters!$N$11,Parameters!$O$11))</f>
        <v>1.21745535714286</v>
      </c>
      <c r="BD159" s="40" t="n">
        <f aca="false">BC159*(1+INDEX(Response_Table!$K$4:$K$21,MATCH($F159&amp;"|mid",Response_Table!$A$4:$A$21,0))*$R159*INDEX(Parameters!$X$11:$AA$11,1,MATCH($E159,Parameters!$X$3:$AA$3,0)))</f>
        <v>1.21745535714286</v>
      </c>
      <c r="BE159" s="40" t="n">
        <f aca="false">MAX(0,MIN(BC159*(1+INDEX(Response_Table!$K$4:$K$21,MATCH($F159&amp;"|low",Response_Table!$A$4:$A$21,0))*$R159*INDEX(Parameters!$X$11:$AA$11,1,MATCH($E159,Parameters!$X$3:$AA$3,0))),BC159*(1+INDEX(Response_Table!$K$4:$K$21,MATCH($F159&amp;"|high",Response_Table!$A$4:$A$21,0))*$R159*INDEX(Parameters!$X$11:$AA$11,1,MATCH($E159,Parameters!$X$3:$AA$3,0))))*(1-Inputs_General!$C$22*Parameters!$F$11))</f>
        <v>1.01718395089286</v>
      </c>
      <c r="BF159" s="40" t="n">
        <f aca="false">MAX(BC159*(1+INDEX(Response_Table!$K$4:$K$21,MATCH($F159&amp;"|low",Response_Table!$A$4:$A$21,0))*$R159*INDEX(Parameters!$X$11:$AA$11,1,MATCH($E159,Parameters!$X$3:$AA$3,0))),BC159*(1+INDEX(Response_Table!$K$4:$K$21,MATCH($F159&amp;"|high",Response_Table!$A$4:$A$21,0))*$R159*INDEX(Parameters!$X$11:$AA$11,1,MATCH($E159,Parameters!$X$3:$AA$3,0))))*(1+Inputs_General!$C$22*Parameters!$F$11)</f>
        <v>1.41772676339286</v>
      </c>
      <c r="BG159" s="39" t="n">
        <f aca="false">IF(BC159=0,0,BD159/BC159-1)</f>
        <v>0</v>
      </c>
      <c r="BH159" s="40" t="n">
        <f aca="false">Parameters!$E$12*IF($N159="V",Parameters!$I$12,IF($N159="F",Parameters!$J$12,Parameters!$K$12))*(1-Parameters!$L$12*$P159)*IF($D159="V1",Parameters!$M$12,IF($D159="V2",Parameters!$N$12,Parameters!$O$12))</f>
        <v>0.438283928571429</v>
      </c>
      <c r="BI159" s="40" t="n">
        <f aca="false">BH159*(1+INDEX(Response_Table!$L$4:$L$21,MATCH($F159&amp;"|mid",Response_Table!$A$4:$A$21,0))*$R159*INDEX(Parameters!$X$12:$AA$12,1,MATCH($E159,Parameters!$X$3:$AA$3,0)))</f>
        <v>0.438283928571429</v>
      </c>
      <c r="BJ159" s="40" t="n">
        <f aca="false">MAX(0,MIN(BH159*(1+INDEX(Response_Table!$L$4:$L$21,MATCH($F159&amp;"|low",Response_Table!$A$4:$A$21,0))*$R159*INDEX(Parameters!$X$12:$AA$12,1,MATCH($E159,Parameters!$X$3:$AA$3,0))),BH159*(1+INDEX(Response_Table!$L$4:$L$21,MATCH($F159&amp;"|high",Response_Table!$A$4:$A$21,0))*$R159*INDEX(Parameters!$X$12:$AA$12,1,MATCH($E159,Parameters!$X$3:$AA$3,0))))*(1-Inputs_General!$C$22*Parameters!$F$12))</f>
        <v>0.351766681071429</v>
      </c>
      <c r="BK159" s="40" t="n">
        <f aca="false">MAX(BH159*(1+INDEX(Response_Table!$L$4:$L$21,MATCH($F159&amp;"|low",Response_Table!$A$4:$A$21,0))*$R159*INDEX(Parameters!$X$12:$AA$12,1,MATCH($E159,Parameters!$X$3:$AA$3,0))),BH159*(1+INDEX(Response_Table!$L$4:$L$21,MATCH($F159&amp;"|high",Response_Table!$A$4:$A$21,0))*$R159*INDEX(Parameters!$X$12:$AA$12,1,MATCH($E159,Parameters!$X$3:$AA$3,0))))*(1+Inputs_General!$C$22*Parameters!$F$12)</f>
        <v>0.524801176071429</v>
      </c>
      <c r="BL159" s="39" t="n">
        <f aca="false">IF(BH159=0,0,BI159/BH159-1)</f>
        <v>0</v>
      </c>
      <c r="BM159" s="40" t="n">
        <f aca="false">Parameters!$E$13*IF($N159="V",Parameters!$I$13,IF($N159="F",Parameters!$J$13,Parameters!$K$13))*(1-Parameters!$L$13*$P159)*IF($D159="V1",Parameters!$M$13,IF($D159="V2",Parameters!$N$13,Parameters!$O$13))</f>
        <v>0.296094642857143</v>
      </c>
      <c r="BN159" s="40" t="n">
        <f aca="false">BM159*(1+INDEX(Response_Table!$M$4:$M$21,MATCH($F159&amp;"|mid",Response_Table!$A$4:$A$21,0))*$R159*INDEX(Parameters!$X$13:$AA$13,1,MATCH($E159,Parameters!$X$3:$AA$3,0)))</f>
        <v>0.296094642857143</v>
      </c>
      <c r="BO159" s="40" t="n">
        <f aca="false">MAX(0,MIN(BM159*(1+INDEX(Response_Table!$M$4:$M$21,MATCH($F159&amp;"|low",Response_Table!$A$4:$A$21,0))*$R159*INDEX(Parameters!$X$13:$AA$13,1,MATCH($E159,Parameters!$X$3:$AA$3,0))),BM159*(1+INDEX(Response_Table!$M$4:$M$21,MATCH($F159&amp;"|high",Response_Table!$A$4:$A$21,0))*$R159*INDEX(Parameters!$X$13:$AA$13,1,MATCH($E159,Parameters!$X$3:$AA$3,0))))*(1-Inputs_General!$C$22*Parameters!$F$13))</f>
        <v>0.237645560357143</v>
      </c>
      <c r="BP159" s="40" t="n">
        <f aca="false">MAX(BM159*(1+INDEX(Response_Table!$M$4:$M$21,MATCH($F159&amp;"|low",Response_Table!$A$4:$A$21,0))*$R159*INDEX(Parameters!$X$13:$AA$13,1,MATCH($E159,Parameters!$X$3:$AA$3,0))),BM159*(1+INDEX(Response_Table!$M$4:$M$21,MATCH($F159&amp;"|high",Response_Table!$A$4:$A$21,0))*$R159*INDEX(Parameters!$X$13:$AA$13,1,MATCH($E159,Parameters!$X$3:$AA$3,0))))*(1+Inputs_General!$C$22*Parameters!$F$13)</f>
        <v>0.354543725357143</v>
      </c>
      <c r="BQ159" s="39" t="n">
        <f aca="false">IF(BM159=0,0,BN159/BM159-1)</f>
        <v>0</v>
      </c>
      <c r="BR159" s="38" t="n">
        <f aca="false">Parameters!$E$14*IF($N159="V",Parameters!$I$14,IF($N159="F",Parameters!$J$14,Parameters!$K$14))*(1-Parameters!$L$14*$P159)*IF($D159="V1",Parameters!$M$14,IF($D159="V2",Parameters!$N$14,Parameters!$O$14))*INDEX(Context!$AC$4:$AC$51,$K159)</f>
        <v>15</v>
      </c>
      <c r="BS159" s="38" t="n">
        <f aca="false">BR159*(1+INDEX(Response_Table!$N$4:$N$21,MATCH($F159&amp;"|mid",Response_Table!$A$4:$A$21,0))*$R159*INDEX(Parameters!$X$14:$AA$14,1,MATCH($E159,Parameters!$X$3:$AA$3,0)))</f>
        <v>15</v>
      </c>
      <c r="BT159" s="38" t="n">
        <f aca="false">MAX(0,MIN(BR159*(1+INDEX(Response_Table!$N$4:$N$21,MATCH($F159&amp;"|low",Response_Table!$A$4:$A$21,0))*$R159*INDEX(Parameters!$X$14:$AA$14,1,MATCH($E159,Parameters!$X$3:$AA$3,0))),BR159*(1+INDEX(Response_Table!$N$4:$N$21,MATCH($F159&amp;"|high",Response_Table!$A$4:$A$21,0))*$R159*INDEX(Parameters!$X$14:$AA$14,1,MATCH($E159,Parameters!$X$3:$AA$3,0))))*(1-Inputs_General!$C$22*Parameters!$F$14))</f>
        <v>7.5975</v>
      </c>
      <c r="BU159" s="38" t="n">
        <f aca="false">MAX(BR159*(1+INDEX(Response_Table!$N$4:$N$21,MATCH($F159&amp;"|low",Response_Table!$A$4:$A$21,0))*$R159*INDEX(Parameters!$X$14:$AA$14,1,MATCH($E159,Parameters!$X$3:$AA$3,0))),BR159*(1+INDEX(Response_Table!$N$4:$N$21,MATCH($F159&amp;"|high",Response_Table!$A$4:$A$21,0))*$R159*INDEX(Parameters!$X$14:$AA$14,1,MATCH($E159,Parameters!$X$3:$AA$3,0))))*(1+Inputs_General!$C$22*Parameters!$F$14)</f>
        <v>22.4025</v>
      </c>
      <c r="BV159" s="39" t="n">
        <f aca="false">IF(BR159=0,0,BS159/BR159-1)</f>
        <v>0</v>
      </c>
      <c r="BW159" s="37" t="n">
        <f aca="false">Parameters!$E$15*IF($N159="V",Parameters!$I$15,IF($N159="F",Parameters!$J$15,Parameters!$K$15))*(1-Parameters!$L$15*$P159)*IF($D159="V1",Parameters!$M$15,IF($D159="V2",Parameters!$N$15,Parameters!$O$15))</f>
        <v>10.1292285714286</v>
      </c>
      <c r="BX159" s="37" t="n">
        <f aca="false">BW159*(1+INDEX(Response_Table!$O$4:$O$21,MATCH($F159&amp;"|mid",Response_Table!$A$4:$A$21,0))*$R159*INDEX(Parameters!$X$15:$AA$15,1,MATCH($E159,Parameters!$X$3:$AA$3,0)))</f>
        <v>10.1292285714286</v>
      </c>
      <c r="BY159" s="37" t="n">
        <f aca="false">MAX(0,MIN(BW159*(1+INDEX(Response_Table!$O$4:$O$21,MATCH($F159&amp;"|low",Response_Table!$A$4:$A$21,0))*$R159*INDEX(Parameters!$X$15:$AA$15,1,MATCH($E159,Parameters!$X$3:$AA$3,0))),BW159*(1+INDEX(Response_Table!$O$4:$O$21,MATCH($F159&amp;"|high",Response_Table!$A$4:$A$21,0))*$R159*INDEX(Parameters!$X$15:$AA$15,1,MATCH($E159,Parameters!$X$3:$AA$3,0))))*(1-Inputs_General!$C$22*Parameters!$F$15))</f>
        <v>8.12971885142857</v>
      </c>
      <c r="BZ159" s="37" t="n">
        <f aca="false">MAX(BW159*(1+INDEX(Response_Table!$O$4:$O$21,MATCH($F159&amp;"|low",Response_Table!$A$4:$A$21,0))*$R159*INDEX(Parameters!$X$15:$AA$15,1,MATCH($E159,Parameters!$X$3:$AA$3,0))),BW159*(1+INDEX(Response_Table!$O$4:$O$21,MATCH($F159&amp;"|high",Response_Table!$A$4:$A$21,0))*$R159*INDEX(Parameters!$X$15:$AA$15,1,MATCH($E159,Parameters!$X$3:$AA$3,0))))*(1+Inputs_General!$C$22*Parameters!$F$15)</f>
        <v>12.1287382914286</v>
      </c>
      <c r="CA159" s="39" t="n">
        <f aca="false">IF(BW159=0,0,BX159/BW159-1)</f>
        <v>0</v>
      </c>
      <c r="CB159" s="40" t="n">
        <f aca="false">BD159+BI159</f>
        <v>1.65573928571429</v>
      </c>
      <c r="CC159" s="37" t="n">
        <f aca="false">BD159/BI159</f>
        <v>2.77777777777778</v>
      </c>
      <c r="CD159" s="40" t="n">
        <f aca="false">BN159/CB159</f>
        <v>0.178829267030049</v>
      </c>
      <c r="CE159" s="37" t="n">
        <f aca="false">AE159/AO159</f>
        <v>3.01336544149186</v>
      </c>
      <c r="CF159" s="38" t="n">
        <f aca="false">AE159/AJ159</f>
        <v>52.7874698697222</v>
      </c>
      <c r="CG159" s="38" t="n">
        <f aca="false">INDEX(Context!$V$4:$V$51,$K159)</f>
        <v>28.62</v>
      </c>
      <c r="CH159" s="38" t="n">
        <f aca="false">INDEX(Context!$Y$4:$Y$51,$K159)</f>
        <v>25.3060134606718</v>
      </c>
      <c r="CI159" s="38" t="n">
        <f aca="false">INDEX(Context!$Z$4:$Z$51,$K159)</f>
        <v>32.62</v>
      </c>
      <c r="CJ159" s="37" t="n">
        <f aca="false">INDEX(Context!$AA$4:$AA$51,$K159)</f>
        <v>0.221696428571429</v>
      </c>
      <c r="CK159" s="37" t="n">
        <f aca="false">MAX(0,MIN(1,1-(1-CJ159)*AO159/AN159))</f>
        <v>0.221696428571429</v>
      </c>
      <c r="CL159" s="38" t="n">
        <f aca="false">CH159+CK159*(CI159-CH159)</f>
        <v>26.9274981550603</v>
      </c>
      <c r="CM159" s="38" t="n">
        <f aca="false">CH159+MAX(0,MIN(1,1-(1-CJ159)*AQ159/AN159))*(CI159-CH159)</f>
        <v>25.3060134606718</v>
      </c>
      <c r="CN159" s="38" t="n">
        <f aca="false">CH159+MAX(0,MIN(1,1-(1-CJ159)*AP159/AN159))*(CI159-CH159)</f>
        <v>28.613047951347</v>
      </c>
      <c r="CO159" s="38" t="n">
        <f aca="false">CL159-CG159</f>
        <v>-1.69250184493966</v>
      </c>
      <c r="CP159" s="38" t="n">
        <f aca="false">CL159-(CH159+CJ159*(CI159-CH159))</f>
        <v>0</v>
      </c>
      <c r="CQ159" s="40" t="n">
        <f aca="false">CL159/CG159</f>
        <v>0.940862968380864</v>
      </c>
      <c r="CR159" s="37" t="n">
        <f aca="false">IF(CL159-CH159&lt;=0,"n/a",(CI159-CL159)/(CL159-CH159))</f>
        <v>3.5106725734998</v>
      </c>
      <c r="CS159" s="37" t="n">
        <f aca="false">IF(CI159-CL159&lt;=0,"n/a",(CL159-CH159)/(CI159-CL159))</f>
        <v>0.284845703797178</v>
      </c>
      <c r="CT159" s="37" t="n">
        <f aca="false">Inputs_General!$C$23+Inputs_General!$C$24*$I159</f>
        <v>0.6</v>
      </c>
      <c r="CU159" s="38" t="n">
        <f aca="false">3.29*CT159</f>
        <v>1.974</v>
      </c>
    </row>
    <row r="160" customFormat="false" ht="15" hidden="false" customHeight="false" outlineLevel="0" collapsed="false">
      <c r="A160" s="9" t="str">
        <f aca="false">B160&amp;"|"&amp;E160&amp;"|"&amp;F160</f>
        <v>D3V1|03/03/2026|Very low</v>
      </c>
      <c r="B160" s="7" t="s">
        <v>349</v>
      </c>
      <c r="C160" s="9" t="s">
        <v>131</v>
      </c>
      <c r="D160" s="9" t="s">
        <v>142</v>
      </c>
      <c r="E160" s="9" t="s">
        <v>162</v>
      </c>
      <c r="F160" s="7" t="s">
        <v>277</v>
      </c>
      <c r="G160" s="9" t="s">
        <v>278</v>
      </c>
      <c r="H160" s="41" t="n">
        <f aca="false">INDEX(Severity_Classes!$C$4:$C$9,MATCH(F160,Severity_Classes!$A$4:$A$9,0))</f>
        <v>0.01</v>
      </c>
      <c r="I160" s="41" t="n">
        <f aca="false">INDEX(Severity_Classes!$D$4:$D$9,MATCH(F160,Severity_Classes!$A$4:$A$9,0))</f>
        <v>0.03</v>
      </c>
      <c r="J160" s="41" t="n">
        <f aca="false">INDEX(Severity_Classes!$E$4:$E$9,MATCH(F160,Severity_Classes!$A$4:$A$9,0))</f>
        <v>0.05</v>
      </c>
      <c r="K160" s="42" t="n">
        <f aca="false">MATCH(B160&amp;"|"&amp;E160,Context!$A$4:$A$51,0)</f>
        <v>27</v>
      </c>
      <c r="L160" s="42" t="n">
        <f aca="false">INDEX(Context!$H$4:$H$51,K160)</f>
        <v>66</v>
      </c>
      <c r="M160" s="42" t="n">
        <f aca="false">INDEX(Context!$I$4:$I$51,K160)</f>
        <v>26</v>
      </c>
      <c r="N160" s="9" t="str">
        <f aca="false">INDEX(Context!$L$4:$L$51,K160)</f>
        <v>F</v>
      </c>
      <c r="O160" s="9" t="str">
        <f aca="false">INDEX(Context!$M$4:$M$51,K160)</f>
        <v>5th fully expanded leaf from top</v>
      </c>
      <c r="P160" s="43" t="n">
        <f aca="false">INDEX(Context!$R$4:$R$51,K160)</f>
        <v>0.433928571428571</v>
      </c>
      <c r="Q160" s="43" t="n">
        <f aca="false">INDEX(Context!$U$4:$U$51,K160)</f>
        <v>1.73951545534029</v>
      </c>
      <c r="R160" s="43" t="n">
        <f aca="false">INDEX(Context!$AD$4:$AD$51,K160)</f>
        <v>1</v>
      </c>
      <c r="S160" s="9" t="str">
        <f aca="false">INDEX(Context!$AI$4:$AN$51,K160,MATCH(F160,Severity_Classes!$A$4:$A$9,0))</f>
        <v>Possible</v>
      </c>
      <c r="T160" s="44" t="n">
        <f aca="false">Parameters!$E$4*IF($N160="V",Parameters!$I$4,IF($N160="F",Parameters!$J$4,Parameters!$K$4))*(1-Parameters!$L$4*$P160)*IF($D160="V1",Parameters!$M$4,IF($D160="V2",Parameters!$N$4,Parameters!$O$4))</f>
        <v>83.2927660714286</v>
      </c>
      <c r="U160" s="44" t="n">
        <f aca="false">MIN(100,T160*(1+INDEX(Response_Table!$E$4:$E$21,MATCH($F160&amp;"|mid",Response_Table!$A$4:$A$21,0))*$R160*INDEX(Parameters!$X$4:$AA$4,1,MATCH($E160,Parameters!$X$3:$AA$3,0))))</f>
        <v>82.9336627372448</v>
      </c>
      <c r="V160" s="44" t="n">
        <f aca="false">MAX(0,MIN(T160*(1+INDEX(Response_Table!$E$4:$E$21,MATCH($F160&amp;"|low",Response_Table!$A$4:$A$21,0))*$R160*INDEX(Parameters!$X$4:$AA$4,1,MATCH($E160,Parameters!$X$3:$AA$3,0))),T160*(1+INDEX(Response_Table!$E$4:$E$21,MATCH($F160&amp;"|high",Response_Table!$A$4:$A$21,0))*$R160*INDEX(Parameters!$X$4:$AA$4,1,MATCH($E160,Parameters!$X$3:$AA$3,0))))*(1-Inputs_General!$C$22*Parameters!$F$4))</f>
        <v>77.2086835543251</v>
      </c>
      <c r="W160" s="44" t="n">
        <f aca="false">MIN(100,MAX(T160*(1+INDEX(Response_Table!$E$4:$E$21,MATCH($F160&amp;"|low",Response_Table!$A$4:$A$21,0))*$R160*INDEX(Parameters!$X$4:$AA$4,1,MATCH($E160,Parameters!$X$3:$AA$3,0))),T160*(1+INDEX(Response_Table!$E$4:$E$21,MATCH($F160&amp;"|high",Response_Table!$A$4:$A$21,0))*$R160*INDEX(Parameters!$X$4:$AA$4,1,MATCH($E160,Parameters!$X$3:$AA$3,0))))*(1+Inputs_General!$C$22*Parameters!$F$4))</f>
        <v>88.6551446247643</v>
      </c>
      <c r="X160" s="45" t="n">
        <f aca="false">IF(T160=0,0,U160/T160-1)</f>
        <v>-0.00431133880072854</v>
      </c>
      <c r="Y160" s="44" t="n">
        <f aca="false">Parameters!$E$5*IF($N160="V",Parameters!$I$5,IF($N160="F",Parameters!$J$5,Parameters!$K$5))*(1-Parameters!$L$5*$P160)*IF($D160="V1",Parameters!$M$5,IF($D160="V2",Parameters!$N$5,Parameters!$O$5))</f>
        <v>66.88584</v>
      </c>
      <c r="Z160" s="44" t="n">
        <f aca="false">MIN(100,Y160*(1+INDEX(Response_Table!$F$4:$F$21,MATCH($F160&amp;"|mid",Response_Table!$A$4:$A$21,0))*$R160*INDEX(Parameters!$X$5:$AA$5,1,MATCH($E160,Parameters!$X$3:$AA$3,0))))</f>
        <v>65.9653075308138</v>
      </c>
      <c r="AA160" s="44" t="n">
        <f aca="false">MAX(0,MIN(Y160*(1+INDEX(Response_Table!$F$4:$F$21,MATCH($F160&amp;"|low",Response_Table!$A$4:$A$21,0))*$R160*INDEX(Parameters!$X$5:$AA$5,1,MATCH($E160,Parameters!$X$3:$AA$3,0))),Y160*(1+INDEX(Response_Table!$F$4:$F$21,MATCH($F160&amp;"|high",Response_Table!$A$4:$A$21,0))*$R160*INDEX(Parameters!$X$5:$AA$5,1,MATCH($E160,Parameters!$X$3:$AA$3,0))))*(1-Inputs_General!$C$22*Parameters!$F$5))</f>
        <v>57.6985451622592</v>
      </c>
      <c r="AB160" s="44" t="n">
        <f aca="false">MIN(100,MAX(Y160*(1+INDEX(Response_Table!$F$4:$F$21,MATCH($F160&amp;"|low",Response_Table!$A$4:$A$21,0))*$R160*INDEX(Parameters!$X$5:$AA$5,1,MATCH($E160,Parameters!$X$3:$AA$3,0))),Y160*(1+INDEX(Response_Table!$F$4:$F$21,MATCH($F160&amp;"|high",Response_Table!$A$4:$A$21,0))*$R160*INDEX(Parameters!$X$5:$AA$5,1,MATCH($E160,Parameters!$X$3:$AA$3,0))))*(1+Inputs_General!$C$22*Parameters!$F$5))</f>
        <v>74.274856718881</v>
      </c>
      <c r="AC160" s="45" t="n">
        <f aca="false">IF(Y160=0,0,Z160/Y160-1)</f>
        <v>-0.0137627406516267</v>
      </c>
      <c r="AD160" s="44" t="n">
        <f aca="false">Parameters!$E$6*IF($N160="V",Parameters!$I$6,IF($N160="F",Parameters!$J$6,Parameters!$K$6))*(1-Parameters!$L$6*$P160)*IF($D160="V1",Parameters!$M$6,IF($D160="V2",Parameters!$N$6,Parameters!$O$6))</f>
        <v>18.0106428571429</v>
      </c>
      <c r="AE160" s="44" t="n">
        <f aca="false">AD160*(1+INDEX(Response_Table!$G$4:$G$21,MATCH($F160&amp;"|mid",Response_Table!$A$4:$A$21,0))*$R160*INDEX(Parameters!$X$6:$AA$6,1,MATCH($E160,Parameters!$X$3:$AA$3,0)))</f>
        <v>16.3402592268716</v>
      </c>
      <c r="AF160" s="44" t="n">
        <f aca="false">MAX(0,MIN(AD160*(1+INDEX(Response_Table!$G$4:$G$21,MATCH($F160&amp;"|low",Response_Table!$A$4:$A$21,0))*$R160*INDEX(Parameters!$X$6:$AA$6,1,MATCH($E160,Parameters!$X$3:$AA$3,0))),AD160*(1+INDEX(Response_Table!$G$4:$G$21,MATCH($F160&amp;"|high",Response_Table!$A$4:$A$21,0))*$R160*INDEX(Parameters!$X$6:$AA$6,1,MATCH($E160,Parameters!$X$3:$AA$3,0))))*(1-Inputs_General!$C$22*Parameters!$F$6))</f>
        <v>12.3143482279729</v>
      </c>
      <c r="AG160" s="44" t="n">
        <f aca="false">MAX(AD160*(1+INDEX(Response_Table!$G$4:$G$21,MATCH($F160&amp;"|low",Response_Table!$A$4:$A$21,0))*$R160*INDEX(Parameters!$X$6:$AA$6,1,MATCH($E160,Parameters!$X$3:$AA$3,0))),AD160*(1+INDEX(Response_Table!$G$4:$G$21,MATCH($F160&amp;"|high",Response_Table!$A$4:$A$21,0))*$R160*INDEX(Parameters!$X$6:$AA$6,1,MATCH($E160,Parameters!$X$3:$AA$3,0))))*(1+Inputs_General!$C$22*Parameters!$F$6)</f>
        <v>20.869697358065</v>
      </c>
      <c r="AH160" s="45" t="n">
        <f aca="false">IF(AD160=0,0,AE160/AD160-1)</f>
        <v>-0.0927442536904701</v>
      </c>
      <c r="AI160" s="46" t="n">
        <f aca="false">Parameters!$E$7*IF($N160="V",Parameters!$I$7,IF($N160="F",Parameters!$J$7,Parameters!$K$7))*(1-Parameters!$L$7*$P160)*IF($D160="V1",Parameters!$M$7,IF($D160="V2",Parameters!$N$7,Parameters!$O$7))*POWER($Q160/Inputs_General!$C$26,-Inputs_General!$C$25)</f>
        <v>0.341191629407368</v>
      </c>
      <c r="AJ160" s="46" t="n">
        <f aca="false">AI160*(1+INDEX(Response_Table!$H$4:$H$21,MATCH($F160&amp;"|mid",Response_Table!$A$4:$A$21,0))*$R160*INDEX(Parameters!$X$7:$AA$7,1,MATCH($E160,Parameters!$X$3:$AA$3,0)))</f>
        <v>0.322103755967362</v>
      </c>
      <c r="AK160" s="46" t="n">
        <f aca="false">MAX(0,MIN(AI160*(1+INDEX(Response_Table!$H$4:$H$21,MATCH($F160&amp;"|low",Response_Table!$A$4:$A$21,0))*$R160*INDEX(Parameters!$X$7:$AA$7,1,MATCH($E160,Parameters!$X$3:$AA$3,0))),AI160*(1+INDEX(Response_Table!$H$4:$H$21,MATCH($F160&amp;"|high",Response_Table!$A$4:$A$21,0))*$R160*INDEX(Parameters!$X$7:$AA$7,1,MATCH($E160,Parameters!$X$3:$AA$3,0))))*(1-Inputs_General!$C$22*Parameters!$F$7))</f>
        <v>0.218420312392514</v>
      </c>
      <c r="AL160" s="46" t="n">
        <f aca="false">MAX(AI160*(1+INDEX(Response_Table!$H$4:$H$21,MATCH($F160&amp;"|low",Response_Table!$A$4:$A$21,0))*$R160*INDEX(Parameters!$X$7:$AA$7,1,MATCH($E160,Parameters!$X$3:$AA$3,0))),AI160*(1+INDEX(Response_Table!$H$4:$H$21,MATCH($F160&amp;"|high",Response_Table!$A$4:$A$21,0))*$R160*INDEX(Parameters!$X$7:$AA$7,1,MATCH($E160,Parameters!$X$3:$AA$3,0))))*(1+Inputs_General!$C$22*Parameters!$F$7)</f>
        <v>0.433723275749783</v>
      </c>
      <c r="AM160" s="45" t="n">
        <f aca="false">IF(AI160=0,0,AJ160/AI160-1)</f>
        <v>-0.0559447295737017</v>
      </c>
      <c r="AN160" s="43" t="n">
        <f aca="false">AI160*$Q160/Inputs_General!$C$13*1000</f>
        <v>5.97691956280819</v>
      </c>
      <c r="AO160" s="43" t="n">
        <f aca="false">AJ160*$Q160/Inputs_General!$C$13*1000*(1+Inputs_General!$C$21*$I160)</f>
        <v>5.68486148228949</v>
      </c>
      <c r="AP160" s="43" t="n">
        <f aca="false">AK160*$Q160/Inputs_General!$C$13*1000*(1+Inputs_General!$C$21*$H160)</f>
        <v>3.83580435991893</v>
      </c>
      <c r="AQ160" s="43" t="n">
        <f aca="false">AL160*$Q160/Inputs_General!$C$13*1000*(1+Inputs_General!$C$21*$J160)</f>
        <v>7.69284185071915</v>
      </c>
      <c r="AR160" s="45" t="n">
        <f aca="false">IF(AN160=0,0,AO160/AN160-1)</f>
        <v>-0.0488643150455044</v>
      </c>
      <c r="AS160" s="42" t="n">
        <f aca="false">Parameters!$E$9*IF($N160="V",Parameters!$I$9,IF($N160="F",Parameters!$J$9,Parameters!$K$9))*(1-Parameters!$L$9*$P160)*IF($D160="V1",Parameters!$M$9,IF($D160="V2",Parameters!$N$9,Parameters!$O$9))</f>
        <v>285</v>
      </c>
      <c r="AT160" s="42" t="n">
        <f aca="false">AS160*(1+INDEX(Response_Table!$I$4:$I$21,MATCH($F160&amp;"|mid",Response_Table!$A$4:$A$21,0))*$R160*INDEX(Parameters!$X$9:$AA$9,1,MATCH($E160,Parameters!$X$3:$AA$3,0)))</f>
        <v>294.668302660683</v>
      </c>
      <c r="AU160" s="42" t="n">
        <f aca="false">MAX(0,MIN(AS160*(1+INDEX(Response_Table!$I$4:$I$21,MATCH($F160&amp;"|low",Response_Table!$A$4:$A$21,0))*$R160*INDEX(Parameters!$X$9:$AA$9,1,MATCH($E160,Parameters!$X$3:$AA$3,0))),AS160*(1+INDEX(Response_Table!$I$4:$I$21,MATCH($F160&amp;"|high",Response_Table!$A$4:$A$21,0))*$R160*INDEX(Parameters!$X$9:$AA$9,1,MATCH($E160,Parameters!$X$3:$AA$3,0))))*(1-Inputs_General!$C$22*Parameters!$F$9))</f>
        <v>259.892110911067</v>
      </c>
      <c r="AV160" s="42" t="n">
        <f aca="false">MAX(AS160*(1+INDEX(Response_Table!$I$4:$I$21,MATCH($F160&amp;"|low",Response_Table!$A$4:$A$21,0))*$R160*INDEX(Parameters!$X$9:$AA$9,1,MATCH($E160,Parameters!$X$3:$AA$3,0))),AS160*(1+INDEX(Response_Table!$I$4:$I$21,MATCH($F160&amp;"|high",Response_Table!$A$4:$A$21,0))*$R160*INDEX(Parameters!$X$9:$AA$9,1,MATCH($E160,Parameters!$X$3:$AA$3,0))))*(1+Inputs_General!$C$22*Parameters!$F$9)</f>
        <v>330.15772459622</v>
      </c>
      <c r="AW160" s="45" t="n">
        <f aca="false">IF(AS160=0,0,AT160/AS160-1)</f>
        <v>0.0339238689848527</v>
      </c>
      <c r="AX160" s="43" t="n">
        <f aca="false">INDEX(Context!$AB$4:$AB$51,$K160)</f>
        <v>2.52215585742532</v>
      </c>
      <c r="AY160" s="43" t="n">
        <f aca="false">AX160*(1+INDEX(Response_Table!$J$4:$J$21,MATCH($F160&amp;"|mid",Response_Table!$A$4:$A$21,0))*$R160*INDEX(Parameters!$X$10:$AA$10,1,MATCH($E160,Parameters!$X$3:$AA$3,0)))</f>
        <v>2.44014687228821</v>
      </c>
      <c r="AZ160" s="43" t="n">
        <f aca="false">MAX(0,MIN(AX160*(1+INDEX(Response_Table!$J$4:$J$21,MATCH($F160&amp;"|low",Response_Table!$A$4:$A$21,0))*$R160*INDEX(Parameters!$X$10:$AA$10,1,MATCH($E160,Parameters!$X$3:$AA$3,0))),AX160*(1+INDEX(Response_Table!$J$4:$J$21,MATCH($F160&amp;"|high",Response_Table!$A$4:$A$21,0))*$R160*INDEX(Parameters!$X$10:$AA$10,1,MATCH($E160,Parameters!$X$3:$AA$3,0))))*(1-Inputs_General!$C$22*Parameters!$F$10))</f>
        <v>1.91724554350455</v>
      </c>
      <c r="BA160" s="43" t="n">
        <f aca="false">MAX(AX160*(1+INDEX(Response_Table!$J$4:$J$21,MATCH($F160&amp;"|low",Response_Table!$A$4:$A$21,0))*$R160*INDEX(Parameters!$X$10:$AA$10,1,MATCH($E160,Parameters!$X$3:$AA$3,0))),AX160*(1+INDEX(Response_Table!$J$4:$J$21,MATCH($F160&amp;"|high",Response_Table!$A$4:$A$21,0))*$R160*INDEX(Parameters!$X$10:$AA$10,1,MATCH($E160,Parameters!$X$3:$AA$3,0))))*(1+Inputs_General!$C$22*Parameters!$F$10)</f>
        <v>2.98647526721461</v>
      </c>
      <c r="BB160" s="45" t="n">
        <f aca="false">IF(AX160=0,0,AY160/AX160-1)</f>
        <v>-0.0325154311521511</v>
      </c>
      <c r="BC160" s="46" t="n">
        <f aca="false">Parameters!$E$11*IF($N160="V",Parameters!$I$11,IF($N160="F",Parameters!$J$11,Parameters!$K$11))*(1-Parameters!$L$11*$P160)*IF($D160="V1",Parameters!$M$11,IF($D160="V2",Parameters!$N$11,Parameters!$O$11))</f>
        <v>1.21745535714286</v>
      </c>
      <c r="BD160" s="46" t="n">
        <f aca="false">BC160*(1+INDEX(Response_Table!$K$4:$K$21,MATCH($F160&amp;"|mid",Response_Table!$A$4:$A$21,0))*$R160*INDEX(Parameters!$X$11:$AA$11,1,MATCH($E160,Parameters!$X$3:$AA$3,0)))</f>
        <v>1.14501872403733</v>
      </c>
      <c r="BE160" s="46" t="n">
        <f aca="false">MAX(0,MIN(BC160*(1+INDEX(Response_Table!$K$4:$K$21,MATCH($F160&amp;"|low",Response_Table!$A$4:$A$21,0))*$R160*INDEX(Parameters!$X$11:$AA$11,1,MATCH($E160,Parameters!$X$3:$AA$3,0))),BC160*(1+INDEX(Response_Table!$K$4:$K$21,MATCH($F160&amp;"|high",Response_Table!$A$4:$A$21,0))*$R160*INDEX(Parameters!$X$11:$AA$11,1,MATCH($E160,Parameters!$X$3:$AA$3,0))))*(1-Inputs_General!$C$22*Parameters!$F$11))</f>
        <v>0.919425923705649</v>
      </c>
      <c r="BF160" s="46" t="n">
        <f aca="false">MAX(BC160*(1+INDEX(Response_Table!$K$4:$K$21,MATCH($F160&amp;"|low",Response_Table!$A$4:$A$21,0))*$R160*INDEX(Parameters!$X$11:$AA$11,1,MATCH($E160,Parameters!$X$3:$AA$3,0))),BC160*(1+INDEX(Response_Table!$K$4:$K$21,MATCH($F160&amp;"|high",Response_Table!$A$4:$A$21,0))*$R160*INDEX(Parameters!$X$11:$AA$11,1,MATCH($E160,Parameters!$X$3:$AA$3,0))))*(1+Inputs_General!$C$22*Parameters!$F$11)</f>
        <v>1.38870487344578</v>
      </c>
      <c r="BG160" s="45" t="n">
        <f aca="false">IF(BC160=0,0,BD160/BC160-1)</f>
        <v>-0.0594983895553409</v>
      </c>
      <c r="BH160" s="46" t="n">
        <f aca="false">Parameters!$E$12*IF($N160="V",Parameters!$I$12,IF($N160="F",Parameters!$J$12,Parameters!$K$12))*(1-Parameters!$L$12*$P160)*IF($D160="V1",Parameters!$M$12,IF($D160="V2",Parameters!$N$12,Parameters!$O$12))</f>
        <v>0.438283928571429</v>
      </c>
      <c r="BI160" s="46" t="n">
        <f aca="false">BH160*(1+INDEX(Response_Table!$L$4:$L$21,MATCH($F160&amp;"|mid",Response_Table!$A$4:$A$21,0))*$R160*INDEX(Parameters!$X$12:$AA$12,1,MATCH($E160,Parameters!$X$3:$AA$3,0)))</f>
        <v>0.417536510535682</v>
      </c>
      <c r="BJ160" s="46" t="n">
        <f aca="false">MAX(0,MIN(BH160*(1+INDEX(Response_Table!$L$4:$L$21,MATCH($F160&amp;"|low",Response_Table!$A$4:$A$21,0))*$R160*INDEX(Parameters!$X$12:$AA$12,1,MATCH($E160,Parameters!$X$3:$AA$3,0))),BH160*(1+INDEX(Response_Table!$L$4:$L$21,MATCH($F160&amp;"|high",Response_Table!$A$4:$A$21,0))*$R160*INDEX(Parameters!$X$12:$AA$12,1,MATCH($E160,Parameters!$X$3:$AA$3,0))))*(1-Inputs_General!$C$22*Parameters!$F$12))</f>
        <v>0.324817620013454</v>
      </c>
      <c r="BK160" s="46" t="n">
        <f aca="false">MAX(BH160*(1+INDEX(Response_Table!$L$4:$L$21,MATCH($F160&amp;"|low",Response_Table!$A$4:$A$21,0))*$R160*INDEX(Parameters!$X$12:$AA$12,1,MATCH($E160,Parameters!$X$3:$AA$3,0))),BH160*(1+INDEX(Response_Table!$L$4:$L$21,MATCH($F160&amp;"|high",Response_Table!$A$4:$A$21,0))*$R160*INDEX(Parameters!$X$12:$AA$12,1,MATCH($E160,Parameters!$X$3:$AA$3,0))))*(1+Inputs_General!$C$22*Parameters!$F$12)</f>
        <v>0.51627055575788</v>
      </c>
      <c r="BL160" s="45" t="n">
        <f aca="false">IF(BH160=0,0,BI160/BH160-1)</f>
        <v>-0.0473378481008245</v>
      </c>
      <c r="BM160" s="46" t="n">
        <f aca="false">Parameters!$E$13*IF($N160="V",Parameters!$I$13,IF($N160="F",Parameters!$J$13,Parameters!$K$13))*(1-Parameters!$L$13*$P160)*IF($D160="V1",Parameters!$M$13,IF($D160="V2",Parameters!$N$13,Parameters!$O$13))</f>
        <v>0.296094642857143</v>
      </c>
      <c r="BN160" s="46" t="n">
        <f aca="false">BM160*(1+INDEX(Response_Table!$M$4:$M$21,MATCH($F160&amp;"|mid",Response_Table!$A$4:$A$21,0))*$R160*INDEX(Parameters!$X$13:$AA$13,1,MATCH($E160,Parameters!$X$3:$AA$3,0)))</f>
        <v>0.303788678535474</v>
      </c>
      <c r="BO160" s="46" t="n">
        <f aca="false">MAX(0,MIN(BM160*(1+INDEX(Response_Table!$M$4:$M$21,MATCH($F160&amp;"|low",Response_Table!$A$4:$A$21,0))*$R160*INDEX(Parameters!$X$13:$AA$13,1,MATCH($E160,Parameters!$X$3:$AA$3,0))),BM160*(1+INDEX(Response_Table!$M$4:$M$21,MATCH($F160&amp;"|high",Response_Table!$A$4:$A$21,0))*$R160*INDEX(Parameters!$X$13:$AA$13,1,MATCH($E160,Parameters!$X$3:$AA$3,0))))*(1-Inputs_General!$C$22*Parameters!$F$13))</f>
        <v>0.240681302856845</v>
      </c>
      <c r="BP160" s="46" t="n">
        <f aca="false">MAX(BM160*(1+INDEX(Response_Table!$M$4:$M$21,MATCH($F160&amp;"|low",Response_Table!$A$4:$A$21,0))*$R160*INDEX(Parameters!$X$13:$AA$13,1,MATCH($E160,Parameters!$X$3:$AA$3,0))),BM160*(1+INDEX(Response_Table!$M$4:$M$21,MATCH($F160&amp;"|high",Response_Table!$A$4:$A$21,0))*$R160*INDEX(Parameters!$X$13:$AA$13,1,MATCH($E160,Parameters!$X$3:$AA$3,0))))*(1+Inputs_General!$C$22*Parameters!$F$13)</f>
        <v>0.364016869246304</v>
      </c>
      <c r="BQ160" s="45" t="n">
        <f aca="false">IF(BM160=0,0,BN160/BM160-1)</f>
        <v>0.0259850553326055</v>
      </c>
      <c r="BR160" s="44" t="n">
        <f aca="false">Parameters!$E$14*IF($N160="V",Parameters!$I$14,IF($N160="F",Parameters!$J$14,Parameters!$K$14))*(1-Parameters!$L$14*$P160)*IF($D160="V1",Parameters!$M$14,IF($D160="V2",Parameters!$N$14,Parameters!$O$14))*INDEX(Context!$AC$4:$AC$51,$K160)</f>
        <v>15</v>
      </c>
      <c r="BS160" s="44" t="n">
        <f aca="false">BR160*(1+INDEX(Response_Table!$N$4:$N$21,MATCH($F160&amp;"|mid",Response_Table!$A$4:$A$21,0))*$R160*INDEX(Parameters!$X$14:$AA$14,1,MATCH($E160,Parameters!$X$3:$AA$3,0)))</f>
        <v>15.7746193325589</v>
      </c>
      <c r="BT160" s="44" t="n">
        <f aca="false">MAX(0,MIN(BR160*(1+INDEX(Response_Table!$N$4:$N$21,MATCH($F160&amp;"|low",Response_Table!$A$4:$A$21,0))*$R160*INDEX(Parameters!$X$14:$AA$14,1,MATCH($E160,Parameters!$X$3:$AA$3,0))),BR160*(1+INDEX(Response_Table!$N$4:$N$21,MATCH($F160&amp;"|high",Response_Table!$A$4:$A$21,0))*$R160*INDEX(Parameters!$X$14:$AA$14,1,MATCH($E160,Parameters!$X$3:$AA$3,0))))*(1-Inputs_General!$C$22*Parameters!$F$14))</f>
        <v>7.73222403531913</v>
      </c>
      <c r="BU160" s="44" t="n">
        <f aca="false">MAX(BR160*(1+INDEX(Response_Table!$N$4:$N$21,MATCH($F160&amp;"|low",Response_Table!$A$4:$A$21,0))*$R160*INDEX(Parameters!$X$14:$AA$14,1,MATCH($E160,Parameters!$X$3:$AA$3,0))),BR160*(1+INDEX(Response_Table!$N$4:$N$21,MATCH($F160&amp;"|high",Response_Table!$A$4:$A$21,0))*$R160*INDEX(Parameters!$X$14:$AA$14,1,MATCH($E160,Parameters!$X$3:$AA$3,0))))*(1+Inputs_General!$C$22*Parameters!$F$14)</f>
        <v>24.2747937348826</v>
      </c>
      <c r="BV160" s="45" t="n">
        <f aca="false">IF(BR160=0,0,BS160/BR160-1)</f>
        <v>0.051641288837263</v>
      </c>
      <c r="BW160" s="43" t="n">
        <f aca="false">Parameters!$E$15*IF($N160="V",Parameters!$I$15,IF($N160="F",Parameters!$J$15,Parameters!$K$15))*(1-Parameters!$L$15*$P160)*IF($D160="V1",Parameters!$M$15,IF($D160="V2",Parameters!$N$15,Parameters!$O$15))</f>
        <v>10.1292285714286</v>
      </c>
      <c r="BX160" s="43" t="n">
        <f aca="false">BW160*(1+INDEX(Response_Table!$O$4:$O$21,MATCH($F160&amp;"|mid",Response_Table!$A$4:$A$21,0))*$R160*INDEX(Parameters!$X$15:$AA$15,1,MATCH($E160,Parameters!$X$3:$AA$3,0)))</f>
        <v>9.99845696683962</v>
      </c>
      <c r="BY160" s="43" t="n">
        <f aca="false">MAX(0,MIN(BW160*(1+INDEX(Response_Table!$O$4:$O$21,MATCH($F160&amp;"|low",Response_Table!$A$4:$A$21,0))*$R160*INDEX(Parameters!$X$15:$AA$15,1,MATCH($E160,Parameters!$X$3:$AA$3,0))),BW160*(1+INDEX(Response_Table!$O$4:$O$21,MATCH($F160&amp;"|high",Response_Table!$A$4:$A$21,0))*$R160*INDEX(Parameters!$X$15:$AA$15,1,MATCH($E160,Parameters!$X$3:$AA$3,0))))*(1-Inputs_General!$C$22*Parameters!$F$15))</f>
        <v>7.95985810294195</v>
      </c>
      <c r="BZ160" s="43" t="n">
        <f aca="false">MAX(BW160*(1+INDEX(Response_Table!$O$4:$O$21,MATCH($F160&amp;"|low",Response_Table!$A$4:$A$21,0))*$R160*INDEX(Parameters!$X$15:$AA$15,1,MATCH($E160,Parameters!$X$3:$AA$3,0))),BW160*(1+INDEX(Response_Table!$O$4:$O$21,MATCH($F160&amp;"|high",Response_Table!$A$4:$A$21,0))*$R160*INDEX(Parameters!$X$15:$AA$15,1,MATCH($E160,Parameters!$X$3:$AA$3,0))))*(1+Inputs_General!$C$22*Parameters!$F$15)</f>
        <v>12.0749695330886</v>
      </c>
      <c r="CA160" s="45" t="n">
        <f aca="false">IF(BW160=0,0,BX160/BW160-1)</f>
        <v>-0.0129103222093159</v>
      </c>
      <c r="CB160" s="46" t="n">
        <f aca="false">BD160+BI160</f>
        <v>1.56255523457302</v>
      </c>
      <c r="CC160" s="43" t="n">
        <f aca="false">BD160/BI160</f>
        <v>2.74232000111397</v>
      </c>
      <c r="CD160" s="46" t="n">
        <f aca="false">BN160/CB160</f>
        <v>0.194417881565951</v>
      </c>
      <c r="CE160" s="43" t="n">
        <f aca="false">AE160/AO160</f>
        <v>2.87434606415261</v>
      </c>
      <c r="CF160" s="44" t="n">
        <f aca="false">AE160/AJ160</f>
        <v>50.7298003334282</v>
      </c>
      <c r="CG160" s="44" t="n">
        <f aca="false">INDEX(Context!$V$4:$V$51,$K160)</f>
        <v>28.62</v>
      </c>
      <c r="CH160" s="44" t="n">
        <f aca="false">INDEX(Context!$Y$4:$Y$51,$K160)</f>
        <v>25.3060134606718</v>
      </c>
      <c r="CI160" s="44" t="n">
        <f aca="false">INDEX(Context!$Z$4:$Z$51,$K160)</f>
        <v>32.62</v>
      </c>
      <c r="CJ160" s="43" t="n">
        <f aca="false">INDEX(Context!$AA$4:$AA$51,$K160)</f>
        <v>0.221696428571429</v>
      </c>
      <c r="CK160" s="43" t="n">
        <f aca="false">MAX(0,MIN(1,1-(1-CJ160)*AO160/AN160))</f>
        <v>0.259727699486756</v>
      </c>
      <c r="CL160" s="44" t="n">
        <f aca="false">CH160+CK160*(CI160-CH160)</f>
        <v>27.2056583586086</v>
      </c>
      <c r="CM160" s="44" t="n">
        <f aca="false">CH160+MAX(0,MIN(1,1-(1-CJ160)*AQ160/AN160))*(CI160-CH160)</f>
        <v>25.3060134606718</v>
      </c>
      <c r="CN160" s="44" t="n">
        <f aca="false">CH160+MAX(0,MIN(1,1-(1-CJ160)*AP160/AN160))*(CI160-CH160)</f>
        <v>28.9667262414676</v>
      </c>
      <c r="CO160" s="44" t="n">
        <f aca="false">CL160-CG160</f>
        <v>-1.41434164139141</v>
      </c>
      <c r="CP160" s="44" t="n">
        <f aca="false">CL160-(CH160+CJ160*(CI160-CH160))</f>
        <v>0.27816020354825</v>
      </c>
      <c r="CQ160" s="46" t="n">
        <f aca="false">CL160/CG160</f>
        <v>0.950582053061097</v>
      </c>
      <c r="CR160" s="43" t="n">
        <f aca="false">IF(CL160-CH160&lt;=0,"n/a",(CI160-CL160)/(CL160-CH160))</f>
        <v>2.85018618336083</v>
      </c>
      <c r="CS160" s="43" t="n">
        <f aca="false">IF(CI160-CL160&lt;=0,"n/a",(CL160-CH160)/(CI160-CL160))</f>
        <v>0.350854272551711</v>
      </c>
      <c r="CT160" s="43" t="n">
        <f aca="false">Inputs_General!$C$23+Inputs_General!$C$24*$I160</f>
        <v>0.66</v>
      </c>
      <c r="CU160" s="44" t="n">
        <f aca="false">3.29*CT160</f>
        <v>2.1714</v>
      </c>
    </row>
    <row r="161" customFormat="false" ht="15" hidden="false" customHeight="false" outlineLevel="0" collapsed="false">
      <c r="A161" s="9" t="str">
        <f aca="false">B161&amp;"|"&amp;E161&amp;"|"&amp;F161</f>
        <v>D3V1|03/03/2026|Low</v>
      </c>
      <c r="B161" s="7" t="s">
        <v>349</v>
      </c>
      <c r="C161" s="9" t="s">
        <v>131</v>
      </c>
      <c r="D161" s="9" t="s">
        <v>142</v>
      </c>
      <c r="E161" s="9" t="s">
        <v>162</v>
      </c>
      <c r="F161" s="7" t="s">
        <v>279</v>
      </c>
      <c r="G161" s="9" t="s">
        <v>280</v>
      </c>
      <c r="H161" s="41" t="n">
        <f aca="false">INDEX(Severity_Classes!$C$4:$C$9,MATCH(F161,Severity_Classes!$A$4:$A$9,0))</f>
        <v>0.06</v>
      </c>
      <c r="I161" s="41" t="n">
        <f aca="false">INDEX(Severity_Classes!$D$4:$D$9,MATCH(F161,Severity_Classes!$A$4:$A$9,0))</f>
        <v>0.08</v>
      </c>
      <c r="J161" s="41" t="n">
        <f aca="false">INDEX(Severity_Classes!$E$4:$E$9,MATCH(F161,Severity_Classes!$A$4:$A$9,0))</f>
        <v>0.1</v>
      </c>
      <c r="K161" s="42" t="n">
        <f aca="false">MATCH(B161&amp;"|"&amp;E161,Context!$A$4:$A$51,0)</f>
        <v>27</v>
      </c>
      <c r="L161" s="42" t="n">
        <f aca="false">INDEX(Context!$H$4:$H$51,K161)</f>
        <v>66</v>
      </c>
      <c r="M161" s="42" t="n">
        <f aca="false">INDEX(Context!$I$4:$I$51,K161)</f>
        <v>26</v>
      </c>
      <c r="N161" s="9" t="str">
        <f aca="false">INDEX(Context!$L$4:$L$51,K161)</f>
        <v>F</v>
      </c>
      <c r="O161" s="9" t="str">
        <f aca="false">INDEX(Context!$M$4:$M$51,K161)</f>
        <v>5th fully expanded leaf from top</v>
      </c>
      <c r="P161" s="43" t="n">
        <f aca="false">INDEX(Context!$R$4:$R$51,K161)</f>
        <v>0.433928571428571</v>
      </c>
      <c r="Q161" s="43" t="n">
        <f aca="false">INDEX(Context!$U$4:$U$51,K161)</f>
        <v>1.73951545534029</v>
      </c>
      <c r="R161" s="43" t="n">
        <f aca="false">INDEX(Context!$AD$4:$AD$51,K161)</f>
        <v>1</v>
      </c>
      <c r="S161" s="9" t="str">
        <f aca="false">INDEX(Context!$AI$4:$AN$51,K161,MATCH(F161,Severity_Classes!$A$4:$A$9,0))</f>
        <v>Likely</v>
      </c>
      <c r="T161" s="44" t="n">
        <f aca="false">Parameters!$E$4*IF($N161="V",Parameters!$I$4,IF($N161="F",Parameters!$J$4,Parameters!$K$4))*(1-Parameters!$L$4*$P161)*IF($D161="V1",Parameters!$M$4,IF($D161="V2",Parameters!$N$4,Parameters!$O$4))</f>
        <v>83.2927660714286</v>
      </c>
      <c r="U161" s="44" t="n">
        <f aca="false">MIN(100,T161*(1+INDEX(Response_Table!$E$4:$E$21,MATCH($F161&amp;"|mid",Response_Table!$A$4:$A$21,0))*$R161*INDEX(Parameters!$X$4:$AA$4,1,MATCH($E161,Parameters!$X$3:$AA$3,0))))</f>
        <v>82.1334452787096</v>
      </c>
      <c r="V161" s="44" t="n">
        <f aca="false">MAX(0,MIN(T161*(1+INDEX(Response_Table!$E$4:$E$21,MATCH($F161&amp;"|low",Response_Table!$A$4:$A$21,0))*$R161*INDEX(Parameters!$X$4:$AA$4,1,MATCH($E161,Parameters!$X$3:$AA$3,0))),T161*(1+INDEX(Response_Table!$E$4:$E$21,MATCH($F161&amp;"|high",Response_Table!$A$4:$A$21,0))*$R161*INDEX(Parameters!$X$4:$AA$4,1,MATCH($E161,Parameters!$X$3:$AA$3,0))))*(1-Inputs_General!$C$22*Parameters!$F$4))</f>
        <v>76.3506641725111</v>
      </c>
      <c r="W161" s="44" t="n">
        <f aca="false">MIN(100,MAX(T161*(1+INDEX(Response_Table!$E$4:$E$21,MATCH($F161&amp;"|low",Response_Table!$A$4:$A$21,0))*$R161*INDEX(Parameters!$X$4:$AA$4,1,MATCH($E161,Parameters!$X$3:$AA$3,0))),T161*(1+INDEX(Response_Table!$E$4:$E$21,MATCH($F161&amp;"|high",Response_Table!$A$4:$A$21,0))*$R161*INDEX(Parameters!$X$4:$AA$4,1,MATCH($E161,Parameters!$X$3:$AA$3,0))))*(1+Inputs_General!$C$22*Parameters!$F$4))</f>
        <v>87.9150984057856</v>
      </c>
      <c r="X161" s="45" t="n">
        <f aca="false">IF(T161=0,0,U161/T161-1)</f>
        <v>-0.0139186251987928</v>
      </c>
      <c r="Y161" s="44" t="n">
        <f aca="false">Parameters!$E$5*IF($N161="V",Parameters!$I$5,IF($N161="F",Parameters!$J$5,Parameters!$K$5))*(1-Parameters!$L$5*$P161)*IF($D161="V1",Parameters!$M$5,IF($D161="V2",Parameters!$N$5,Parameters!$O$5))</f>
        <v>66.88584</v>
      </c>
      <c r="Z161" s="44" t="n">
        <f aca="false">MIN(100,Y161*(1+INDEX(Response_Table!$F$4:$F$21,MATCH($F161&amp;"|mid",Response_Table!$A$4:$A$21,0))*$R161*INDEX(Parameters!$X$5:$AA$5,1,MATCH($E161,Parameters!$X$3:$AA$3,0))))</f>
        <v>63.8124946730604</v>
      </c>
      <c r="AA161" s="44" t="n">
        <f aca="false">MAX(0,MIN(Y161*(1+INDEX(Response_Table!$F$4:$F$21,MATCH($F161&amp;"|low",Response_Table!$A$4:$A$21,0))*$R161*INDEX(Parameters!$X$5:$AA$5,1,MATCH($E161,Parameters!$X$3:$AA$3,0))),Y161*(1+INDEX(Response_Table!$F$4:$F$21,MATCH($F161&amp;"|high",Response_Table!$A$4:$A$21,0))*$R161*INDEX(Parameters!$X$5:$AA$5,1,MATCH($E161,Parameters!$X$3:$AA$3,0))))*(1-Inputs_General!$C$22*Parameters!$F$5))</f>
        <v>55.4691444213</v>
      </c>
      <c r="AB161" s="44" t="n">
        <f aca="false">MIN(100,MAX(Y161*(1+INDEX(Response_Table!$F$4:$F$21,MATCH($F161&amp;"|low",Response_Table!$A$4:$A$21,0))*$R161*INDEX(Parameters!$X$5:$AA$5,1,MATCH($E161,Parameters!$X$3:$AA$3,0))),Y161*(1+INDEX(Response_Table!$F$4:$F$21,MATCH($F161&amp;"|high",Response_Table!$A$4:$A$21,0))*$R161*INDEX(Parameters!$X$5:$AA$5,1,MATCH($E161,Parameters!$X$3:$AA$3,0))))*(1+Inputs_General!$C$22*Parameters!$F$5))</f>
        <v>72.2379036823069</v>
      </c>
      <c r="AC161" s="45" t="n">
        <f aca="false">IF(Y161=0,0,Z161/Y161-1)</f>
        <v>-0.0459491175851214</v>
      </c>
      <c r="AD161" s="44" t="n">
        <f aca="false">Parameters!$E$6*IF($N161="V",Parameters!$I$6,IF($N161="F",Parameters!$J$6,Parameters!$K$6))*(1-Parameters!$L$6*$P161)*IF($D161="V1",Parameters!$M$6,IF($D161="V2",Parameters!$N$6,Parameters!$O$6))</f>
        <v>18.0106428571429</v>
      </c>
      <c r="AE161" s="44" t="n">
        <f aca="false">AD161*(1+INDEX(Response_Table!$G$4:$G$21,MATCH($F161&amp;"|mid",Response_Table!$A$4:$A$21,0))*$R161*INDEX(Parameters!$X$6:$AA$6,1,MATCH($E161,Parameters!$X$3:$AA$3,0)))</f>
        <v>14.0025560433685</v>
      </c>
      <c r="AF161" s="44" t="n">
        <f aca="false">MAX(0,MIN(AD161*(1+INDEX(Response_Table!$G$4:$G$21,MATCH($F161&amp;"|low",Response_Table!$A$4:$A$21,0))*$R161*INDEX(Parameters!$X$6:$AA$6,1,MATCH($E161,Parameters!$X$3:$AA$3,0))),AD161*(1+INDEX(Response_Table!$G$4:$G$21,MATCH($F161&amp;"|high",Response_Table!$A$4:$A$21,0))*$R161*INDEX(Parameters!$X$6:$AA$6,1,MATCH($E161,Parameters!$X$3:$AA$3,0))))*(1-Inputs_General!$C$22*Parameters!$F$6))</f>
        <v>10.5961605139942</v>
      </c>
      <c r="AG161" s="44" t="n">
        <f aca="false">MAX(AD161*(1+INDEX(Response_Table!$G$4:$G$21,MATCH($F161&amp;"|low",Response_Table!$A$4:$A$21,0))*$R161*INDEX(Parameters!$X$6:$AA$6,1,MATCH($E161,Parameters!$X$3:$AA$3,0))),AD161*(1+INDEX(Response_Table!$G$4:$G$21,MATCH($F161&amp;"|high",Response_Table!$A$4:$A$21,0))*$R161*INDEX(Parameters!$X$6:$AA$6,1,MATCH($E161,Parameters!$X$3:$AA$3,0))))*(1+Inputs_General!$C$22*Parameters!$F$6)</f>
        <v>17.8130415616936</v>
      </c>
      <c r="AH161" s="45" t="n">
        <f aca="false">IF(AD161=0,0,AE161/AD161-1)</f>
        <v>-0.222539908517744</v>
      </c>
      <c r="AI161" s="46" t="n">
        <f aca="false">Parameters!$E$7*IF($N161="V",Parameters!$I$7,IF($N161="F",Parameters!$J$7,Parameters!$K$7))*(1-Parameters!$L$7*$P161)*IF($D161="V1",Parameters!$M$7,IF($D161="V2",Parameters!$N$7,Parameters!$O$7))*POWER($Q161/Inputs_General!$C$26,-Inputs_General!$C$25)</f>
        <v>0.341191629407368</v>
      </c>
      <c r="AJ161" s="46" t="n">
        <f aca="false">AI161*(1+INDEX(Response_Table!$H$4:$H$21,MATCH($F161&amp;"|mid",Response_Table!$A$4:$A$21,0))*$R161*INDEX(Parameters!$X$7:$AA$7,1,MATCH($E161,Parameters!$X$3:$AA$3,0)))</f>
        <v>0.293871117368023</v>
      </c>
      <c r="AK161" s="46" t="n">
        <f aca="false">MAX(0,MIN(AI161*(1+INDEX(Response_Table!$H$4:$H$21,MATCH($F161&amp;"|low",Response_Table!$A$4:$A$21,0))*$R161*INDEX(Parameters!$X$7:$AA$7,1,MATCH($E161,Parameters!$X$3:$AA$3,0))),AI161*(1+INDEX(Response_Table!$H$4:$H$21,MATCH($F161&amp;"|high",Response_Table!$A$4:$A$21,0))*$R161*INDEX(Parameters!$X$7:$AA$7,1,MATCH($E161,Parameters!$X$3:$AA$3,0))))*(1-Inputs_General!$C$22*Parameters!$F$7))</f>
        <v>0.199704668845746</v>
      </c>
      <c r="AL161" s="46" t="n">
        <f aca="false">MAX(AI161*(1+INDEX(Response_Table!$H$4:$H$21,MATCH($F161&amp;"|low",Response_Table!$A$4:$A$21,0))*$R161*INDEX(Parameters!$X$7:$AA$7,1,MATCH($E161,Parameters!$X$3:$AA$3,0))),AI161*(1+INDEX(Response_Table!$H$4:$H$21,MATCH($F161&amp;"|high",Response_Table!$A$4:$A$21,0))*$R161*INDEX(Parameters!$X$7:$AA$7,1,MATCH($E161,Parameters!$X$3:$AA$3,0))))*(1+Inputs_General!$C$22*Parameters!$F$7)</f>
        <v>0.394868209983676</v>
      </c>
      <c r="AM161" s="45" t="n">
        <f aca="false">IF(AI161=0,0,AJ161/AI161-1)</f>
        <v>-0.13869189030674</v>
      </c>
      <c r="AN161" s="43" t="n">
        <f aca="false">AI161*$Q161/Inputs_General!$C$13*1000</f>
        <v>5.97691956280819</v>
      </c>
      <c r="AO161" s="43" t="n">
        <f aca="false">AJ161*$Q161/Inputs_General!$C$13*1000*(1+Inputs_General!$C$21*$I161)</f>
        <v>5.25092867623961</v>
      </c>
      <c r="AP161" s="43" t="n">
        <f aca="false">AK161*$Q161/Inputs_General!$C$13*1000*(1+Inputs_General!$C$21*$H161)</f>
        <v>3.55085798922659</v>
      </c>
      <c r="AQ161" s="43" t="n">
        <f aca="false">AL161*$Q161/Inputs_General!$C$13*1000*(1+Inputs_General!$C$21*$J161)</f>
        <v>7.0901443901449</v>
      </c>
      <c r="AR161" s="45" t="n">
        <f aca="false">IF(AN161=0,0,AO161/AN161-1)</f>
        <v>-0.121465728112875</v>
      </c>
      <c r="AS161" s="42" t="n">
        <f aca="false">Parameters!$E$9*IF($N161="V",Parameters!$I$9,IF($N161="F",Parameters!$J$9,Parameters!$K$9))*(1-Parameters!$L$9*$P161)*IF($D161="V1",Parameters!$M$9,IF($D161="V2",Parameters!$N$9,Parameters!$O$9))</f>
        <v>285</v>
      </c>
      <c r="AT161" s="42" t="n">
        <f aca="false">AS161*(1+INDEX(Response_Table!$I$4:$I$21,MATCH($F161&amp;"|mid",Response_Table!$A$4:$A$21,0))*$R161*INDEX(Parameters!$X$9:$AA$9,1,MATCH($E161,Parameters!$X$3:$AA$3,0)))</f>
        <v>308.414257330199</v>
      </c>
      <c r="AU161" s="42" t="n">
        <f aca="false">MAX(0,MIN(AS161*(1+INDEX(Response_Table!$I$4:$I$21,MATCH($F161&amp;"|low",Response_Table!$A$4:$A$21,0))*$R161*INDEX(Parameters!$X$9:$AA$9,1,MATCH($E161,Parameters!$X$3:$AA$3,0))),AS161*(1+INDEX(Response_Table!$I$4:$I$21,MATCH($F161&amp;"|high",Response_Table!$A$4:$A$21,0))*$R161*INDEX(Parameters!$X$9:$AA$9,1,MATCH($E161,Parameters!$X$3:$AA$3,0))))*(1-Inputs_General!$C$22*Parameters!$F$9))</f>
        <v>273.313202404171</v>
      </c>
      <c r="AV161" s="42" t="n">
        <f aca="false">MAX(AS161*(1+INDEX(Response_Table!$I$4:$I$21,MATCH($F161&amp;"|low",Response_Table!$A$4:$A$21,0))*$R161*INDEX(Parameters!$X$9:$AA$9,1,MATCH($E161,Parameters!$X$3:$AA$3,0))),AS161*(1+INDEX(Response_Table!$I$4:$I$21,MATCH($F161&amp;"|high",Response_Table!$A$4:$A$21,0))*$R161*INDEX(Parameters!$X$9:$AA$9,1,MATCH($E161,Parameters!$X$3:$AA$3,0))))*(1+Inputs_General!$C$22*Parameters!$F$9)</f>
        <v>344.099255743465</v>
      </c>
      <c r="AW161" s="45" t="n">
        <f aca="false">IF(AS161=0,0,AT161/AS161-1)</f>
        <v>0.0821552888778927</v>
      </c>
      <c r="AX161" s="43" t="n">
        <f aca="false">INDEX(Context!$AB$4:$AB$51,$K161)</f>
        <v>2.52215585742532</v>
      </c>
      <c r="AY161" s="43" t="n">
        <f aca="false">AX161*(1+INDEX(Response_Table!$J$4:$J$21,MATCH($F161&amp;"|mid",Response_Table!$A$4:$A$21,0))*$R161*INDEX(Parameters!$X$10:$AA$10,1,MATCH($E161,Parameters!$X$3:$AA$3,0)))</f>
        <v>2.31642067562237</v>
      </c>
      <c r="AZ161" s="43" t="n">
        <f aca="false">MAX(0,MIN(AX161*(1+INDEX(Response_Table!$J$4:$J$21,MATCH($F161&amp;"|low",Response_Table!$A$4:$A$21,0))*$R161*INDEX(Parameters!$X$10:$AA$10,1,MATCH($E161,Parameters!$X$3:$AA$3,0))),AX161*(1+INDEX(Response_Table!$J$4:$J$21,MATCH($F161&amp;"|high",Response_Table!$A$4:$A$21,0))*$R161*INDEX(Parameters!$X$10:$AA$10,1,MATCH($E161,Parameters!$X$3:$AA$3,0))))*(1-Inputs_General!$C$22*Parameters!$F$10))</f>
        <v>1.82278594522745</v>
      </c>
      <c r="BA161" s="43" t="n">
        <f aca="false">MAX(AX161*(1+INDEX(Response_Table!$J$4:$J$21,MATCH($F161&amp;"|low",Response_Table!$A$4:$A$21,0))*$R161*INDEX(Parameters!$X$10:$AA$10,1,MATCH($E161,Parameters!$X$3:$AA$3,0))),AX161*(1+INDEX(Response_Table!$J$4:$J$21,MATCH($F161&amp;"|high",Response_Table!$A$4:$A$21,0))*$R161*INDEX(Parameters!$X$10:$AA$10,1,MATCH($E161,Parameters!$X$3:$AA$3,0))))*(1+Inputs_General!$C$22*Parameters!$F$10)</f>
        <v>2.83072971932489</v>
      </c>
      <c r="BB161" s="45" t="n">
        <f aca="false">IF(AX161=0,0,AY161/AX161-1)</f>
        <v>-0.0815711611149081</v>
      </c>
      <c r="BC161" s="46" t="n">
        <f aca="false">Parameters!$E$11*IF($N161="V",Parameters!$I$11,IF($N161="F",Parameters!$J$11,Parameters!$K$11))*(1-Parameters!$L$11*$P161)*IF($D161="V1",Parameters!$M$11,IF($D161="V2",Parameters!$N$11,Parameters!$O$11))</f>
        <v>1.21745535714286</v>
      </c>
      <c r="BD161" s="46" t="n">
        <f aca="false">BC161*(1+INDEX(Response_Table!$K$4:$K$21,MATCH($F161&amp;"|mid",Response_Table!$A$4:$A$21,0))*$R161*INDEX(Parameters!$X$11:$AA$11,1,MATCH($E161,Parameters!$X$3:$AA$3,0)))</f>
        <v>1.03872351161191</v>
      </c>
      <c r="BE161" s="46" t="n">
        <f aca="false">MAX(0,MIN(BC161*(1+INDEX(Response_Table!$K$4:$K$21,MATCH($F161&amp;"|low",Response_Table!$A$4:$A$21,0))*$R161*INDEX(Parameters!$X$11:$AA$11,1,MATCH($E161,Parameters!$X$3:$AA$3,0))),BC161*(1+INDEX(Response_Table!$K$4:$K$21,MATCH($F161&amp;"|high",Response_Table!$A$4:$A$21,0))*$R161*INDEX(Parameters!$X$11:$AA$11,1,MATCH($E161,Parameters!$X$3:$AA$3,0))))*(1-Inputs_General!$C$22*Parameters!$F$11))</f>
        <v>0.836122028016479</v>
      </c>
      <c r="BF161" s="46" t="n">
        <f aca="false">MAX(BC161*(1+INDEX(Response_Table!$K$4:$K$21,MATCH($F161&amp;"|low",Response_Table!$A$4:$A$21,0))*$R161*INDEX(Parameters!$X$11:$AA$11,1,MATCH($E161,Parameters!$X$3:$AA$3,0))),BC161*(1+INDEX(Response_Table!$K$4:$K$21,MATCH($F161&amp;"|high",Response_Table!$A$4:$A$21,0))*$R161*INDEX(Parameters!$X$11:$AA$11,1,MATCH($E161,Parameters!$X$3:$AA$3,0))))*(1+Inputs_General!$C$22*Parameters!$F$11)</f>
        <v>1.2567431302447</v>
      </c>
      <c r="BG161" s="45" t="n">
        <f aca="false">IF(BC161=0,0,BD161/BC161-1)</f>
        <v>-0.146807720285039</v>
      </c>
      <c r="BH161" s="46" t="n">
        <f aca="false">Parameters!$E$12*IF($N161="V",Parameters!$I$12,IF($N161="F",Parameters!$J$12,Parameters!$K$12))*(1-Parameters!$L$12*$P161)*IF($D161="V1",Parameters!$M$12,IF($D161="V2",Parameters!$N$12,Parameters!$O$12))</f>
        <v>0.438283928571429</v>
      </c>
      <c r="BI161" s="46" t="n">
        <f aca="false">BH161*(1+INDEX(Response_Table!$L$4:$L$21,MATCH($F161&amp;"|mid",Response_Table!$A$4:$A$21,0))*$R161*INDEX(Parameters!$X$12:$AA$12,1,MATCH($E161,Parameters!$X$3:$AA$3,0)))</f>
        <v>0.386849259956737</v>
      </c>
      <c r="BJ161" s="46" t="n">
        <f aca="false">MAX(0,MIN(BH161*(1+INDEX(Response_Table!$L$4:$L$21,MATCH($F161&amp;"|low",Response_Table!$A$4:$A$21,0))*$R161*INDEX(Parameters!$X$12:$AA$12,1,MATCH($E161,Parameters!$X$3:$AA$3,0))),BH161*(1+INDEX(Response_Table!$L$4:$L$21,MATCH($F161&amp;"|high",Response_Table!$A$4:$A$21,0))*$R161*INDEX(Parameters!$X$12:$AA$12,1,MATCH($E161,Parameters!$X$3:$AA$3,0))))*(1-Inputs_General!$C$22*Parameters!$F$12))</f>
        <v>0.30162234820369</v>
      </c>
      <c r="BK161" s="46" t="n">
        <f aca="false">MAX(BH161*(1+INDEX(Response_Table!$L$4:$L$21,MATCH($F161&amp;"|low",Response_Table!$A$4:$A$21,0))*$R161*INDEX(Parameters!$X$12:$AA$12,1,MATCH($E161,Parameters!$X$3:$AA$3,0))),BH161*(1+INDEX(Response_Table!$L$4:$L$21,MATCH($F161&amp;"|high",Response_Table!$A$4:$A$21,0))*$R161*INDEX(Parameters!$X$12:$AA$12,1,MATCH($E161,Parameters!$X$3:$AA$3,0))))*(1+Inputs_General!$C$22*Parameters!$F$12)</f>
        <v>0.477253463339479</v>
      </c>
      <c r="BL161" s="45" t="n">
        <f aca="false">IF(BH161=0,0,BI161/BH161-1)</f>
        <v>-0.117354676413395</v>
      </c>
      <c r="BM161" s="46" t="n">
        <f aca="false">Parameters!$E$13*IF($N161="V",Parameters!$I$13,IF($N161="F",Parameters!$J$13,Parameters!$K$13))*(1-Parameters!$L$13*$P161)*IF($D161="V1",Parameters!$M$13,IF($D161="V2",Parameters!$N$13,Parameters!$O$13))</f>
        <v>0.296094642857143</v>
      </c>
      <c r="BN161" s="46" t="n">
        <f aca="false">BM161*(1+INDEX(Response_Table!$M$4:$M$21,MATCH($F161&amp;"|mid",Response_Table!$A$4:$A$21,0))*$R161*INDEX(Parameters!$X$13:$AA$13,1,MATCH($E161,Parameters!$X$3:$AA$3,0)))</f>
        <v>0.299755369024851</v>
      </c>
      <c r="BO161" s="46" t="n">
        <f aca="false">MAX(0,MIN(BM161*(1+INDEX(Response_Table!$M$4:$M$21,MATCH($F161&amp;"|low",Response_Table!$A$4:$A$21,0))*$R161*INDEX(Parameters!$X$13:$AA$13,1,MATCH($E161,Parameters!$X$3:$AA$3,0))),BM161*(1+INDEX(Response_Table!$M$4:$M$21,MATCH($F161&amp;"|high",Response_Table!$A$4:$A$21,0))*$R161*INDEX(Parameters!$X$13:$AA$13,1,MATCH($E161,Parameters!$X$3:$AA$3,0))))*(1-Inputs_General!$C$22*Parameters!$F$13))</f>
        <v>0.236772756720675</v>
      </c>
      <c r="BP161" s="46" t="n">
        <f aca="false">MAX(BM161*(1+INDEX(Response_Table!$M$4:$M$21,MATCH($F161&amp;"|low",Response_Table!$A$4:$A$21,0))*$R161*INDEX(Parameters!$X$13:$AA$13,1,MATCH($E161,Parameters!$X$3:$AA$3,0))),BM161*(1+INDEX(Response_Table!$M$4:$M$21,MATCH($F161&amp;"|high",Response_Table!$A$4:$A$21,0))*$R161*INDEX(Parameters!$X$13:$AA$13,1,MATCH($E161,Parameters!$X$3:$AA$3,0))))*(1+Inputs_General!$C$22*Parameters!$F$13)</f>
        <v>0.362917185340618</v>
      </c>
      <c r="BQ161" s="45" t="n">
        <f aca="false">IF(BM161=0,0,BN161/BM161-1)</f>
        <v>0.012363365079435</v>
      </c>
      <c r="BR161" s="44" t="n">
        <f aca="false">Parameters!$E$14*IF($N161="V",Parameters!$I$14,IF($N161="F",Parameters!$J$14,Parameters!$K$14))*(1-Parameters!$L$14*$P161)*IF($D161="V1",Parameters!$M$14,IF($D161="V2",Parameters!$N$14,Parameters!$O$14))*INDEX(Context!$AC$4:$AC$51,$K161)</f>
        <v>15</v>
      </c>
      <c r="BS161" s="44" t="n">
        <f aca="false">BR161*(1+INDEX(Response_Table!$N$4:$N$21,MATCH($F161&amp;"|mid",Response_Table!$A$4:$A$21,0))*$R161*INDEX(Parameters!$X$14:$AA$14,1,MATCH($E161,Parameters!$X$3:$AA$3,0)))</f>
        <v>16.920349250401</v>
      </c>
      <c r="BT161" s="44" t="n">
        <f aca="false">MAX(0,MIN(BR161*(1+INDEX(Response_Table!$N$4:$N$21,MATCH($F161&amp;"|low",Response_Table!$A$4:$A$21,0))*$R161*INDEX(Parameters!$X$14:$AA$14,1,MATCH($E161,Parameters!$X$3:$AA$3,0))),BR161*(1+INDEX(Response_Table!$N$4:$N$21,MATCH($F161&amp;"|high",Response_Table!$A$4:$A$21,0))*$R161*INDEX(Parameters!$X$14:$AA$14,1,MATCH($E161,Parameters!$X$3:$AA$3,0))))*(1-Inputs_General!$C$22*Parameters!$F$14))</f>
        <v>8.34842074128172</v>
      </c>
      <c r="BU161" s="44" t="n">
        <f aca="false">MAX(BR161*(1+INDEX(Response_Table!$N$4:$N$21,MATCH($F161&amp;"|low",Response_Table!$A$4:$A$21,0))*$R161*INDEX(Parameters!$X$14:$AA$14,1,MATCH($E161,Parameters!$X$3:$AA$3,0))),BR161*(1+INDEX(Response_Table!$N$4:$N$21,MATCH($F161&amp;"|high",Response_Table!$A$4:$A$21,0))*$R161*INDEX(Parameters!$X$14:$AA$14,1,MATCH($E161,Parameters!$X$3:$AA$3,0))))*(1+Inputs_General!$C$22*Parameters!$F$14)</f>
        <v>25.8862918867067</v>
      </c>
      <c r="BV161" s="45" t="n">
        <f aca="false">IF(BR161=0,0,BS161/BR161-1)</f>
        <v>0.128023283360068</v>
      </c>
      <c r="BW161" s="43" t="n">
        <f aca="false">Parameters!$E$15*IF($N161="V",Parameters!$I$15,IF($N161="F",Parameters!$J$15,Parameters!$K$15))*(1-Parameters!$L$15*$P161)*IF($D161="V1",Parameters!$M$15,IF($D161="V2",Parameters!$N$15,Parameters!$O$15))</f>
        <v>10.1292285714286</v>
      </c>
      <c r="BX161" s="43" t="n">
        <f aca="false">BW161*(1+INDEX(Response_Table!$O$4:$O$21,MATCH($F161&amp;"|mid",Response_Table!$A$4:$A$21,0))*$R161*INDEX(Parameters!$X$15:$AA$15,1,MATCH($E161,Parameters!$X$3:$AA$3,0)))</f>
        <v>9.80503429652385</v>
      </c>
      <c r="BY161" s="43" t="n">
        <f aca="false">MAX(0,MIN(BW161*(1+INDEX(Response_Table!$O$4:$O$21,MATCH($F161&amp;"|low",Response_Table!$A$4:$A$21,0))*$R161*INDEX(Parameters!$X$15:$AA$15,1,MATCH($E161,Parameters!$X$3:$AA$3,0))),BW161*(1+INDEX(Response_Table!$O$4:$O$21,MATCH($F161&amp;"|high",Response_Table!$A$4:$A$21,0))*$R161*INDEX(Parameters!$X$15:$AA$15,1,MATCH($E161,Parameters!$X$3:$AA$3,0))))*(1-Inputs_General!$C$22*Parameters!$F$15))</f>
        <v>7.81365760183798</v>
      </c>
      <c r="BZ161" s="43" t="n">
        <f aca="false">MAX(BW161*(1+INDEX(Response_Table!$O$4:$O$21,MATCH($F161&amp;"|low",Response_Table!$A$4:$A$21,0))*$R161*INDEX(Parameters!$X$15:$AA$15,1,MATCH($E161,Parameters!$X$3:$AA$3,0))),BW161*(1+INDEX(Response_Table!$O$4:$O$21,MATCH($F161&amp;"|high",Response_Table!$A$4:$A$21,0))*$R161*INDEX(Parameters!$X$15:$AA$15,1,MATCH($E161,Parameters!$X$3:$AA$3,0))))*(1+Inputs_General!$C$22*Parameters!$F$15)</f>
        <v>11.8290436172393</v>
      </c>
      <c r="CA161" s="45" t="n">
        <f aca="false">IF(BW161=0,0,BX161/BW161-1)</f>
        <v>-0.0320058208400171</v>
      </c>
      <c r="CB161" s="46" t="n">
        <f aca="false">BD161+BI161</f>
        <v>1.42557277156864</v>
      </c>
      <c r="CC161" s="43" t="n">
        <f aca="false">BD161/BI161</f>
        <v>2.68508594724486</v>
      </c>
      <c r="CD161" s="46" t="n">
        <f aca="false">BN161/CB161</f>
        <v>0.210270127911472</v>
      </c>
      <c r="CE161" s="43" t="n">
        <f aca="false">AE161/AO161</f>
        <v>2.66668182082342</v>
      </c>
      <c r="CF161" s="44" t="n">
        <f aca="false">AE161/AJ161</f>
        <v>47.648629674051</v>
      </c>
      <c r="CG161" s="44" t="n">
        <f aca="false">INDEX(Context!$V$4:$V$51,$K161)</f>
        <v>28.62</v>
      </c>
      <c r="CH161" s="44" t="n">
        <f aca="false">INDEX(Context!$Y$4:$Y$51,$K161)</f>
        <v>25.3060134606718</v>
      </c>
      <c r="CI161" s="44" t="n">
        <f aca="false">INDEX(Context!$Z$4:$Z$51,$K161)</f>
        <v>32.62</v>
      </c>
      <c r="CJ161" s="43" t="n">
        <f aca="false">INDEX(Context!$AA$4:$AA$51,$K161)</f>
        <v>0.221696428571429</v>
      </c>
      <c r="CK161" s="43" t="n">
        <f aca="false">MAX(0,MIN(1,1-(1-CJ161)*AO161/AN161))</f>
        <v>0.316233638567851</v>
      </c>
      <c r="CL161" s="44" t="n">
        <f aca="false">CH161+CK161*(CI161-CH161)</f>
        <v>27.6189420364398</v>
      </c>
      <c r="CM161" s="44" t="n">
        <f aca="false">CH161+MAX(0,MIN(1,1-(1-CJ161)*AQ161/AN161))*(CI161-CH161)</f>
        <v>25.8672472487441</v>
      </c>
      <c r="CN161" s="44" t="n">
        <f aca="false">CH161+MAX(0,MIN(1,1-(1-CJ161)*AP161/AN161))*(CI161-CH161)</f>
        <v>29.2381131530413</v>
      </c>
      <c r="CO161" s="44" t="n">
        <f aca="false">CL161-CG161</f>
        <v>-1.00105796356018</v>
      </c>
      <c r="CP161" s="44" t="n">
        <f aca="false">CL161-(CH161+CJ161*(CI161-CH161))</f>
        <v>0.691443881379481</v>
      </c>
      <c r="CQ161" s="46" t="n">
        <f aca="false">CL161/CG161</f>
        <v>0.965022433139057</v>
      </c>
      <c r="CR161" s="43" t="n">
        <f aca="false">IF(CL161-CH161&lt;=0,"n/a",(CI161-CL161)/(CL161-CH161))</f>
        <v>2.1622189357488</v>
      </c>
      <c r="CS161" s="43" t="n">
        <f aca="false">IF(CI161-CL161&lt;=0,"n/a",(CL161-CH161)/(CI161-CL161))</f>
        <v>0.462487856093855</v>
      </c>
      <c r="CT161" s="43" t="n">
        <f aca="false">Inputs_General!$C$23+Inputs_General!$C$24*$I161</f>
        <v>0.76</v>
      </c>
      <c r="CU161" s="44" t="n">
        <f aca="false">3.29*CT161</f>
        <v>2.5004</v>
      </c>
    </row>
    <row r="162" customFormat="false" ht="15" hidden="false" customHeight="false" outlineLevel="0" collapsed="false">
      <c r="A162" s="9" t="str">
        <f aca="false">B162&amp;"|"&amp;E162&amp;"|"&amp;F162</f>
        <v>D3V1|03/03/2026|Moderate</v>
      </c>
      <c r="B162" s="7" t="s">
        <v>349</v>
      </c>
      <c r="C162" s="9" t="s">
        <v>131</v>
      </c>
      <c r="D162" s="9" t="s">
        <v>142</v>
      </c>
      <c r="E162" s="9" t="s">
        <v>162</v>
      </c>
      <c r="F162" s="7" t="s">
        <v>281</v>
      </c>
      <c r="G162" s="9" t="s">
        <v>282</v>
      </c>
      <c r="H162" s="41" t="n">
        <f aca="false">INDEX(Severity_Classes!$C$4:$C$9,MATCH(F162,Severity_Classes!$A$4:$A$9,0))</f>
        <v>0.11</v>
      </c>
      <c r="I162" s="41" t="n">
        <f aca="false">INDEX(Severity_Classes!$D$4:$D$9,MATCH(F162,Severity_Classes!$A$4:$A$9,0))</f>
        <v>0.18</v>
      </c>
      <c r="J162" s="41" t="n">
        <f aca="false">INDEX(Severity_Classes!$E$4:$E$9,MATCH(F162,Severity_Classes!$A$4:$A$9,0))</f>
        <v>0.25</v>
      </c>
      <c r="K162" s="42" t="n">
        <f aca="false">MATCH(B162&amp;"|"&amp;E162,Context!$A$4:$A$51,0)</f>
        <v>27</v>
      </c>
      <c r="L162" s="42" t="n">
        <f aca="false">INDEX(Context!$H$4:$H$51,K162)</f>
        <v>66</v>
      </c>
      <c r="M162" s="42" t="n">
        <f aca="false">INDEX(Context!$I$4:$I$51,K162)</f>
        <v>26</v>
      </c>
      <c r="N162" s="9" t="str">
        <f aca="false">INDEX(Context!$L$4:$L$51,K162)</f>
        <v>F</v>
      </c>
      <c r="O162" s="9" t="str">
        <f aca="false">INDEX(Context!$M$4:$M$51,K162)</f>
        <v>5th fully expanded leaf from top</v>
      </c>
      <c r="P162" s="43" t="n">
        <f aca="false">INDEX(Context!$R$4:$R$51,K162)</f>
        <v>0.433928571428571</v>
      </c>
      <c r="Q162" s="43" t="n">
        <f aca="false">INDEX(Context!$U$4:$U$51,K162)</f>
        <v>1.73951545534029</v>
      </c>
      <c r="R162" s="43" t="n">
        <f aca="false">INDEX(Context!$AD$4:$AD$51,K162)</f>
        <v>1</v>
      </c>
      <c r="S162" s="9" t="str">
        <f aca="false">INDEX(Context!$AI$4:$AN$51,K162,MATCH(F162,Severity_Classes!$A$4:$A$9,0))</f>
        <v>Likely</v>
      </c>
      <c r="T162" s="44" t="n">
        <f aca="false">Parameters!$E$4*IF($N162="V",Parameters!$I$4,IF($N162="F",Parameters!$J$4,Parameters!$K$4))*(1-Parameters!$L$4*$P162)*IF($D162="V1",Parameters!$M$4,IF($D162="V2",Parameters!$N$4,Parameters!$O$4))</f>
        <v>83.2927660714286</v>
      </c>
      <c r="U162" s="44" t="n">
        <f aca="false">MIN(100,T162*(1+INDEX(Response_Table!$E$4:$E$21,MATCH($F162&amp;"|mid",Response_Table!$A$4:$A$21,0))*$R162*INDEX(Parameters!$X$4:$AA$4,1,MATCH($E162,Parameters!$X$3:$AA$3,0))))</f>
        <v>79.5037842538657</v>
      </c>
      <c r="V162" s="44" t="n">
        <f aca="false">MAX(0,MIN(T162*(1+INDEX(Response_Table!$E$4:$E$21,MATCH($F162&amp;"|low",Response_Table!$A$4:$A$21,0))*$R162*INDEX(Parameters!$X$4:$AA$4,1,MATCH($E162,Parameters!$X$3:$AA$3,0))),T162*(1+INDEX(Response_Table!$E$4:$E$21,MATCH($F162&amp;"|high",Response_Table!$A$4:$A$21,0))*$R162*INDEX(Parameters!$X$4:$AA$4,1,MATCH($E162,Parameters!$X$3:$AA$3,0))))*(1-Inputs_General!$C$22*Parameters!$F$4))</f>
        <v>71.6208993812828</v>
      </c>
      <c r="W162" s="44" t="n">
        <f aca="false">MIN(100,MAX(T162*(1+INDEX(Response_Table!$E$4:$E$21,MATCH($F162&amp;"|low",Response_Table!$A$4:$A$21,0))*$R162*INDEX(Parameters!$X$4:$AA$4,1,MATCH($E162,Parameters!$X$3:$AA$3,0))),T162*(1+INDEX(Response_Table!$E$4:$E$21,MATCH($F162&amp;"|high",Response_Table!$A$4:$A$21,0))*$R162*INDEX(Parameters!$X$4:$AA$4,1,MATCH($E162,Parameters!$X$3:$AA$3,0))))*(1+Inputs_General!$C$22*Parameters!$F$4))</f>
        <v>86.8681833818543</v>
      </c>
      <c r="X162" s="45" t="n">
        <f aca="false">IF(T162=0,0,U162/T162-1)</f>
        <v>-0.0454899266319667</v>
      </c>
      <c r="Y162" s="44" t="n">
        <f aca="false">Parameters!$E$5*IF($N162="V",Parameters!$I$5,IF($N162="F",Parameters!$J$5,Parameters!$K$5))*(1-Parameters!$L$5*$P162)*IF($D162="V1",Parameters!$M$5,IF($D162="V2",Parameters!$N$5,Parameters!$O$5))</f>
        <v>66.88584</v>
      </c>
      <c r="Z162" s="44" t="n">
        <f aca="false">MIN(100,Y162*(1+INDEX(Response_Table!$F$4:$F$21,MATCH($F162&amp;"|mid",Response_Table!$A$4:$A$21,0))*$R162*INDEX(Parameters!$X$5:$AA$5,1,MATCH($E162,Parameters!$X$3:$AA$3,0))))</f>
        <v>56.3753996110962</v>
      </c>
      <c r="AA162" s="44" t="n">
        <f aca="false">MAX(0,MIN(Y162*(1+INDEX(Response_Table!$F$4:$F$21,MATCH($F162&amp;"|low",Response_Table!$A$4:$A$21,0))*$R162*INDEX(Parameters!$X$5:$AA$5,1,MATCH($E162,Parameters!$X$3:$AA$3,0))),Y162*(1+INDEX(Response_Table!$F$4:$F$21,MATCH($F162&amp;"|high",Response_Table!$A$4:$A$21,0))*$R162*INDEX(Parameters!$X$5:$AA$5,1,MATCH($E162,Parameters!$X$3:$AA$3,0))))*(1-Inputs_General!$C$22*Parameters!$F$5))</f>
        <v>43.0008033894371</v>
      </c>
      <c r="AB162" s="44" t="n">
        <f aca="false">MIN(100,MAX(Y162*(1+INDEX(Response_Table!$F$4:$F$21,MATCH($F162&amp;"|low",Response_Table!$A$4:$A$21,0))*$R162*INDEX(Parameters!$X$5:$AA$5,1,MATCH($E162,Parameters!$X$3:$AA$3,0))),Y162*(1+INDEX(Response_Table!$F$4:$F$21,MATCH($F162&amp;"|high",Response_Table!$A$4:$A$21,0))*$R162*INDEX(Parameters!$X$5:$AA$5,1,MATCH($E162,Parameters!$X$3:$AA$3,0))))*(1+Inputs_General!$C$22*Parameters!$F$5))</f>
        <v>69.2074491644124</v>
      </c>
      <c r="AC162" s="45" t="n">
        <f aca="false">IF(Y162=0,0,Z162/Y162-1)</f>
        <v>-0.157139992394561</v>
      </c>
      <c r="AD162" s="44" t="n">
        <f aca="false">Parameters!$E$6*IF($N162="V",Parameters!$I$6,IF($N162="F",Parameters!$J$6,Parameters!$K$6))*(1-Parameters!$L$6*$P162)*IF($D162="V1",Parameters!$M$6,IF($D162="V2",Parameters!$N$6,Parameters!$O$6))</f>
        <v>18.0106428571429</v>
      </c>
      <c r="AE162" s="44" t="n">
        <f aca="false">AD162*(1+INDEX(Response_Table!$G$4:$G$21,MATCH($F162&amp;"|mid",Response_Table!$A$4:$A$21,0))*$R162*INDEX(Parameters!$X$6:$AA$6,1,MATCH($E162,Parameters!$X$3:$AA$3,0)))</f>
        <v>10.6209393026927</v>
      </c>
      <c r="AF162" s="44" t="n">
        <f aca="false">MAX(0,MIN(AD162*(1+INDEX(Response_Table!$G$4:$G$21,MATCH($F162&amp;"|low",Response_Table!$A$4:$A$21,0))*$R162*INDEX(Parameters!$X$6:$AA$6,1,MATCH($E162,Parameters!$X$3:$AA$3,0))),AD162*(1+INDEX(Response_Table!$G$4:$G$21,MATCH($F162&amp;"|high",Response_Table!$A$4:$A$21,0))*$R162*INDEX(Parameters!$X$6:$AA$6,1,MATCH($E162,Parameters!$X$3:$AA$3,0))))*(1-Inputs_General!$C$22*Parameters!$F$6))</f>
        <v>7.22265949616106</v>
      </c>
      <c r="AG162" s="44" t="n">
        <f aca="false">MAX(AD162*(1+INDEX(Response_Table!$G$4:$G$21,MATCH($F162&amp;"|low",Response_Table!$A$4:$A$21,0))*$R162*INDEX(Parameters!$X$6:$AA$6,1,MATCH($E162,Parameters!$X$3:$AA$3,0))),AD162*(1+INDEX(Response_Table!$G$4:$G$21,MATCH($F162&amp;"|high",Response_Table!$A$4:$A$21,0))*$R162*INDEX(Parameters!$X$6:$AA$6,1,MATCH($E162,Parameters!$X$3:$AA$3,0))))*(1+Inputs_General!$C$22*Parameters!$F$6)</f>
        <v>15.3600178262045</v>
      </c>
      <c r="AH162" s="45" t="n">
        <f aca="false">IF(AD162=0,0,AE162/AD162-1)</f>
        <v>-0.410296490417582</v>
      </c>
      <c r="AI162" s="46" t="n">
        <f aca="false">Parameters!$E$7*IF($N162="V",Parameters!$I$7,IF($N162="F",Parameters!$J$7,Parameters!$K$7))*(1-Parameters!$L$7*$P162)*IF($D162="V1",Parameters!$M$7,IF($D162="V2",Parameters!$N$7,Parameters!$O$7))*POWER($Q162/Inputs_General!$C$26,-Inputs_General!$C$25)</f>
        <v>0.341191629407368</v>
      </c>
      <c r="AJ162" s="46" t="n">
        <f aca="false">AI162*(1+INDEX(Response_Table!$H$4:$H$21,MATCH($F162&amp;"|mid",Response_Table!$A$4:$A$21,0))*$R162*INDEX(Parameters!$X$7:$AA$7,1,MATCH($E162,Parameters!$X$3:$AA$3,0)))</f>
        <v>0.248655807037734</v>
      </c>
      <c r="AK162" s="46" t="n">
        <f aca="false">MAX(0,MIN(AI162*(1+INDEX(Response_Table!$H$4:$H$21,MATCH($F162&amp;"|low",Response_Table!$A$4:$A$21,0))*$R162*INDEX(Parameters!$X$7:$AA$7,1,MATCH($E162,Parameters!$X$3:$AA$3,0))),AI162*(1+INDEX(Response_Table!$H$4:$H$21,MATCH($F162&amp;"|high",Response_Table!$A$4:$A$21,0))*$R162*INDEX(Parameters!$X$7:$AA$7,1,MATCH($E162,Parameters!$X$3:$AA$3,0))))*(1-Inputs_General!$C$22*Parameters!$F$7))</f>
        <v>0.157797454208746</v>
      </c>
      <c r="AL162" s="46" t="n">
        <f aca="false">MAX(AI162*(1+INDEX(Response_Table!$H$4:$H$21,MATCH($F162&amp;"|low",Response_Table!$A$4:$A$21,0))*$R162*INDEX(Parameters!$X$7:$AA$7,1,MATCH($E162,Parameters!$X$3:$AA$3,0))),AI162*(1+INDEX(Response_Table!$H$4:$H$21,MATCH($F162&amp;"|high",Response_Table!$A$4:$A$21,0))*$R162*INDEX(Parameters!$X$7:$AA$7,1,MATCH($E162,Parameters!$X$3:$AA$3,0))))*(1+Inputs_General!$C$22*Parameters!$F$7)</f>
        <v>0.361425344954268</v>
      </c>
      <c r="AM162" s="45" t="n">
        <f aca="false">IF(AI162=0,0,AJ162/AI162-1)</f>
        <v>-0.271213635956907</v>
      </c>
      <c r="AN162" s="43" t="n">
        <f aca="false">AI162*$Q162/Inputs_General!$C$13*1000</f>
        <v>5.97691956280819</v>
      </c>
      <c r="AO162" s="43" t="n">
        <f aca="false">AJ162*$Q162/Inputs_General!$C$13*1000*(1+Inputs_General!$C$21*$I162)</f>
        <v>4.55191286279308</v>
      </c>
      <c r="AP162" s="43" t="n">
        <f aca="false">AK162*$Q162/Inputs_General!$C$13*1000*(1+Inputs_General!$C$21*$H162)</f>
        <v>2.84027810620065</v>
      </c>
      <c r="AQ162" s="43" t="n">
        <f aca="false">AL162*$Q162/Inputs_General!$C$13*1000*(1+Inputs_General!$C$21*$J162)</f>
        <v>6.727079902753</v>
      </c>
      <c r="AR162" s="45" t="n">
        <f aca="false">IF(AN162=0,0,AO162/AN162-1)</f>
        <v>-0.238418249574968</v>
      </c>
      <c r="AS162" s="42" t="n">
        <f aca="false">Parameters!$E$9*IF($N162="V",Parameters!$I$9,IF($N162="F",Parameters!$J$9,Parameters!$K$9))*(1-Parameters!$L$9*$P162)*IF($D162="V1",Parameters!$M$9,IF($D162="V2",Parameters!$N$9,Parameters!$O$9))</f>
        <v>285</v>
      </c>
      <c r="AT162" s="42" t="n">
        <f aca="false">AS162*(1+INDEX(Response_Table!$I$4:$I$21,MATCH($F162&amp;"|mid",Response_Table!$A$4:$A$21,0))*$R162*INDEX(Parameters!$X$9:$AA$9,1,MATCH($E162,Parameters!$X$3:$AA$3,0)))</f>
        <v>328.882682115422</v>
      </c>
      <c r="AU162" s="42" t="n">
        <f aca="false">MAX(0,MIN(AS162*(1+INDEX(Response_Table!$I$4:$I$21,MATCH($F162&amp;"|low",Response_Table!$A$4:$A$21,0))*$R162*INDEX(Parameters!$X$9:$AA$9,1,MATCH($E162,Parameters!$X$3:$AA$3,0))),AS162*(1+INDEX(Response_Table!$I$4:$I$21,MATCH($F162&amp;"|high",Response_Table!$A$4:$A$21,0))*$R162*INDEX(Parameters!$X$9:$AA$9,1,MATCH($E162,Parameters!$X$3:$AA$3,0))))*(1-Inputs_General!$C$22*Parameters!$F$9))</f>
        <v>284.301462749449</v>
      </c>
      <c r="AV162" s="42" t="n">
        <f aca="false">MAX(AS162*(1+INDEX(Response_Table!$I$4:$I$21,MATCH($F162&amp;"|low",Response_Table!$A$4:$A$21,0))*$R162*INDEX(Parameters!$X$9:$AA$9,1,MATCH($E162,Parameters!$X$3:$AA$3,0))),AS162*(1+INDEX(Response_Table!$I$4:$I$21,MATCH($F162&amp;"|high",Response_Table!$A$4:$A$21,0))*$R162*INDEX(Parameters!$X$9:$AA$9,1,MATCH($E162,Parameters!$X$3:$AA$3,0))))*(1+Inputs_General!$C$22*Parameters!$F$9)</f>
        <v>372.510178357712</v>
      </c>
      <c r="AW162" s="45" t="n">
        <f aca="false">IF(AS162=0,0,AT162/AS162-1)</f>
        <v>0.153974323212009</v>
      </c>
      <c r="AX162" s="43" t="n">
        <f aca="false">INDEX(Context!$AB$4:$AB$51,$K162)</f>
        <v>2.52215585742532</v>
      </c>
      <c r="AY162" s="43" t="n">
        <f aca="false">AX162*(1+INDEX(Response_Table!$J$4:$J$21,MATCH($F162&amp;"|mid",Response_Table!$A$4:$A$21,0))*$R162*INDEX(Parameters!$X$10:$AA$10,1,MATCH($E162,Parameters!$X$3:$AA$3,0)))</f>
        <v>2.11087463144639</v>
      </c>
      <c r="AZ162" s="43" t="n">
        <f aca="false">MAX(0,MIN(AX162*(1+INDEX(Response_Table!$J$4:$J$21,MATCH($F162&amp;"|low",Response_Table!$A$4:$A$21,0))*$R162*INDEX(Parameters!$X$10:$AA$10,1,MATCH($E162,Parameters!$X$3:$AA$3,0))),AX162*(1+INDEX(Response_Table!$J$4:$J$21,MATCH($F162&amp;"|high",Response_Table!$A$4:$A$21,0))*$R162*INDEX(Parameters!$X$10:$AA$10,1,MATCH($E162,Parameters!$X$3:$AA$3,0))))*(1-Inputs_General!$C$22*Parameters!$F$10))</f>
        <v>1.60093936404696</v>
      </c>
      <c r="BA162" s="43" t="n">
        <f aca="false">MAX(AX162*(1+INDEX(Response_Table!$J$4:$J$21,MATCH($F162&amp;"|low",Response_Table!$A$4:$A$21,0))*$R162*INDEX(Parameters!$X$10:$AA$10,1,MATCH($E162,Parameters!$X$3:$AA$3,0))),AX162*(1+INDEX(Response_Table!$J$4:$J$21,MATCH($F162&amp;"|high",Response_Table!$A$4:$A$21,0))*$R162*INDEX(Parameters!$X$10:$AA$10,1,MATCH($E162,Parameters!$X$3:$AA$3,0))))*(1+Inputs_General!$C$22*Parameters!$F$10)</f>
        <v>2.69328475572088</v>
      </c>
      <c r="BB162" s="45" t="n">
        <f aca="false">IF(AX162=0,0,AY162/AX162-1)</f>
        <v>-0.163067331770202</v>
      </c>
      <c r="BC162" s="46" t="n">
        <f aca="false">Parameters!$E$11*IF($N162="V",Parameters!$I$11,IF($N162="F",Parameters!$J$11,Parameters!$K$11))*(1-Parameters!$L$11*$P162)*IF($D162="V1",Parameters!$M$11,IF($D162="V2",Parameters!$N$11,Parameters!$O$11))</f>
        <v>1.21745535714286</v>
      </c>
      <c r="BD162" s="46" t="n">
        <f aca="false">BC162*(1+INDEX(Response_Table!$K$4:$K$21,MATCH($F162&amp;"|mid",Response_Table!$A$4:$A$21,0))*$R162*INDEX(Parameters!$X$11:$AA$11,1,MATCH($E162,Parameters!$X$3:$AA$3,0)))</f>
        <v>0.870958540398467</v>
      </c>
      <c r="BE162" s="46" t="n">
        <f aca="false">MAX(0,MIN(BC162*(1+INDEX(Response_Table!$K$4:$K$21,MATCH($F162&amp;"|low",Response_Table!$A$4:$A$21,0))*$R162*INDEX(Parameters!$X$11:$AA$11,1,MATCH($E162,Parameters!$X$3:$AA$3,0))),BC162*(1+INDEX(Response_Table!$K$4:$K$21,MATCH($F162&amp;"|high",Response_Table!$A$4:$A$21,0))*$R162*INDEX(Parameters!$X$11:$AA$11,1,MATCH($E162,Parameters!$X$3:$AA$3,0))))*(1-Inputs_General!$C$22*Parameters!$F$11))</f>
        <v>0.653097019943878</v>
      </c>
      <c r="BF162" s="46" t="n">
        <f aca="false">MAX(BC162*(1+INDEX(Response_Table!$K$4:$K$21,MATCH($F162&amp;"|low",Response_Table!$A$4:$A$21,0))*$R162*INDEX(Parameters!$X$11:$AA$11,1,MATCH($E162,Parameters!$X$3:$AA$3,0))),BC162*(1+INDEX(Response_Table!$K$4:$K$21,MATCH($F162&amp;"|high",Response_Table!$A$4:$A$21,0))*$R162*INDEX(Parameters!$X$11:$AA$11,1,MATCH($E162,Parameters!$X$3:$AA$3,0))))*(1+Inputs_General!$C$22*Parameters!$F$11)</f>
        <v>1.14429275039473</v>
      </c>
      <c r="BG162" s="45" t="n">
        <f aca="false">IF(BC162=0,0,BD162/BC162-1)</f>
        <v>-0.284607410622065</v>
      </c>
      <c r="BH162" s="46" t="n">
        <f aca="false">Parameters!$E$12*IF($N162="V",Parameters!$I$12,IF($N162="F",Parameters!$J$12,Parameters!$K$12))*(1-Parameters!$L$12*$P162)*IF($D162="V1",Parameters!$M$12,IF($D162="V2",Parameters!$N$12,Parameters!$O$12))</f>
        <v>0.438283928571429</v>
      </c>
      <c r="BI162" s="46" t="n">
        <f aca="false">BH162*(1+INDEX(Response_Table!$L$4:$L$21,MATCH($F162&amp;"|mid",Response_Table!$A$4:$A$21,0))*$R162*INDEX(Parameters!$X$12:$AA$12,1,MATCH($E162,Parameters!$X$3:$AA$3,0)))</f>
        <v>0.337702824237376</v>
      </c>
      <c r="BJ162" s="46" t="n">
        <f aca="false">MAX(0,MIN(BH162*(1+INDEX(Response_Table!$L$4:$L$21,MATCH($F162&amp;"|low",Response_Table!$A$4:$A$21,0))*$R162*INDEX(Parameters!$X$12:$AA$12,1,MATCH($E162,Parameters!$X$3:$AA$3,0))),BH162*(1+INDEX(Response_Table!$L$4:$L$21,MATCH($F162&amp;"|high",Response_Table!$A$4:$A$21,0))*$R162*INDEX(Parameters!$X$12:$AA$12,1,MATCH($E162,Parameters!$X$3:$AA$3,0))))*(1-Inputs_General!$C$22*Parameters!$F$12))</f>
        <v>0.249684554460915</v>
      </c>
      <c r="BK162" s="46" t="n">
        <f aca="false">MAX(BH162*(1+INDEX(Response_Table!$L$4:$L$21,MATCH($F162&amp;"|low",Response_Table!$A$4:$A$21,0))*$R162*INDEX(Parameters!$X$12:$AA$12,1,MATCH($E162,Parameters!$X$3:$AA$3,0))),BH162*(1+INDEX(Response_Table!$L$4:$L$21,MATCH($F162&amp;"|high",Response_Table!$A$4:$A$21,0))*$R162*INDEX(Parameters!$X$12:$AA$12,1,MATCH($E162,Parameters!$X$3:$AA$3,0))))*(1+Inputs_General!$C$22*Parameters!$F$12)</f>
        <v>0.443671140678048</v>
      </c>
      <c r="BL162" s="45" t="n">
        <f aca="false">IF(BH162=0,0,BI162/BH162-1)</f>
        <v>-0.229488461194306</v>
      </c>
      <c r="BM162" s="46" t="n">
        <f aca="false">Parameters!$E$13*IF($N162="V",Parameters!$I$13,IF($N162="F",Parameters!$J$13,Parameters!$K$13))*(1-Parameters!$L$13*$P162)*IF($D162="V1",Parameters!$M$13,IF($D162="V2",Parameters!$N$13,Parameters!$O$13))</f>
        <v>0.296094642857143</v>
      </c>
      <c r="BN162" s="46" t="n">
        <f aca="false">BM162*(1+INDEX(Response_Table!$M$4:$M$21,MATCH($F162&amp;"|mid",Response_Table!$A$4:$A$21,0))*$R162*INDEX(Parameters!$X$13:$AA$13,1,MATCH($E162,Parameters!$X$3:$AA$3,0)))</f>
        <v>0.270624141827225</v>
      </c>
      <c r="BO162" s="46" t="n">
        <f aca="false">MAX(0,MIN(BM162*(1+INDEX(Response_Table!$M$4:$M$21,MATCH($F162&amp;"|low",Response_Table!$A$4:$A$21,0))*$R162*INDEX(Parameters!$X$13:$AA$13,1,MATCH($E162,Parameters!$X$3:$AA$3,0))),BM162*(1+INDEX(Response_Table!$M$4:$M$21,MATCH($F162&amp;"|high",Response_Table!$A$4:$A$21,0))*$R162*INDEX(Parameters!$X$13:$AA$13,1,MATCH($E162,Parameters!$X$3:$AA$3,0))))*(1-Inputs_General!$C$22*Parameters!$F$13))</f>
        <v>0.200746134847593</v>
      </c>
      <c r="BP162" s="46" t="n">
        <f aca="false">MAX(BM162*(1+INDEX(Response_Table!$M$4:$M$21,MATCH($F162&amp;"|low",Response_Table!$A$4:$A$21,0))*$R162*INDEX(Parameters!$X$13:$AA$13,1,MATCH($E162,Parameters!$X$3:$AA$3,0))),BM162*(1+INDEX(Response_Table!$M$4:$M$21,MATCH($F162&amp;"|high",Response_Table!$A$4:$A$21,0))*$R162*INDEX(Parameters!$X$13:$AA$13,1,MATCH($E162,Parameters!$X$3:$AA$3,0))))*(1+Inputs_General!$C$22*Parameters!$F$13)</f>
        <v>0.349970681887365</v>
      </c>
      <c r="BQ162" s="45" t="n">
        <f aca="false">IF(BM162=0,0,BN162/BM162-1)</f>
        <v>-0.0860214855093042</v>
      </c>
      <c r="BR162" s="44" t="n">
        <f aca="false">Parameters!$E$14*IF($N162="V",Parameters!$I$14,IF($N162="F",Parameters!$J$14,Parameters!$K$14))*(1-Parameters!$L$14*$P162)*IF($D162="V1",Parameters!$M$14,IF($D162="V2",Parameters!$N$14,Parameters!$O$14))*INDEX(Context!$AC$4:$AC$51,$K162)</f>
        <v>15</v>
      </c>
      <c r="BS162" s="44" t="n">
        <f aca="false">BR162*(1+INDEX(Response_Table!$N$4:$N$21,MATCH($F162&amp;"|mid",Response_Table!$A$4:$A$21,0))*$R162*INDEX(Parameters!$X$14:$AA$14,1,MATCH($E162,Parameters!$X$3:$AA$3,0)))</f>
        <v>18.7552657286341</v>
      </c>
      <c r="BT162" s="44" t="n">
        <f aca="false">MAX(0,MIN(BR162*(1+INDEX(Response_Table!$N$4:$N$21,MATCH($F162&amp;"|low",Response_Table!$A$4:$A$21,0))*$R162*INDEX(Parameters!$X$14:$AA$14,1,MATCH($E162,Parameters!$X$3:$AA$3,0))),BR162*(1+INDEX(Response_Table!$N$4:$N$21,MATCH($F162&amp;"|high",Response_Table!$A$4:$A$21,0))*$R162*INDEX(Parameters!$X$14:$AA$14,1,MATCH($E162,Parameters!$X$3:$AA$3,0))))*(1-Inputs_General!$C$22*Parameters!$F$14))</f>
        <v>8.87878616115056</v>
      </c>
      <c r="BU162" s="44" t="n">
        <f aca="false">MAX(BR162*(1+INDEX(Response_Table!$N$4:$N$21,MATCH($F162&amp;"|low",Response_Table!$A$4:$A$21,0))*$R162*INDEX(Parameters!$X$14:$AA$14,1,MATCH($E162,Parameters!$X$3:$AA$3,0))),BR162*(1+INDEX(Response_Table!$N$4:$N$21,MATCH($F162&amp;"|high",Response_Table!$A$4:$A$21,0))*$R162*INDEX(Parameters!$X$14:$AA$14,1,MATCH($E162,Parameters!$X$3:$AA$3,0))))*(1+Inputs_General!$C$22*Parameters!$F$14)</f>
        <v>29.4946849813317</v>
      </c>
      <c r="BV162" s="45" t="n">
        <f aca="false">IF(BR162=0,0,BS162/BR162-1)</f>
        <v>0.250351048575606</v>
      </c>
      <c r="BW162" s="43" t="n">
        <f aca="false">Parameters!$E$15*IF($N162="V",Parameters!$I$15,IF($N162="F",Parameters!$J$15,Parameters!$K$15))*(1-Parameters!$L$15*$P162)*IF($D162="V1",Parameters!$M$15,IF($D162="V2",Parameters!$N$15,Parameters!$O$15))</f>
        <v>10.1292285714286</v>
      </c>
      <c r="BX162" s="43" t="n">
        <f aca="false">BW162*(1+INDEX(Response_Table!$O$4:$O$21,MATCH($F162&amp;"|mid",Response_Table!$A$4:$A$21,0))*$R162*INDEX(Parameters!$X$15:$AA$15,1,MATCH($E162,Parameters!$X$3:$AA$3,0)))</f>
        <v>9.49526282289879</v>
      </c>
      <c r="BY162" s="43" t="n">
        <f aca="false">MAX(0,MIN(BW162*(1+INDEX(Response_Table!$O$4:$O$21,MATCH($F162&amp;"|low",Response_Table!$A$4:$A$21,0))*$R162*INDEX(Parameters!$X$15:$AA$15,1,MATCH($E162,Parameters!$X$3:$AA$3,0))),BW162*(1+INDEX(Response_Table!$O$4:$O$21,MATCH($F162&amp;"|high",Response_Table!$A$4:$A$21,0))*$R162*INDEX(Parameters!$X$15:$AA$15,1,MATCH($E162,Parameters!$X$3:$AA$3,0))))*(1-Inputs_General!$C$22*Parameters!$F$15))</f>
        <v>7.48629211400473</v>
      </c>
      <c r="BZ162" s="43" t="n">
        <f aca="false">MAX(BW162*(1+INDEX(Response_Table!$O$4:$O$21,MATCH($F162&amp;"|low",Response_Table!$A$4:$A$21,0))*$R162*INDEX(Parameters!$X$15:$AA$15,1,MATCH($E162,Parameters!$X$3:$AA$3,0))),BW162*(1+INDEX(Response_Table!$O$4:$O$21,MATCH($F162&amp;"|high",Response_Table!$A$4:$A$21,0))*$R162*INDEX(Parameters!$X$15:$AA$15,1,MATCH($E162,Parameters!$X$3:$AA$3,0))))*(1+Inputs_General!$C$22*Parameters!$F$15)</f>
        <v>11.6173732198582</v>
      </c>
      <c r="CA162" s="45" t="n">
        <f aca="false">IF(BW162=0,0,BX162/BW162-1)</f>
        <v>-0.0625877621439014</v>
      </c>
      <c r="CB162" s="46" t="n">
        <f aca="false">BD162+BI162</f>
        <v>1.20866136463584</v>
      </c>
      <c r="CC162" s="43" t="n">
        <f aca="false">BD162/BI162</f>
        <v>2.57906797897034</v>
      </c>
      <c r="CD162" s="46" t="n">
        <f aca="false">BN162/CB162</f>
        <v>0.22390402286811</v>
      </c>
      <c r="CE162" s="43" t="n">
        <f aca="false">AE162/AO162</f>
        <v>2.33329143655346</v>
      </c>
      <c r="CF162" s="44" t="n">
        <f aca="false">AE162/AJ162</f>
        <v>42.7134175116244</v>
      </c>
      <c r="CG162" s="44" t="n">
        <f aca="false">INDEX(Context!$V$4:$V$51,$K162)</f>
        <v>28.62</v>
      </c>
      <c r="CH162" s="44" t="n">
        <f aca="false">INDEX(Context!$Y$4:$Y$51,$K162)</f>
        <v>25.3060134606718</v>
      </c>
      <c r="CI162" s="44" t="n">
        <f aca="false">INDEX(Context!$Z$4:$Z$51,$K162)</f>
        <v>32.62</v>
      </c>
      <c r="CJ162" s="43" t="n">
        <f aca="false">INDEX(Context!$AA$4:$AA$51,$K162)</f>
        <v>0.221696428571429</v>
      </c>
      <c r="CK162" s="43" t="n">
        <f aca="false">MAX(0,MIN(1,1-(1-CJ162)*AO162/AN162))</f>
        <v>0.407258203709374</v>
      </c>
      <c r="CL162" s="44" t="n">
        <f aca="false">CH162+CK162*(CI162-CH162)</f>
        <v>28.2846944806331</v>
      </c>
      <c r="CM162" s="44" t="n">
        <f aca="false">CH162+MAX(0,MIN(1,1-(1-CJ162)*AQ162/AN162))*(CI162-CH162)</f>
        <v>26.2130349480082</v>
      </c>
      <c r="CN162" s="44" t="n">
        <f aca="false">CH162+MAX(0,MIN(1,1-(1-CJ162)*AP162/AN162))*(CI162-CH162)</f>
        <v>29.9148793789535</v>
      </c>
      <c r="CO162" s="44" t="n">
        <f aca="false">CL162-CG162</f>
        <v>-0.335305519366873</v>
      </c>
      <c r="CP162" s="44" t="n">
        <f aca="false">CL162-(CH162+CJ162*(CI162-CH162))</f>
        <v>1.35719632557279</v>
      </c>
      <c r="CQ162" s="46" t="n">
        <f aca="false">CL162/CG162</f>
        <v>0.988284223641968</v>
      </c>
      <c r="CR162" s="43" t="n">
        <f aca="false">IF(CL162-CH162&lt;=0,"n/a",(CI162-CL162)/(CL162-CH162))</f>
        <v>1.45544470532904</v>
      </c>
      <c r="CS162" s="43" t="n">
        <f aca="false">IF(CI162-CL162&lt;=0,"n/a",(CL162-CH162)/(CI162-CL162))</f>
        <v>0.687075226106871</v>
      </c>
      <c r="CT162" s="43" t="n">
        <f aca="false">Inputs_General!$C$23+Inputs_General!$C$24*$I162</f>
        <v>0.96</v>
      </c>
      <c r="CU162" s="44" t="n">
        <f aca="false">3.29*CT162</f>
        <v>3.1584</v>
      </c>
    </row>
    <row r="163" customFormat="false" ht="15" hidden="false" customHeight="false" outlineLevel="0" collapsed="false">
      <c r="A163" s="9" t="str">
        <f aca="false">B163&amp;"|"&amp;E163&amp;"|"&amp;F163</f>
        <v>D3V1|03/03/2026|High</v>
      </c>
      <c r="B163" s="7" t="s">
        <v>349</v>
      </c>
      <c r="C163" s="9" t="s">
        <v>131</v>
      </c>
      <c r="D163" s="9" t="s">
        <v>142</v>
      </c>
      <c r="E163" s="9" t="s">
        <v>162</v>
      </c>
      <c r="F163" s="7" t="s">
        <v>283</v>
      </c>
      <c r="G163" s="9" t="s">
        <v>284</v>
      </c>
      <c r="H163" s="41" t="n">
        <f aca="false">INDEX(Severity_Classes!$C$4:$C$9,MATCH(F163,Severity_Classes!$A$4:$A$9,0))</f>
        <v>0.26</v>
      </c>
      <c r="I163" s="41" t="n">
        <f aca="false">INDEX(Severity_Classes!$D$4:$D$9,MATCH(F163,Severity_Classes!$A$4:$A$9,0))</f>
        <v>0.38</v>
      </c>
      <c r="J163" s="41" t="n">
        <f aca="false">INDEX(Severity_Classes!$E$4:$E$9,MATCH(F163,Severity_Classes!$A$4:$A$9,0))</f>
        <v>0.5</v>
      </c>
      <c r="K163" s="42" t="n">
        <f aca="false">MATCH(B163&amp;"|"&amp;E163,Context!$A$4:$A$51,0)</f>
        <v>27</v>
      </c>
      <c r="L163" s="42" t="n">
        <f aca="false">INDEX(Context!$H$4:$H$51,K163)</f>
        <v>66</v>
      </c>
      <c r="M163" s="42" t="n">
        <f aca="false">INDEX(Context!$I$4:$I$51,K163)</f>
        <v>26</v>
      </c>
      <c r="N163" s="9" t="str">
        <f aca="false">INDEX(Context!$L$4:$L$51,K163)</f>
        <v>F</v>
      </c>
      <c r="O163" s="9" t="str">
        <f aca="false">INDEX(Context!$M$4:$M$51,K163)</f>
        <v>5th fully expanded leaf from top</v>
      </c>
      <c r="P163" s="43" t="n">
        <f aca="false">INDEX(Context!$R$4:$R$51,K163)</f>
        <v>0.433928571428571</v>
      </c>
      <c r="Q163" s="43" t="n">
        <f aca="false">INDEX(Context!$U$4:$U$51,K163)</f>
        <v>1.73951545534029</v>
      </c>
      <c r="R163" s="43" t="n">
        <f aca="false">INDEX(Context!$AD$4:$AD$51,K163)</f>
        <v>1</v>
      </c>
      <c r="S163" s="9" t="str">
        <f aca="false">INDEX(Context!$AI$4:$AN$51,K163,MATCH(F163,Severity_Classes!$A$4:$A$9,0))</f>
        <v>Likely</v>
      </c>
      <c r="T163" s="44" t="n">
        <f aca="false">Parameters!$E$4*IF($N163="V",Parameters!$I$4,IF($N163="F",Parameters!$J$4,Parameters!$K$4))*(1-Parameters!$L$4*$P163)*IF($D163="V1",Parameters!$M$4,IF($D163="V2",Parameters!$N$4,Parameters!$O$4))</f>
        <v>83.2927660714286</v>
      </c>
      <c r="U163" s="44" t="n">
        <f aca="false">MIN(100,T163*(1+INDEX(Response_Table!$E$4:$E$21,MATCH($F163&amp;"|mid",Response_Table!$A$4:$A$21,0))*$R163*INDEX(Parameters!$X$4:$AA$4,1,MATCH($E163,Parameters!$X$3:$AA$3,0))))</f>
        <v>69.8372139603763</v>
      </c>
      <c r="V163" s="44" t="n">
        <f aca="false">MAX(0,MIN(T163*(1+INDEX(Response_Table!$E$4:$E$21,MATCH($F163&amp;"|low",Response_Table!$A$4:$A$21,0))*$R163*INDEX(Parameters!$X$4:$AA$4,1,MATCH($E163,Parameters!$X$3:$AA$3,0))),T163*(1+INDEX(Response_Table!$E$4:$E$21,MATCH($F163&amp;"|high",Response_Table!$A$4:$A$21,0))*$R163*INDEX(Parameters!$X$4:$AA$4,1,MATCH($E163,Parameters!$X$3:$AA$3,0))))*(1-Inputs_General!$C$22*Parameters!$F$4))</f>
        <v>59.9484186608989</v>
      </c>
      <c r="W163" s="44" t="n">
        <f aca="false">MIN(100,MAX(T163*(1+INDEX(Response_Table!$E$4:$E$21,MATCH($F163&amp;"|low",Response_Table!$A$4:$A$21,0))*$R163*INDEX(Parameters!$X$4:$AA$4,1,MATCH($E163,Parameters!$X$3:$AA$3,0))),T163*(1+INDEX(Response_Table!$E$4:$E$21,MATCH($F163&amp;"|high",Response_Table!$A$4:$A$21,0))*$R163*INDEX(Parameters!$X$4:$AA$4,1,MATCH($E163,Parameters!$X$3:$AA$3,0))))*(1+Inputs_General!$C$22*Parameters!$F$4))</f>
        <v>81.208112645542</v>
      </c>
      <c r="X163" s="45" t="n">
        <f aca="false">IF(T163=0,0,U163/T163-1)</f>
        <v>-0.161545266722362</v>
      </c>
      <c r="Y163" s="44" t="n">
        <f aca="false">Parameters!$E$5*IF($N163="V",Parameters!$I$5,IF($N163="F",Parameters!$J$5,Parameters!$K$5))*(1-Parameters!$L$5*$P163)*IF($D163="V1",Parameters!$M$5,IF($D163="V2",Parameters!$N$5,Parameters!$O$5))</f>
        <v>66.88584</v>
      </c>
      <c r="Z163" s="44" t="n">
        <f aca="false">MIN(100,Y163*(1+INDEX(Response_Table!$F$4:$F$21,MATCH($F163&amp;"|mid",Response_Table!$A$4:$A$21,0))*$R163*INDEX(Parameters!$X$5:$AA$5,1,MATCH($E163,Parameters!$X$3:$AA$3,0))))</f>
        <v>33.4233248723021</v>
      </c>
      <c r="AA163" s="44" t="n">
        <f aca="false">MAX(0,MIN(Y163*(1+INDEX(Response_Table!$F$4:$F$21,MATCH($F163&amp;"|low",Response_Table!$A$4:$A$21,0))*$R163*INDEX(Parameters!$X$5:$AA$5,1,MATCH($E163,Parameters!$X$3:$AA$3,0))),Y163*(1+INDEX(Response_Table!$F$4:$F$21,MATCH($F163&amp;"|high",Response_Table!$A$4:$A$21,0))*$R163*INDEX(Parameters!$X$5:$AA$5,1,MATCH($E163,Parameters!$X$3:$AA$3,0))))*(1-Inputs_General!$C$22*Parameters!$F$5))</f>
        <v>22.1390191475138</v>
      </c>
      <c r="AB163" s="44" t="n">
        <f aca="false">MIN(100,MAX(Y163*(1+INDEX(Response_Table!$F$4:$F$21,MATCH($F163&amp;"|low",Response_Table!$A$4:$A$21,0))*$R163*INDEX(Parameters!$X$5:$AA$5,1,MATCH($E163,Parameters!$X$3:$AA$3,0))),Y163*(1+INDEX(Response_Table!$F$4:$F$21,MATCH($F163&amp;"|high",Response_Table!$A$4:$A$21,0))*$R163*INDEX(Parameters!$X$5:$AA$5,1,MATCH($E163,Parameters!$X$3:$AA$3,0))))*(1+Inputs_General!$C$22*Parameters!$F$5))</f>
        <v>52.8296495585286</v>
      </c>
      <c r="AC163" s="45" t="n">
        <f aca="false">IF(Y163=0,0,Z163/Y163-1)</f>
        <v>-0.500292963767786</v>
      </c>
      <c r="AD163" s="44" t="n">
        <f aca="false">Parameters!$E$6*IF($N163="V",Parameters!$I$6,IF($N163="F",Parameters!$J$6,Parameters!$K$6))*(1-Parameters!$L$6*$P163)*IF($D163="V1",Parameters!$M$6,IF($D163="V2",Parameters!$N$6,Parameters!$O$6))</f>
        <v>18.0106428571429</v>
      </c>
      <c r="AE163" s="44" t="n">
        <f aca="false">AD163*(1+INDEX(Response_Table!$G$4:$G$21,MATCH($F163&amp;"|mid",Response_Table!$A$4:$A$21,0))*$R163*INDEX(Parameters!$X$6:$AA$6,1,MATCH($E163,Parameters!$X$3:$AA$3,0)))</f>
        <v>7.04041812166422</v>
      </c>
      <c r="AF163" s="44" t="n">
        <f aca="false">MAX(0,MIN(AD163*(1+INDEX(Response_Table!$G$4:$G$21,MATCH($F163&amp;"|low",Response_Table!$A$4:$A$21,0))*$R163*INDEX(Parameters!$X$6:$AA$6,1,MATCH($E163,Parameters!$X$3:$AA$3,0))),AD163*(1+INDEX(Response_Table!$G$4:$G$21,MATCH($F163&amp;"|high",Response_Table!$A$4:$A$21,0))*$R163*INDEX(Parameters!$X$6:$AA$6,1,MATCH($E163,Parameters!$X$3:$AA$3,0))))*(1-Inputs_General!$C$22*Parameters!$F$6))</f>
        <v>4.81510864732996</v>
      </c>
      <c r="AG163" s="44" t="n">
        <f aca="false">MAX(AD163*(1+INDEX(Response_Table!$G$4:$G$21,MATCH($F163&amp;"|low",Response_Table!$A$4:$A$21,0))*$R163*INDEX(Parameters!$X$6:$AA$6,1,MATCH($E163,Parameters!$X$3:$AA$3,0))),AD163*(1+INDEX(Response_Table!$G$4:$G$21,MATCH($F163&amp;"|high",Response_Table!$A$4:$A$21,0))*$R163*INDEX(Parameters!$X$6:$AA$6,1,MATCH($E163,Parameters!$X$3:$AA$3,0))))*(1+Inputs_General!$C$22*Parameters!$F$6)</f>
        <v>10.5437349479628</v>
      </c>
      <c r="AH163" s="45" t="n">
        <f aca="false">IF(AD163=0,0,AE163/AD163-1)</f>
        <v>-0.609096789186953</v>
      </c>
      <c r="AI163" s="46" t="n">
        <f aca="false">Parameters!$E$7*IF($N163="V",Parameters!$I$7,IF($N163="F",Parameters!$J$7,Parameters!$K$7))*(1-Parameters!$L$7*$P163)*IF($D163="V1",Parameters!$M$7,IF($D163="V2",Parameters!$N$7,Parameters!$O$7))*POWER($Q163/Inputs_General!$C$26,-Inputs_General!$C$25)</f>
        <v>0.341191629407368</v>
      </c>
      <c r="AJ163" s="46" t="n">
        <f aca="false">AI163*(1+INDEX(Response_Table!$H$4:$H$21,MATCH($F163&amp;"|mid",Response_Table!$A$4:$A$21,0))*$R163*INDEX(Parameters!$X$7:$AA$7,1,MATCH($E163,Parameters!$X$3:$AA$3,0)))</f>
        <v>0.190344792852413</v>
      </c>
      <c r="AK163" s="46" t="n">
        <f aca="false">MAX(0,MIN(AI163*(1+INDEX(Response_Table!$H$4:$H$21,MATCH($F163&amp;"|low",Response_Table!$A$4:$A$21,0))*$R163*INDEX(Parameters!$X$7:$AA$7,1,MATCH($E163,Parameters!$X$3:$AA$3,0))),AI163*(1+INDEX(Response_Table!$H$4:$H$21,MATCH($F163&amp;"|high",Response_Table!$A$4:$A$21,0))*$R163*INDEX(Parameters!$X$7:$AA$7,1,MATCH($E163,Parameters!$X$3:$AA$3,0))))*(1-Inputs_General!$C$22*Parameters!$F$7))</f>
        <v>0.118889880715717</v>
      </c>
      <c r="AL163" s="46" t="n">
        <f aca="false">MAX(AI163*(1+INDEX(Response_Table!$H$4:$H$21,MATCH($F163&amp;"|low",Response_Table!$A$4:$A$21,0))*$R163*INDEX(Parameters!$X$7:$AA$7,1,MATCH($E163,Parameters!$X$3:$AA$3,0))),AI163*(1+INDEX(Response_Table!$H$4:$H$21,MATCH($F163&amp;"|high",Response_Table!$A$4:$A$21,0))*$R163*INDEX(Parameters!$X$7:$AA$7,1,MATCH($E163,Parameters!$X$3:$AA$3,0))))*(1+Inputs_General!$C$22*Parameters!$F$7)</f>
        <v>0.286541608289726</v>
      </c>
      <c r="AM163" s="45" t="n">
        <f aca="false">IF(AI163=0,0,AJ163/AI163-1)</f>
        <v>-0.442117635819403</v>
      </c>
      <c r="AN163" s="43" t="n">
        <f aca="false">AI163*$Q163/Inputs_General!$C$13*1000</f>
        <v>5.97691956280819</v>
      </c>
      <c r="AO163" s="43" t="n">
        <f aca="false">AJ163*$Q163/Inputs_General!$C$13*1000*(1+Inputs_General!$C$21*$I163)</f>
        <v>3.65118772775728</v>
      </c>
      <c r="AP163" s="43" t="n">
        <f aca="false">AK163*$Q163/Inputs_General!$C$13*1000*(1+Inputs_General!$C$21*$H163)</f>
        <v>2.21806128915215</v>
      </c>
      <c r="AQ163" s="43" t="n">
        <f aca="false">AL163*$Q163/Inputs_General!$C$13*1000*(1+Inputs_General!$C$21*$J163)</f>
        <v>5.64701914144307</v>
      </c>
      <c r="AR163" s="45" t="n">
        <f aca="false">IF(AN163=0,0,AO163/AN163-1)</f>
        <v>-0.389118811222246</v>
      </c>
      <c r="AS163" s="42" t="n">
        <f aca="false">Parameters!$E$9*IF($N163="V",Parameters!$I$9,IF($N163="F",Parameters!$J$9,Parameters!$K$9))*(1-Parameters!$L$9*$P163)*IF($D163="V1",Parameters!$M$9,IF($D163="V2",Parameters!$N$9,Parameters!$O$9))</f>
        <v>285</v>
      </c>
      <c r="AT163" s="42" t="n">
        <f aca="false">AS163*(1+INDEX(Response_Table!$I$4:$I$21,MATCH($F163&amp;"|mid",Response_Table!$A$4:$A$21,0))*$R163*INDEX(Parameters!$X$9:$AA$9,1,MATCH($E163,Parameters!$X$3:$AA$3,0)))</f>
        <v>351.800133665586</v>
      </c>
      <c r="AU163" s="42" t="n">
        <f aca="false">MAX(0,MIN(AS163*(1+INDEX(Response_Table!$I$4:$I$21,MATCH($F163&amp;"|low",Response_Table!$A$4:$A$21,0))*$R163*INDEX(Parameters!$X$9:$AA$9,1,MATCH($E163,Parameters!$X$3:$AA$3,0))),AS163*(1+INDEX(Response_Table!$I$4:$I$21,MATCH($F163&amp;"|high",Response_Table!$A$4:$A$21,0))*$R163*INDEX(Parameters!$X$9:$AA$9,1,MATCH($E163,Parameters!$X$3:$AA$3,0))))*(1-Inputs_General!$C$22*Parameters!$F$9))</f>
        <v>306.694025735372</v>
      </c>
      <c r="AV163" s="42" t="n">
        <f aca="false">MAX(AS163*(1+INDEX(Response_Table!$I$4:$I$21,MATCH($F163&amp;"|low",Response_Table!$A$4:$A$21,0))*$R163*INDEX(Parameters!$X$9:$AA$9,1,MATCH($E163,Parameters!$X$3:$AA$3,0))),AS163*(1+INDEX(Response_Table!$I$4:$I$21,MATCH($F163&amp;"|high",Response_Table!$A$4:$A$21,0))*$R163*INDEX(Parameters!$X$9:$AA$9,1,MATCH($E163,Parameters!$X$3:$AA$3,0))))*(1+Inputs_General!$C$22*Parameters!$F$9)</f>
        <v>394.355109128328</v>
      </c>
      <c r="AW163" s="45" t="n">
        <f aca="false">IF(AS163=0,0,AT163/AS163-1)</f>
        <v>0.234386433914336</v>
      </c>
      <c r="AX163" s="43" t="n">
        <f aca="false">INDEX(Context!$AB$4:$AB$51,$K163)</f>
        <v>2.52215585742532</v>
      </c>
      <c r="AY163" s="43" t="n">
        <f aca="false">AX163*(1+INDEX(Response_Table!$J$4:$J$21,MATCH($F163&amp;"|mid",Response_Table!$A$4:$A$21,0))*$R163*INDEX(Parameters!$X$10:$AA$10,1,MATCH($E163,Parameters!$X$3:$AA$3,0)))</f>
        <v>1.82612523350952</v>
      </c>
      <c r="AZ163" s="43" t="n">
        <f aca="false">MAX(0,MIN(AX163*(1+INDEX(Response_Table!$J$4:$J$21,MATCH($F163&amp;"|low",Response_Table!$A$4:$A$21,0))*$R163*INDEX(Parameters!$X$10:$AA$10,1,MATCH($E163,Parameters!$X$3:$AA$3,0))),AX163*(1+INDEX(Response_Table!$J$4:$J$21,MATCH($F163&amp;"|high",Response_Table!$A$4:$A$21,0))*$R163*INDEX(Parameters!$X$10:$AA$10,1,MATCH($E163,Parameters!$X$3:$AA$3,0))))*(1-Inputs_General!$C$22*Parameters!$F$10))</f>
        <v>1.37434022412191</v>
      </c>
      <c r="BA163" s="43" t="n">
        <f aca="false">MAX(AX163*(1+INDEX(Response_Table!$J$4:$J$21,MATCH($F163&amp;"|low",Response_Table!$A$4:$A$21,0))*$R163*INDEX(Parameters!$X$10:$AA$10,1,MATCH($E163,Parameters!$X$3:$AA$3,0))),AX163*(1+INDEX(Response_Table!$J$4:$J$21,MATCH($F163&amp;"|high",Response_Table!$A$4:$A$21,0))*$R163*INDEX(Parameters!$X$10:$AA$10,1,MATCH($E163,Parameters!$X$3:$AA$3,0))))*(1+Inputs_General!$C$22*Parameters!$F$10)</f>
        <v>2.37048330587161</v>
      </c>
      <c r="BB163" s="45" t="n">
        <f aca="false">IF(AX163=0,0,AY163/AX163-1)</f>
        <v>-0.275966539445474</v>
      </c>
      <c r="BC163" s="46" t="n">
        <f aca="false">Parameters!$E$11*IF($N163="V",Parameters!$I$11,IF($N163="F",Parameters!$J$11,Parameters!$K$11))*(1-Parameters!$L$11*$P163)*IF($D163="V1",Parameters!$M$11,IF($D163="V2",Parameters!$N$11,Parameters!$O$11))</f>
        <v>1.21745535714286</v>
      </c>
      <c r="BD163" s="46" t="n">
        <f aca="false">BC163*(1+INDEX(Response_Table!$K$4:$K$21,MATCH($F163&amp;"|mid",Response_Table!$A$4:$A$21,0))*$R163*INDEX(Parameters!$X$11:$AA$11,1,MATCH($E163,Parameters!$X$3:$AA$3,0)))</f>
        <v>0.660674969756485</v>
      </c>
      <c r="BE163" s="46" t="n">
        <f aca="false">MAX(0,MIN(BC163*(1+INDEX(Response_Table!$K$4:$K$21,MATCH($F163&amp;"|low",Response_Table!$A$4:$A$21,0))*$R163*INDEX(Parameters!$X$11:$AA$11,1,MATCH($E163,Parameters!$X$3:$AA$3,0))),BC163*(1+INDEX(Response_Table!$K$4:$K$21,MATCH($F163&amp;"|high",Response_Table!$A$4:$A$21,0))*$R163*INDEX(Parameters!$X$11:$AA$11,1,MATCH($E163,Parameters!$X$3:$AA$3,0))))*(1-Inputs_General!$C$22*Parameters!$F$11))</f>
        <v>0.489502216411954</v>
      </c>
      <c r="BF163" s="46" t="n">
        <f aca="false">MAX(BC163*(1+INDEX(Response_Table!$K$4:$K$21,MATCH($F163&amp;"|low",Response_Table!$A$4:$A$21,0))*$R163*INDEX(Parameters!$X$11:$AA$11,1,MATCH($E163,Parameters!$X$3:$AA$3,0))),BC163*(1+INDEX(Response_Table!$K$4:$K$21,MATCH($F163&amp;"|high",Response_Table!$A$4:$A$21,0))*$R163*INDEX(Parameters!$X$11:$AA$11,1,MATCH($E163,Parameters!$X$3:$AA$3,0))))*(1+Inputs_General!$C$22*Parameters!$F$11)</f>
        <v>0.89723069513863</v>
      </c>
      <c r="BG163" s="45" t="n">
        <f aca="false">IF(BC163=0,0,BD163/BC163-1)</f>
        <v>-0.457331255819543</v>
      </c>
      <c r="BH163" s="46" t="n">
        <f aca="false">Parameters!$E$12*IF($N163="V",Parameters!$I$12,IF($N163="F",Parameters!$J$12,Parameters!$K$12))*(1-Parameters!$L$12*$P163)*IF($D163="V1",Parameters!$M$12,IF($D163="V2",Parameters!$N$12,Parameters!$O$12))</f>
        <v>0.438283928571429</v>
      </c>
      <c r="BI163" s="46" t="n">
        <f aca="false">BH163*(1+INDEX(Response_Table!$L$4:$L$21,MATCH($F163&amp;"|mid",Response_Table!$A$4:$A$21,0))*$R163*INDEX(Parameters!$X$12:$AA$12,1,MATCH($E163,Parameters!$X$3:$AA$3,0)))</f>
        <v>0.274322113379579</v>
      </c>
      <c r="BJ163" s="46" t="n">
        <f aca="false">MAX(0,MIN(BH163*(1+INDEX(Response_Table!$L$4:$L$21,MATCH($F163&amp;"|low",Response_Table!$A$4:$A$21,0))*$R163*INDEX(Parameters!$X$12:$AA$12,1,MATCH($E163,Parameters!$X$3:$AA$3,0))),BH163*(1+INDEX(Response_Table!$L$4:$L$21,MATCH($F163&amp;"|high",Response_Table!$A$4:$A$21,0))*$R163*INDEX(Parameters!$X$12:$AA$12,1,MATCH($E163,Parameters!$X$3:$AA$3,0))))*(1-Inputs_General!$C$22*Parameters!$F$12))</f>
        <v>0.201464372217435</v>
      </c>
      <c r="BK163" s="46" t="n">
        <f aca="false">MAX(BH163*(1+INDEX(Response_Table!$L$4:$L$21,MATCH($F163&amp;"|low",Response_Table!$A$4:$A$21,0))*$R163*INDEX(Parameters!$X$12:$AA$12,1,MATCH($E163,Parameters!$X$3:$AA$3,0))),BH163*(1+INDEX(Response_Table!$L$4:$L$21,MATCH($F163&amp;"|high",Response_Table!$A$4:$A$21,0))*$R163*INDEX(Parameters!$X$12:$AA$12,1,MATCH($E163,Parameters!$X$3:$AA$3,0))))*(1+Inputs_General!$C$22*Parameters!$F$12)</f>
        <v>0.368475136850299</v>
      </c>
      <c r="BL163" s="45" t="n">
        <f aca="false">IF(BH163=0,0,BI163/BH163-1)</f>
        <v>-0.374099538001033</v>
      </c>
      <c r="BM163" s="46" t="n">
        <f aca="false">Parameters!$E$13*IF($N163="V",Parameters!$I$13,IF($N163="F",Parameters!$J$13,Parameters!$K$13))*(1-Parameters!$L$13*$P163)*IF($D163="V1",Parameters!$M$13,IF($D163="V2",Parameters!$N$13,Parameters!$O$13))</f>
        <v>0.296094642857143</v>
      </c>
      <c r="BN163" s="46" t="n">
        <f aca="false">BM163*(1+INDEX(Response_Table!$M$4:$M$21,MATCH($F163&amp;"|mid",Response_Table!$A$4:$A$21,0))*$R163*INDEX(Parameters!$X$13:$AA$13,1,MATCH($E163,Parameters!$X$3:$AA$3,0)))</f>
        <v>0.222377568166284</v>
      </c>
      <c r="BO163" s="46" t="n">
        <f aca="false">MAX(0,MIN(BM163*(1+INDEX(Response_Table!$M$4:$M$21,MATCH($F163&amp;"|low",Response_Table!$A$4:$A$21,0))*$R163*INDEX(Parameters!$X$13:$AA$13,1,MATCH($E163,Parameters!$X$3:$AA$3,0))),BM163*(1+INDEX(Response_Table!$M$4:$M$21,MATCH($F163&amp;"|high",Response_Table!$A$4:$A$21,0))*$R163*INDEX(Parameters!$X$13:$AA$13,1,MATCH($E163,Parameters!$X$3:$AA$3,0))))*(1-Inputs_General!$C$22*Parameters!$F$13))</f>
        <v>0.165974008124213</v>
      </c>
      <c r="BP163" s="46" t="n">
        <f aca="false">MAX(BM163*(1+INDEX(Response_Table!$M$4:$M$21,MATCH($F163&amp;"|low",Response_Table!$A$4:$A$21,0))*$R163*INDEX(Parameters!$X$13:$AA$13,1,MATCH($E163,Parameters!$X$3:$AA$3,0))),BM163*(1+INDEX(Response_Table!$M$4:$M$21,MATCH($F163&amp;"|high",Response_Table!$A$4:$A$21,0))*$R163*INDEX(Parameters!$X$13:$AA$13,1,MATCH($E163,Parameters!$X$3:$AA$3,0))))*(1+Inputs_General!$C$22*Parameters!$F$13)</f>
        <v>0.29634732254687</v>
      </c>
      <c r="BQ163" s="45" t="n">
        <f aca="false">IF(BM163=0,0,BN163/BM163-1)</f>
        <v>-0.248964567475896</v>
      </c>
      <c r="BR163" s="44" t="n">
        <f aca="false">Parameters!$E$14*IF($N163="V",Parameters!$I$14,IF($N163="F",Parameters!$J$14,Parameters!$K$14))*(1-Parameters!$L$14*$P163)*IF($D163="V1",Parameters!$M$14,IF($D163="V2",Parameters!$N$14,Parameters!$O$14))*INDEX(Context!$AC$4:$AC$51,$K163)</f>
        <v>15</v>
      </c>
      <c r="BS163" s="44" t="n">
        <f aca="false">BR163*(1+INDEX(Response_Table!$N$4:$N$21,MATCH($F163&amp;"|mid",Response_Table!$A$4:$A$21,0))*$R163*INDEX(Parameters!$X$14:$AA$14,1,MATCH($E163,Parameters!$X$3:$AA$3,0)))</f>
        <v>21.1216288036533</v>
      </c>
      <c r="BT163" s="44" t="n">
        <f aca="false">MAX(0,MIN(BR163*(1+INDEX(Response_Table!$N$4:$N$21,MATCH($F163&amp;"|low",Response_Table!$A$4:$A$21,0))*$R163*INDEX(Parameters!$X$14:$AA$14,1,MATCH($E163,Parameters!$X$3:$AA$3,0))),BR163*(1+INDEX(Response_Table!$N$4:$N$21,MATCH($F163&amp;"|high",Response_Table!$A$4:$A$21,0))*$R163*INDEX(Parameters!$X$14:$AA$14,1,MATCH($E163,Parameters!$X$3:$AA$3,0))))*(1-Inputs_General!$C$22*Parameters!$F$14))</f>
        <v>10.0663561974651</v>
      </c>
      <c r="BU163" s="44" t="n">
        <f aca="false">MAX(BR163*(1+INDEX(Response_Table!$N$4:$N$21,MATCH($F163&amp;"|low",Response_Table!$A$4:$A$21,0))*$R163*INDEX(Parameters!$X$14:$AA$14,1,MATCH($E163,Parameters!$X$3:$AA$3,0))),BR163*(1+INDEX(Response_Table!$N$4:$N$21,MATCH($F163&amp;"|high",Response_Table!$A$4:$A$21,0))*$R163*INDEX(Parameters!$X$14:$AA$14,1,MATCH($E163,Parameters!$X$3:$AA$3,0))))*(1+Inputs_General!$C$22*Parameters!$F$14)</f>
        <v>32.8447959523649</v>
      </c>
      <c r="BV163" s="45" t="n">
        <f aca="false">IF(BR163=0,0,BS163/BR163-1)</f>
        <v>0.408108586910218</v>
      </c>
      <c r="BW163" s="43" t="n">
        <f aca="false">Parameters!$E$15*IF($N163="V",Parameters!$I$15,IF($N163="F",Parameters!$J$15,Parameters!$K$15))*(1-Parameters!$L$15*$P163)*IF($D163="V1",Parameters!$M$15,IF($D163="V2",Parameters!$N$15,Parameters!$O$15))</f>
        <v>10.1292285714286</v>
      </c>
      <c r="BX163" s="43" t="n">
        <f aca="false">BW163*(1+INDEX(Response_Table!$O$4:$O$21,MATCH($F163&amp;"|mid",Response_Table!$A$4:$A$21,0))*$R163*INDEX(Parameters!$X$15:$AA$15,1,MATCH($E163,Parameters!$X$3:$AA$3,0)))</f>
        <v>9.09577228173449</v>
      </c>
      <c r="BY163" s="43" t="n">
        <f aca="false">MAX(0,MIN(BW163*(1+INDEX(Response_Table!$O$4:$O$21,MATCH($F163&amp;"|low",Response_Table!$A$4:$A$21,0))*$R163*INDEX(Parameters!$X$15:$AA$15,1,MATCH($E163,Parameters!$X$3:$AA$3,0))),BW163*(1+INDEX(Response_Table!$O$4:$O$21,MATCH($F163&amp;"|high",Response_Table!$A$4:$A$21,0))*$R163*INDEX(Parameters!$X$15:$AA$15,1,MATCH($E163,Parameters!$X$3:$AA$3,0))))*(1-Inputs_General!$C$22*Parameters!$F$15))</f>
        <v>7.18235884410643</v>
      </c>
      <c r="BZ163" s="43" t="n">
        <f aca="false">MAX(BW163*(1+INDEX(Response_Table!$O$4:$O$21,MATCH($F163&amp;"|low",Response_Table!$A$4:$A$21,0))*$R163*INDEX(Parameters!$X$15:$AA$15,1,MATCH($E163,Parameters!$X$3:$AA$3,0))),BW163*(1+INDEX(Response_Table!$O$4:$O$21,MATCH($F163&amp;"|high",Response_Table!$A$4:$A$21,0))*$R163*INDEX(Parameters!$X$15:$AA$15,1,MATCH($E163,Parameters!$X$3:$AA$3,0))))*(1+Inputs_General!$C$22*Parameters!$F$15)</f>
        <v>11.1434105290651</v>
      </c>
      <c r="CA163" s="45" t="n">
        <f aca="false">IF(BW163=0,0,BX163/BW163-1)</f>
        <v>-0.102027146727554</v>
      </c>
      <c r="CB163" s="46" t="n">
        <f aca="false">BD163+BI163</f>
        <v>0.934997083136064</v>
      </c>
      <c r="CC163" s="43" t="n">
        <f aca="false">BD163/BI163</f>
        <v>2.40839122160855</v>
      </c>
      <c r="CD163" s="46" t="n">
        <f aca="false">BN163/CB163</f>
        <v>0.237837713269019</v>
      </c>
      <c r="CE163" s="43" t="n">
        <f aca="false">AE163/AO163</f>
        <v>1.92825421386612</v>
      </c>
      <c r="CF163" s="44" t="n">
        <f aca="false">AE163/AJ163</f>
        <v>36.9877106495009</v>
      </c>
      <c r="CG163" s="44" t="n">
        <f aca="false">INDEX(Context!$V$4:$V$51,$K163)</f>
        <v>28.62</v>
      </c>
      <c r="CH163" s="44" t="n">
        <f aca="false">INDEX(Context!$Y$4:$Y$51,$K163)</f>
        <v>25.3060134606718</v>
      </c>
      <c r="CI163" s="44" t="n">
        <f aca="false">INDEX(Context!$Z$4:$Z$51,$K163)</f>
        <v>32.62</v>
      </c>
      <c r="CJ163" s="43" t="n">
        <f aca="false">INDEX(Context!$AA$4:$AA$51,$K163)</f>
        <v>0.221696428571429</v>
      </c>
      <c r="CK163" s="43" t="n">
        <f aca="false">MAX(0,MIN(1,1-(1-CJ163)*AO163/AN163))</f>
        <v>0.524548989055743</v>
      </c>
      <c r="CL163" s="44" t="n">
        <f aca="false">CH163+CK163*(CI163-CH163)</f>
        <v>29.1425577058437</v>
      </c>
      <c r="CM163" s="44" t="n">
        <f aca="false">CH163+MAX(0,MIN(1,1-(1-CJ163)*AQ163/AN163))*(CI163-CH163)</f>
        <v>27.2416999336744</v>
      </c>
      <c r="CN163" s="44" t="n">
        <f aca="false">CH163+MAX(0,MIN(1,1-(1-CJ163)*AP163/AN163))*(CI163-CH163)</f>
        <v>30.507487384094</v>
      </c>
      <c r="CO163" s="44" t="n">
        <f aca="false">CL163-CG163</f>
        <v>0.522557705843703</v>
      </c>
      <c r="CP163" s="44" t="n">
        <f aca="false">CL163-(CH163+CJ163*(CI163-CH163))</f>
        <v>2.21505955078337</v>
      </c>
      <c r="CQ163" s="46" t="n">
        <f aca="false">CL163/CG163</f>
        <v>1.01825848028804</v>
      </c>
      <c r="CR163" s="43" t="n">
        <f aca="false">IF(CL163-CH163&lt;=0,"n/a",(CI163-CL163)/(CL163-CH163))</f>
        <v>0.906399632568412</v>
      </c>
      <c r="CS163" s="43" t="n">
        <f aca="false">IF(CI163-CL163&lt;=0,"n/a",(CL163-CH163)/(CI163-CL163))</f>
        <v>1.10326611360858</v>
      </c>
      <c r="CT163" s="43" t="n">
        <f aca="false">Inputs_General!$C$23+Inputs_General!$C$24*$I163</f>
        <v>1.36</v>
      </c>
      <c r="CU163" s="44" t="n">
        <f aca="false">3.29*CT163</f>
        <v>4.4744</v>
      </c>
    </row>
    <row r="164" customFormat="false" ht="15" hidden="false" customHeight="false" outlineLevel="0" collapsed="false">
      <c r="A164" s="9" t="str">
        <f aca="false">B164&amp;"|"&amp;E164&amp;"|"&amp;F164</f>
        <v>D3V1|03/03/2026|Very high</v>
      </c>
      <c r="B164" s="7" t="s">
        <v>349</v>
      </c>
      <c r="C164" s="9" t="s">
        <v>131</v>
      </c>
      <c r="D164" s="9" t="s">
        <v>142</v>
      </c>
      <c r="E164" s="9" t="s">
        <v>162</v>
      </c>
      <c r="F164" s="7" t="s">
        <v>285</v>
      </c>
      <c r="G164" s="9" t="s">
        <v>286</v>
      </c>
      <c r="H164" s="41" t="n">
        <f aca="false">INDEX(Severity_Classes!$C$4:$C$9,MATCH(F164,Severity_Classes!$A$4:$A$9,0))</f>
        <v>0.51</v>
      </c>
      <c r="I164" s="41" t="n">
        <f aca="false">INDEX(Severity_Classes!$D$4:$D$9,MATCH(F164,Severity_Classes!$A$4:$A$9,0))</f>
        <v>0.65</v>
      </c>
      <c r="J164" s="41" t="n">
        <f aca="false">INDEX(Severity_Classes!$E$4:$E$9,MATCH(F164,Severity_Classes!$A$4:$A$9,0))</f>
        <v>0.85</v>
      </c>
      <c r="K164" s="42" t="n">
        <f aca="false">MATCH(B164&amp;"|"&amp;E164,Context!$A$4:$A$51,0)</f>
        <v>27</v>
      </c>
      <c r="L164" s="42" t="n">
        <f aca="false">INDEX(Context!$H$4:$H$51,K164)</f>
        <v>66</v>
      </c>
      <c r="M164" s="42" t="n">
        <f aca="false">INDEX(Context!$I$4:$I$51,K164)</f>
        <v>26</v>
      </c>
      <c r="N164" s="9" t="str">
        <f aca="false">INDEX(Context!$L$4:$L$51,K164)</f>
        <v>F</v>
      </c>
      <c r="O164" s="9" t="str">
        <f aca="false">INDEX(Context!$M$4:$M$51,K164)</f>
        <v>5th fully expanded leaf from top</v>
      </c>
      <c r="P164" s="43" t="n">
        <f aca="false">INDEX(Context!$R$4:$R$51,K164)</f>
        <v>0.433928571428571</v>
      </c>
      <c r="Q164" s="43" t="n">
        <f aca="false">INDEX(Context!$U$4:$U$51,K164)</f>
        <v>1.73951545534029</v>
      </c>
      <c r="R164" s="43" t="n">
        <f aca="false">INDEX(Context!$AD$4:$AD$51,K164)</f>
        <v>1</v>
      </c>
      <c r="S164" s="9" t="str">
        <f aca="false">INDEX(Context!$AI$4:$AN$51,K164,MATCH(F164,Severity_Classes!$A$4:$A$9,0))</f>
        <v>Possible</v>
      </c>
      <c r="T164" s="44" t="n">
        <f aca="false">Parameters!$E$4*IF($N164="V",Parameters!$I$4,IF($N164="F",Parameters!$J$4,Parameters!$K$4))*(1-Parameters!$L$4*$P164)*IF($D164="V1",Parameters!$M$4,IF($D164="V2",Parameters!$N$4,Parameters!$O$4))</f>
        <v>83.2927660714286</v>
      </c>
      <c r="U164" s="44" t="n">
        <f aca="false">MIN(100,T164*(1+INDEX(Response_Table!$E$4:$E$21,MATCH($F164&amp;"|mid",Response_Table!$A$4:$A$21,0))*$R164*INDEX(Parameters!$X$4:$AA$4,1,MATCH($E164,Parameters!$X$3:$AA$3,0))))</f>
        <v>60.303041880188</v>
      </c>
      <c r="V164" s="44" t="n">
        <f aca="false">MAX(0,MIN(T164*(1+INDEX(Response_Table!$E$4:$E$21,MATCH($F164&amp;"|low",Response_Table!$A$4:$A$21,0))*$R164*INDEX(Parameters!$X$4:$AA$4,1,MATCH($E164,Parameters!$X$3:$AA$3,0))),T164*(1+INDEX(Response_Table!$E$4:$E$21,MATCH($F164&amp;"|high",Response_Table!$A$4:$A$21,0))*$R164*INDEX(Parameters!$X$4:$AA$4,1,MATCH($E164,Parameters!$X$3:$AA$3,0))))*(1-Inputs_General!$C$22*Parameters!$F$4))</f>
        <v>54.8441478940175</v>
      </c>
      <c r="W164" s="44" t="n">
        <f aca="false">MIN(100,MAX(T164*(1+INDEX(Response_Table!$E$4:$E$21,MATCH($F164&amp;"|low",Response_Table!$A$4:$A$21,0))*$R164*INDEX(Parameters!$X$4:$AA$4,1,MATCH($E164,Parameters!$X$3:$AA$3,0))),T164*(1+INDEX(Response_Table!$E$4:$E$21,MATCH($F164&amp;"|high",Response_Table!$A$4:$A$21,0))*$R164*INDEX(Parameters!$X$4:$AA$4,1,MATCH($E164,Parameters!$X$3:$AA$3,0))))*(1+Inputs_General!$C$22*Parameters!$F$4))</f>
        <v>67.997707548122</v>
      </c>
      <c r="X164" s="45" t="n">
        <f aca="false">IF(T164=0,0,U164/T164-1)</f>
        <v>-0.276011054447699</v>
      </c>
      <c r="Y164" s="44" t="n">
        <f aca="false">Parameters!$E$5*IF($N164="V",Parameters!$I$5,IF($N164="F",Parameters!$J$5,Parameters!$K$5))*(1-Parameters!$L$5*$P164)*IF($D164="V1",Parameters!$M$5,IF($D164="V2",Parameters!$N$5,Parameters!$O$5))</f>
        <v>66.88584</v>
      </c>
      <c r="Z164" s="44" t="n">
        <f aca="false">MIN(100,Y164*(1+INDEX(Response_Table!$F$4:$F$21,MATCH($F164&amp;"|mid",Response_Table!$A$4:$A$21,0))*$R164*INDEX(Parameters!$X$5:$AA$5,1,MATCH($E164,Parameters!$X$3:$AA$3,0))))</f>
        <v>21.2640740923591</v>
      </c>
      <c r="AA164" s="44" t="n">
        <f aca="false">MAX(0,MIN(Y164*(1+INDEX(Response_Table!$F$4:$F$21,MATCH($F164&amp;"|low",Response_Table!$A$4:$A$21,0))*$R164*INDEX(Parameters!$X$5:$AA$5,1,MATCH($E164,Parameters!$X$3:$AA$3,0))),Y164*(1+INDEX(Response_Table!$F$4:$F$21,MATCH($F164&amp;"|high",Response_Table!$A$4:$A$21,0))*$R164*INDEX(Parameters!$X$5:$AA$5,1,MATCH($E164,Parameters!$X$3:$AA$3,0))))*(1-Inputs_General!$C$22*Parameters!$F$5))</f>
        <v>17.9017389022877</v>
      </c>
      <c r="AB164" s="44" t="n">
        <f aca="false">MIN(100,MAX(Y164*(1+INDEX(Response_Table!$F$4:$F$21,MATCH($F164&amp;"|low",Response_Table!$A$4:$A$21,0))*$R164*INDEX(Parameters!$X$5:$AA$5,1,MATCH($E164,Parameters!$X$3:$AA$3,0))),Y164*(1+INDEX(Response_Table!$F$4:$F$21,MATCH($F164&amp;"|high",Response_Table!$A$4:$A$21,0))*$R164*INDEX(Parameters!$X$5:$AA$5,1,MATCH($E164,Parameters!$X$3:$AA$3,0))))*(1+Inputs_General!$C$22*Parameters!$F$5))</f>
        <v>27.4232961947742</v>
      </c>
      <c r="AC164" s="45" t="n">
        <f aca="false">IF(Y164=0,0,Z164/Y164-1)</f>
        <v>-0.682084069029274</v>
      </c>
      <c r="AD164" s="44" t="n">
        <f aca="false">Parameters!$E$6*IF($N164="V",Parameters!$I$6,IF($N164="F",Parameters!$J$6,Parameters!$K$6))*(1-Parameters!$L$6*$P164)*IF($D164="V1",Parameters!$M$6,IF($D164="V2",Parameters!$N$6,Parameters!$O$6))</f>
        <v>18.0106428571429</v>
      </c>
      <c r="AE164" s="44" t="n">
        <f aca="false">AD164*(1+INDEX(Response_Table!$G$4:$G$21,MATCH($F164&amp;"|mid",Response_Table!$A$4:$A$21,0))*$R164*INDEX(Parameters!$X$6:$AA$6,1,MATCH($E164,Parameters!$X$3:$AA$3,0)))</f>
        <v>5.27624610529522</v>
      </c>
      <c r="AF164" s="44" t="n">
        <f aca="false">MAX(0,MIN(AD164*(1+INDEX(Response_Table!$G$4:$G$21,MATCH($F164&amp;"|low",Response_Table!$A$4:$A$21,0))*$R164*INDEX(Parameters!$X$6:$AA$6,1,MATCH($E164,Parameters!$X$3:$AA$3,0))),AD164*(1+INDEX(Response_Table!$G$4:$G$21,MATCH($F164&amp;"|high",Response_Table!$A$4:$A$21,0))*$R164*INDEX(Parameters!$X$6:$AA$6,1,MATCH($E164,Parameters!$X$3:$AA$3,0))))*(1-Inputs_General!$C$22*Parameters!$F$6))</f>
        <v>3.8713657520219</v>
      </c>
      <c r="AG164" s="44" t="n">
        <f aca="false">MAX(AD164*(1+INDEX(Response_Table!$G$4:$G$21,MATCH($F164&amp;"|low",Response_Table!$A$4:$A$21,0))*$R164*INDEX(Parameters!$X$6:$AA$6,1,MATCH($E164,Parameters!$X$3:$AA$3,0))),AD164*(1+INDEX(Response_Table!$G$4:$G$21,MATCH($F164&amp;"|high",Response_Table!$A$4:$A$21,0))*$R164*INDEX(Parameters!$X$6:$AA$6,1,MATCH($E164,Parameters!$X$3:$AA$3,0))))*(1+Inputs_General!$C$22*Parameters!$F$6)</f>
        <v>7.1065206502864</v>
      </c>
      <c r="AH164" s="45" t="n">
        <f aca="false">IF(AD164=0,0,AE164/AD164-1)</f>
        <v>-0.707048429800899</v>
      </c>
      <c r="AI164" s="46" t="n">
        <f aca="false">Parameters!$E$7*IF($N164="V",Parameters!$I$7,IF($N164="F",Parameters!$J$7,Parameters!$K$7))*(1-Parameters!$L$7*$P164)*IF($D164="V1",Parameters!$M$7,IF($D164="V2",Parameters!$N$7,Parameters!$O$7))*POWER($Q164/Inputs_General!$C$26,-Inputs_General!$C$25)</f>
        <v>0.341191629407368</v>
      </c>
      <c r="AJ164" s="46" t="n">
        <f aca="false">AI164*(1+INDEX(Response_Table!$H$4:$H$21,MATCH($F164&amp;"|mid",Response_Table!$A$4:$A$21,0))*$R164*INDEX(Parameters!$X$7:$AA$7,1,MATCH($E164,Parameters!$X$3:$AA$3,0)))</f>
        <v>0.150969839792144</v>
      </c>
      <c r="AK164" s="46" t="n">
        <f aca="false">MAX(0,MIN(AI164*(1+INDEX(Response_Table!$H$4:$H$21,MATCH($F164&amp;"|low",Response_Table!$A$4:$A$21,0))*$R164*INDEX(Parameters!$X$7:$AA$7,1,MATCH($E164,Parameters!$X$3:$AA$3,0))),AI164*(1+INDEX(Response_Table!$H$4:$H$21,MATCH($F164&amp;"|high",Response_Table!$A$4:$A$21,0))*$R164*INDEX(Parameters!$X$7:$AA$7,1,MATCH($E164,Parameters!$X$3:$AA$3,0))))*(1-Inputs_General!$C$22*Parameters!$F$7))</f>
        <v>0.0962467791710981</v>
      </c>
      <c r="AL164" s="46" t="n">
        <f aca="false">MAX(AI164*(1+INDEX(Response_Table!$H$4:$H$21,MATCH($F164&amp;"|low",Response_Table!$A$4:$A$21,0))*$R164*INDEX(Parameters!$X$7:$AA$7,1,MATCH($E164,Parameters!$X$3:$AA$3,0))),AI164*(1+INDEX(Response_Table!$H$4:$H$21,MATCH($F164&amp;"|high",Response_Table!$A$4:$A$21,0))*$R164*INDEX(Parameters!$X$7:$AA$7,1,MATCH($E164,Parameters!$X$3:$AA$3,0))))*(1+Inputs_General!$C$22*Parameters!$F$7)</f>
        <v>0.217017911404944</v>
      </c>
      <c r="AM164" s="45" t="n">
        <f aca="false">IF(AI164=0,0,AJ164/AI164-1)</f>
        <v>-0.557521853468766</v>
      </c>
      <c r="AN164" s="43" t="n">
        <f aca="false">AI164*$Q164/Inputs_General!$C$13*1000</f>
        <v>5.97691956280819</v>
      </c>
      <c r="AO164" s="43" t="n">
        <f aca="false">AJ164*$Q164/Inputs_General!$C$13*1000*(1+Inputs_General!$C$21*$I164)</f>
        <v>3.07441293726176</v>
      </c>
      <c r="AP164" s="43" t="n">
        <f aca="false">AK164*$Q164/Inputs_General!$C$13*1000*(1+Inputs_General!$C$21*$H164)</f>
        <v>1.90099860807092</v>
      </c>
      <c r="AQ164" s="43" t="n">
        <f aca="false">AL164*$Q164/Inputs_General!$C$13*1000*(1+Inputs_General!$C$21*$J164)</f>
        <v>4.60952707257469</v>
      </c>
      <c r="AR164" s="45" t="n">
        <f aca="false">IF(AN164=0,0,AO164/AN164-1)</f>
        <v>-0.485619154657441</v>
      </c>
      <c r="AS164" s="42" t="n">
        <f aca="false">Parameters!$E$9*IF($N164="V",Parameters!$I$9,IF($N164="F",Parameters!$J$9,Parameters!$K$9))*(1-Parameters!$L$9*$P164)*IF($D164="V1",Parameters!$M$9,IF($D164="V2",Parameters!$N$9,Parameters!$O$9))</f>
        <v>285</v>
      </c>
      <c r="AT164" s="42" t="n">
        <f aca="false">AS164*(1+INDEX(Response_Table!$I$4:$I$21,MATCH($F164&amp;"|mid",Response_Table!$A$4:$A$21,0))*$R164*INDEX(Parameters!$X$9:$AA$9,1,MATCH($E164,Parameters!$X$3:$AA$3,0)))</f>
        <v>364.149609062674</v>
      </c>
      <c r="AU164" s="42" t="n">
        <f aca="false">MAX(0,MIN(AS164*(1+INDEX(Response_Table!$I$4:$I$21,MATCH($F164&amp;"|low",Response_Table!$A$4:$A$21,0))*$R164*INDEX(Parameters!$X$9:$AA$9,1,MATCH($E164,Parameters!$X$3:$AA$3,0))),AS164*(1+INDEX(Response_Table!$I$4:$I$21,MATCH($F164&amp;"|high",Response_Table!$A$4:$A$21,0))*$R164*INDEX(Parameters!$X$9:$AA$9,1,MATCH($E164,Parameters!$X$3:$AA$3,0))))*(1-Inputs_General!$C$22*Parameters!$F$9))</f>
        <v>323.911488006691</v>
      </c>
      <c r="AV164" s="42" t="n">
        <f aca="false">MAX(AS164*(1+INDEX(Response_Table!$I$4:$I$21,MATCH($F164&amp;"|low",Response_Table!$A$4:$A$21,0))*$R164*INDEX(Parameters!$X$9:$AA$9,1,MATCH($E164,Parameters!$X$3:$AA$3,0))),AS164*(1+INDEX(Response_Table!$I$4:$I$21,MATCH($F164&amp;"|high",Response_Table!$A$4:$A$21,0))*$R164*INDEX(Parameters!$X$9:$AA$9,1,MATCH($E164,Parameters!$X$3:$AA$3,0))))*(1+Inputs_General!$C$22*Parameters!$F$9)</f>
        <v>403.933303399187</v>
      </c>
      <c r="AW164" s="45" t="n">
        <f aca="false">IF(AS164=0,0,AT164/AS164-1)</f>
        <v>0.2777179265357</v>
      </c>
      <c r="AX164" s="43" t="n">
        <f aca="false">INDEX(Context!$AB$4:$AB$51,$K164)</f>
        <v>2.52215585742532</v>
      </c>
      <c r="AY164" s="43" t="n">
        <f aca="false">AX164*(1+INDEX(Response_Table!$J$4:$J$21,MATCH($F164&amp;"|mid",Response_Table!$A$4:$A$21,0))*$R164*INDEX(Parameters!$X$10:$AA$10,1,MATCH($E164,Parameters!$X$3:$AA$3,0)))</f>
        <v>1.61067459233919</v>
      </c>
      <c r="AZ164" s="43" t="n">
        <f aca="false">MAX(0,MIN(AX164*(1+INDEX(Response_Table!$J$4:$J$21,MATCH($F164&amp;"|low",Response_Table!$A$4:$A$21,0))*$R164*INDEX(Parameters!$X$10:$AA$10,1,MATCH($E164,Parameters!$X$3:$AA$3,0))),AX164*(1+INDEX(Response_Table!$J$4:$J$21,MATCH($F164&amp;"|high",Response_Table!$A$4:$A$21,0))*$R164*INDEX(Parameters!$X$10:$AA$10,1,MATCH($E164,Parameters!$X$3:$AA$3,0))))*(1-Inputs_General!$C$22*Parameters!$F$10))</f>
        <v>1.22214997933312</v>
      </c>
      <c r="BA164" s="43" t="n">
        <f aca="false">MAX(AX164*(1+INDEX(Response_Table!$J$4:$J$21,MATCH($F164&amp;"|low",Response_Table!$A$4:$A$21,0))*$R164*INDEX(Parameters!$X$10:$AA$10,1,MATCH($E164,Parameters!$X$3:$AA$3,0))),AX164*(1+INDEX(Response_Table!$J$4:$J$21,MATCH($F164&amp;"|high",Response_Table!$A$4:$A$21,0))*$R164*INDEX(Parameters!$X$10:$AA$10,1,MATCH($E164,Parameters!$X$3:$AA$3,0))))*(1+Inputs_General!$C$22*Parameters!$F$10)</f>
        <v>2.04076656868695</v>
      </c>
      <c r="BB164" s="45" t="n">
        <f aca="false">IF(AX164=0,0,AY164/AX164-1)</f>
        <v>-0.361389746158113</v>
      </c>
      <c r="BC164" s="46" t="n">
        <f aca="false">Parameters!$E$11*IF($N164="V",Parameters!$I$11,IF($N164="F",Parameters!$J$11,Parameters!$K$11))*(1-Parameters!$L$11*$P164)*IF($D164="V1",Parameters!$M$11,IF($D164="V2",Parameters!$N$11,Parameters!$O$11))</f>
        <v>1.21745535714286</v>
      </c>
      <c r="BD164" s="46" t="n">
        <f aca="false">BC164*(1+INDEX(Response_Table!$K$4:$K$21,MATCH($F164&amp;"|mid",Response_Table!$A$4:$A$21,0))*$R164*INDEX(Parameters!$X$11:$AA$11,1,MATCH($E164,Parameters!$X$3:$AA$3,0)))</f>
        <v>0.524972396471603</v>
      </c>
      <c r="BE164" s="46" t="n">
        <f aca="false">MAX(0,MIN(BC164*(1+INDEX(Response_Table!$K$4:$K$21,MATCH($F164&amp;"|low",Response_Table!$A$4:$A$21,0))*$R164*INDEX(Parameters!$X$11:$AA$11,1,MATCH($E164,Parameters!$X$3:$AA$3,0))),BC164*(1+INDEX(Response_Table!$K$4:$K$21,MATCH($F164&amp;"|high",Response_Table!$A$4:$A$21,0))*$R164*INDEX(Parameters!$X$11:$AA$11,1,MATCH($E164,Parameters!$X$3:$AA$3,0))))*(1-Inputs_General!$C$22*Parameters!$F$11))</f>
        <v>0.399568765744004</v>
      </c>
      <c r="BF164" s="46" t="n">
        <f aca="false">MAX(BC164*(1+INDEX(Response_Table!$K$4:$K$21,MATCH($F164&amp;"|low",Response_Table!$A$4:$A$21,0))*$R164*INDEX(Parameters!$X$11:$AA$11,1,MATCH($E164,Parameters!$X$3:$AA$3,0))),BC164*(1+INDEX(Response_Table!$K$4:$K$21,MATCH($F164&amp;"|high",Response_Table!$A$4:$A$21,0))*$R164*INDEX(Parameters!$X$11:$AA$11,1,MATCH($E164,Parameters!$X$3:$AA$3,0))))*(1+Inputs_General!$C$22*Parameters!$F$11)</f>
        <v>0.676397111709514</v>
      </c>
      <c r="BG164" s="45" t="n">
        <f aca="false">IF(BC164=0,0,BD164/BC164-1)</f>
        <v>-0.568795362070921</v>
      </c>
      <c r="BH164" s="46" t="n">
        <f aca="false">Parameters!$E$12*IF($N164="V",Parameters!$I$12,IF($N164="F",Parameters!$J$12,Parameters!$K$12))*(1-Parameters!$L$12*$P164)*IF($D164="V1",Parameters!$M$12,IF($D164="V2",Parameters!$N$12,Parameters!$O$12))</f>
        <v>0.438283928571429</v>
      </c>
      <c r="BI164" s="46" t="n">
        <f aca="false">BH164*(1+INDEX(Response_Table!$L$4:$L$21,MATCH($F164&amp;"|mid",Response_Table!$A$4:$A$21,0))*$R164*INDEX(Parameters!$X$12:$AA$12,1,MATCH($E164,Parameters!$X$3:$AA$3,0)))</f>
        <v>0.231523809322977</v>
      </c>
      <c r="BJ164" s="46" t="n">
        <f aca="false">MAX(0,MIN(BH164*(1+INDEX(Response_Table!$L$4:$L$21,MATCH($F164&amp;"|low",Response_Table!$A$4:$A$21,0))*$R164*INDEX(Parameters!$X$12:$AA$12,1,MATCH($E164,Parameters!$X$3:$AA$3,0))),BH164*(1+INDEX(Response_Table!$L$4:$L$21,MATCH($F164&amp;"|high",Response_Table!$A$4:$A$21,0))*$R164*INDEX(Parameters!$X$12:$AA$12,1,MATCH($E164,Parameters!$X$3:$AA$3,0))))*(1-Inputs_General!$C$22*Parameters!$F$12))</f>
        <v>0.173401597158107</v>
      </c>
      <c r="BK164" s="46" t="n">
        <f aca="false">MAX(BH164*(1+INDEX(Response_Table!$L$4:$L$21,MATCH($F164&amp;"|low",Response_Table!$A$4:$A$21,0))*$R164*INDEX(Parameters!$X$12:$AA$12,1,MATCH($E164,Parameters!$X$3:$AA$3,0))),BH164*(1+INDEX(Response_Table!$L$4:$L$21,MATCH($F164&amp;"|high",Response_Table!$A$4:$A$21,0))*$R164*INDEX(Parameters!$X$12:$AA$12,1,MATCH($E164,Parameters!$X$3:$AA$3,0))))*(1+Inputs_General!$C$22*Parameters!$F$12)</f>
        <v>0.298661524310012</v>
      </c>
      <c r="BL164" s="45" t="n">
        <f aca="false">IF(BH164=0,0,BI164/BH164-1)</f>
        <v>-0.471749260627418</v>
      </c>
      <c r="BM164" s="46" t="n">
        <f aca="false">Parameters!$E$13*IF($N164="V",Parameters!$I$13,IF($N164="F",Parameters!$J$13,Parameters!$K$13))*(1-Parameters!$L$13*$P164)*IF($D164="V1",Parameters!$M$13,IF($D164="V2",Parameters!$N$13,Parameters!$O$13))</f>
        <v>0.296094642857143</v>
      </c>
      <c r="BN164" s="46" t="n">
        <f aca="false">BM164*(1+INDEX(Response_Table!$M$4:$M$21,MATCH($F164&amp;"|mid",Response_Table!$A$4:$A$21,0))*$R164*INDEX(Parameters!$X$13:$AA$13,1,MATCH($E164,Parameters!$X$3:$AA$3,0)))</f>
        <v>0.195293968114164</v>
      </c>
      <c r="BO164" s="46" t="n">
        <f aca="false">MAX(0,MIN(BM164*(1+INDEX(Response_Table!$M$4:$M$21,MATCH($F164&amp;"|low",Response_Table!$A$4:$A$21,0))*$R164*INDEX(Parameters!$X$13:$AA$13,1,MATCH($E164,Parameters!$X$3:$AA$3,0))),BM164*(1+INDEX(Response_Table!$M$4:$M$21,MATCH($F164&amp;"|high",Response_Table!$A$4:$A$21,0))*$R164*INDEX(Parameters!$X$13:$AA$13,1,MATCH($E164,Parameters!$X$3:$AA$3,0))))*(1-Inputs_General!$C$22*Parameters!$F$13))</f>
        <v>0.150121363060779</v>
      </c>
      <c r="BP164" s="46" t="n">
        <f aca="false">MAX(BM164*(1+INDEX(Response_Table!$M$4:$M$21,MATCH($F164&amp;"|low",Response_Table!$A$4:$A$21,0))*$R164*INDEX(Parameters!$X$13:$AA$13,1,MATCH($E164,Parameters!$X$3:$AA$3,0))),BM164*(1+INDEX(Response_Table!$M$4:$M$21,MATCH($F164&amp;"|high",Response_Table!$A$4:$A$21,0))*$R164*INDEX(Parameters!$X$13:$AA$13,1,MATCH($E164,Parameters!$X$3:$AA$3,0))))*(1+Inputs_General!$C$22*Parameters!$F$13)</f>
        <v>0.246431406498249</v>
      </c>
      <c r="BQ164" s="45" t="n">
        <f aca="false">IF(BM164=0,0,BN164/BM164-1)</f>
        <v>-0.340433969930393</v>
      </c>
      <c r="BR164" s="44" t="n">
        <f aca="false">Parameters!$E$14*IF($N164="V",Parameters!$I$14,IF($N164="F",Parameters!$J$14,Parameters!$K$14))*(1-Parameters!$L$14*$P164)*IF($D164="V1",Parameters!$M$14,IF($D164="V2",Parameters!$N$14,Parameters!$O$14))*INDEX(Context!$AC$4:$AC$51,$K164)</f>
        <v>15</v>
      </c>
      <c r="BS164" s="44" t="n">
        <f aca="false">BR164*(1+INDEX(Response_Table!$N$4:$N$21,MATCH($F164&amp;"|mid",Response_Table!$A$4:$A$21,0))*$R164*INDEX(Parameters!$X$14:$AA$14,1,MATCH($E164,Parameters!$X$3:$AA$3,0)))</f>
        <v>22.7195333557214</v>
      </c>
      <c r="BT164" s="44" t="n">
        <f aca="false">MAX(0,MIN(BR164*(1+INDEX(Response_Table!$N$4:$N$21,MATCH($F164&amp;"|low",Response_Table!$A$4:$A$21,0))*$R164*INDEX(Parameters!$X$14:$AA$14,1,MATCH($E164,Parameters!$X$3:$AA$3,0))),BR164*(1+INDEX(Response_Table!$N$4:$N$21,MATCH($F164&amp;"|high",Response_Table!$A$4:$A$21,0))*$R164*INDEX(Parameters!$X$14:$AA$14,1,MATCH($E164,Parameters!$X$3:$AA$3,0))))*(1-Inputs_General!$C$22*Parameters!$F$14))</f>
        <v>11.16892216054</v>
      </c>
      <c r="BU164" s="44" t="n">
        <f aca="false">MAX(BR164*(1+INDEX(Response_Table!$N$4:$N$21,MATCH($F164&amp;"|low",Response_Table!$A$4:$A$21,0))*$R164*INDEX(Parameters!$X$14:$AA$14,1,MATCH($E164,Parameters!$X$3:$AA$3,0))),BR164*(1+INDEX(Response_Table!$N$4:$N$21,MATCH($F164&amp;"|high",Response_Table!$A$4:$A$21,0))*$R164*INDEX(Parameters!$X$14:$AA$14,1,MATCH($E164,Parameters!$X$3:$AA$3,0))))*(1+Inputs_General!$C$22*Parameters!$F$14)</f>
        <v>34.7944652864455</v>
      </c>
      <c r="BV164" s="45" t="n">
        <f aca="false">IF(BR164=0,0,BS164/BR164-1)</f>
        <v>0.514635557048092</v>
      </c>
      <c r="BW164" s="43" t="n">
        <f aca="false">Parameters!$E$15*IF($N164="V",Parameters!$I$15,IF($N164="F",Parameters!$J$15,Parameters!$K$15))*(1-Parameters!$L$15*$P164)*IF($D164="V1",Parameters!$M$15,IF($D164="V2",Parameters!$N$15,Parameters!$O$15))</f>
        <v>10.1292285714286</v>
      </c>
      <c r="BX164" s="43" t="n">
        <f aca="false">BW164*(1+INDEX(Response_Table!$O$4:$O$21,MATCH($F164&amp;"|mid",Response_Table!$A$4:$A$21,0))*$R164*INDEX(Parameters!$X$15:$AA$15,1,MATCH($E164,Parameters!$X$3:$AA$3,0)))</f>
        <v>8.82601327434743</v>
      </c>
      <c r="BY164" s="43" t="n">
        <f aca="false">MAX(0,MIN(BW164*(1+INDEX(Response_Table!$O$4:$O$21,MATCH($F164&amp;"|low",Response_Table!$A$4:$A$21,0))*$R164*INDEX(Parameters!$X$15:$AA$15,1,MATCH($E164,Parameters!$X$3:$AA$3,0))),BW164*(1+INDEX(Response_Table!$O$4:$O$21,MATCH($F164&amp;"|high",Response_Table!$A$4:$A$21,0))*$R164*INDEX(Parameters!$X$15:$AA$15,1,MATCH($E164,Parameters!$X$3:$AA$3,0))))*(1-Inputs_General!$C$22*Parameters!$F$15))</f>
        <v>7.00547832252037</v>
      </c>
      <c r="BZ164" s="43" t="n">
        <f aca="false">MAX(BW164*(1+INDEX(Response_Table!$O$4:$O$21,MATCH($F164&amp;"|low",Response_Table!$A$4:$A$21,0))*$R164*INDEX(Parameters!$X$15:$AA$15,1,MATCH($E164,Parameters!$X$3:$AA$3,0))),BW164*(1+INDEX(Response_Table!$O$4:$O$21,MATCH($F164&amp;"|high",Response_Table!$A$4:$A$21,0))*$R164*INDEX(Parameters!$X$15:$AA$15,1,MATCH($E164,Parameters!$X$3:$AA$3,0))))*(1+Inputs_General!$C$22*Parameters!$F$15)</f>
        <v>10.7033732136596</v>
      </c>
      <c r="CA164" s="45" t="n">
        <f aca="false">IF(BW164=0,0,BX164/BW164-1)</f>
        <v>-0.128658889262023</v>
      </c>
      <c r="CB164" s="46" t="n">
        <f aca="false">BD164+BI164</f>
        <v>0.75649620579458</v>
      </c>
      <c r="CC164" s="43" t="n">
        <f aca="false">BD164/BI164</f>
        <v>2.26746613234608</v>
      </c>
      <c r="CD164" s="46" t="n">
        <f aca="false">BN164/CB164</f>
        <v>0.25815591224154</v>
      </c>
      <c r="CE164" s="43" t="n">
        <f aca="false">AE164/AO164</f>
        <v>1.71618003598259</v>
      </c>
      <c r="CF164" s="44" t="n">
        <f aca="false">AE164/AJ164</f>
        <v>34.9490077790344</v>
      </c>
      <c r="CG164" s="44" t="n">
        <f aca="false">INDEX(Context!$V$4:$V$51,$K164)</f>
        <v>28.62</v>
      </c>
      <c r="CH164" s="44" t="n">
        <f aca="false">INDEX(Context!$Y$4:$Y$51,$K164)</f>
        <v>25.3060134606718</v>
      </c>
      <c r="CI164" s="44" t="n">
        <f aca="false">INDEX(Context!$Z$4:$Z$51,$K164)</f>
        <v>32.62</v>
      </c>
      <c r="CJ164" s="43" t="n">
        <f aca="false">INDEX(Context!$AA$4:$AA$51,$K164)</f>
        <v>0.221696428571429</v>
      </c>
      <c r="CK164" s="43" t="n">
        <f aca="false">MAX(0,MIN(1,1-(1-CJ164)*AO164/AN164))</f>
        <v>0.599655550995438</v>
      </c>
      <c r="CL164" s="44" t="n">
        <f aca="false">CH164+CK164*(CI164-CH164)</f>
        <v>29.6918860888859</v>
      </c>
      <c r="CM164" s="44" t="n">
        <f aca="false">CH164+MAX(0,MIN(1,1-(1-CJ164)*AQ164/AN164))*(CI164-CH164)</f>
        <v>28.2298219008652</v>
      </c>
      <c r="CN164" s="44" t="n">
        <f aca="false">CH164+MAX(0,MIN(1,1-(1-CJ164)*AP164/AN164))*(CI164-CH164)</f>
        <v>30.8094623191838</v>
      </c>
      <c r="CO164" s="44" t="n">
        <f aca="false">CL164-CG164</f>
        <v>1.07188608888586</v>
      </c>
      <c r="CP164" s="44" t="n">
        <f aca="false">CL164-(CH164+CJ164*(CI164-CH164))</f>
        <v>2.76438793382552</v>
      </c>
      <c r="CQ164" s="46" t="n">
        <f aca="false">CL164/CG164</f>
        <v>1.03745234412599</v>
      </c>
      <c r="CR164" s="43" t="n">
        <f aca="false">IF(CL164-CH164&lt;=0,"n/a",(CI164-CL164)/(CL164-CH164))</f>
        <v>0.667624019055578</v>
      </c>
      <c r="CS164" s="43" t="n">
        <f aca="false">IF(CI164-CL164&lt;=0,"n/a",(CL164-CH164)/(CI164-CL164))</f>
        <v>1.49784904595644</v>
      </c>
      <c r="CT164" s="43" t="n">
        <f aca="false">Inputs_General!$C$23+Inputs_General!$C$24*$I164</f>
        <v>1.9</v>
      </c>
      <c r="CU164" s="44" t="n">
        <f aca="false">3.29*CT164</f>
        <v>6.251</v>
      </c>
    </row>
    <row r="165" customFormat="false" ht="15" hidden="false" customHeight="false" outlineLevel="0" collapsed="false">
      <c r="A165" s="33" t="str">
        <f aca="false">B165&amp;"|"&amp;E165&amp;"|"&amp;F165</f>
        <v>D3V1|13/03/2026|Healthy</v>
      </c>
      <c r="B165" s="34" t="s">
        <v>349</v>
      </c>
      <c r="C165" s="33" t="s">
        <v>131</v>
      </c>
      <c r="D165" s="33" t="s">
        <v>142</v>
      </c>
      <c r="E165" s="33" t="s">
        <v>164</v>
      </c>
      <c r="F165" s="34" t="s">
        <v>275</v>
      </c>
      <c r="G165" s="33" t="s">
        <v>276</v>
      </c>
      <c r="H165" s="35" t="n">
        <f aca="false">INDEX(Severity_Classes!$C$4:$C$9,MATCH(F165,Severity_Classes!$A$4:$A$9,0))</f>
        <v>0</v>
      </c>
      <c r="I165" s="35" t="n">
        <f aca="false">INDEX(Severity_Classes!$D$4:$D$9,MATCH(F165,Severity_Classes!$A$4:$A$9,0))</f>
        <v>0</v>
      </c>
      <c r="J165" s="35" t="n">
        <f aca="false">INDEX(Severity_Classes!$E$4:$E$9,MATCH(F165,Severity_Classes!$A$4:$A$9,0))</f>
        <v>0</v>
      </c>
      <c r="K165" s="36" t="n">
        <f aca="false">MATCH(B165&amp;"|"&amp;E165,Context!$A$4:$A$51,0)</f>
        <v>28</v>
      </c>
      <c r="L165" s="36" t="n">
        <f aca="false">INDEX(Context!$H$4:$H$51,K165)</f>
        <v>76</v>
      </c>
      <c r="M165" s="36" t="n">
        <f aca="false">INDEX(Context!$I$4:$I$51,K165)</f>
        <v>36</v>
      </c>
      <c r="N165" s="33" t="str">
        <f aca="false">INDEX(Context!$L$4:$L$51,K165)</f>
        <v>P</v>
      </c>
      <c r="O165" s="33" t="str">
        <f aca="false">INDEX(Context!$M$4:$M$51,K165)</f>
        <v>5th fully expanded leaf from top</v>
      </c>
      <c r="P165" s="37" t="n">
        <f aca="false">INDEX(Context!$R$4:$R$51,K165)</f>
        <v>0.953571428571428</v>
      </c>
      <c r="Q165" s="37" t="n">
        <f aca="false">INDEX(Context!$U$4:$U$51,K165)</f>
        <v>2.18945736698217</v>
      </c>
      <c r="R165" s="37" t="n">
        <f aca="false">INDEX(Context!$AD$4:$AD$51,K165)</f>
        <v>1</v>
      </c>
      <c r="S165" s="33" t="str">
        <f aca="false">INDEX(Context!$AI$4:$AN$51,K165,MATCH(F165,Severity_Classes!$A$4:$A$9,0))</f>
        <v>Reference: healthy (uninoculated) control plot</v>
      </c>
      <c r="T165" s="38" t="n">
        <f aca="false">Parameters!$E$4*IF($N165="V",Parameters!$I$4,IF($N165="F",Parameters!$J$4,Parameters!$K$4))*(1-Parameters!$L$4*$P165)*IF($D165="V1",Parameters!$M$4,IF($D165="V2",Parameters!$N$4,Parameters!$O$4))</f>
        <v>77.8046607142857</v>
      </c>
      <c r="U165" s="38" t="n">
        <f aca="false">MIN(100,T165*(1+INDEX(Response_Table!$E$4:$E$21,MATCH($F165&amp;"|mid",Response_Table!$A$4:$A$21,0))*$R165*INDEX(Parameters!$X$4:$AA$4,1,MATCH($E165,Parameters!$X$3:$AA$3,0))))</f>
        <v>77.8046607142857</v>
      </c>
      <c r="V165" s="38" t="n">
        <f aca="false">MAX(0,MIN(T165*(1+INDEX(Response_Table!$E$4:$E$21,MATCH($F165&amp;"|low",Response_Table!$A$4:$A$21,0))*$R165*INDEX(Parameters!$X$4:$AA$4,1,MATCH($E165,Parameters!$X$3:$AA$3,0))),T165*(1+INDEX(Response_Table!$E$4:$E$21,MATCH($F165&amp;"|high",Response_Table!$A$4:$A$21,0))*$R165*INDEX(Parameters!$X$4:$AA$4,1,MATCH($E165,Parameters!$X$3:$AA$3,0))))*(1-Inputs_General!$C$22*Parameters!$F$4))</f>
        <v>72.6851140392857</v>
      </c>
      <c r="W165" s="38" t="n">
        <f aca="false">MIN(100,MAX(T165*(1+INDEX(Response_Table!$E$4:$E$21,MATCH($F165&amp;"|low",Response_Table!$A$4:$A$21,0))*$R165*INDEX(Parameters!$X$4:$AA$4,1,MATCH($E165,Parameters!$X$3:$AA$3,0))),T165*(1+INDEX(Response_Table!$E$4:$E$21,MATCH($F165&amp;"|high",Response_Table!$A$4:$A$21,0))*$R165*INDEX(Parameters!$X$4:$AA$4,1,MATCH($E165,Parameters!$X$3:$AA$3,0))))*(1+Inputs_General!$C$22*Parameters!$F$4))</f>
        <v>82.9242073892857</v>
      </c>
      <c r="X165" s="39" t="n">
        <f aca="false">IF(T165=0,0,U165/T165-1)</f>
        <v>0</v>
      </c>
      <c r="Y165" s="38" t="n">
        <f aca="false">Parameters!$E$5*IF($N165="V",Parameters!$I$5,IF($N165="F",Parameters!$J$5,Parameters!$K$5))*(1-Parameters!$L$5*$P165)*IF($D165="V1",Parameters!$M$5,IF($D165="V2",Parameters!$N$5,Parameters!$O$5))</f>
        <v>58.6602514285714</v>
      </c>
      <c r="Z165" s="38" t="n">
        <f aca="false">MIN(100,Y165*(1+INDEX(Response_Table!$F$4:$F$21,MATCH($F165&amp;"|mid",Response_Table!$A$4:$A$21,0))*$R165*INDEX(Parameters!$X$5:$AA$5,1,MATCH($E165,Parameters!$X$3:$AA$3,0))))</f>
        <v>58.6602514285714</v>
      </c>
      <c r="AA165" s="38" t="n">
        <f aca="false">MAX(0,MIN(Y165*(1+INDEX(Response_Table!$F$4:$F$21,MATCH($F165&amp;"|low",Response_Table!$A$4:$A$21,0))*$R165*INDEX(Parameters!$X$5:$AA$5,1,MATCH($E165,Parameters!$X$3:$AA$3,0))),Y165*(1+INDEX(Response_Table!$F$4:$F$21,MATCH($F165&amp;"|high",Response_Table!$A$4:$A$21,0))*$R165*INDEX(Parameters!$X$5:$AA$5,1,MATCH($E165,Parameters!$X$3:$AA$3,0))))*(1-Inputs_General!$C$22*Parameters!$F$5))</f>
        <v>51.9055234765714</v>
      </c>
      <c r="AB165" s="38" t="n">
        <f aca="false">MIN(100,MAX(Y165*(1+INDEX(Response_Table!$F$4:$F$21,MATCH($F165&amp;"|low",Response_Table!$A$4:$A$21,0))*$R165*INDEX(Parameters!$X$5:$AA$5,1,MATCH($E165,Parameters!$X$3:$AA$3,0))),Y165*(1+INDEX(Response_Table!$F$4:$F$21,MATCH($F165&amp;"|high",Response_Table!$A$4:$A$21,0))*$R165*INDEX(Parameters!$X$5:$AA$5,1,MATCH($E165,Parameters!$X$3:$AA$3,0))))*(1+Inputs_General!$C$22*Parameters!$F$5))</f>
        <v>65.4149793805714</v>
      </c>
      <c r="AC165" s="39" t="n">
        <f aca="false">IF(Y165=0,0,Z165/Y165-1)</f>
        <v>0</v>
      </c>
      <c r="AD165" s="38" t="n">
        <f aca="false">Parameters!$E$6*IF($N165="V",Parameters!$I$6,IF($N165="F",Parameters!$J$6,Parameters!$K$6))*(1-Parameters!$L$6*$P165)*IF($D165="V1",Parameters!$M$6,IF($D165="V2",Parameters!$N$6,Parameters!$O$6))</f>
        <v>14.3019785714286</v>
      </c>
      <c r="AE165" s="38" t="n">
        <f aca="false">AD165*(1+INDEX(Response_Table!$G$4:$G$21,MATCH($F165&amp;"|mid",Response_Table!$A$4:$A$21,0))*$R165*INDEX(Parameters!$X$6:$AA$6,1,MATCH($E165,Parameters!$X$3:$AA$3,0)))</f>
        <v>14.3019785714286</v>
      </c>
      <c r="AF165" s="38" t="n">
        <f aca="false">MAX(0,MIN(AD165*(1+INDEX(Response_Table!$G$4:$G$21,MATCH($F165&amp;"|low",Response_Table!$A$4:$A$21,0))*$R165*INDEX(Parameters!$X$6:$AA$6,1,MATCH($E165,Parameters!$X$3:$AA$3,0))),AD165*(1+INDEX(Response_Table!$G$4:$G$21,MATCH($F165&amp;"|high",Response_Table!$A$4:$A$21,0))*$R165*INDEX(Parameters!$X$6:$AA$6,1,MATCH($E165,Parameters!$X$3:$AA$3,0))))*(1-Inputs_General!$C$22*Parameters!$F$6))</f>
        <v>11.4787680014286</v>
      </c>
      <c r="AG165" s="38" t="n">
        <f aca="false">MAX(AD165*(1+INDEX(Response_Table!$G$4:$G$21,MATCH($F165&amp;"|low",Response_Table!$A$4:$A$21,0))*$R165*INDEX(Parameters!$X$6:$AA$6,1,MATCH($E165,Parameters!$X$3:$AA$3,0))),AD165*(1+INDEX(Response_Table!$G$4:$G$21,MATCH($F165&amp;"|high",Response_Table!$A$4:$A$21,0))*$R165*INDEX(Parameters!$X$6:$AA$6,1,MATCH($E165,Parameters!$X$3:$AA$3,0))))*(1+Inputs_General!$C$22*Parameters!$F$6)</f>
        <v>17.1251891414286</v>
      </c>
      <c r="AH165" s="39" t="n">
        <f aca="false">IF(AD165=0,0,AE165/AD165-1)</f>
        <v>0</v>
      </c>
      <c r="AI165" s="40" t="n">
        <f aca="false">Parameters!$E$7*IF($N165="V",Parameters!$I$7,IF($N165="F",Parameters!$J$7,Parameters!$K$7))*(1-Parameters!$L$7*$P165)*IF($D165="V1",Parameters!$M$7,IF($D165="V2",Parameters!$N$7,Parameters!$O$7))*POWER($Q165/Inputs_General!$C$26,-Inputs_General!$C$25)</f>
        <v>0.258501574676089</v>
      </c>
      <c r="AJ165" s="40" t="n">
        <f aca="false">AI165*(1+INDEX(Response_Table!$H$4:$H$21,MATCH($F165&amp;"|mid",Response_Table!$A$4:$A$21,0))*$R165*INDEX(Parameters!$X$7:$AA$7,1,MATCH($E165,Parameters!$X$3:$AA$3,0)))</f>
        <v>0.258501574676089</v>
      </c>
      <c r="AK165" s="40" t="n">
        <f aca="false">MAX(0,MIN(AI165*(1+INDEX(Response_Table!$H$4:$H$21,MATCH($F165&amp;"|low",Response_Table!$A$4:$A$21,0))*$R165*INDEX(Parameters!$X$7:$AA$7,1,MATCH($E165,Parameters!$X$3:$AA$3,0))),AI165*(1+INDEX(Response_Table!$H$4:$H$21,MATCH($F165&amp;"|high",Response_Table!$A$4:$A$21,0))*$R165*INDEX(Parameters!$X$7:$AA$7,1,MATCH($E165,Parameters!$X$3:$AA$3,0))))*(1-Inputs_General!$C$22*Parameters!$F$7))</f>
        <v>0.181959258414499</v>
      </c>
      <c r="AL165" s="40" t="n">
        <f aca="false">MAX(AI165*(1+INDEX(Response_Table!$H$4:$H$21,MATCH($F165&amp;"|low",Response_Table!$A$4:$A$21,0))*$R165*INDEX(Parameters!$X$7:$AA$7,1,MATCH($E165,Parameters!$X$3:$AA$3,0))),AI165*(1+INDEX(Response_Table!$H$4:$H$21,MATCH($F165&amp;"|high",Response_Table!$A$4:$A$21,0))*$R165*INDEX(Parameters!$X$7:$AA$7,1,MATCH($E165,Parameters!$X$3:$AA$3,0))))*(1+Inputs_General!$C$22*Parameters!$F$7)</f>
        <v>0.335043890937679</v>
      </c>
      <c r="AM165" s="39" t="n">
        <f aca="false">IF(AI165=0,0,AJ165/AI165-1)</f>
        <v>0</v>
      </c>
      <c r="AN165" s="37" t="n">
        <f aca="false">AI165*$Q165/Inputs_General!$C$13*1000</f>
        <v>5.69967952720096</v>
      </c>
      <c r="AO165" s="37" t="n">
        <f aca="false">AJ165*$Q165/Inputs_General!$C$13*1000*(1+Inputs_General!$C$21*$I165)</f>
        <v>5.69967952720096</v>
      </c>
      <c r="AP165" s="37" t="n">
        <f aca="false">AK165*$Q165/Inputs_General!$C$13*1000*(1+Inputs_General!$C$21*$H165)</f>
        <v>4.01200441919675</v>
      </c>
      <c r="AQ165" s="37" t="n">
        <f aca="false">AL165*$Q165/Inputs_General!$C$13*1000*(1+Inputs_General!$C$21*$J165)</f>
        <v>7.38735463520516</v>
      </c>
      <c r="AR165" s="39" t="n">
        <f aca="false">IF(AN165=0,0,AO165/AN165-1)</f>
        <v>0</v>
      </c>
      <c r="AS165" s="36" t="n">
        <f aca="false">Parameters!$E$9*IF($N165="V",Parameters!$I$9,IF($N165="F",Parameters!$J$9,Parameters!$K$9))*(1-Parameters!$L$9*$P165)*IF($D165="V1",Parameters!$M$9,IF($D165="V2",Parameters!$N$9,Parameters!$O$9))</f>
        <v>293.55</v>
      </c>
      <c r="AT165" s="36" t="n">
        <f aca="false">AS165*(1+INDEX(Response_Table!$I$4:$I$21,MATCH($F165&amp;"|mid",Response_Table!$A$4:$A$21,0))*$R165*INDEX(Parameters!$X$9:$AA$9,1,MATCH($E165,Parameters!$X$3:$AA$3,0)))</f>
        <v>293.55</v>
      </c>
      <c r="AU165" s="36" t="n">
        <f aca="false">MAX(0,MIN(AS165*(1+INDEX(Response_Table!$I$4:$I$21,MATCH($F165&amp;"|low",Response_Table!$A$4:$A$21,0))*$R165*INDEX(Parameters!$X$9:$AA$9,1,MATCH($E165,Parameters!$X$3:$AA$3,0))),AS165*(1+INDEX(Response_Table!$I$4:$I$21,MATCH($F165&amp;"|high",Response_Table!$A$4:$A$21,0))*$R165*INDEX(Parameters!$X$9:$AA$9,1,MATCH($E165,Parameters!$X$3:$AA$3,0))))*(1-Inputs_General!$C$22*Parameters!$F$9))</f>
        <v>264.576615</v>
      </c>
      <c r="AV165" s="36" t="n">
        <f aca="false">MAX(AS165*(1+INDEX(Response_Table!$I$4:$I$21,MATCH($F165&amp;"|low",Response_Table!$A$4:$A$21,0))*$R165*INDEX(Parameters!$X$9:$AA$9,1,MATCH($E165,Parameters!$X$3:$AA$3,0))),AS165*(1+INDEX(Response_Table!$I$4:$I$21,MATCH($F165&amp;"|high",Response_Table!$A$4:$A$21,0))*$R165*INDEX(Parameters!$X$9:$AA$9,1,MATCH($E165,Parameters!$X$3:$AA$3,0))))*(1+Inputs_General!$C$22*Parameters!$F$9)</f>
        <v>322.523385</v>
      </c>
      <c r="AW165" s="39" t="n">
        <f aca="false">IF(AS165=0,0,AT165/AS165-1)</f>
        <v>0</v>
      </c>
      <c r="AX165" s="37" t="n">
        <f aca="false">INDEX(Context!$AB$4:$AB$51,$K165)</f>
        <v>2.72032542211643</v>
      </c>
      <c r="AY165" s="37" t="n">
        <f aca="false">AX165*(1+INDEX(Response_Table!$J$4:$J$21,MATCH($F165&amp;"|mid",Response_Table!$A$4:$A$21,0))*$R165*INDEX(Parameters!$X$10:$AA$10,1,MATCH($E165,Parameters!$X$3:$AA$3,0)))</f>
        <v>2.72032542211643</v>
      </c>
      <c r="AZ165" s="37" t="n">
        <f aca="false">MAX(0,MIN(AX165*(1+INDEX(Response_Table!$J$4:$J$21,MATCH($F165&amp;"|low",Response_Table!$A$4:$A$21,0))*$R165*INDEX(Parameters!$X$10:$AA$10,1,MATCH($E165,Parameters!$X$3:$AA$3,0))),AX165*(1+INDEX(Response_Table!$J$4:$J$21,MATCH($F165&amp;"|high",Response_Table!$A$4:$A$21,0))*$R165*INDEX(Parameters!$X$10:$AA$10,1,MATCH($E165,Parameters!$X$3:$AA$3,0))))*(1-Inputs_General!$C$22*Parameters!$F$10))</f>
        <v>2.18333318379065</v>
      </c>
      <c r="BA165" s="37" t="n">
        <f aca="false">MAX(AX165*(1+INDEX(Response_Table!$J$4:$J$21,MATCH($F165&amp;"|low",Response_Table!$A$4:$A$21,0))*$R165*INDEX(Parameters!$X$10:$AA$10,1,MATCH($E165,Parameters!$X$3:$AA$3,0))),AX165*(1+INDEX(Response_Table!$J$4:$J$21,MATCH($F165&amp;"|high",Response_Table!$A$4:$A$21,0))*$R165*INDEX(Parameters!$X$10:$AA$10,1,MATCH($E165,Parameters!$X$3:$AA$3,0))))*(1+Inputs_General!$C$22*Parameters!$F$10)</f>
        <v>3.25731766044221</v>
      </c>
      <c r="BB165" s="39" t="n">
        <f aca="false">IF(AX165=0,0,AY165/AX165-1)</f>
        <v>0</v>
      </c>
      <c r="BC165" s="40" t="n">
        <f aca="false">Parameters!$E$11*IF($N165="V",Parameters!$I$11,IF($N165="F",Parameters!$J$11,Parameters!$K$11))*(1-Parameters!$L$11*$P165)*IF($D165="V1",Parameters!$M$11,IF($D165="V2",Parameters!$N$11,Parameters!$O$11))</f>
        <v>1.00170982142857</v>
      </c>
      <c r="BD165" s="40" t="n">
        <f aca="false">BC165*(1+INDEX(Response_Table!$K$4:$K$21,MATCH($F165&amp;"|mid",Response_Table!$A$4:$A$21,0))*$R165*INDEX(Parameters!$X$11:$AA$11,1,MATCH($E165,Parameters!$X$3:$AA$3,0)))</f>
        <v>1.00170982142857</v>
      </c>
      <c r="BE165" s="40" t="n">
        <f aca="false">MAX(0,MIN(BC165*(1+INDEX(Response_Table!$K$4:$K$21,MATCH($F165&amp;"|low",Response_Table!$A$4:$A$21,0))*$R165*INDEX(Parameters!$X$11:$AA$11,1,MATCH($E165,Parameters!$X$3:$AA$3,0))),BC165*(1+INDEX(Response_Table!$K$4:$K$21,MATCH($F165&amp;"|high",Response_Table!$A$4:$A$21,0))*$R165*INDEX(Parameters!$X$11:$AA$11,1,MATCH($E165,Parameters!$X$3:$AA$3,0))))*(1-Inputs_General!$C$22*Parameters!$F$11))</f>
        <v>0.836928555803572</v>
      </c>
      <c r="BF165" s="40" t="n">
        <f aca="false">MAX(BC165*(1+INDEX(Response_Table!$K$4:$K$21,MATCH($F165&amp;"|low",Response_Table!$A$4:$A$21,0))*$R165*INDEX(Parameters!$X$11:$AA$11,1,MATCH($E165,Parameters!$X$3:$AA$3,0))),BC165*(1+INDEX(Response_Table!$K$4:$K$21,MATCH($F165&amp;"|high",Response_Table!$A$4:$A$21,0))*$R165*INDEX(Parameters!$X$11:$AA$11,1,MATCH($E165,Parameters!$X$3:$AA$3,0))))*(1+Inputs_General!$C$22*Parameters!$F$11)</f>
        <v>1.16649108705357</v>
      </c>
      <c r="BG165" s="39" t="n">
        <f aca="false">IF(BC165=0,0,BD165/BC165-1)</f>
        <v>0</v>
      </c>
      <c r="BH165" s="40" t="n">
        <f aca="false">Parameters!$E$12*IF($N165="V",Parameters!$I$12,IF($N165="F",Parameters!$J$12,Parameters!$K$12))*(1-Parameters!$L$12*$P165)*IF($D165="V1",Parameters!$M$12,IF($D165="V2",Parameters!$N$12,Parameters!$O$12))</f>
        <v>0.373343142857143</v>
      </c>
      <c r="BI165" s="40" t="n">
        <f aca="false">BH165*(1+INDEX(Response_Table!$L$4:$L$21,MATCH($F165&amp;"|mid",Response_Table!$A$4:$A$21,0))*$R165*INDEX(Parameters!$X$12:$AA$12,1,MATCH($E165,Parameters!$X$3:$AA$3,0)))</f>
        <v>0.373343142857143</v>
      </c>
      <c r="BJ165" s="40" t="n">
        <f aca="false">MAX(0,MIN(BH165*(1+INDEX(Response_Table!$L$4:$L$21,MATCH($F165&amp;"|low",Response_Table!$A$4:$A$21,0))*$R165*INDEX(Parameters!$X$12:$AA$12,1,MATCH($E165,Parameters!$X$3:$AA$3,0))),BH165*(1+INDEX(Response_Table!$L$4:$L$21,MATCH($F165&amp;"|high",Response_Table!$A$4:$A$21,0))*$R165*INDEX(Parameters!$X$12:$AA$12,1,MATCH($E165,Parameters!$X$3:$AA$3,0))))*(1-Inputs_General!$C$22*Parameters!$F$12))</f>
        <v>0.299645206457143</v>
      </c>
      <c r="BK165" s="40" t="n">
        <f aca="false">MAX(BH165*(1+INDEX(Response_Table!$L$4:$L$21,MATCH($F165&amp;"|low",Response_Table!$A$4:$A$21,0))*$R165*INDEX(Parameters!$X$12:$AA$12,1,MATCH($E165,Parameters!$X$3:$AA$3,0))),BH165*(1+INDEX(Response_Table!$L$4:$L$21,MATCH($F165&amp;"|high",Response_Table!$A$4:$A$21,0))*$R165*INDEX(Parameters!$X$12:$AA$12,1,MATCH($E165,Parameters!$X$3:$AA$3,0))))*(1+Inputs_General!$C$22*Parameters!$F$12)</f>
        <v>0.447041079257143</v>
      </c>
      <c r="BL165" s="39" t="n">
        <f aca="false">IF(BH165=0,0,BI165/BH165-1)</f>
        <v>0</v>
      </c>
      <c r="BM165" s="40" t="n">
        <f aca="false">Parameters!$E$13*IF($N165="V",Parameters!$I$13,IF($N165="F",Parameters!$J$13,Parameters!$K$13))*(1-Parameters!$L$13*$P165)*IF($D165="V1",Parameters!$M$13,IF($D165="V2",Parameters!$N$13,Parameters!$O$13))</f>
        <v>0.262276071428571</v>
      </c>
      <c r="BN165" s="40" t="n">
        <f aca="false">BM165*(1+INDEX(Response_Table!$M$4:$M$21,MATCH($F165&amp;"|mid",Response_Table!$A$4:$A$21,0))*$R165*INDEX(Parameters!$X$13:$AA$13,1,MATCH($E165,Parameters!$X$3:$AA$3,0)))</f>
        <v>0.262276071428571</v>
      </c>
      <c r="BO165" s="40" t="n">
        <f aca="false">MAX(0,MIN(BM165*(1+INDEX(Response_Table!$M$4:$M$21,MATCH($F165&amp;"|low",Response_Table!$A$4:$A$21,0))*$R165*INDEX(Parameters!$X$13:$AA$13,1,MATCH($E165,Parameters!$X$3:$AA$3,0))),BM165*(1+INDEX(Response_Table!$M$4:$M$21,MATCH($F165&amp;"|high",Response_Table!$A$4:$A$21,0))*$R165*INDEX(Parameters!$X$13:$AA$13,1,MATCH($E165,Parameters!$X$3:$AA$3,0))))*(1-Inputs_General!$C$22*Parameters!$F$13))</f>
        <v>0.210502774928571</v>
      </c>
      <c r="BP165" s="40" t="n">
        <f aca="false">MAX(BM165*(1+INDEX(Response_Table!$M$4:$M$21,MATCH($F165&amp;"|low",Response_Table!$A$4:$A$21,0))*$R165*INDEX(Parameters!$X$13:$AA$13,1,MATCH($E165,Parameters!$X$3:$AA$3,0))),BM165*(1+INDEX(Response_Table!$M$4:$M$21,MATCH($F165&amp;"|high",Response_Table!$A$4:$A$21,0))*$R165*INDEX(Parameters!$X$13:$AA$13,1,MATCH($E165,Parameters!$X$3:$AA$3,0))))*(1+Inputs_General!$C$22*Parameters!$F$13)</f>
        <v>0.314049367928571</v>
      </c>
      <c r="BQ165" s="39" t="n">
        <f aca="false">IF(BM165=0,0,BN165/BM165-1)</f>
        <v>0</v>
      </c>
      <c r="BR165" s="38" t="n">
        <f aca="false">Parameters!$E$14*IF($N165="V",Parameters!$I$14,IF($N165="F",Parameters!$J$14,Parameters!$K$14))*(1-Parameters!$L$14*$P165)*IF($D165="V1",Parameters!$M$14,IF($D165="V2",Parameters!$N$14,Parameters!$O$14))*INDEX(Context!$AC$4:$AC$51,$K165)</f>
        <v>17.25</v>
      </c>
      <c r="BS165" s="38" t="n">
        <f aca="false">BR165*(1+INDEX(Response_Table!$N$4:$N$21,MATCH($F165&amp;"|mid",Response_Table!$A$4:$A$21,0))*$R165*INDEX(Parameters!$X$14:$AA$14,1,MATCH($E165,Parameters!$X$3:$AA$3,0)))</f>
        <v>17.25</v>
      </c>
      <c r="BT165" s="38" t="n">
        <f aca="false">MAX(0,MIN(BR165*(1+INDEX(Response_Table!$N$4:$N$21,MATCH($F165&amp;"|low",Response_Table!$A$4:$A$21,0))*$R165*INDEX(Parameters!$X$14:$AA$14,1,MATCH($E165,Parameters!$X$3:$AA$3,0))),BR165*(1+INDEX(Response_Table!$N$4:$N$21,MATCH($F165&amp;"|high",Response_Table!$A$4:$A$21,0))*$R165*INDEX(Parameters!$X$14:$AA$14,1,MATCH($E165,Parameters!$X$3:$AA$3,0))))*(1-Inputs_General!$C$22*Parameters!$F$14))</f>
        <v>8.737125</v>
      </c>
      <c r="BU165" s="38" t="n">
        <f aca="false">MAX(BR165*(1+INDEX(Response_Table!$N$4:$N$21,MATCH($F165&amp;"|low",Response_Table!$A$4:$A$21,0))*$R165*INDEX(Parameters!$X$14:$AA$14,1,MATCH($E165,Parameters!$X$3:$AA$3,0))),BR165*(1+INDEX(Response_Table!$N$4:$N$21,MATCH($F165&amp;"|high",Response_Table!$A$4:$A$21,0))*$R165*INDEX(Parameters!$X$14:$AA$14,1,MATCH($E165,Parameters!$X$3:$AA$3,0))))*(1+Inputs_General!$C$22*Parameters!$F$14)</f>
        <v>25.762875</v>
      </c>
      <c r="BV165" s="39" t="n">
        <f aca="false">IF(BR165=0,0,BS165/BR165-1)</f>
        <v>0</v>
      </c>
      <c r="BW165" s="37" t="n">
        <f aca="false">Parameters!$E$15*IF($N165="V",Parameters!$I$15,IF($N165="F",Parameters!$J$15,Parameters!$K$15))*(1-Parameters!$L$15*$P165)*IF($D165="V1",Parameters!$M$15,IF($D165="V2",Parameters!$N$15,Parameters!$O$15))</f>
        <v>8.04007657142857</v>
      </c>
      <c r="BX165" s="37" t="n">
        <f aca="false">BW165*(1+INDEX(Response_Table!$O$4:$O$21,MATCH($F165&amp;"|mid",Response_Table!$A$4:$A$21,0))*$R165*INDEX(Parameters!$X$15:$AA$15,1,MATCH($E165,Parameters!$X$3:$AA$3,0)))</f>
        <v>8.04007657142857</v>
      </c>
      <c r="BY165" s="37" t="n">
        <f aca="false">MAX(0,MIN(BW165*(1+INDEX(Response_Table!$O$4:$O$21,MATCH($F165&amp;"|low",Response_Table!$A$4:$A$21,0))*$R165*INDEX(Parameters!$X$15:$AA$15,1,MATCH($E165,Parameters!$X$3:$AA$3,0))),BW165*(1+INDEX(Response_Table!$O$4:$O$21,MATCH($F165&amp;"|high",Response_Table!$A$4:$A$21,0))*$R165*INDEX(Parameters!$X$15:$AA$15,1,MATCH($E165,Parameters!$X$3:$AA$3,0))))*(1-Inputs_General!$C$22*Parameters!$F$15))</f>
        <v>6.45296545622857</v>
      </c>
      <c r="BZ165" s="37" t="n">
        <f aca="false">MAX(BW165*(1+INDEX(Response_Table!$O$4:$O$21,MATCH($F165&amp;"|low",Response_Table!$A$4:$A$21,0))*$R165*INDEX(Parameters!$X$15:$AA$15,1,MATCH($E165,Parameters!$X$3:$AA$3,0))),BW165*(1+INDEX(Response_Table!$O$4:$O$21,MATCH($F165&amp;"|high",Response_Table!$A$4:$A$21,0))*$R165*INDEX(Parameters!$X$15:$AA$15,1,MATCH($E165,Parameters!$X$3:$AA$3,0))))*(1+Inputs_General!$C$22*Parameters!$F$15)</f>
        <v>9.62718768662857</v>
      </c>
      <c r="CA165" s="39" t="n">
        <f aca="false">IF(BW165=0,0,BX165/BW165-1)</f>
        <v>0</v>
      </c>
      <c r="CB165" s="40" t="n">
        <f aca="false">BD165+BI165</f>
        <v>1.37505296428571</v>
      </c>
      <c r="CC165" s="37" t="n">
        <f aca="false">BD165/BI165</f>
        <v>2.68308080808081</v>
      </c>
      <c r="CD165" s="40" t="n">
        <f aca="false">BN165/CB165</f>
        <v>0.190738886603407</v>
      </c>
      <c r="CE165" s="37" t="n">
        <f aca="false">AE165/AO165</f>
        <v>2.5092601264991</v>
      </c>
      <c r="CF165" s="38" t="n">
        <f aca="false">AE165/AJ165</f>
        <v>55.3264659580872</v>
      </c>
      <c r="CG165" s="38" t="n">
        <f aca="false">INDEX(Context!$V$4:$V$51,$K165)</f>
        <v>32.7871428571429</v>
      </c>
      <c r="CH165" s="38" t="n">
        <f aca="false">INDEX(Context!$Y$4:$Y$51,$K165)</f>
        <v>28.36912210206</v>
      </c>
      <c r="CI165" s="38" t="n">
        <f aca="false">INDEX(Context!$Z$4:$Z$51,$K165)</f>
        <v>36.7871428571429</v>
      </c>
      <c r="CJ165" s="37" t="n">
        <f aca="false">INDEX(Context!$AA$4:$AA$51,$K165)</f>
        <v>0.347678571428571</v>
      </c>
      <c r="CK165" s="37" t="n">
        <f aca="false">MAX(0,MIN(1,1-(1-CJ165)*AO165/AN165))</f>
        <v>0.347678571428571</v>
      </c>
      <c r="CL165" s="38" t="n">
        <f aca="false">CH165+CK165*(CI165-CH165)</f>
        <v>31.2958875324433</v>
      </c>
      <c r="CM165" s="38" t="n">
        <f aca="false">CH165+MAX(0,MIN(1,1-(1-CJ165)*AQ165/AN165))*(CI165-CH165)</f>
        <v>29.6699268307998</v>
      </c>
      <c r="CN165" s="38" t="n">
        <f aca="false">CH165+MAX(0,MIN(1,1-(1-CJ165)*AP165/AN165))*(CI165-CH165)</f>
        <v>32.9218482340868</v>
      </c>
      <c r="CO165" s="38" t="n">
        <f aca="false">CL165-CG165</f>
        <v>-1.49125532469956</v>
      </c>
      <c r="CP165" s="38" t="n">
        <f aca="false">CL165-(CH165+CJ165*(CI165-CH165))</f>
        <v>0</v>
      </c>
      <c r="CQ165" s="40" t="n">
        <f aca="false">CL165/CG165</f>
        <v>0.954517069962542</v>
      </c>
      <c r="CR165" s="37" t="n">
        <f aca="false">IF(CL165-CH165&lt;=0,"n/a",(CI165-CL165)/(CL165-CH165))</f>
        <v>1.87621982537237</v>
      </c>
      <c r="CS165" s="37" t="n">
        <f aca="false">IF(CI165-CL165&lt;=0,"n/a",(CL165-CH165)/(CI165-CL165))</f>
        <v>0.53298658636737</v>
      </c>
      <c r="CT165" s="37" t="n">
        <f aca="false">Inputs_General!$C$23+Inputs_General!$C$24*$I165</f>
        <v>0.6</v>
      </c>
      <c r="CU165" s="38" t="n">
        <f aca="false">3.29*CT165</f>
        <v>1.974</v>
      </c>
    </row>
    <row r="166" customFormat="false" ht="15" hidden="false" customHeight="false" outlineLevel="0" collapsed="false">
      <c r="A166" s="9" t="str">
        <f aca="false">B166&amp;"|"&amp;E166&amp;"|"&amp;F166</f>
        <v>D3V1|13/03/2026|Very low</v>
      </c>
      <c r="B166" s="7" t="s">
        <v>349</v>
      </c>
      <c r="C166" s="9" t="s">
        <v>131</v>
      </c>
      <c r="D166" s="9" t="s">
        <v>142</v>
      </c>
      <c r="E166" s="9" t="s">
        <v>164</v>
      </c>
      <c r="F166" s="7" t="s">
        <v>277</v>
      </c>
      <c r="G166" s="9" t="s">
        <v>278</v>
      </c>
      <c r="H166" s="41" t="n">
        <f aca="false">INDEX(Severity_Classes!$C$4:$C$9,MATCH(F166,Severity_Classes!$A$4:$A$9,0))</f>
        <v>0.01</v>
      </c>
      <c r="I166" s="41" t="n">
        <f aca="false">INDEX(Severity_Classes!$D$4:$D$9,MATCH(F166,Severity_Classes!$A$4:$A$9,0))</f>
        <v>0.03</v>
      </c>
      <c r="J166" s="41" t="n">
        <f aca="false">INDEX(Severity_Classes!$E$4:$E$9,MATCH(F166,Severity_Classes!$A$4:$A$9,0))</f>
        <v>0.05</v>
      </c>
      <c r="K166" s="42" t="n">
        <f aca="false">MATCH(B166&amp;"|"&amp;E166,Context!$A$4:$A$51,0)</f>
        <v>28</v>
      </c>
      <c r="L166" s="42" t="n">
        <f aca="false">INDEX(Context!$H$4:$H$51,K166)</f>
        <v>76</v>
      </c>
      <c r="M166" s="42" t="n">
        <f aca="false">INDEX(Context!$I$4:$I$51,K166)</f>
        <v>36</v>
      </c>
      <c r="N166" s="9" t="str">
        <f aca="false">INDEX(Context!$L$4:$L$51,K166)</f>
        <v>P</v>
      </c>
      <c r="O166" s="9" t="str">
        <f aca="false">INDEX(Context!$M$4:$M$51,K166)</f>
        <v>5th fully expanded leaf from top</v>
      </c>
      <c r="P166" s="43" t="n">
        <f aca="false">INDEX(Context!$R$4:$R$51,K166)</f>
        <v>0.953571428571428</v>
      </c>
      <c r="Q166" s="43" t="n">
        <f aca="false">INDEX(Context!$U$4:$U$51,K166)</f>
        <v>2.18945736698217</v>
      </c>
      <c r="R166" s="43" t="n">
        <f aca="false">INDEX(Context!$AD$4:$AD$51,K166)</f>
        <v>1</v>
      </c>
      <c r="S166" s="9" t="str">
        <f aca="false">INDEX(Context!$AI$4:$AN$51,K166,MATCH(F166,Severity_Classes!$A$4:$A$9,0))</f>
        <v>Possible</v>
      </c>
      <c r="T166" s="44" t="n">
        <f aca="false">Parameters!$E$4*IF($N166="V",Parameters!$I$4,IF($N166="F",Parameters!$J$4,Parameters!$K$4))*(1-Parameters!$L$4*$P166)*IF($D166="V1",Parameters!$M$4,IF($D166="V2",Parameters!$N$4,Parameters!$O$4))</f>
        <v>77.8046607142857</v>
      </c>
      <c r="U166" s="44" t="n">
        <f aca="false">MIN(100,T166*(1+INDEX(Response_Table!$E$4:$E$21,MATCH($F166&amp;"|mid",Response_Table!$A$4:$A$21,0))*$R166*INDEX(Parameters!$X$4:$AA$4,1,MATCH($E166,Parameters!$X$3:$AA$3,0))))</f>
        <v>77.4692184616707</v>
      </c>
      <c r="V166" s="44" t="n">
        <f aca="false">MAX(0,MIN(T166*(1+INDEX(Response_Table!$E$4:$E$21,MATCH($F166&amp;"|low",Response_Table!$A$4:$A$21,0))*$R166*INDEX(Parameters!$X$4:$AA$4,1,MATCH($E166,Parameters!$X$3:$AA$3,0))),T166*(1+INDEX(Response_Table!$E$4:$E$21,MATCH($F166&amp;"|high",Response_Table!$A$4:$A$21,0))*$R166*INDEX(Parameters!$X$4:$AA$4,1,MATCH($E166,Parameters!$X$3:$AA$3,0))))*(1-Inputs_General!$C$22*Parameters!$F$4))</f>
        <v>72.1214543768349</v>
      </c>
      <c r="W166" s="44" t="n">
        <f aca="false">MIN(100,MAX(T166*(1+INDEX(Response_Table!$E$4:$E$21,MATCH($F166&amp;"|low",Response_Table!$A$4:$A$21,0))*$R166*INDEX(Parameters!$X$4:$AA$4,1,MATCH($E166,Parameters!$X$3:$AA$3,0))),T166*(1+INDEX(Response_Table!$E$4:$E$21,MATCH($F166&amp;"|high",Response_Table!$A$4:$A$21,0))*$R166*INDEX(Parameters!$X$4:$AA$4,1,MATCH($E166,Parameters!$X$3:$AA$3,0))))*(1+Inputs_General!$C$22*Parameters!$F$4))</f>
        <v>82.8137156855909</v>
      </c>
      <c r="X166" s="45" t="n">
        <f aca="false">IF(T166=0,0,U166/T166-1)</f>
        <v>-0.00431133880072865</v>
      </c>
      <c r="Y166" s="44" t="n">
        <f aca="false">Parameters!$E$5*IF($N166="V",Parameters!$I$5,IF($N166="F",Parameters!$J$5,Parameters!$K$5))*(1-Parameters!$L$5*$P166)*IF($D166="V1",Parameters!$M$5,IF($D166="V2",Parameters!$N$5,Parameters!$O$5))</f>
        <v>58.6602514285714</v>
      </c>
      <c r="Z166" s="44" t="n">
        <f aca="false">MIN(100,Y166*(1+INDEX(Response_Table!$F$4:$F$21,MATCH($F166&amp;"|mid",Response_Table!$A$4:$A$21,0))*$R166*INDEX(Parameters!$X$5:$AA$5,1,MATCH($E166,Parameters!$X$3:$AA$3,0))))</f>
        <v>57.8529256016008</v>
      </c>
      <c r="AA166" s="44" t="n">
        <f aca="false">MAX(0,MIN(Y166*(1+INDEX(Response_Table!$F$4:$F$21,MATCH($F166&amp;"|low",Response_Table!$A$4:$A$21,0))*$R166*INDEX(Parameters!$X$5:$AA$5,1,MATCH($E166,Parameters!$X$3:$AA$3,0))),Y166*(1+INDEX(Response_Table!$F$4:$F$21,MATCH($F166&amp;"|high",Response_Table!$A$4:$A$21,0))*$R166*INDEX(Parameters!$X$5:$AA$5,1,MATCH($E166,Parameters!$X$3:$AA$3,0))))*(1-Inputs_General!$C$22*Parameters!$F$5))</f>
        <v>50.6028057101609</v>
      </c>
      <c r="AB166" s="44" t="n">
        <f aca="false">MIN(100,MAX(Y166*(1+INDEX(Response_Table!$F$4:$F$21,MATCH($F166&amp;"|low",Response_Table!$A$4:$A$21,0))*$R166*INDEX(Parameters!$X$5:$AA$5,1,MATCH($E166,Parameters!$X$3:$AA$3,0))),Y166*(1+INDEX(Response_Table!$F$4:$F$21,MATCH($F166&amp;"|high",Response_Table!$A$4:$A$21,0))*$R166*INDEX(Parameters!$X$5:$AA$5,1,MATCH($E166,Parameters!$X$3:$AA$3,0))))*(1+Inputs_General!$C$22*Parameters!$F$5))</f>
        <v>65.1405704099803</v>
      </c>
      <c r="AC166" s="45" t="n">
        <f aca="false">IF(Y166=0,0,Z166/Y166-1)</f>
        <v>-0.0137627406516267</v>
      </c>
      <c r="AD166" s="44" t="n">
        <f aca="false">Parameters!$E$6*IF($N166="V",Parameters!$I$6,IF($N166="F",Parameters!$J$6,Parameters!$K$6))*(1-Parameters!$L$6*$P166)*IF($D166="V1",Parameters!$M$6,IF($D166="V2",Parameters!$N$6,Parameters!$O$6))</f>
        <v>14.3019785714286</v>
      </c>
      <c r="AE166" s="44" t="n">
        <f aca="false">AD166*(1+INDEX(Response_Table!$G$4:$G$21,MATCH($F166&amp;"|mid",Response_Table!$A$4:$A$21,0))*$R166*INDEX(Parameters!$X$6:$AA$6,1,MATCH($E166,Parameters!$X$3:$AA$3,0)))</f>
        <v>12.9755522425243</v>
      </c>
      <c r="AF166" s="44" t="n">
        <f aca="false">MAX(0,MIN(AD166*(1+INDEX(Response_Table!$G$4:$G$21,MATCH($F166&amp;"|low",Response_Table!$A$4:$A$21,0))*$R166*INDEX(Parameters!$X$6:$AA$6,1,MATCH($E166,Parameters!$X$3:$AA$3,0))),AD166*(1+INDEX(Response_Table!$G$4:$G$21,MATCH($F166&amp;"|high",Response_Table!$A$4:$A$21,0))*$R166*INDEX(Parameters!$X$6:$AA$6,1,MATCH($E166,Parameters!$X$3:$AA$3,0))))*(1-Inputs_General!$C$22*Parameters!$F$6))</f>
        <v>9.77863732430461</v>
      </c>
      <c r="AG166" s="44" t="n">
        <f aca="false">MAX(AD166*(1+INDEX(Response_Table!$G$4:$G$21,MATCH($F166&amp;"|low",Response_Table!$A$4:$A$21,0))*$R166*INDEX(Parameters!$X$6:$AA$6,1,MATCH($E166,Parameters!$X$3:$AA$3,0))),AD166*(1+INDEX(Response_Table!$G$4:$G$21,MATCH($F166&amp;"|high",Response_Table!$A$4:$A$21,0))*$R166*INDEX(Parameters!$X$6:$AA$6,1,MATCH($E166,Parameters!$X$3:$AA$3,0))))*(1+Inputs_General!$C$22*Parameters!$F$6)</f>
        <v>16.5723104263805</v>
      </c>
      <c r="AH166" s="45" t="n">
        <f aca="false">IF(AD166=0,0,AE166/AD166-1)</f>
        <v>-0.0927442536904701</v>
      </c>
      <c r="AI166" s="46" t="n">
        <f aca="false">Parameters!$E$7*IF($N166="V",Parameters!$I$7,IF($N166="F",Parameters!$J$7,Parameters!$K$7))*(1-Parameters!$L$7*$P166)*IF($D166="V1",Parameters!$M$7,IF($D166="V2",Parameters!$N$7,Parameters!$O$7))*POWER($Q166/Inputs_General!$C$26,-Inputs_General!$C$25)</f>
        <v>0.258501574676089</v>
      </c>
      <c r="AJ166" s="46" t="n">
        <f aca="false">AI166*(1+INDEX(Response_Table!$H$4:$H$21,MATCH($F166&amp;"|mid",Response_Table!$A$4:$A$21,0))*$R166*INDEX(Parameters!$X$7:$AA$7,1,MATCH($E166,Parameters!$X$3:$AA$3,0)))</f>
        <v>0.244039773986459</v>
      </c>
      <c r="AK166" s="46" t="n">
        <f aca="false">MAX(0,MIN(AI166*(1+INDEX(Response_Table!$H$4:$H$21,MATCH($F166&amp;"|low",Response_Table!$A$4:$A$21,0))*$R166*INDEX(Parameters!$X$7:$AA$7,1,MATCH($E166,Parameters!$X$3:$AA$3,0))),AI166*(1+INDEX(Response_Table!$H$4:$H$21,MATCH($F166&amp;"|high",Response_Table!$A$4:$A$21,0))*$R166*INDEX(Parameters!$X$7:$AA$7,1,MATCH($E166,Parameters!$X$3:$AA$3,0))))*(1-Inputs_General!$C$22*Parameters!$F$7))</f>
        <v>0.165484700761211</v>
      </c>
      <c r="AL166" s="46" t="n">
        <f aca="false">MAX(AI166*(1+INDEX(Response_Table!$H$4:$H$21,MATCH($F166&amp;"|low",Response_Table!$A$4:$A$21,0))*$R166*INDEX(Parameters!$X$7:$AA$7,1,MATCH($E166,Parameters!$X$3:$AA$3,0))),AI166*(1+INDEX(Response_Table!$H$4:$H$21,MATCH($F166&amp;"|high",Response_Table!$A$4:$A$21,0))*$R166*INDEX(Parameters!$X$7:$AA$7,1,MATCH($E166,Parameters!$X$3:$AA$3,0))))*(1+Inputs_General!$C$22*Parameters!$F$7)</f>
        <v>0.328607562705257</v>
      </c>
      <c r="AM166" s="45" t="n">
        <f aca="false">IF(AI166=0,0,AJ166/AI166-1)</f>
        <v>-0.0559447295737017</v>
      </c>
      <c r="AN166" s="43" t="n">
        <f aca="false">AI166*$Q166/Inputs_General!$C$13*1000</f>
        <v>5.69967952720096</v>
      </c>
      <c r="AO166" s="43" t="n">
        <f aca="false">AJ166*$Q166/Inputs_General!$C$13*1000*(1+Inputs_General!$C$21*$I166)</f>
        <v>5.4211685911254</v>
      </c>
      <c r="AP166" s="43" t="n">
        <f aca="false">AK166*$Q166/Inputs_General!$C$13*1000*(1+Inputs_General!$C$21*$H166)</f>
        <v>3.65788017570477</v>
      </c>
      <c r="AQ166" s="43" t="n">
        <f aca="false">AL166*$Q166/Inputs_General!$C$13*1000*(1+Inputs_General!$C$21*$J166)</f>
        <v>7.33600858130634</v>
      </c>
      <c r="AR166" s="45" t="n">
        <f aca="false">IF(AN166=0,0,AO166/AN166-1)</f>
        <v>-0.0488643150455044</v>
      </c>
      <c r="AS166" s="42" t="n">
        <f aca="false">Parameters!$E$9*IF($N166="V",Parameters!$I$9,IF($N166="F",Parameters!$J$9,Parameters!$K$9))*(1-Parameters!$L$9*$P166)*IF($D166="V1",Parameters!$M$9,IF($D166="V2",Parameters!$N$9,Parameters!$O$9))</f>
        <v>293.55</v>
      </c>
      <c r="AT166" s="42" t="n">
        <f aca="false">AS166*(1+INDEX(Response_Table!$I$4:$I$21,MATCH($F166&amp;"|mid",Response_Table!$A$4:$A$21,0))*$R166*INDEX(Parameters!$X$9:$AA$9,1,MATCH($E166,Parameters!$X$3:$AA$3,0)))</f>
        <v>303.508351740504</v>
      </c>
      <c r="AU166" s="42" t="n">
        <f aca="false">MAX(0,MIN(AS166*(1+INDEX(Response_Table!$I$4:$I$21,MATCH($F166&amp;"|low",Response_Table!$A$4:$A$21,0))*$R166*INDEX(Parameters!$X$9:$AA$9,1,MATCH($E166,Parameters!$X$3:$AA$3,0))),AS166*(1+INDEX(Response_Table!$I$4:$I$21,MATCH($F166&amp;"|high",Response_Table!$A$4:$A$21,0))*$R166*INDEX(Parameters!$X$9:$AA$9,1,MATCH($E166,Parameters!$X$3:$AA$3,0))))*(1-Inputs_General!$C$22*Parameters!$F$9))</f>
        <v>267.688874238399</v>
      </c>
      <c r="AV166" s="42" t="n">
        <f aca="false">MAX(AS166*(1+INDEX(Response_Table!$I$4:$I$21,MATCH($F166&amp;"|low",Response_Table!$A$4:$A$21,0))*$R166*INDEX(Parameters!$X$9:$AA$9,1,MATCH($E166,Parameters!$X$3:$AA$3,0))),AS166*(1+INDEX(Response_Table!$I$4:$I$21,MATCH($F166&amp;"|high",Response_Table!$A$4:$A$21,0))*$R166*INDEX(Parameters!$X$9:$AA$9,1,MATCH($E166,Parameters!$X$3:$AA$3,0))))*(1+Inputs_General!$C$22*Parameters!$F$9)</f>
        <v>340.062456334107</v>
      </c>
      <c r="AW166" s="45" t="n">
        <f aca="false">IF(AS166=0,0,AT166/AS166-1)</f>
        <v>0.0339238689848527</v>
      </c>
      <c r="AX166" s="43" t="n">
        <f aca="false">INDEX(Context!$AB$4:$AB$51,$K166)</f>
        <v>2.72032542211643</v>
      </c>
      <c r="AY166" s="43" t="n">
        <f aca="false">AX166*(1+INDEX(Response_Table!$J$4:$J$21,MATCH($F166&amp;"|mid",Response_Table!$A$4:$A$21,0))*$R166*INDEX(Parameters!$X$10:$AA$10,1,MATCH($E166,Parameters!$X$3:$AA$3,0)))</f>
        <v>2.63187286814216</v>
      </c>
      <c r="AZ166" s="43" t="n">
        <f aca="false">MAX(0,MIN(AX166*(1+INDEX(Response_Table!$J$4:$J$21,MATCH($F166&amp;"|low",Response_Table!$A$4:$A$21,0))*$R166*INDEX(Parameters!$X$10:$AA$10,1,MATCH($E166,Parameters!$X$3:$AA$3,0))),AX166*(1+INDEX(Response_Table!$J$4:$J$21,MATCH($F166&amp;"|high",Response_Table!$A$4:$A$21,0))*$R166*INDEX(Parameters!$X$10:$AA$10,1,MATCH($E166,Parameters!$X$3:$AA$3,0))))*(1-Inputs_General!$C$22*Parameters!$F$10))</f>
        <v>2.06788639848729</v>
      </c>
      <c r="BA166" s="43" t="n">
        <f aca="false">MAX(AX166*(1+INDEX(Response_Table!$J$4:$J$21,MATCH($F166&amp;"|low",Response_Table!$A$4:$A$21,0))*$R166*INDEX(Parameters!$X$10:$AA$10,1,MATCH($E166,Parameters!$X$3:$AA$3,0))),AX166*(1+INDEX(Response_Table!$J$4:$J$21,MATCH($F166&amp;"|high",Response_Table!$A$4:$A$21,0))*$R166*INDEX(Parameters!$X$10:$AA$10,1,MATCH($E166,Parameters!$X$3:$AA$3,0))))*(1+Inputs_General!$C$22*Parameters!$F$10)</f>
        <v>3.22112710362762</v>
      </c>
      <c r="BB166" s="45" t="n">
        <f aca="false">IF(AX166=0,0,AY166/AX166-1)</f>
        <v>-0.0325154311521512</v>
      </c>
      <c r="BC166" s="46" t="n">
        <f aca="false">Parameters!$E$11*IF($N166="V",Parameters!$I$11,IF($N166="F",Parameters!$J$11,Parameters!$K$11))*(1-Parameters!$L$11*$P166)*IF($D166="V1",Parameters!$M$11,IF($D166="V2",Parameters!$N$11,Parameters!$O$11))</f>
        <v>1.00170982142857</v>
      </c>
      <c r="BD166" s="46" t="n">
        <f aca="false">BC166*(1+INDEX(Response_Table!$K$4:$K$21,MATCH($F166&amp;"|mid",Response_Table!$A$4:$A$21,0))*$R166*INDEX(Parameters!$X$11:$AA$11,1,MATCH($E166,Parameters!$X$3:$AA$3,0)))</f>
        <v>0.942109700251803</v>
      </c>
      <c r="BE166" s="46" t="n">
        <f aca="false">MAX(0,MIN(BC166*(1+INDEX(Response_Table!$K$4:$K$21,MATCH($F166&amp;"|low",Response_Table!$A$4:$A$21,0))*$R166*INDEX(Parameters!$X$11:$AA$11,1,MATCH($E166,Parameters!$X$3:$AA$3,0))),BC166*(1+INDEX(Response_Table!$K$4:$K$21,MATCH($F166&amp;"|high",Response_Table!$A$4:$A$21,0))*$R166*INDEX(Parameters!$X$11:$AA$11,1,MATCH($E166,Parameters!$X$3:$AA$3,0))))*(1-Inputs_General!$C$22*Parameters!$F$11))</f>
        <v>0.756494250444959</v>
      </c>
      <c r="BF166" s="46" t="n">
        <f aca="false">MAX(BC166*(1+INDEX(Response_Table!$K$4:$K$21,MATCH($F166&amp;"|low",Response_Table!$A$4:$A$21,0))*$R166*INDEX(Parameters!$X$11:$AA$11,1,MATCH($E166,Parameters!$X$3:$AA$3,0))),BC166*(1+INDEX(Response_Table!$K$4:$K$21,MATCH($F166&amp;"|high",Response_Table!$A$4:$A$21,0))*$R166*INDEX(Parameters!$X$11:$AA$11,1,MATCH($E166,Parameters!$X$3:$AA$3,0))))*(1+Inputs_General!$C$22*Parameters!$F$11)</f>
        <v>1.14261217270502</v>
      </c>
      <c r="BG166" s="45" t="n">
        <f aca="false">IF(BC166=0,0,BD166/BC166-1)</f>
        <v>-0.0594983895553409</v>
      </c>
      <c r="BH166" s="46" t="n">
        <f aca="false">Parameters!$E$12*IF($N166="V",Parameters!$I$12,IF($N166="F",Parameters!$J$12,Parameters!$K$12))*(1-Parameters!$L$12*$P166)*IF($D166="V1",Parameters!$M$12,IF($D166="V2",Parameters!$N$12,Parameters!$O$12))</f>
        <v>0.373343142857143</v>
      </c>
      <c r="BI166" s="46" t="n">
        <f aca="false">BH166*(1+INDEX(Response_Table!$L$4:$L$21,MATCH($F166&amp;"|mid",Response_Table!$A$4:$A$21,0))*$R166*INDEX(Parameters!$X$12:$AA$12,1,MATCH($E166,Parameters!$X$3:$AA$3,0)))</f>
        <v>0.355669881871087</v>
      </c>
      <c r="BJ166" s="46" t="n">
        <f aca="false">MAX(0,MIN(BH166*(1+INDEX(Response_Table!$L$4:$L$21,MATCH($F166&amp;"|low",Response_Table!$A$4:$A$21,0))*$R166*INDEX(Parameters!$X$12:$AA$12,1,MATCH($E166,Parameters!$X$3:$AA$3,0))),BH166*(1+INDEX(Response_Table!$L$4:$L$21,MATCH($F166&amp;"|high",Response_Table!$A$4:$A$21,0))*$R166*INDEX(Parameters!$X$12:$AA$12,1,MATCH($E166,Parameters!$X$3:$AA$3,0))))*(1-Inputs_General!$C$22*Parameters!$F$12))</f>
        <v>0.276689203518072</v>
      </c>
      <c r="BK166" s="46" t="n">
        <f aca="false">MAX(BH166*(1+INDEX(Response_Table!$L$4:$L$21,MATCH($F166&amp;"|low",Response_Table!$A$4:$A$21,0))*$R166*INDEX(Parameters!$X$12:$AA$12,1,MATCH($E166,Parameters!$X$3:$AA$3,0))),BH166*(1+INDEX(Response_Table!$L$4:$L$21,MATCH($F166&amp;"|high",Response_Table!$A$4:$A$21,0))*$R166*INDEX(Parameters!$X$12:$AA$12,1,MATCH($E166,Parameters!$X$3:$AA$3,0))))*(1+Inputs_General!$C$22*Parameters!$F$12)</f>
        <v>0.439774445938504</v>
      </c>
      <c r="BL166" s="45" t="n">
        <f aca="false">IF(BH166=0,0,BI166/BH166-1)</f>
        <v>-0.0473378481008245</v>
      </c>
      <c r="BM166" s="46" t="n">
        <f aca="false">Parameters!$E$13*IF($N166="V",Parameters!$I$13,IF($N166="F",Parameters!$J$13,Parameters!$K$13))*(1-Parameters!$L$13*$P166)*IF($D166="V1",Parameters!$M$13,IF($D166="V2",Parameters!$N$13,Parameters!$O$13))</f>
        <v>0.262276071428571</v>
      </c>
      <c r="BN166" s="46" t="n">
        <f aca="false">BM166*(1+INDEX(Response_Table!$M$4:$M$21,MATCH($F166&amp;"|mid",Response_Table!$A$4:$A$21,0))*$R166*INDEX(Parameters!$X$13:$AA$13,1,MATCH($E166,Parameters!$X$3:$AA$3,0)))</f>
        <v>0.269091329657061</v>
      </c>
      <c r="BO166" s="46" t="n">
        <f aca="false">MAX(0,MIN(BM166*(1+INDEX(Response_Table!$M$4:$M$21,MATCH($F166&amp;"|low",Response_Table!$A$4:$A$21,0))*$R166*INDEX(Parameters!$X$13:$AA$13,1,MATCH($E166,Parameters!$X$3:$AA$3,0))),BM166*(1+INDEX(Response_Table!$M$4:$M$21,MATCH($F166&amp;"|high",Response_Table!$A$4:$A$21,0))*$R166*INDEX(Parameters!$X$13:$AA$13,1,MATCH($E166,Parameters!$X$3:$AA$3,0))))*(1-Inputs_General!$C$22*Parameters!$F$13))</f>
        <v>0.213191788849957</v>
      </c>
      <c r="BP166" s="46" t="n">
        <f aca="false">MAX(BM166*(1+INDEX(Response_Table!$M$4:$M$21,MATCH($F166&amp;"|low",Response_Table!$A$4:$A$21,0))*$R166*INDEX(Parameters!$X$13:$AA$13,1,MATCH($E166,Parameters!$X$3:$AA$3,0))),BM166*(1+INDEX(Response_Table!$M$4:$M$21,MATCH($F166&amp;"|high",Response_Table!$A$4:$A$21,0))*$R166*INDEX(Parameters!$X$13:$AA$13,1,MATCH($E166,Parameters!$X$3:$AA$3,0))))*(1+Inputs_General!$C$22*Parameters!$F$13)</f>
        <v>0.322440532791779</v>
      </c>
      <c r="BQ166" s="45" t="n">
        <f aca="false">IF(BM166=0,0,BN166/BM166-1)</f>
        <v>0.0259850553326055</v>
      </c>
      <c r="BR166" s="44" t="n">
        <f aca="false">Parameters!$E$14*IF($N166="V",Parameters!$I$14,IF($N166="F",Parameters!$J$14,Parameters!$K$14))*(1-Parameters!$L$14*$P166)*IF($D166="V1",Parameters!$M$14,IF($D166="V2",Parameters!$N$14,Parameters!$O$14))*INDEX(Context!$AC$4:$AC$51,$K166)</f>
        <v>17.25</v>
      </c>
      <c r="BS166" s="44" t="n">
        <f aca="false">BR166*(1+INDEX(Response_Table!$N$4:$N$21,MATCH($F166&amp;"|mid",Response_Table!$A$4:$A$21,0))*$R166*INDEX(Parameters!$X$14:$AA$14,1,MATCH($E166,Parameters!$X$3:$AA$3,0)))</f>
        <v>18.1408122324428</v>
      </c>
      <c r="BT166" s="44" t="n">
        <f aca="false">MAX(0,MIN(BR166*(1+INDEX(Response_Table!$N$4:$N$21,MATCH($F166&amp;"|low",Response_Table!$A$4:$A$21,0))*$R166*INDEX(Parameters!$X$14:$AA$14,1,MATCH($E166,Parameters!$X$3:$AA$3,0))),BR166*(1+INDEX(Response_Table!$N$4:$N$21,MATCH($F166&amp;"|high",Response_Table!$A$4:$A$21,0))*$R166*INDEX(Parameters!$X$14:$AA$14,1,MATCH($E166,Parameters!$X$3:$AA$3,0))))*(1-Inputs_General!$C$22*Parameters!$F$14))</f>
        <v>8.89205764061699</v>
      </c>
      <c r="BU166" s="44" t="n">
        <f aca="false">MAX(BR166*(1+INDEX(Response_Table!$N$4:$N$21,MATCH($F166&amp;"|low",Response_Table!$A$4:$A$21,0))*$R166*INDEX(Parameters!$X$14:$AA$14,1,MATCH($E166,Parameters!$X$3:$AA$3,0))),BR166*(1+INDEX(Response_Table!$N$4:$N$21,MATCH($F166&amp;"|high",Response_Table!$A$4:$A$21,0))*$R166*INDEX(Parameters!$X$14:$AA$14,1,MATCH($E166,Parameters!$X$3:$AA$3,0))))*(1+Inputs_General!$C$22*Parameters!$F$14)</f>
        <v>27.916012795115</v>
      </c>
      <c r="BV166" s="45" t="n">
        <f aca="false">IF(BR166=0,0,BS166/BR166-1)</f>
        <v>0.051641288837263</v>
      </c>
      <c r="BW166" s="43" t="n">
        <f aca="false">Parameters!$E$15*IF($N166="V",Parameters!$I$15,IF($N166="F",Parameters!$J$15,Parameters!$K$15))*(1-Parameters!$L$15*$P166)*IF($D166="V1",Parameters!$M$15,IF($D166="V2",Parameters!$N$15,Parameters!$O$15))</f>
        <v>8.04007657142857</v>
      </c>
      <c r="BX166" s="43" t="n">
        <f aca="false">BW166*(1+INDEX(Response_Table!$O$4:$O$21,MATCH($F166&amp;"|mid",Response_Table!$A$4:$A$21,0))*$R166*INDEX(Parameters!$X$15:$AA$15,1,MATCH($E166,Parameters!$X$3:$AA$3,0)))</f>
        <v>7.93627659230386</v>
      </c>
      <c r="BY166" s="43" t="n">
        <f aca="false">MAX(0,MIN(BW166*(1+INDEX(Response_Table!$O$4:$O$21,MATCH($F166&amp;"|low",Response_Table!$A$4:$A$21,0))*$R166*INDEX(Parameters!$X$15:$AA$15,1,MATCH($E166,Parameters!$X$3:$AA$3,0))),BW166*(1+INDEX(Response_Table!$O$4:$O$21,MATCH($F166&amp;"|high",Response_Table!$A$4:$A$21,0))*$R166*INDEX(Parameters!$X$15:$AA$15,1,MATCH($E166,Parameters!$X$3:$AA$3,0))))*(1-Inputs_General!$C$22*Parameters!$F$15))</f>
        <v>6.31813846375998</v>
      </c>
      <c r="BZ166" s="43" t="n">
        <f aca="false">MAX(BW166*(1+INDEX(Response_Table!$O$4:$O$21,MATCH($F166&amp;"|low",Response_Table!$A$4:$A$21,0))*$R166*INDEX(Parameters!$X$15:$AA$15,1,MATCH($E166,Parameters!$X$3:$AA$3,0))),BW166*(1+INDEX(Response_Table!$O$4:$O$21,MATCH($F166&amp;"|high",Response_Table!$A$4:$A$21,0))*$R166*INDEX(Parameters!$X$15:$AA$15,1,MATCH($E166,Parameters!$X$3:$AA$3,0))))*(1+Inputs_General!$C$22*Parameters!$F$15)</f>
        <v>9.58450872730257</v>
      </c>
      <c r="CA166" s="45" t="n">
        <f aca="false">IF(BW166=0,0,BX166/BW166-1)</f>
        <v>-0.0129103222093158</v>
      </c>
      <c r="CB166" s="46" t="n">
        <f aca="false">BD166+BI166</f>
        <v>1.29777958212289</v>
      </c>
      <c r="CC166" s="43" t="n">
        <f aca="false">BD166/BI166</f>
        <v>2.64883181925781</v>
      </c>
      <c r="CD166" s="46" t="n">
        <f aca="false">BN166/CB166</f>
        <v>0.207347482857517</v>
      </c>
      <c r="CE166" s="43" t="n">
        <f aca="false">AE166/AO166</f>
        <v>2.39349727358889</v>
      </c>
      <c r="CF166" s="44" t="n">
        <f aca="false">AE166/AJ166</f>
        <v>53.169825682777</v>
      </c>
      <c r="CG166" s="44" t="n">
        <f aca="false">INDEX(Context!$V$4:$V$51,$K166)</f>
        <v>32.7871428571429</v>
      </c>
      <c r="CH166" s="44" t="n">
        <f aca="false">INDEX(Context!$Y$4:$Y$51,$K166)</f>
        <v>28.36912210206</v>
      </c>
      <c r="CI166" s="44" t="n">
        <f aca="false">INDEX(Context!$Z$4:$Z$51,$K166)</f>
        <v>36.7871428571429</v>
      </c>
      <c r="CJ166" s="43" t="n">
        <f aca="false">INDEX(Context!$AA$4:$AA$51,$K166)</f>
        <v>0.347678571428571</v>
      </c>
      <c r="CK166" s="43" t="n">
        <f aca="false">MAX(0,MIN(1,1-(1-CJ166)*AO166/AN166))</f>
        <v>0.379553811225219</v>
      </c>
      <c r="CL166" s="44" t="n">
        <f aca="false">CH166+CK166*(CI166-CH166)</f>
        <v>31.5642139626247</v>
      </c>
      <c r="CM166" s="44" t="n">
        <f aca="false">CH166+MAX(0,MIN(1,1-(1-CJ166)*AQ166/AN166))*(CI166-CH166)</f>
        <v>29.7193952773201</v>
      </c>
      <c r="CN166" s="44" t="n">
        <f aca="false">CH166+MAX(0,MIN(1,1-(1-CJ166)*AP166/AN166))*(CI166-CH166)</f>
        <v>33.2630229665258</v>
      </c>
      <c r="CO166" s="44" t="n">
        <f aca="false">CL166-CG166</f>
        <v>-1.22292889451814</v>
      </c>
      <c r="CP166" s="44" t="n">
        <f aca="false">CL166-(CH166+CJ166*(CI166-CH166))</f>
        <v>0.268326430181421</v>
      </c>
      <c r="CQ166" s="46" t="n">
        <f aca="false">CL166/CG166</f>
        <v>0.962700961781069</v>
      </c>
      <c r="CR166" s="43" t="n">
        <f aca="false">IF(CL166-CH166&lt;=0,"n/a",(CI166-CL166)/(CL166-CH166))</f>
        <v>1.6346725297579</v>
      </c>
      <c r="CS166" s="43" t="n">
        <f aca="false">IF(CI166-CL166&lt;=0,"n/a",(CL166-CH166)/(CI166-CL166))</f>
        <v>0.61174331971438</v>
      </c>
      <c r="CT166" s="43" t="n">
        <f aca="false">Inputs_General!$C$23+Inputs_General!$C$24*$I166</f>
        <v>0.66</v>
      </c>
      <c r="CU166" s="44" t="n">
        <f aca="false">3.29*CT166</f>
        <v>2.1714</v>
      </c>
    </row>
    <row r="167" customFormat="false" ht="15" hidden="false" customHeight="false" outlineLevel="0" collapsed="false">
      <c r="A167" s="9" t="str">
        <f aca="false">B167&amp;"|"&amp;E167&amp;"|"&amp;F167</f>
        <v>D3V1|13/03/2026|Low</v>
      </c>
      <c r="B167" s="7" t="s">
        <v>349</v>
      </c>
      <c r="C167" s="9" t="s">
        <v>131</v>
      </c>
      <c r="D167" s="9" t="s">
        <v>142</v>
      </c>
      <c r="E167" s="9" t="s">
        <v>164</v>
      </c>
      <c r="F167" s="7" t="s">
        <v>279</v>
      </c>
      <c r="G167" s="9" t="s">
        <v>280</v>
      </c>
      <c r="H167" s="41" t="n">
        <f aca="false">INDEX(Severity_Classes!$C$4:$C$9,MATCH(F167,Severity_Classes!$A$4:$A$9,0))</f>
        <v>0.06</v>
      </c>
      <c r="I167" s="41" t="n">
        <f aca="false">INDEX(Severity_Classes!$D$4:$D$9,MATCH(F167,Severity_Classes!$A$4:$A$9,0))</f>
        <v>0.08</v>
      </c>
      <c r="J167" s="41" t="n">
        <f aca="false">INDEX(Severity_Classes!$E$4:$E$9,MATCH(F167,Severity_Classes!$A$4:$A$9,0))</f>
        <v>0.1</v>
      </c>
      <c r="K167" s="42" t="n">
        <f aca="false">MATCH(B167&amp;"|"&amp;E167,Context!$A$4:$A$51,0)</f>
        <v>28</v>
      </c>
      <c r="L167" s="42" t="n">
        <f aca="false">INDEX(Context!$H$4:$H$51,K167)</f>
        <v>76</v>
      </c>
      <c r="M167" s="42" t="n">
        <f aca="false">INDEX(Context!$I$4:$I$51,K167)</f>
        <v>36</v>
      </c>
      <c r="N167" s="9" t="str">
        <f aca="false">INDEX(Context!$L$4:$L$51,K167)</f>
        <v>P</v>
      </c>
      <c r="O167" s="9" t="str">
        <f aca="false">INDEX(Context!$M$4:$M$51,K167)</f>
        <v>5th fully expanded leaf from top</v>
      </c>
      <c r="P167" s="43" t="n">
        <f aca="false">INDEX(Context!$R$4:$R$51,K167)</f>
        <v>0.953571428571428</v>
      </c>
      <c r="Q167" s="43" t="n">
        <f aca="false">INDEX(Context!$U$4:$U$51,K167)</f>
        <v>2.18945736698217</v>
      </c>
      <c r="R167" s="43" t="n">
        <f aca="false">INDEX(Context!$AD$4:$AD$51,K167)</f>
        <v>1</v>
      </c>
      <c r="S167" s="9" t="str">
        <f aca="false">INDEX(Context!$AI$4:$AN$51,K167,MATCH(F167,Severity_Classes!$A$4:$A$9,0))</f>
        <v>Likely</v>
      </c>
      <c r="T167" s="44" t="n">
        <f aca="false">Parameters!$E$4*IF($N167="V",Parameters!$I$4,IF($N167="F",Parameters!$J$4,Parameters!$K$4))*(1-Parameters!$L$4*$P167)*IF($D167="V1",Parameters!$M$4,IF($D167="V2",Parameters!$N$4,Parameters!$O$4))</f>
        <v>77.8046607142857</v>
      </c>
      <c r="U167" s="44" t="n">
        <f aca="false">MIN(100,T167*(1+INDEX(Response_Table!$E$4:$E$21,MATCH($F167&amp;"|mid",Response_Table!$A$4:$A$21,0))*$R167*INDEX(Parameters!$X$4:$AA$4,1,MATCH($E167,Parameters!$X$3:$AA$3,0))))</f>
        <v>76.7217268030843</v>
      </c>
      <c r="V167" s="44" t="n">
        <f aca="false">MAX(0,MIN(T167*(1+INDEX(Response_Table!$E$4:$E$21,MATCH($F167&amp;"|low",Response_Table!$A$4:$A$21,0))*$R167*INDEX(Parameters!$X$4:$AA$4,1,MATCH($E167,Parameters!$X$3:$AA$3,0))),T167*(1+INDEX(Response_Table!$E$4:$E$21,MATCH($F167&amp;"|high",Response_Table!$A$4:$A$21,0))*$R167*INDEX(Parameters!$X$4:$AA$4,1,MATCH($E167,Parameters!$X$3:$AA$3,0))))*(1-Inputs_General!$C$22*Parameters!$F$4))</f>
        <v>71.3199693255272</v>
      </c>
      <c r="W167" s="44" t="n">
        <f aca="false">MIN(100,MAX(T167*(1+INDEX(Response_Table!$E$4:$E$21,MATCH($F167&amp;"|low",Response_Table!$A$4:$A$21,0))*$R167*INDEX(Parameters!$X$4:$AA$4,1,MATCH($E167,Parameters!$X$3:$AA$3,0))),T167*(1+INDEX(Response_Table!$E$4:$E$21,MATCH($F167&amp;"|high",Response_Table!$A$4:$A$21,0))*$R167*INDEX(Parameters!$X$4:$AA$4,1,MATCH($E167,Parameters!$X$3:$AA$3,0))))*(1+Inputs_General!$C$22*Parameters!$F$4))</f>
        <v>82.1224306233185</v>
      </c>
      <c r="X167" s="45" t="n">
        <f aca="false">IF(T167=0,0,U167/T167-1)</f>
        <v>-0.0139186251987928</v>
      </c>
      <c r="Y167" s="44" t="n">
        <f aca="false">Parameters!$E$5*IF($N167="V",Parameters!$I$5,IF($N167="F",Parameters!$J$5,Parameters!$K$5))*(1-Parameters!$L$5*$P167)*IF($D167="V1",Parameters!$M$5,IF($D167="V2",Parameters!$N$5,Parameters!$O$5))</f>
        <v>58.6602514285714</v>
      </c>
      <c r="Z167" s="44" t="n">
        <f aca="false">MIN(100,Y167*(1+INDEX(Response_Table!$F$4:$F$21,MATCH($F167&amp;"|mid",Response_Table!$A$4:$A$21,0))*$R167*INDEX(Parameters!$X$5:$AA$5,1,MATCH($E167,Parameters!$X$3:$AA$3,0))))</f>
        <v>55.9648646381072</v>
      </c>
      <c r="AA167" s="44" t="n">
        <f aca="false">MAX(0,MIN(Y167*(1+INDEX(Response_Table!$F$4:$F$21,MATCH($F167&amp;"|low",Response_Table!$A$4:$A$21,0))*$R167*INDEX(Parameters!$X$5:$AA$5,1,MATCH($E167,Parameters!$X$3:$AA$3,0))),Y167*(1+INDEX(Response_Table!$F$4:$F$21,MATCH($F167&amp;"|high",Response_Table!$A$4:$A$21,0))*$R167*INDEX(Parameters!$X$5:$AA$5,1,MATCH($E167,Parameters!$X$3:$AA$3,0))))*(1-Inputs_General!$C$22*Parameters!$F$5))</f>
        <v>48.6475756046601</v>
      </c>
      <c r="AB167" s="44" t="n">
        <f aca="false">MIN(100,MAX(Y167*(1+INDEX(Response_Table!$F$4:$F$21,MATCH($F167&amp;"|low",Response_Table!$A$4:$A$21,0))*$R167*INDEX(Parameters!$X$5:$AA$5,1,MATCH($E167,Parameters!$X$3:$AA$3,0))),Y167*(1+INDEX(Response_Table!$F$4:$F$21,MATCH($F167&amp;"|high",Response_Table!$A$4:$A$21,0))*$R167*INDEX(Parameters!$X$5:$AA$5,1,MATCH($E167,Parameters!$X$3:$AA$3,0))))*(1+Inputs_General!$C$22*Parameters!$F$5))</f>
        <v>63.354120882343</v>
      </c>
      <c r="AC167" s="45" t="n">
        <f aca="false">IF(Y167=0,0,Z167/Y167-1)</f>
        <v>-0.0459491175851214</v>
      </c>
      <c r="AD167" s="44" t="n">
        <f aca="false">Parameters!$E$6*IF($N167="V",Parameters!$I$6,IF($N167="F",Parameters!$J$6,Parameters!$K$6))*(1-Parameters!$L$6*$P167)*IF($D167="V1",Parameters!$M$6,IF($D167="V2",Parameters!$N$6,Parameters!$O$6))</f>
        <v>14.3019785714286</v>
      </c>
      <c r="AE167" s="44" t="n">
        <f aca="false">AD167*(1+INDEX(Response_Table!$G$4:$G$21,MATCH($F167&amp;"|mid",Response_Table!$A$4:$A$21,0))*$R167*INDEX(Parameters!$X$6:$AA$6,1,MATCH($E167,Parameters!$X$3:$AA$3,0)))</f>
        <v>11.1192175685201</v>
      </c>
      <c r="AF167" s="44" t="n">
        <f aca="false">MAX(0,MIN(AD167*(1+INDEX(Response_Table!$G$4:$G$21,MATCH($F167&amp;"|low",Response_Table!$A$4:$A$21,0))*$R167*INDEX(Parameters!$X$6:$AA$6,1,MATCH($E167,Parameters!$X$3:$AA$3,0))),AD167*(1+INDEX(Response_Table!$G$4:$G$21,MATCH($F167&amp;"|high",Response_Table!$A$4:$A$21,0))*$R167*INDEX(Parameters!$X$6:$AA$6,1,MATCH($E167,Parameters!$X$3:$AA$3,0))))*(1-Inputs_General!$C$22*Parameters!$F$6))</f>
        <v>8.41425049691995</v>
      </c>
      <c r="AG167" s="44" t="n">
        <f aca="false">MAX(AD167*(1+INDEX(Response_Table!$G$4:$G$21,MATCH($F167&amp;"|low",Response_Table!$A$4:$A$21,0))*$R167*INDEX(Parameters!$X$6:$AA$6,1,MATCH($E167,Parameters!$X$3:$AA$3,0))),AD167*(1+INDEX(Response_Table!$G$4:$G$21,MATCH($F167&amp;"|high",Response_Table!$A$4:$A$21,0))*$R167*INDEX(Parameters!$X$6:$AA$6,1,MATCH($E167,Parameters!$X$3:$AA$3,0))))*(1+Inputs_General!$C$22*Parameters!$F$6)</f>
        <v>14.1450663770323</v>
      </c>
      <c r="AH167" s="45" t="n">
        <f aca="false">IF(AD167=0,0,AE167/AD167-1)</f>
        <v>-0.222539908517744</v>
      </c>
      <c r="AI167" s="46" t="n">
        <f aca="false">Parameters!$E$7*IF($N167="V",Parameters!$I$7,IF($N167="F",Parameters!$J$7,Parameters!$K$7))*(1-Parameters!$L$7*$P167)*IF($D167="V1",Parameters!$M$7,IF($D167="V2",Parameters!$N$7,Parameters!$O$7))*POWER($Q167/Inputs_General!$C$26,-Inputs_General!$C$25)</f>
        <v>0.258501574676089</v>
      </c>
      <c r="AJ167" s="46" t="n">
        <f aca="false">AI167*(1+INDEX(Response_Table!$H$4:$H$21,MATCH($F167&amp;"|mid",Response_Table!$A$4:$A$21,0))*$R167*INDEX(Parameters!$X$7:$AA$7,1,MATCH($E167,Parameters!$X$3:$AA$3,0)))</f>
        <v>0.222649502636993</v>
      </c>
      <c r="AK167" s="46" t="n">
        <f aca="false">MAX(0,MIN(AI167*(1+INDEX(Response_Table!$H$4:$H$21,MATCH($F167&amp;"|low",Response_Table!$A$4:$A$21,0))*$R167*INDEX(Parameters!$X$7:$AA$7,1,MATCH($E167,Parameters!$X$3:$AA$3,0))),AI167*(1+INDEX(Response_Table!$H$4:$H$21,MATCH($F167&amp;"|high",Response_Table!$A$4:$A$21,0))*$R167*INDEX(Parameters!$X$7:$AA$7,1,MATCH($E167,Parameters!$X$3:$AA$3,0))))*(1-Inputs_General!$C$22*Parameters!$F$7))</f>
        <v>0.151304917580951</v>
      </c>
      <c r="AL167" s="46" t="n">
        <f aca="false">MAX(AI167*(1+INDEX(Response_Table!$H$4:$H$21,MATCH($F167&amp;"|low",Response_Table!$A$4:$A$21,0))*$R167*INDEX(Parameters!$X$7:$AA$7,1,MATCH($E167,Parameters!$X$3:$AA$3,0))),AI167*(1+INDEX(Response_Table!$H$4:$H$21,MATCH($F167&amp;"|high",Response_Table!$A$4:$A$21,0))*$R167*INDEX(Parameters!$X$7:$AA$7,1,MATCH($E167,Parameters!$X$3:$AA$3,0))))*(1+Inputs_General!$C$22*Parameters!$F$7)</f>
        <v>0.299169279878308</v>
      </c>
      <c r="AM167" s="45" t="n">
        <f aca="false">IF(AI167=0,0,AJ167/AI167-1)</f>
        <v>-0.13869189030674</v>
      </c>
      <c r="AN167" s="43" t="n">
        <f aca="false">AI167*$Q167/Inputs_General!$C$13*1000</f>
        <v>5.69967952720096</v>
      </c>
      <c r="AO167" s="43" t="n">
        <f aca="false">AJ167*$Q167/Inputs_General!$C$13*1000*(1+Inputs_General!$C$21*$I167)</f>
        <v>5.00736380341944</v>
      </c>
      <c r="AP167" s="43" t="n">
        <f aca="false">AK167*$Q167/Inputs_General!$C$13*1000*(1+Inputs_General!$C$21*$H167)</f>
        <v>3.38615107205555</v>
      </c>
      <c r="AQ167" s="43" t="n">
        <f aca="false">AL167*$Q167/Inputs_General!$C$13*1000*(1+Inputs_General!$C$21*$J167)</f>
        <v>6.76126730513012</v>
      </c>
      <c r="AR167" s="45" t="n">
        <f aca="false">IF(AN167=0,0,AO167/AN167-1)</f>
        <v>-0.121465728112875</v>
      </c>
      <c r="AS167" s="42" t="n">
        <f aca="false">Parameters!$E$9*IF($N167="V",Parameters!$I$9,IF($N167="F",Parameters!$J$9,Parameters!$K$9))*(1-Parameters!$L$9*$P167)*IF($D167="V1",Parameters!$M$9,IF($D167="V2",Parameters!$N$9,Parameters!$O$9))</f>
        <v>293.55</v>
      </c>
      <c r="AT167" s="42" t="n">
        <f aca="false">AS167*(1+INDEX(Response_Table!$I$4:$I$21,MATCH($F167&amp;"|mid",Response_Table!$A$4:$A$21,0))*$R167*INDEX(Parameters!$X$9:$AA$9,1,MATCH($E167,Parameters!$X$3:$AA$3,0)))</f>
        <v>317.666685050105</v>
      </c>
      <c r="AU167" s="42" t="n">
        <f aca="false">MAX(0,MIN(AS167*(1+INDEX(Response_Table!$I$4:$I$21,MATCH($F167&amp;"|low",Response_Table!$A$4:$A$21,0))*$R167*INDEX(Parameters!$X$9:$AA$9,1,MATCH($E167,Parameters!$X$3:$AA$3,0))),AS167*(1+INDEX(Response_Table!$I$4:$I$21,MATCH($F167&amp;"|high",Response_Table!$A$4:$A$21,0))*$R167*INDEX(Parameters!$X$9:$AA$9,1,MATCH($E167,Parameters!$X$3:$AA$3,0))))*(1-Inputs_General!$C$22*Parameters!$F$9))</f>
        <v>281.512598476296</v>
      </c>
      <c r="AV167" s="42" t="n">
        <f aca="false">MAX(AS167*(1+INDEX(Response_Table!$I$4:$I$21,MATCH($F167&amp;"|low",Response_Table!$A$4:$A$21,0))*$R167*INDEX(Parameters!$X$9:$AA$9,1,MATCH($E167,Parameters!$X$3:$AA$3,0))),AS167*(1+INDEX(Response_Table!$I$4:$I$21,MATCH($F167&amp;"|high",Response_Table!$A$4:$A$21,0))*$R167*INDEX(Parameters!$X$9:$AA$9,1,MATCH($E167,Parameters!$X$3:$AA$3,0))))*(1+Inputs_General!$C$22*Parameters!$F$9)</f>
        <v>354.422233415769</v>
      </c>
      <c r="AW167" s="45" t="n">
        <f aca="false">IF(AS167=0,0,AT167/AS167-1)</f>
        <v>0.0821552888778927</v>
      </c>
      <c r="AX167" s="43" t="n">
        <f aca="false">INDEX(Context!$AB$4:$AB$51,$K167)</f>
        <v>2.72032542211643</v>
      </c>
      <c r="AY167" s="43" t="n">
        <f aca="false">AX167*(1+INDEX(Response_Table!$J$4:$J$21,MATCH($F167&amp;"|mid",Response_Table!$A$4:$A$21,0))*$R167*INDEX(Parameters!$X$10:$AA$10,1,MATCH($E167,Parameters!$X$3:$AA$3,0)))</f>
        <v>2.49842531882399</v>
      </c>
      <c r="AZ167" s="43" t="n">
        <f aca="false">MAX(0,MIN(AX167*(1+INDEX(Response_Table!$J$4:$J$21,MATCH($F167&amp;"|low",Response_Table!$A$4:$A$21,0))*$R167*INDEX(Parameters!$X$10:$AA$10,1,MATCH($E167,Parameters!$X$3:$AA$3,0))),AX167*(1+INDEX(Response_Table!$J$4:$J$21,MATCH($F167&amp;"|high",Response_Table!$A$4:$A$21,0))*$R167*INDEX(Parameters!$X$10:$AA$10,1,MATCH($E167,Parameters!$X$3:$AA$3,0))))*(1-Inputs_General!$C$22*Parameters!$F$10))</f>
        <v>1.96600496804373</v>
      </c>
      <c r="BA167" s="43" t="n">
        <f aca="false">MAX(AX167*(1+INDEX(Response_Table!$J$4:$J$21,MATCH($F167&amp;"|low",Response_Table!$A$4:$A$21,0))*$R167*INDEX(Parameters!$X$10:$AA$10,1,MATCH($E167,Parameters!$X$3:$AA$3,0))),AX167*(1+INDEX(Response_Table!$J$4:$J$21,MATCH($F167&amp;"|high",Response_Table!$A$4:$A$21,0))*$R167*INDEX(Parameters!$X$10:$AA$10,1,MATCH($E167,Parameters!$X$3:$AA$3,0))))*(1+Inputs_General!$C$22*Parameters!$F$10)</f>
        <v>3.05314439468499</v>
      </c>
      <c r="BB167" s="45" t="n">
        <f aca="false">IF(AX167=0,0,AY167/AX167-1)</f>
        <v>-0.0815711611149081</v>
      </c>
      <c r="BC167" s="46" t="n">
        <f aca="false">Parameters!$E$11*IF($N167="V",Parameters!$I$11,IF($N167="F",Parameters!$J$11,Parameters!$K$11))*(1-Parameters!$L$11*$P167)*IF($D167="V1",Parameters!$M$11,IF($D167="V2",Parameters!$N$11,Parameters!$O$11))</f>
        <v>1.00170982142857</v>
      </c>
      <c r="BD167" s="46" t="n">
        <f aca="false">BC167*(1+INDEX(Response_Table!$K$4:$K$21,MATCH($F167&amp;"|mid",Response_Table!$A$4:$A$21,0))*$R167*INDEX(Parameters!$X$11:$AA$11,1,MATCH($E167,Parameters!$X$3:$AA$3,0)))</f>
        <v>0.85465108615751</v>
      </c>
      <c r="BE167" s="46" t="n">
        <f aca="false">MAX(0,MIN(BC167*(1+INDEX(Response_Table!$K$4:$K$21,MATCH($F167&amp;"|low",Response_Table!$A$4:$A$21,0))*$R167*INDEX(Parameters!$X$11:$AA$11,1,MATCH($E167,Parameters!$X$3:$AA$3,0))),BC167*(1+INDEX(Response_Table!$K$4:$K$21,MATCH($F167&amp;"|high",Response_Table!$A$4:$A$21,0))*$R167*INDEX(Parameters!$X$11:$AA$11,1,MATCH($E167,Parameters!$X$3:$AA$3,0))))*(1-Inputs_General!$C$22*Parameters!$F$11))</f>
        <v>0.687952656713805</v>
      </c>
      <c r="BF167" s="46" t="n">
        <f aca="false">MAX(BC167*(1+INDEX(Response_Table!$K$4:$K$21,MATCH($F167&amp;"|low",Response_Table!$A$4:$A$21,0))*$R167*INDEX(Parameters!$X$11:$AA$11,1,MATCH($E167,Parameters!$X$3:$AA$3,0))),BC167*(1+INDEX(Response_Table!$K$4:$K$21,MATCH($F167&amp;"|high",Response_Table!$A$4:$A$21,0))*$R167*INDEX(Parameters!$X$11:$AA$11,1,MATCH($E167,Parameters!$X$3:$AA$3,0))))*(1+Inputs_General!$C$22*Parameters!$F$11)</f>
        <v>1.03403539948552</v>
      </c>
      <c r="BG167" s="45" t="n">
        <f aca="false">IF(BC167=0,0,BD167/BC167-1)</f>
        <v>-0.146807720285039</v>
      </c>
      <c r="BH167" s="46" t="n">
        <f aca="false">Parameters!$E$12*IF($N167="V",Parameters!$I$12,IF($N167="F",Parameters!$J$12,Parameters!$K$12))*(1-Parameters!$L$12*$P167)*IF($D167="V1",Parameters!$M$12,IF($D167="V2",Parameters!$N$12,Parameters!$O$12))</f>
        <v>0.373343142857143</v>
      </c>
      <c r="BI167" s="46" t="n">
        <f aca="false">BH167*(1+INDEX(Response_Table!$L$4:$L$21,MATCH($F167&amp;"|mid",Response_Table!$A$4:$A$21,0))*$R167*INDEX(Parameters!$X$12:$AA$12,1,MATCH($E167,Parameters!$X$3:$AA$3,0)))</f>
        <v>0.329529579135983</v>
      </c>
      <c r="BJ167" s="46" t="n">
        <f aca="false">MAX(0,MIN(BH167*(1+INDEX(Response_Table!$L$4:$L$21,MATCH($F167&amp;"|low",Response_Table!$A$4:$A$21,0))*$R167*INDEX(Parameters!$X$12:$AA$12,1,MATCH($E167,Parameters!$X$3:$AA$3,0))),BH167*(1+INDEX(Response_Table!$L$4:$L$21,MATCH($F167&amp;"|high",Response_Table!$A$4:$A$21,0))*$R167*INDEX(Parameters!$X$12:$AA$12,1,MATCH($E167,Parameters!$X$3:$AA$3,0))))*(1-Inputs_General!$C$22*Parameters!$F$12))</f>
        <v>0.256930788681577</v>
      </c>
      <c r="BK167" s="46" t="n">
        <f aca="false">MAX(BH167*(1+INDEX(Response_Table!$L$4:$L$21,MATCH($F167&amp;"|low",Response_Table!$A$4:$A$21,0))*$R167*INDEX(Parameters!$X$12:$AA$12,1,MATCH($E167,Parameters!$X$3:$AA$3,0))),BH167*(1+INDEX(Response_Table!$L$4:$L$21,MATCH($F167&amp;"|high",Response_Table!$A$4:$A$21,0))*$R167*INDEX(Parameters!$X$12:$AA$12,1,MATCH($E167,Parameters!$X$3:$AA$3,0))))*(1+Inputs_General!$C$22*Parameters!$F$12)</f>
        <v>0.406538538895065</v>
      </c>
      <c r="BL167" s="45" t="n">
        <f aca="false">IF(BH167=0,0,BI167/BH167-1)</f>
        <v>-0.117354676413396</v>
      </c>
      <c r="BM167" s="46" t="n">
        <f aca="false">Parameters!$E$13*IF($N167="V",Parameters!$I$13,IF($N167="F",Parameters!$J$13,Parameters!$K$13))*(1-Parameters!$L$13*$P167)*IF($D167="V1",Parameters!$M$13,IF($D167="V2",Parameters!$N$13,Parameters!$O$13))</f>
        <v>0.262276071428571</v>
      </c>
      <c r="BN167" s="46" t="n">
        <f aca="false">BM167*(1+INDEX(Response_Table!$M$4:$M$21,MATCH($F167&amp;"|mid",Response_Table!$A$4:$A$21,0))*$R167*INDEX(Parameters!$X$13:$AA$13,1,MATCH($E167,Parameters!$X$3:$AA$3,0)))</f>
        <v>0.265518686251243</v>
      </c>
      <c r="BO167" s="46" t="n">
        <f aca="false">MAX(0,MIN(BM167*(1+INDEX(Response_Table!$M$4:$M$21,MATCH($F167&amp;"|low",Response_Table!$A$4:$A$21,0))*$R167*INDEX(Parameters!$X$13:$AA$13,1,MATCH($E167,Parameters!$X$3:$AA$3,0))),BM167*(1+INDEX(Response_Table!$M$4:$M$21,MATCH($F167&amp;"|high",Response_Table!$A$4:$A$21,0))*$R167*INDEX(Parameters!$X$13:$AA$13,1,MATCH($E167,Parameters!$X$3:$AA$3,0))))*(1-Inputs_General!$C$22*Parameters!$F$13))</f>
        <v>0.209729658918459</v>
      </c>
      <c r="BP167" s="46" t="n">
        <f aca="false">MAX(BM167*(1+INDEX(Response_Table!$M$4:$M$21,MATCH($F167&amp;"|low",Response_Table!$A$4:$A$21,0))*$R167*INDEX(Parameters!$X$13:$AA$13,1,MATCH($E167,Parameters!$X$3:$AA$3,0))),BM167*(1+INDEX(Response_Table!$M$4:$M$21,MATCH($F167&amp;"|high",Response_Table!$A$4:$A$21,0))*$R167*INDEX(Parameters!$X$13:$AA$13,1,MATCH($E167,Parameters!$X$3:$AA$3,0))))*(1+Inputs_General!$C$22*Parameters!$F$13)</f>
        <v>0.321466449735721</v>
      </c>
      <c r="BQ167" s="45" t="n">
        <f aca="false">IF(BM167=0,0,BN167/BM167-1)</f>
        <v>0.012363365079435</v>
      </c>
      <c r="BR167" s="44" t="n">
        <f aca="false">Parameters!$E$14*IF($N167="V",Parameters!$I$14,IF($N167="F",Parameters!$J$14,Parameters!$K$14))*(1-Parameters!$L$14*$P167)*IF($D167="V1",Parameters!$M$14,IF($D167="V2",Parameters!$N$14,Parameters!$O$14))*INDEX(Context!$AC$4:$AC$51,$K167)</f>
        <v>17.25</v>
      </c>
      <c r="BS167" s="44" t="n">
        <f aca="false">BR167*(1+INDEX(Response_Table!$N$4:$N$21,MATCH($F167&amp;"|mid",Response_Table!$A$4:$A$21,0))*$R167*INDEX(Parameters!$X$14:$AA$14,1,MATCH($E167,Parameters!$X$3:$AA$3,0)))</f>
        <v>19.4584016379612</v>
      </c>
      <c r="BT167" s="44" t="n">
        <f aca="false">MAX(0,MIN(BR167*(1+INDEX(Response_Table!$N$4:$N$21,MATCH($F167&amp;"|low",Response_Table!$A$4:$A$21,0))*$R167*INDEX(Parameters!$X$14:$AA$14,1,MATCH($E167,Parameters!$X$3:$AA$3,0))),BR167*(1+INDEX(Response_Table!$N$4:$N$21,MATCH($F167&amp;"|high",Response_Table!$A$4:$A$21,0))*$R167*INDEX(Parameters!$X$14:$AA$14,1,MATCH($E167,Parameters!$X$3:$AA$3,0))))*(1-Inputs_General!$C$22*Parameters!$F$14))</f>
        <v>9.60068385247397</v>
      </c>
      <c r="BU167" s="44" t="n">
        <f aca="false">MAX(BR167*(1+INDEX(Response_Table!$N$4:$N$21,MATCH($F167&amp;"|low",Response_Table!$A$4:$A$21,0))*$R167*INDEX(Parameters!$X$14:$AA$14,1,MATCH($E167,Parameters!$X$3:$AA$3,0))),BR167*(1+INDEX(Response_Table!$N$4:$N$21,MATCH($F167&amp;"|high",Response_Table!$A$4:$A$21,0))*$R167*INDEX(Parameters!$X$14:$AA$14,1,MATCH($E167,Parameters!$X$3:$AA$3,0))))*(1+Inputs_General!$C$22*Parameters!$F$14)</f>
        <v>29.7692356697127</v>
      </c>
      <c r="BV167" s="45" t="n">
        <f aca="false">IF(BR167=0,0,BS167/BR167-1)</f>
        <v>0.128023283360068</v>
      </c>
      <c r="BW167" s="43" t="n">
        <f aca="false">Parameters!$E$15*IF($N167="V",Parameters!$I$15,IF($N167="F",Parameters!$J$15,Parameters!$K$15))*(1-Parameters!$L$15*$P167)*IF($D167="V1",Parameters!$M$15,IF($D167="V2",Parameters!$N$15,Parameters!$O$15))</f>
        <v>8.04007657142857</v>
      </c>
      <c r="BX167" s="43" t="n">
        <f aca="false">BW167*(1+INDEX(Response_Table!$O$4:$O$21,MATCH($F167&amp;"|mid",Response_Table!$A$4:$A$21,0))*$R167*INDEX(Parameters!$X$15:$AA$15,1,MATCH($E167,Parameters!$X$3:$AA$3,0)))</f>
        <v>7.78274732114341</v>
      </c>
      <c r="BY167" s="43" t="n">
        <f aca="false">MAX(0,MIN(BW167*(1+INDEX(Response_Table!$O$4:$O$21,MATCH($F167&amp;"|low",Response_Table!$A$4:$A$21,0))*$R167*INDEX(Parameters!$X$15:$AA$15,1,MATCH($E167,Parameters!$X$3:$AA$3,0))),BW167*(1+INDEX(Response_Table!$O$4:$O$21,MATCH($F167&amp;"|high",Response_Table!$A$4:$A$21,0))*$R167*INDEX(Parameters!$X$15:$AA$15,1,MATCH($E167,Parameters!$X$3:$AA$3,0))))*(1-Inputs_General!$C$22*Parameters!$F$15))</f>
        <v>6.20209179590486</v>
      </c>
      <c r="BZ167" s="43" t="n">
        <f aca="false">MAX(BW167*(1+INDEX(Response_Table!$O$4:$O$21,MATCH($F167&amp;"|low",Response_Table!$A$4:$A$21,0))*$R167*INDEX(Parameters!$X$15:$AA$15,1,MATCH($E167,Parameters!$X$3:$AA$3,0))),BW167*(1+INDEX(Response_Table!$O$4:$O$21,MATCH($F167&amp;"|high",Response_Table!$A$4:$A$21,0))*$R167*INDEX(Parameters!$X$15:$AA$15,1,MATCH($E167,Parameters!$X$3:$AA$3,0))))*(1+Inputs_General!$C$22*Parameters!$F$15)</f>
        <v>9.38930499778022</v>
      </c>
      <c r="CA167" s="45" t="n">
        <f aca="false">IF(BW167=0,0,BX167/BW167-1)</f>
        <v>-0.032005820840017</v>
      </c>
      <c r="CB167" s="46" t="n">
        <f aca="false">BD167+BI167</f>
        <v>1.18418066529349</v>
      </c>
      <c r="CC167" s="43" t="n">
        <f aca="false">BD167/BI167</f>
        <v>2.59354892631606</v>
      </c>
      <c r="CD167" s="46" t="n">
        <f aca="false">BN167/CB167</f>
        <v>0.224221433462972</v>
      </c>
      <c r="CE167" s="43" t="n">
        <f aca="false">AE167/AO167</f>
        <v>2.22057314088643</v>
      </c>
      <c r="CF167" s="44" t="n">
        <f aca="false">AE167/AJ167</f>
        <v>49.9404554549975</v>
      </c>
      <c r="CG167" s="44" t="n">
        <f aca="false">INDEX(Context!$V$4:$V$51,$K167)</f>
        <v>32.7871428571429</v>
      </c>
      <c r="CH167" s="44" t="n">
        <f aca="false">INDEX(Context!$Y$4:$Y$51,$K167)</f>
        <v>28.36912210206</v>
      </c>
      <c r="CI167" s="44" t="n">
        <f aca="false">INDEX(Context!$Z$4:$Z$51,$K167)</f>
        <v>36.7871428571429</v>
      </c>
      <c r="CJ167" s="43" t="n">
        <f aca="false">INDEX(Context!$AA$4:$AA$51,$K167)</f>
        <v>0.347678571428571</v>
      </c>
      <c r="CK167" s="43" t="n">
        <f aca="false">MAX(0,MIN(1,1-(1-CJ167)*AO167/AN167))</f>
        <v>0.426913268713631</v>
      </c>
      <c r="CL167" s="44" t="n">
        <f aca="false">CH167+CK167*(CI167-CH167)</f>
        <v>31.9628868587116</v>
      </c>
      <c r="CM167" s="44" t="n">
        <f aca="false">CH167+MAX(0,MIN(1,1-(1-CJ167)*AQ167/AN167))*(CI167-CH167)</f>
        <v>30.2731195837596</v>
      </c>
      <c r="CN167" s="44" t="n">
        <f aca="false">CH167+MAX(0,MIN(1,1-(1-CJ167)*AP167/AN167))*(CI167-CH167)</f>
        <v>33.5248155603319</v>
      </c>
      <c r="CO167" s="44" t="n">
        <f aca="false">CL167-CG167</f>
        <v>-0.824255998431227</v>
      </c>
      <c r="CP167" s="44" t="n">
        <f aca="false">CL167-(CH167+CJ167*(CI167-CH167))</f>
        <v>0.666999326268332</v>
      </c>
      <c r="CQ167" s="46" t="n">
        <f aca="false">CL167/CG167</f>
        <v>0.974860389573358</v>
      </c>
      <c r="CR167" s="43" t="n">
        <f aca="false">IF(CL167-CH167&lt;=0,"n/a",(CI167-CL167)/(CL167-CH167))</f>
        <v>1.34239615698333</v>
      </c>
      <c r="CS167" s="43" t="n">
        <f aca="false">IF(CI167-CL167&lt;=0,"n/a",(CL167-CH167)/(CI167-CL167))</f>
        <v>0.744936578369852</v>
      </c>
      <c r="CT167" s="43" t="n">
        <f aca="false">Inputs_General!$C$23+Inputs_General!$C$24*$I167</f>
        <v>0.76</v>
      </c>
      <c r="CU167" s="44" t="n">
        <f aca="false">3.29*CT167</f>
        <v>2.5004</v>
      </c>
    </row>
    <row r="168" customFormat="false" ht="15" hidden="false" customHeight="false" outlineLevel="0" collapsed="false">
      <c r="A168" s="9" t="str">
        <f aca="false">B168&amp;"|"&amp;E168&amp;"|"&amp;F168</f>
        <v>D3V1|13/03/2026|Moderate</v>
      </c>
      <c r="B168" s="7" t="s">
        <v>349</v>
      </c>
      <c r="C168" s="9" t="s">
        <v>131</v>
      </c>
      <c r="D168" s="9" t="s">
        <v>142</v>
      </c>
      <c r="E168" s="9" t="s">
        <v>164</v>
      </c>
      <c r="F168" s="7" t="s">
        <v>281</v>
      </c>
      <c r="G168" s="9" t="s">
        <v>282</v>
      </c>
      <c r="H168" s="41" t="n">
        <f aca="false">INDEX(Severity_Classes!$C$4:$C$9,MATCH(F168,Severity_Classes!$A$4:$A$9,0))</f>
        <v>0.11</v>
      </c>
      <c r="I168" s="41" t="n">
        <f aca="false">INDEX(Severity_Classes!$D$4:$D$9,MATCH(F168,Severity_Classes!$A$4:$A$9,0))</f>
        <v>0.18</v>
      </c>
      <c r="J168" s="41" t="n">
        <f aca="false">INDEX(Severity_Classes!$E$4:$E$9,MATCH(F168,Severity_Classes!$A$4:$A$9,0))</f>
        <v>0.25</v>
      </c>
      <c r="K168" s="42" t="n">
        <f aca="false">MATCH(B168&amp;"|"&amp;E168,Context!$A$4:$A$51,0)</f>
        <v>28</v>
      </c>
      <c r="L168" s="42" t="n">
        <f aca="false">INDEX(Context!$H$4:$H$51,K168)</f>
        <v>76</v>
      </c>
      <c r="M168" s="42" t="n">
        <f aca="false">INDEX(Context!$I$4:$I$51,K168)</f>
        <v>36</v>
      </c>
      <c r="N168" s="9" t="str">
        <f aca="false">INDEX(Context!$L$4:$L$51,K168)</f>
        <v>P</v>
      </c>
      <c r="O168" s="9" t="str">
        <f aca="false">INDEX(Context!$M$4:$M$51,K168)</f>
        <v>5th fully expanded leaf from top</v>
      </c>
      <c r="P168" s="43" t="n">
        <f aca="false">INDEX(Context!$R$4:$R$51,K168)</f>
        <v>0.953571428571428</v>
      </c>
      <c r="Q168" s="43" t="n">
        <f aca="false">INDEX(Context!$U$4:$U$51,K168)</f>
        <v>2.18945736698217</v>
      </c>
      <c r="R168" s="43" t="n">
        <f aca="false">INDEX(Context!$AD$4:$AD$51,K168)</f>
        <v>1</v>
      </c>
      <c r="S168" s="9" t="str">
        <f aca="false">INDEX(Context!$AI$4:$AN$51,K168,MATCH(F168,Severity_Classes!$A$4:$A$9,0))</f>
        <v>Likely</v>
      </c>
      <c r="T168" s="44" t="n">
        <f aca="false">Parameters!$E$4*IF($N168="V",Parameters!$I$4,IF($N168="F",Parameters!$J$4,Parameters!$K$4))*(1-Parameters!$L$4*$P168)*IF($D168="V1",Parameters!$M$4,IF($D168="V2",Parameters!$N$4,Parameters!$O$4))</f>
        <v>77.8046607142857</v>
      </c>
      <c r="U168" s="44" t="n">
        <f aca="false">MIN(100,T168*(1+INDEX(Response_Table!$E$4:$E$21,MATCH($F168&amp;"|mid",Response_Table!$A$4:$A$21,0))*$R168*INDEX(Parameters!$X$4:$AA$4,1,MATCH($E168,Parameters!$X$3:$AA$3,0))))</f>
        <v>74.2653324067678</v>
      </c>
      <c r="V168" s="44" t="n">
        <f aca="false">MAX(0,MIN(T168*(1+INDEX(Response_Table!$E$4:$E$21,MATCH($F168&amp;"|low",Response_Table!$A$4:$A$21,0))*$R168*INDEX(Parameters!$X$4:$AA$4,1,MATCH($E168,Parameters!$X$3:$AA$3,0))),T168*(1+INDEX(Response_Table!$E$4:$E$21,MATCH($F168&amp;"|high",Response_Table!$A$4:$A$21,0))*$R168*INDEX(Parameters!$X$4:$AA$4,1,MATCH($E168,Parameters!$X$3:$AA$3,0))))*(1-Inputs_General!$C$22*Parameters!$F$4))</f>
        <v>66.9018456132673</v>
      </c>
      <c r="W168" s="44" t="n">
        <f aca="false">MIN(100,MAX(T168*(1+INDEX(Response_Table!$E$4:$E$21,MATCH($F168&amp;"|low",Response_Table!$A$4:$A$21,0))*$R168*INDEX(Parameters!$X$4:$AA$4,1,MATCH($E168,Parameters!$X$3:$AA$3,0))),T168*(1+INDEX(Response_Table!$E$4:$E$21,MATCH($F168&amp;"|high",Response_Table!$A$4:$A$21,0))*$R168*INDEX(Parameters!$X$4:$AA$4,1,MATCH($E168,Parameters!$X$3:$AA$3,0))))*(1+Inputs_General!$C$22*Parameters!$F$4))</f>
        <v>81.1444961390223</v>
      </c>
      <c r="X168" s="45" t="n">
        <f aca="false">IF(T168=0,0,U168/T168-1)</f>
        <v>-0.0454899266319667</v>
      </c>
      <c r="Y168" s="44" t="n">
        <f aca="false">Parameters!$E$5*IF($N168="V",Parameters!$I$5,IF($N168="F",Parameters!$J$5,Parameters!$K$5))*(1-Parameters!$L$5*$P168)*IF($D168="V1",Parameters!$M$5,IF($D168="V2",Parameters!$N$5,Parameters!$O$5))</f>
        <v>58.6602514285714</v>
      </c>
      <c r="Z168" s="44" t="n">
        <f aca="false">MIN(100,Y168*(1+INDEX(Response_Table!$F$4:$F$21,MATCH($F168&amp;"|mid",Response_Table!$A$4:$A$21,0))*$R168*INDEX(Parameters!$X$5:$AA$5,1,MATCH($E168,Parameters!$X$3:$AA$3,0))))</f>
        <v>49.4423799652227</v>
      </c>
      <c r="AA168" s="44" t="n">
        <f aca="false">MAX(0,MIN(Y168*(1+INDEX(Response_Table!$F$4:$F$21,MATCH($F168&amp;"|low",Response_Table!$A$4:$A$21,0))*$R168*INDEX(Parameters!$X$5:$AA$5,1,MATCH($E168,Parameters!$X$3:$AA$3,0))),Y168*(1+INDEX(Response_Table!$F$4:$F$21,MATCH($F168&amp;"|high",Response_Table!$A$4:$A$21,0))*$R168*INDEX(Parameters!$X$5:$AA$5,1,MATCH($E168,Parameters!$X$3:$AA$3,0))))*(1-Inputs_General!$C$22*Parameters!$F$5))</f>
        <v>37.7125851817806</v>
      </c>
      <c r="AB168" s="44" t="n">
        <f aca="false">MIN(100,MAX(Y168*(1+INDEX(Response_Table!$F$4:$F$21,MATCH($F168&amp;"|low",Response_Table!$A$4:$A$21,0))*$R168*INDEX(Parameters!$X$5:$AA$5,1,MATCH($E168,Parameters!$X$3:$AA$3,0))),Y168*(1+INDEX(Response_Table!$F$4:$F$21,MATCH($F168&amp;"|high",Response_Table!$A$4:$A$21,0))*$R168*INDEX(Parameters!$X$5:$AA$5,1,MATCH($E168,Parameters!$X$3:$AA$3,0))))*(1+Inputs_General!$C$22*Parameters!$F$5))</f>
        <v>60.6963502097679</v>
      </c>
      <c r="AC168" s="45" t="n">
        <f aca="false">IF(Y168=0,0,Z168/Y168-1)</f>
        <v>-0.157139992394561</v>
      </c>
      <c r="AD168" s="44" t="n">
        <f aca="false">Parameters!$E$6*IF($N168="V",Parameters!$I$6,IF($N168="F",Parameters!$J$6,Parameters!$K$6))*(1-Parameters!$L$6*$P168)*IF($D168="V1",Parameters!$M$6,IF($D168="V2",Parameters!$N$6,Parameters!$O$6))</f>
        <v>14.3019785714286</v>
      </c>
      <c r="AE168" s="44" t="n">
        <f aca="false">AD168*(1+INDEX(Response_Table!$G$4:$G$21,MATCH($F168&amp;"|mid",Response_Table!$A$4:$A$21,0))*$R168*INDEX(Parameters!$X$6:$AA$6,1,MATCH($E168,Parameters!$X$3:$AA$3,0)))</f>
        <v>8.43392695754397</v>
      </c>
      <c r="AF168" s="44" t="n">
        <f aca="false">MAX(0,MIN(AD168*(1+INDEX(Response_Table!$G$4:$G$21,MATCH($F168&amp;"|low",Response_Table!$A$4:$A$21,0))*$R168*INDEX(Parameters!$X$6:$AA$6,1,MATCH($E168,Parameters!$X$3:$AA$3,0))),AD168*(1+INDEX(Response_Table!$G$4:$G$21,MATCH($F168&amp;"|high",Response_Table!$A$4:$A$21,0))*$R168*INDEX(Parameters!$X$6:$AA$6,1,MATCH($E168,Parameters!$X$3:$AA$3,0))))*(1-Inputs_General!$C$22*Parameters!$F$6))</f>
        <v>5.73540445847292</v>
      </c>
      <c r="AG168" s="44" t="n">
        <f aca="false">MAX(AD168*(1+INDEX(Response_Table!$G$4:$G$21,MATCH($F168&amp;"|low",Response_Table!$A$4:$A$21,0))*$R168*INDEX(Parameters!$X$6:$AA$6,1,MATCH($E168,Parameters!$X$3:$AA$3,0))),AD168*(1+INDEX(Response_Table!$G$4:$G$21,MATCH($F168&amp;"|high",Response_Table!$A$4:$A$21,0))*$R168*INDEX(Parameters!$X$6:$AA$6,1,MATCH($E168,Parameters!$X$3:$AA$3,0))))*(1+Inputs_General!$C$22*Parameters!$F$6)</f>
        <v>12.1971574001877</v>
      </c>
      <c r="AH168" s="45" t="n">
        <f aca="false">IF(AD168=0,0,AE168/AD168-1)</f>
        <v>-0.410296490417582</v>
      </c>
      <c r="AI168" s="46" t="n">
        <f aca="false">Parameters!$E$7*IF($N168="V",Parameters!$I$7,IF($N168="F",Parameters!$J$7,Parameters!$K$7))*(1-Parameters!$L$7*$P168)*IF($D168="V1",Parameters!$M$7,IF($D168="V2",Parameters!$N$7,Parameters!$O$7))*POWER($Q168/Inputs_General!$C$26,-Inputs_General!$C$25)</f>
        <v>0.258501574676089</v>
      </c>
      <c r="AJ168" s="46" t="n">
        <f aca="false">AI168*(1+INDEX(Response_Table!$H$4:$H$21,MATCH($F168&amp;"|mid",Response_Table!$A$4:$A$21,0))*$R168*INDEX(Parameters!$X$7:$AA$7,1,MATCH($E168,Parameters!$X$3:$AA$3,0)))</f>
        <v>0.188392422707601</v>
      </c>
      <c r="AK168" s="46" t="n">
        <f aca="false">MAX(0,MIN(AI168*(1+INDEX(Response_Table!$H$4:$H$21,MATCH($F168&amp;"|low",Response_Table!$A$4:$A$21,0))*$R168*INDEX(Parameters!$X$7:$AA$7,1,MATCH($E168,Parameters!$X$3:$AA$3,0))),AI168*(1+INDEX(Response_Table!$H$4:$H$21,MATCH($F168&amp;"|high",Response_Table!$A$4:$A$21,0))*$R168*INDEX(Parameters!$X$7:$AA$7,1,MATCH($E168,Parameters!$X$3:$AA$3,0))))*(1-Inputs_General!$C$22*Parameters!$F$7))</f>
        <v>0.119554194408844</v>
      </c>
      <c r="AL168" s="46" t="n">
        <f aca="false">MAX(AI168*(1+INDEX(Response_Table!$H$4:$H$21,MATCH($F168&amp;"|low",Response_Table!$A$4:$A$21,0))*$R168*INDEX(Parameters!$X$7:$AA$7,1,MATCH($E168,Parameters!$X$3:$AA$3,0))),AI168*(1+INDEX(Response_Table!$H$4:$H$21,MATCH($F168&amp;"|high",Response_Table!$A$4:$A$21,0))*$R168*INDEX(Parameters!$X$7:$AA$7,1,MATCH($E168,Parameters!$X$3:$AA$3,0))))*(1+Inputs_General!$C$22*Parameters!$F$7)</f>
        <v>0.273831515036897</v>
      </c>
      <c r="AM168" s="45" t="n">
        <f aca="false">IF(AI168=0,0,AJ168/AI168-1)</f>
        <v>-0.271213635956907</v>
      </c>
      <c r="AN168" s="43" t="n">
        <f aca="false">AI168*$Q168/Inputs_General!$C$13*1000</f>
        <v>5.69967952720096</v>
      </c>
      <c r="AO168" s="43" t="n">
        <f aca="false">AJ168*$Q168/Inputs_General!$C$13*1000*(1+Inputs_General!$C$21*$I168)</f>
        <v>4.34077191118742</v>
      </c>
      <c r="AP168" s="43" t="n">
        <f aca="false">AK168*$Q168/Inputs_General!$C$13*1000*(1+Inputs_General!$C$21*$H168)</f>
        <v>2.70853151081439</v>
      </c>
      <c r="AQ168" s="43" t="n">
        <f aca="false">AL168*$Q168/Inputs_General!$C$13*1000*(1+Inputs_General!$C$21*$J168)</f>
        <v>6.41504360174986</v>
      </c>
      <c r="AR168" s="45" t="n">
        <f aca="false">IF(AN168=0,0,AO168/AN168-1)</f>
        <v>-0.238418249574968</v>
      </c>
      <c r="AS168" s="42" t="n">
        <f aca="false">Parameters!$E$9*IF($N168="V",Parameters!$I$9,IF($N168="F",Parameters!$J$9,Parameters!$K$9))*(1-Parameters!$L$9*$P168)*IF($D168="V1",Parameters!$M$9,IF($D168="V2",Parameters!$N$9,Parameters!$O$9))</f>
        <v>293.55</v>
      </c>
      <c r="AT168" s="42" t="n">
        <f aca="false">AS168*(1+INDEX(Response_Table!$I$4:$I$21,MATCH($F168&amp;"|mid",Response_Table!$A$4:$A$21,0))*$R168*INDEX(Parameters!$X$9:$AA$9,1,MATCH($E168,Parameters!$X$3:$AA$3,0)))</f>
        <v>338.749162578885</v>
      </c>
      <c r="AU168" s="42" t="n">
        <f aca="false">MAX(0,MIN(AS168*(1+INDEX(Response_Table!$I$4:$I$21,MATCH($F168&amp;"|low",Response_Table!$A$4:$A$21,0))*$R168*INDEX(Parameters!$X$9:$AA$9,1,MATCH($E168,Parameters!$X$3:$AA$3,0))),AS168*(1+INDEX(Response_Table!$I$4:$I$21,MATCH($F168&amp;"|high",Response_Table!$A$4:$A$21,0))*$R168*INDEX(Parameters!$X$9:$AA$9,1,MATCH($E168,Parameters!$X$3:$AA$3,0))))*(1-Inputs_General!$C$22*Parameters!$F$9))</f>
        <v>292.830506631932</v>
      </c>
      <c r="AV168" s="42" t="n">
        <f aca="false">MAX(AS168*(1+INDEX(Response_Table!$I$4:$I$21,MATCH($F168&amp;"|low",Response_Table!$A$4:$A$21,0))*$R168*INDEX(Parameters!$X$9:$AA$9,1,MATCH($E168,Parameters!$X$3:$AA$3,0))),AS168*(1+INDEX(Response_Table!$I$4:$I$21,MATCH($F168&amp;"|high",Response_Table!$A$4:$A$21,0))*$R168*INDEX(Parameters!$X$9:$AA$9,1,MATCH($E168,Parameters!$X$3:$AA$3,0))))*(1+Inputs_General!$C$22*Parameters!$F$9)</f>
        <v>383.685483708443</v>
      </c>
      <c r="AW168" s="45" t="n">
        <f aca="false">IF(AS168=0,0,AT168/AS168-1)</f>
        <v>0.153974323212009</v>
      </c>
      <c r="AX168" s="43" t="n">
        <f aca="false">INDEX(Context!$AB$4:$AB$51,$K168)</f>
        <v>2.72032542211643</v>
      </c>
      <c r="AY168" s="43" t="n">
        <f aca="false">AX168*(1+INDEX(Response_Table!$J$4:$J$21,MATCH($F168&amp;"|mid",Response_Table!$A$4:$A$21,0))*$R168*INDEX(Parameters!$X$10:$AA$10,1,MATCH($E168,Parameters!$X$3:$AA$3,0)))</f>
        <v>2.27672921398525</v>
      </c>
      <c r="AZ168" s="43" t="n">
        <f aca="false">MAX(0,MIN(AX168*(1+INDEX(Response_Table!$J$4:$J$21,MATCH($F168&amp;"|low",Response_Table!$A$4:$A$21,0))*$R168*INDEX(Parameters!$X$10:$AA$10,1,MATCH($E168,Parameters!$X$3:$AA$3,0))),AX168*(1+INDEX(Response_Table!$J$4:$J$21,MATCH($F168&amp;"|high",Response_Table!$A$4:$A$21,0))*$R168*INDEX(Parameters!$X$10:$AA$10,1,MATCH($E168,Parameters!$X$3:$AA$3,0))))*(1-Inputs_General!$C$22*Parameters!$F$10))</f>
        <v>1.72672756858477</v>
      </c>
      <c r="BA168" s="43" t="n">
        <f aca="false">MAX(AX168*(1+INDEX(Response_Table!$J$4:$J$21,MATCH($F168&amp;"|low",Response_Table!$A$4:$A$21,0))*$R168*INDEX(Parameters!$X$10:$AA$10,1,MATCH($E168,Parameters!$X$3:$AA$3,0))),AX168*(1+INDEX(Response_Table!$J$4:$J$21,MATCH($F168&amp;"|high",Response_Table!$A$4:$A$21,0))*$R168*INDEX(Parameters!$X$10:$AA$10,1,MATCH($E168,Parameters!$X$3:$AA$3,0))))*(1+Inputs_General!$C$22*Parameters!$F$10)</f>
        <v>2.90490017435534</v>
      </c>
      <c r="BB168" s="45" t="n">
        <f aca="false">IF(AX168=0,0,AY168/AX168-1)</f>
        <v>-0.163067331770202</v>
      </c>
      <c r="BC168" s="46" t="n">
        <f aca="false">Parameters!$E$11*IF($N168="V",Parameters!$I$11,IF($N168="F",Parameters!$J$11,Parameters!$K$11))*(1-Parameters!$L$11*$P168)*IF($D168="V1",Parameters!$M$11,IF($D168="V2",Parameters!$N$11,Parameters!$O$11))</f>
        <v>1.00170982142857</v>
      </c>
      <c r="BD168" s="46" t="n">
        <f aca="false">BC168*(1+INDEX(Response_Table!$K$4:$K$21,MATCH($F168&amp;"|mid",Response_Table!$A$4:$A$21,0))*$R168*INDEX(Parameters!$X$11:$AA$11,1,MATCH($E168,Parameters!$X$3:$AA$3,0)))</f>
        <v>0.716615782957094</v>
      </c>
      <c r="BE168" s="46" t="n">
        <f aca="false">MAX(0,MIN(BC168*(1+INDEX(Response_Table!$K$4:$K$21,MATCH($F168&amp;"|low",Response_Table!$A$4:$A$21,0))*$R168*INDEX(Parameters!$X$11:$AA$11,1,MATCH($E168,Parameters!$X$3:$AA$3,0))),BC168*(1+INDEX(Response_Table!$K$4:$K$21,MATCH($F168&amp;"|high",Response_Table!$A$4:$A$21,0))*$R168*INDEX(Parameters!$X$11:$AA$11,1,MATCH($E168,Parameters!$X$3:$AA$3,0))))*(1-Inputs_General!$C$22*Parameters!$F$11))</f>
        <v>0.537361551193822</v>
      </c>
      <c r="BF168" s="46" t="n">
        <f aca="false">MAX(BC168*(1+INDEX(Response_Table!$K$4:$K$21,MATCH($F168&amp;"|low",Response_Table!$A$4:$A$21,0))*$R168*INDEX(Parameters!$X$11:$AA$11,1,MATCH($E168,Parameters!$X$3:$AA$3,0))),BC168*(1+INDEX(Response_Table!$K$4:$K$21,MATCH($F168&amp;"|high",Response_Table!$A$4:$A$21,0))*$R168*INDEX(Parameters!$X$11:$AA$11,1,MATCH($E168,Parameters!$X$3:$AA$3,0))))*(1+Inputs_General!$C$22*Parameters!$F$11)</f>
        <v>0.941512376560528</v>
      </c>
      <c r="BG168" s="45" t="n">
        <f aca="false">IF(BC168=0,0,BD168/BC168-1)</f>
        <v>-0.284607410622065</v>
      </c>
      <c r="BH168" s="46" t="n">
        <f aca="false">Parameters!$E$12*IF($N168="V",Parameters!$I$12,IF($N168="F",Parameters!$J$12,Parameters!$K$12))*(1-Parameters!$L$12*$P168)*IF($D168="V1",Parameters!$M$12,IF($D168="V2",Parameters!$N$12,Parameters!$O$12))</f>
        <v>0.373343142857143</v>
      </c>
      <c r="BI168" s="46" t="n">
        <f aca="false">BH168*(1+INDEX(Response_Table!$L$4:$L$21,MATCH($F168&amp;"|mid",Response_Table!$A$4:$A$21,0))*$R168*INDEX(Parameters!$X$12:$AA$12,1,MATCH($E168,Parameters!$X$3:$AA$3,0)))</f>
        <v>0.287665199505411</v>
      </c>
      <c r="BJ168" s="46" t="n">
        <f aca="false">MAX(0,MIN(BH168*(1+INDEX(Response_Table!$L$4:$L$21,MATCH($F168&amp;"|low",Response_Table!$A$4:$A$21,0))*$R168*INDEX(Parameters!$X$12:$AA$12,1,MATCH($E168,Parameters!$X$3:$AA$3,0))),BH168*(1+INDEX(Response_Table!$L$4:$L$21,MATCH($F168&amp;"|high",Response_Table!$A$4:$A$21,0))*$R168*INDEX(Parameters!$X$12:$AA$12,1,MATCH($E168,Parameters!$X$3:$AA$3,0))))*(1-Inputs_General!$C$22*Parameters!$F$12))</f>
        <v>0.212688648176456</v>
      </c>
      <c r="BK168" s="46" t="n">
        <f aca="false">MAX(BH168*(1+INDEX(Response_Table!$L$4:$L$21,MATCH($F168&amp;"|low",Response_Table!$A$4:$A$21,0))*$R168*INDEX(Parameters!$X$12:$AA$12,1,MATCH($E168,Parameters!$X$3:$AA$3,0))),BH168*(1+INDEX(Response_Table!$L$4:$L$21,MATCH($F168&amp;"|high",Response_Table!$A$4:$A$21,0))*$R168*INDEX(Parameters!$X$12:$AA$12,1,MATCH($E168,Parameters!$X$3:$AA$3,0))))*(1+Inputs_General!$C$22*Parameters!$F$12)</f>
        <v>0.377932128599055</v>
      </c>
      <c r="BL168" s="45" t="n">
        <f aca="false">IF(BH168=0,0,BI168/BH168-1)</f>
        <v>-0.229488461194306</v>
      </c>
      <c r="BM168" s="46" t="n">
        <f aca="false">Parameters!$E$13*IF($N168="V",Parameters!$I$13,IF($N168="F",Parameters!$J$13,Parameters!$K$13))*(1-Parameters!$L$13*$P168)*IF($D168="V1",Parameters!$M$13,IF($D168="V2",Parameters!$N$13,Parameters!$O$13))</f>
        <v>0.262276071428571</v>
      </c>
      <c r="BN168" s="46" t="n">
        <f aca="false">BM168*(1+INDEX(Response_Table!$M$4:$M$21,MATCH($F168&amp;"|mid",Response_Table!$A$4:$A$21,0))*$R168*INDEX(Parameters!$X$13:$AA$13,1,MATCH($E168,Parameters!$X$3:$AA$3,0)))</f>
        <v>0.239714694150741</v>
      </c>
      <c r="BO168" s="46" t="n">
        <f aca="false">MAX(0,MIN(BM168*(1+INDEX(Response_Table!$M$4:$M$21,MATCH($F168&amp;"|low",Response_Table!$A$4:$A$21,0))*$R168*INDEX(Parameters!$X$13:$AA$13,1,MATCH($E168,Parameters!$X$3:$AA$3,0))),BM168*(1+INDEX(Response_Table!$M$4:$M$21,MATCH($F168&amp;"|high",Response_Table!$A$4:$A$21,0))*$R168*INDEX(Parameters!$X$13:$AA$13,1,MATCH($E168,Parameters!$X$3:$AA$3,0))))*(1-Inputs_General!$C$22*Parameters!$F$13))</f>
        <v>0.177817832481689</v>
      </c>
      <c r="BP168" s="46" t="n">
        <f aca="false">MAX(BM168*(1+INDEX(Response_Table!$M$4:$M$21,MATCH($F168&amp;"|low",Response_Table!$A$4:$A$21,0))*$R168*INDEX(Parameters!$X$13:$AA$13,1,MATCH($E168,Parameters!$X$3:$AA$3,0))),BM168*(1+INDEX(Response_Table!$M$4:$M$21,MATCH($F168&amp;"|high",Response_Table!$A$4:$A$21,0))*$R168*INDEX(Parameters!$X$13:$AA$13,1,MATCH($E168,Parameters!$X$3:$AA$3,0))))*(1+Inputs_General!$C$22*Parameters!$F$13)</f>
        <v>0.309998636499755</v>
      </c>
      <c r="BQ168" s="45" t="n">
        <f aca="false">IF(BM168=0,0,BN168/BM168-1)</f>
        <v>-0.0860214855093042</v>
      </c>
      <c r="BR168" s="44" t="n">
        <f aca="false">Parameters!$E$14*IF($N168="V",Parameters!$I$14,IF($N168="F",Parameters!$J$14,Parameters!$K$14))*(1-Parameters!$L$14*$P168)*IF($D168="V1",Parameters!$M$14,IF($D168="V2",Parameters!$N$14,Parameters!$O$14))*INDEX(Context!$AC$4:$AC$51,$K168)</f>
        <v>17.25</v>
      </c>
      <c r="BS168" s="44" t="n">
        <f aca="false">BR168*(1+INDEX(Response_Table!$N$4:$N$21,MATCH($F168&amp;"|mid",Response_Table!$A$4:$A$21,0))*$R168*INDEX(Parameters!$X$14:$AA$14,1,MATCH($E168,Parameters!$X$3:$AA$3,0)))</f>
        <v>21.5685555879292</v>
      </c>
      <c r="BT168" s="44" t="n">
        <f aca="false">MAX(0,MIN(BR168*(1+INDEX(Response_Table!$N$4:$N$21,MATCH($F168&amp;"|low",Response_Table!$A$4:$A$21,0))*$R168*INDEX(Parameters!$X$14:$AA$14,1,MATCH($E168,Parameters!$X$3:$AA$3,0))),BR168*(1+INDEX(Response_Table!$N$4:$N$21,MATCH($F168&amp;"|high",Response_Table!$A$4:$A$21,0))*$R168*INDEX(Parameters!$X$14:$AA$14,1,MATCH($E168,Parameters!$X$3:$AA$3,0))))*(1-Inputs_General!$C$22*Parameters!$F$14))</f>
        <v>10.2106040853231</v>
      </c>
      <c r="BU168" s="44" t="n">
        <f aca="false">MAX(BR168*(1+INDEX(Response_Table!$N$4:$N$21,MATCH($F168&amp;"|low",Response_Table!$A$4:$A$21,0))*$R168*INDEX(Parameters!$X$14:$AA$14,1,MATCH($E168,Parameters!$X$3:$AA$3,0))),BR168*(1+INDEX(Response_Table!$N$4:$N$21,MATCH($F168&amp;"|high",Response_Table!$A$4:$A$21,0))*$R168*INDEX(Parameters!$X$14:$AA$14,1,MATCH($E168,Parameters!$X$3:$AA$3,0))))*(1+Inputs_General!$C$22*Parameters!$F$14)</f>
        <v>33.9188877285314</v>
      </c>
      <c r="BV168" s="45" t="n">
        <f aca="false">IF(BR168=0,0,BS168/BR168-1)</f>
        <v>0.250351048575606</v>
      </c>
      <c r="BW168" s="43" t="n">
        <f aca="false">Parameters!$E$15*IF($N168="V",Parameters!$I$15,IF($N168="F",Parameters!$J$15,Parameters!$K$15))*(1-Parameters!$L$15*$P168)*IF($D168="V1",Parameters!$M$15,IF($D168="V2",Parameters!$N$15,Parameters!$O$15))</f>
        <v>8.04007657142857</v>
      </c>
      <c r="BX168" s="43" t="n">
        <f aca="false">BW168*(1+INDEX(Response_Table!$O$4:$O$21,MATCH($F168&amp;"|mid",Response_Table!$A$4:$A$21,0))*$R168*INDEX(Parameters!$X$15:$AA$15,1,MATCH($E168,Parameters!$X$3:$AA$3,0)))</f>
        <v>7.53686617135725</v>
      </c>
      <c r="BY168" s="43" t="n">
        <f aca="false">MAX(0,MIN(BW168*(1+INDEX(Response_Table!$O$4:$O$21,MATCH($F168&amp;"|low",Response_Table!$A$4:$A$21,0))*$R168*INDEX(Parameters!$X$15:$AA$15,1,MATCH($E168,Parameters!$X$3:$AA$3,0))),BW168*(1+INDEX(Response_Table!$O$4:$O$21,MATCH($F168&amp;"|high",Response_Table!$A$4:$A$21,0))*$R168*INDEX(Parameters!$X$15:$AA$15,1,MATCH($E168,Parameters!$X$3:$AA$3,0))))*(1-Inputs_General!$C$22*Parameters!$F$15))</f>
        <v>5.94224539492162</v>
      </c>
      <c r="BZ168" s="43" t="n">
        <f aca="false">MAX(BW168*(1+INDEX(Response_Table!$O$4:$O$21,MATCH($F168&amp;"|low",Response_Table!$A$4:$A$21,0))*$R168*INDEX(Parameters!$X$15:$AA$15,1,MATCH($E168,Parameters!$X$3:$AA$3,0))),BW168*(1+INDEX(Response_Table!$O$4:$O$21,MATCH($F168&amp;"|high",Response_Table!$A$4:$A$21,0))*$R168*INDEX(Parameters!$X$15:$AA$15,1,MATCH($E168,Parameters!$X$3:$AA$3,0))))*(1+Inputs_General!$C$22*Parameters!$F$15)</f>
        <v>9.22129159075242</v>
      </c>
      <c r="CA168" s="45" t="n">
        <f aca="false">IF(BW168=0,0,BX168/BW168-1)</f>
        <v>-0.0625877621439015</v>
      </c>
      <c r="CB168" s="46" t="n">
        <f aca="false">BD168+BI168</f>
        <v>1.00428098246251</v>
      </c>
      <c r="CC168" s="43" t="n">
        <f aca="false">BD168/BI168</f>
        <v>2.49114520695999</v>
      </c>
      <c r="CD168" s="46" t="n">
        <f aca="false">BN168/CB168</f>
        <v>0.238692854227866</v>
      </c>
      <c r="CE168" s="43" t="n">
        <f aca="false">AE168/AO168</f>
        <v>1.94295556875663</v>
      </c>
      <c r="CF168" s="44" t="n">
        <f aca="false">AE168/AJ168</f>
        <v>44.7678671802742</v>
      </c>
      <c r="CG168" s="44" t="n">
        <f aca="false">INDEX(Context!$V$4:$V$51,$K168)</f>
        <v>32.7871428571429</v>
      </c>
      <c r="CH168" s="44" t="n">
        <f aca="false">INDEX(Context!$Y$4:$Y$51,$K168)</f>
        <v>28.36912210206</v>
      </c>
      <c r="CI168" s="44" t="n">
        <f aca="false">INDEX(Context!$Z$4:$Z$51,$K168)</f>
        <v>36.7871428571429</v>
      </c>
      <c r="CJ168" s="43" t="n">
        <f aca="false">INDEX(Context!$AA$4:$AA$51,$K168)</f>
        <v>0.347678571428571</v>
      </c>
      <c r="CK168" s="43" t="n">
        <f aca="false">MAX(0,MIN(1,1-(1-CJ168)*AO168/AN168))</f>
        <v>0.503203904588814</v>
      </c>
      <c r="CL168" s="44" t="n">
        <f aca="false">CH168+CK168*(CI168-CH168)</f>
        <v>32.6051030149274</v>
      </c>
      <c r="CM168" s="44" t="n">
        <f aca="false">CH168+MAX(0,MIN(1,1-(1-CJ168)*AQ168/AN168))*(CI168-CH168)</f>
        <v>30.6066826807111</v>
      </c>
      <c r="CN168" s="44" t="n">
        <f aca="false">CH168+MAX(0,MIN(1,1-(1-CJ168)*AP168/AN168))*(CI168-CH168)</f>
        <v>34.1776561290039</v>
      </c>
      <c r="CO168" s="44" t="n">
        <f aca="false">CL168-CG168</f>
        <v>-0.182039842215474</v>
      </c>
      <c r="CP168" s="44" t="n">
        <f aca="false">CL168-(CH168+CJ168*(CI168-CH168))</f>
        <v>1.30921548248408</v>
      </c>
      <c r="CQ168" s="46" t="n">
        <f aca="false">CL168/CG168</f>
        <v>0.994447828436633</v>
      </c>
      <c r="CR168" s="43" t="n">
        <f aca="false">IF(CL168-CH168&lt;=0,"n/a",(CI168-CL168)/(CL168-CH168))</f>
        <v>0.987265978822516</v>
      </c>
      <c r="CS168" s="43" t="n">
        <f aca="false">IF(CI168-CL168&lt;=0,"n/a",(CL168-CH168)/(CI168-CL168))</f>
        <v>1.01289826799529</v>
      </c>
      <c r="CT168" s="43" t="n">
        <f aca="false">Inputs_General!$C$23+Inputs_General!$C$24*$I168</f>
        <v>0.96</v>
      </c>
      <c r="CU168" s="44" t="n">
        <f aca="false">3.29*CT168</f>
        <v>3.1584</v>
      </c>
    </row>
    <row r="169" customFormat="false" ht="15" hidden="false" customHeight="false" outlineLevel="0" collapsed="false">
      <c r="A169" s="9" t="str">
        <f aca="false">B169&amp;"|"&amp;E169&amp;"|"&amp;F169</f>
        <v>D3V1|13/03/2026|High</v>
      </c>
      <c r="B169" s="7" t="s">
        <v>349</v>
      </c>
      <c r="C169" s="9" t="s">
        <v>131</v>
      </c>
      <c r="D169" s="9" t="s">
        <v>142</v>
      </c>
      <c r="E169" s="9" t="s">
        <v>164</v>
      </c>
      <c r="F169" s="7" t="s">
        <v>283</v>
      </c>
      <c r="G169" s="9" t="s">
        <v>284</v>
      </c>
      <c r="H169" s="41" t="n">
        <f aca="false">INDEX(Severity_Classes!$C$4:$C$9,MATCH(F169,Severity_Classes!$A$4:$A$9,0))</f>
        <v>0.26</v>
      </c>
      <c r="I169" s="41" t="n">
        <f aca="false">INDEX(Severity_Classes!$D$4:$D$9,MATCH(F169,Severity_Classes!$A$4:$A$9,0))</f>
        <v>0.38</v>
      </c>
      <c r="J169" s="41" t="n">
        <f aca="false">INDEX(Severity_Classes!$E$4:$E$9,MATCH(F169,Severity_Classes!$A$4:$A$9,0))</f>
        <v>0.5</v>
      </c>
      <c r="K169" s="42" t="n">
        <f aca="false">MATCH(B169&amp;"|"&amp;E169,Context!$A$4:$A$51,0)</f>
        <v>28</v>
      </c>
      <c r="L169" s="42" t="n">
        <f aca="false">INDEX(Context!$H$4:$H$51,K169)</f>
        <v>76</v>
      </c>
      <c r="M169" s="42" t="n">
        <f aca="false">INDEX(Context!$I$4:$I$51,K169)</f>
        <v>36</v>
      </c>
      <c r="N169" s="9" t="str">
        <f aca="false">INDEX(Context!$L$4:$L$51,K169)</f>
        <v>P</v>
      </c>
      <c r="O169" s="9" t="str">
        <f aca="false">INDEX(Context!$M$4:$M$51,K169)</f>
        <v>5th fully expanded leaf from top</v>
      </c>
      <c r="P169" s="43" t="n">
        <f aca="false">INDEX(Context!$R$4:$R$51,K169)</f>
        <v>0.953571428571428</v>
      </c>
      <c r="Q169" s="43" t="n">
        <f aca="false">INDEX(Context!$U$4:$U$51,K169)</f>
        <v>2.18945736698217</v>
      </c>
      <c r="R169" s="43" t="n">
        <f aca="false">INDEX(Context!$AD$4:$AD$51,K169)</f>
        <v>1</v>
      </c>
      <c r="S169" s="9" t="str">
        <f aca="false">INDEX(Context!$AI$4:$AN$51,K169,MATCH(F169,Severity_Classes!$A$4:$A$9,0))</f>
        <v>Likely</v>
      </c>
      <c r="T169" s="44" t="n">
        <f aca="false">Parameters!$E$4*IF($N169="V",Parameters!$I$4,IF($N169="F",Parameters!$J$4,Parameters!$K$4))*(1-Parameters!$L$4*$P169)*IF($D169="V1",Parameters!$M$4,IF($D169="V2",Parameters!$N$4,Parameters!$O$4))</f>
        <v>77.8046607142857</v>
      </c>
      <c r="U169" s="44" t="n">
        <f aca="false">MIN(100,T169*(1+INDEX(Response_Table!$E$4:$E$21,MATCH($F169&amp;"|mid",Response_Table!$A$4:$A$21,0))*$R169*INDEX(Parameters!$X$4:$AA$4,1,MATCH($E169,Parameters!$X$3:$AA$3,0))))</f>
        <v>65.2356860469535</v>
      </c>
      <c r="V169" s="44" t="n">
        <f aca="false">MAX(0,MIN(T169*(1+INDEX(Response_Table!$E$4:$E$21,MATCH($F169&amp;"|low",Response_Table!$A$4:$A$21,0))*$R169*INDEX(Parameters!$X$4:$AA$4,1,MATCH($E169,Parameters!$X$3:$AA$3,0))),T169*(1+INDEX(Response_Table!$E$4:$E$21,MATCH($F169&amp;"|high",Response_Table!$A$4:$A$21,0))*$R169*INDEX(Parameters!$X$4:$AA$4,1,MATCH($E169,Parameters!$X$3:$AA$3,0))))*(1-Inputs_General!$C$22*Parameters!$F$4))</f>
        <v>55.9984569400577</v>
      </c>
      <c r="W169" s="44" t="n">
        <f aca="false">MIN(100,MAX(T169*(1+INDEX(Response_Table!$E$4:$E$21,MATCH($F169&amp;"|low",Response_Table!$A$4:$A$21,0))*$R169*INDEX(Parameters!$X$4:$AA$4,1,MATCH($E169,Parameters!$X$3:$AA$3,0))),T169*(1+INDEX(Response_Table!$E$4:$E$21,MATCH($F169&amp;"|high",Response_Table!$A$4:$A$21,0))*$R169*INDEX(Parameters!$X$4:$AA$4,1,MATCH($E169,Parameters!$X$3:$AA$3,0))))*(1+Inputs_General!$C$22*Parameters!$F$4))</f>
        <v>75.8573637261068</v>
      </c>
      <c r="X169" s="45" t="n">
        <f aca="false">IF(T169=0,0,U169/T169-1)</f>
        <v>-0.161545266722362</v>
      </c>
      <c r="Y169" s="44" t="n">
        <f aca="false">Parameters!$E$5*IF($N169="V",Parameters!$I$5,IF($N169="F",Parameters!$J$5,Parameters!$K$5))*(1-Parameters!$L$5*$P169)*IF($D169="V1",Parameters!$M$5,IF($D169="V2",Parameters!$N$5,Parameters!$O$5))</f>
        <v>58.6602514285714</v>
      </c>
      <c r="Z169" s="44" t="n">
        <f aca="false">MIN(100,Y169*(1+INDEX(Response_Table!$F$4:$F$21,MATCH($F169&amp;"|mid",Response_Table!$A$4:$A$21,0))*$R169*INDEX(Parameters!$X$5:$AA$5,1,MATCH($E169,Parameters!$X$3:$AA$3,0))))</f>
        <v>29.3129403860079</v>
      </c>
      <c r="AA169" s="44" t="n">
        <f aca="false">MAX(0,MIN(Y169*(1+INDEX(Response_Table!$F$4:$F$21,MATCH($F169&amp;"|low",Response_Table!$A$4:$A$21,0))*$R169*INDEX(Parameters!$X$5:$AA$5,1,MATCH($E169,Parameters!$X$3:$AA$3,0))),Y169*(1+INDEX(Response_Table!$F$4:$F$21,MATCH($F169&amp;"|high",Response_Table!$A$4:$A$21,0))*$R169*INDEX(Parameters!$X$5:$AA$5,1,MATCH($E169,Parameters!$X$3:$AA$3,0))))*(1-Inputs_General!$C$22*Parameters!$F$5))</f>
        <v>19.4163731751761</v>
      </c>
      <c r="AB169" s="44" t="n">
        <f aca="false">MIN(100,MAX(Y169*(1+INDEX(Response_Table!$F$4:$F$21,MATCH($F169&amp;"|low",Response_Table!$A$4:$A$21,0))*$R169*INDEX(Parameters!$X$5:$AA$5,1,MATCH($E169,Parameters!$X$3:$AA$3,0))),Y169*(1+INDEX(Response_Table!$F$4:$F$21,MATCH($F169&amp;"|high",Response_Table!$A$4:$A$21,0))*$R169*INDEX(Parameters!$X$5:$AA$5,1,MATCH($E169,Parameters!$X$3:$AA$3,0))))*(1+Inputs_General!$C$22*Parameters!$F$5))</f>
        <v>46.3326845560526</v>
      </c>
      <c r="AC169" s="45" t="n">
        <f aca="false">IF(Y169=0,0,Z169/Y169-1)</f>
        <v>-0.500292963767786</v>
      </c>
      <c r="AD169" s="44" t="n">
        <f aca="false">Parameters!$E$6*IF($N169="V",Parameters!$I$6,IF($N169="F",Parameters!$J$6,Parameters!$K$6))*(1-Parameters!$L$6*$P169)*IF($D169="V1",Parameters!$M$6,IF($D169="V2",Parameters!$N$6,Parameters!$O$6))</f>
        <v>14.3019785714286</v>
      </c>
      <c r="AE169" s="44" t="n">
        <f aca="false">AD169*(1+INDEX(Response_Table!$G$4:$G$21,MATCH($F169&amp;"|mid",Response_Table!$A$4:$A$21,0))*$R169*INDEX(Parameters!$X$6:$AA$6,1,MATCH($E169,Parameters!$X$3:$AA$3,0)))</f>
        <v>5.59068934455083</v>
      </c>
      <c r="AF169" s="44" t="n">
        <f aca="false">MAX(0,MIN(AD169*(1+INDEX(Response_Table!$G$4:$G$21,MATCH($F169&amp;"|low",Response_Table!$A$4:$A$21,0))*$R169*INDEX(Parameters!$X$6:$AA$6,1,MATCH($E169,Parameters!$X$3:$AA$3,0))),AD169*(1+INDEX(Response_Table!$G$4:$G$21,MATCH($F169&amp;"|high",Response_Table!$A$4:$A$21,0))*$R169*INDEX(Parameters!$X$6:$AA$6,1,MATCH($E169,Parameters!$X$3:$AA$3,0))))*(1-Inputs_General!$C$22*Parameters!$F$6))</f>
        <v>3.82360481185723</v>
      </c>
      <c r="AG169" s="44" t="n">
        <f aca="false">MAX(AD169*(1+INDEX(Response_Table!$G$4:$G$21,MATCH($F169&amp;"|low",Response_Table!$A$4:$A$21,0))*$R169*INDEX(Parameters!$X$6:$AA$6,1,MATCH($E169,Parameters!$X$3:$AA$3,0))),AD169*(1+INDEX(Response_Table!$G$4:$G$21,MATCH($F169&amp;"|high",Response_Table!$A$4:$A$21,0))*$R169*INDEX(Parameters!$X$6:$AA$6,1,MATCH($E169,Parameters!$X$3:$AA$3,0))))*(1+Inputs_General!$C$22*Parameters!$F$6)</f>
        <v>8.37262014935694</v>
      </c>
      <c r="AH169" s="45" t="n">
        <f aca="false">IF(AD169=0,0,AE169/AD169-1)</f>
        <v>-0.609096789186953</v>
      </c>
      <c r="AI169" s="46" t="n">
        <f aca="false">Parameters!$E$7*IF($N169="V",Parameters!$I$7,IF($N169="F",Parameters!$J$7,Parameters!$K$7))*(1-Parameters!$L$7*$P169)*IF($D169="V1",Parameters!$M$7,IF($D169="V2",Parameters!$N$7,Parameters!$O$7))*POWER($Q169/Inputs_General!$C$26,-Inputs_General!$C$25)</f>
        <v>0.258501574676089</v>
      </c>
      <c r="AJ169" s="46" t="n">
        <f aca="false">AI169*(1+INDEX(Response_Table!$H$4:$H$21,MATCH($F169&amp;"|mid",Response_Table!$A$4:$A$21,0))*$R169*INDEX(Parameters!$X$7:$AA$7,1,MATCH($E169,Parameters!$X$3:$AA$3,0)))</f>
        <v>0.144213469624704</v>
      </c>
      <c r="AK169" s="46" t="n">
        <f aca="false">MAX(0,MIN(AI169*(1+INDEX(Response_Table!$H$4:$H$21,MATCH($F169&amp;"|low",Response_Table!$A$4:$A$21,0))*$R169*INDEX(Parameters!$X$7:$AA$7,1,MATCH($E169,Parameters!$X$3:$AA$3,0))),AI169*(1+INDEX(Response_Table!$H$4:$H$21,MATCH($F169&amp;"|high",Response_Table!$A$4:$A$21,0))*$R169*INDEX(Parameters!$X$7:$AA$7,1,MATCH($E169,Parameters!$X$3:$AA$3,0))))*(1-Inputs_General!$C$22*Parameters!$F$7))</f>
        <v>0.0900761294509106</v>
      </c>
      <c r="AL169" s="46" t="n">
        <f aca="false">MAX(AI169*(1+INDEX(Response_Table!$H$4:$H$21,MATCH($F169&amp;"|low",Response_Table!$A$4:$A$21,0))*$R169*INDEX(Parameters!$X$7:$AA$7,1,MATCH($E169,Parameters!$X$3:$AA$3,0))),AI169*(1+INDEX(Response_Table!$H$4:$H$21,MATCH($F169&amp;"|high",Response_Table!$A$4:$A$21,0))*$R169*INDEX(Parameters!$X$7:$AA$7,1,MATCH($E169,Parameters!$X$3:$AA$3,0))))*(1+Inputs_General!$C$22*Parameters!$F$7)</f>
        <v>0.217096348705188</v>
      </c>
      <c r="AM169" s="45" t="n">
        <f aca="false">IF(AI169=0,0,AJ169/AI169-1)</f>
        <v>-0.442117635819403</v>
      </c>
      <c r="AN169" s="43" t="n">
        <f aca="false">AI169*$Q169/Inputs_General!$C$13*1000</f>
        <v>5.69967952720096</v>
      </c>
      <c r="AO169" s="43" t="n">
        <f aca="false">AJ169*$Q169/Inputs_General!$C$13*1000*(1+Inputs_General!$C$21*$I169)</f>
        <v>3.48182700522875</v>
      </c>
      <c r="AP169" s="43" t="n">
        <f aca="false">AK169*$Q169/Inputs_General!$C$13*1000*(1+Inputs_General!$C$21*$H169)</f>
        <v>2.11517628554427</v>
      </c>
      <c r="AQ169" s="43" t="n">
        <f aca="false">AL169*$Q169/Inputs_General!$C$13*1000*(1+Inputs_General!$C$21*$J169)</f>
        <v>5.38508157119529</v>
      </c>
      <c r="AR169" s="45" t="n">
        <f aca="false">IF(AN169=0,0,AO169/AN169-1)</f>
        <v>-0.389118811222246</v>
      </c>
      <c r="AS169" s="42" t="n">
        <f aca="false">Parameters!$E$9*IF($N169="V",Parameters!$I$9,IF($N169="F",Parameters!$J$9,Parameters!$K$9))*(1-Parameters!$L$9*$P169)*IF($D169="V1",Parameters!$M$9,IF($D169="V2",Parameters!$N$9,Parameters!$O$9))</f>
        <v>293.55</v>
      </c>
      <c r="AT169" s="42" t="n">
        <f aca="false">AS169*(1+INDEX(Response_Table!$I$4:$I$21,MATCH($F169&amp;"|mid",Response_Table!$A$4:$A$21,0))*$R169*INDEX(Parameters!$X$9:$AA$9,1,MATCH($E169,Parameters!$X$3:$AA$3,0)))</f>
        <v>362.354137675553</v>
      </c>
      <c r="AU169" s="42" t="n">
        <f aca="false">MAX(0,MIN(AS169*(1+INDEX(Response_Table!$I$4:$I$21,MATCH($F169&amp;"|low",Response_Table!$A$4:$A$21,0))*$R169*INDEX(Parameters!$X$9:$AA$9,1,MATCH($E169,Parameters!$X$3:$AA$3,0))),AS169*(1+INDEX(Response_Table!$I$4:$I$21,MATCH($F169&amp;"|high",Response_Table!$A$4:$A$21,0))*$R169*INDEX(Parameters!$X$9:$AA$9,1,MATCH($E169,Parameters!$X$3:$AA$3,0))))*(1-Inputs_General!$C$22*Parameters!$F$9))</f>
        <v>315.894846507433</v>
      </c>
      <c r="AV169" s="42" t="n">
        <f aca="false">MAX(AS169*(1+INDEX(Response_Table!$I$4:$I$21,MATCH($F169&amp;"|low",Response_Table!$A$4:$A$21,0))*$R169*INDEX(Parameters!$X$9:$AA$9,1,MATCH($E169,Parameters!$X$3:$AA$3,0))),AS169*(1+INDEX(Response_Table!$I$4:$I$21,MATCH($F169&amp;"|high",Response_Table!$A$4:$A$21,0))*$R169*INDEX(Parameters!$X$9:$AA$9,1,MATCH($E169,Parameters!$X$3:$AA$3,0))))*(1+Inputs_General!$C$22*Parameters!$F$9)</f>
        <v>406.185762402178</v>
      </c>
      <c r="AW169" s="45" t="n">
        <f aca="false">IF(AS169=0,0,AT169/AS169-1)</f>
        <v>0.234386433914336</v>
      </c>
      <c r="AX169" s="43" t="n">
        <f aca="false">INDEX(Context!$AB$4:$AB$51,$K169)</f>
        <v>2.72032542211643</v>
      </c>
      <c r="AY169" s="43" t="n">
        <f aca="false">AX169*(1+INDEX(Response_Table!$J$4:$J$21,MATCH($F169&amp;"|mid",Response_Table!$A$4:$A$21,0))*$R169*INDEX(Parameters!$X$10:$AA$10,1,MATCH($E169,Parameters!$X$3:$AA$3,0)))</f>
        <v>1.96960662920941</v>
      </c>
      <c r="AZ169" s="43" t="n">
        <f aca="false">MAX(0,MIN(AX169*(1+INDEX(Response_Table!$J$4:$J$21,MATCH($F169&amp;"|low",Response_Table!$A$4:$A$21,0))*$R169*INDEX(Parameters!$X$10:$AA$10,1,MATCH($E169,Parameters!$X$3:$AA$3,0))),AX169*(1+INDEX(Response_Table!$J$4:$J$21,MATCH($F169&amp;"|high",Response_Table!$A$4:$A$21,0))*$R169*INDEX(Parameters!$X$10:$AA$10,1,MATCH($E169,Parameters!$X$3:$AA$3,0))))*(1-Inputs_General!$C$22*Parameters!$F$10))</f>
        <v>1.48232419471988</v>
      </c>
      <c r="BA169" s="43" t="n">
        <f aca="false">MAX(AX169*(1+INDEX(Response_Table!$J$4:$J$21,MATCH($F169&amp;"|low",Response_Table!$A$4:$A$21,0))*$R169*INDEX(Parameters!$X$10:$AA$10,1,MATCH($E169,Parameters!$X$3:$AA$3,0))),AX169*(1+INDEX(Response_Table!$J$4:$J$21,MATCH($F169&amp;"|high",Response_Table!$A$4:$A$21,0))*$R169*INDEX(Parameters!$X$10:$AA$10,1,MATCH($E169,Parameters!$X$3:$AA$3,0))))*(1+Inputs_General!$C$22*Parameters!$F$10)</f>
        <v>2.55673573093454</v>
      </c>
      <c r="BB169" s="45" t="n">
        <f aca="false">IF(AX169=0,0,AY169/AX169-1)</f>
        <v>-0.275966539445474</v>
      </c>
      <c r="BC169" s="46" t="n">
        <f aca="false">Parameters!$E$11*IF($N169="V",Parameters!$I$11,IF($N169="F",Parameters!$J$11,Parameters!$K$11))*(1-Parameters!$L$11*$P169)*IF($D169="V1",Parameters!$M$11,IF($D169="V2",Parameters!$N$11,Parameters!$O$11))</f>
        <v>1.00170982142857</v>
      </c>
      <c r="BD169" s="46" t="n">
        <f aca="false">BC169*(1+INDEX(Response_Table!$K$4:$K$21,MATCH($F169&amp;"|mid",Response_Table!$A$4:$A$21,0))*$R169*INDEX(Parameters!$X$11:$AA$11,1,MATCH($E169,Parameters!$X$3:$AA$3,0)))</f>
        <v>0.543596610827873</v>
      </c>
      <c r="BE169" s="46" t="n">
        <f aca="false">MAX(0,MIN(BC169*(1+INDEX(Response_Table!$K$4:$K$21,MATCH($F169&amp;"|low",Response_Table!$A$4:$A$21,0))*$R169*INDEX(Parameters!$X$11:$AA$11,1,MATCH($E169,Parameters!$X$3:$AA$3,0))),BC169*(1+INDEX(Response_Table!$K$4:$K$21,MATCH($F169&amp;"|high",Response_Table!$A$4:$A$21,0))*$R169*INDEX(Parameters!$X$11:$AA$11,1,MATCH($E169,Parameters!$X$3:$AA$3,0))))*(1-Inputs_General!$C$22*Parameters!$F$11))</f>
        <v>0.402757419328824</v>
      </c>
      <c r="BF169" s="46" t="n">
        <f aca="false">MAX(BC169*(1+INDEX(Response_Table!$K$4:$K$21,MATCH($F169&amp;"|low",Response_Table!$A$4:$A$21,0))*$R169*INDEX(Parameters!$X$11:$AA$11,1,MATCH($E169,Parameters!$X$3:$AA$3,0))),BC169*(1+INDEX(Response_Table!$K$4:$K$21,MATCH($F169&amp;"|high",Response_Table!$A$4:$A$21,0))*$R169*INDEX(Parameters!$X$11:$AA$11,1,MATCH($E169,Parameters!$X$3:$AA$3,0))))*(1+Inputs_General!$C$22*Parameters!$F$11)</f>
        <v>0.738232243288809</v>
      </c>
      <c r="BG169" s="45" t="n">
        <f aca="false">IF(BC169=0,0,BD169/BC169-1)</f>
        <v>-0.457331255819543</v>
      </c>
      <c r="BH169" s="46" t="n">
        <f aca="false">Parameters!$E$12*IF($N169="V",Parameters!$I$12,IF($N169="F",Parameters!$J$12,Parameters!$K$12))*(1-Parameters!$L$12*$P169)*IF($D169="V1",Parameters!$M$12,IF($D169="V2",Parameters!$N$12,Parameters!$O$12))</f>
        <v>0.373343142857143</v>
      </c>
      <c r="BI169" s="46" t="n">
        <f aca="false">BH169*(1+INDEX(Response_Table!$L$4:$L$21,MATCH($F169&amp;"|mid",Response_Table!$A$4:$A$21,0))*$R169*INDEX(Parameters!$X$12:$AA$12,1,MATCH($E169,Parameters!$X$3:$AA$3,0)))</f>
        <v>0.233675645598432</v>
      </c>
      <c r="BJ169" s="46" t="n">
        <f aca="false">MAX(0,MIN(BH169*(1+INDEX(Response_Table!$L$4:$L$21,MATCH($F169&amp;"|low",Response_Table!$A$4:$A$21,0))*$R169*INDEX(Parameters!$X$12:$AA$12,1,MATCH($E169,Parameters!$X$3:$AA$3,0))),BH169*(1+INDEX(Response_Table!$L$4:$L$21,MATCH($F169&amp;"|high",Response_Table!$A$4:$A$21,0))*$R169*INDEX(Parameters!$X$12:$AA$12,1,MATCH($E169,Parameters!$X$3:$AA$3,0))))*(1-Inputs_General!$C$22*Parameters!$F$12))</f>
        <v>0.171613278503185</v>
      </c>
      <c r="BK169" s="46" t="n">
        <f aca="false">MAX(BH169*(1+INDEX(Response_Table!$L$4:$L$21,MATCH($F169&amp;"|low",Response_Table!$A$4:$A$21,0))*$R169*INDEX(Parameters!$X$12:$AA$12,1,MATCH($E169,Parameters!$X$3:$AA$3,0))),BH169*(1+INDEX(Response_Table!$L$4:$L$21,MATCH($F169&amp;"|high",Response_Table!$A$4:$A$21,0))*$R169*INDEX(Parameters!$X$12:$AA$12,1,MATCH($E169,Parameters!$X$3:$AA$3,0))))*(1+Inputs_General!$C$22*Parameters!$F$12)</f>
        <v>0.313877960583231</v>
      </c>
      <c r="BL169" s="45" t="n">
        <f aca="false">IF(BH169=0,0,BI169/BH169-1)</f>
        <v>-0.374099538001033</v>
      </c>
      <c r="BM169" s="46" t="n">
        <f aca="false">Parameters!$E$13*IF($N169="V",Parameters!$I$13,IF($N169="F",Parameters!$J$13,Parameters!$K$13))*(1-Parameters!$L$13*$P169)*IF($D169="V1",Parameters!$M$13,IF($D169="V2",Parameters!$N$13,Parameters!$O$13))</f>
        <v>0.262276071428571</v>
      </c>
      <c r="BN169" s="46" t="n">
        <f aca="false">BM169*(1+INDEX(Response_Table!$M$4:$M$21,MATCH($F169&amp;"|mid",Response_Table!$A$4:$A$21,0))*$R169*INDEX(Parameters!$X$13:$AA$13,1,MATCH($E169,Parameters!$X$3:$AA$3,0)))</f>
        <v>0.19697862274608</v>
      </c>
      <c r="BO169" s="46" t="n">
        <f aca="false">MAX(0,MIN(BM169*(1+INDEX(Response_Table!$M$4:$M$21,MATCH($F169&amp;"|low",Response_Table!$A$4:$A$21,0))*$R169*INDEX(Parameters!$X$13:$AA$13,1,MATCH($E169,Parameters!$X$3:$AA$3,0))),BM169*(1+INDEX(Response_Table!$M$4:$M$21,MATCH($F169&amp;"|high",Response_Table!$A$4:$A$21,0))*$R169*INDEX(Parameters!$X$13:$AA$13,1,MATCH($E169,Parameters!$X$3:$AA$3,0))))*(1-Inputs_General!$C$22*Parameters!$F$13))</f>
        <v>0.147017218515077</v>
      </c>
      <c r="BP169" s="46" t="n">
        <f aca="false">MAX(BM169*(1+INDEX(Response_Table!$M$4:$M$21,MATCH($F169&amp;"|low",Response_Table!$A$4:$A$21,0))*$R169*INDEX(Parameters!$X$13:$AA$13,1,MATCH($E169,Parameters!$X$3:$AA$3,0))),BM169*(1+INDEX(Response_Table!$M$4:$M$21,MATCH($F169&amp;"|high",Response_Table!$A$4:$A$21,0))*$R169*INDEX(Parameters!$X$13:$AA$13,1,MATCH($E169,Parameters!$X$3:$AA$3,0))))*(1+Inputs_General!$C$22*Parameters!$F$13)</f>
        <v>0.2624998912036</v>
      </c>
      <c r="BQ169" s="45" t="n">
        <f aca="false">IF(BM169=0,0,BN169/BM169-1)</f>
        <v>-0.248964567475896</v>
      </c>
      <c r="BR169" s="44" t="n">
        <f aca="false">Parameters!$E$14*IF($N169="V",Parameters!$I$14,IF($N169="F",Parameters!$J$14,Parameters!$K$14))*(1-Parameters!$L$14*$P169)*IF($D169="V1",Parameters!$M$14,IF($D169="V2",Parameters!$N$14,Parameters!$O$14))*INDEX(Context!$AC$4:$AC$51,$K169)</f>
        <v>17.25</v>
      </c>
      <c r="BS169" s="44" t="n">
        <f aca="false">BR169*(1+INDEX(Response_Table!$N$4:$N$21,MATCH($F169&amp;"|mid",Response_Table!$A$4:$A$21,0))*$R169*INDEX(Parameters!$X$14:$AA$14,1,MATCH($E169,Parameters!$X$3:$AA$3,0)))</f>
        <v>24.2898731242013</v>
      </c>
      <c r="BT169" s="44" t="n">
        <f aca="false">MAX(0,MIN(BR169*(1+INDEX(Response_Table!$N$4:$N$21,MATCH($F169&amp;"|low",Response_Table!$A$4:$A$21,0))*$R169*INDEX(Parameters!$X$14:$AA$14,1,MATCH($E169,Parameters!$X$3:$AA$3,0))),BR169*(1+INDEX(Response_Table!$N$4:$N$21,MATCH($F169&amp;"|high",Response_Table!$A$4:$A$21,0))*$R169*INDEX(Parameters!$X$14:$AA$14,1,MATCH($E169,Parameters!$X$3:$AA$3,0))))*(1-Inputs_General!$C$22*Parameters!$F$14))</f>
        <v>11.5763096270849</v>
      </c>
      <c r="BU169" s="44" t="n">
        <f aca="false">MAX(BR169*(1+INDEX(Response_Table!$N$4:$N$21,MATCH($F169&amp;"|low",Response_Table!$A$4:$A$21,0))*$R169*INDEX(Parameters!$X$14:$AA$14,1,MATCH($E169,Parameters!$X$3:$AA$3,0))),BR169*(1+INDEX(Response_Table!$N$4:$N$21,MATCH($F169&amp;"|high",Response_Table!$A$4:$A$21,0))*$R169*INDEX(Parameters!$X$14:$AA$14,1,MATCH($E169,Parameters!$X$3:$AA$3,0))))*(1+Inputs_General!$C$22*Parameters!$F$14)</f>
        <v>37.7715153452196</v>
      </c>
      <c r="BV169" s="45" t="n">
        <f aca="false">IF(BR169=0,0,BS169/BR169-1)</f>
        <v>0.408108586910218</v>
      </c>
      <c r="BW169" s="43" t="n">
        <f aca="false">Parameters!$E$15*IF($N169="V",Parameters!$I$15,IF($N169="F",Parameters!$J$15,Parameters!$K$15))*(1-Parameters!$L$15*$P169)*IF($D169="V1",Parameters!$M$15,IF($D169="V2",Parameters!$N$15,Parameters!$O$15))</f>
        <v>8.04007657142857</v>
      </c>
      <c r="BX169" s="43" t="n">
        <f aca="false">BW169*(1+INDEX(Response_Table!$O$4:$O$21,MATCH($F169&amp;"|mid",Response_Table!$A$4:$A$21,0))*$R169*INDEX(Parameters!$X$15:$AA$15,1,MATCH($E169,Parameters!$X$3:$AA$3,0)))</f>
        <v>7.21977049937466</v>
      </c>
      <c r="BY169" s="43" t="n">
        <f aca="false">MAX(0,MIN(BW169*(1+INDEX(Response_Table!$O$4:$O$21,MATCH($F169&amp;"|low",Response_Table!$A$4:$A$21,0))*$R169*INDEX(Parameters!$X$15:$AA$15,1,MATCH($E169,Parameters!$X$3:$AA$3,0))),BW169*(1+INDEX(Response_Table!$O$4:$O$21,MATCH($F169&amp;"|high",Response_Table!$A$4:$A$21,0))*$R169*INDEX(Parameters!$X$15:$AA$15,1,MATCH($E169,Parameters!$X$3:$AA$3,0))))*(1-Inputs_General!$C$22*Parameters!$F$15))</f>
        <v>5.70099832014637</v>
      </c>
      <c r="BZ169" s="43" t="n">
        <f aca="false">MAX(BW169*(1+INDEX(Response_Table!$O$4:$O$21,MATCH($F169&amp;"|low",Response_Table!$A$4:$A$21,0))*$R169*INDEX(Parameters!$X$15:$AA$15,1,MATCH($E169,Parameters!$X$3:$AA$3,0))),BW169*(1+INDEX(Response_Table!$O$4:$O$21,MATCH($F169&amp;"|high",Response_Table!$A$4:$A$21,0))*$R169*INDEX(Parameters!$X$15:$AA$15,1,MATCH($E169,Parameters!$X$3:$AA$3,0))))*(1+Inputs_General!$C$22*Parameters!$F$15)</f>
        <v>8.84508363976141</v>
      </c>
      <c r="CA169" s="45" t="n">
        <f aca="false">IF(BW169=0,0,BX169/BW169-1)</f>
        <v>-0.102027146727554</v>
      </c>
      <c r="CB169" s="46" t="n">
        <f aca="false">BD169+BI169</f>
        <v>0.777272256426305</v>
      </c>
      <c r="CC169" s="43" t="n">
        <f aca="false">BD169/BI169</f>
        <v>2.32628697541735</v>
      </c>
      <c r="CD169" s="46" t="n">
        <f aca="false">BN169/CB169</f>
        <v>0.253422943013219</v>
      </c>
      <c r="CE169" s="43" t="n">
        <f aca="false">AE169/AO169</f>
        <v>1.60567694378703</v>
      </c>
      <c r="CF169" s="44" t="n">
        <f aca="false">AE169/AJ169</f>
        <v>38.7667626269574</v>
      </c>
      <c r="CG169" s="44" t="n">
        <f aca="false">INDEX(Context!$V$4:$V$51,$K169)</f>
        <v>32.7871428571429</v>
      </c>
      <c r="CH169" s="44" t="n">
        <f aca="false">INDEX(Context!$Y$4:$Y$51,$K169)</f>
        <v>28.36912210206</v>
      </c>
      <c r="CI169" s="44" t="n">
        <f aca="false">INDEX(Context!$Z$4:$Z$51,$K169)</f>
        <v>36.7871428571429</v>
      </c>
      <c r="CJ169" s="43" t="n">
        <f aca="false">INDEX(Context!$AA$4:$AA$51,$K169)</f>
        <v>0.347678571428571</v>
      </c>
      <c r="CK169" s="43" t="n">
        <f aca="false">MAX(0,MIN(1,1-(1-CJ169)*AO169/AN169))</f>
        <v>0.601509110249083</v>
      </c>
      <c r="CL169" s="44" t="n">
        <f aca="false">CH169+CK169*(CI169-CH169)</f>
        <v>33.4326382765082</v>
      </c>
      <c r="CM169" s="44" t="n">
        <f aca="false">CH169+MAX(0,MIN(1,1-(1-CJ169)*AQ169/AN169))*(CI169-CH169)</f>
        <v>31.598981363037</v>
      </c>
      <c r="CN169" s="44" t="n">
        <f aca="false">CH169+MAX(0,MIN(1,1-(1-CJ169)*AP169/AN169))*(CI169-CH169)</f>
        <v>34.7493137151284</v>
      </c>
      <c r="CO169" s="44" t="n">
        <f aca="false">CL169-CG169</f>
        <v>0.645495419365361</v>
      </c>
      <c r="CP169" s="44" t="n">
        <f aca="false">CL169-(CH169+CJ169*(CI169-CH169))</f>
        <v>2.13675074406492</v>
      </c>
      <c r="CQ169" s="46" t="n">
        <f aca="false">CL169/CG169</f>
        <v>1.01968745560349</v>
      </c>
      <c r="CR169" s="43" t="n">
        <f aca="false">IF(CL169-CH169&lt;=0,"n/a",(CI169-CL169)/(CL169-CH169))</f>
        <v>0.662485210882182</v>
      </c>
      <c r="CS169" s="43" t="n">
        <f aca="false">IF(CI169-CL169&lt;=0,"n/a",(CL169-CH169)/(CI169-CL169))</f>
        <v>1.50946765840761</v>
      </c>
      <c r="CT169" s="43" t="n">
        <f aca="false">Inputs_General!$C$23+Inputs_General!$C$24*$I169</f>
        <v>1.36</v>
      </c>
      <c r="CU169" s="44" t="n">
        <f aca="false">3.29*CT169</f>
        <v>4.4744</v>
      </c>
    </row>
    <row r="170" customFormat="false" ht="15" hidden="false" customHeight="false" outlineLevel="0" collapsed="false">
      <c r="A170" s="9" t="str">
        <f aca="false">B170&amp;"|"&amp;E170&amp;"|"&amp;F170</f>
        <v>D3V1|13/03/2026|Very high</v>
      </c>
      <c r="B170" s="7" t="s">
        <v>349</v>
      </c>
      <c r="C170" s="9" t="s">
        <v>131</v>
      </c>
      <c r="D170" s="9" t="s">
        <v>142</v>
      </c>
      <c r="E170" s="9" t="s">
        <v>164</v>
      </c>
      <c r="F170" s="7" t="s">
        <v>285</v>
      </c>
      <c r="G170" s="9" t="s">
        <v>286</v>
      </c>
      <c r="H170" s="41" t="n">
        <f aca="false">INDEX(Severity_Classes!$C$4:$C$9,MATCH(F170,Severity_Classes!$A$4:$A$9,0))</f>
        <v>0.51</v>
      </c>
      <c r="I170" s="41" t="n">
        <f aca="false">INDEX(Severity_Classes!$D$4:$D$9,MATCH(F170,Severity_Classes!$A$4:$A$9,0))</f>
        <v>0.65</v>
      </c>
      <c r="J170" s="41" t="n">
        <f aca="false">INDEX(Severity_Classes!$E$4:$E$9,MATCH(F170,Severity_Classes!$A$4:$A$9,0))</f>
        <v>0.85</v>
      </c>
      <c r="K170" s="42" t="n">
        <f aca="false">MATCH(B170&amp;"|"&amp;E170,Context!$A$4:$A$51,0)</f>
        <v>28</v>
      </c>
      <c r="L170" s="42" t="n">
        <f aca="false">INDEX(Context!$H$4:$H$51,K170)</f>
        <v>76</v>
      </c>
      <c r="M170" s="42" t="n">
        <f aca="false">INDEX(Context!$I$4:$I$51,K170)</f>
        <v>36</v>
      </c>
      <c r="N170" s="9" t="str">
        <f aca="false">INDEX(Context!$L$4:$L$51,K170)</f>
        <v>P</v>
      </c>
      <c r="O170" s="9" t="str">
        <f aca="false">INDEX(Context!$M$4:$M$51,K170)</f>
        <v>5th fully expanded leaf from top</v>
      </c>
      <c r="P170" s="43" t="n">
        <f aca="false">INDEX(Context!$R$4:$R$51,K170)</f>
        <v>0.953571428571428</v>
      </c>
      <c r="Q170" s="43" t="n">
        <f aca="false">INDEX(Context!$U$4:$U$51,K170)</f>
        <v>2.18945736698217</v>
      </c>
      <c r="R170" s="43" t="n">
        <f aca="false">INDEX(Context!$AD$4:$AD$51,K170)</f>
        <v>1</v>
      </c>
      <c r="S170" s="9" t="str">
        <f aca="false">INDEX(Context!$AI$4:$AN$51,K170,MATCH(F170,Severity_Classes!$A$4:$A$9,0))</f>
        <v>Possible</v>
      </c>
      <c r="T170" s="44" t="n">
        <f aca="false">Parameters!$E$4*IF($N170="V",Parameters!$I$4,IF($N170="F",Parameters!$J$4,Parameters!$K$4))*(1-Parameters!$L$4*$P170)*IF($D170="V1",Parameters!$M$4,IF($D170="V2",Parameters!$N$4,Parameters!$O$4))</f>
        <v>77.8046607142857</v>
      </c>
      <c r="U170" s="44" t="n">
        <f aca="false">MIN(100,T170*(1+INDEX(Response_Table!$E$4:$E$21,MATCH($F170&amp;"|mid",Response_Table!$A$4:$A$21,0))*$R170*INDEX(Parameters!$X$4:$AA$4,1,MATCH($E170,Parameters!$X$3:$AA$3,0))))</f>
        <v>56.3297142695902</v>
      </c>
      <c r="V170" s="44" t="n">
        <f aca="false">MAX(0,MIN(T170*(1+INDEX(Response_Table!$E$4:$E$21,MATCH($F170&amp;"|low",Response_Table!$A$4:$A$21,0))*$R170*INDEX(Parameters!$X$4:$AA$4,1,MATCH($E170,Parameters!$X$3:$AA$3,0))),T170*(1+INDEX(Response_Table!$E$4:$E$21,MATCH($F170&amp;"|high",Response_Table!$A$4:$A$21,0))*$R170*INDEX(Parameters!$X$4:$AA$4,1,MATCH($E170,Parameters!$X$3:$AA$3,0))))*(1-Inputs_General!$C$22*Parameters!$F$4))</f>
        <v>51.2305032035894</v>
      </c>
      <c r="W170" s="44" t="n">
        <f aca="false">MIN(100,MAX(T170*(1+INDEX(Response_Table!$E$4:$E$21,MATCH($F170&amp;"|low",Response_Table!$A$4:$A$21,0))*$R170*INDEX(Parameters!$X$4:$AA$4,1,MATCH($E170,Parameters!$X$3:$AA$3,0))),T170*(1+INDEX(Response_Table!$E$4:$E$21,MATCH($F170&amp;"|high",Response_Table!$A$4:$A$21,0))*$R170*INDEX(Parameters!$X$4:$AA$4,1,MATCH($E170,Parameters!$X$3:$AA$3,0))))*(1+Inputs_General!$C$22*Parameters!$F$4))</f>
        <v>63.5173834975525</v>
      </c>
      <c r="X170" s="45" t="n">
        <f aca="false">IF(T170=0,0,U170/T170-1)</f>
        <v>-0.276011054447699</v>
      </c>
      <c r="Y170" s="44" t="n">
        <f aca="false">Parameters!$E$5*IF($N170="V",Parameters!$I$5,IF($N170="F",Parameters!$J$5,Parameters!$K$5))*(1-Parameters!$L$5*$P170)*IF($D170="V1",Parameters!$M$5,IF($D170="V2",Parameters!$N$5,Parameters!$O$5))</f>
        <v>58.6602514285714</v>
      </c>
      <c r="Z170" s="44" t="n">
        <f aca="false">MIN(100,Y170*(1+INDEX(Response_Table!$F$4:$F$21,MATCH($F170&amp;"|mid",Response_Table!$A$4:$A$21,0))*$R170*INDEX(Parameters!$X$5:$AA$5,1,MATCH($E170,Parameters!$X$3:$AA$3,0))))</f>
        <v>18.6490284438912</v>
      </c>
      <c r="AA170" s="44" t="n">
        <f aca="false">MAX(0,MIN(Y170*(1+INDEX(Response_Table!$F$4:$F$21,MATCH($F170&amp;"|low",Response_Table!$A$4:$A$21,0))*$R170*INDEX(Parameters!$X$5:$AA$5,1,MATCH($E170,Parameters!$X$3:$AA$3,0))),Y170*(1+INDEX(Response_Table!$F$4:$F$21,MATCH($F170&amp;"|high",Response_Table!$A$4:$A$21,0))*$R170*INDEX(Parameters!$X$5:$AA$5,1,MATCH($E170,Parameters!$X$3:$AA$3,0))))*(1-Inputs_General!$C$22*Parameters!$F$5))</f>
        <v>15.7001916252653</v>
      </c>
      <c r="AB170" s="44" t="n">
        <f aca="false">MIN(100,MAX(Y170*(1+INDEX(Response_Table!$F$4:$F$21,MATCH($F170&amp;"|low",Response_Table!$A$4:$A$21,0))*$R170*INDEX(Parameters!$X$5:$AA$5,1,MATCH($E170,Parameters!$X$3:$AA$3,0))),Y170*(1+INDEX(Response_Table!$F$4:$F$21,MATCH($F170&amp;"|high",Response_Table!$A$4:$A$21,0))*$R170*INDEX(Parameters!$X$5:$AA$5,1,MATCH($E170,Parameters!$X$3:$AA$3,0))))*(1+Inputs_General!$C$22*Parameters!$F$5))</f>
        <v>24.0507923618159</v>
      </c>
      <c r="AC170" s="45" t="n">
        <f aca="false">IF(Y170=0,0,Z170/Y170-1)</f>
        <v>-0.682084069029274</v>
      </c>
      <c r="AD170" s="44" t="n">
        <f aca="false">Parameters!$E$6*IF($N170="V",Parameters!$I$6,IF($N170="F",Parameters!$J$6,Parameters!$K$6))*(1-Parameters!$L$6*$P170)*IF($D170="V1",Parameters!$M$6,IF($D170="V2",Parameters!$N$6,Parameters!$O$6))</f>
        <v>14.3019785714286</v>
      </c>
      <c r="AE170" s="44" t="n">
        <f aca="false">AD170*(1+INDEX(Response_Table!$G$4:$G$21,MATCH($F170&amp;"|mid",Response_Table!$A$4:$A$21,0))*$R170*INDEX(Parameters!$X$6:$AA$6,1,MATCH($E170,Parameters!$X$3:$AA$3,0)))</f>
        <v>4.18978707945389</v>
      </c>
      <c r="AF170" s="44" t="n">
        <f aca="false">MAX(0,MIN(AD170*(1+INDEX(Response_Table!$G$4:$G$21,MATCH($F170&amp;"|low",Response_Table!$A$4:$A$21,0))*$R170*INDEX(Parameters!$X$6:$AA$6,1,MATCH($E170,Parameters!$X$3:$AA$3,0))),AD170*(1+INDEX(Response_Table!$G$4:$G$21,MATCH($F170&amp;"|high",Response_Table!$A$4:$A$21,0))*$R170*INDEX(Parameters!$X$6:$AA$6,1,MATCH($E170,Parameters!$X$3:$AA$3,0))))*(1-Inputs_General!$C$22*Parameters!$F$6))</f>
        <v>3.07419287955184</v>
      </c>
      <c r="AG170" s="44" t="n">
        <f aca="false">MAX(AD170*(1+INDEX(Response_Table!$G$4:$G$21,MATCH($F170&amp;"|low",Response_Table!$A$4:$A$21,0))*$R170*INDEX(Parameters!$X$6:$AA$6,1,MATCH($E170,Parameters!$X$3:$AA$3,0))),AD170*(1+INDEX(Response_Table!$G$4:$G$21,MATCH($F170&amp;"|high",Response_Table!$A$4:$A$21,0))*$R170*INDEX(Parameters!$X$6:$AA$6,1,MATCH($E170,Parameters!$X$3:$AA$3,0))))*(1+Inputs_General!$C$22*Parameters!$F$6)</f>
        <v>5.64318036085548</v>
      </c>
      <c r="AH170" s="45" t="n">
        <f aca="false">IF(AD170=0,0,AE170/AD170-1)</f>
        <v>-0.707048429800899</v>
      </c>
      <c r="AI170" s="46" t="n">
        <f aca="false">Parameters!$E$7*IF($N170="V",Parameters!$I$7,IF($N170="F",Parameters!$J$7,Parameters!$K$7))*(1-Parameters!$L$7*$P170)*IF($D170="V1",Parameters!$M$7,IF($D170="V2",Parameters!$N$7,Parameters!$O$7))*POWER($Q170/Inputs_General!$C$26,-Inputs_General!$C$25)</f>
        <v>0.258501574676089</v>
      </c>
      <c r="AJ170" s="46" t="n">
        <f aca="false">AI170*(1+INDEX(Response_Table!$H$4:$H$21,MATCH($F170&amp;"|mid",Response_Table!$A$4:$A$21,0))*$R170*INDEX(Parameters!$X$7:$AA$7,1,MATCH($E170,Parameters!$X$3:$AA$3,0)))</f>
        <v>0.114381297638081</v>
      </c>
      <c r="AK170" s="46" t="n">
        <f aca="false">MAX(0,MIN(AI170*(1+INDEX(Response_Table!$H$4:$H$21,MATCH($F170&amp;"|low",Response_Table!$A$4:$A$21,0))*$R170*INDEX(Parameters!$X$7:$AA$7,1,MATCH($E170,Parameters!$X$3:$AA$3,0))),AI170*(1+INDEX(Response_Table!$H$4:$H$21,MATCH($F170&amp;"|high",Response_Table!$A$4:$A$21,0))*$R170*INDEX(Parameters!$X$7:$AA$7,1,MATCH($E170,Parameters!$X$3:$AA$3,0))))*(1-Inputs_General!$C$22*Parameters!$F$7))</f>
        <v>0.0729207337719447</v>
      </c>
      <c r="AL170" s="46" t="n">
        <f aca="false">MAX(AI170*(1+INDEX(Response_Table!$H$4:$H$21,MATCH($F170&amp;"|low",Response_Table!$A$4:$A$21,0))*$R170*INDEX(Parameters!$X$7:$AA$7,1,MATCH($E170,Parameters!$X$3:$AA$3,0))),AI170*(1+INDEX(Response_Table!$H$4:$H$21,MATCH($F170&amp;"|high",Response_Table!$A$4:$A$21,0))*$R170*INDEX(Parameters!$X$7:$AA$7,1,MATCH($E170,Parameters!$X$3:$AA$3,0))))*(1+Inputs_General!$C$22*Parameters!$F$7)</f>
        <v>0.16442218095601</v>
      </c>
      <c r="AM170" s="45" t="n">
        <f aca="false">IF(AI170=0,0,AJ170/AI170-1)</f>
        <v>-0.557521853468766</v>
      </c>
      <c r="AN170" s="43" t="n">
        <f aca="false">AI170*$Q170/Inputs_General!$C$13*1000</f>
        <v>5.69967952720096</v>
      </c>
      <c r="AO170" s="43" t="n">
        <f aca="false">AJ170*$Q170/Inputs_General!$C$13*1000*(1+Inputs_General!$C$21*$I170)</f>
        <v>2.93180597338331</v>
      </c>
      <c r="AP170" s="43" t="n">
        <f aca="false">AK170*$Q170/Inputs_General!$C$13*1000*(1+Inputs_General!$C$21*$H170)</f>
        <v>1.81282058990411</v>
      </c>
      <c r="AQ170" s="43" t="n">
        <f aca="false">AL170*$Q170/Inputs_General!$C$13*1000*(1+Inputs_General!$C$21*$J170)</f>
        <v>4.3957136798556</v>
      </c>
      <c r="AR170" s="45" t="n">
        <f aca="false">IF(AN170=0,0,AO170/AN170-1)</f>
        <v>-0.485619154657441</v>
      </c>
      <c r="AS170" s="42" t="n">
        <f aca="false">Parameters!$E$9*IF($N170="V",Parameters!$I$9,IF($N170="F",Parameters!$J$9,Parameters!$K$9))*(1-Parameters!$L$9*$P170)*IF($D170="V1",Parameters!$M$9,IF($D170="V2",Parameters!$N$9,Parameters!$O$9))</f>
        <v>293.55</v>
      </c>
      <c r="AT170" s="42" t="n">
        <f aca="false">AS170*(1+INDEX(Response_Table!$I$4:$I$21,MATCH($F170&amp;"|mid",Response_Table!$A$4:$A$21,0))*$R170*INDEX(Parameters!$X$9:$AA$9,1,MATCH($E170,Parameters!$X$3:$AA$3,0)))</f>
        <v>375.074097334555</v>
      </c>
      <c r="AU170" s="42" t="n">
        <f aca="false">MAX(0,MIN(AS170*(1+INDEX(Response_Table!$I$4:$I$21,MATCH($F170&amp;"|low",Response_Table!$A$4:$A$21,0))*$R170*INDEX(Parameters!$X$9:$AA$9,1,MATCH($E170,Parameters!$X$3:$AA$3,0))),AS170*(1+INDEX(Response_Table!$I$4:$I$21,MATCH($F170&amp;"|high",Response_Table!$A$4:$A$21,0))*$R170*INDEX(Parameters!$X$9:$AA$9,1,MATCH($E170,Parameters!$X$3:$AA$3,0))))*(1-Inputs_General!$C$22*Parameters!$F$9))</f>
        <v>333.628832646892</v>
      </c>
      <c r="AV170" s="42" t="n">
        <f aca="false">MAX(AS170*(1+INDEX(Response_Table!$I$4:$I$21,MATCH($F170&amp;"|low",Response_Table!$A$4:$A$21,0))*$R170*INDEX(Parameters!$X$9:$AA$9,1,MATCH($E170,Parameters!$X$3:$AA$3,0))),AS170*(1+INDEX(Response_Table!$I$4:$I$21,MATCH($F170&amp;"|high",Response_Table!$A$4:$A$21,0))*$R170*INDEX(Parameters!$X$9:$AA$9,1,MATCH($E170,Parameters!$X$3:$AA$3,0))))*(1+Inputs_General!$C$22*Parameters!$F$9)</f>
        <v>416.051302501163</v>
      </c>
      <c r="AW170" s="45" t="n">
        <f aca="false">IF(AS170=0,0,AT170/AS170-1)</f>
        <v>0.2777179265357</v>
      </c>
      <c r="AX170" s="43" t="n">
        <f aca="false">INDEX(Context!$AB$4:$AB$51,$K170)</f>
        <v>2.72032542211643</v>
      </c>
      <c r="AY170" s="43" t="n">
        <f aca="false">AX170*(1+INDEX(Response_Table!$J$4:$J$21,MATCH($F170&amp;"|mid",Response_Table!$A$4:$A$21,0))*$R170*INDEX(Parameters!$X$10:$AA$10,1,MATCH($E170,Parameters!$X$3:$AA$3,0)))</f>
        <v>1.73722770835031</v>
      </c>
      <c r="AZ170" s="43" t="n">
        <f aca="false">MAX(0,MIN(AX170*(1+INDEX(Response_Table!$J$4:$J$21,MATCH($F170&amp;"|low",Response_Table!$A$4:$A$21,0))*$R170*INDEX(Parameters!$X$10:$AA$10,1,MATCH($E170,Parameters!$X$3:$AA$3,0))),AX170*(1+INDEX(Response_Table!$J$4:$J$21,MATCH($F170&amp;"|high",Response_Table!$A$4:$A$21,0))*$R170*INDEX(Parameters!$X$10:$AA$10,1,MATCH($E170,Parameters!$X$3:$AA$3,0))))*(1-Inputs_General!$C$22*Parameters!$F$10))</f>
        <v>1.31817613436976</v>
      </c>
      <c r="BA170" s="43" t="n">
        <f aca="false">MAX(AX170*(1+INDEX(Response_Table!$J$4:$J$21,MATCH($F170&amp;"|low",Response_Table!$A$4:$A$21,0))*$R170*INDEX(Parameters!$X$10:$AA$10,1,MATCH($E170,Parameters!$X$3:$AA$3,0))),AX170*(1+INDEX(Response_Table!$J$4:$J$21,MATCH($F170&amp;"|high",Response_Table!$A$4:$A$21,0))*$R170*INDEX(Parameters!$X$10:$AA$10,1,MATCH($E170,Parameters!$X$3:$AA$3,0))))*(1+Inputs_General!$C$22*Parameters!$F$10)</f>
        <v>2.20111265569114</v>
      </c>
      <c r="BB170" s="45" t="n">
        <f aca="false">IF(AX170=0,0,AY170/AX170-1)</f>
        <v>-0.361389746158113</v>
      </c>
      <c r="BC170" s="46" t="n">
        <f aca="false">Parameters!$E$11*IF($N170="V",Parameters!$I$11,IF($N170="F",Parameters!$J$11,Parameters!$K$11))*(1-Parameters!$L$11*$P170)*IF($D170="V1",Parameters!$M$11,IF($D170="V2",Parameters!$N$11,Parameters!$O$11))</f>
        <v>1.00170982142857</v>
      </c>
      <c r="BD170" s="46" t="n">
        <f aca="false">BC170*(1+INDEX(Response_Table!$K$4:$K$21,MATCH($F170&amp;"|mid",Response_Table!$A$4:$A$21,0))*$R170*INDEX(Parameters!$X$11:$AA$11,1,MATCH($E170,Parameters!$X$3:$AA$3,0)))</f>
        <v>0.431941920859109</v>
      </c>
      <c r="BE170" s="46" t="n">
        <f aca="false">MAX(0,MIN(BC170*(1+INDEX(Response_Table!$K$4:$K$21,MATCH($F170&amp;"|low",Response_Table!$A$4:$A$21,0))*$R170*INDEX(Parameters!$X$11:$AA$11,1,MATCH($E170,Parameters!$X$3:$AA$3,0))),BC170*(1+INDEX(Response_Table!$K$4:$K$21,MATCH($F170&amp;"|high",Response_Table!$A$4:$A$21,0))*$R170*INDEX(Parameters!$X$11:$AA$11,1,MATCH($E170,Parameters!$X$3:$AA$3,0))))*(1-Inputs_General!$C$22*Parameters!$F$11))</f>
        <v>0.328761095537153</v>
      </c>
      <c r="BF170" s="46" t="n">
        <f aca="false">MAX(BC170*(1+INDEX(Response_Table!$K$4:$K$21,MATCH($F170&amp;"|low",Response_Table!$A$4:$A$21,0))*$R170*INDEX(Parameters!$X$11:$AA$11,1,MATCH($E170,Parameters!$X$3:$AA$3,0))),BC170*(1+INDEX(Response_Table!$K$4:$K$21,MATCH($F170&amp;"|high",Response_Table!$A$4:$A$21,0))*$R170*INDEX(Parameters!$X$11:$AA$11,1,MATCH($E170,Parameters!$X$3:$AA$3,0))))*(1+Inputs_General!$C$22*Parameters!$F$11)</f>
        <v>0.55653262849443</v>
      </c>
      <c r="BG170" s="45" t="n">
        <f aca="false">IF(BC170=0,0,BD170/BC170-1)</f>
        <v>-0.568795362070921</v>
      </c>
      <c r="BH170" s="46" t="n">
        <f aca="false">Parameters!$E$12*IF($N170="V",Parameters!$I$12,IF($N170="F",Parameters!$J$12,Parameters!$K$12))*(1-Parameters!$L$12*$P170)*IF($D170="V1",Parameters!$M$12,IF($D170="V2",Parameters!$N$12,Parameters!$O$12))</f>
        <v>0.373343142857143</v>
      </c>
      <c r="BI170" s="46" t="n">
        <f aca="false">BH170*(1+INDEX(Response_Table!$L$4:$L$21,MATCH($F170&amp;"|mid",Response_Table!$A$4:$A$21,0))*$R170*INDEX(Parameters!$X$12:$AA$12,1,MATCH($E170,Parameters!$X$3:$AA$3,0)))</f>
        <v>0.197218791253969</v>
      </c>
      <c r="BJ170" s="46" t="n">
        <f aca="false">MAX(0,MIN(BH170*(1+INDEX(Response_Table!$L$4:$L$21,MATCH($F170&amp;"|low",Response_Table!$A$4:$A$21,0))*$R170*INDEX(Parameters!$X$12:$AA$12,1,MATCH($E170,Parameters!$X$3:$AA$3,0))),BH170*(1+INDEX(Response_Table!$L$4:$L$21,MATCH($F170&amp;"|high",Response_Table!$A$4:$A$21,0))*$R170*INDEX(Parameters!$X$12:$AA$12,1,MATCH($E170,Parameters!$X$3:$AA$3,0))))*(1-Inputs_General!$C$22*Parameters!$F$12))</f>
        <v>0.147708581216903</v>
      </c>
      <c r="BK170" s="46" t="n">
        <f aca="false">MAX(BH170*(1+INDEX(Response_Table!$L$4:$L$21,MATCH($F170&amp;"|low",Response_Table!$A$4:$A$21,0))*$R170*INDEX(Parameters!$X$12:$AA$12,1,MATCH($E170,Parameters!$X$3:$AA$3,0))),BH170*(1+INDEX(Response_Table!$L$4:$L$21,MATCH($F170&amp;"|high",Response_Table!$A$4:$A$21,0))*$R170*INDEX(Parameters!$X$12:$AA$12,1,MATCH($E170,Parameters!$X$3:$AA$3,0))))*(1+Inputs_General!$C$22*Parameters!$F$12)</f>
        <v>0.254408671793752</v>
      </c>
      <c r="BL170" s="45" t="n">
        <f aca="false">IF(BH170=0,0,BI170/BH170-1)</f>
        <v>-0.471749260627418</v>
      </c>
      <c r="BM170" s="46" t="n">
        <f aca="false">Parameters!$E$13*IF($N170="V",Parameters!$I$13,IF($N170="F",Parameters!$J$13,Parameters!$K$13))*(1-Parameters!$L$13*$P170)*IF($D170="V1",Parameters!$M$13,IF($D170="V2",Parameters!$N$13,Parameters!$O$13))</f>
        <v>0.262276071428571</v>
      </c>
      <c r="BN170" s="46" t="n">
        <f aca="false">BM170*(1+INDEX(Response_Table!$M$4:$M$21,MATCH($F170&amp;"|mid",Response_Table!$A$4:$A$21,0))*$R170*INDEX(Parameters!$X$13:$AA$13,1,MATCH($E170,Parameters!$X$3:$AA$3,0)))</f>
        <v>0.172988387214396</v>
      </c>
      <c r="BO170" s="46" t="n">
        <f aca="false">MAX(0,MIN(BM170*(1+INDEX(Response_Table!$M$4:$M$21,MATCH($F170&amp;"|low",Response_Table!$A$4:$A$21,0))*$R170*INDEX(Parameters!$X$13:$AA$13,1,MATCH($E170,Parameters!$X$3:$AA$3,0))),BM170*(1+INDEX(Response_Table!$M$4:$M$21,MATCH($F170&amp;"|high",Response_Table!$A$4:$A$21,0))*$R170*INDEX(Parameters!$X$13:$AA$13,1,MATCH($E170,Parameters!$X$3:$AA$3,0))))*(1-Inputs_General!$C$22*Parameters!$F$13))</f>
        <v>0.132975189828341</v>
      </c>
      <c r="BP170" s="46" t="n">
        <f aca="false">MAX(BM170*(1+INDEX(Response_Table!$M$4:$M$21,MATCH($F170&amp;"|low",Response_Table!$A$4:$A$21,0))*$R170*INDEX(Parameters!$X$13:$AA$13,1,MATCH($E170,Parameters!$X$3:$AA$3,0))),BM170*(1+INDEX(Response_Table!$M$4:$M$21,MATCH($F170&amp;"|high",Response_Table!$A$4:$A$21,0))*$R170*INDEX(Parameters!$X$13:$AA$13,1,MATCH($E170,Parameters!$X$3:$AA$3,0))))*(1+Inputs_General!$C$22*Parameters!$F$13)</f>
        <v>0.218285142038729</v>
      </c>
      <c r="BQ170" s="45" t="n">
        <f aca="false">IF(BM170=0,0,BN170/BM170-1)</f>
        <v>-0.340433969930393</v>
      </c>
      <c r="BR170" s="44" t="n">
        <f aca="false">Parameters!$E$14*IF($N170="V",Parameters!$I$14,IF($N170="F",Parameters!$J$14,Parameters!$K$14))*(1-Parameters!$L$14*$P170)*IF($D170="V1",Parameters!$M$14,IF($D170="V2",Parameters!$N$14,Parameters!$O$14))*INDEX(Context!$AC$4:$AC$51,$K170)</f>
        <v>17.25</v>
      </c>
      <c r="BS170" s="44" t="n">
        <f aca="false">BR170*(1+INDEX(Response_Table!$N$4:$N$21,MATCH($F170&amp;"|mid",Response_Table!$A$4:$A$21,0))*$R170*INDEX(Parameters!$X$14:$AA$14,1,MATCH($E170,Parameters!$X$3:$AA$3,0)))</f>
        <v>26.1274633590796</v>
      </c>
      <c r="BT170" s="44" t="n">
        <f aca="false">MAX(0,MIN(BR170*(1+INDEX(Response_Table!$N$4:$N$21,MATCH($F170&amp;"|low",Response_Table!$A$4:$A$21,0))*$R170*INDEX(Parameters!$X$14:$AA$14,1,MATCH($E170,Parameters!$X$3:$AA$3,0))),BR170*(1+INDEX(Response_Table!$N$4:$N$21,MATCH($F170&amp;"|high",Response_Table!$A$4:$A$21,0))*$R170*INDEX(Parameters!$X$14:$AA$14,1,MATCH($E170,Parameters!$X$3:$AA$3,0))))*(1-Inputs_General!$C$22*Parameters!$F$14))</f>
        <v>12.844260484621</v>
      </c>
      <c r="BU170" s="44" t="n">
        <f aca="false">MAX(BR170*(1+INDEX(Response_Table!$N$4:$N$21,MATCH($F170&amp;"|low",Response_Table!$A$4:$A$21,0))*$R170*INDEX(Parameters!$X$14:$AA$14,1,MATCH($E170,Parameters!$X$3:$AA$3,0))),BR170*(1+INDEX(Response_Table!$N$4:$N$21,MATCH($F170&amp;"|high",Response_Table!$A$4:$A$21,0))*$R170*INDEX(Parameters!$X$14:$AA$14,1,MATCH($E170,Parameters!$X$3:$AA$3,0))))*(1+Inputs_General!$C$22*Parameters!$F$14)</f>
        <v>40.0136350794123</v>
      </c>
      <c r="BV170" s="45" t="n">
        <f aca="false">IF(BR170=0,0,BS170/BR170-1)</f>
        <v>0.514635557048092</v>
      </c>
      <c r="BW170" s="43" t="n">
        <f aca="false">Parameters!$E$15*IF($N170="V",Parameters!$I$15,IF($N170="F",Parameters!$J$15,Parameters!$K$15))*(1-Parameters!$L$15*$P170)*IF($D170="V1",Parameters!$M$15,IF($D170="V2",Parameters!$N$15,Parameters!$O$15))</f>
        <v>8.04007657142857</v>
      </c>
      <c r="BX170" s="43" t="n">
        <f aca="false">BW170*(1+INDEX(Response_Table!$O$4:$O$21,MATCH($F170&amp;"|mid",Response_Table!$A$4:$A$21,0))*$R170*INDEX(Parameters!$X$15:$AA$15,1,MATCH($E170,Parameters!$X$3:$AA$3,0)))</f>
        <v>7.00564925016696</v>
      </c>
      <c r="BY170" s="43" t="n">
        <f aca="false">MAX(0,MIN(BW170*(1+INDEX(Response_Table!$O$4:$O$21,MATCH($F170&amp;"|low",Response_Table!$A$4:$A$21,0))*$R170*INDEX(Parameters!$X$15:$AA$15,1,MATCH($E170,Parameters!$X$3:$AA$3,0))),BW170*(1+INDEX(Response_Table!$O$4:$O$21,MATCH($F170&amp;"|high",Response_Table!$A$4:$A$21,0))*$R170*INDEX(Parameters!$X$15:$AA$15,1,MATCH($E170,Parameters!$X$3:$AA$3,0))))*(1-Inputs_General!$C$22*Parameters!$F$15))</f>
        <v>5.56059938181482</v>
      </c>
      <c r="BZ170" s="43" t="n">
        <f aca="false">MAX(BW170*(1+INDEX(Response_Table!$O$4:$O$21,MATCH($F170&amp;"|low",Response_Table!$A$4:$A$21,0))*$R170*INDEX(Parameters!$X$15:$AA$15,1,MATCH($E170,Parameters!$X$3:$AA$3,0))),BW170*(1+INDEX(Response_Table!$O$4:$O$21,MATCH($F170&amp;"|high",Response_Table!$A$4:$A$21,0))*$R170*INDEX(Parameters!$X$15:$AA$15,1,MATCH($E170,Parameters!$X$3:$AA$3,0))))*(1+Inputs_General!$C$22*Parameters!$F$15)</f>
        <v>8.49580396014937</v>
      </c>
      <c r="CA170" s="45" t="n">
        <f aca="false">IF(BW170=0,0,BX170/BW170-1)</f>
        <v>-0.128658889262023</v>
      </c>
      <c r="CB170" s="46" t="n">
        <f aca="false">BD170+BI170</f>
        <v>0.629160712113079</v>
      </c>
      <c r="CC170" s="43" t="n">
        <f aca="false">BD170/BI170</f>
        <v>2.19016615056156</v>
      </c>
      <c r="CD170" s="46" t="n">
        <f aca="false">BN170/CB170</f>
        <v>0.274951032198756</v>
      </c>
      <c r="CE170" s="43" t="n">
        <f aca="false">AE170/AO170</f>
        <v>1.4290806136188</v>
      </c>
      <c r="CF170" s="44" t="n">
        <f aca="false">AE170/AJ170</f>
        <v>36.6300012849214</v>
      </c>
      <c r="CG170" s="44" t="n">
        <f aca="false">INDEX(Context!$V$4:$V$51,$K170)</f>
        <v>32.7871428571429</v>
      </c>
      <c r="CH170" s="44" t="n">
        <f aca="false">INDEX(Context!$Y$4:$Y$51,$K170)</f>
        <v>28.36912210206</v>
      </c>
      <c r="CI170" s="44" t="n">
        <f aca="false">INDEX(Context!$Z$4:$Z$51,$K170)</f>
        <v>36.7871428571429</v>
      </c>
      <c r="CJ170" s="43" t="n">
        <f aca="false">INDEX(Context!$AA$4:$AA$51,$K170)</f>
        <v>0.347678571428571</v>
      </c>
      <c r="CK170" s="43" t="n">
        <f aca="false">MAX(0,MIN(1,1-(1-CJ170)*AO170/AN170))</f>
        <v>0.664458352136363</v>
      </c>
      <c r="CL170" s="44" t="n">
        <f aca="false">CH170+CK170*(CI170-CH170)</f>
        <v>33.9625463012321</v>
      </c>
      <c r="CM170" s="44" t="n">
        <f aca="false">CH170+MAX(0,MIN(1,1-(1-CJ170)*AQ170/AN170))*(CI170-CH170)</f>
        <v>32.5521703406765</v>
      </c>
      <c r="CN170" s="44" t="n">
        <f aca="false">CH170+MAX(0,MIN(1,1-(1-CJ170)*AP170/AN170))*(CI170-CH170)</f>
        <v>35.0406129567285</v>
      </c>
      <c r="CO170" s="44" t="n">
        <f aca="false">CL170-CG170</f>
        <v>1.17540344408921</v>
      </c>
      <c r="CP170" s="44" t="n">
        <f aca="false">CL170-(CH170+CJ170*(CI170-CH170))</f>
        <v>2.66665876878877</v>
      </c>
      <c r="CQ170" s="46" t="n">
        <f aca="false">CL170/CG170</f>
        <v>1.03584952336989</v>
      </c>
      <c r="CR170" s="43" t="n">
        <f aca="false">IF(CL170-CH170&lt;=0,"n/a",(CI170-CL170)/(CL170-CH170))</f>
        <v>0.504985221097463</v>
      </c>
      <c r="CS170" s="43" t="n">
        <f aca="false">IF(CI170-CL170&lt;=0,"n/a",(CL170-CH170)/(CI170-CL170))</f>
        <v>1.98025597229706</v>
      </c>
      <c r="CT170" s="43" t="n">
        <f aca="false">Inputs_General!$C$23+Inputs_General!$C$24*$I170</f>
        <v>1.9</v>
      </c>
      <c r="CU170" s="44" t="n">
        <f aca="false">3.29*CT170</f>
        <v>6.251</v>
      </c>
    </row>
    <row r="171" customFormat="false" ht="15" hidden="false" customHeight="false" outlineLevel="0" collapsed="false">
      <c r="A171" s="33" t="str">
        <f aca="false">B171&amp;"|"&amp;E171&amp;"|"&amp;F171</f>
        <v>D3V2|11/02/2026|Healthy</v>
      </c>
      <c r="B171" s="34" t="s">
        <v>350</v>
      </c>
      <c r="C171" s="33" t="s">
        <v>131</v>
      </c>
      <c r="D171" s="33" t="s">
        <v>146</v>
      </c>
      <c r="E171" s="33" t="s">
        <v>158</v>
      </c>
      <c r="F171" s="34" t="s">
        <v>275</v>
      </c>
      <c r="G171" s="33" t="s">
        <v>276</v>
      </c>
      <c r="H171" s="35" t="n">
        <f aca="false">INDEX(Severity_Classes!$C$4:$C$9,MATCH(F171,Severity_Classes!$A$4:$A$9,0))</f>
        <v>0</v>
      </c>
      <c r="I171" s="35" t="n">
        <f aca="false">INDEX(Severity_Classes!$D$4:$D$9,MATCH(F171,Severity_Classes!$A$4:$A$9,0))</f>
        <v>0</v>
      </c>
      <c r="J171" s="35" t="n">
        <f aca="false">INDEX(Severity_Classes!$E$4:$E$9,MATCH(F171,Severity_Classes!$A$4:$A$9,0))</f>
        <v>0</v>
      </c>
      <c r="K171" s="36" t="n">
        <f aca="false">MATCH(B171&amp;"|"&amp;E171,Context!$A$4:$A$51,0)</f>
        <v>29</v>
      </c>
      <c r="L171" s="36" t="n">
        <f aca="false">INDEX(Context!$H$4:$H$51,K171)</f>
        <v>46</v>
      </c>
      <c r="M171" s="36" t="n">
        <f aca="false">INDEX(Context!$I$4:$I$51,K171)</f>
        <v>6</v>
      </c>
      <c r="N171" s="33" t="str">
        <f aca="false">INDEX(Context!$L$4:$L$51,K171)</f>
        <v>V</v>
      </c>
      <c r="O171" s="33" t="str">
        <f aca="false">INDEX(Context!$M$4:$M$51,K171)</f>
        <v>3rd fully expanded leaf from top</v>
      </c>
      <c r="P171" s="37" t="n">
        <f aca="false">INDEX(Context!$R$4:$R$51,K171)</f>
        <v>0</v>
      </c>
      <c r="Q171" s="37" t="n">
        <f aca="false">INDEX(Context!$U$4:$U$51,K171)</f>
        <v>0.937791824040773</v>
      </c>
      <c r="R171" s="37" t="n">
        <f aca="false">INDEX(Context!$AD$4:$AD$51,K171)</f>
        <v>1.1</v>
      </c>
      <c r="S171" s="33" t="str">
        <f aca="false">INDEX(Context!$AI$4:$AN$51,K171,MATCH(F171,Severity_Classes!$A$4:$A$9,0))</f>
        <v>Reference: healthy (uninoculated) control plot</v>
      </c>
      <c r="T171" s="38" t="n">
        <f aca="false">Parameters!$E$4*IF($N171="V",Parameters!$I$4,IF($N171="F",Parameters!$J$4,Parameters!$K$4))*(1-Parameters!$L$4*$P171)*IF($D171="V1",Parameters!$M$4,IF($D171="V2",Parameters!$N$4,Parameters!$O$4))</f>
        <v>86</v>
      </c>
      <c r="U171" s="38" t="n">
        <f aca="false">MIN(100,T171*(1+INDEX(Response_Table!$E$4:$E$21,MATCH($F171&amp;"|mid",Response_Table!$A$4:$A$21,0))*$R171*INDEX(Parameters!$X$4:$AA$4,1,MATCH($E171,Parameters!$X$3:$AA$3,0))))</f>
        <v>86</v>
      </c>
      <c r="V171" s="38" t="n">
        <f aca="false">MAX(0,MIN(T171*(1+INDEX(Response_Table!$E$4:$E$21,MATCH($F171&amp;"|low",Response_Table!$A$4:$A$21,0))*$R171*INDEX(Parameters!$X$4:$AA$4,1,MATCH($E171,Parameters!$X$3:$AA$3,0))),T171*(1+INDEX(Response_Table!$E$4:$E$21,MATCH($F171&amp;"|high",Response_Table!$A$4:$A$21,0))*$R171*INDEX(Parameters!$X$4:$AA$4,1,MATCH($E171,Parameters!$X$3:$AA$3,0))))*(1-Inputs_General!$C$22*Parameters!$F$4))</f>
        <v>80.3412</v>
      </c>
      <c r="W171" s="38" t="n">
        <f aca="false">MIN(100,MAX(T171*(1+INDEX(Response_Table!$E$4:$E$21,MATCH($F171&amp;"|low",Response_Table!$A$4:$A$21,0))*$R171*INDEX(Parameters!$X$4:$AA$4,1,MATCH($E171,Parameters!$X$3:$AA$3,0))),T171*(1+INDEX(Response_Table!$E$4:$E$21,MATCH($F171&amp;"|high",Response_Table!$A$4:$A$21,0))*$R171*INDEX(Parameters!$X$4:$AA$4,1,MATCH($E171,Parameters!$X$3:$AA$3,0))))*(1+Inputs_General!$C$22*Parameters!$F$4))</f>
        <v>91.6588</v>
      </c>
      <c r="X171" s="39" t="n">
        <f aca="false">IF(T171=0,0,U171/T171-1)</f>
        <v>0</v>
      </c>
      <c r="Y171" s="38" t="n">
        <f aca="false">Parameters!$E$5*IF($N171="V",Parameters!$I$5,IF($N171="F",Parameters!$J$5,Parameters!$K$5))*(1-Parameters!$L$5*$P171)*IF($D171="V1",Parameters!$M$5,IF($D171="V2",Parameters!$N$5,Parameters!$O$5))</f>
        <v>72</v>
      </c>
      <c r="Z171" s="38" t="n">
        <f aca="false">MIN(100,Y171*(1+INDEX(Response_Table!$F$4:$F$21,MATCH($F171&amp;"|mid",Response_Table!$A$4:$A$21,0))*$R171*INDEX(Parameters!$X$5:$AA$5,1,MATCH($E171,Parameters!$X$3:$AA$3,0))))</f>
        <v>72</v>
      </c>
      <c r="AA171" s="38" t="n">
        <f aca="false">MAX(0,MIN(Y171*(1+INDEX(Response_Table!$F$4:$F$21,MATCH($F171&amp;"|low",Response_Table!$A$4:$A$21,0))*$R171*INDEX(Parameters!$X$5:$AA$5,1,MATCH($E171,Parameters!$X$3:$AA$3,0))),Y171*(1+INDEX(Response_Table!$F$4:$F$21,MATCH($F171&amp;"|high",Response_Table!$A$4:$A$21,0))*$R171*INDEX(Parameters!$X$5:$AA$5,1,MATCH($E171,Parameters!$X$3:$AA$3,0))))*(1-Inputs_General!$C$22*Parameters!$F$5))</f>
        <v>63.7092</v>
      </c>
      <c r="AB171" s="38" t="n">
        <f aca="false">MIN(100,MAX(Y171*(1+INDEX(Response_Table!$F$4:$F$21,MATCH($F171&amp;"|low",Response_Table!$A$4:$A$21,0))*$R171*INDEX(Parameters!$X$5:$AA$5,1,MATCH($E171,Parameters!$X$3:$AA$3,0))),Y171*(1+INDEX(Response_Table!$F$4:$F$21,MATCH($F171&amp;"|high",Response_Table!$A$4:$A$21,0))*$R171*INDEX(Parameters!$X$5:$AA$5,1,MATCH($E171,Parameters!$X$3:$AA$3,0))))*(1+Inputs_General!$C$22*Parameters!$F$5))</f>
        <v>80.2908</v>
      </c>
      <c r="AC171" s="39" t="n">
        <f aca="false">IF(Y171=0,0,Z171/Y171-1)</f>
        <v>0</v>
      </c>
      <c r="AD171" s="38" t="n">
        <f aca="false">Parameters!$E$6*IF($N171="V",Parameters!$I$6,IF($N171="F",Parameters!$J$6,Parameters!$K$6))*(1-Parameters!$L$6*$P171)*IF($D171="V1",Parameters!$M$6,IF($D171="V2",Parameters!$N$6,Parameters!$O$6))</f>
        <v>19</v>
      </c>
      <c r="AE171" s="38" t="n">
        <f aca="false">AD171*(1+INDEX(Response_Table!$G$4:$G$21,MATCH($F171&amp;"|mid",Response_Table!$A$4:$A$21,0))*$R171*INDEX(Parameters!$X$6:$AA$6,1,MATCH($E171,Parameters!$X$3:$AA$3,0)))</f>
        <v>19</v>
      </c>
      <c r="AF171" s="38" t="n">
        <f aca="false">MAX(0,MIN(AD171*(1+INDEX(Response_Table!$G$4:$G$21,MATCH($F171&amp;"|low",Response_Table!$A$4:$A$21,0))*$R171*INDEX(Parameters!$X$6:$AA$6,1,MATCH($E171,Parameters!$X$3:$AA$3,0))),AD171*(1+INDEX(Response_Table!$G$4:$G$21,MATCH($F171&amp;"|high",Response_Table!$A$4:$A$21,0))*$R171*INDEX(Parameters!$X$6:$AA$6,1,MATCH($E171,Parameters!$X$3:$AA$3,0))))*(1-Inputs_General!$C$22*Parameters!$F$6))</f>
        <v>15.2494</v>
      </c>
      <c r="AG171" s="38" t="n">
        <f aca="false">MAX(AD171*(1+INDEX(Response_Table!$G$4:$G$21,MATCH($F171&amp;"|low",Response_Table!$A$4:$A$21,0))*$R171*INDEX(Parameters!$X$6:$AA$6,1,MATCH($E171,Parameters!$X$3:$AA$3,0))),AD171*(1+INDEX(Response_Table!$G$4:$G$21,MATCH($F171&amp;"|high",Response_Table!$A$4:$A$21,0))*$R171*INDEX(Parameters!$X$6:$AA$6,1,MATCH($E171,Parameters!$X$3:$AA$3,0))))*(1+Inputs_General!$C$22*Parameters!$F$6)</f>
        <v>22.7506</v>
      </c>
      <c r="AH171" s="39" t="n">
        <f aca="false">IF(AD171=0,0,AE171/AD171-1)</f>
        <v>0</v>
      </c>
      <c r="AI171" s="40" t="n">
        <f aca="false">Parameters!$E$7*IF($N171="V",Parameters!$I$7,IF($N171="F",Parameters!$J$7,Parameters!$K$7))*(1-Parameters!$L$7*$P171)*IF($D171="V1",Parameters!$M$7,IF($D171="V2",Parameters!$N$7,Parameters!$O$7))*POWER($Q171/Inputs_General!$C$26,-Inputs_General!$C$25)</f>
        <v>0.464685683730118</v>
      </c>
      <c r="AJ171" s="40" t="n">
        <f aca="false">AI171*(1+INDEX(Response_Table!$H$4:$H$21,MATCH($F171&amp;"|mid",Response_Table!$A$4:$A$21,0))*$R171*INDEX(Parameters!$X$7:$AA$7,1,MATCH($E171,Parameters!$X$3:$AA$3,0)))</f>
        <v>0.464685683730118</v>
      </c>
      <c r="AK171" s="40" t="n">
        <f aca="false">MAX(0,MIN(AI171*(1+INDEX(Response_Table!$H$4:$H$21,MATCH($F171&amp;"|low",Response_Table!$A$4:$A$21,0))*$R171*INDEX(Parameters!$X$7:$AA$7,1,MATCH($E171,Parameters!$X$3:$AA$3,0))),AI171*(1+INDEX(Response_Table!$H$4:$H$21,MATCH($F171&amp;"|high",Response_Table!$A$4:$A$21,0))*$R171*INDEX(Parameters!$X$7:$AA$7,1,MATCH($E171,Parameters!$X$3:$AA$3,0))))*(1-Inputs_General!$C$22*Parameters!$F$7))</f>
        <v>0.32709225277763</v>
      </c>
      <c r="AL171" s="40" t="n">
        <f aca="false">MAX(AI171*(1+INDEX(Response_Table!$H$4:$H$21,MATCH($F171&amp;"|low",Response_Table!$A$4:$A$21,0))*$R171*INDEX(Parameters!$X$7:$AA$7,1,MATCH($E171,Parameters!$X$3:$AA$3,0))),AI171*(1+INDEX(Response_Table!$H$4:$H$21,MATCH($F171&amp;"|high",Response_Table!$A$4:$A$21,0))*$R171*INDEX(Parameters!$X$7:$AA$7,1,MATCH($E171,Parameters!$X$3:$AA$3,0))))*(1+Inputs_General!$C$22*Parameters!$F$7)</f>
        <v>0.602279114682606</v>
      </c>
      <c r="AM171" s="39" t="n">
        <f aca="false">IF(AI171=0,0,AJ171/AI171-1)</f>
        <v>0</v>
      </c>
      <c r="AN171" s="37" t="n">
        <f aca="false">AI171*$Q171/Inputs_General!$C$13*1000</f>
        <v>4.38850387664553</v>
      </c>
      <c r="AO171" s="37" t="n">
        <f aca="false">AJ171*$Q171/Inputs_General!$C$13*1000*(1+Inputs_General!$C$21*$I171)</f>
        <v>4.38850387664553</v>
      </c>
      <c r="AP171" s="37" t="n">
        <f aca="false">AK171*$Q171/Inputs_General!$C$13*1000*(1+Inputs_General!$C$21*$H171)</f>
        <v>3.08906787877079</v>
      </c>
      <c r="AQ171" s="37" t="n">
        <f aca="false">AL171*$Q171/Inputs_General!$C$13*1000*(1+Inputs_General!$C$21*$J171)</f>
        <v>5.68793987452027</v>
      </c>
      <c r="AR171" s="39" t="n">
        <f aca="false">IF(AN171=0,0,AO171/AN171-1)</f>
        <v>0</v>
      </c>
      <c r="AS171" s="36" t="n">
        <f aca="false">Parameters!$E$9*IF($N171="V",Parameters!$I$9,IF($N171="F",Parameters!$J$9,Parameters!$K$9))*(1-Parameters!$L$9*$P171)*IF($D171="V1",Parameters!$M$9,IF($D171="V2",Parameters!$N$9,Parameters!$O$9))</f>
        <v>285</v>
      </c>
      <c r="AT171" s="36" t="n">
        <f aca="false">AS171*(1+INDEX(Response_Table!$I$4:$I$21,MATCH($F171&amp;"|mid",Response_Table!$A$4:$A$21,0))*$R171*INDEX(Parameters!$X$9:$AA$9,1,MATCH($E171,Parameters!$X$3:$AA$3,0)))</f>
        <v>285</v>
      </c>
      <c r="AU171" s="36" t="n">
        <f aca="false">MAX(0,MIN(AS171*(1+INDEX(Response_Table!$I$4:$I$21,MATCH($F171&amp;"|low",Response_Table!$A$4:$A$21,0))*$R171*INDEX(Parameters!$X$9:$AA$9,1,MATCH($E171,Parameters!$X$3:$AA$3,0))),AS171*(1+INDEX(Response_Table!$I$4:$I$21,MATCH($F171&amp;"|high",Response_Table!$A$4:$A$21,0))*$R171*INDEX(Parameters!$X$9:$AA$9,1,MATCH($E171,Parameters!$X$3:$AA$3,0))))*(1-Inputs_General!$C$22*Parameters!$F$9))</f>
        <v>256.8705</v>
      </c>
      <c r="AV171" s="36" t="n">
        <f aca="false">MAX(AS171*(1+INDEX(Response_Table!$I$4:$I$21,MATCH($F171&amp;"|low",Response_Table!$A$4:$A$21,0))*$R171*INDEX(Parameters!$X$9:$AA$9,1,MATCH($E171,Parameters!$X$3:$AA$3,0))),AS171*(1+INDEX(Response_Table!$I$4:$I$21,MATCH($F171&amp;"|high",Response_Table!$A$4:$A$21,0))*$R171*INDEX(Parameters!$X$9:$AA$9,1,MATCH($E171,Parameters!$X$3:$AA$3,0))))*(1+Inputs_General!$C$22*Parameters!$F$9)</f>
        <v>313.1295</v>
      </c>
      <c r="AW171" s="39" t="n">
        <f aca="false">IF(AS171=0,0,AT171/AS171-1)</f>
        <v>0</v>
      </c>
      <c r="AX171" s="37" t="n">
        <f aca="false">INDEX(Context!$AB$4:$AB$51,$K171)</f>
        <v>1.09384586130271</v>
      </c>
      <c r="AY171" s="37" t="n">
        <f aca="false">AX171*(1+INDEX(Response_Table!$J$4:$J$21,MATCH($F171&amp;"|mid",Response_Table!$A$4:$A$21,0))*$R171*INDEX(Parameters!$X$10:$AA$10,1,MATCH($E171,Parameters!$X$3:$AA$3,0)))</f>
        <v>1.09384586130271</v>
      </c>
      <c r="AZ171" s="37" t="n">
        <f aca="false">MAX(0,MIN(AX171*(1+INDEX(Response_Table!$J$4:$J$21,MATCH($F171&amp;"|low",Response_Table!$A$4:$A$21,0))*$R171*INDEX(Parameters!$X$10:$AA$10,1,MATCH($E171,Parameters!$X$3:$AA$3,0))),AX171*(1+INDEX(Response_Table!$J$4:$J$21,MATCH($F171&amp;"|high",Response_Table!$A$4:$A$21,0))*$R171*INDEX(Parameters!$X$10:$AA$10,1,MATCH($E171,Parameters!$X$3:$AA$3,0))))*(1-Inputs_General!$C$22*Parameters!$F$10))</f>
        <v>0.877920688281552</v>
      </c>
      <c r="BA171" s="37" t="n">
        <f aca="false">MAX(AX171*(1+INDEX(Response_Table!$J$4:$J$21,MATCH($F171&amp;"|low",Response_Table!$A$4:$A$21,0))*$R171*INDEX(Parameters!$X$10:$AA$10,1,MATCH($E171,Parameters!$X$3:$AA$3,0))),AX171*(1+INDEX(Response_Table!$J$4:$J$21,MATCH($F171&amp;"|high",Response_Table!$A$4:$A$21,0))*$R171*INDEX(Parameters!$X$10:$AA$10,1,MATCH($E171,Parameters!$X$3:$AA$3,0))))*(1+Inputs_General!$C$22*Parameters!$F$10)</f>
        <v>1.30977103432386</v>
      </c>
      <c r="BB171" s="39" t="n">
        <f aca="false">IF(AX171=0,0,AY171/AX171-1)</f>
        <v>0</v>
      </c>
      <c r="BC171" s="40" t="n">
        <f aca="false">Parameters!$E$11*IF($N171="V",Parameters!$I$11,IF($N171="F",Parameters!$J$11,Parameters!$K$11))*(1-Parameters!$L$11*$P171)*IF($D171="V1",Parameters!$M$11,IF($D171="V2",Parameters!$N$11,Parameters!$O$11))</f>
        <v>1.1875</v>
      </c>
      <c r="BD171" s="40" t="n">
        <f aca="false">BC171*(1+INDEX(Response_Table!$K$4:$K$21,MATCH($F171&amp;"|mid",Response_Table!$A$4:$A$21,0))*$R171*INDEX(Parameters!$X$11:$AA$11,1,MATCH($E171,Parameters!$X$3:$AA$3,0)))</f>
        <v>1.1875</v>
      </c>
      <c r="BE171" s="40" t="n">
        <f aca="false">MAX(0,MIN(BC171*(1+INDEX(Response_Table!$K$4:$K$21,MATCH($F171&amp;"|low",Response_Table!$A$4:$A$21,0))*$R171*INDEX(Parameters!$X$11:$AA$11,1,MATCH($E171,Parameters!$X$3:$AA$3,0))),BC171*(1+INDEX(Response_Table!$K$4:$K$21,MATCH($F171&amp;"|high",Response_Table!$A$4:$A$21,0))*$R171*INDEX(Parameters!$X$11:$AA$11,1,MATCH($E171,Parameters!$X$3:$AA$3,0))))*(1-Inputs_General!$C$22*Parameters!$F$11))</f>
        <v>0.99215625</v>
      </c>
      <c r="BF171" s="40" t="n">
        <f aca="false">MAX(BC171*(1+INDEX(Response_Table!$K$4:$K$21,MATCH($F171&amp;"|low",Response_Table!$A$4:$A$21,0))*$R171*INDEX(Parameters!$X$11:$AA$11,1,MATCH($E171,Parameters!$X$3:$AA$3,0))),BC171*(1+INDEX(Response_Table!$K$4:$K$21,MATCH($F171&amp;"|high",Response_Table!$A$4:$A$21,0))*$R171*INDEX(Parameters!$X$11:$AA$11,1,MATCH($E171,Parameters!$X$3:$AA$3,0))))*(1+Inputs_General!$C$22*Parameters!$F$11)</f>
        <v>1.38284375</v>
      </c>
      <c r="BG171" s="39" t="n">
        <f aca="false">IF(BC171=0,0,BD171/BC171-1)</f>
        <v>0</v>
      </c>
      <c r="BH171" s="40" t="n">
        <f aca="false">Parameters!$E$12*IF($N171="V",Parameters!$I$12,IF($N171="F",Parameters!$J$12,Parameters!$K$12))*(1-Parameters!$L$12*$P171)*IF($D171="V1",Parameters!$M$12,IF($D171="V2",Parameters!$N$12,Parameters!$O$12))</f>
        <v>0.4275</v>
      </c>
      <c r="BI171" s="40" t="n">
        <f aca="false">BH171*(1+INDEX(Response_Table!$L$4:$L$21,MATCH($F171&amp;"|mid",Response_Table!$A$4:$A$21,0))*$R171*INDEX(Parameters!$X$12:$AA$12,1,MATCH($E171,Parameters!$X$3:$AA$3,0)))</f>
        <v>0.4275</v>
      </c>
      <c r="BJ171" s="40" t="n">
        <f aca="false">MAX(0,MIN(BH171*(1+INDEX(Response_Table!$L$4:$L$21,MATCH($F171&amp;"|low",Response_Table!$A$4:$A$21,0))*$R171*INDEX(Parameters!$X$12:$AA$12,1,MATCH($E171,Parameters!$X$3:$AA$3,0))),BH171*(1+INDEX(Response_Table!$L$4:$L$21,MATCH($F171&amp;"|high",Response_Table!$A$4:$A$21,0))*$R171*INDEX(Parameters!$X$12:$AA$12,1,MATCH($E171,Parameters!$X$3:$AA$3,0))))*(1-Inputs_General!$C$22*Parameters!$F$12))</f>
        <v>0.3431115</v>
      </c>
      <c r="BK171" s="40" t="n">
        <f aca="false">MAX(BH171*(1+INDEX(Response_Table!$L$4:$L$21,MATCH($F171&amp;"|low",Response_Table!$A$4:$A$21,0))*$R171*INDEX(Parameters!$X$12:$AA$12,1,MATCH($E171,Parameters!$X$3:$AA$3,0))),BH171*(1+INDEX(Response_Table!$L$4:$L$21,MATCH($F171&amp;"|high",Response_Table!$A$4:$A$21,0))*$R171*INDEX(Parameters!$X$12:$AA$12,1,MATCH($E171,Parameters!$X$3:$AA$3,0))))*(1+Inputs_General!$C$22*Parameters!$F$12)</f>
        <v>0.5118885</v>
      </c>
      <c r="BL171" s="39" t="n">
        <f aca="false">IF(BH171=0,0,BI171/BH171-1)</f>
        <v>0</v>
      </c>
      <c r="BM171" s="40" t="n">
        <f aca="false">Parameters!$E$13*IF($N171="V",Parameters!$I$13,IF($N171="F",Parameters!$J$13,Parameters!$K$13))*(1-Parameters!$L$13*$P171)*IF($D171="V1",Parameters!$M$13,IF($D171="V2",Parameters!$N$13,Parameters!$O$13))</f>
        <v>0.285</v>
      </c>
      <c r="BN171" s="40" t="n">
        <f aca="false">BM171*(1+INDEX(Response_Table!$M$4:$M$21,MATCH($F171&amp;"|mid",Response_Table!$A$4:$A$21,0))*$R171*INDEX(Parameters!$X$13:$AA$13,1,MATCH($E171,Parameters!$X$3:$AA$3,0)))</f>
        <v>0.285</v>
      </c>
      <c r="BO171" s="40" t="n">
        <f aca="false">MAX(0,MIN(BM171*(1+INDEX(Response_Table!$M$4:$M$21,MATCH($F171&amp;"|low",Response_Table!$A$4:$A$21,0))*$R171*INDEX(Parameters!$X$13:$AA$13,1,MATCH($E171,Parameters!$X$3:$AA$3,0))),BM171*(1+INDEX(Response_Table!$M$4:$M$21,MATCH($F171&amp;"|high",Response_Table!$A$4:$A$21,0))*$R171*INDEX(Parameters!$X$13:$AA$13,1,MATCH($E171,Parameters!$X$3:$AA$3,0))))*(1-Inputs_General!$C$22*Parameters!$F$13))</f>
        <v>0.228741</v>
      </c>
      <c r="BP171" s="40" t="n">
        <f aca="false">MAX(BM171*(1+INDEX(Response_Table!$M$4:$M$21,MATCH($F171&amp;"|low",Response_Table!$A$4:$A$21,0))*$R171*INDEX(Parameters!$X$13:$AA$13,1,MATCH($E171,Parameters!$X$3:$AA$3,0))),BM171*(1+INDEX(Response_Table!$M$4:$M$21,MATCH($F171&amp;"|high",Response_Table!$A$4:$A$21,0))*$R171*INDEX(Parameters!$X$13:$AA$13,1,MATCH($E171,Parameters!$X$3:$AA$3,0))))*(1+Inputs_General!$C$22*Parameters!$F$13)</f>
        <v>0.341259</v>
      </c>
      <c r="BQ171" s="39" t="n">
        <f aca="false">IF(BM171=0,0,BN171/BM171-1)</f>
        <v>0</v>
      </c>
      <c r="BR171" s="38" t="n">
        <f aca="false">Parameters!$E$14*IF($N171="V",Parameters!$I$14,IF($N171="F",Parameters!$J$14,Parameters!$K$14))*(1-Parameters!$L$14*$P171)*IF($D171="V1",Parameters!$M$14,IF($D171="V2",Parameters!$N$14,Parameters!$O$14))*INDEX(Context!$AC$4:$AC$51,$K171)</f>
        <v>19.8</v>
      </c>
      <c r="BS171" s="38" t="n">
        <f aca="false">BR171*(1+INDEX(Response_Table!$N$4:$N$21,MATCH($F171&amp;"|mid",Response_Table!$A$4:$A$21,0))*$R171*INDEX(Parameters!$X$14:$AA$14,1,MATCH($E171,Parameters!$X$3:$AA$3,0)))</f>
        <v>19.8</v>
      </c>
      <c r="BT171" s="38" t="n">
        <f aca="false">MAX(0,MIN(BR171*(1+INDEX(Response_Table!$N$4:$N$21,MATCH($F171&amp;"|low",Response_Table!$A$4:$A$21,0))*$R171*INDEX(Parameters!$X$14:$AA$14,1,MATCH($E171,Parameters!$X$3:$AA$3,0))),BR171*(1+INDEX(Response_Table!$N$4:$N$21,MATCH($F171&amp;"|high",Response_Table!$A$4:$A$21,0))*$R171*INDEX(Parameters!$X$14:$AA$14,1,MATCH($E171,Parameters!$X$3:$AA$3,0))))*(1-Inputs_General!$C$22*Parameters!$F$14))</f>
        <v>10.0287</v>
      </c>
      <c r="BU171" s="38" t="n">
        <f aca="false">MAX(BR171*(1+INDEX(Response_Table!$N$4:$N$21,MATCH($F171&amp;"|low",Response_Table!$A$4:$A$21,0))*$R171*INDEX(Parameters!$X$14:$AA$14,1,MATCH($E171,Parameters!$X$3:$AA$3,0))),BR171*(1+INDEX(Response_Table!$N$4:$N$21,MATCH($F171&amp;"|high",Response_Table!$A$4:$A$21,0))*$R171*INDEX(Parameters!$X$14:$AA$14,1,MATCH($E171,Parameters!$X$3:$AA$3,0))))*(1+Inputs_General!$C$22*Parameters!$F$14)</f>
        <v>29.5713</v>
      </c>
      <c r="BV171" s="39" t="n">
        <f aca="false">IF(BR171=0,0,BS171/BR171-1)</f>
        <v>0</v>
      </c>
      <c r="BW171" s="37" t="n">
        <f aca="false">Parameters!$E$15*IF($N171="V",Parameters!$I$15,IF($N171="F",Parameters!$J$15,Parameters!$K$15))*(1-Parameters!$L$15*$P171)*IF($D171="V1",Parameters!$M$15,IF($D171="V2",Parameters!$N$15,Parameters!$O$15))</f>
        <v>11.664</v>
      </c>
      <c r="BX171" s="37" t="n">
        <f aca="false">BW171*(1+INDEX(Response_Table!$O$4:$O$21,MATCH($F171&amp;"|mid",Response_Table!$A$4:$A$21,0))*$R171*INDEX(Parameters!$X$15:$AA$15,1,MATCH($E171,Parameters!$X$3:$AA$3,0)))</f>
        <v>11.664</v>
      </c>
      <c r="BY171" s="37" t="n">
        <f aca="false">MAX(0,MIN(BW171*(1+INDEX(Response_Table!$O$4:$O$21,MATCH($F171&amp;"|low",Response_Table!$A$4:$A$21,0))*$R171*INDEX(Parameters!$X$15:$AA$15,1,MATCH($E171,Parameters!$X$3:$AA$3,0))),BW171*(1+INDEX(Response_Table!$O$4:$O$21,MATCH($F171&amp;"|high",Response_Table!$A$4:$A$21,0))*$R171*INDEX(Parameters!$X$15:$AA$15,1,MATCH($E171,Parameters!$X$3:$AA$3,0))))*(1-Inputs_General!$C$22*Parameters!$F$15))</f>
        <v>9.3615264</v>
      </c>
      <c r="BZ171" s="37" t="n">
        <f aca="false">MAX(BW171*(1+INDEX(Response_Table!$O$4:$O$21,MATCH($F171&amp;"|low",Response_Table!$A$4:$A$21,0))*$R171*INDEX(Parameters!$X$15:$AA$15,1,MATCH($E171,Parameters!$X$3:$AA$3,0))),BW171*(1+INDEX(Response_Table!$O$4:$O$21,MATCH($F171&amp;"|high",Response_Table!$A$4:$A$21,0))*$R171*INDEX(Parameters!$X$15:$AA$15,1,MATCH($E171,Parameters!$X$3:$AA$3,0))))*(1+Inputs_General!$C$22*Parameters!$F$15)</f>
        <v>13.9664736</v>
      </c>
      <c r="CA171" s="39" t="n">
        <f aca="false">IF(BW171=0,0,BX171/BW171-1)</f>
        <v>0</v>
      </c>
      <c r="CB171" s="40" t="n">
        <f aca="false">BD171+BI171</f>
        <v>1.615</v>
      </c>
      <c r="CC171" s="37" t="n">
        <f aca="false">BD171/BI171</f>
        <v>2.77777777777778</v>
      </c>
      <c r="CD171" s="40" t="n">
        <f aca="false">BN171/CB171</f>
        <v>0.176470588235294</v>
      </c>
      <c r="CE171" s="37" t="n">
        <f aca="false">AE171/AO171</f>
        <v>4.32949372589439</v>
      </c>
      <c r="CF171" s="38" t="n">
        <f aca="false">AE171/AJ171</f>
        <v>40.887853155887</v>
      </c>
      <c r="CG171" s="38" t="n">
        <f aca="false">INDEX(Context!$V$4:$V$51,$K171)</f>
        <v>22.6257142857143</v>
      </c>
      <c r="CH171" s="38" t="n">
        <f aca="false">INDEX(Context!$Y$4:$Y$51,$K171)</f>
        <v>21.3177449518561</v>
      </c>
      <c r="CI171" s="38" t="n">
        <f aca="false">INDEX(Context!$Z$4:$Z$51,$K171)</f>
        <v>26.6257142857143</v>
      </c>
      <c r="CJ171" s="37" t="n">
        <f aca="false">INDEX(Context!$AA$4:$AA$51,$K171)</f>
        <v>0.12</v>
      </c>
      <c r="CK171" s="37" t="n">
        <f aca="false">MAX(0,MIN(1,1-(1-CJ171)*AO171/AN171))</f>
        <v>0.12</v>
      </c>
      <c r="CL171" s="38" t="n">
        <f aca="false">CH171+CK171*(CI171-CH171)</f>
        <v>21.954701271919</v>
      </c>
      <c r="CM171" s="38" t="n">
        <f aca="false">CH171+MAX(0,MIN(1,1-(1-CJ171)*AQ171/AN171))*(CI171-CH171)</f>
        <v>21.3177449518561</v>
      </c>
      <c r="CN171" s="38" t="n">
        <f aca="false">CH171+MAX(0,MIN(1,1-(1-CJ171)*AP171/AN171))*(CI171-CH171)</f>
        <v>23.3377882253038</v>
      </c>
      <c r="CO171" s="38" t="n">
        <f aca="false">CL171-CG171</f>
        <v>-0.67101301379525</v>
      </c>
      <c r="CP171" s="38" t="n">
        <f aca="false">CL171-(CH171+CJ171*(CI171-CH171))</f>
        <v>0</v>
      </c>
      <c r="CQ171" s="40" t="n">
        <f aca="false">CL171/CG171</f>
        <v>0.970342902534621</v>
      </c>
      <c r="CR171" s="37" t="n">
        <f aca="false">IF(CL171-CH171&lt;=0,"n/a",(CI171-CL171)/(CL171-CH171))</f>
        <v>7.33333333333333</v>
      </c>
      <c r="CS171" s="37" t="n">
        <f aca="false">IF(CI171-CL171&lt;=0,"n/a",(CL171-CH171)/(CI171-CL171))</f>
        <v>0.136363636363636</v>
      </c>
      <c r="CT171" s="37" t="n">
        <f aca="false">Inputs_General!$C$23+Inputs_General!$C$24*$I171</f>
        <v>0.6</v>
      </c>
      <c r="CU171" s="38" t="n">
        <f aca="false">3.29*CT171</f>
        <v>1.974</v>
      </c>
    </row>
    <row r="172" customFormat="false" ht="15" hidden="false" customHeight="false" outlineLevel="0" collapsed="false">
      <c r="A172" s="9" t="str">
        <f aca="false">B172&amp;"|"&amp;E172&amp;"|"&amp;F172</f>
        <v>D3V2|11/02/2026|Very low</v>
      </c>
      <c r="B172" s="7" t="s">
        <v>350</v>
      </c>
      <c r="C172" s="9" t="s">
        <v>131</v>
      </c>
      <c r="D172" s="9" t="s">
        <v>146</v>
      </c>
      <c r="E172" s="9" t="s">
        <v>158</v>
      </c>
      <c r="F172" s="7" t="s">
        <v>277</v>
      </c>
      <c r="G172" s="9" t="s">
        <v>278</v>
      </c>
      <c r="H172" s="41" t="n">
        <f aca="false">INDEX(Severity_Classes!$C$4:$C$9,MATCH(F172,Severity_Classes!$A$4:$A$9,0))</f>
        <v>0.01</v>
      </c>
      <c r="I172" s="41" t="n">
        <f aca="false">INDEX(Severity_Classes!$D$4:$D$9,MATCH(F172,Severity_Classes!$A$4:$A$9,0))</f>
        <v>0.03</v>
      </c>
      <c r="J172" s="41" t="n">
        <f aca="false">INDEX(Severity_Classes!$E$4:$E$9,MATCH(F172,Severity_Classes!$A$4:$A$9,0))</f>
        <v>0.05</v>
      </c>
      <c r="K172" s="42" t="n">
        <f aca="false">MATCH(B172&amp;"|"&amp;E172,Context!$A$4:$A$51,0)</f>
        <v>29</v>
      </c>
      <c r="L172" s="42" t="n">
        <f aca="false">INDEX(Context!$H$4:$H$51,K172)</f>
        <v>46</v>
      </c>
      <c r="M172" s="42" t="n">
        <f aca="false">INDEX(Context!$I$4:$I$51,K172)</f>
        <v>6</v>
      </c>
      <c r="N172" s="9" t="str">
        <f aca="false">INDEX(Context!$L$4:$L$51,K172)</f>
        <v>V</v>
      </c>
      <c r="O172" s="9" t="str">
        <f aca="false">INDEX(Context!$M$4:$M$51,K172)</f>
        <v>3rd fully expanded leaf from top</v>
      </c>
      <c r="P172" s="43" t="n">
        <f aca="false">INDEX(Context!$R$4:$R$51,K172)</f>
        <v>0</v>
      </c>
      <c r="Q172" s="43" t="n">
        <f aca="false">INDEX(Context!$U$4:$U$51,K172)</f>
        <v>0.937791824040773</v>
      </c>
      <c r="R172" s="43" t="n">
        <f aca="false">INDEX(Context!$AD$4:$AD$51,K172)</f>
        <v>1.1</v>
      </c>
      <c r="S172" s="9" t="str">
        <f aca="false">INDEX(Context!$AI$4:$AN$51,K172,MATCH(F172,Severity_Classes!$A$4:$A$9,0))</f>
        <v>Likely</v>
      </c>
      <c r="T172" s="44" t="n">
        <f aca="false">Parameters!$E$4*IF($N172="V",Parameters!$I$4,IF($N172="F",Parameters!$J$4,Parameters!$K$4))*(1-Parameters!$L$4*$P172)*IF($D172="V1",Parameters!$M$4,IF($D172="V2",Parameters!$N$4,Parameters!$O$4))</f>
        <v>86</v>
      </c>
      <c r="U172" s="44" t="n">
        <f aca="false">MIN(100,T172*(1+INDEX(Response_Table!$E$4:$E$21,MATCH($F172&amp;"|mid",Response_Table!$A$4:$A$21,0))*$R172*INDEX(Parameters!$X$4:$AA$4,1,MATCH($E172,Parameters!$X$3:$AA$3,0))))</f>
        <v>85.7960736747255</v>
      </c>
      <c r="V172" s="44" t="n">
        <f aca="false">MAX(0,MIN(T172*(1+INDEX(Response_Table!$E$4:$E$21,MATCH($F172&amp;"|low",Response_Table!$A$4:$A$21,0))*$R172*INDEX(Parameters!$X$4:$AA$4,1,MATCH($E172,Parameters!$X$3:$AA$3,0))),T172*(1+INDEX(Response_Table!$E$4:$E$21,MATCH($F172&amp;"|high",Response_Table!$A$4:$A$21,0))*$R172*INDEX(Parameters!$X$4:$AA$4,1,MATCH($E172,Parameters!$X$3:$AA$3,0))))*(1-Inputs_General!$C$22*Parameters!$F$4))</f>
        <v>79.9985328411285</v>
      </c>
      <c r="W172" s="44" t="n">
        <f aca="false">MIN(100,MAX(T172*(1+INDEX(Response_Table!$E$4:$E$21,MATCH($F172&amp;"|low",Response_Table!$A$4:$A$21,0))*$R172*INDEX(Parameters!$X$4:$AA$4,1,MATCH($E172,Parameters!$X$3:$AA$3,0))),T172*(1+INDEX(Response_Table!$E$4:$E$21,MATCH($F172&amp;"|high",Response_Table!$A$4:$A$21,0))*$R172*INDEX(Parameters!$X$4:$AA$4,1,MATCH($E172,Parameters!$X$3:$AA$3,0))))*(1+Inputs_General!$C$22*Parameters!$F$4))</f>
        <v>91.591628476639</v>
      </c>
      <c r="X172" s="45" t="n">
        <f aca="false">IF(T172=0,0,U172/T172-1)</f>
        <v>-0.00237123634040082</v>
      </c>
      <c r="Y172" s="44" t="n">
        <f aca="false">Parameters!$E$5*IF($N172="V",Parameters!$I$5,IF($N172="F",Parameters!$J$5,Parameters!$K$5))*(1-Parameters!$L$5*$P172)*IF($D172="V1",Parameters!$M$5,IF($D172="V2",Parameters!$N$5,Parameters!$O$5))</f>
        <v>72</v>
      </c>
      <c r="Z172" s="44" t="n">
        <f aca="false">MIN(100,Y172*(1+INDEX(Response_Table!$F$4:$F$21,MATCH($F172&amp;"|mid",Response_Table!$A$4:$A$21,0))*$R172*INDEX(Parameters!$X$5:$AA$5,1,MATCH($E172,Parameters!$X$3:$AA$3,0))))</f>
        <v>71.4549954701956</v>
      </c>
      <c r="AA172" s="44" t="n">
        <f aca="false">MAX(0,MIN(Y172*(1+INDEX(Response_Table!$F$4:$F$21,MATCH($F172&amp;"|low",Response_Table!$A$4:$A$21,0))*$R172*INDEX(Parameters!$X$5:$AA$5,1,MATCH($E172,Parameters!$X$3:$AA$3,0))),Y172*(1+INDEX(Response_Table!$F$4:$F$21,MATCH($F172&amp;"|high",Response_Table!$A$4:$A$21,0))*$R172*INDEX(Parameters!$X$5:$AA$5,1,MATCH($E172,Parameters!$X$3:$AA$3,0))))*(1-Inputs_General!$C$22*Parameters!$F$5))</f>
        <v>62.8297693413593</v>
      </c>
      <c r="AB172" s="44" t="n">
        <f aca="false">MIN(100,MAX(Y172*(1+INDEX(Response_Table!$F$4:$F$21,MATCH($F172&amp;"|low",Response_Table!$A$4:$A$21,0))*$R172*INDEX(Parameters!$X$5:$AA$5,1,MATCH($E172,Parameters!$X$3:$AA$3,0))),Y172*(1+INDEX(Response_Table!$F$4:$F$21,MATCH($F172&amp;"|high",Response_Table!$A$4:$A$21,0))*$R172*INDEX(Parameters!$X$5:$AA$5,1,MATCH($E172,Parameters!$X$3:$AA$3,0))))*(1+Inputs_General!$C$22*Parameters!$F$5))</f>
        <v>80.1055536880465</v>
      </c>
      <c r="AC172" s="45" t="n">
        <f aca="false">IF(Y172=0,0,Z172/Y172-1)</f>
        <v>-0.00756950735839468</v>
      </c>
      <c r="AD172" s="44" t="n">
        <f aca="false">Parameters!$E$6*IF($N172="V",Parameters!$I$6,IF($N172="F",Parameters!$J$6,Parameters!$K$6))*(1-Parameters!$L$6*$P172)*IF($D172="V1",Parameters!$M$6,IF($D172="V2",Parameters!$N$6,Parameters!$O$6))</f>
        <v>19</v>
      </c>
      <c r="AE172" s="44" t="n">
        <f aca="false">AD172*(1+INDEX(Response_Table!$G$4:$G$21,MATCH($F172&amp;"|mid",Response_Table!$A$4:$A$21,0))*$R172*INDEX(Parameters!$X$6:$AA$6,1,MATCH($E172,Parameters!$X$3:$AA$3,0)))</f>
        <v>17.4493160782953</v>
      </c>
      <c r="AF172" s="44" t="n">
        <f aca="false">MAX(0,MIN(AD172*(1+INDEX(Response_Table!$G$4:$G$21,MATCH($F172&amp;"|low",Response_Table!$A$4:$A$21,0))*$R172*INDEX(Parameters!$X$6:$AA$6,1,MATCH($E172,Parameters!$X$3:$AA$3,0))),AD172*(1+INDEX(Response_Table!$G$4:$G$21,MATCH($F172&amp;"|high",Response_Table!$A$4:$A$21,0))*$R172*INDEX(Parameters!$X$6:$AA$6,1,MATCH($E172,Parameters!$X$3:$AA$3,0))))*(1-Inputs_General!$C$22*Parameters!$F$6))</f>
        <v>13.2618299040484</v>
      </c>
      <c r="AG172" s="44" t="n">
        <f aca="false">MAX(AD172*(1+INDEX(Response_Table!$G$4:$G$21,MATCH($F172&amp;"|low",Response_Table!$A$4:$A$21,0))*$R172*INDEX(Parameters!$X$6:$AA$6,1,MATCH($E172,Parameters!$X$3:$AA$3,0))),AD172*(1+INDEX(Response_Table!$G$4:$G$21,MATCH($F172&amp;"|high",Response_Table!$A$4:$A$21,0))*$R172*INDEX(Parameters!$X$6:$AA$6,1,MATCH($E172,Parameters!$X$3:$AA$3,0))))*(1+Inputs_General!$C$22*Parameters!$F$6)</f>
        <v>22.104246625225</v>
      </c>
      <c r="AH172" s="45" t="n">
        <f aca="false">IF(AD172=0,0,AE172/AD172-1)</f>
        <v>-0.0816149432476138</v>
      </c>
      <c r="AI172" s="46" t="n">
        <f aca="false">Parameters!$E$7*IF($N172="V",Parameters!$I$7,IF($N172="F",Parameters!$J$7,Parameters!$K$7))*(1-Parameters!$L$7*$P172)*IF($D172="V1",Parameters!$M$7,IF($D172="V2",Parameters!$N$7,Parameters!$O$7))*POWER($Q172/Inputs_General!$C$26,-Inputs_General!$C$25)</f>
        <v>0.464685683730118</v>
      </c>
      <c r="AJ172" s="46" t="n">
        <f aca="false">AI172*(1+INDEX(Response_Table!$H$4:$H$21,MATCH($F172&amp;"|mid",Response_Table!$A$4:$A$21,0))*$R172*INDEX(Parameters!$X$7:$AA$7,1,MATCH($E172,Parameters!$X$3:$AA$3,0)))</f>
        <v>0.441808574606632</v>
      </c>
      <c r="AK172" s="46" t="n">
        <f aca="false">MAX(0,MIN(AI172*(1+INDEX(Response_Table!$H$4:$H$21,MATCH($F172&amp;"|low",Response_Table!$A$4:$A$21,0))*$R172*INDEX(Parameters!$X$7:$AA$7,1,MATCH($E172,Parameters!$X$3:$AA$3,0))),AI172*(1+INDEX(Response_Table!$H$4:$H$21,MATCH($F172&amp;"|high",Response_Table!$A$4:$A$21,0))*$R172*INDEX(Parameters!$X$7:$AA$7,1,MATCH($E172,Parameters!$X$3:$AA$3,0))))*(1-Inputs_General!$C$22*Parameters!$F$7))</f>
        <v>0.301031165276563</v>
      </c>
      <c r="AL172" s="46" t="n">
        <f aca="false">MAX(AI172*(1+INDEX(Response_Table!$H$4:$H$21,MATCH($F172&amp;"|low",Response_Table!$A$4:$A$21,0))*$R172*INDEX(Parameters!$X$7:$AA$7,1,MATCH($E172,Parameters!$X$3:$AA$3,0))),AI172*(1+INDEX(Response_Table!$H$4:$H$21,MATCH($F172&amp;"|high",Response_Table!$A$4:$A$21,0))*$R172*INDEX(Parameters!$X$7:$AA$7,1,MATCH($E172,Parameters!$X$3:$AA$3,0))))*(1+Inputs_General!$C$22*Parameters!$F$7)</f>
        <v>0.592097493009914</v>
      </c>
      <c r="AM172" s="45" t="n">
        <f aca="false">IF(AI172=0,0,AJ172/AI172-1)</f>
        <v>-0.0492313620248575</v>
      </c>
      <c r="AN172" s="43" t="n">
        <f aca="false">AI172*$Q172/Inputs_General!$C$13*1000</f>
        <v>4.38850387664553</v>
      </c>
      <c r="AO172" s="43" t="n">
        <f aca="false">AJ172*$Q172/Inputs_General!$C$13*1000*(1+Inputs_General!$C$21*$I172)</f>
        <v>4.2037452424485</v>
      </c>
      <c r="AP172" s="43" t="n">
        <f aca="false">AK172*$Q172/Inputs_General!$C$13*1000*(1+Inputs_General!$C$21*$H172)</f>
        <v>2.85005364543577</v>
      </c>
      <c r="AQ172" s="43" t="n">
        <f aca="false">AL172*$Q172/Inputs_General!$C$13*1000*(1+Inputs_General!$C$21*$J172)</f>
        <v>5.66168167501997</v>
      </c>
      <c r="AR172" s="45" t="n">
        <f aca="false">IF(AN172=0,0,AO172/AN172-1)</f>
        <v>-0.0421005972400436</v>
      </c>
      <c r="AS172" s="42" t="n">
        <f aca="false">Parameters!$E$9*IF($N172="V",Parameters!$I$9,IF($N172="F",Parameters!$J$9,Parameters!$K$9))*(1-Parameters!$L$9*$P172)*IF($D172="V1",Parameters!$M$9,IF($D172="V2",Parameters!$N$9,Parameters!$O$9))</f>
        <v>285</v>
      </c>
      <c r="AT172" s="42" t="n">
        <f aca="false">AS172*(1+INDEX(Response_Table!$I$4:$I$21,MATCH($F172&amp;"|mid",Response_Table!$A$4:$A$21,0))*$R172*INDEX(Parameters!$X$9:$AA$9,1,MATCH($E172,Parameters!$X$3:$AA$3,0)))</f>
        <v>293.508106341401</v>
      </c>
      <c r="AU172" s="42" t="n">
        <f aca="false">MAX(0,MIN(AS172*(1+INDEX(Response_Table!$I$4:$I$21,MATCH($F172&amp;"|low",Response_Table!$A$4:$A$21,0))*$R172*INDEX(Parameters!$X$9:$AA$9,1,MATCH($E172,Parameters!$X$3:$AA$3,0))),AS172*(1+INDEX(Response_Table!$I$4:$I$21,MATCH($F172&amp;"|high",Response_Table!$A$4:$A$21,0))*$R172*INDEX(Parameters!$X$9:$AA$9,1,MATCH($E172,Parameters!$X$3:$AA$3,0))))*(1-Inputs_General!$C$22*Parameters!$F$9))</f>
        <v>259.529517601739</v>
      </c>
      <c r="AV172" s="42" t="n">
        <f aca="false">MAX(AS172*(1+INDEX(Response_Table!$I$4:$I$21,MATCH($F172&amp;"|low",Response_Table!$A$4:$A$21,0))*$R172*INDEX(Parameters!$X$9:$AA$9,1,MATCH($E172,Parameters!$X$3:$AA$3,0))),AS172*(1+INDEX(Response_Table!$I$4:$I$21,MATCH($F172&amp;"|high",Response_Table!$A$4:$A$21,0))*$R172*INDEX(Parameters!$X$9:$AA$9,1,MATCH($E172,Parameters!$X$3:$AA$3,0))))*(1+Inputs_General!$C$22*Parameters!$F$9)</f>
        <v>328.114337644674</v>
      </c>
      <c r="AW172" s="45" t="n">
        <f aca="false">IF(AS172=0,0,AT172/AS172-1)</f>
        <v>0.0298530047066705</v>
      </c>
      <c r="AX172" s="43" t="n">
        <f aca="false">INDEX(Context!$AB$4:$AB$51,$K172)</f>
        <v>1.09384586130271</v>
      </c>
      <c r="AY172" s="43" t="n">
        <f aca="false">AX172*(1+INDEX(Response_Table!$J$4:$J$21,MATCH($F172&amp;"|mid",Response_Table!$A$4:$A$21,0))*$R172*INDEX(Parameters!$X$10:$AA$10,1,MATCH($E172,Parameters!$X$3:$AA$3,0)))</f>
        <v>1.07428408291587</v>
      </c>
      <c r="AZ172" s="43" t="n">
        <f aca="false">MAX(0,MIN(AX172*(1+INDEX(Response_Table!$J$4:$J$21,MATCH($F172&amp;"|low",Response_Table!$A$4:$A$21,0))*$R172*INDEX(Parameters!$X$10:$AA$10,1,MATCH($E172,Parameters!$X$3:$AA$3,0))),AX172*(1+INDEX(Response_Table!$J$4:$J$21,MATCH($F172&amp;"|high",Response_Table!$A$4:$A$21,0))*$R172*INDEX(Parameters!$X$10:$AA$10,1,MATCH($E172,Parameters!$X$3:$AA$3,0))))*(1-Inputs_General!$C$22*Parameters!$F$10))</f>
        <v>0.852388984242411</v>
      </c>
      <c r="BA172" s="43" t="n">
        <f aca="false">MAX(AX172*(1+INDEX(Response_Table!$J$4:$J$21,MATCH($F172&amp;"|low",Response_Table!$A$4:$A$21,0))*$R172*INDEX(Parameters!$X$10:$AA$10,1,MATCH($E172,Parameters!$X$3:$AA$3,0))),AX172*(1+INDEX(Response_Table!$J$4:$J$21,MATCH($F172&amp;"|high",Response_Table!$A$4:$A$21,0))*$R172*INDEX(Parameters!$X$10:$AA$10,1,MATCH($E172,Parameters!$X$3:$AA$3,0))))*(1+Inputs_General!$C$22*Parameters!$F$10)</f>
        <v>1.30176728971396</v>
      </c>
      <c r="BB172" s="45" t="n">
        <f aca="false">IF(AX172=0,0,AY172/AX172-1)</f>
        <v>-0.0178834871336833</v>
      </c>
      <c r="BC172" s="46" t="n">
        <f aca="false">Parameters!$E$11*IF($N172="V",Parameters!$I$11,IF($N172="F",Parameters!$J$11,Parameters!$K$11))*(1-Parameters!$L$11*$P172)*IF($D172="V1",Parameters!$M$11,IF($D172="V2",Parameters!$N$11,Parameters!$O$11))</f>
        <v>1.1875</v>
      </c>
      <c r="BD172" s="46" t="n">
        <f aca="false">BC172*(1+INDEX(Response_Table!$K$4:$K$21,MATCH($F172&amp;"|mid",Response_Table!$A$4:$A$21,0))*$R172*INDEX(Parameters!$X$11:$AA$11,1,MATCH($E172,Parameters!$X$3:$AA$3,0)))</f>
        <v>1.14864011432167</v>
      </c>
      <c r="BE172" s="46" t="n">
        <f aca="false">MAX(0,MIN(BC172*(1+INDEX(Response_Table!$K$4:$K$21,MATCH($F172&amp;"|low",Response_Table!$A$4:$A$21,0))*$R172*INDEX(Parameters!$X$11:$AA$11,1,MATCH($E172,Parameters!$X$3:$AA$3,0))),BC172*(1+INDEX(Response_Table!$K$4:$K$21,MATCH($F172&amp;"|high",Response_Table!$A$4:$A$21,0))*$R172*INDEX(Parameters!$X$11:$AA$11,1,MATCH($E172,Parameters!$X$3:$AA$3,0))))*(1-Inputs_General!$C$22*Parameters!$F$11))</f>
        <v>0.939712264163439</v>
      </c>
      <c r="BF172" s="46" t="n">
        <f aca="false">MAX(BC172*(1+INDEX(Response_Table!$K$4:$K$21,MATCH($F172&amp;"|low",Response_Table!$A$4:$A$21,0))*$R172*INDEX(Parameters!$X$11:$AA$11,1,MATCH($E172,Parameters!$X$3:$AA$3,0))),BC172*(1+INDEX(Response_Table!$K$4:$K$21,MATCH($F172&amp;"|high",Response_Table!$A$4:$A$21,0))*$R172*INDEX(Parameters!$X$11:$AA$11,1,MATCH($E172,Parameters!$X$3:$AA$3,0))))*(1+Inputs_General!$C$22*Parameters!$F$11)</f>
        <v>1.36727445478069</v>
      </c>
      <c r="BG172" s="45" t="n">
        <f aca="false">IF(BC172=0,0,BD172/BC172-1)</f>
        <v>-0.0327241142554374</v>
      </c>
      <c r="BH172" s="46" t="n">
        <f aca="false">Parameters!$E$12*IF($N172="V",Parameters!$I$12,IF($N172="F",Parameters!$J$12,Parameters!$K$12))*(1-Parameters!$L$12*$P172)*IF($D172="V1",Parameters!$M$12,IF($D172="V2",Parameters!$N$12,Parameters!$O$12))</f>
        <v>0.4275</v>
      </c>
      <c r="BI172" s="46" t="n">
        <f aca="false">BH172*(1+INDEX(Response_Table!$L$4:$L$21,MATCH($F172&amp;"|mid",Response_Table!$A$4:$A$21,0))*$R172*INDEX(Parameters!$X$12:$AA$12,1,MATCH($E172,Parameters!$X$3:$AA$3,0)))</f>
        <v>0.416369688465294</v>
      </c>
      <c r="BJ172" s="46" t="n">
        <f aca="false">MAX(0,MIN(BH172*(1+INDEX(Response_Table!$L$4:$L$21,MATCH($F172&amp;"|low",Response_Table!$A$4:$A$21,0))*$R172*INDEX(Parameters!$X$12:$AA$12,1,MATCH($E172,Parameters!$X$3:$AA$3,0))),BH172*(1+INDEX(Response_Table!$L$4:$L$21,MATCH($F172&amp;"|high",Response_Table!$A$4:$A$21,0))*$R172*INDEX(Parameters!$X$12:$AA$12,1,MATCH($E172,Parameters!$X$3:$AA$3,0))))*(1-Inputs_General!$C$22*Parameters!$F$12))</f>
        <v>0.328654209718083</v>
      </c>
      <c r="BK172" s="46" t="n">
        <f aca="false">MAX(BH172*(1+INDEX(Response_Table!$L$4:$L$21,MATCH($F172&amp;"|low",Response_Table!$A$4:$A$21,0))*$R172*INDEX(Parameters!$X$12:$AA$12,1,MATCH($E172,Parameters!$X$3:$AA$3,0))),BH172*(1+INDEX(Response_Table!$L$4:$L$21,MATCH($F172&amp;"|high",Response_Table!$A$4:$A$21,0))*$R172*INDEX(Parameters!$X$12:$AA$12,1,MATCH($E172,Parameters!$X$3:$AA$3,0))))*(1+Inputs_General!$C$22*Parameters!$F$12)</f>
        <v>0.507312101071203</v>
      </c>
      <c r="BL172" s="45" t="n">
        <f aca="false">IF(BH172=0,0,BI172/BH172-1)</f>
        <v>-0.0260358164554536</v>
      </c>
      <c r="BM172" s="46" t="n">
        <f aca="false">Parameters!$E$13*IF($N172="V",Parameters!$I$13,IF($N172="F",Parameters!$J$13,Parameters!$K$13))*(1-Parameters!$L$13*$P172)*IF($D172="V1",Parameters!$M$13,IF($D172="V2",Parameters!$N$13,Parameters!$O$13))</f>
        <v>0.285</v>
      </c>
      <c r="BN172" s="46" t="n">
        <f aca="false">BM172*(1+INDEX(Response_Table!$M$4:$M$21,MATCH($F172&amp;"|mid",Response_Table!$A$4:$A$21,0))*$R172*INDEX(Parameters!$X$13:$AA$13,1,MATCH($E172,Parameters!$X$3:$AA$3,0)))</f>
        <v>0.289073157423386</v>
      </c>
      <c r="BO172" s="46" t="n">
        <f aca="false">MAX(0,MIN(BM172*(1+INDEX(Response_Table!$M$4:$M$21,MATCH($F172&amp;"|low",Response_Table!$A$4:$A$21,0))*$R172*INDEX(Parameters!$X$13:$AA$13,1,MATCH($E172,Parameters!$X$3:$AA$3,0))),BM172*(1+INDEX(Response_Table!$M$4:$M$21,MATCH($F172&amp;"|high",Response_Table!$A$4:$A$21,0))*$R172*INDEX(Parameters!$X$13:$AA$13,1,MATCH($E172,Parameters!$X$3:$AA$3,0))))*(1-Inputs_General!$C$22*Parameters!$F$13))</f>
        <v>0.230348096407543</v>
      </c>
      <c r="BP172" s="46" t="n">
        <f aca="false">MAX(BM172*(1+INDEX(Response_Table!$M$4:$M$21,MATCH($F172&amp;"|low",Response_Table!$A$4:$A$21,0))*$R172*INDEX(Parameters!$X$13:$AA$13,1,MATCH($E172,Parameters!$X$3:$AA$3,0))),BM172*(1+INDEX(Response_Table!$M$4:$M$21,MATCH($F172&amp;"|high",Response_Table!$A$4:$A$21,0))*$R172*INDEX(Parameters!$X$13:$AA$13,1,MATCH($E172,Parameters!$X$3:$AA$3,0))))*(1+Inputs_General!$C$22*Parameters!$F$13)</f>
        <v>0.346274002265146</v>
      </c>
      <c r="BQ172" s="45" t="n">
        <f aca="false">IF(BM172=0,0,BN172/BM172-1)</f>
        <v>0.014291780432933</v>
      </c>
      <c r="BR172" s="44" t="n">
        <f aca="false">Parameters!$E$14*IF($N172="V",Parameters!$I$14,IF($N172="F",Parameters!$J$14,Parameters!$K$14))*(1-Parameters!$L$14*$P172)*IF($D172="V1",Parameters!$M$14,IF($D172="V2",Parameters!$N$14,Parameters!$O$14))*INDEX(Context!$AC$4:$AC$51,$K172)</f>
        <v>19.8</v>
      </c>
      <c r="BS172" s="44" t="n">
        <f aca="false">BR172*(1+INDEX(Response_Table!$N$4:$N$21,MATCH($F172&amp;"|mid",Response_Table!$A$4:$A$21,0))*$R172*INDEX(Parameters!$X$14:$AA$14,1,MATCH($E172,Parameters!$X$3:$AA$3,0)))</f>
        <v>20.3623736354378</v>
      </c>
      <c r="BT172" s="44" t="n">
        <f aca="false">MAX(0,MIN(BR172*(1+INDEX(Response_Table!$N$4:$N$21,MATCH($F172&amp;"|low",Response_Table!$A$4:$A$21,0))*$R172*INDEX(Parameters!$X$14:$AA$14,1,MATCH($E172,Parameters!$X$3:$AA$3,0))),BR172*(1+INDEX(Response_Table!$N$4:$N$21,MATCH($F172&amp;"|high",Response_Table!$A$4:$A$21,0))*$R172*INDEX(Parameters!$X$14:$AA$14,1,MATCH($E172,Parameters!$X$3:$AA$3,0))))*(1-Inputs_General!$C$22*Parameters!$F$14))</f>
        <v>10.1265096496417</v>
      </c>
      <c r="BU172" s="44" t="n">
        <f aca="false">MAX(BR172*(1+INDEX(Response_Table!$N$4:$N$21,MATCH($F172&amp;"|low",Response_Table!$A$4:$A$21,0))*$R172*INDEX(Parameters!$X$14:$AA$14,1,MATCH($E172,Parameters!$X$3:$AA$3,0))),BR172*(1+INDEX(Response_Table!$N$4:$N$21,MATCH($F172&amp;"|high",Response_Table!$A$4:$A$21,0))*$R172*INDEX(Parameters!$X$14:$AA$14,1,MATCH($E172,Parameters!$X$3:$AA$3,0))))*(1+Inputs_General!$C$22*Parameters!$F$14)</f>
        <v>30.9305852515248</v>
      </c>
      <c r="BV172" s="45" t="n">
        <f aca="false">IF(BR172=0,0,BS172/BR172-1)</f>
        <v>0.0284027088604948</v>
      </c>
      <c r="BW172" s="43" t="n">
        <f aca="false">Parameters!$E$15*IF($N172="V",Parameters!$I$15,IF($N172="F",Parameters!$J$15,Parameters!$K$15))*(1-Parameters!$L$15*$P172)*IF($D172="V1",Parameters!$M$15,IF($D172="V2",Parameters!$N$15,Parameters!$O$15))</f>
        <v>11.664</v>
      </c>
      <c r="BX172" s="43" t="n">
        <f aca="false">BW172*(1+INDEX(Response_Table!$O$4:$O$21,MATCH($F172&amp;"|mid",Response_Table!$A$4:$A$21,0))*$R172*INDEX(Parameters!$X$15:$AA$15,1,MATCH($E172,Parameters!$X$3:$AA$3,0)))</f>
        <v>11.5811777009628</v>
      </c>
      <c r="BY172" s="43" t="n">
        <f aca="false">MAX(0,MIN(BW172*(1+INDEX(Response_Table!$O$4:$O$21,MATCH($F172&amp;"|low",Response_Table!$A$4:$A$21,0))*$R172*INDEX(Parameters!$X$15:$AA$15,1,MATCH($E172,Parameters!$X$3:$AA$3,0))),BW172*(1+INDEX(Response_Table!$O$4:$O$21,MATCH($F172&amp;"|high",Response_Table!$A$4:$A$21,0))*$R172*INDEX(Parameters!$X$15:$AA$15,1,MATCH($E172,Parameters!$X$3:$AA$3,0))))*(1-Inputs_General!$C$22*Parameters!$F$15))</f>
        <v>9.25394755862948</v>
      </c>
      <c r="BZ172" s="43" t="n">
        <f aca="false">MAX(BW172*(1+INDEX(Response_Table!$O$4:$O$21,MATCH($F172&amp;"|low",Response_Table!$A$4:$A$21,0))*$R172*INDEX(Parameters!$X$15:$AA$15,1,MATCH($E172,Parameters!$X$3:$AA$3,0))),BW172*(1+INDEX(Response_Table!$O$4:$O$21,MATCH($F172&amp;"|high",Response_Table!$A$4:$A$21,0))*$R172*INDEX(Parameters!$X$15:$AA$15,1,MATCH($E172,Parameters!$X$3:$AA$3,0))))*(1+Inputs_General!$C$22*Parameters!$F$15)</f>
        <v>13.9324199367748</v>
      </c>
      <c r="CA172" s="45" t="n">
        <f aca="false">IF(BW172=0,0,BX172/BW172-1)</f>
        <v>-0.00710067721512364</v>
      </c>
      <c r="CB172" s="46" t="n">
        <f aca="false">BD172+BI172</f>
        <v>1.56500980278696</v>
      </c>
      <c r="CC172" s="43" t="n">
        <f aca="false">BD172/BI172</f>
        <v>2.75870253321145</v>
      </c>
      <c r="CD172" s="46" t="n">
        <f aca="false">BN172/CB172</f>
        <v>0.18471012571845</v>
      </c>
      <c r="CE172" s="43" t="n">
        <f aca="false">AE172/AO172</f>
        <v>4.15089760961153</v>
      </c>
      <c r="CF172" s="44" t="n">
        <f aca="false">AE172/AJ172</f>
        <v>39.4951956145973</v>
      </c>
      <c r="CG172" s="44" t="n">
        <f aca="false">INDEX(Context!$V$4:$V$51,$K172)</f>
        <v>22.6257142857143</v>
      </c>
      <c r="CH172" s="44" t="n">
        <f aca="false">INDEX(Context!$Y$4:$Y$51,$K172)</f>
        <v>21.3177449518561</v>
      </c>
      <c r="CI172" s="44" t="n">
        <f aca="false">INDEX(Context!$Z$4:$Z$51,$K172)</f>
        <v>26.6257142857143</v>
      </c>
      <c r="CJ172" s="43" t="n">
        <f aca="false">INDEX(Context!$AA$4:$AA$51,$K172)</f>
        <v>0.12</v>
      </c>
      <c r="CK172" s="43" t="n">
        <f aca="false">MAX(0,MIN(1,1-(1-CJ172)*AO172/AN172))</f>
        <v>0.157048525571238</v>
      </c>
      <c r="CL172" s="44" t="n">
        <f aca="false">CH172+CK172*(CI172-CH172)</f>
        <v>22.1513537095158</v>
      </c>
      <c r="CM172" s="44" t="n">
        <f aca="false">CH172+MAX(0,MIN(1,1-(1-CJ172)*AQ172/AN172))*(CI172-CH172)</f>
        <v>21.3177449518561</v>
      </c>
      <c r="CN172" s="44" t="n">
        <f aca="false">CH172+MAX(0,MIN(1,1-(1-CJ172)*AP172/AN172))*(CI172-CH172)</f>
        <v>23.5921889563437</v>
      </c>
      <c r="CO172" s="44" t="n">
        <f aca="false">CL172-CG172</f>
        <v>-0.474360576198453</v>
      </c>
      <c r="CP172" s="44" t="n">
        <f aca="false">CL172-(CH172+CJ172*(CI172-CH172))</f>
        <v>0.196652437596796</v>
      </c>
      <c r="CQ172" s="46" t="n">
        <f aca="false">CL172/CG172</f>
        <v>0.979034448583223</v>
      </c>
      <c r="CR172" s="43" t="n">
        <f aca="false">IF(CL172-CH172&lt;=0,"n/a",(CI172-CL172)/(CL172-CH172))</f>
        <v>5.36745869700249</v>
      </c>
      <c r="CS172" s="43" t="n">
        <f aca="false">IF(CI172-CL172&lt;=0,"n/a",(CL172-CH172)/(CI172-CL172))</f>
        <v>0.186307907792278</v>
      </c>
      <c r="CT172" s="43" t="n">
        <f aca="false">Inputs_General!$C$23+Inputs_General!$C$24*$I172</f>
        <v>0.66</v>
      </c>
      <c r="CU172" s="44" t="n">
        <f aca="false">3.29*CT172</f>
        <v>2.1714</v>
      </c>
    </row>
    <row r="173" customFormat="false" ht="15" hidden="false" customHeight="false" outlineLevel="0" collapsed="false">
      <c r="A173" s="9" t="str">
        <f aca="false">B173&amp;"|"&amp;E173&amp;"|"&amp;F173</f>
        <v>D3V2|11/02/2026|Low</v>
      </c>
      <c r="B173" s="7" t="s">
        <v>350</v>
      </c>
      <c r="C173" s="9" t="s">
        <v>131</v>
      </c>
      <c r="D173" s="9" t="s">
        <v>146</v>
      </c>
      <c r="E173" s="9" t="s">
        <v>158</v>
      </c>
      <c r="F173" s="7" t="s">
        <v>279</v>
      </c>
      <c r="G173" s="9" t="s">
        <v>280</v>
      </c>
      <c r="H173" s="41" t="n">
        <f aca="false">INDEX(Severity_Classes!$C$4:$C$9,MATCH(F173,Severity_Classes!$A$4:$A$9,0))</f>
        <v>0.06</v>
      </c>
      <c r="I173" s="41" t="n">
        <f aca="false">INDEX(Severity_Classes!$D$4:$D$9,MATCH(F173,Severity_Classes!$A$4:$A$9,0))</f>
        <v>0.08</v>
      </c>
      <c r="J173" s="41" t="n">
        <f aca="false">INDEX(Severity_Classes!$E$4:$E$9,MATCH(F173,Severity_Classes!$A$4:$A$9,0))</f>
        <v>0.1</v>
      </c>
      <c r="K173" s="42" t="n">
        <f aca="false">MATCH(B173&amp;"|"&amp;E173,Context!$A$4:$A$51,0)</f>
        <v>29</v>
      </c>
      <c r="L173" s="42" t="n">
        <f aca="false">INDEX(Context!$H$4:$H$51,K173)</f>
        <v>46</v>
      </c>
      <c r="M173" s="42" t="n">
        <f aca="false">INDEX(Context!$I$4:$I$51,K173)</f>
        <v>6</v>
      </c>
      <c r="N173" s="9" t="str">
        <f aca="false">INDEX(Context!$L$4:$L$51,K173)</f>
        <v>V</v>
      </c>
      <c r="O173" s="9" t="str">
        <f aca="false">INDEX(Context!$M$4:$M$51,K173)</f>
        <v>3rd fully expanded leaf from top</v>
      </c>
      <c r="P173" s="43" t="n">
        <f aca="false">INDEX(Context!$R$4:$R$51,K173)</f>
        <v>0</v>
      </c>
      <c r="Q173" s="43" t="n">
        <f aca="false">INDEX(Context!$U$4:$U$51,K173)</f>
        <v>0.937791824040773</v>
      </c>
      <c r="R173" s="43" t="n">
        <f aca="false">INDEX(Context!$AD$4:$AD$51,K173)</f>
        <v>1.1</v>
      </c>
      <c r="S173" s="9" t="str">
        <f aca="false">INDEX(Context!$AI$4:$AN$51,K173,MATCH(F173,Severity_Classes!$A$4:$A$9,0))</f>
        <v>Likely</v>
      </c>
      <c r="T173" s="44" t="n">
        <f aca="false">Parameters!$E$4*IF($N173="V",Parameters!$I$4,IF($N173="F",Parameters!$J$4,Parameters!$K$4))*(1-Parameters!$L$4*$P173)*IF($D173="V1",Parameters!$M$4,IF($D173="V2",Parameters!$N$4,Parameters!$O$4))</f>
        <v>86</v>
      </c>
      <c r="U173" s="44" t="n">
        <f aca="false">MIN(100,T173*(1+INDEX(Response_Table!$E$4:$E$21,MATCH($F173&amp;"|mid",Response_Table!$A$4:$A$21,0))*$R173*INDEX(Parameters!$X$4:$AA$4,1,MATCH($E173,Parameters!$X$3:$AA$3,0))))</f>
        <v>85.3416490280971</v>
      </c>
      <c r="V173" s="44" t="n">
        <f aca="false">MAX(0,MIN(T173*(1+INDEX(Response_Table!$E$4:$E$21,MATCH($F173&amp;"|low",Response_Table!$A$4:$A$21,0))*$R173*INDEX(Parameters!$X$4:$AA$4,1,MATCH($E173,Parameters!$X$3:$AA$3,0))),T173*(1+INDEX(Response_Table!$E$4:$E$21,MATCH($F173&amp;"|high",Response_Table!$A$4:$A$21,0))*$R173*INDEX(Parameters!$X$4:$AA$4,1,MATCH($E173,Parameters!$X$3:$AA$3,0))))*(1-Inputs_General!$C$22*Parameters!$F$4))</f>
        <v>79.5112838437186</v>
      </c>
      <c r="W173" s="44" t="n">
        <f aca="false">MIN(100,MAX(T173*(1+INDEX(Response_Table!$E$4:$E$21,MATCH($F173&amp;"|low",Response_Table!$A$4:$A$21,0))*$R173*INDEX(Parameters!$X$4:$AA$4,1,MATCH($E173,Parameters!$X$3:$AA$3,0))),T173*(1+INDEX(Response_Table!$E$4:$E$21,MATCH($F173&amp;"|high",Response_Table!$A$4:$A$21,0))*$R173*INDEX(Parameters!$X$4:$AA$4,1,MATCH($E173,Parameters!$X$3:$AA$3,0))))*(1+Inputs_General!$C$22*Parameters!$F$4))</f>
        <v>91.1713736597</v>
      </c>
      <c r="X173" s="45" t="n">
        <f aca="false">IF(T173=0,0,U173/T173-1)</f>
        <v>-0.00765524385933614</v>
      </c>
      <c r="Y173" s="44" t="n">
        <f aca="false">Parameters!$E$5*IF($N173="V",Parameters!$I$5,IF($N173="F",Parameters!$J$5,Parameters!$K$5))*(1-Parameters!$L$5*$P173)*IF($D173="V1",Parameters!$M$5,IF($D173="V2",Parameters!$N$5,Parameters!$O$5))</f>
        <v>72</v>
      </c>
      <c r="Z173" s="44" t="n">
        <f aca="false">MIN(100,Y173*(1+INDEX(Response_Table!$F$4:$F$21,MATCH($F173&amp;"|mid",Response_Table!$A$4:$A$21,0))*$R173*INDEX(Parameters!$X$5:$AA$5,1,MATCH($E173,Parameters!$X$3:$AA$3,0))))</f>
        <v>70.1804149436292</v>
      </c>
      <c r="AA173" s="44" t="n">
        <f aca="false">MAX(0,MIN(Y173*(1+INDEX(Response_Table!$F$4:$F$21,MATCH($F173&amp;"|low",Response_Table!$A$4:$A$21,0))*$R173*INDEX(Parameters!$X$5:$AA$5,1,MATCH($E173,Parameters!$X$3:$AA$3,0))),Y173*(1+INDEX(Response_Table!$F$4:$F$21,MATCH($F173&amp;"|high",Response_Table!$A$4:$A$21,0))*$R173*INDEX(Parameters!$X$5:$AA$5,1,MATCH($E173,Parameters!$X$3:$AA$3,0))))*(1-Inputs_General!$C$22*Parameters!$F$5))</f>
        <v>61.5098446855281</v>
      </c>
      <c r="AB173" s="44" t="n">
        <f aca="false">MIN(100,MAX(Y173*(1+INDEX(Response_Table!$F$4:$F$21,MATCH($F173&amp;"|low",Response_Table!$A$4:$A$21,0))*$R173*INDEX(Parameters!$X$5:$AA$5,1,MATCH($E173,Parameters!$X$3:$AA$3,0))),Y173*(1+INDEX(Response_Table!$F$4:$F$21,MATCH($F173&amp;"|high",Response_Table!$A$4:$A$21,0))*$R173*INDEX(Parameters!$X$5:$AA$5,1,MATCH($E173,Parameters!$X$3:$AA$3,0))))*(1+Inputs_General!$C$22*Parameters!$F$5))</f>
        <v>78.8995683816149</v>
      </c>
      <c r="AC173" s="45" t="n">
        <f aca="false">IF(Y173=0,0,Z173/Y173-1)</f>
        <v>-0.0252720146718168</v>
      </c>
      <c r="AD173" s="44" t="n">
        <f aca="false">Parameters!$E$6*IF($N173="V",Parameters!$I$6,IF($N173="F",Parameters!$J$6,Parameters!$K$6))*(1-Parameters!$L$6*$P173)*IF($D173="V1",Parameters!$M$6,IF($D173="V2",Parameters!$N$6,Parameters!$O$6))</f>
        <v>19</v>
      </c>
      <c r="AE173" s="44" t="n">
        <f aca="false">AD173*(1+INDEX(Response_Table!$G$4:$G$21,MATCH($F173&amp;"|mid",Response_Table!$A$4:$A$21,0))*$R173*INDEX(Parameters!$X$6:$AA$6,1,MATCH($E173,Parameters!$X$3:$AA$3,0)))</f>
        <v>15.2791327295833</v>
      </c>
      <c r="AF173" s="44" t="n">
        <f aca="false">MAX(0,MIN(AD173*(1+INDEX(Response_Table!$G$4:$G$21,MATCH($F173&amp;"|low",Response_Table!$A$4:$A$21,0))*$R173*INDEX(Parameters!$X$6:$AA$6,1,MATCH($E173,Parameters!$X$3:$AA$3,0))),AD173*(1+INDEX(Response_Table!$G$4:$G$21,MATCH($F173&amp;"|high",Response_Table!$A$4:$A$21,0))*$R173*INDEX(Parameters!$X$6:$AA$6,1,MATCH($E173,Parameters!$X$3:$AA$3,0))))*(1-Inputs_General!$C$22*Parameters!$F$6))</f>
        <v>11.6667675397791</v>
      </c>
      <c r="AG173" s="44" t="n">
        <f aca="false">MAX(AD173*(1+INDEX(Response_Table!$G$4:$G$21,MATCH($F173&amp;"|low",Response_Table!$A$4:$A$21,0))*$R173*INDEX(Parameters!$X$6:$AA$6,1,MATCH($E173,Parameters!$X$3:$AA$3,0))),AD173*(1+INDEX(Response_Table!$G$4:$G$21,MATCH($F173&amp;"|high",Response_Table!$A$4:$A$21,0))*$R173*INDEX(Parameters!$X$6:$AA$6,1,MATCH($E173,Parameters!$X$3:$AA$3,0))))*(1+Inputs_General!$C$22*Parameters!$F$6)</f>
        <v>19.2666308154671</v>
      </c>
      <c r="AH173" s="45" t="n">
        <f aca="false">IF(AD173=0,0,AE173/AD173-1)</f>
        <v>-0.195835119495615</v>
      </c>
      <c r="AI173" s="46" t="n">
        <f aca="false">Parameters!$E$7*IF($N173="V",Parameters!$I$7,IF($N173="F",Parameters!$J$7,Parameters!$K$7))*(1-Parameters!$L$7*$P173)*IF($D173="V1",Parameters!$M$7,IF($D173="V2",Parameters!$N$7,Parameters!$O$7))*POWER($Q173/Inputs_General!$C$26,-Inputs_General!$C$25)</f>
        <v>0.464685683730118</v>
      </c>
      <c r="AJ173" s="46" t="n">
        <f aca="false">AI173*(1+INDEX(Response_Table!$H$4:$H$21,MATCH($F173&amp;"|mid",Response_Table!$A$4:$A$21,0))*$R173*INDEX(Parameters!$X$7:$AA$7,1,MATCH($E173,Parameters!$X$3:$AA$3,0)))</f>
        <v>0.407971324160109</v>
      </c>
      <c r="AK173" s="46" t="n">
        <f aca="false">MAX(0,MIN(AI173*(1+INDEX(Response_Table!$H$4:$H$21,MATCH($F173&amp;"|low",Response_Table!$A$4:$A$21,0))*$R173*INDEX(Parameters!$X$7:$AA$7,1,MATCH($E173,Parameters!$X$3:$AA$3,0))),AI173*(1+INDEX(Response_Table!$H$4:$H$21,MATCH($F173&amp;"|high",Response_Table!$A$4:$A$21,0))*$R173*INDEX(Parameters!$X$7:$AA$7,1,MATCH($E173,Parameters!$X$3:$AA$3,0))))*(1-Inputs_General!$C$22*Parameters!$F$7))</f>
        <v>0.278600179390083</v>
      </c>
      <c r="AL173" s="46" t="n">
        <f aca="false">MAX(AI173*(1+INDEX(Response_Table!$H$4:$H$21,MATCH($F173&amp;"|low",Response_Table!$A$4:$A$21,0))*$R173*INDEX(Parameters!$X$7:$AA$7,1,MATCH($E173,Parameters!$X$3:$AA$3,0))),AI173*(1+INDEX(Response_Table!$H$4:$H$21,MATCH($F173&amp;"|high",Response_Table!$A$4:$A$21,0))*$R173*INDEX(Parameters!$X$7:$AA$7,1,MATCH($E173,Parameters!$X$3:$AA$3,0))))*(1+Inputs_General!$C$22*Parameters!$F$7)</f>
        <v>0.545529100657289</v>
      </c>
      <c r="AM173" s="45" t="n">
        <f aca="false">IF(AI173=0,0,AJ173/AI173-1)</f>
        <v>-0.122048863469931</v>
      </c>
      <c r="AN173" s="43" t="n">
        <f aca="false">AI173*$Q173/Inputs_General!$C$13*1000</f>
        <v>4.38850387664553</v>
      </c>
      <c r="AO173" s="43" t="n">
        <f aca="false">AJ173*$Q173/Inputs_General!$C$13*1000*(1+Inputs_General!$C$21*$I173)</f>
        <v>3.9299498054909</v>
      </c>
      <c r="AP173" s="43" t="n">
        <f aca="false">AK173*$Q173/Inputs_General!$C$13*1000*(1+Inputs_General!$C$21*$H173)</f>
        <v>2.67057406812122</v>
      </c>
      <c r="AQ173" s="43" t="n">
        <f aca="false">AL173*$Q173/Inputs_General!$C$13*1000*(1+Inputs_General!$C$21*$J173)</f>
        <v>5.28079102348478</v>
      </c>
      <c r="AR173" s="45" t="n">
        <f aca="false">IF(AN173=0,0,AO173/AN173-1)</f>
        <v>-0.10448984073933</v>
      </c>
      <c r="AS173" s="42" t="n">
        <f aca="false">Parameters!$E$9*IF($N173="V",Parameters!$I$9,IF($N173="F",Parameters!$J$9,Parameters!$K$9))*(1-Parameters!$L$9*$P173)*IF($D173="V1",Parameters!$M$9,IF($D173="V2",Parameters!$N$9,Parameters!$O$9))</f>
        <v>285</v>
      </c>
      <c r="AT173" s="42" t="n">
        <f aca="false">AS173*(1+INDEX(Response_Table!$I$4:$I$21,MATCH($F173&amp;"|mid",Response_Table!$A$4:$A$21,0))*$R173*INDEX(Parameters!$X$9:$AA$9,1,MATCH($E173,Parameters!$X$3:$AA$3,0)))</f>
        <v>305.604546450576</v>
      </c>
      <c r="AU173" s="42" t="n">
        <f aca="false">MAX(0,MIN(AS173*(1+INDEX(Response_Table!$I$4:$I$21,MATCH($F173&amp;"|low",Response_Table!$A$4:$A$21,0))*$R173*INDEX(Parameters!$X$9:$AA$9,1,MATCH($E173,Parameters!$X$3:$AA$3,0))),AS173*(1+INDEX(Response_Table!$I$4:$I$21,MATCH($F173&amp;"|high",Response_Table!$A$4:$A$21,0))*$R173*INDEX(Parameters!$X$9:$AA$9,1,MATCH($E173,Parameters!$X$3:$AA$3,0))))*(1-Inputs_General!$C$22*Parameters!$F$9))</f>
        <v>271.340078115671</v>
      </c>
      <c r="AV173" s="42" t="n">
        <f aca="false">MAX(AS173*(1+INDEX(Response_Table!$I$4:$I$21,MATCH($F173&amp;"|low",Response_Table!$A$4:$A$21,0))*$R173*INDEX(Parameters!$X$9:$AA$9,1,MATCH($E173,Parameters!$X$3:$AA$3,0))),AS173*(1+INDEX(Response_Table!$I$4:$I$21,MATCH($F173&amp;"|high",Response_Table!$A$4:$A$21,0))*$R173*INDEX(Parameters!$X$9:$AA$9,1,MATCH($E173,Parameters!$X$3:$AA$3,0))))*(1+Inputs_General!$C$22*Parameters!$F$9)</f>
        <v>340.382885054249</v>
      </c>
      <c r="AW173" s="45" t="n">
        <f aca="false">IF(AS173=0,0,AT173/AS173-1)</f>
        <v>0.0722966542125456</v>
      </c>
      <c r="AX173" s="43" t="n">
        <f aca="false">INDEX(Context!$AB$4:$AB$51,$K173)</f>
        <v>1.09384586130271</v>
      </c>
      <c r="AY173" s="43" t="n">
        <f aca="false">AX173*(1+INDEX(Response_Table!$J$4:$J$21,MATCH($F173&amp;"|mid",Response_Table!$A$4:$A$21,0))*$R173*INDEX(Parameters!$X$10:$AA$10,1,MATCH($E173,Parameters!$X$3:$AA$3,0)))</f>
        <v>1.04477140895975</v>
      </c>
      <c r="AZ173" s="43" t="n">
        <f aca="false">MAX(0,MIN(AX173*(1+INDEX(Response_Table!$J$4:$J$21,MATCH($F173&amp;"|low",Response_Table!$A$4:$A$21,0))*$R173*INDEX(Parameters!$X$10:$AA$10,1,MATCH($E173,Parameters!$X$3:$AA$3,0))),AX173*(1+INDEX(Response_Table!$J$4:$J$21,MATCH($F173&amp;"|high",Response_Table!$A$4:$A$21,0))*$R173*INDEX(Parameters!$X$10:$AA$10,1,MATCH($E173,Parameters!$X$3:$AA$3,0))))*(1-Inputs_General!$C$22*Parameters!$F$10))</f>
        <v>0.829857334510162</v>
      </c>
      <c r="BA173" s="43" t="n">
        <f aca="false">MAX(AX173*(1+INDEX(Response_Table!$J$4:$J$21,MATCH($F173&amp;"|low",Response_Table!$A$4:$A$21,0))*$R173*INDEX(Parameters!$X$10:$AA$10,1,MATCH($E173,Parameters!$X$3:$AA$3,0))),AX173*(1+INDEX(Response_Table!$J$4:$J$21,MATCH($F173&amp;"|high",Response_Table!$A$4:$A$21,0))*$R173*INDEX(Parameters!$X$10:$AA$10,1,MATCH($E173,Parameters!$X$3:$AA$3,0))))*(1+Inputs_General!$C$22*Parameters!$F$10)</f>
        <v>1.26461697152063</v>
      </c>
      <c r="BB173" s="45" t="n">
        <f aca="false">IF(AX173=0,0,AY173/AX173-1)</f>
        <v>-0.0448641386131995</v>
      </c>
      <c r="BC173" s="46" t="n">
        <f aca="false">Parameters!$E$11*IF($N173="V",Parameters!$I$11,IF($N173="F",Parameters!$J$11,Parameters!$K$11))*(1-Parameters!$L$11*$P173)*IF($D173="V1",Parameters!$M$11,IF($D173="V2",Parameters!$N$11,Parameters!$O$11))</f>
        <v>1.1875</v>
      </c>
      <c r="BD173" s="46" t="n">
        <f aca="false">BC173*(1+INDEX(Response_Table!$K$4:$K$21,MATCH($F173&amp;"|mid",Response_Table!$A$4:$A$21,0))*$R173*INDEX(Parameters!$X$11:$AA$11,1,MATCH($E173,Parameters!$X$3:$AA$3,0)))</f>
        <v>1.09161620768883</v>
      </c>
      <c r="BE173" s="46" t="n">
        <f aca="false">MAX(0,MIN(BC173*(1+INDEX(Response_Table!$K$4:$K$21,MATCH($F173&amp;"|low",Response_Table!$A$4:$A$21,0))*$R173*INDEX(Parameters!$X$11:$AA$11,1,MATCH($E173,Parameters!$X$3:$AA$3,0))),BC173*(1+INDEX(Response_Table!$K$4:$K$21,MATCH($F173&amp;"|high",Response_Table!$A$4:$A$21,0))*$R173*INDEX(Parameters!$X$11:$AA$11,1,MATCH($E173,Parameters!$X$3:$AA$3,0))))*(1-Inputs_General!$C$22*Parameters!$F$11))</f>
        <v>0.895022447364182</v>
      </c>
      <c r="BF173" s="46" t="n">
        <f aca="false">MAX(BC173*(1+INDEX(Response_Table!$K$4:$K$21,MATCH($F173&amp;"|low",Response_Table!$A$4:$A$21,0))*$R173*INDEX(Parameters!$X$11:$AA$11,1,MATCH($E173,Parameters!$X$3:$AA$3,0))),BC173*(1+INDEX(Response_Table!$K$4:$K$21,MATCH($F173&amp;"|high",Response_Table!$A$4:$A$21,0))*$R173*INDEX(Parameters!$X$11:$AA$11,1,MATCH($E173,Parameters!$X$3:$AA$3,0))))*(1+Inputs_General!$C$22*Parameters!$F$11)</f>
        <v>1.29648129343597</v>
      </c>
      <c r="BG173" s="45" t="n">
        <f aca="false">IF(BC173=0,0,BD173/BC173-1)</f>
        <v>-0.0807442461567711</v>
      </c>
      <c r="BH173" s="46" t="n">
        <f aca="false">Parameters!$E$12*IF($N173="V",Parameters!$I$12,IF($N173="F",Parameters!$J$12,Parameters!$K$12))*(1-Parameters!$L$12*$P173)*IF($D173="V1",Parameters!$M$12,IF($D173="V2",Parameters!$N$12,Parameters!$O$12))</f>
        <v>0.4275</v>
      </c>
      <c r="BI173" s="46" t="n">
        <f aca="false">BH173*(1+INDEX(Response_Table!$L$4:$L$21,MATCH($F173&amp;"|mid",Response_Table!$A$4:$A$21,0))*$R173*INDEX(Parameters!$X$12:$AA$12,1,MATCH($E173,Parameters!$X$3:$AA$3,0)))</f>
        <v>0.3999069817083</v>
      </c>
      <c r="BJ173" s="46" t="n">
        <f aca="false">MAX(0,MIN(BH173*(1+INDEX(Response_Table!$L$4:$L$21,MATCH($F173&amp;"|low",Response_Table!$A$4:$A$21,0))*$R173*INDEX(Parameters!$X$12:$AA$12,1,MATCH($E173,Parameters!$X$3:$AA$3,0))),BH173*(1+INDEX(Response_Table!$L$4:$L$21,MATCH($F173&amp;"|high",Response_Table!$A$4:$A$21,0))*$R173*INDEX(Parameters!$X$12:$AA$12,1,MATCH($E173,Parameters!$X$3:$AA$3,0))))*(1-Inputs_General!$C$22*Parameters!$F$12))</f>
        <v>0.316210704654944</v>
      </c>
      <c r="BK173" s="46" t="n">
        <f aca="false">MAX(BH173*(1+INDEX(Response_Table!$L$4:$L$21,MATCH($F173&amp;"|low",Response_Table!$A$4:$A$21,0))*$R173*INDEX(Parameters!$X$12:$AA$12,1,MATCH($E173,Parameters!$X$3:$AA$3,0))),BH173*(1+INDEX(Response_Table!$L$4:$L$21,MATCH($F173&amp;"|high",Response_Table!$A$4:$A$21,0))*$R173*INDEX(Parameters!$X$12:$AA$12,1,MATCH($E173,Parameters!$X$3:$AA$3,0))))*(1+Inputs_General!$C$22*Parameters!$F$12)</f>
        <v>0.486380706473235</v>
      </c>
      <c r="BL173" s="45" t="n">
        <f aca="false">IF(BH173=0,0,BI173/BH173-1)</f>
        <v>-0.0645450720273676</v>
      </c>
      <c r="BM173" s="46" t="n">
        <f aca="false">Parameters!$E$13*IF($N173="V",Parameters!$I$13,IF($N173="F",Parameters!$J$13,Parameters!$K$13))*(1-Parameters!$L$13*$P173)*IF($D173="V1",Parameters!$M$13,IF($D173="V2",Parameters!$N$13,Parameters!$O$13))</f>
        <v>0.285</v>
      </c>
      <c r="BN173" s="46" t="n">
        <f aca="false">BM173*(1+INDEX(Response_Table!$M$4:$M$21,MATCH($F173&amp;"|mid",Response_Table!$A$4:$A$21,0))*$R173*INDEX(Parameters!$X$13:$AA$13,1,MATCH($E173,Parameters!$X$3:$AA$3,0)))</f>
        <v>0.286937957476201</v>
      </c>
      <c r="BO173" s="46" t="n">
        <f aca="false">MAX(0,MIN(BM173*(1+INDEX(Response_Table!$M$4:$M$21,MATCH($F173&amp;"|low",Response_Table!$A$4:$A$21,0))*$R173*INDEX(Parameters!$X$13:$AA$13,1,MATCH($E173,Parameters!$X$3:$AA$3,0))),BM173*(1+INDEX(Response_Table!$M$4:$M$21,MATCH($F173&amp;"|high",Response_Table!$A$4:$A$21,0))*$R173*INDEX(Parameters!$X$13:$AA$13,1,MATCH($E173,Parameters!$X$3:$AA$3,0))))*(1-Inputs_General!$C$22*Parameters!$F$13))</f>
        <v>0.22827894513573</v>
      </c>
      <c r="BP173" s="46" t="n">
        <f aca="false">MAX(BM173*(1+INDEX(Response_Table!$M$4:$M$21,MATCH($F173&amp;"|low",Response_Table!$A$4:$A$21,0))*$R173*INDEX(Parameters!$X$13:$AA$13,1,MATCH($E173,Parameters!$X$3:$AA$3,0))),BM173*(1+INDEX(Response_Table!$M$4:$M$21,MATCH($F173&amp;"|high",Response_Table!$A$4:$A$21,0))*$R173*INDEX(Parameters!$X$13:$AA$13,1,MATCH($E173,Parameters!$X$3:$AA$3,0))))*(1+Inputs_General!$C$22*Parameters!$F$13)</f>
        <v>0.345691838904968</v>
      </c>
      <c r="BQ173" s="45" t="n">
        <f aca="false">IF(BM173=0,0,BN173/BM173-1)</f>
        <v>0.00679985079368928</v>
      </c>
      <c r="BR173" s="44" t="n">
        <f aca="false">Parameters!$E$14*IF($N173="V",Parameters!$I$14,IF($N173="F",Parameters!$J$14,Parameters!$K$14))*(1-Parameters!$L$14*$P173)*IF($D173="V1",Parameters!$M$14,IF($D173="V2",Parameters!$N$14,Parameters!$O$14))*INDEX(Context!$AC$4:$AC$51,$K173)</f>
        <v>19.8</v>
      </c>
      <c r="BS173" s="44" t="n">
        <f aca="false">BR173*(1+INDEX(Response_Table!$N$4:$N$21,MATCH($F173&amp;"|mid",Response_Table!$A$4:$A$21,0))*$R173*INDEX(Parameters!$X$14:$AA$14,1,MATCH($E173,Parameters!$X$3:$AA$3,0)))</f>
        <v>21.1941735557911</v>
      </c>
      <c r="BT173" s="44" t="n">
        <f aca="false">MAX(0,MIN(BR173*(1+INDEX(Response_Table!$N$4:$N$21,MATCH($F173&amp;"|low",Response_Table!$A$4:$A$21,0))*$R173*INDEX(Parameters!$X$14:$AA$14,1,MATCH($E173,Parameters!$X$3:$AA$3,0))),BR173*(1+INDEX(Response_Table!$N$4:$N$21,MATCH($F173&amp;"|high",Response_Table!$A$4:$A$21,0))*$R173*INDEX(Parameters!$X$14:$AA$14,1,MATCH($E173,Parameters!$X$3:$AA$3,0))))*(1-Inputs_General!$C$22*Parameters!$F$14))</f>
        <v>10.5738684581705</v>
      </c>
      <c r="BU173" s="44" t="n">
        <f aca="false">MAX(BR173*(1+INDEX(Response_Table!$N$4:$N$21,MATCH($F173&amp;"|low",Response_Table!$A$4:$A$21,0))*$R173*INDEX(Parameters!$X$14:$AA$14,1,MATCH($E173,Parameters!$X$3:$AA$3,0))),BR173*(1+INDEX(Response_Table!$N$4:$N$21,MATCH($F173&amp;"|high",Response_Table!$A$4:$A$21,0))*$R173*INDEX(Parameters!$X$14:$AA$14,1,MATCH($E173,Parameters!$X$3:$AA$3,0))))*(1+Inputs_General!$C$22*Parameters!$F$14)</f>
        <v>32.1005329097491</v>
      </c>
      <c r="BV173" s="45" t="n">
        <f aca="false">IF(BR173=0,0,BS173/BR173-1)</f>
        <v>0.0704128058480373</v>
      </c>
      <c r="BW173" s="43" t="n">
        <f aca="false">Parameters!$E$15*IF($N173="V",Parameters!$I$15,IF($N173="F",Parameters!$J$15,Parameters!$K$15))*(1-Parameters!$L$15*$P173)*IF($D173="V1",Parameters!$M$15,IF($D173="V2",Parameters!$N$15,Parameters!$O$15))</f>
        <v>11.664</v>
      </c>
      <c r="BX173" s="43" t="n">
        <f aca="false">BW173*(1+INDEX(Response_Table!$O$4:$O$21,MATCH($F173&amp;"|mid",Response_Table!$A$4:$A$21,0))*$R173*INDEX(Parameters!$X$15:$AA$15,1,MATCH($E173,Parameters!$X$3:$AA$3,0)))</f>
        <v>11.4586762581471</v>
      </c>
      <c r="BY173" s="43" t="n">
        <f aca="false">MAX(0,MIN(BW173*(1+INDEX(Response_Table!$O$4:$O$21,MATCH($F173&amp;"|low",Response_Table!$A$4:$A$21,0))*$R173*INDEX(Parameters!$X$15:$AA$15,1,MATCH($E173,Parameters!$X$3:$AA$3,0))),BW173*(1+INDEX(Response_Table!$O$4:$O$21,MATCH($F173&amp;"|high",Response_Table!$A$4:$A$21,0))*$R173*INDEX(Parameters!$X$15:$AA$15,1,MATCH($E173,Parameters!$X$3:$AA$3,0))))*(1-Inputs_General!$C$22*Parameters!$F$15))</f>
        <v>9.16135359176732</v>
      </c>
      <c r="BZ173" s="43" t="n">
        <f aca="false">MAX(BW173*(1+INDEX(Response_Table!$O$4:$O$21,MATCH($F173&amp;"|low",Response_Table!$A$4:$A$21,0))*$R173*INDEX(Parameters!$X$15:$AA$15,1,MATCH($E173,Parameters!$X$3:$AA$3,0))),BW173*(1+INDEX(Response_Table!$O$4:$O$21,MATCH($F173&amp;"|high",Response_Table!$A$4:$A$21,0))*$R173*INDEX(Parameters!$X$15:$AA$15,1,MATCH($E173,Parameters!$X$3:$AA$3,0))))*(1+Inputs_General!$C$22*Parameters!$F$15)</f>
        <v>13.7766663249147</v>
      </c>
      <c r="CA173" s="45" t="n">
        <f aca="false">IF(BW173=0,0,BX173/BW173-1)</f>
        <v>-0.0176032014620094</v>
      </c>
      <c r="CB173" s="46" t="n">
        <f aca="false">BD173+BI173</f>
        <v>1.49152318939713</v>
      </c>
      <c r="CC173" s="43" t="n">
        <f aca="false">BD173/BI173</f>
        <v>2.72967529355384</v>
      </c>
      <c r="CD173" s="46" t="n">
        <f aca="false">BN173/CB173</f>
        <v>0.192379146040753</v>
      </c>
      <c r="CE173" s="43" t="n">
        <f aca="false">AE173/AO173</f>
        <v>3.88786968938774</v>
      </c>
      <c r="CF173" s="44" t="n">
        <f aca="false">AE173/AJ173</f>
        <v>37.4514869667335</v>
      </c>
      <c r="CG173" s="44" t="n">
        <f aca="false">INDEX(Context!$V$4:$V$51,$K173)</f>
        <v>22.6257142857143</v>
      </c>
      <c r="CH173" s="44" t="n">
        <f aca="false">INDEX(Context!$Y$4:$Y$51,$K173)</f>
        <v>21.3177449518561</v>
      </c>
      <c r="CI173" s="44" t="n">
        <f aca="false">INDEX(Context!$Z$4:$Z$51,$K173)</f>
        <v>26.6257142857143</v>
      </c>
      <c r="CJ173" s="43" t="n">
        <f aca="false">INDEX(Context!$AA$4:$AA$51,$K173)</f>
        <v>0.12</v>
      </c>
      <c r="CK173" s="43" t="n">
        <f aca="false">MAX(0,MIN(1,1-(1-CJ173)*AO173/AN173))</f>
        <v>0.21195105985061</v>
      </c>
      <c r="CL173" s="44" t="n">
        <f aca="false">CH173+CK173*(CI173-CH173)</f>
        <v>22.4427746778218</v>
      </c>
      <c r="CM173" s="44" t="n">
        <f aca="false">CH173+MAX(0,MIN(1,1-(1-CJ173)*AQ173/AN173))*(CI173-CH173)</f>
        <v>21.3177449518561</v>
      </c>
      <c r="CN173" s="44" t="n">
        <f aca="false">CH173+MAX(0,MIN(1,1-(1-CJ173)*AP173/AN173))*(CI173-CH173)</f>
        <v>23.7832224987335</v>
      </c>
      <c r="CO173" s="44" t="n">
        <f aca="false">CL173-CG173</f>
        <v>-0.182939607892447</v>
      </c>
      <c r="CP173" s="44" t="n">
        <f aca="false">CL173-(CH173+CJ173*(CI173-CH173))</f>
        <v>0.488073405902803</v>
      </c>
      <c r="CQ173" s="46" t="n">
        <f aca="false">CL173/CG173</f>
        <v>0.991914526737927</v>
      </c>
      <c r="CR173" s="43" t="n">
        <f aca="false">IF(CL173-CH173&lt;=0,"n/a",(CI173-CL173)/(CL173-CH173))</f>
        <v>3.71807029747731</v>
      </c>
      <c r="CS173" s="43" t="n">
        <f aca="false">IF(CI173-CL173&lt;=0,"n/a",(CL173-CH173)/(CI173-CL173))</f>
        <v>0.268956722168081</v>
      </c>
      <c r="CT173" s="43" t="n">
        <f aca="false">Inputs_General!$C$23+Inputs_General!$C$24*$I173</f>
        <v>0.76</v>
      </c>
      <c r="CU173" s="44" t="n">
        <f aca="false">3.29*CT173</f>
        <v>2.5004</v>
      </c>
    </row>
    <row r="174" customFormat="false" ht="15" hidden="false" customHeight="false" outlineLevel="0" collapsed="false">
      <c r="A174" s="9" t="str">
        <f aca="false">B174&amp;"|"&amp;E174&amp;"|"&amp;F174</f>
        <v>D3V2|11/02/2026|Moderate</v>
      </c>
      <c r="B174" s="7" t="s">
        <v>350</v>
      </c>
      <c r="C174" s="9" t="s">
        <v>131</v>
      </c>
      <c r="D174" s="9" t="s">
        <v>146</v>
      </c>
      <c r="E174" s="9" t="s">
        <v>158</v>
      </c>
      <c r="F174" s="7" t="s">
        <v>281</v>
      </c>
      <c r="G174" s="9" t="s">
        <v>282</v>
      </c>
      <c r="H174" s="41" t="n">
        <f aca="false">INDEX(Severity_Classes!$C$4:$C$9,MATCH(F174,Severity_Classes!$A$4:$A$9,0))</f>
        <v>0.11</v>
      </c>
      <c r="I174" s="41" t="n">
        <f aca="false">INDEX(Severity_Classes!$D$4:$D$9,MATCH(F174,Severity_Classes!$A$4:$A$9,0))</f>
        <v>0.18</v>
      </c>
      <c r="J174" s="41" t="n">
        <f aca="false">INDEX(Severity_Classes!$E$4:$E$9,MATCH(F174,Severity_Classes!$A$4:$A$9,0))</f>
        <v>0.25</v>
      </c>
      <c r="K174" s="42" t="n">
        <f aca="false">MATCH(B174&amp;"|"&amp;E174,Context!$A$4:$A$51,0)</f>
        <v>29</v>
      </c>
      <c r="L174" s="42" t="n">
        <f aca="false">INDEX(Context!$H$4:$H$51,K174)</f>
        <v>46</v>
      </c>
      <c r="M174" s="42" t="n">
        <f aca="false">INDEX(Context!$I$4:$I$51,K174)</f>
        <v>6</v>
      </c>
      <c r="N174" s="9" t="str">
        <f aca="false">INDEX(Context!$L$4:$L$51,K174)</f>
        <v>V</v>
      </c>
      <c r="O174" s="9" t="str">
        <f aca="false">INDEX(Context!$M$4:$M$51,K174)</f>
        <v>3rd fully expanded leaf from top</v>
      </c>
      <c r="P174" s="43" t="n">
        <f aca="false">INDEX(Context!$R$4:$R$51,K174)</f>
        <v>0</v>
      </c>
      <c r="Q174" s="43" t="n">
        <f aca="false">INDEX(Context!$U$4:$U$51,K174)</f>
        <v>0.937791824040773</v>
      </c>
      <c r="R174" s="43" t="n">
        <f aca="false">INDEX(Context!$AD$4:$AD$51,K174)</f>
        <v>1.1</v>
      </c>
      <c r="S174" s="9" t="str">
        <f aca="false">INDEX(Context!$AI$4:$AN$51,K174,MATCH(F174,Severity_Classes!$A$4:$A$9,0))</f>
        <v>Unlikely (only via pre-inoculation natural infection)</v>
      </c>
      <c r="T174" s="44" t="n">
        <f aca="false">Parameters!$E$4*IF($N174="V",Parameters!$I$4,IF($N174="F",Parameters!$J$4,Parameters!$K$4))*(1-Parameters!$L$4*$P174)*IF($D174="V1",Parameters!$M$4,IF($D174="V2",Parameters!$N$4,Parameters!$O$4))</f>
        <v>86</v>
      </c>
      <c r="U174" s="44" t="n">
        <f aca="false">MIN(100,T174*(1+INDEX(Response_Table!$E$4:$E$21,MATCH($F174&amp;"|mid",Response_Table!$A$4:$A$21,0))*$R174*INDEX(Parameters!$X$4:$AA$4,1,MATCH($E174,Parameters!$X$3:$AA$3,0))))</f>
        <v>83.848326470308</v>
      </c>
      <c r="V174" s="44" t="n">
        <f aca="false">MAX(0,MIN(T174*(1+INDEX(Response_Table!$E$4:$E$21,MATCH($F174&amp;"|low",Response_Table!$A$4:$A$21,0))*$R174*INDEX(Parameters!$X$4:$AA$4,1,MATCH($E174,Parameters!$X$3:$AA$3,0))),T174*(1+INDEX(Response_Table!$E$4:$E$21,MATCH($F174&amp;"|high",Response_Table!$A$4:$A$21,0))*$R174*INDEX(Parameters!$X$4:$AA$4,1,MATCH($E174,Parameters!$X$3:$AA$3,0))))*(1-Inputs_General!$C$22*Parameters!$F$4))</f>
        <v>76.8253618221922</v>
      </c>
      <c r="W174" s="44" t="n">
        <f aca="false">MIN(100,MAX(T174*(1+INDEX(Response_Table!$E$4:$E$21,MATCH($F174&amp;"|low",Response_Table!$A$4:$A$21,0))*$R174*INDEX(Parameters!$X$4:$AA$4,1,MATCH($E174,Parameters!$X$3:$AA$3,0))),T174*(1+INDEX(Response_Table!$E$4:$E$21,MATCH($F174&amp;"|high",Response_Table!$A$4:$A$21,0))*$R174*INDEX(Parameters!$X$4:$AA$4,1,MATCH($E174,Parameters!$X$3:$AA$3,0))))*(1+Inputs_General!$C$22*Parameters!$F$4))</f>
        <v>90.576855276321</v>
      </c>
      <c r="X174" s="45" t="n">
        <f aca="false">IF(T174=0,0,U174/T174-1)</f>
        <v>-0.0250194596475816</v>
      </c>
      <c r="Y174" s="44" t="n">
        <f aca="false">Parameters!$E$5*IF($N174="V",Parameters!$I$5,IF($N174="F",Parameters!$J$5,Parameters!$K$5))*(1-Parameters!$L$5*$P174)*IF($D174="V1",Parameters!$M$5,IF($D174="V2",Parameters!$N$5,Parameters!$O$5))</f>
        <v>72</v>
      </c>
      <c r="Z174" s="44" t="n">
        <f aca="false">MIN(100,Y174*(1+INDEX(Response_Table!$F$4:$F$21,MATCH($F174&amp;"|mid",Response_Table!$A$4:$A$21,0))*$R174*INDEX(Parameters!$X$5:$AA$5,1,MATCH($E174,Parameters!$X$3:$AA$3,0))))</f>
        <v>65.7772563011754</v>
      </c>
      <c r="AA174" s="44" t="n">
        <f aca="false">MAX(0,MIN(Y174*(1+INDEX(Response_Table!$F$4:$F$21,MATCH($F174&amp;"|low",Response_Table!$A$4:$A$21,0))*$R174*INDEX(Parameters!$X$5:$AA$5,1,MATCH($E174,Parameters!$X$3:$AA$3,0))),Y174*(1+INDEX(Response_Table!$F$4:$F$21,MATCH($F174&amp;"|high",Response_Table!$A$4:$A$21,0))*$R174*INDEX(Parameters!$X$5:$AA$5,1,MATCH($E174,Parameters!$X$3:$AA$3,0))))*(1-Inputs_General!$C$22*Parameters!$F$5))</f>
        <v>54.1279189317098</v>
      </c>
      <c r="AB174" s="44" t="n">
        <f aca="false">MIN(100,MAX(Y174*(1+INDEX(Response_Table!$F$4:$F$21,MATCH($F174&amp;"|low",Response_Table!$A$4:$A$21,0))*$R174*INDEX(Parameters!$X$5:$AA$5,1,MATCH($E174,Parameters!$X$3:$AA$3,0))),Y174*(1+INDEX(Response_Table!$F$4:$F$21,MATCH($F174&amp;"|high",Response_Table!$A$4:$A$21,0))*$R174*INDEX(Parameters!$X$5:$AA$5,1,MATCH($E174,Parameters!$X$3:$AA$3,0))))*(1+Inputs_General!$C$22*Parameters!$F$5))</f>
        <v>77.1053769816321</v>
      </c>
      <c r="AC174" s="45" t="n">
        <f aca="false">IF(Y174=0,0,Z174/Y174-1)</f>
        <v>-0.0864269958170085</v>
      </c>
      <c r="AD174" s="44" t="n">
        <f aca="false">Parameters!$E$6*IF($N174="V",Parameters!$I$6,IF($N174="F",Parameters!$J$6,Parameters!$K$6))*(1-Parameters!$L$6*$P174)*IF($D174="V1",Parameters!$M$6,IF($D174="V2",Parameters!$N$6,Parameters!$O$6))</f>
        <v>19</v>
      </c>
      <c r="AE174" s="44" t="n">
        <f aca="false">AD174*(1+INDEX(Response_Table!$G$4:$G$21,MATCH($F174&amp;"|mid",Response_Table!$A$4:$A$21,0))*$R174*INDEX(Parameters!$X$6:$AA$6,1,MATCH($E174,Parameters!$X$3:$AA$3,0)))</f>
        <v>12.139842680218</v>
      </c>
      <c r="AF174" s="44" t="n">
        <f aca="false">MAX(0,MIN(AD174*(1+INDEX(Response_Table!$G$4:$G$21,MATCH($F174&amp;"|low",Response_Table!$A$4:$A$21,0))*$R174*INDEX(Parameters!$X$6:$AA$6,1,MATCH($E174,Parameters!$X$3:$AA$3,0))),AD174*(1+INDEX(Response_Table!$G$4:$G$21,MATCH($F174&amp;"|high",Response_Table!$A$4:$A$21,0))*$R174*INDEX(Parameters!$X$6:$AA$6,1,MATCH($E174,Parameters!$X$3:$AA$3,0))))*(1-Inputs_General!$C$22*Parameters!$F$6))</f>
        <v>8.53501164047203</v>
      </c>
      <c r="AG174" s="44" t="n">
        <f aca="false">MAX(AD174*(1+INDEX(Response_Table!$G$4:$G$21,MATCH($F174&amp;"|low",Response_Table!$A$4:$A$21,0))*$R174*INDEX(Parameters!$X$6:$AA$6,1,MATCH($E174,Parameters!$X$3:$AA$3,0))),AD174*(1+INDEX(Response_Table!$G$4:$G$21,MATCH($F174&amp;"|high",Response_Table!$A$4:$A$21,0))*$R174*INDEX(Parameters!$X$6:$AA$6,1,MATCH($E174,Parameters!$X$3:$AA$3,0))))*(1+Inputs_General!$C$22*Parameters!$F$6)</f>
        <v>16.989390786741</v>
      </c>
      <c r="AH174" s="45" t="n">
        <f aca="false">IF(AD174=0,0,AE174/AD174-1)</f>
        <v>-0.361060911567472</v>
      </c>
      <c r="AI174" s="46" t="n">
        <f aca="false">Parameters!$E$7*IF($N174="V",Parameters!$I$7,IF($N174="F",Parameters!$J$7,Parameters!$K$7))*(1-Parameters!$L$7*$P174)*IF($D174="V1",Parameters!$M$7,IF($D174="V2",Parameters!$N$7,Parameters!$O$7))*POWER($Q174/Inputs_General!$C$26,-Inputs_General!$C$25)</f>
        <v>0.464685683730118</v>
      </c>
      <c r="AJ174" s="46" t="n">
        <f aca="false">AI174*(1+INDEX(Response_Table!$H$4:$H$21,MATCH($F174&amp;"|mid",Response_Table!$A$4:$A$21,0))*$R174*INDEX(Parameters!$X$7:$AA$7,1,MATCH($E174,Parameters!$X$3:$AA$3,0)))</f>
        <v>0.353780081131939</v>
      </c>
      <c r="AK174" s="46" t="n">
        <f aca="false">MAX(0,MIN(AI174*(1+INDEX(Response_Table!$H$4:$H$21,MATCH($F174&amp;"|low",Response_Table!$A$4:$A$21,0))*$R174*INDEX(Parameters!$X$7:$AA$7,1,MATCH($E174,Parameters!$X$3:$AA$3,0))),AI174*(1+INDEX(Response_Table!$H$4:$H$21,MATCH($F174&amp;"|high",Response_Table!$A$4:$A$21,0))*$R174*INDEX(Parameters!$X$7:$AA$7,1,MATCH($E174,Parameters!$X$3:$AA$3,0))))*(1-Inputs_General!$C$22*Parameters!$F$7))</f>
        <v>0.228373739796102</v>
      </c>
      <c r="AL174" s="46" t="n">
        <f aca="false">MAX(AI174*(1+INDEX(Response_Table!$H$4:$H$21,MATCH($F174&amp;"|low",Response_Table!$A$4:$A$21,0))*$R174*INDEX(Parameters!$X$7:$AA$7,1,MATCH($E174,Parameters!$X$3:$AA$3,0))),AI174*(1+INDEX(Response_Table!$H$4:$H$21,MATCH($F174&amp;"|high",Response_Table!$A$4:$A$21,0))*$R174*INDEX(Parameters!$X$7:$AA$7,1,MATCH($E174,Parameters!$X$3:$AA$3,0))))*(1+Inputs_General!$C$22*Parameters!$F$7)</f>
        <v>0.505447313910092</v>
      </c>
      <c r="AM174" s="45" t="n">
        <f aca="false">IF(AI174=0,0,AJ174/AI174-1)</f>
        <v>-0.238667999642078</v>
      </c>
      <c r="AN174" s="43" t="n">
        <f aca="false">AI174*$Q174/Inputs_General!$C$13*1000</f>
        <v>4.38850387664553</v>
      </c>
      <c r="AO174" s="43" t="n">
        <f aca="false">AJ174*$Q174/Inputs_General!$C$13*1000*(1+Inputs_General!$C$21*$I174)</f>
        <v>3.49145831455936</v>
      </c>
      <c r="AP174" s="43" t="n">
        <f aca="false">AK174*$Q174/Inputs_General!$C$13*1000*(1+Inputs_General!$C$21*$H174)</f>
        <v>2.2160787434197</v>
      </c>
      <c r="AQ174" s="43" t="n">
        <f aca="false">AL174*$Q174/Inputs_General!$C$13*1000*(1+Inputs_General!$C$21*$J174)</f>
        <v>5.07179890103243</v>
      </c>
      <c r="AR174" s="45" t="n">
        <f aca="false">IF(AN174=0,0,AO174/AN174-1)</f>
        <v>-0.204408059625971</v>
      </c>
      <c r="AS174" s="42" t="n">
        <f aca="false">Parameters!$E$9*IF($N174="V",Parameters!$I$9,IF($N174="F",Parameters!$J$9,Parameters!$K$9))*(1-Parameters!$L$9*$P174)*IF($D174="V1",Parameters!$M$9,IF($D174="V2",Parameters!$N$9,Parameters!$O$9))</f>
        <v>285</v>
      </c>
      <c r="AT174" s="42" t="n">
        <f aca="false">AS174*(1+INDEX(Response_Table!$I$4:$I$21,MATCH($F174&amp;"|mid",Response_Table!$A$4:$A$21,0))*$R174*INDEX(Parameters!$X$9:$AA$9,1,MATCH($E174,Parameters!$X$3:$AA$3,0)))</f>
        <v>323.616760261572</v>
      </c>
      <c r="AU174" s="42" t="n">
        <f aca="false">MAX(0,MIN(AS174*(1+INDEX(Response_Table!$I$4:$I$21,MATCH($F174&amp;"|low",Response_Table!$A$4:$A$21,0))*$R174*INDEX(Parameters!$X$9:$AA$9,1,MATCH($E174,Parameters!$X$3:$AA$3,0))),AS174*(1+INDEX(Response_Table!$I$4:$I$21,MATCH($F174&amp;"|high",Response_Table!$A$4:$A$21,0))*$R174*INDEX(Parameters!$X$9:$AA$9,1,MATCH($E174,Parameters!$X$3:$AA$3,0))))*(1-Inputs_General!$C$22*Parameters!$F$9))</f>
        <v>281.009747219515</v>
      </c>
      <c r="AV174" s="42" t="n">
        <f aca="false">MAX(AS174*(1+INDEX(Response_Table!$I$4:$I$21,MATCH($F174&amp;"|low",Response_Table!$A$4:$A$21,0))*$R174*INDEX(Parameters!$X$9:$AA$9,1,MATCH($E174,Parameters!$X$3:$AA$3,0))),AS174*(1+INDEX(Response_Table!$I$4:$I$21,MATCH($F174&amp;"|high",Response_Table!$A$4:$A$21,0))*$R174*INDEX(Parameters!$X$9:$AA$9,1,MATCH($E174,Parameters!$X$3:$AA$3,0))))*(1+Inputs_General!$C$22*Parameters!$F$9)</f>
        <v>365.384496954787</v>
      </c>
      <c r="AW174" s="45" t="n">
        <f aca="false">IF(AS174=0,0,AT174/AS174-1)</f>
        <v>0.135497404426568</v>
      </c>
      <c r="AX174" s="43" t="n">
        <f aca="false">INDEX(Context!$AB$4:$AB$51,$K174)</f>
        <v>1.09384586130271</v>
      </c>
      <c r="AY174" s="43" t="n">
        <f aca="false">AX174*(1+INDEX(Response_Table!$J$4:$J$21,MATCH($F174&amp;"|mid",Response_Table!$A$4:$A$21,0))*$R174*INDEX(Parameters!$X$10:$AA$10,1,MATCH($E174,Parameters!$X$3:$AA$3,0)))</f>
        <v>0.995742072018925</v>
      </c>
      <c r="AZ174" s="43" t="n">
        <f aca="false">MAX(0,MIN(AX174*(1+INDEX(Response_Table!$J$4:$J$21,MATCH($F174&amp;"|low",Response_Table!$A$4:$A$21,0))*$R174*INDEX(Parameters!$X$10:$AA$10,1,MATCH($E174,Parameters!$X$3:$AA$3,0))),AX174*(1+INDEX(Response_Table!$J$4:$J$21,MATCH($F174&amp;"|high",Response_Table!$A$4:$A$21,0))*$R174*INDEX(Parameters!$X$10:$AA$10,1,MATCH($E174,Parameters!$X$3:$AA$3,0))))*(1-Inputs_General!$C$22*Parameters!$F$10))</f>
        <v>0.776939795661518</v>
      </c>
      <c r="BA174" s="43" t="n">
        <f aca="false">MAX(AX174*(1+INDEX(Response_Table!$J$4:$J$21,MATCH($F174&amp;"|low",Response_Table!$A$4:$A$21,0))*$R174*INDEX(Parameters!$X$10:$AA$10,1,MATCH($E174,Parameters!$X$3:$AA$3,0))),AX174*(1+INDEX(Response_Table!$J$4:$J$21,MATCH($F174&amp;"|high",Response_Table!$A$4:$A$21,0))*$R174*INDEX(Parameters!$X$10:$AA$10,1,MATCH($E174,Parameters!$X$3:$AA$3,0))))*(1+Inputs_General!$C$22*Parameters!$F$10)</f>
        <v>1.23183193078499</v>
      </c>
      <c r="BB174" s="45" t="n">
        <f aca="false">IF(AX174=0,0,AY174/AX174-1)</f>
        <v>-0.0896870324736111</v>
      </c>
      <c r="BC174" s="46" t="n">
        <f aca="false">Parameters!$E$11*IF($N174="V",Parameters!$I$11,IF($N174="F",Parameters!$J$11,Parameters!$K$11))*(1-Parameters!$L$11*$P174)*IF($D174="V1",Parameters!$M$11,IF($D174="V2",Parameters!$N$11,Parameters!$O$11))</f>
        <v>1.1875</v>
      </c>
      <c r="BD174" s="46" t="n">
        <f aca="false">BC174*(1+INDEX(Response_Table!$K$4:$K$21,MATCH($F174&amp;"|mid",Response_Table!$A$4:$A$21,0))*$R174*INDEX(Parameters!$X$11:$AA$11,1,MATCH($E174,Parameters!$X$3:$AA$3,0)))</f>
        <v>1.00161578493746</v>
      </c>
      <c r="BE174" s="46" t="n">
        <f aca="false">MAX(0,MIN(BC174*(1+INDEX(Response_Table!$K$4:$K$21,MATCH($F174&amp;"|low",Response_Table!$A$4:$A$21,0))*$R174*INDEX(Parameters!$X$11:$AA$11,1,MATCH($E174,Parameters!$X$3:$AA$3,0))),BC174*(1+INDEX(Response_Table!$K$4:$K$21,MATCH($F174&amp;"|high",Response_Table!$A$4:$A$21,0))*$R174*INDEX(Parameters!$X$11:$AA$11,1,MATCH($E174,Parameters!$X$3:$AA$3,0))))*(1-Inputs_General!$C$22*Parameters!$F$11))</f>
        <v>0.796835513694636</v>
      </c>
      <c r="BF174" s="46" t="n">
        <f aca="false">MAX(BC174*(1+INDEX(Response_Table!$K$4:$K$21,MATCH($F174&amp;"|low",Response_Table!$A$4:$A$21,0))*$R174*INDEX(Parameters!$X$11:$AA$11,1,MATCH($E174,Parameters!$X$3:$AA$3,0))),BC174*(1+INDEX(Response_Table!$K$4:$K$21,MATCH($F174&amp;"|high",Response_Table!$A$4:$A$21,0))*$R174*INDEX(Parameters!$X$11:$AA$11,1,MATCH($E174,Parameters!$X$3:$AA$3,0))))*(1+Inputs_General!$C$22*Parameters!$F$11)</f>
        <v>1.23615534069478</v>
      </c>
      <c r="BG174" s="45" t="n">
        <f aca="false">IF(BC174=0,0,BD174/BC174-1)</f>
        <v>-0.156534075842136</v>
      </c>
      <c r="BH174" s="46" t="n">
        <f aca="false">Parameters!$E$12*IF($N174="V",Parameters!$I$12,IF($N174="F",Parameters!$J$12,Parameters!$K$12))*(1-Parameters!$L$12*$P174)*IF($D174="V1",Parameters!$M$12,IF($D174="V2",Parameters!$N$12,Parameters!$O$12))</f>
        <v>0.4275</v>
      </c>
      <c r="BI174" s="46" t="n">
        <f aca="false">BH174*(1+INDEX(Response_Table!$L$4:$L$21,MATCH($F174&amp;"|mid",Response_Table!$A$4:$A$21,0))*$R174*INDEX(Parameters!$X$12:$AA$12,1,MATCH($E174,Parameters!$X$3:$AA$3,0)))</f>
        <v>0.373541525561689</v>
      </c>
      <c r="BJ174" s="46" t="n">
        <f aca="false">MAX(0,MIN(BH174*(1+INDEX(Response_Table!$L$4:$L$21,MATCH($F174&amp;"|low",Response_Table!$A$4:$A$21,0))*$R174*INDEX(Parameters!$X$12:$AA$12,1,MATCH($E174,Parameters!$X$3:$AA$3,0))),BH174*(1+INDEX(Response_Table!$L$4:$L$21,MATCH($F174&amp;"|high",Response_Table!$A$4:$A$21,0))*$R174*INDEX(Parameters!$X$12:$AA$12,1,MATCH($E174,Parameters!$X$3:$AA$3,0))))*(1-Inputs_General!$C$22*Parameters!$F$12))</f>
        <v>0.288347776179392</v>
      </c>
      <c r="BK174" s="46" t="n">
        <f aca="false">MAX(BH174*(1+INDEX(Response_Table!$L$4:$L$21,MATCH($F174&amp;"|low",Response_Table!$A$4:$A$21,0))*$R174*INDEX(Parameters!$X$12:$AA$12,1,MATCH($E174,Parameters!$X$3:$AA$3,0))),BH174*(1+INDEX(Response_Table!$L$4:$L$21,MATCH($F174&amp;"|high",Response_Table!$A$4:$A$21,0))*$R174*INDEX(Parameters!$X$12:$AA$12,1,MATCH($E174,Parameters!$X$3:$AA$3,0))))*(1+Inputs_General!$C$22*Parameters!$F$12)</f>
        <v>0.468364888185063</v>
      </c>
      <c r="BL174" s="45" t="n">
        <f aca="false">IF(BH174=0,0,BI174/BH174-1)</f>
        <v>-0.126218653656868</v>
      </c>
      <c r="BM174" s="46" t="n">
        <f aca="false">Parameters!$E$13*IF($N174="V",Parameters!$I$13,IF($N174="F",Parameters!$J$13,Parameters!$K$13))*(1-Parameters!$L$13*$P174)*IF($D174="V1",Parameters!$M$13,IF($D174="V2",Parameters!$N$13,Parameters!$O$13))</f>
        <v>0.285</v>
      </c>
      <c r="BN174" s="46" t="n">
        <f aca="false">BM174*(1+INDEX(Response_Table!$M$4:$M$21,MATCH($F174&amp;"|mid",Response_Table!$A$4:$A$21,0))*$R174*INDEX(Parameters!$X$13:$AA$13,1,MATCH($E174,Parameters!$X$3:$AA$3,0)))</f>
        <v>0.271516132146417</v>
      </c>
      <c r="BO174" s="46" t="n">
        <f aca="false">MAX(0,MIN(BM174*(1+INDEX(Response_Table!$M$4:$M$21,MATCH($F174&amp;"|low",Response_Table!$A$4:$A$21,0))*$R174*INDEX(Parameters!$X$13:$AA$13,1,MATCH($E174,Parameters!$X$3:$AA$3,0))),BM174*(1+INDEX(Response_Table!$M$4:$M$21,MATCH($F174&amp;"|high",Response_Table!$A$4:$A$21,0))*$R174*INDEX(Parameters!$X$13:$AA$13,1,MATCH($E174,Parameters!$X$3:$AA$3,0))))*(1-Inputs_General!$C$22*Parameters!$F$13))</f>
        <v>0.209206756175763</v>
      </c>
      <c r="BP174" s="46" t="n">
        <f aca="false">MAX(BM174*(1+INDEX(Response_Table!$M$4:$M$21,MATCH($F174&amp;"|low",Response_Table!$A$4:$A$21,0))*$R174*INDEX(Parameters!$X$13:$AA$13,1,MATCH($E174,Parameters!$X$3:$AA$3,0))),BM174*(1+INDEX(Response_Table!$M$4:$M$21,MATCH($F174&amp;"|high",Response_Table!$A$4:$A$21,0))*$R174*INDEX(Parameters!$X$13:$AA$13,1,MATCH($E174,Parameters!$X$3:$AA$3,0))))*(1+Inputs_General!$C$22*Parameters!$F$13)</f>
        <v>0.338838069459107</v>
      </c>
      <c r="BQ174" s="45" t="n">
        <f aca="false">IF(BM174=0,0,BN174/BM174-1)</f>
        <v>-0.0473118170301174</v>
      </c>
      <c r="BR174" s="44" t="n">
        <f aca="false">Parameters!$E$14*IF($N174="V",Parameters!$I$14,IF($N174="F",Parameters!$J$14,Parameters!$K$14))*(1-Parameters!$L$14*$P174)*IF($D174="V1",Parameters!$M$14,IF($D174="V2",Parameters!$N$14,Parameters!$O$14))*INDEX(Context!$AC$4:$AC$51,$K174)</f>
        <v>19.8</v>
      </c>
      <c r="BS174" s="44" t="n">
        <f aca="false">BR174*(1+INDEX(Response_Table!$N$4:$N$21,MATCH($F174&amp;"|mid",Response_Table!$A$4:$A$21,0))*$R174*INDEX(Parameters!$X$14:$AA$14,1,MATCH($E174,Parameters!$X$3:$AA$3,0)))</f>
        <v>22.5263229189884</v>
      </c>
      <c r="BT174" s="44" t="n">
        <f aca="false">MAX(0,MIN(BR174*(1+INDEX(Response_Table!$N$4:$N$21,MATCH($F174&amp;"|low",Response_Table!$A$4:$A$21,0))*$R174*INDEX(Parameters!$X$14:$AA$14,1,MATCH($E174,Parameters!$X$3:$AA$3,0))),BR174*(1+INDEX(Response_Table!$N$4:$N$21,MATCH($F174&amp;"|high",Response_Table!$A$4:$A$21,0))*$R174*INDEX(Parameters!$X$14:$AA$14,1,MATCH($E174,Parameters!$X$3:$AA$3,0))))*(1-Inputs_General!$C$22*Parameters!$F$14))</f>
        <v>10.9589137529953</v>
      </c>
      <c r="BU174" s="44" t="n">
        <f aca="false">MAX(BR174*(1+INDEX(Response_Table!$N$4:$N$21,MATCH($F174&amp;"|low",Response_Table!$A$4:$A$21,0))*$R174*INDEX(Parameters!$X$14:$AA$14,1,MATCH($E174,Parameters!$X$3:$AA$3,0))),BR174*(1+INDEX(Response_Table!$N$4:$N$21,MATCH($F174&amp;"|high",Response_Table!$A$4:$A$21,0))*$R174*INDEX(Parameters!$X$14:$AA$14,1,MATCH($E174,Parameters!$X$3:$AA$3,0))))*(1+Inputs_General!$C$22*Parameters!$F$14)</f>
        <v>34.7202262964468</v>
      </c>
      <c r="BV174" s="45" t="n">
        <f aca="false">IF(BR174=0,0,BS174/BR174-1)</f>
        <v>0.137693076716583</v>
      </c>
      <c r="BW174" s="43" t="n">
        <f aca="false">Parameters!$E$15*IF($N174="V",Parameters!$I$15,IF($N174="F",Parameters!$J$15,Parameters!$K$15))*(1-Parameters!$L$15*$P174)*IF($D174="V1",Parameters!$M$15,IF($D174="V2",Parameters!$N$15,Parameters!$O$15))</f>
        <v>11.664</v>
      </c>
      <c r="BX174" s="43" t="n">
        <f aca="false">BW174*(1+INDEX(Response_Table!$O$4:$O$21,MATCH($F174&amp;"|mid",Response_Table!$A$4:$A$21,0))*$R174*INDEX(Parameters!$X$15:$AA$15,1,MATCH($E174,Parameters!$X$3:$AA$3,0)))</f>
        <v>11.2624869882944</v>
      </c>
      <c r="BY174" s="43" t="n">
        <f aca="false">MAX(0,MIN(BW174*(1+INDEX(Response_Table!$O$4:$O$21,MATCH($F174&amp;"|low",Response_Table!$A$4:$A$21,0))*$R174*INDEX(Parameters!$X$15:$AA$15,1,MATCH($E174,Parameters!$X$3:$AA$3,0))),BW174*(1+INDEX(Response_Table!$O$4:$O$21,MATCH($F174&amp;"|high",Response_Table!$A$4:$A$21,0))*$R174*INDEX(Parameters!$X$15:$AA$15,1,MATCH($E174,Parameters!$X$3:$AA$3,0))))*(1-Inputs_General!$C$22*Parameters!$F$15))</f>
        <v>8.95402140820187</v>
      </c>
      <c r="BZ174" s="43" t="n">
        <f aca="false">MAX(BW174*(1+INDEX(Response_Table!$O$4:$O$21,MATCH($F174&amp;"|low",Response_Table!$A$4:$A$21,0))*$R174*INDEX(Parameters!$X$15:$AA$15,1,MATCH($E174,Parameters!$X$3:$AA$3,0))),BW174*(1+INDEX(Response_Table!$O$4:$O$21,MATCH($F174&amp;"|high",Response_Table!$A$4:$A$21,0))*$R174*INDEX(Parameters!$X$15:$AA$15,1,MATCH($E174,Parameters!$X$3:$AA$3,0))))*(1+Inputs_General!$C$22*Parameters!$F$15)</f>
        <v>13.6426079488297</v>
      </c>
      <c r="CA174" s="45" t="n">
        <f aca="false">IF(BW174=0,0,BX174/BW174-1)</f>
        <v>-0.0344232691791458</v>
      </c>
      <c r="CB174" s="46" t="n">
        <f aca="false">BD174+BI174</f>
        <v>1.37515731049915</v>
      </c>
      <c r="CC174" s="43" t="n">
        <f aca="false">BD174/BI174</f>
        <v>2.68140411814014</v>
      </c>
      <c r="CD174" s="46" t="n">
        <f aca="false">BN174/CB174</f>
        <v>0.197443688859031</v>
      </c>
      <c r="CE174" s="43" t="n">
        <f aca="false">AE174/AO174</f>
        <v>3.47701206386883</v>
      </c>
      <c r="CF174" s="44" t="n">
        <f aca="false">AE174/AJ174</f>
        <v>34.3146585341264</v>
      </c>
      <c r="CG174" s="44" t="n">
        <f aca="false">INDEX(Context!$V$4:$V$51,$K174)</f>
        <v>22.6257142857143</v>
      </c>
      <c r="CH174" s="44" t="n">
        <f aca="false">INDEX(Context!$Y$4:$Y$51,$K174)</f>
        <v>21.3177449518561</v>
      </c>
      <c r="CI174" s="44" t="n">
        <f aca="false">INDEX(Context!$Z$4:$Z$51,$K174)</f>
        <v>26.6257142857143</v>
      </c>
      <c r="CJ174" s="43" t="n">
        <f aca="false">INDEX(Context!$AA$4:$AA$51,$K174)</f>
        <v>0.12</v>
      </c>
      <c r="CK174" s="43" t="n">
        <f aca="false">MAX(0,MIN(1,1-(1-CJ174)*AO174/AN174))</f>
        <v>0.299879092470855</v>
      </c>
      <c r="CL174" s="44" t="n">
        <f aca="false">CH174+CK174*(CI174-CH174)</f>
        <v>22.9094939785566</v>
      </c>
      <c r="CM174" s="44" t="n">
        <f aca="false">CH174+MAX(0,MIN(1,1-(1-CJ174)*AQ174/AN174))*(CI174-CH174)</f>
        <v>21.3177449518561</v>
      </c>
      <c r="CN174" s="44" t="n">
        <f aca="false">CH174+MAX(0,MIN(1,1-(1-CJ174)*AP174/AN174))*(CI174-CH174)</f>
        <v>24.2669758771201</v>
      </c>
      <c r="CO174" s="44" t="n">
        <f aca="false">CL174-CG174</f>
        <v>0.283779692842298</v>
      </c>
      <c r="CP174" s="44" t="n">
        <f aca="false">CL174-(CH174+CJ174*(CI174-CH174))</f>
        <v>0.954792706637548</v>
      </c>
      <c r="CQ174" s="46" t="n">
        <f aca="false">CL174/CG174</f>
        <v>1.01254235288481</v>
      </c>
      <c r="CR174" s="43" t="n">
        <f aca="false">IF(CL174-CH174&lt;=0,"n/a",(CI174-CL174)/(CL174-CH174))</f>
        <v>2.3346772919729</v>
      </c>
      <c r="CS174" s="43" t="n">
        <f aca="false">IF(CI174-CL174&lt;=0,"n/a",(CL174-CH174)/(CI174-CL174))</f>
        <v>0.428324721124503</v>
      </c>
      <c r="CT174" s="43" t="n">
        <f aca="false">Inputs_General!$C$23+Inputs_General!$C$24*$I174</f>
        <v>0.96</v>
      </c>
      <c r="CU174" s="44" t="n">
        <f aca="false">3.29*CT174</f>
        <v>3.1584</v>
      </c>
    </row>
    <row r="175" customFormat="false" ht="15" hidden="false" customHeight="false" outlineLevel="0" collapsed="false">
      <c r="A175" s="9" t="str">
        <f aca="false">B175&amp;"|"&amp;E175&amp;"|"&amp;F175</f>
        <v>D3V2|11/02/2026|High</v>
      </c>
      <c r="B175" s="7" t="s">
        <v>350</v>
      </c>
      <c r="C175" s="9" t="s">
        <v>131</v>
      </c>
      <c r="D175" s="9" t="s">
        <v>146</v>
      </c>
      <c r="E175" s="9" t="s">
        <v>158</v>
      </c>
      <c r="F175" s="7" t="s">
        <v>283</v>
      </c>
      <c r="G175" s="9" t="s">
        <v>284</v>
      </c>
      <c r="H175" s="41" t="n">
        <f aca="false">INDEX(Severity_Classes!$C$4:$C$9,MATCH(F175,Severity_Classes!$A$4:$A$9,0))</f>
        <v>0.26</v>
      </c>
      <c r="I175" s="41" t="n">
        <f aca="false">INDEX(Severity_Classes!$D$4:$D$9,MATCH(F175,Severity_Classes!$A$4:$A$9,0))</f>
        <v>0.38</v>
      </c>
      <c r="J175" s="41" t="n">
        <f aca="false">INDEX(Severity_Classes!$E$4:$E$9,MATCH(F175,Severity_Classes!$A$4:$A$9,0))</f>
        <v>0.5</v>
      </c>
      <c r="K175" s="42" t="n">
        <f aca="false">MATCH(B175&amp;"|"&amp;E175,Context!$A$4:$A$51,0)</f>
        <v>29</v>
      </c>
      <c r="L175" s="42" t="n">
        <f aca="false">INDEX(Context!$H$4:$H$51,K175)</f>
        <v>46</v>
      </c>
      <c r="M175" s="42" t="n">
        <f aca="false">INDEX(Context!$I$4:$I$51,K175)</f>
        <v>6</v>
      </c>
      <c r="N175" s="9" t="str">
        <f aca="false">INDEX(Context!$L$4:$L$51,K175)</f>
        <v>V</v>
      </c>
      <c r="O175" s="9" t="str">
        <f aca="false">INDEX(Context!$M$4:$M$51,K175)</f>
        <v>3rd fully expanded leaf from top</v>
      </c>
      <c r="P175" s="43" t="n">
        <f aca="false">INDEX(Context!$R$4:$R$51,K175)</f>
        <v>0</v>
      </c>
      <c r="Q175" s="43" t="n">
        <f aca="false">INDEX(Context!$U$4:$U$51,K175)</f>
        <v>0.937791824040773</v>
      </c>
      <c r="R175" s="43" t="n">
        <f aca="false">INDEX(Context!$AD$4:$AD$51,K175)</f>
        <v>1.1</v>
      </c>
      <c r="S175" s="9" t="str">
        <f aca="false">INDEX(Context!$AI$4:$AN$51,K175,MATCH(F175,Severity_Classes!$A$4:$A$9,0))</f>
        <v>Unlikely (only via pre-inoculation natural infection)</v>
      </c>
      <c r="T175" s="44" t="n">
        <f aca="false">Parameters!$E$4*IF($N175="V",Parameters!$I$4,IF($N175="F",Parameters!$J$4,Parameters!$K$4))*(1-Parameters!$L$4*$P175)*IF($D175="V1",Parameters!$M$4,IF($D175="V2",Parameters!$N$4,Parameters!$O$4))</f>
        <v>86</v>
      </c>
      <c r="U175" s="44" t="n">
        <f aca="false">MIN(100,T175*(1+INDEX(Response_Table!$E$4:$E$21,MATCH($F175&amp;"|mid",Response_Table!$A$4:$A$21,0))*$R175*INDEX(Parameters!$X$4:$AA$4,1,MATCH($E175,Parameters!$X$3:$AA$3,0))))</f>
        <v>78.3589088840323</v>
      </c>
      <c r="V175" s="44" t="n">
        <f aca="false">MAX(0,MIN(T175*(1+INDEX(Response_Table!$E$4:$E$21,MATCH($F175&amp;"|low",Response_Table!$A$4:$A$21,0))*$R175*INDEX(Parameters!$X$4:$AA$4,1,MATCH($E175,Parameters!$X$3:$AA$3,0))),T175*(1+INDEX(Response_Table!$E$4:$E$21,MATCH($F175&amp;"|high",Response_Table!$A$4:$A$21,0))*$R175*INDEX(Parameters!$X$4:$AA$4,1,MATCH($E175,Parameters!$X$3:$AA$3,0))))*(1-Inputs_General!$C$22*Parameters!$F$4))</f>
        <v>70.1968349510748</v>
      </c>
      <c r="W175" s="44" t="n">
        <f aca="false">MIN(100,MAX(T175*(1+INDEX(Response_Table!$E$4:$E$21,MATCH($F175&amp;"|low",Response_Table!$A$4:$A$21,0))*$R175*INDEX(Parameters!$X$4:$AA$4,1,MATCH($E175,Parameters!$X$3:$AA$3,0))),T175*(1+INDEX(Response_Table!$E$4:$E$21,MATCH($F175&amp;"|high",Response_Table!$A$4:$A$21,0))*$R175*INDEX(Parameters!$X$4:$AA$4,1,MATCH($E175,Parameters!$X$3:$AA$3,0))))*(1+Inputs_General!$C$22*Parameters!$F$4))</f>
        <v>87.3626344207189</v>
      </c>
      <c r="X175" s="45" t="n">
        <f aca="false">IF(T175=0,0,U175/T175-1)</f>
        <v>-0.0888498966972993</v>
      </c>
      <c r="Y175" s="44" t="n">
        <f aca="false">Parameters!$E$5*IF($N175="V",Parameters!$I$5,IF($N175="F",Parameters!$J$5,Parameters!$K$5))*(1-Parameters!$L$5*$P175)*IF($D175="V1",Parameters!$M$5,IF($D175="V2",Parameters!$N$5,Parameters!$O$5))</f>
        <v>72</v>
      </c>
      <c r="Z175" s="44" t="n">
        <f aca="false">MIN(100,Y175*(1+INDEX(Response_Table!$F$4:$F$21,MATCH($F175&amp;"|mid",Response_Table!$A$4:$A$21,0))*$R175*INDEX(Parameters!$X$5:$AA$5,1,MATCH($E175,Parameters!$X$3:$AA$3,0))))</f>
        <v>52.1883986347957</v>
      </c>
      <c r="AA175" s="44" t="n">
        <f aca="false">MAX(0,MIN(Y175*(1+INDEX(Response_Table!$F$4:$F$21,MATCH($F175&amp;"|low",Response_Table!$A$4:$A$21,0))*$R175*INDEX(Parameters!$X$5:$AA$5,1,MATCH($E175,Parameters!$X$3:$AA$3,0))),Y175*(1+INDEX(Response_Table!$F$4:$F$21,MATCH($F175&amp;"|high",Response_Table!$A$4:$A$21,0))*$R175*INDEX(Parameters!$X$5:$AA$5,1,MATCH($E175,Parameters!$X$3:$AA$3,0))))*(1-Inputs_General!$C$22*Parameters!$F$5))</f>
        <v>41.7766252052624</v>
      </c>
      <c r="AB175" s="44" t="n">
        <f aca="false">MIN(100,MAX(Y175*(1+INDEX(Response_Table!$F$4:$F$21,MATCH($F175&amp;"|low",Response_Table!$A$4:$A$21,0))*$R175*INDEX(Parameters!$X$5:$AA$5,1,MATCH($E175,Parameters!$X$3:$AA$3,0))),Y175*(1+INDEX(Response_Table!$F$4:$F$21,MATCH($F175&amp;"|high",Response_Table!$A$4:$A$21,0))*$R175*INDEX(Parameters!$X$5:$AA$5,1,MATCH($E175,Parameters!$X$3:$AA$3,0))))*(1+Inputs_General!$C$22*Parameters!$F$5))</f>
        <v>67.4088423430151</v>
      </c>
      <c r="AC175" s="45" t="n">
        <f aca="false">IF(Y175=0,0,Z175/Y175-1)</f>
        <v>-0.275161130072283</v>
      </c>
      <c r="AD175" s="44" t="n">
        <f aca="false">Parameters!$E$6*IF($N175="V",Parameters!$I$6,IF($N175="F",Parameters!$J$6,Parameters!$K$6))*(1-Parameters!$L$6*$P175)*IF($D175="V1",Parameters!$M$6,IF($D175="V2",Parameters!$N$6,Parameters!$O$6))</f>
        <v>19</v>
      </c>
      <c r="AE175" s="44" t="n">
        <f aca="false">AD175*(1+INDEX(Response_Table!$G$4:$G$21,MATCH($F175&amp;"|mid",Response_Table!$A$4:$A$21,0))*$R175*INDEX(Parameters!$X$6:$AA$6,1,MATCH($E175,Parameters!$X$3:$AA$3,0)))</f>
        <v>8.81590168479415</v>
      </c>
      <c r="AF175" s="44" t="n">
        <f aca="false">MAX(0,MIN(AD175*(1+INDEX(Response_Table!$G$4:$G$21,MATCH($F175&amp;"|low",Response_Table!$A$4:$A$21,0))*$R175*INDEX(Parameters!$X$6:$AA$6,1,MATCH($E175,Parameters!$X$3:$AA$3,0))),AD175*(1+INDEX(Response_Table!$G$4:$G$21,MATCH($F175&amp;"|high",Response_Table!$A$4:$A$21,0))*$R175*INDEX(Parameters!$X$6:$AA$6,1,MATCH($E175,Parameters!$X$3:$AA$3,0))))*(1-Inputs_General!$C$22*Parameters!$F$6))</f>
        <v>6.29998591086618</v>
      </c>
      <c r="AG175" s="44" t="n">
        <f aca="false">MAX(AD175*(1+INDEX(Response_Table!$G$4:$G$21,MATCH($F175&amp;"|low",Response_Table!$A$4:$A$21,0))*$R175*INDEX(Parameters!$X$6:$AA$6,1,MATCH($E175,Parameters!$X$3:$AA$3,0))),AD175*(1+INDEX(Response_Table!$G$4:$G$21,MATCH($F175&amp;"|high",Response_Table!$A$4:$A$21,0))*$R175*INDEX(Parameters!$X$6:$AA$6,1,MATCH($E175,Parameters!$X$3:$AA$3,0))))*(1+Inputs_General!$C$22*Parameters!$F$6)</f>
        <v>12.5182427903625</v>
      </c>
      <c r="AH175" s="45" t="n">
        <f aca="false">IF(AD175=0,0,AE175/AD175-1)</f>
        <v>-0.536005174484518</v>
      </c>
      <c r="AI175" s="46" t="n">
        <f aca="false">Parameters!$E$7*IF($N175="V",Parameters!$I$7,IF($N175="F",Parameters!$J$7,Parameters!$K$7))*(1-Parameters!$L$7*$P175)*IF($D175="V1",Parameters!$M$7,IF($D175="V2",Parameters!$N$7,Parameters!$O$7))*POWER($Q175/Inputs_General!$C$26,-Inputs_General!$C$25)</f>
        <v>0.464685683730118</v>
      </c>
      <c r="AJ175" s="46" t="n">
        <f aca="false">AI175*(1+INDEX(Response_Table!$H$4:$H$21,MATCH($F175&amp;"|mid",Response_Table!$A$4:$A$21,0))*$R175*INDEX(Parameters!$X$7:$AA$7,1,MATCH($E175,Parameters!$X$3:$AA$3,0)))</f>
        <v>0.283893436147021</v>
      </c>
      <c r="AK175" s="46" t="n">
        <f aca="false">MAX(0,MIN(AI175*(1+INDEX(Response_Table!$H$4:$H$21,MATCH($F175&amp;"|low",Response_Table!$A$4:$A$21,0))*$R175*INDEX(Parameters!$X$7:$AA$7,1,MATCH($E175,Parameters!$X$3:$AA$3,0))),AI175*(1+INDEX(Response_Table!$H$4:$H$21,MATCH($F175&amp;"|high",Response_Table!$A$4:$A$21,0))*$R175*INDEX(Parameters!$X$7:$AA$7,1,MATCH($E175,Parameters!$X$3:$AA$3,0))))*(1-Inputs_General!$C$22*Parameters!$F$7))</f>
        <v>0.181742416127299</v>
      </c>
      <c r="AL175" s="46" t="n">
        <f aca="false">MAX(AI175*(1+INDEX(Response_Table!$H$4:$H$21,MATCH($F175&amp;"|low",Response_Table!$A$4:$A$21,0))*$R175*INDEX(Parameters!$X$7:$AA$7,1,MATCH($E175,Parameters!$X$3:$AA$3,0))),AI175*(1+INDEX(Response_Table!$H$4:$H$21,MATCH($F175&amp;"|high",Response_Table!$A$4:$A$21,0))*$R175*INDEX(Parameters!$X$7:$AA$7,1,MATCH($E175,Parameters!$X$3:$AA$3,0))))*(1+Inputs_General!$C$22*Parameters!$F$7)</f>
        <v>0.415698006810297</v>
      </c>
      <c r="AM175" s="45" t="n">
        <f aca="false">IF(AI175=0,0,AJ175/AI175-1)</f>
        <v>-0.389063519521074</v>
      </c>
      <c r="AN175" s="43" t="n">
        <f aca="false">AI175*$Q175/Inputs_General!$C$13*1000</f>
        <v>4.38850387664553</v>
      </c>
      <c r="AO175" s="43" t="n">
        <f aca="false">AJ175*$Q175/Inputs_General!$C$13*1000*(1+Inputs_General!$C$21*$I175)</f>
        <v>2.9358013386977</v>
      </c>
      <c r="AP175" s="43" t="n">
        <f aca="false">AK175*$Q175/Inputs_General!$C$13*1000*(1+Inputs_General!$C$21*$H175)</f>
        <v>1.82794489225338</v>
      </c>
      <c r="AQ175" s="43" t="n">
        <f aca="false">AL175*$Q175/Inputs_General!$C$13*1000*(1+Inputs_General!$C$21*$J175)</f>
        <v>4.41659583145856</v>
      </c>
      <c r="AR175" s="45" t="n">
        <f aca="false">IF(AN175=0,0,AO175/AN175-1)</f>
        <v>-0.331024553875576</v>
      </c>
      <c r="AS175" s="42" t="n">
        <f aca="false">Parameters!$E$9*IF($N175="V",Parameters!$I$9,IF($N175="F",Parameters!$J$9,Parameters!$K$9))*(1-Parameters!$L$9*$P175)*IF($D175="V1",Parameters!$M$9,IF($D175="V2",Parameters!$N$9,Parameters!$O$9))</f>
        <v>285</v>
      </c>
      <c r="AT175" s="42" t="n">
        <f aca="false">AS175*(1+INDEX(Response_Table!$I$4:$I$21,MATCH($F175&amp;"|mid",Response_Table!$A$4:$A$21,0))*$R175*INDEX(Parameters!$X$9:$AA$9,1,MATCH($E175,Parameters!$X$3:$AA$3,0)))</f>
        <v>343.784117625715</v>
      </c>
      <c r="AU175" s="42" t="n">
        <f aca="false">MAX(0,MIN(AS175*(1+INDEX(Response_Table!$I$4:$I$21,MATCH($F175&amp;"|low",Response_Table!$A$4:$A$21,0))*$R175*INDEX(Parameters!$X$9:$AA$9,1,MATCH($E175,Parameters!$X$3:$AA$3,0))),AS175*(1+INDEX(Response_Table!$I$4:$I$21,MATCH($F175&amp;"|high",Response_Table!$A$4:$A$21,0))*$R175*INDEX(Parameters!$X$9:$AA$9,1,MATCH($E175,Parameters!$X$3:$AA$3,0))))*(1-Inputs_General!$C$22*Parameters!$F$9))</f>
        <v>300.715202647127</v>
      </c>
      <c r="AV175" s="42" t="n">
        <f aca="false">MAX(AS175*(1+INDEX(Response_Table!$I$4:$I$21,MATCH($F175&amp;"|low",Response_Table!$A$4:$A$21,0))*$R175*INDEX(Parameters!$X$9:$AA$9,1,MATCH($E175,Parameters!$X$3:$AA$3,0))),AS175*(1+INDEX(Response_Table!$I$4:$I$21,MATCH($F175&amp;"|high",Response_Table!$A$4:$A$21,0))*$R175*INDEX(Parameters!$X$9:$AA$9,1,MATCH($E175,Parameters!$X$3:$AA$3,0))))*(1+Inputs_General!$C$22*Parameters!$F$9)</f>
        <v>384.608036032929</v>
      </c>
      <c r="AW175" s="45" t="n">
        <f aca="false">IF(AS175=0,0,AT175/AS175-1)</f>
        <v>0.206260061844615</v>
      </c>
      <c r="AX175" s="43" t="n">
        <f aca="false">INDEX(Context!$AB$4:$AB$51,$K175)</f>
        <v>1.09384586130271</v>
      </c>
      <c r="AY175" s="43" t="n">
        <f aca="false">AX175*(1+INDEX(Response_Table!$J$4:$J$21,MATCH($F175&amp;"|mid",Response_Table!$A$4:$A$21,0))*$R175*INDEX(Parameters!$X$10:$AA$10,1,MATCH($E175,Parameters!$X$3:$AA$3,0)))</f>
        <v>0.927820189935952</v>
      </c>
      <c r="AZ175" s="43" t="n">
        <f aca="false">MAX(0,MIN(AX175*(1+INDEX(Response_Table!$J$4:$J$21,MATCH($F175&amp;"|low",Response_Table!$A$4:$A$21,0))*$R175*INDEX(Parameters!$X$10:$AA$10,1,MATCH($E175,Parameters!$X$3:$AA$3,0))),AX175*(1+INDEX(Response_Table!$J$4:$J$21,MATCH($F175&amp;"|high",Response_Table!$A$4:$A$21,0))*$R175*INDEX(Parameters!$X$10:$AA$10,1,MATCH($E175,Parameters!$X$3:$AA$3,0))))*(1-Inputs_General!$C$22*Parameters!$F$10))</f>
        <v>0.722888618824595</v>
      </c>
      <c r="BA175" s="43" t="n">
        <f aca="false">MAX(AX175*(1+INDEX(Response_Table!$J$4:$J$21,MATCH($F175&amp;"|low",Response_Table!$A$4:$A$21,0))*$R175*INDEX(Parameters!$X$10:$AA$10,1,MATCH($E175,Parameters!$X$3:$AA$3,0))),AX175*(1+INDEX(Response_Table!$J$4:$J$21,MATCH($F175&amp;"|high",Response_Table!$A$4:$A$21,0))*$R175*INDEX(Parameters!$X$10:$AA$10,1,MATCH($E175,Parameters!$X$3:$AA$3,0))))*(1+Inputs_General!$C$22*Parameters!$F$10)</f>
        <v>1.15483341148439</v>
      </c>
      <c r="BB175" s="45" t="n">
        <f aca="false">IF(AX175=0,0,AY175/AX175-1)</f>
        <v>-0.151781596695011</v>
      </c>
      <c r="BC175" s="46" t="n">
        <f aca="false">Parameters!$E$11*IF($N175="V",Parameters!$I$11,IF($N175="F",Parameters!$J$11,Parameters!$K$11))*(1-Parameters!$L$11*$P175)*IF($D175="V1",Parameters!$M$11,IF($D175="V2",Parameters!$N$11,Parameters!$O$11))</f>
        <v>1.1875</v>
      </c>
      <c r="BD175" s="46" t="n">
        <f aca="false">BC175*(1+INDEX(Response_Table!$K$4:$K$21,MATCH($F175&amp;"|mid",Response_Table!$A$4:$A$21,0))*$R175*INDEX(Parameters!$X$11:$AA$11,1,MATCH($E175,Parameters!$X$3:$AA$3,0)))</f>
        <v>0.888805523542861</v>
      </c>
      <c r="BE175" s="46" t="n">
        <f aca="false">MAX(0,MIN(BC175*(1+INDEX(Response_Table!$K$4:$K$21,MATCH($F175&amp;"|low",Response_Table!$A$4:$A$21,0))*$R175*INDEX(Parameters!$X$11:$AA$11,1,MATCH($E175,Parameters!$X$3:$AA$3,0))),BC175*(1+INDEX(Response_Table!$K$4:$K$21,MATCH($F175&amp;"|high",Response_Table!$A$4:$A$21,0))*$R175*INDEX(Parameters!$X$11:$AA$11,1,MATCH($E175,Parameters!$X$3:$AA$3,0))))*(1-Inputs_General!$C$22*Parameters!$F$11))</f>
        <v>0.709072249579934</v>
      </c>
      <c r="BF175" s="46" t="n">
        <f aca="false">MAX(BC175*(1+INDEX(Response_Table!$K$4:$K$21,MATCH($F175&amp;"|low",Response_Table!$A$4:$A$21,0))*$R175*INDEX(Parameters!$X$11:$AA$11,1,MATCH($E175,Parameters!$X$3:$AA$3,0))),BC175*(1+INDEX(Response_Table!$K$4:$K$21,MATCH($F175&amp;"|high",Response_Table!$A$4:$A$21,0))*$R175*INDEX(Parameters!$X$11:$AA$11,1,MATCH($E175,Parameters!$X$3:$AA$3,0))))*(1+Inputs_General!$C$22*Parameters!$F$11)</f>
        <v>1.10361462460822</v>
      </c>
      <c r="BG175" s="45" t="n">
        <f aca="false">IF(BC175=0,0,BD175/BC175-1)</f>
        <v>-0.251532190700749</v>
      </c>
      <c r="BH175" s="46" t="n">
        <f aca="false">Parameters!$E$12*IF($N175="V",Parameters!$I$12,IF($N175="F",Parameters!$J$12,Parameters!$K$12))*(1-Parameters!$L$12*$P175)*IF($D175="V1",Parameters!$M$12,IF($D175="V2",Parameters!$N$12,Parameters!$O$12))</f>
        <v>0.4275</v>
      </c>
      <c r="BI175" s="46" t="n">
        <f aca="false">BH175*(1+INDEX(Response_Table!$L$4:$L$21,MATCH($F175&amp;"|mid",Response_Table!$A$4:$A$21,0))*$R175*INDEX(Parameters!$X$12:$AA$12,1,MATCH($E175,Parameters!$X$3:$AA$3,0)))</f>
        <v>0.339539846127507</v>
      </c>
      <c r="BJ175" s="46" t="n">
        <f aca="false">MAX(0,MIN(BH175*(1+INDEX(Response_Table!$L$4:$L$21,MATCH($F175&amp;"|low",Response_Table!$A$4:$A$21,0))*$R175*INDEX(Parameters!$X$12:$AA$12,1,MATCH($E175,Parameters!$X$3:$AA$3,0))),BH175*(1+INDEX(Response_Table!$L$4:$L$21,MATCH($F175&amp;"|high",Response_Table!$A$4:$A$21,0))*$R175*INDEX(Parameters!$X$12:$AA$12,1,MATCH($E175,Parameters!$X$3:$AA$3,0))))*(1-Inputs_General!$C$22*Parameters!$F$12))</f>
        <v>0.26247922474299</v>
      </c>
      <c r="BK175" s="46" t="n">
        <f aca="false">MAX(BH175*(1+INDEX(Response_Table!$L$4:$L$21,MATCH($F175&amp;"|low",Response_Table!$A$4:$A$21,0))*$R175*INDEX(Parameters!$X$12:$AA$12,1,MATCH($E175,Parameters!$X$3:$AA$3,0))),BH175*(1+INDEX(Response_Table!$L$4:$L$21,MATCH($F175&amp;"|high",Response_Table!$A$4:$A$21,0))*$R175*INDEX(Parameters!$X$12:$AA$12,1,MATCH($E175,Parameters!$X$3:$AA$3,0))))*(1+Inputs_General!$C$22*Parameters!$F$12)</f>
        <v>0.428024690319199</v>
      </c>
      <c r="BL175" s="45" t="n">
        <f aca="false">IF(BH175=0,0,BI175/BH175-1)</f>
        <v>-0.205754745900568</v>
      </c>
      <c r="BM175" s="46" t="n">
        <f aca="false">Parameters!$E$13*IF($N175="V",Parameters!$I$13,IF($N175="F",Parameters!$J$13,Parameters!$K$13))*(1-Parameters!$L$13*$P175)*IF($D175="V1",Parameters!$M$13,IF($D175="V2",Parameters!$N$13,Parameters!$O$13))</f>
        <v>0.285</v>
      </c>
      <c r="BN175" s="46" t="n">
        <f aca="false">BM175*(1+INDEX(Response_Table!$M$4:$M$21,MATCH($F175&amp;"|mid",Response_Table!$A$4:$A$21,0))*$R175*INDEX(Parameters!$X$13:$AA$13,1,MATCH($E175,Parameters!$X$3:$AA$3,0)))</f>
        <v>0.245974804048153</v>
      </c>
      <c r="BO175" s="46" t="n">
        <f aca="false">MAX(0,MIN(BM175*(1+INDEX(Response_Table!$M$4:$M$21,MATCH($F175&amp;"|low",Response_Table!$A$4:$A$21,0))*$R175*INDEX(Parameters!$X$13:$AA$13,1,MATCH($E175,Parameters!$X$3:$AA$3,0))),BM175*(1+INDEX(Response_Table!$M$4:$M$21,MATCH($F175&amp;"|high",Response_Table!$A$4:$A$21,0))*$R175*INDEX(Parameters!$X$13:$AA$13,1,MATCH($E175,Parameters!$X$3:$AA$3,0))))*(1-Inputs_General!$C$22*Parameters!$F$13))</f>
        <v>0.190798686339391</v>
      </c>
      <c r="BP175" s="46" t="n">
        <f aca="false">MAX(BM175*(1+INDEX(Response_Table!$M$4:$M$21,MATCH($F175&amp;"|low",Response_Table!$A$4:$A$21,0))*$R175*INDEX(Parameters!$X$13:$AA$13,1,MATCH($E175,Parameters!$X$3:$AA$3,0))),BM175*(1+INDEX(Response_Table!$M$4:$M$21,MATCH($F175&amp;"|high",Response_Table!$A$4:$A$21,0))*$R175*INDEX(Parameters!$X$13:$AA$13,1,MATCH($E175,Parameters!$X$3:$AA$3,0))))*(1+Inputs_General!$C$22*Parameters!$F$13)</f>
        <v>0.310450316490952</v>
      </c>
      <c r="BQ175" s="45" t="n">
        <f aca="false">IF(BM175=0,0,BN175/BM175-1)</f>
        <v>-0.136930512111743</v>
      </c>
      <c r="BR175" s="44" t="n">
        <f aca="false">Parameters!$E$14*IF($N175="V",Parameters!$I$14,IF($N175="F",Parameters!$J$14,Parameters!$K$14))*(1-Parameters!$L$14*$P175)*IF($D175="V1",Parameters!$M$14,IF($D175="V2",Parameters!$N$14,Parameters!$O$14))*INDEX(Context!$AC$4:$AC$51,$K175)</f>
        <v>19.8</v>
      </c>
      <c r="BS175" s="44" t="n">
        <f aca="false">BR175*(1+INDEX(Response_Table!$N$4:$N$21,MATCH($F175&amp;"|mid",Response_Table!$A$4:$A$21,0))*$R175*INDEX(Parameters!$X$14:$AA$14,1,MATCH($E175,Parameters!$X$3:$AA$3,0)))</f>
        <v>24.2443025114523</v>
      </c>
      <c r="BT175" s="44" t="n">
        <f aca="false">MAX(0,MIN(BR175*(1+INDEX(Response_Table!$N$4:$N$21,MATCH($F175&amp;"|low",Response_Table!$A$4:$A$21,0))*$R175*INDEX(Parameters!$X$14:$AA$14,1,MATCH($E175,Parameters!$X$3:$AA$3,0))),BR175*(1+INDEX(Response_Table!$N$4:$N$21,MATCH($F175&amp;"|high",Response_Table!$A$4:$A$21,0))*$R175*INDEX(Parameters!$X$14:$AA$14,1,MATCH($E175,Parameters!$X$3:$AA$3,0))))*(1-Inputs_General!$C$22*Parameters!$F$14))</f>
        <v>11.8210895993597</v>
      </c>
      <c r="BU175" s="44" t="n">
        <f aca="false">MAX(BR175*(1+INDEX(Response_Table!$N$4:$N$21,MATCH($F175&amp;"|low",Response_Table!$A$4:$A$21,0))*$R175*INDEX(Parameters!$X$14:$AA$14,1,MATCH($E175,Parameters!$X$3:$AA$3,0))),BR175*(1+INDEX(Response_Table!$N$4:$N$21,MATCH($F175&amp;"|high",Response_Table!$A$4:$A$21,0))*$R175*INDEX(Parameters!$X$14:$AA$14,1,MATCH($E175,Parameters!$X$3:$AA$3,0))))*(1+Inputs_General!$C$22*Parameters!$F$14)</f>
        <v>37.1524068614169</v>
      </c>
      <c r="BV175" s="45" t="n">
        <f aca="false">IF(BR175=0,0,BS175/BR175-1)</f>
        <v>0.22445972280062</v>
      </c>
      <c r="BW175" s="43" t="n">
        <f aca="false">Parameters!$E$15*IF($N175="V",Parameters!$I$15,IF($N175="F",Parameters!$J$15,Parameters!$K$15))*(1-Parameters!$L$15*$P175)*IF($D175="V1",Parameters!$M$15,IF($D175="V2",Parameters!$N$15,Parameters!$O$15))</f>
        <v>11.664</v>
      </c>
      <c r="BX175" s="43" t="n">
        <f aca="false">BW175*(1+INDEX(Response_Table!$O$4:$O$21,MATCH($F175&amp;"|mid",Response_Table!$A$4:$A$21,0))*$R175*INDEX(Parameters!$X$15:$AA$15,1,MATCH($E175,Parameters!$X$3:$AA$3,0)))</f>
        <v>11.0094754483134</v>
      </c>
      <c r="BY175" s="43" t="n">
        <f aca="false">MAX(0,MIN(BW175*(1+INDEX(Response_Table!$O$4:$O$21,MATCH($F175&amp;"|low",Response_Table!$A$4:$A$21,0))*$R175*INDEX(Parameters!$X$15:$AA$15,1,MATCH($E175,Parameters!$X$3:$AA$3,0))),BW175*(1+INDEX(Response_Table!$O$4:$O$21,MATCH($F175&amp;"|high",Response_Table!$A$4:$A$21,0))*$R175*INDEX(Parameters!$X$15:$AA$15,1,MATCH($E175,Parameters!$X$3:$AA$3,0))))*(1-Inputs_General!$C$22*Parameters!$F$15))</f>
        <v>8.76152968000143</v>
      </c>
      <c r="BZ175" s="43" t="n">
        <f aca="false">MAX(BW175*(1+INDEX(Response_Table!$O$4:$O$21,MATCH($F175&amp;"|low",Response_Table!$A$4:$A$21,0))*$R175*INDEX(Parameters!$X$15:$AA$15,1,MATCH($E175,Parameters!$X$3:$AA$3,0))),BW175*(1+INDEX(Response_Table!$O$4:$O$21,MATCH($F175&amp;"|high",Response_Table!$A$4:$A$21,0))*$R175*INDEX(Parameters!$X$15:$AA$15,1,MATCH($E175,Parameters!$X$3:$AA$3,0))))*(1+Inputs_General!$C$22*Parameters!$F$15)</f>
        <v>13.3424305530355</v>
      </c>
      <c r="CA175" s="45" t="n">
        <f aca="false">IF(BW175=0,0,BX175/BW175-1)</f>
        <v>-0.0561149307001549</v>
      </c>
      <c r="CB175" s="46" t="n">
        <f aca="false">BD175+BI175</f>
        <v>1.22834536967037</v>
      </c>
      <c r="CC175" s="43" t="n">
        <f aca="false">BD175/BI175</f>
        <v>2.61767663995786</v>
      </c>
      <c r="CD175" s="46" t="n">
        <f aca="false">BN175/CB175</f>
        <v>0.200248895890056</v>
      </c>
      <c r="CE175" s="43" t="n">
        <f aca="false">AE175/AO175</f>
        <v>3.00289449718175</v>
      </c>
      <c r="CF175" s="44" t="n">
        <f aca="false">AE175/AJ175</f>
        <v>31.0535594075117</v>
      </c>
      <c r="CG175" s="44" t="n">
        <f aca="false">INDEX(Context!$V$4:$V$51,$K175)</f>
        <v>22.6257142857143</v>
      </c>
      <c r="CH175" s="44" t="n">
        <f aca="false">INDEX(Context!$Y$4:$Y$51,$K175)</f>
        <v>21.3177449518561</v>
      </c>
      <c r="CI175" s="44" t="n">
        <f aca="false">INDEX(Context!$Z$4:$Z$51,$K175)</f>
        <v>26.6257142857143</v>
      </c>
      <c r="CJ175" s="43" t="n">
        <f aca="false">INDEX(Context!$AA$4:$AA$51,$K175)</f>
        <v>0.12</v>
      </c>
      <c r="CK175" s="43" t="n">
        <f aca="false">MAX(0,MIN(1,1-(1-CJ175)*AO175/AN175))</f>
        <v>0.411301607410507</v>
      </c>
      <c r="CL175" s="44" t="n">
        <f aca="false">CH175+CK175*(CI175-CH175)</f>
        <v>23.5009212709576</v>
      </c>
      <c r="CM175" s="44" t="n">
        <f aca="false">CH175+MAX(0,MIN(1,1-(1-CJ175)*AQ175/AN175))*(CI175-CH175)</f>
        <v>21.9248009026353</v>
      </c>
      <c r="CN175" s="44" t="n">
        <f aca="false">CH175+MAX(0,MIN(1,1-(1-CJ175)*AP175/AN175))*(CI175-CH175)</f>
        <v>24.6800957742086</v>
      </c>
      <c r="CO175" s="44" t="n">
        <f aca="false">CL175-CG175</f>
        <v>0.875206985243334</v>
      </c>
      <c r="CP175" s="44" t="n">
        <f aca="false">CL175-(CH175+CJ175*(CI175-CH175))</f>
        <v>1.54621999903858</v>
      </c>
      <c r="CQ175" s="46" t="n">
        <f aca="false">CL175/CG175</f>
        <v>1.03868196045399</v>
      </c>
      <c r="CR175" s="43" t="n">
        <f aca="false">IF(CL175-CH175&lt;=0,"n/a",(CI175-CL175)/(CL175-CH175))</f>
        <v>1.43130583976039</v>
      </c>
      <c r="CS175" s="43" t="n">
        <f aca="false">IF(CI175-CL175&lt;=0,"n/a",(CL175-CH175)/(CI175-CL175))</f>
        <v>0.698662698230456</v>
      </c>
      <c r="CT175" s="43" t="n">
        <f aca="false">Inputs_General!$C$23+Inputs_General!$C$24*$I175</f>
        <v>1.36</v>
      </c>
      <c r="CU175" s="44" t="n">
        <f aca="false">3.29*CT175</f>
        <v>4.4744</v>
      </c>
    </row>
    <row r="176" customFormat="false" ht="15" hidden="false" customHeight="false" outlineLevel="0" collapsed="false">
      <c r="A176" s="9" t="str">
        <f aca="false">B176&amp;"|"&amp;E176&amp;"|"&amp;F176</f>
        <v>D3V2|11/02/2026|Very high</v>
      </c>
      <c r="B176" s="7" t="s">
        <v>350</v>
      </c>
      <c r="C176" s="9" t="s">
        <v>131</v>
      </c>
      <c r="D176" s="9" t="s">
        <v>146</v>
      </c>
      <c r="E176" s="9" t="s">
        <v>158</v>
      </c>
      <c r="F176" s="7" t="s">
        <v>285</v>
      </c>
      <c r="G176" s="9" t="s">
        <v>286</v>
      </c>
      <c r="H176" s="41" t="n">
        <f aca="false">INDEX(Severity_Classes!$C$4:$C$9,MATCH(F176,Severity_Classes!$A$4:$A$9,0))</f>
        <v>0.51</v>
      </c>
      <c r="I176" s="41" t="n">
        <f aca="false">INDEX(Severity_Classes!$D$4:$D$9,MATCH(F176,Severity_Classes!$A$4:$A$9,0))</f>
        <v>0.65</v>
      </c>
      <c r="J176" s="41" t="n">
        <f aca="false">INDEX(Severity_Classes!$E$4:$E$9,MATCH(F176,Severity_Classes!$A$4:$A$9,0))</f>
        <v>0.85</v>
      </c>
      <c r="K176" s="42" t="n">
        <f aca="false">MATCH(B176&amp;"|"&amp;E176,Context!$A$4:$A$51,0)</f>
        <v>29</v>
      </c>
      <c r="L176" s="42" t="n">
        <f aca="false">INDEX(Context!$H$4:$H$51,K176)</f>
        <v>46</v>
      </c>
      <c r="M176" s="42" t="n">
        <f aca="false">INDEX(Context!$I$4:$I$51,K176)</f>
        <v>6</v>
      </c>
      <c r="N176" s="9" t="str">
        <f aca="false">INDEX(Context!$L$4:$L$51,K176)</f>
        <v>V</v>
      </c>
      <c r="O176" s="9" t="str">
        <f aca="false">INDEX(Context!$M$4:$M$51,K176)</f>
        <v>3rd fully expanded leaf from top</v>
      </c>
      <c r="P176" s="43" t="n">
        <f aca="false">INDEX(Context!$R$4:$R$51,K176)</f>
        <v>0</v>
      </c>
      <c r="Q176" s="43" t="n">
        <f aca="false">INDEX(Context!$U$4:$U$51,K176)</f>
        <v>0.937791824040773</v>
      </c>
      <c r="R176" s="43" t="n">
        <f aca="false">INDEX(Context!$AD$4:$AD$51,K176)</f>
        <v>1.1</v>
      </c>
      <c r="S176" s="9" t="str">
        <f aca="false">INDEX(Context!$AI$4:$AN$51,K176,MATCH(F176,Severity_Classes!$A$4:$A$9,0))</f>
        <v>Unlikely (only via pre-inoculation natural infection)</v>
      </c>
      <c r="T176" s="44" t="n">
        <f aca="false">Parameters!$E$4*IF($N176="V",Parameters!$I$4,IF($N176="F",Parameters!$J$4,Parameters!$K$4))*(1-Parameters!$L$4*$P176)*IF($D176="V1",Parameters!$M$4,IF($D176="V2",Parameters!$N$4,Parameters!$O$4))</f>
        <v>86</v>
      </c>
      <c r="U176" s="44" t="n">
        <f aca="false">MIN(100,T176*(1+INDEX(Response_Table!$E$4:$E$21,MATCH($F176&amp;"|mid",Response_Table!$A$4:$A$21,0))*$R176*INDEX(Parameters!$X$4:$AA$4,1,MATCH($E176,Parameters!$X$3:$AA$3,0))))</f>
        <v>72.9446771246238</v>
      </c>
      <c r="V176" s="44" t="n">
        <f aca="false">MAX(0,MIN(T176*(1+INDEX(Response_Table!$E$4:$E$21,MATCH($F176&amp;"|low",Response_Table!$A$4:$A$21,0))*$R176*INDEX(Parameters!$X$4:$AA$4,1,MATCH($E176,Parameters!$X$3:$AA$3,0))),T176*(1+INDEX(Response_Table!$E$4:$E$21,MATCH($F176&amp;"|high",Response_Table!$A$4:$A$21,0))*$R176*INDEX(Parameters!$X$4:$AA$4,1,MATCH($E176,Parameters!$X$3:$AA$3,0))))*(1-Inputs_General!$C$22*Parameters!$F$4))</f>
        <v>67.2982398069725</v>
      </c>
      <c r="W176" s="44" t="n">
        <f aca="false">MIN(100,MAX(T176*(1+INDEX(Response_Table!$E$4:$E$21,MATCH($F176&amp;"|low",Response_Table!$A$4:$A$21,0))*$R176*INDEX(Parameters!$X$4:$AA$4,1,MATCH($E176,Parameters!$X$3:$AA$3,0))),T176*(1+INDEX(Response_Table!$E$4:$E$21,MATCH($F176&amp;"|high",Response_Table!$A$4:$A$21,0))*$R176*INDEX(Parameters!$X$4:$AA$4,1,MATCH($E176,Parameters!$X$3:$AA$3,0))))*(1+Inputs_General!$C$22*Parameters!$F$4))</f>
        <v>79.8607565196763</v>
      </c>
      <c r="X176" s="45" t="n">
        <f aca="false">IF(T176=0,0,U176/T176-1)</f>
        <v>-0.151806079946235</v>
      </c>
      <c r="Y176" s="44" t="n">
        <f aca="false">Parameters!$E$5*IF($N176="V",Parameters!$I$5,IF($N176="F",Parameters!$J$5,Parameters!$K$5))*(1-Parameters!$L$5*$P176)*IF($D176="V1",Parameters!$M$5,IF($D176="V2",Parameters!$N$5,Parameters!$O$5))</f>
        <v>72</v>
      </c>
      <c r="Z176" s="44" t="n">
        <f aca="false">MIN(100,Y176*(1+INDEX(Response_Table!$F$4:$F$21,MATCH($F176&amp;"|mid",Response_Table!$A$4:$A$21,0))*$R176*INDEX(Parameters!$X$5:$AA$5,1,MATCH($E176,Parameters!$X$3:$AA$3,0))))</f>
        <v>44.9894708664408</v>
      </c>
      <c r="AA176" s="44" t="n">
        <f aca="false">MAX(0,MIN(Y176*(1+INDEX(Response_Table!$F$4:$F$21,MATCH($F176&amp;"|low",Response_Table!$A$4:$A$21,0))*$R176*INDEX(Parameters!$X$5:$AA$5,1,MATCH($E176,Parameters!$X$3:$AA$3,0))),Y176*(1+INDEX(Response_Table!$F$4:$F$21,MATCH($F176&amp;"|high",Response_Table!$A$4:$A$21,0))*$R176*INDEX(Parameters!$X$5:$AA$5,1,MATCH($E176,Parameters!$X$3:$AA$3,0))))*(1-Inputs_General!$C$22*Parameters!$F$5))</f>
        <v>39.2679283314404</v>
      </c>
      <c r="AB176" s="44" t="n">
        <f aca="false">MIN(100,MAX(Y176*(1+INDEX(Response_Table!$F$4:$F$21,MATCH($F176&amp;"|low",Response_Table!$A$4:$A$21,0))*$R176*INDEX(Parameters!$X$5:$AA$5,1,MATCH($E176,Parameters!$X$3:$AA$3,0))),Y176*(1+INDEX(Response_Table!$F$4:$F$21,MATCH($F176&amp;"|high",Response_Table!$A$4:$A$21,0))*$R176*INDEX(Parameters!$X$5:$AA$5,1,MATCH($E176,Parameters!$X$3:$AA$3,0))))*(1+Inputs_General!$C$22*Parameters!$F$5))</f>
        <v>52.3669202679589</v>
      </c>
      <c r="AC176" s="45" t="n">
        <f aca="false">IF(Y176=0,0,Z176/Y176-1)</f>
        <v>-0.375146237966101</v>
      </c>
      <c r="AD176" s="44" t="n">
        <f aca="false">Parameters!$E$6*IF($N176="V",Parameters!$I$6,IF($N176="F",Parameters!$J$6,Parameters!$K$6))*(1-Parameters!$L$6*$P176)*IF($D176="V1",Parameters!$M$6,IF($D176="V2",Parameters!$N$6,Parameters!$O$6))</f>
        <v>19</v>
      </c>
      <c r="AE176" s="44" t="n">
        <f aca="false">AD176*(1+INDEX(Response_Table!$G$4:$G$21,MATCH($F176&amp;"|mid",Response_Table!$A$4:$A$21,0))*$R176*INDEX(Parameters!$X$6:$AA$6,1,MATCH($E176,Parameters!$X$3:$AA$3,0)))</f>
        <v>7.17815025372896</v>
      </c>
      <c r="AF176" s="44" t="n">
        <f aca="false">MAX(0,MIN(AD176*(1+INDEX(Response_Table!$G$4:$G$21,MATCH($F176&amp;"|low",Response_Table!$A$4:$A$21,0))*$R176*INDEX(Parameters!$X$6:$AA$6,1,MATCH($E176,Parameters!$X$3:$AA$3,0))),AD176*(1+INDEX(Response_Table!$G$4:$G$21,MATCH($F176&amp;"|high",Response_Table!$A$4:$A$21,0))*$R176*INDEX(Parameters!$X$6:$AA$6,1,MATCH($E176,Parameters!$X$3:$AA$3,0))))*(1-Inputs_General!$C$22*Parameters!$F$6))</f>
        <v>5.42387164139174</v>
      </c>
      <c r="AG176" s="44" t="n">
        <f aca="false">MAX(AD176*(1+INDEX(Response_Table!$G$4:$G$21,MATCH($F176&amp;"|low",Response_Table!$A$4:$A$21,0))*$R176*INDEX(Parameters!$X$6:$AA$6,1,MATCH($E176,Parameters!$X$3:$AA$3,0))),AD176*(1+INDEX(Response_Table!$G$4:$G$21,MATCH($F176&amp;"|high",Response_Table!$A$4:$A$21,0))*$R176*INDEX(Parameters!$X$6:$AA$6,1,MATCH($E176,Parameters!$X$3:$AA$3,0))))*(1+Inputs_General!$C$22*Parameters!$F$6)</f>
        <v>9.32733930551793</v>
      </c>
      <c r="AH176" s="45" t="n">
        <f aca="false">IF(AD176=0,0,AE176/AD176-1)</f>
        <v>-0.622202618224792</v>
      </c>
      <c r="AI176" s="46" t="n">
        <f aca="false">Parameters!$E$7*IF($N176="V",Parameters!$I$7,IF($N176="F",Parameters!$J$7,Parameters!$K$7))*(1-Parameters!$L$7*$P176)*IF($D176="V1",Parameters!$M$7,IF($D176="V2",Parameters!$N$7,Parameters!$O$7))*POWER($Q176/Inputs_General!$C$26,-Inputs_General!$C$25)</f>
        <v>0.464685683730118</v>
      </c>
      <c r="AJ176" s="46" t="n">
        <f aca="false">AI176*(1+INDEX(Response_Table!$H$4:$H$21,MATCH($F176&amp;"|mid",Response_Table!$A$4:$A$21,0))*$R176*INDEX(Parameters!$X$7:$AA$7,1,MATCH($E176,Parameters!$X$3:$AA$3,0)))</f>
        <v>0.236701950897336</v>
      </c>
      <c r="AK176" s="46" t="n">
        <f aca="false">MAX(0,MIN(AI176*(1+INDEX(Response_Table!$H$4:$H$21,MATCH($F176&amp;"|low",Response_Table!$A$4:$A$21,0))*$R176*INDEX(Parameters!$X$7:$AA$7,1,MATCH($E176,Parameters!$X$3:$AA$3,0))),AI176*(1+INDEX(Response_Table!$H$4:$H$21,MATCH($F176&amp;"|high",Response_Table!$A$4:$A$21,0))*$R176*INDEX(Parameters!$X$7:$AA$7,1,MATCH($E176,Parameters!$X$3:$AA$3,0))))*(1-Inputs_General!$C$22*Parameters!$F$7))</f>
        <v>0.154604311583672</v>
      </c>
      <c r="AL176" s="46" t="n">
        <f aca="false">MAX(AI176*(1+INDEX(Response_Table!$H$4:$H$21,MATCH($F176&amp;"|low",Response_Table!$A$4:$A$21,0))*$R176*INDEX(Parameters!$X$7:$AA$7,1,MATCH($E176,Parameters!$X$3:$AA$3,0))),AI176*(1+INDEX(Response_Table!$H$4:$H$21,MATCH($F176&amp;"|high",Response_Table!$A$4:$A$21,0))*$R176*INDEX(Parameters!$X$7:$AA$7,1,MATCH($E176,Parameters!$X$3:$AA$3,0))))*(1+Inputs_General!$C$22*Parameters!$F$7)</f>
        <v>0.332372789608898</v>
      </c>
      <c r="AM176" s="45" t="n">
        <f aca="false">IF(AI176=0,0,AJ176/AI176-1)</f>
        <v>-0.490619231052514</v>
      </c>
      <c r="AN176" s="43" t="n">
        <f aca="false">AI176*$Q176/Inputs_General!$C$13*1000</f>
        <v>4.38850387664553</v>
      </c>
      <c r="AO176" s="43" t="n">
        <f aca="false">AJ176*$Q176/Inputs_General!$C$13*1000*(1+Inputs_General!$C$21*$I176)</f>
        <v>2.59867514458711</v>
      </c>
      <c r="AP176" s="43" t="n">
        <f aca="false">AK176*$Q176/Inputs_General!$C$13*1000*(1+Inputs_General!$C$21*$H176)</f>
        <v>1.64624832259424</v>
      </c>
      <c r="AQ176" s="43" t="n">
        <f aca="false">AL176*$Q176/Inputs_General!$C$13*1000*(1+Inputs_General!$C$21*$J176)</f>
        <v>3.80596160737642</v>
      </c>
      <c r="AR176" s="45" t="n">
        <f aca="false">IF(AN176=0,0,AO176/AN176-1)</f>
        <v>-0.407844856098548</v>
      </c>
      <c r="AS176" s="42" t="n">
        <f aca="false">Parameters!$E$9*IF($N176="V",Parameters!$I$9,IF($N176="F",Parameters!$J$9,Parameters!$K$9))*(1-Parameters!$L$9*$P176)*IF($D176="V1",Parameters!$M$9,IF($D176="V2",Parameters!$N$9,Parameters!$O$9))</f>
        <v>285</v>
      </c>
      <c r="AT176" s="42" t="n">
        <f aca="false">AS176*(1+INDEX(Response_Table!$I$4:$I$21,MATCH($F176&amp;"|mid",Response_Table!$A$4:$A$21,0))*$R176*INDEX(Parameters!$X$9:$AA$9,1,MATCH($E176,Parameters!$X$3:$AA$3,0)))</f>
        <v>354.651655975154</v>
      </c>
      <c r="AU176" s="42" t="n">
        <f aca="false">MAX(0,MIN(AS176*(1+INDEX(Response_Table!$I$4:$I$21,MATCH($F176&amp;"|low",Response_Table!$A$4:$A$21,0))*$R176*INDEX(Parameters!$X$9:$AA$9,1,MATCH($E176,Parameters!$X$3:$AA$3,0))),AS176*(1+INDEX(Response_Table!$I$4:$I$21,MATCH($F176&amp;"|high",Response_Table!$A$4:$A$21,0))*$R176*INDEX(Parameters!$X$9:$AA$9,1,MATCH($E176,Parameters!$X$3:$AA$3,0))))*(1-Inputs_General!$C$22*Parameters!$F$9))</f>
        <v>315.866569445888</v>
      </c>
      <c r="AV176" s="42" t="n">
        <f aca="false">MAX(AS176*(1+INDEX(Response_Table!$I$4:$I$21,MATCH($F176&amp;"|low",Response_Table!$A$4:$A$21,0))*$R176*INDEX(Parameters!$X$9:$AA$9,1,MATCH($E176,Parameters!$X$3:$AA$3,0))),AS176*(1+INDEX(Response_Table!$I$4:$I$21,MATCH($F176&amp;"|high",Response_Table!$A$4:$A$21,0))*$R176*INDEX(Parameters!$X$9:$AA$9,1,MATCH($E176,Parameters!$X$3:$AA$3,0))))*(1+Inputs_General!$C$22*Parameters!$F$9)</f>
        <v>393.036846991285</v>
      </c>
      <c r="AW176" s="45" t="n">
        <f aca="false">IF(AS176=0,0,AT176/AS176-1)</f>
        <v>0.244391775351416</v>
      </c>
      <c r="AX176" s="43" t="n">
        <f aca="false">INDEX(Context!$AB$4:$AB$51,$K176)</f>
        <v>1.09384586130271</v>
      </c>
      <c r="AY176" s="43" t="n">
        <f aca="false">AX176*(1+INDEX(Response_Table!$J$4:$J$21,MATCH($F176&amp;"|mid",Response_Table!$A$4:$A$21,0))*$R176*INDEX(Parameters!$X$10:$AA$10,1,MATCH($E176,Parameters!$X$3:$AA$3,0)))</f>
        <v>0.876428288318948</v>
      </c>
      <c r="AZ176" s="43" t="n">
        <f aca="false">MAX(0,MIN(AX176*(1+INDEX(Response_Table!$J$4:$J$21,MATCH($F176&amp;"|low",Response_Table!$A$4:$A$21,0))*$R176*INDEX(Parameters!$X$10:$AA$10,1,MATCH($E176,Parameters!$X$3:$AA$3,0))),AX176*(1+INDEX(Response_Table!$J$4:$J$21,MATCH($F176&amp;"|high",Response_Table!$A$4:$A$21,0))*$R176*INDEX(Parameters!$X$10:$AA$10,1,MATCH($E176,Parameters!$X$3:$AA$3,0))))*(1-Inputs_General!$C$22*Parameters!$F$10))</f>
        <v>0.686586354673664</v>
      </c>
      <c r="BA176" s="43" t="n">
        <f aca="false">MAX(AX176*(1+INDEX(Response_Table!$J$4:$J$21,MATCH($F176&amp;"|low",Response_Table!$A$4:$A$21,0))*$R176*INDEX(Parameters!$X$10:$AA$10,1,MATCH($E176,Parameters!$X$3:$AA$3,0))),AX176*(1+INDEX(Response_Table!$J$4:$J$21,MATCH($F176&amp;"|high",Response_Table!$A$4:$A$21,0))*$R176*INDEX(Parameters!$X$10:$AA$10,1,MATCH($E176,Parameters!$X$3:$AA$3,0))))*(1+Inputs_General!$C$22*Parameters!$F$10)</f>
        <v>1.0761853739254</v>
      </c>
      <c r="BB176" s="45" t="n">
        <f aca="false">IF(AX176=0,0,AY176/AX176-1)</f>
        <v>-0.198764360386962</v>
      </c>
      <c r="BC176" s="46" t="n">
        <f aca="false">Parameters!$E$11*IF($N176="V",Parameters!$I$11,IF($N176="F",Parameters!$J$11,Parameters!$K$11))*(1-Parameters!$L$11*$P176)*IF($D176="V1",Parameters!$M$11,IF($D176="V2",Parameters!$N$11,Parameters!$O$11))</f>
        <v>1.1875</v>
      </c>
      <c r="BD176" s="46" t="n">
        <f aca="false">BC176*(1+INDEX(Response_Table!$K$4:$K$21,MATCH($F176&amp;"|mid",Response_Table!$A$4:$A$21,0))*$R176*INDEX(Parameters!$X$11:$AA$11,1,MATCH($E176,Parameters!$X$3:$AA$3,0)))</f>
        <v>0.816005529147429</v>
      </c>
      <c r="BE176" s="46" t="n">
        <f aca="false">MAX(0,MIN(BC176*(1+INDEX(Response_Table!$K$4:$K$21,MATCH($F176&amp;"|low",Response_Table!$A$4:$A$21,0))*$R176*INDEX(Parameters!$X$11:$AA$11,1,MATCH($E176,Parameters!$X$3:$AA$3,0))),BC176*(1+INDEX(Response_Table!$K$4:$K$21,MATCH($F176&amp;"|high",Response_Table!$A$4:$A$21,0))*$R176*INDEX(Parameters!$X$11:$AA$11,1,MATCH($E176,Parameters!$X$3:$AA$3,0))))*(1-Inputs_General!$C$22*Parameters!$F$11))</f>
        <v>0.66082589325739</v>
      </c>
      <c r="BF176" s="46" t="n">
        <f aca="false">MAX(BC176*(1+INDEX(Response_Table!$K$4:$K$21,MATCH($F176&amp;"|low",Response_Table!$A$4:$A$21,0))*$R176*INDEX(Parameters!$X$11:$AA$11,1,MATCH($E176,Parameters!$X$3:$AA$3,0))),BC176*(1+INDEX(Response_Table!$K$4:$K$21,MATCH($F176&amp;"|high",Response_Table!$A$4:$A$21,0))*$R176*INDEX(Parameters!$X$11:$AA$11,1,MATCH($E176,Parameters!$X$3:$AA$3,0))))*(1+Inputs_General!$C$22*Parameters!$F$11)</f>
        <v>0.985144626237494</v>
      </c>
      <c r="BG176" s="45" t="n">
        <f aca="false">IF(BC176=0,0,BD176/BC176-1)</f>
        <v>-0.312837449139007</v>
      </c>
      <c r="BH176" s="46" t="n">
        <f aca="false">Parameters!$E$12*IF($N176="V",Parameters!$I$12,IF($N176="F",Parameters!$J$12,Parameters!$K$12))*(1-Parameters!$L$12*$P176)*IF($D176="V1",Parameters!$M$12,IF($D176="V2",Parameters!$N$12,Parameters!$O$12))</f>
        <v>0.4275</v>
      </c>
      <c r="BI176" s="46" t="n">
        <f aca="false">BH176*(1+INDEX(Response_Table!$L$4:$L$21,MATCH($F176&amp;"|mid",Response_Table!$A$4:$A$21,0))*$R176*INDEX(Parameters!$X$12:$AA$12,1,MATCH($E176,Parameters!$X$3:$AA$3,0)))</f>
        <v>0.316579955094978</v>
      </c>
      <c r="BJ176" s="46" t="n">
        <f aca="false">MAX(0,MIN(BH176*(1+INDEX(Response_Table!$L$4:$L$21,MATCH($F176&amp;"|low",Response_Table!$A$4:$A$21,0))*$R176*INDEX(Parameters!$X$12:$AA$12,1,MATCH($E176,Parameters!$X$3:$AA$3,0))),BH176*(1+INDEX(Response_Table!$L$4:$L$21,MATCH($F176&amp;"|high",Response_Table!$A$4:$A$21,0))*$R176*INDEX(Parameters!$X$12:$AA$12,1,MATCH($E176,Parameters!$X$3:$AA$3,0))))*(1-Inputs_General!$C$22*Parameters!$F$12))</f>
        <v>0.247424463307107</v>
      </c>
      <c r="BK176" s="46" t="n">
        <f aca="false">MAX(BH176*(1+INDEX(Response_Table!$L$4:$L$21,MATCH($F176&amp;"|low",Response_Table!$A$4:$A$21,0))*$R176*INDEX(Parameters!$X$12:$AA$12,1,MATCH($E176,Parameters!$X$3:$AA$3,0))),BH176*(1+INDEX(Response_Table!$L$4:$L$21,MATCH($F176&amp;"|high",Response_Table!$A$4:$A$21,0))*$R176*INDEX(Parameters!$X$12:$AA$12,1,MATCH($E176,Parameters!$X$3:$AA$3,0))))*(1+Inputs_General!$C$22*Parameters!$F$12)</f>
        <v>0.390571969426514</v>
      </c>
      <c r="BL176" s="45" t="n">
        <f aca="false">IF(BH176=0,0,BI176/BH176-1)</f>
        <v>-0.25946209334508</v>
      </c>
      <c r="BM176" s="46" t="n">
        <f aca="false">Parameters!$E$13*IF($N176="V",Parameters!$I$13,IF($N176="F",Parameters!$J$13,Parameters!$K$13))*(1-Parameters!$L$13*$P176)*IF($D176="V1",Parameters!$M$13,IF($D176="V2",Parameters!$N$13,Parameters!$O$13))</f>
        <v>0.285</v>
      </c>
      <c r="BN176" s="46" t="n">
        <f aca="false">BM176*(1+INDEX(Response_Table!$M$4:$M$21,MATCH($F176&amp;"|mid",Response_Table!$A$4:$A$21,0))*$R176*INDEX(Parameters!$X$13:$AA$13,1,MATCH($E176,Parameters!$X$3:$AA$3,0)))</f>
        <v>0.231636975213411</v>
      </c>
      <c r="BO176" s="46" t="n">
        <f aca="false">MAX(0,MIN(BM176*(1+INDEX(Response_Table!$M$4:$M$21,MATCH($F176&amp;"|low",Response_Table!$A$4:$A$21,0))*$R176*INDEX(Parameters!$X$13:$AA$13,1,MATCH($E176,Parameters!$X$3:$AA$3,0))),BM176*(1+INDEX(Response_Table!$M$4:$M$21,MATCH($F176&amp;"|high",Response_Table!$A$4:$A$21,0))*$R176*INDEX(Parameters!$X$13:$AA$13,1,MATCH($E176,Parameters!$X$3:$AA$3,0))))*(1-Inputs_General!$C$22*Parameters!$F$13))</f>
        <v>0.182406430100928</v>
      </c>
      <c r="BP176" s="46" t="n">
        <f aca="false">MAX(BM176*(1+INDEX(Response_Table!$M$4:$M$21,MATCH($F176&amp;"|low",Response_Table!$A$4:$A$21,0))*$R176*INDEX(Parameters!$X$13:$AA$13,1,MATCH($E176,Parameters!$X$3:$AA$3,0))),BM176*(1+INDEX(Response_Table!$M$4:$M$21,MATCH($F176&amp;"|high",Response_Table!$A$4:$A$21,0))*$R176*INDEX(Parameters!$X$13:$AA$13,1,MATCH($E176,Parameters!$X$3:$AA$3,0))))*(1+Inputs_General!$C$22*Parameters!$F$13)</f>
        <v>0.284025252649468</v>
      </c>
      <c r="BQ176" s="45" t="n">
        <f aca="false">IF(BM176=0,0,BN176/BM176-1)</f>
        <v>-0.187238683461716</v>
      </c>
      <c r="BR176" s="44" t="n">
        <f aca="false">Parameters!$E$14*IF($N176="V",Parameters!$I$14,IF($N176="F",Parameters!$J$14,Parameters!$K$14))*(1-Parameters!$L$14*$P176)*IF($D176="V1",Parameters!$M$14,IF($D176="V2",Parameters!$N$14,Parameters!$O$14))*INDEX(Context!$AC$4:$AC$51,$K176)</f>
        <v>19.8</v>
      </c>
      <c r="BS176" s="44" t="n">
        <f aca="false">BR176*(1+INDEX(Response_Table!$N$4:$N$21,MATCH($F176&amp;"|mid",Response_Table!$A$4:$A$21,0))*$R176*INDEX(Parameters!$X$14:$AA$14,1,MATCH($E176,Parameters!$X$3:$AA$3,0)))</f>
        <v>25.4043812162537</v>
      </c>
      <c r="BT176" s="44" t="n">
        <f aca="false">MAX(0,MIN(BR176*(1+INDEX(Response_Table!$N$4:$N$21,MATCH($F176&amp;"|low",Response_Table!$A$4:$A$21,0))*$R176*INDEX(Parameters!$X$14:$AA$14,1,MATCH($E176,Parameters!$X$3:$AA$3,0))),BR176*(1+INDEX(Response_Table!$N$4:$N$21,MATCH($F176&amp;"|high",Response_Table!$A$4:$A$21,0))*$R176*INDEX(Parameters!$X$14:$AA$14,1,MATCH($E176,Parameters!$X$3:$AA$3,0))))*(1-Inputs_General!$C$22*Parameters!$F$14))</f>
        <v>12.621552488552</v>
      </c>
      <c r="BU176" s="44" t="n">
        <f aca="false">MAX(BR176*(1+INDEX(Response_Table!$N$4:$N$21,MATCH($F176&amp;"|low",Response_Table!$A$4:$A$21,0))*$R176*INDEX(Parameters!$X$14:$AA$14,1,MATCH($E176,Parameters!$X$3:$AA$3,0))),BR176*(1+INDEX(Response_Table!$N$4:$N$21,MATCH($F176&amp;"|high",Response_Table!$A$4:$A$21,0))*$R176*INDEX(Parameters!$X$14:$AA$14,1,MATCH($E176,Parameters!$X$3:$AA$3,0))))*(1+Inputs_General!$C$22*Parameters!$F$14)</f>
        <v>38.5678667979594</v>
      </c>
      <c r="BV176" s="45" t="n">
        <f aca="false">IF(BR176=0,0,BS176/BR176-1)</f>
        <v>0.283049556376451</v>
      </c>
      <c r="BW176" s="43" t="n">
        <f aca="false">Parameters!$E$15*IF($N176="V",Parameters!$I$15,IF($N176="F",Parameters!$J$15,Parameters!$K$15))*(1-Parameters!$L$15*$P176)*IF($D176="V1",Parameters!$M$15,IF($D176="V2",Parameters!$N$15,Parameters!$O$15))</f>
        <v>11.664</v>
      </c>
      <c r="BX176" s="43" t="n">
        <f aca="false">BW176*(1+INDEX(Response_Table!$O$4:$O$21,MATCH($F176&amp;"|mid",Response_Table!$A$4:$A$21,0))*$R176*INDEX(Parameters!$X$15:$AA$15,1,MATCH($E176,Parameters!$X$3:$AA$3,0)))</f>
        <v>10.8386274936063</v>
      </c>
      <c r="BY176" s="43" t="n">
        <f aca="false">MAX(0,MIN(BW176*(1+INDEX(Response_Table!$O$4:$O$21,MATCH($F176&amp;"|low",Response_Table!$A$4:$A$21,0))*$R176*INDEX(Parameters!$X$15:$AA$15,1,MATCH($E176,Parameters!$X$3:$AA$3,0))),BW176*(1+INDEX(Response_Table!$O$4:$O$21,MATCH($F176&amp;"|high",Response_Table!$A$4:$A$21,0))*$R176*INDEX(Parameters!$X$15:$AA$15,1,MATCH($E176,Parameters!$X$3:$AA$3,0))))*(1-Inputs_General!$C$22*Parameters!$F$15))</f>
        <v>8.64950496715413</v>
      </c>
      <c r="BZ176" s="43" t="n">
        <f aca="false">MAX(BW176*(1+INDEX(Response_Table!$O$4:$O$21,MATCH($F176&amp;"|low",Response_Table!$A$4:$A$21,0))*$R176*INDEX(Parameters!$X$15:$AA$15,1,MATCH($E176,Parameters!$X$3:$AA$3,0))),BW176*(1+INDEX(Response_Table!$O$4:$O$21,MATCH($F176&amp;"|high",Response_Table!$A$4:$A$21,0))*$R176*INDEX(Parameters!$X$15:$AA$15,1,MATCH($E176,Parameters!$X$3:$AA$3,0))))*(1+Inputs_General!$C$22*Parameters!$F$15)</f>
        <v>13.0637393016848</v>
      </c>
      <c r="CA176" s="45" t="n">
        <f aca="false">IF(BW176=0,0,BX176/BW176-1)</f>
        <v>-0.0707623890941125</v>
      </c>
      <c r="CB176" s="46" t="n">
        <f aca="false">BD176+BI176</f>
        <v>1.13258548424241</v>
      </c>
      <c r="CC176" s="43" t="n">
        <f aca="false">BD176/BI176</f>
        <v>2.57756537018466</v>
      </c>
      <c r="CD176" s="46" t="n">
        <f aca="false">BN176/CB176</f>
        <v>0.204520522676797</v>
      </c>
      <c r="CE176" s="43" t="n">
        <f aca="false">AE176/AO176</f>
        <v>2.76223454427562</v>
      </c>
      <c r="CF176" s="44" t="n">
        <f aca="false">AE176/AJ176</f>
        <v>30.3256911340048</v>
      </c>
      <c r="CG176" s="44" t="n">
        <f aca="false">INDEX(Context!$V$4:$V$51,$K176)</f>
        <v>22.6257142857143</v>
      </c>
      <c r="CH176" s="44" t="n">
        <f aca="false">INDEX(Context!$Y$4:$Y$51,$K176)</f>
        <v>21.3177449518561</v>
      </c>
      <c r="CI176" s="44" t="n">
        <f aca="false">INDEX(Context!$Z$4:$Z$51,$K176)</f>
        <v>26.6257142857143</v>
      </c>
      <c r="CJ176" s="43" t="n">
        <f aca="false">INDEX(Context!$AA$4:$AA$51,$K176)</f>
        <v>0.12</v>
      </c>
      <c r="CK176" s="43" t="n">
        <f aca="false">MAX(0,MIN(1,1-(1-CJ176)*AO176/AN176))</f>
        <v>0.478903473366722</v>
      </c>
      <c r="CL176" s="44" t="n">
        <f aca="false">CH176+CK176*(CI176-CH176)</f>
        <v>23.8597499023648</v>
      </c>
      <c r="CM176" s="44" t="n">
        <f aca="false">CH176+MAX(0,MIN(1,1-(1-CJ176)*AQ176/AN176))*(CI176-CH176)</f>
        <v>22.5747445935901</v>
      </c>
      <c r="CN176" s="44" t="n">
        <f aca="false">CH176+MAX(0,MIN(1,1-(1-CJ176)*AP176/AN176))*(CI176-CH176)</f>
        <v>24.873489027421</v>
      </c>
      <c r="CO176" s="44" t="n">
        <f aca="false">CL176-CG176</f>
        <v>1.23403561665052</v>
      </c>
      <c r="CP176" s="44" t="n">
        <f aca="false">CL176-(CH176+CJ176*(CI176-CH176))</f>
        <v>1.90504863044577</v>
      </c>
      <c r="CQ176" s="46" t="n">
        <f aca="false">CL176/CG176</f>
        <v>1.05454128877733</v>
      </c>
      <c r="CR176" s="43" t="n">
        <f aca="false">IF(CL176-CH176&lt;=0,"n/a",(CI176-CL176)/(CL176-CH176))</f>
        <v>1.08810346053649</v>
      </c>
      <c r="CS176" s="43" t="n">
        <f aca="false">IF(CI176-CL176&lt;=0,"n/a",(CL176-CH176)/(CI176-CL176))</f>
        <v>0.919030254261801</v>
      </c>
      <c r="CT176" s="43" t="n">
        <f aca="false">Inputs_General!$C$23+Inputs_General!$C$24*$I176</f>
        <v>1.9</v>
      </c>
      <c r="CU176" s="44" t="n">
        <f aca="false">3.29*CT176</f>
        <v>6.251</v>
      </c>
    </row>
    <row r="177" customFormat="false" ht="15" hidden="false" customHeight="false" outlineLevel="0" collapsed="false">
      <c r="A177" s="33" t="str">
        <f aca="false">B177&amp;"|"&amp;E177&amp;"|"&amp;F177</f>
        <v>D3V2|24/02/2026|Healthy</v>
      </c>
      <c r="B177" s="34" t="s">
        <v>350</v>
      </c>
      <c r="C177" s="33" t="s">
        <v>131</v>
      </c>
      <c r="D177" s="33" t="s">
        <v>146</v>
      </c>
      <c r="E177" s="33" t="s">
        <v>160</v>
      </c>
      <c r="F177" s="34" t="s">
        <v>275</v>
      </c>
      <c r="G177" s="33" t="s">
        <v>276</v>
      </c>
      <c r="H177" s="35" t="n">
        <f aca="false">INDEX(Severity_Classes!$C$4:$C$9,MATCH(F177,Severity_Classes!$A$4:$A$9,0))</f>
        <v>0</v>
      </c>
      <c r="I177" s="35" t="n">
        <f aca="false">INDEX(Severity_Classes!$D$4:$D$9,MATCH(F177,Severity_Classes!$A$4:$A$9,0))</f>
        <v>0</v>
      </c>
      <c r="J177" s="35" t="n">
        <f aca="false">INDEX(Severity_Classes!$E$4:$E$9,MATCH(F177,Severity_Classes!$A$4:$A$9,0))</f>
        <v>0</v>
      </c>
      <c r="K177" s="36" t="n">
        <f aca="false">MATCH(B177&amp;"|"&amp;E177,Context!$A$4:$A$51,0)</f>
        <v>30</v>
      </c>
      <c r="L177" s="36" t="n">
        <f aca="false">INDEX(Context!$H$4:$H$51,K177)</f>
        <v>59</v>
      </c>
      <c r="M177" s="36" t="n">
        <f aca="false">INDEX(Context!$I$4:$I$51,K177)</f>
        <v>19</v>
      </c>
      <c r="N177" s="33" t="str">
        <f aca="false">INDEX(Context!$L$4:$L$51,K177)</f>
        <v>V</v>
      </c>
      <c r="O177" s="33" t="str">
        <f aca="false">INDEX(Context!$M$4:$M$51,K177)</f>
        <v>3rd fully expanded leaf from top</v>
      </c>
      <c r="P177" s="37" t="n">
        <f aca="false">INDEX(Context!$R$4:$R$51,K177)</f>
        <v>0.0232142857142859</v>
      </c>
      <c r="Q177" s="37" t="n">
        <f aca="false">INDEX(Context!$U$4:$U$51,K177)</f>
        <v>1.19492600027053</v>
      </c>
      <c r="R177" s="37" t="n">
        <f aca="false">INDEX(Context!$AD$4:$AD$51,K177)</f>
        <v>1.1</v>
      </c>
      <c r="S177" s="33" t="str">
        <f aca="false">INDEX(Context!$AI$4:$AN$51,K177,MATCH(F177,Severity_Classes!$A$4:$A$9,0))</f>
        <v>Reference: healthy (uninoculated) control plot</v>
      </c>
      <c r="T177" s="38" t="n">
        <f aca="false">Parameters!$E$4*IF($N177="V",Parameters!$I$4,IF($N177="F",Parameters!$J$4,Parameters!$K$4))*(1-Parameters!$L$4*$P177)*IF($D177="V1",Parameters!$M$4,IF($D177="V2",Parameters!$N$4,Parameters!$O$4))</f>
        <v>85.9001785714286</v>
      </c>
      <c r="U177" s="38" t="n">
        <f aca="false">MIN(100,T177*(1+INDEX(Response_Table!$E$4:$E$21,MATCH($F177&amp;"|mid",Response_Table!$A$4:$A$21,0))*$R177*INDEX(Parameters!$X$4:$AA$4,1,MATCH($E177,Parameters!$X$3:$AA$3,0))))</f>
        <v>85.9001785714286</v>
      </c>
      <c r="V177" s="38" t="n">
        <f aca="false">MAX(0,MIN(T177*(1+INDEX(Response_Table!$E$4:$E$21,MATCH($F177&amp;"|low",Response_Table!$A$4:$A$21,0))*$R177*INDEX(Parameters!$X$4:$AA$4,1,MATCH($E177,Parameters!$X$3:$AA$3,0))),T177*(1+INDEX(Response_Table!$E$4:$E$21,MATCH($F177&amp;"|high",Response_Table!$A$4:$A$21,0))*$R177*INDEX(Parameters!$X$4:$AA$4,1,MATCH($E177,Parameters!$X$3:$AA$3,0))))*(1-Inputs_General!$C$22*Parameters!$F$4))</f>
        <v>80.2479468214286</v>
      </c>
      <c r="W177" s="38" t="n">
        <f aca="false">MIN(100,MAX(T177*(1+INDEX(Response_Table!$E$4:$E$21,MATCH($F177&amp;"|low",Response_Table!$A$4:$A$21,0))*$R177*INDEX(Parameters!$X$4:$AA$4,1,MATCH($E177,Parameters!$X$3:$AA$3,0))),T177*(1+INDEX(Response_Table!$E$4:$E$21,MATCH($F177&amp;"|high",Response_Table!$A$4:$A$21,0))*$R177*INDEX(Parameters!$X$4:$AA$4,1,MATCH($E177,Parameters!$X$3:$AA$3,0))))*(1+Inputs_General!$C$22*Parameters!$F$4))</f>
        <v>91.5524103214286</v>
      </c>
      <c r="X177" s="39" t="n">
        <f aca="false">IF(T177=0,0,U177/T177-1)</f>
        <v>0</v>
      </c>
      <c r="Y177" s="38" t="n">
        <f aca="false">Parameters!$E$5*IF($N177="V",Parameters!$I$5,IF($N177="F",Parameters!$J$5,Parameters!$K$5))*(1-Parameters!$L$5*$P177)*IF($D177="V1",Parameters!$M$5,IF($D177="V2",Parameters!$N$5,Parameters!$O$5))</f>
        <v>71.7994285714286</v>
      </c>
      <c r="Z177" s="38" t="n">
        <f aca="false">MIN(100,Y177*(1+INDEX(Response_Table!$F$4:$F$21,MATCH($F177&amp;"|mid",Response_Table!$A$4:$A$21,0))*$R177*INDEX(Parameters!$X$5:$AA$5,1,MATCH($E177,Parameters!$X$3:$AA$3,0))))</f>
        <v>71.7994285714286</v>
      </c>
      <c r="AA177" s="38" t="n">
        <f aca="false">MAX(0,MIN(Y177*(1+INDEX(Response_Table!$F$4:$F$21,MATCH($F177&amp;"|low",Response_Table!$A$4:$A$21,0))*$R177*INDEX(Parameters!$X$5:$AA$5,1,MATCH($E177,Parameters!$X$3:$AA$3,0))),Y177*(1+INDEX(Response_Table!$F$4:$F$21,MATCH($F177&amp;"|high",Response_Table!$A$4:$A$21,0))*$R177*INDEX(Parameters!$X$5:$AA$5,1,MATCH($E177,Parameters!$X$3:$AA$3,0))))*(1-Inputs_General!$C$22*Parameters!$F$5))</f>
        <v>63.5317243714286</v>
      </c>
      <c r="AB177" s="38" t="n">
        <f aca="false">MIN(100,MAX(Y177*(1+INDEX(Response_Table!$F$4:$F$21,MATCH($F177&amp;"|low",Response_Table!$A$4:$A$21,0))*$R177*INDEX(Parameters!$X$5:$AA$5,1,MATCH($E177,Parameters!$X$3:$AA$3,0))),Y177*(1+INDEX(Response_Table!$F$4:$F$21,MATCH($F177&amp;"|high",Response_Table!$A$4:$A$21,0))*$R177*INDEX(Parameters!$X$5:$AA$5,1,MATCH($E177,Parameters!$X$3:$AA$3,0))))*(1+Inputs_General!$C$22*Parameters!$F$5))</f>
        <v>80.0671327714286</v>
      </c>
      <c r="AC177" s="39" t="n">
        <f aca="false">IF(Y177=0,0,Z177/Y177-1)</f>
        <v>0</v>
      </c>
      <c r="AD177" s="38" t="n">
        <f aca="false">Parameters!$E$6*IF($N177="V",Parameters!$I$6,IF($N177="F",Parameters!$J$6,Parameters!$K$6))*(1-Parameters!$L$6*$P177)*IF($D177="V1",Parameters!$M$6,IF($D177="V2",Parameters!$N$6,Parameters!$O$6))</f>
        <v>18.9470714285714</v>
      </c>
      <c r="AE177" s="38" t="n">
        <f aca="false">AD177*(1+INDEX(Response_Table!$G$4:$G$21,MATCH($F177&amp;"|mid",Response_Table!$A$4:$A$21,0))*$R177*INDEX(Parameters!$X$6:$AA$6,1,MATCH($E177,Parameters!$X$3:$AA$3,0)))</f>
        <v>18.9470714285714</v>
      </c>
      <c r="AF177" s="38" t="n">
        <f aca="false">MAX(0,MIN(AD177*(1+INDEX(Response_Table!$G$4:$G$21,MATCH($F177&amp;"|low",Response_Table!$A$4:$A$21,0))*$R177*INDEX(Parameters!$X$6:$AA$6,1,MATCH($E177,Parameters!$X$3:$AA$3,0))),AD177*(1+INDEX(Response_Table!$G$4:$G$21,MATCH($F177&amp;"|high",Response_Table!$A$4:$A$21,0))*$R177*INDEX(Parameters!$X$6:$AA$6,1,MATCH($E177,Parameters!$X$3:$AA$3,0))))*(1-Inputs_General!$C$22*Parameters!$F$6))</f>
        <v>15.2069195285714</v>
      </c>
      <c r="AG177" s="38" t="n">
        <f aca="false">MAX(AD177*(1+INDEX(Response_Table!$G$4:$G$21,MATCH($F177&amp;"|low",Response_Table!$A$4:$A$21,0))*$R177*INDEX(Parameters!$X$6:$AA$6,1,MATCH($E177,Parameters!$X$3:$AA$3,0))),AD177*(1+INDEX(Response_Table!$G$4:$G$21,MATCH($F177&amp;"|high",Response_Table!$A$4:$A$21,0))*$R177*INDEX(Parameters!$X$6:$AA$6,1,MATCH($E177,Parameters!$X$3:$AA$3,0))))*(1+Inputs_General!$C$22*Parameters!$F$6)</f>
        <v>22.6872233285714</v>
      </c>
      <c r="AH177" s="39" t="n">
        <f aca="false">IF(AD177=0,0,AE177/AD177-1)</f>
        <v>0</v>
      </c>
      <c r="AI177" s="40" t="n">
        <f aca="false">Parameters!$E$7*IF($N177="V",Parameters!$I$7,IF($N177="F",Parameters!$J$7,Parameters!$K$7))*(1-Parameters!$L$7*$P177)*IF($D177="V1",Parameters!$M$7,IF($D177="V2",Parameters!$N$7,Parameters!$O$7))*POWER($Q177/Inputs_General!$C$26,-Inputs_General!$C$25)</f>
        <v>0.411663164578586</v>
      </c>
      <c r="AJ177" s="40" t="n">
        <f aca="false">AI177*(1+INDEX(Response_Table!$H$4:$H$21,MATCH($F177&amp;"|mid",Response_Table!$A$4:$A$21,0))*$R177*INDEX(Parameters!$X$7:$AA$7,1,MATCH($E177,Parameters!$X$3:$AA$3,0)))</f>
        <v>0.411663164578586</v>
      </c>
      <c r="AK177" s="40" t="n">
        <f aca="false">MAX(0,MIN(AI177*(1+INDEX(Response_Table!$H$4:$H$21,MATCH($F177&amp;"|low",Response_Table!$A$4:$A$21,0))*$R177*INDEX(Parameters!$X$7:$AA$7,1,MATCH($E177,Parameters!$X$3:$AA$3,0))),AI177*(1+INDEX(Response_Table!$H$4:$H$21,MATCH($F177&amp;"|high",Response_Table!$A$4:$A$21,0))*$R177*INDEX(Parameters!$X$7:$AA$7,1,MATCH($E177,Parameters!$X$3:$AA$3,0))))*(1-Inputs_General!$C$22*Parameters!$F$7))</f>
        <v>0.289769701546867</v>
      </c>
      <c r="AL177" s="40" t="n">
        <f aca="false">MAX(AI177*(1+INDEX(Response_Table!$H$4:$H$21,MATCH($F177&amp;"|low",Response_Table!$A$4:$A$21,0))*$R177*INDEX(Parameters!$X$7:$AA$7,1,MATCH($E177,Parameters!$X$3:$AA$3,0))),AI177*(1+INDEX(Response_Table!$H$4:$H$21,MATCH($F177&amp;"|high",Response_Table!$A$4:$A$21,0))*$R177*INDEX(Parameters!$X$7:$AA$7,1,MATCH($E177,Parameters!$X$3:$AA$3,0))))*(1+Inputs_General!$C$22*Parameters!$F$7)</f>
        <v>0.533556627610306</v>
      </c>
      <c r="AM177" s="39" t="n">
        <f aca="false">IF(AI177=0,0,AJ177/AI177-1)</f>
        <v>0</v>
      </c>
      <c r="AN177" s="37" t="n">
        <f aca="false">AI177*$Q177/Inputs_General!$C$13*1000</f>
        <v>4.95374641196979</v>
      </c>
      <c r="AO177" s="37" t="n">
        <f aca="false">AJ177*$Q177/Inputs_General!$C$13*1000*(1+Inputs_General!$C$21*$I177)</f>
        <v>4.95374641196979</v>
      </c>
      <c r="AP177" s="37" t="n">
        <f aca="false">AK177*$Q177/Inputs_General!$C$13*1000*(1+Inputs_General!$C$21*$H177)</f>
        <v>3.48694209938553</v>
      </c>
      <c r="AQ177" s="37" t="n">
        <f aca="false">AL177*$Q177/Inputs_General!$C$13*1000*(1+Inputs_General!$C$21*$J177)</f>
        <v>6.42055072455404</v>
      </c>
      <c r="AR177" s="39" t="n">
        <f aca="false">IF(AN177=0,0,AO177/AN177-1)</f>
        <v>0</v>
      </c>
      <c r="AS177" s="36" t="n">
        <f aca="false">Parameters!$E$9*IF($N177="V",Parameters!$I$9,IF($N177="F",Parameters!$J$9,Parameters!$K$9))*(1-Parameters!$L$9*$P177)*IF($D177="V1",Parameters!$M$9,IF($D177="V2",Parameters!$N$9,Parameters!$O$9))</f>
        <v>285</v>
      </c>
      <c r="AT177" s="36" t="n">
        <f aca="false">AS177*(1+INDEX(Response_Table!$I$4:$I$21,MATCH($F177&amp;"|mid",Response_Table!$A$4:$A$21,0))*$R177*INDEX(Parameters!$X$9:$AA$9,1,MATCH($E177,Parameters!$X$3:$AA$3,0)))</f>
        <v>285</v>
      </c>
      <c r="AU177" s="36" t="n">
        <f aca="false">MAX(0,MIN(AS177*(1+INDEX(Response_Table!$I$4:$I$21,MATCH($F177&amp;"|low",Response_Table!$A$4:$A$21,0))*$R177*INDEX(Parameters!$X$9:$AA$9,1,MATCH($E177,Parameters!$X$3:$AA$3,0))),AS177*(1+INDEX(Response_Table!$I$4:$I$21,MATCH($F177&amp;"|high",Response_Table!$A$4:$A$21,0))*$R177*INDEX(Parameters!$X$9:$AA$9,1,MATCH($E177,Parameters!$X$3:$AA$3,0))))*(1-Inputs_General!$C$22*Parameters!$F$9))</f>
        <v>256.8705</v>
      </c>
      <c r="AV177" s="36" t="n">
        <f aca="false">MAX(AS177*(1+INDEX(Response_Table!$I$4:$I$21,MATCH($F177&amp;"|low",Response_Table!$A$4:$A$21,0))*$R177*INDEX(Parameters!$X$9:$AA$9,1,MATCH($E177,Parameters!$X$3:$AA$3,0))),AS177*(1+INDEX(Response_Table!$I$4:$I$21,MATCH($F177&amp;"|high",Response_Table!$A$4:$A$21,0))*$R177*INDEX(Parameters!$X$9:$AA$9,1,MATCH($E177,Parameters!$X$3:$AA$3,0))))*(1+Inputs_General!$C$22*Parameters!$F$9)</f>
        <v>313.1295</v>
      </c>
      <c r="AW177" s="39" t="n">
        <f aca="false">IF(AS177=0,0,AT177/AS177-1)</f>
        <v>0</v>
      </c>
      <c r="AX177" s="37" t="n">
        <f aca="false">INDEX(Context!$AB$4:$AB$51,$K177)</f>
        <v>2.25291371771685</v>
      </c>
      <c r="AY177" s="37" t="n">
        <f aca="false">AX177*(1+INDEX(Response_Table!$J$4:$J$21,MATCH($F177&amp;"|mid",Response_Table!$A$4:$A$21,0))*$R177*INDEX(Parameters!$X$10:$AA$10,1,MATCH($E177,Parameters!$X$3:$AA$3,0)))</f>
        <v>2.25291371771685</v>
      </c>
      <c r="AZ177" s="37" t="n">
        <f aca="false">MAX(0,MIN(AX177*(1+INDEX(Response_Table!$J$4:$J$21,MATCH($F177&amp;"|low",Response_Table!$A$4:$A$21,0))*$R177*INDEX(Parameters!$X$10:$AA$10,1,MATCH($E177,Parameters!$X$3:$AA$3,0))),AX177*(1+INDEX(Response_Table!$J$4:$J$21,MATCH($F177&amp;"|high",Response_Table!$A$4:$A$21,0))*$R177*INDEX(Parameters!$X$10:$AA$10,1,MATCH($E177,Parameters!$X$3:$AA$3,0))))*(1-Inputs_General!$C$22*Parameters!$F$10))</f>
        <v>1.80818854983955</v>
      </c>
      <c r="BA177" s="37" t="n">
        <f aca="false">MAX(AX177*(1+INDEX(Response_Table!$J$4:$J$21,MATCH($F177&amp;"|low",Response_Table!$A$4:$A$21,0))*$R177*INDEX(Parameters!$X$10:$AA$10,1,MATCH($E177,Parameters!$X$3:$AA$3,0))),AX177*(1+INDEX(Response_Table!$J$4:$J$21,MATCH($F177&amp;"|high",Response_Table!$A$4:$A$21,0))*$R177*INDEX(Parameters!$X$10:$AA$10,1,MATCH($E177,Parameters!$X$3:$AA$3,0))))*(1+Inputs_General!$C$22*Parameters!$F$10)</f>
        <v>2.69763888559416</v>
      </c>
      <c r="BB177" s="39" t="n">
        <f aca="false">IF(AX177=0,0,AY177/AX177-1)</f>
        <v>0</v>
      </c>
      <c r="BC177" s="40" t="n">
        <f aca="false">Parameters!$E$11*IF($N177="V",Parameters!$I$11,IF($N177="F",Parameters!$J$11,Parameters!$K$11))*(1-Parameters!$L$11*$P177)*IF($D177="V1",Parameters!$M$11,IF($D177="V2",Parameters!$N$11,Parameters!$O$11))</f>
        <v>1.18584598214286</v>
      </c>
      <c r="BD177" s="40" t="n">
        <f aca="false">BC177*(1+INDEX(Response_Table!$K$4:$K$21,MATCH($F177&amp;"|mid",Response_Table!$A$4:$A$21,0))*$R177*INDEX(Parameters!$X$11:$AA$11,1,MATCH($E177,Parameters!$X$3:$AA$3,0)))</f>
        <v>1.18584598214286</v>
      </c>
      <c r="BE177" s="40" t="n">
        <f aca="false">MAX(0,MIN(BC177*(1+INDEX(Response_Table!$K$4:$K$21,MATCH($F177&amp;"|low",Response_Table!$A$4:$A$21,0))*$R177*INDEX(Parameters!$X$11:$AA$11,1,MATCH($E177,Parameters!$X$3:$AA$3,0))),BC177*(1+INDEX(Response_Table!$K$4:$K$21,MATCH($F177&amp;"|high",Response_Table!$A$4:$A$21,0))*$R177*INDEX(Parameters!$X$11:$AA$11,1,MATCH($E177,Parameters!$X$3:$AA$3,0))))*(1-Inputs_General!$C$22*Parameters!$F$11))</f>
        <v>0.990774318080357</v>
      </c>
      <c r="BF177" s="40" t="n">
        <f aca="false">MAX(BC177*(1+INDEX(Response_Table!$K$4:$K$21,MATCH($F177&amp;"|low",Response_Table!$A$4:$A$21,0))*$R177*INDEX(Parameters!$X$11:$AA$11,1,MATCH($E177,Parameters!$X$3:$AA$3,0))),BC177*(1+INDEX(Response_Table!$K$4:$K$21,MATCH($F177&amp;"|high",Response_Table!$A$4:$A$21,0))*$R177*INDEX(Parameters!$X$11:$AA$11,1,MATCH($E177,Parameters!$X$3:$AA$3,0))))*(1+Inputs_General!$C$22*Parameters!$F$11)</f>
        <v>1.38091764620536</v>
      </c>
      <c r="BG177" s="39" t="n">
        <f aca="false">IF(BC177=0,0,BD177/BC177-1)</f>
        <v>0</v>
      </c>
      <c r="BH177" s="40" t="n">
        <f aca="false">Parameters!$E$12*IF($N177="V",Parameters!$I$12,IF($N177="F",Parameters!$J$12,Parameters!$K$12))*(1-Parameters!$L$12*$P177)*IF($D177="V1",Parameters!$M$12,IF($D177="V2",Parameters!$N$12,Parameters!$O$12))</f>
        <v>0.426904553571429</v>
      </c>
      <c r="BI177" s="40" t="n">
        <f aca="false">BH177*(1+INDEX(Response_Table!$L$4:$L$21,MATCH($F177&amp;"|mid",Response_Table!$A$4:$A$21,0))*$R177*INDEX(Parameters!$X$12:$AA$12,1,MATCH($E177,Parameters!$X$3:$AA$3,0)))</f>
        <v>0.426904553571429</v>
      </c>
      <c r="BJ177" s="40" t="n">
        <f aca="false">MAX(0,MIN(BH177*(1+INDEX(Response_Table!$L$4:$L$21,MATCH($F177&amp;"|low",Response_Table!$A$4:$A$21,0))*$R177*INDEX(Parameters!$X$12:$AA$12,1,MATCH($E177,Parameters!$X$3:$AA$3,0))),BH177*(1+INDEX(Response_Table!$L$4:$L$21,MATCH($F177&amp;"|high",Response_Table!$A$4:$A$21,0))*$R177*INDEX(Parameters!$X$12:$AA$12,1,MATCH($E177,Parameters!$X$3:$AA$3,0))))*(1-Inputs_General!$C$22*Parameters!$F$12))</f>
        <v>0.342633594696429</v>
      </c>
      <c r="BK177" s="40" t="n">
        <f aca="false">MAX(BH177*(1+INDEX(Response_Table!$L$4:$L$21,MATCH($F177&amp;"|low",Response_Table!$A$4:$A$21,0))*$R177*INDEX(Parameters!$X$12:$AA$12,1,MATCH($E177,Parameters!$X$3:$AA$3,0))),BH177*(1+INDEX(Response_Table!$L$4:$L$21,MATCH($F177&amp;"|high",Response_Table!$A$4:$A$21,0))*$R177*INDEX(Parameters!$X$12:$AA$12,1,MATCH($E177,Parameters!$X$3:$AA$3,0))))*(1+Inputs_General!$C$22*Parameters!$F$12)</f>
        <v>0.511175512446429</v>
      </c>
      <c r="BL177" s="39" t="n">
        <f aca="false">IF(BH177=0,0,BI177/BH177-1)</f>
        <v>0</v>
      </c>
      <c r="BM177" s="40" t="n">
        <f aca="false">Parameters!$E$13*IF($N177="V",Parameters!$I$13,IF($N177="F",Parameters!$J$13,Parameters!$K$13))*(1-Parameters!$L$13*$P177)*IF($D177="V1",Parameters!$M$13,IF($D177="V2",Parameters!$N$13,Parameters!$O$13))</f>
        <v>0.284801517857143</v>
      </c>
      <c r="BN177" s="40" t="n">
        <f aca="false">BM177*(1+INDEX(Response_Table!$M$4:$M$21,MATCH($F177&amp;"|mid",Response_Table!$A$4:$A$21,0))*$R177*INDEX(Parameters!$X$13:$AA$13,1,MATCH($E177,Parameters!$X$3:$AA$3,0)))</f>
        <v>0.284801517857143</v>
      </c>
      <c r="BO177" s="40" t="n">
        <f aca="false">MAX(0,MIN(BM177*(1+INDEX(Response_Table!$M$4:$M$21,MATCH($F177&amp;"|low",Response_Table!$A$4:$A$21,0))*$R177*INDEX(Parameters!$X$13:$AA$13,1,MATCH($E177,Parameters!$X$3:$AA$3,0))),BM177*(1+INDEX(Response_Table!$M$4:$M$21,MATCH($F177&amp;"|high",Response_Table!$A$4:$A$21,0))*$R177*INDEX(Parameters!$X$13:$AA$13,1,MATCH($E177,Parameters!$X$3:$AA$3,0))))*(1-Inputs_General!$C$22*Parameters!$F$13))</f>
        <v>0.228581698232143</v>
      </c>
      <c r="BP177" s="40" t="n">
        <f aca="false">MAX(BM177*(1+INDEX(Response_Table!$M$4:$M$21,MATCH($F177&amp;"|low",Response_Table!$A$4:$A$21,0))*$R177*INDEX(Parameters!$X$13:$AA$13,1,MATCH($E177,Parameters!$X$3:$AA$3,0))),BM177*(1+INDEX(Response_Table!$M$4:$M$21,MATCH($F177&amp;"|high",Response_Table!$A$4:$A$21,0))*$R177*INDEX(Parameters!$X$13:$AA$13,1,MATCH($E177,Parameters!$X$3:$AA$3,0))))*(1+Inputs_General!$C$22*Parameters!$F$13)</f>
        <v>0.341021337482143</v>
      </c>
      <c r="BQ177" s="39" t="n">
        <f aca="false">IF(BM177=0,0,BN177/BM177-1)</f>
        <v>0</v>
      </c>
      <c r="BR177" s="38" t="n">
        <f aca="false">Parameters!$E$14*IF($N177="V",Parameters!$I$14,IF($N177="F",Parameters!$J$14,Parameters!$K$14))*(1-Parameters!$L$14*$P177)*IF($D177="V1",Parameters!$M$14,IF($D177="V2",Parameters!$N$14,Parameters!$O$14))*INDEX(Context!$AC$4:$AC$51,$K177)</f>
        <v>17.325</v>
      </c>
      <c r="BS177" s="38" t="n">
        <f aca="false">BR177*(1+INDEX(Response_Table!$N$4:$N$21,MATCH($F177&amp;"|mid",Response_Table!$A$4:$A$21,0))*$R177*INDEX(Parameters!$X$14:$AA$14,1,MATCH($E177,Parameters!$X$3:$AA$3,0)))</f>
        <v>17.325</v>
      </c>
      <c r="BT177" s="38" t="n">
        <f aca="false">MAX(0,MIN(BR177*(1+INDEX(Response_Table!$N$4:$N$21,MATCH($F177&amp;"|low",Response_Table!$A$4:$A$21,0))*$R177*INDEX(Parameters!$X$14:$AA$14,1,MATCH($E177,Parameters!$X$3:$AA$3,0))),BR177*(1+INDEX(Response_Table!$N$4:$N$21,MATCH($F177&amp;"|high",Response_Table!$A$4:$A$21,0))*$R177*INDEX(Parameters!$X$14:$AA$14,1,MATCH($E177,Parameters!$X$3:$AA$3,0))))*(1-Inputs_General!$C$22*Parameters!$F$14))</f>
        <v>8.7751125</v>
      </c>
      <c r="BU177" s="38" t="n">
        <f aca="false">MAX(BR177*(1+INDEX(Response_Table!$N$4:$N$21,MATCH($F177&amp;"|low",Response_Table!$A$4:$A$21,0))*$R177*INDEX(Parameters!$X$14:$AA$14,1,MATCH($E177,Parameters!$X$3:$AA$3,0))),BR177*(1+INDEX(Response_Table!$N$4:$N$21,MATCH($F177&amp;"|high",Response_Table!$A$4:$A$21,0))*$R177*INDEX(Parameters!$X$14:$AA$14,1,MATCH($E177,Parameters!$X$3:$AA$3,0))))*(1+Inputs_General!$C$22*Parameters!$F$14)</f>
        <v>25.8748875</v>
      </c>
      <c r="BV177" s="39" t="n">
        <f aca="false">IF(BR177=0,0,BS177/BR177-1)</f>
        <v>0</v>
      </c>
      <c r="BW177" s="37" t="n">
        <f aca="false">Parameters!$E$15*IF($N177="V",Parameters!$I$15,IF($N177="F",Parameters!$J$15,Parameters!$K$15))*(1-Parameters!$L$15*$P177)*IF($D177="V1",Parameters!$M$15,IF($D177="V2",Parameters!$N$15,Parameters!$O$15))</f>
        <v>11.6477537142857</v>
      </c>
      <c r="BX177" s="37" t="n">
        <f aca="false">BW177*(1+INDEX(Response_Table!$O$4:$O$21,MATCH($F177&amp;"|mid",Response_Table!$A$4:$A$21,0))*$R177*INDEX(Parameters!$X$15:$AA$15,1,MATCH($E177,Parameters!$X$3:$AA$3,0)))</f>
        <v>11.6477537142857</v>
      </c>
      <c r="BY177" s="37" t="n">
        <f aca="false">MAX(0,MIN(BW177*(1+INDEX(Response_Table!$O$4:$O$21,MATCH($F177&amp;"|low",Response_Table!$A$4:$A$21,0))*$R177*INDEX(Parameters!$X$15:$AA$15,1,MATCH($E177,Parameters!$X$3:$AA$3,0))),BW177*(1+INDEX(Response_Table!$O$4:$O$21,MATCH($F177&amp;"|high",Response_Table!$A$4:$A$21,0))*$R177*INDEX(Parameters!$X$15:$AA$15,1,MATCH($E177,Parameters!$X$3:$AA$3,0))))*(1-Inputs_General!$C$22*Parameters!$F$15))</f>
        <v>9.34848713108572</v>
      </c>
      <c r="BZ177" s="37" t="n">
        <f aca="false">MAX(BW177*(1+INDEX(Response_Table!$O$4:$O$21,MATCH($F177&amp;"|low",Response_Table!$A$4:$A$21,0))*$R177*INDEX(Parameters!$X$15:$AA$15,1,MATCH($E177,Parameters!$X$3:$AA$3,0))),BW177*(1+INDEX(Response_Table!$O$4:$O$21,MATCH($F177&amp;"|high",Response_Table!$A$4:$A$21,0))*$R177*INDEX(Parameters!$X$15:$AA$15,1,MATCH($E177,Parameters!$X$3:$AA$3,0))))*(1+Inputs_General!$C$22*Parameters!$F$15)</f>
        <v>13.9470202974857</v>
      </c>
      <c r="CA177" s="39" t="n">
        <f aca="false">IF(BW177=0,0,BX177/BW177-1)</f>
        <v>0</v>
      </c>
      <c r="CB177" s="40" t="n">
        <f aca="false">BD177+BI177</f>
        <v>1.61275053571429</v>
      </c>
      <c r="CC177" s="37" t="n">
        <f aca="false">BD177/BI177</f>
        <v>2.77777777777778</v>
      </c>
      <c r="CD177" s="40" t="n">
        <f aca="false">BN177/CB177</f>
        <v>0.176593658814694</v>
      </c>
      <c r="CE177" s="37" t="n">
        <f aca="false">AE177/AO177</f>
        <v>3.82479639708432</v>
      </c>
      <c r="CF177" s="38" t="n">
        <f aca="false">AE177/AJ177</f>
        <v>46.0256662700615</v>
      </c>
      <c r="CG177" s="38" t="n">
        <f aca="false">INDEX(Context!$V$4:$V$51,$K177)</f>
        <v>25.5785714285714</v>
      </c>
      <c r="CH177" s="38" t="n">
        <f aca="false">INDEX(Context!$Y$4:$Y$51,$K177)</f>
        <v>23.620522619794</v>
      </c>
      <c r="CI177" s="38" t="n">
        <f aca="false">INDEX(Context!$Z$4:$Z$51,$K177)</f>
        <v>29.5785714285714</v>
      </c>
      <c r="CJ177" s="37" t="n">
        <f aca="false">INDEX(Context!$AA$4:$AA$51,$K177)</f>
        <v>0.121160714285714</v>
      </c>
      <c r="CK177" s="37" t="n">
        <f aca="false">MAX(0,MIN(1,1-(1-CJ177)*AO177/AN177))</f>
        <v>0.121160714285714</v>
      </c>
      <c r="CL177" s="38" t="n">
        <f aca="false">CH177+CK177*(CI177-CH177)</f>
        <v>24.3424040692146</v>
      </c>
      <c r="CM177" s="38" t="n">
        <f aca="false">CH177+MAX(0,MIN(1,1-(1-CJ177)*AQ177/AN177))*(CI177-CH177)</f>
        <v>23.620522619794</v>
      </c>
      <c r="CN177" s="38" t="n">
        <f aca="false">CH177+MAX(0,MIN(1,1-(1-CJ177)*AP177/AN177))*(CI177-CH177)</f>
        <v>25.8928332243202</v>
      </c>
      <c r="CO177" s="38" t="n">
        <f aca="false">CL177-CG177</f>
        <v>-1.2361673593568</v>
      </c>
      <c r="CP177" s="38" t="n">
        <f aca="false">CL177-(CH177+CJ177*(CI177-CH177))</f>
        <v>0</v>
      </c>
      <c r="CQ177" s="40" t="n">
        <f aca="false">CL177/CG177</f>
        <v>0.951671759198561</v>
      </c>
      <c r="CR177" s="37" t="n">
        <f aca="false">IF(CL177-CH177&lt;=0,"n/a",(CI177-CL177)/(CL177-CH177))</f>
        <v>7.25350036845984</v>
      </c>
      <c r="CS177" s="37" t="n">
        <f aca="false">IF(CI177-CL177&lt;=0,"n/a",(CL177-CH177)/(CI177-CL177))</f>
        <v>0.137864472213756</v>
      </c>
      <c r="CT177" s="37" t="n">
        <f aca="false">Inputs_General!$C$23+Inputs_General!$C$24*$I177</f>
        <v>0.6</v>
      </c>
      <c r="CU177" s="38" t="n">
        <f aca="false">3.29*CT177</f>
        <v>1.974</v>
      </c>
    </row>
    <row r="178" customFormat="false" ht="15" hidden="false" customHeight="false" outlineLevel="0" collapsed="false">
      <c r="A178" s="9" t="str">
        <f aca="false">B178&amp;"|"&amp;E178&amp;"|"&amp;F178</f>
        <v>D3V2|24/02/2026|Very low</v>
      </c>
      <c r="B178" s="7" t="s">
        <v>350</v>
      </c>
      <c r="C178" s="9" t="s">
        <v>131</v>
      </c>
      <c r="D178" s="9" t="s">
        <v>146</v>
      </c>
      <c r="E178" s="9" t="s">
        <v>160</v>
      </c>
      <c r="F178" s="7" t="s">
        <v>277</v>
      </c>
      <c r="G178" s="9" t="s">
        <v>278</v>
      </c>
      <c r="H178" s="41" t="n">
        <f aca="false">INDEX(Severity_Classes!$C$4:$C$9,MATCH(F178,Severity_Classes!$A$4:$A$9,0))</f>
        <v>0.01</v>
      </c>
      <c r="I178" s="41" t="n">
        <f aca="false">INDEX(Severity_Classes!$D$4:$D$9,MATCH(F178,Severity_Classes!$A$4:$A$9,0))</f>
        <v>0.03</v>
      </c>
      <c r="J178" s="41" t="n">
        <f aca="false">INDEX(Severity_Classes!$E$4:$E$9,MATCH(F178,Severity_Classes!$A$4:$A$9,0))</f>
        <v>0.05</v>
      </c>
      <c r="K178" s="42" t="n">
        <f aca="false">MATCH(B178&amp;"|"&amp;E178,Context!$A$4:$A$51,0)</f>
        <v>30</v>
      </c>
      <c r="L178" s="42" t="n">
        <f aca="false">INDEX(Context!$H$4:$H$51,K178)</f>
        <v>59</v>
      </c>
      <c r="M178" s="42" t="n">
        <f aca="false">INDEX(Context!$I$4:$I$51,K178)</f>
        <v>19</v>
      </c>
      <c r="N178" s="9" t="str">
        <f aca="false">INDEX(Context!$L$4:$L$51,K178)</f>
        <v>V</v>
      </c>
      <c r="O178" s="9" t="str">
        <f aca="false">INDEX(Context!$M$4:$M$51,K178)</f>
        <v>3rd fully expanded leaf from top</v>
      </c>
      <c r="P178" s="43" t="n">
        <f aca="false">INDEX(Context!$R$4:$R$51,K178)</f>
        <v>0.0232142857142859</v>
      </c>
      <c r="Q178" s="43" t="n">
        <f aca="false">INDEX(Context!$U$4:$U$51,K178)</f>
        <v>1.19492600027053</v>
      </c>
      <c r="R178" s="43" t="n">
        <f aca="false">INDEX(Context!$AD$4:$AD$51,K178)</f>
        <v>1.1</v>
      </c>
      <c r="S178" s="9" t="str">
        <f aca="false">INDEX(Context!$AI$4:$AN$51,K178,MATCH(F178,Severity_Classes!$A$4:$A$9,0))</f>
        <v>Possible</v>
      </c>
      <c r="T178" s="44" t="n">
        <f aca="false">Parameters!$E$4*IF($N178="V",Parameters!$I$4,IF($N178="F",Parameters!$J$4,Parameters!$K$4))*(1-Parameters!$L$4*$P178)*IF($D178="V1",Parameters!$M$4,IF($D178="V2",Parameters!$N$4,Parameters!$O$4))</f>
        <v>85.9001785714286</v>
      </c>
      <c r="U178" s="44" t="n">
        <f aca="false">MIN(100,T178*(1+INDEX(Response_Table!$E$4:$E$21,MATCH($F178&amp;"|mid",Response_Table!$A$4:$A$21,0))*$R178*INDEX(Parameters!$X$4:$AA$4,1,MATCH($E178,Parameters!$X$3:$AA$3,0))))</f>
        <v>85.4927993212776</v>
      </c>
      <c r="V178" s="44" t="n">
        <f aca="false">MAX(0,MIN(T178*(1+INDEX(Response_Table!$E$4:$E$21,MATCH($F178&amp;"|low",Response_Table!$A$4:$A$21,0))*$R178*INDEX(Parameters!$X$4:$AA$4,1,MATCH($E178,Parameters!$X$3:$AA$3,0))),T178*(1+INDEX(Response_Table!$E$4:$E$21,MATCH($F178&amp;"|high",Response_Table!$A$4:$A$21,0))*$R178*INDEX(Parameters!$X$4:$AA$4,1,MATCH($E178,Parameters!$X$3:$AA$3,0))))*(1-Inputs_General!$C$22*Parameters!$F$4))</f>
        <v>79.5634079810186</v>
      </c>
      <c r="W178" s="44" t="n">
        <f aca="false">MIN(100,MAX(T178*(1+INDEX(Response_Table!$E$4:$E$21,MATCH($F178&amp;"|low",Response_Table!$A$4:$A$21,0))*$R178*INDEX(Parameters!$X$4:$AA$4,1,MATCH($E178,Parameters!$X$3:$AA$3,0))),T178*(1+INDEX(Response_Table!$E$4:$E$21,MATCH($F178&amp;"|high",Response_Table!$A$4:$A$21,0))*$R178*INDEX(Parameters!$X$4:$AA$4,1,MATCH($E178,Parameters!$X$3:$AA$3,0))))*(1+Inputs_General!$C$22*Parameters!$F$4))</f>
        <v>91.4182232086001</v>
      </c>
      <c r="X178" s="45" t="n">
        <f aca="false">IF(T178=0,0,U178/T178-1)</f>
        <v>-0.00474247268080141</v>
      </c>
      <c r="Y178" s="44" t="n">
        <f aca="false">Parameters!$E$5*IF($N178="V",Parameters!$I$5,IF($N178="F",Parameters!$J$5,Parameters!$K$5))*(1-Parameters!$L$5*$P178)*IF($D178="V1",Parameters!$M$5,IF($D178="V2",Parameters!$N$5,Parameters!$O$5))</f>
        <v>71.7994285714286</v>
      </c>
      <c r="Z178" s="44" t="n">
        <f aca="false">MIN(100,Y178*(1+INDEX(Response_Table!$F$4:$F$21,MATCH($F178&amp;"|mid",Response_Table!$A$4:$A$21,0))*$R178*INDEX(Parameters!$X$5:$AA$5,1,MATCH($E178,Parameters!$X$3:$AA$3,0))))</f>
        <v>70.7124559656287</v>
      </c>
      <c r="AA178" s="44" t="n">
        <f aca="false">MAX(0,MIN(Y178*(1+INDEX(Response_Table!$F$4:$F$21,MATCH($F178&amp;"|low",Response_Table!$A$4:$A$21,0))*$R178*INDEX(Parameters!$X$5:$AA$5,1,MATCH($E178,Parameters!$X$3:$AA$3,0))),Y178*(1+INDEX(Response_Table!$F$4:$F$21,MATCH($F178&amp;"|high",Response_Table!$A$4:$A$21,0))*$R178*INDEX(Parameters!$X$5:$AA$5,1,MATCH($E178,Parameters!$X$3:$AA$3,0))))*(1-Inputs_General!$C$22*Parameters!$F$5))</f>
        <v>61.7777627392453</v>
      </c>
      <c r="AB178" s="44" t="n">
        <f aca="false">MIN(100,MAX(Y178*(1+INDEX(Response_Table!$F$4:$F$21,MATCH($F178&amp;"|low",Response_Table!$A$4:$A$21,0))*$R178*INDEX(Parameters!$X$5:$AA$5,1,MATCH($E178,Parameters!$X$3:$AA$3,0))),Y178*(1+INDEX(Response_Table!$F$4:$F$21,MATCH($F178&amp;"|high",Response_Table!$A$4:$A$21,0))*$R178*INDEX(Parameters!$X$5:$AA$5,1,MATCH($E178,Parameters!$X$3:$AA$3,0))))*(1+Inputs_General!$C$22*Parameters!$F$5))</f>
        <v>79.6976722341167</v>
      </c>
      <c r="AC178" s="45" t="n">
        <f aca="false">IF(Y178=0,0,Z178/Y178-1)</f>
        <v>-0.0151390147167895</v>
      </c>
      <c r="AD178" s="44" t="n">
        <f aca="false">Parameters!$E$6*IF($N178="V",Parameters!$I$6,IF($N178="F",Parameters!$J$6,Parameters!$K$6))*(1-Parameters!$L$6*$P178)*IF($D178="V1",Parameters!$M$6,IF($D178="V2",Parameters!$N$6,Parameters!$O$6))</f>
        <v>18.9470714285714</v>
      </c>
      <c r="AE178" s="44" t="n">
        <f aca="false">AD178*(1+INDEX(Response_Table!$G$4:$G$21,MATCH($F178&amp;"|mid",Response_Table!$A$4:$A$21,0))*$R178*INDEX(Parameters!$X$6:$AA$6,1,MATCH($E178,Parameters!$X$3:$AA$3,0)))</f>
        <v>17.0141162293823</v>
      </c>
      <c r="AF178" s="44" t="n">
        <f aca="false">MAX(0,MIN(AD178*(1+INDEX(Response_Table!$G$4:$G$21,MATCH($F178&amp;"|low",Response_Table!$A$4:$A$21,0))*$R178*INDEX(Parameters!$X$6:$AA$6,1,MATCH($E178,Parameters!$X$3:$AA$3,0))),AD178*(1+INDEX(Response_Table!$G$4:$G$21,MATCH($F178&amp;"|high",Response_Table!$A$4:$A$21,0))*$R178*INDEX(Parameters!$X$6:$AA$6,1,MATCH($E178,Parameters!$X$3:$AA$3,0))))*(1-Inputs_General!$C$22*Parameters!$F$6))</f>
        <v>12.7293779116446</v>
      </c>
      <c r="AG178" s="44" t="n">
        <f aca="false">MAX(AD178*(1+INDEX(Response_Table!$G$4:$G$21,MATCH($F178&amp;"|low",Response_Table!$A$4:$A$21,0))*$R178*INDEX(Parameters!$X$6:$AA$6,1,MATCH($E178,Parameters!$X$3:$AA$3,0))),AD178*(1+INDEX(Response_Table!$G$4:$G$21,MATCH($F178&amp;"|high",Response_Table!$A$4:$A$21,0))*$R178*INDEX(Parameters!$X$6:$AA$6,1,MATCH($E178,Parameters!$X$3:$AA$3,0))))*(1+Inputs_General!$C$22*Parameters!$F$6)</f>
        <v>21.8815323048898</v>
      </c>
      <c r="AH178" s="45" t="n">
        <f aca="false">IF(AD178=0,0,AE178/AD178-1)</f>
        <v>-0.102018679059517</v>
      </c>
      <c r="AI178" s="46" t="n">
        <f aca="false">Parameters!$E$7*IF($N178="V",Parameters!$I$7,IF($N178="F",Parameters!$J$7,Parameters!$K$7))*(1-Parameters!$L$7*$P178)*IF($D178="V1",Parameters!$M$7,IF($D178="V2",Parameters!$N$7,Parameters!$O$7))*POWER($Q178/Inputs_General!$C$26,-Inputs_General!$C$25)</f>
        <v>0.411663164578586</v>
      </c>
      <c r="AJ178" s="46" t="n">
        <f aca="false">AI178*(1+INDEX(Response_Table!$H$4:$H$21,MATCH($F178&amp;"|mid",Response_Table!$A$4:$A$21,0))*$R178*INDEX(Parameters!$X$7:$AA$7,1,MATCH($E178,Parameters!$X$3:$AA$3,0)))</f>
        <v>0.386329741719003</v>
      </c>
      <c r="AK178" s="46" t="n">
        <f aca="false">MAX(0,MIN(AI178*(1+INDEX(Response_Table!$H$4:$H$21,MATCH($F178&amp;"|low",Response_Table!$A$4:$A$21,0))*$R178*INDEX(Parameters!$X$7:$AA$7,1,MATCH($E178,Parameters!$X$3:$AA$3,0))),AI178*(1+INDEX(Response_Table!$H$4:$H$21,MATCH($F178&amp;"|high",Response_Table!$A$4:$A$21,0))*$R178*INDEX(Parameters!$X$7:$AA$7,1,MATCH($E178,Parameters!$X$3:$AA$3,0))))*(1-Inputs_General!$C$22*Parameters!$F$7))</f>
        <v>0.26091043675596</v>
      </c>
      <c r="AL178" s="46" t="n">
        <f aca="false">MAX(AI178*(1+INDEX(Response_Table!$H$4:$H$21,MATCH($F178&amp;"|low",Response_Table!$A$4:$A$21,0))*$R178*INDEX(Parameters!$X$7:$AA$7,1,MATCH($E178,Parameters!$X$3:$AA$3,0))),AI178*(1+INDEX(Response_Table!$H$4:$H$21,MATCH($F178&amp;"|high",Response_Table!$A$4:$A$21,0))*$R178*INDEX(Parameters!$X$7:$AA$7,1,MATCH($E178,Parameters!$X$3:$AA$3,0))))*(1+Inputs_General!$C$22*Parameters!$F$7)</f>
        <v>0.52228180587307</v>
      </c>
      <c r="AM178" s="45" t="n">
        <f aca="false">IF(AI178=0,0,AJ178/AI178-1)</f>
        <v>-0.0615392025310718</v>
      </c>
      <c r="AN178" s="43" t="n">
        <f aca="false">AI178*$Q178/Inputs_General!$C$13*1000</f>
        <v>4.95374641196979</v>
      </c>
      <c r="AO178" s="43" t="n">
        <f aca="false">AJ178*$Q178/Inputs_General!$C$13*1000*(1+Inputs_General!$C$21*$I178)</f>
        <v>4.68376353429778</v>
      </c>
      <c r="AP178" s="43" t="n">
        <f aca="false">AK178*$Q178/Inputs_General!$C$13*1000*(1+Inputs_General!$C$21*$H178)</f>
        <v>3.14751345703113</v>
      </c>
      <c r="AQ178" s="43" t="n">
        <f aca="false">AL178*$Q178/Inputs_General!$C$13*1000*(1+Inputs_General!$C$21*$J178)</f>
        <v>6.36343615984191</v>
      </c>
      <c r="AR178" s="45" t="n">
        <f aca="false">IF(AN178=0,0,AO178/AN178-1)</f>
        <v>-0.0545007465500547</v>
      </c>
      <c r="AS178" s="42" t="n">
        <f aca="false">Parameters!$E$9*IF($N178="V",Parameters!$I$9,IF($N178="F",Parameters!$J$9,Parameters!$K$9))*(1-Parameters!$L$9*$P178)*IF($D178="V1",Parameters!$M$9,IF($D178="V2",Parameters!$N$9,Parameters!$O$9))</f>
        <v>285</v>
      </c>
      <c r="AT178" s="42" t="n">
        <f aca="false">AS178*(1+INDEX(Response_Table!$I$4:$I$21,MATCH($F178&amp;"|mid",Response_Table!$A$4:$A$21,0))*$R178*INDEX(Parameters!$X$9:$AA$9,1,MATCH($E178,Parameters!$X$3:$AA$3,0)))</f>
        <v>295.635132926751</v>
      </c>
      <c r="AU178" s="42" t="n">
        <f aca="false">MAX(0,MIN(AS178*(1+INDEX(Response_Table!$I$4:$I$21,MATCH($F178&amp;"|low",Response_Table!$A$4:$A$21,0))*$R178*INDEX(Parameters!$X$9:$AA$9,1,MATCH($E178,Parameters!$X$3:$AA$3,0))),AS178*(1+INDEX(Response_Table!$I$4:$I$21,MATCH($F178&amp;"|high",Response_Table!$A$4:$A$21,0))*$R178*INDEX(Parameters!$X$9:$AA$9,1,MATCH($E178,Parameters!$X$3:$AA$3,0))))*(1-Inputs_General!$C$22*Parameters!$F$9))</f>
        <v>260.194272002174</v>
      </c>
      <c r="AV178" s="42" t="n">
        <f aca="false">MAX(AS178*(1+INDEX(Response_Table!$I$4:$I$21,MATCH($F178&amp;"|low",Response_Table!$A$4:$A$21,0))*$R178*INDEX(Parameters!$X$9:$AA$9,1,MATCH($E178,Parameters!$X$3:$AA$3,0))),AS178*(1+INDEX(Response_Table!$I$4:$I$21,MATCH($F178&amp;"|high",Response_Table!$A$4:$A$21,0))*$R178*INDEX(Parameters!$X$9:$AA$9,1,MATCH($E178,Parameters!$X$3:$AA$3,0))))*(1+Inputs_General!$C$22*Parameters!$F$9)</f>
        <v>331.860547055842</v>
      </c>
      <c r="AW178" s="45" t="n">
        <f aca="false">IF(AS178=0,0,AT178/AS178-1)</f>
        <v>0.037316255883338</v>
      </c>
      <c r="AX178" s="43" t="n">
        <f aca="false">INDEX(Context!$AB$4:$AB$51,$K178)</f>
        <v>2.25291371771685</v>
      </c>
      <c r="AY178" s="43" t="n">
        <f aca="false">AX178*(1+INDEX(Response_Table!$J$4:$J$21,MATCH($F178&amp;"|mid",Response_Table!$A$4:$A$21,0))*$R178*INDEX(Parameters!$X$10:$AA$10,1,MATCH($E178,Parameters!$X$3:$AA$3,0)))</f>
        <v>2.17233381074868</v>
      </c>
      <c r="AZ178" s="43" t="n">
        <f aca="false">MAX(0,MIN(AX178*(1+INDEX(Response_Table!$J$4:$J$21,MATCH($F178&amp;"|low",Response_Table!$A$4:$A$21,0))*$R178*INDEX(Parameters!$X$10:$AA$10,1,MATCH($E178,Parameters!$X$3:$AA$3,0))),AX178*(1+INDEX(Response_Table!$J$4:$J$21,MATCH($F178&amp;"|high",Response_Table!$A$4:$A$21,0))*$R178*INDEX(Parameters!$X$10:$AA$10,1,MATCH($E178,Parameters!$X$3:$AA$3,0))))*(1-Inputs_General!$C$22*Parameters!$F$10))</f>
        <v>1.70301701095753</v>
      </c>
      <c r="BA178" s="43" t="n">
        <f aca="false">MAX(AX178*(1+INDEX(Response_Table!$J$4:$J$21,MATCH($F178&amp;"|low",Response_Table!$A$4:$A$21,0))*$R178*INDEX(Parameters!$X$10:$AA$10,1,MATCH($E178,Parameters!$X$3:$AA$3,0))),AX178*(1+INDEX(Response_Table!$J$4:$J$21,MATCH($F178&amp;"|high",Response_Table!$A$4:$A$21,0))*$R178*INDEX(Parameters!$X$10:$AA$10,1,MATCH($E178,Parameters!$X$3:$AA$3,0))))*(1+Inputs_General!$C$22*Parameters!$F$10)</f>
        <v>2.66466943960061</v>
      </c>
      <c r="BB178" s="45" t="n">
        <f aca="false">IF(AX178=0,0,AY178/AX178-1)</f>
        <v>-0.0357669742673664</v>
      </c>
      <c r="BC178" s="46" t="n">
        <f aca="false">Parameters!$E$11*IF($N178="V",Parameters!$I$11,IF($N178="F",Parameters!$J$11,Parameters!$K$11))*(1-Parameters!$L$11*$P178)*IF($D178="V1",Parameters!$M$11,IF($D178="V2",Parameters!$N$11,Parameters!$O$11))</f>
        <v>1.18584598214286</v>
      </c>
      <c r="BD178" s="46" t="n">
        <f aca="false">BC178*(1+INDEX(Response_Table!$K$4:$K$21,MATCH($F178&amp;"|mid",Response_Table!$A$4:$A$21,0))*$R178*INDEX(Parameters!$X$11:$AA$11,1,MATCH($E178,Parameters!$X$3:$AA$3,0)))</f>
        <v>1.10823446332487</v>
      </c>
      <c r="BE178" s="46" t="n">
        <f aca="false">MAX(0,MIN(BC178*(1+INDEX(Response_Table!$K$4:$K$21,MATCH($F178&amp;"|low",Response_Table!$A$4:$A$21,0))*$R178*INDEX(Parameters!$X$11:$AA$11,1,MATCH($E178,Parameters!$X$3:$AA$3,0))),BC178*(1+INDEX(Response_Table!$K$4:$K$21,MATCH($F178&amp;"|high",Response_Table!$A$4:$A$21,0))*$R178*INDEX(Parameters!$X$11:$AA$11,1,MATCH($E178,Parameters!$X$3:$AA$3,0))))*(1-Inputs_General!$C$22*Parameters!$F$11))</f>
        <v>0.88603244036778</v>
      </c>
      <c r="BF178" s="46" t="n">
        <f aca="false">MAX(BC178*(1+INDEX(Response_Table!$K$4:$K$21,MATCH($F178&amp;"|low",Response_Table!$A$4:$A$21,0))*$R178*INDEX(Parameters!$X$11:$AA$11,1,MATCH($E178,Parameters!$X$3:$AA$3,0))),BC178*(1+INDEX(Response_Table!$K$4:$K$21,MATCH($F178&amp;"|high",Response_Table!$A$4:$A$21,0))*$R178*INDEX(Parameters!$X$11:$AA$11,1,MATCH($E178,Parameters!$X$3:$AA$3,0))))*(1+Inputs_General!$C$22*Parameters!$F$11)</f>
        <v>1.34982242737486</v>
      </c>
      <c r="BG178" s="45" t="n">
        <f aca="false">IF(BC178=0,0,BD178/BC178-1)</f>
        <v>-0.065448228510875</v>
      </c>
      <c r="BH178" s="46" t="n">
        <f aca="false">Parameters!$E$12*IF($N178="V",Parameters!$I$12,IF($N178="F",Parameters!$J$12,Parameters!$K$12))*(1-Parameters!$L$12*$P178)*IF($D178="V1",Parameters!$M$12,IF($D178="V2",Parameters!$N$12,Parameters!$O$12))</f>
        <v>0.426904553571429</v>
      </c>
      <c r="BI178" s="46" t="n">
        <f aca="false">BH178*(1+INDEX(Response_Table!$L$4:$L$21,MATCH($F178&amp;"|mid",Response_Table!$A$4:$A$21,0))*$R178*INDEX(Parameters!$X$12:$AA$12,1,MATCH($E178,Parameters!$X$3:$AA$3,0)))</f>
        <v>0.404674936369862</v>
      </c>
      <c r="BJ178" s="46" t="n">
        <f aca="false">MAX(0,MIN(BH178*(1+INDEX(Response_Table!$L$4:$L$21,MATCH($F178&amp;"|low",Response_Table!$A$4:$A$21,0))*$R178*INDEX(Parameters!$X$12:$AA$12,1,MATCH($E178,Parameters!$X$3:$AA$3,0))),BH178*(1+INDEX(Response_Table!$L$4:$L$21,MATCH($F178&amp;"|high",Response_Table!$A$4:$A$21,0))*$R178*INDEX(Parameters!$X$12:$AA$12,1,MATCH($E178,Parameters!$X$3:$AA$3,0))))*(1-Inputs_General!$C$22*Parameters!$F$12))</f>
        <v>0.313759288012665</v>
      </c>
      <c r="BK178" s="46" t="n">
        <f aca="false">MAX(BH178*(1+INDEX(Response_Table!$L$4:$L$21,MATCH($F178&amp;"|low",Response_Table!$A$4:$A$21,0))*$R178*INDEX(Parameters!$X$12:$AA$12,1,MATCH($E178,Parameters!$X$3:$AA$3,0))),BH178*(1+INDEX(Response_Table!$L$4:$L$21,MATCH($F178&amp;"|high",Response_Table!$A$4:$A$21,0))*$R178*INDEX(Parameters!$X$12:$AA$12,1,MATCH($E178,Parameters!$X$3:$AA$3,0))))*(1+Inputs_General!$C$22*Parameters!$F$12)</f>
        <v>0.502035463128708</v>
      </c>
      <c r="BL178" s="45" t="n">
        <f aca="false">IF(BH178=0,0,BI178/BH178-1)</f>
        <v>-0.052071632910907</v>
      </c>
      <c r="BM178" s="46" t="n">
        <f aca="false">Parameters!$E$13*IF($N178="V",Parameters!$I$13,IF($N178="F",Parameters!$J$13,Parameters!$K$13))*(1-Parameters!$L$13*$P178)*IF($D178="V1",Parameters!$M$13,IF($D178="V2",Parameters!$N$13,Parameters!$O$13))</f>
        <v>0.284801517857143</v>
      </c>
      <c r="BN178" s="46" t="n">
        <f aca="false">BM178*(1+INDEX(Response_Table!$M$4:$M$21,MATCH($F178&amp;"|mid",Response_Table!$A$4:$A$21,0))*$R178*INDEX(Parameters!$X$13:$AA$13,1,MATCH($E178,Parameters!$X$3:$AA$3,0)))</f>
        <v>0.292942159377504</v>
      </c>
      <c r="BO178" s="46" t="n">
        <f aca="false">MAX(0,MIN(BM178*(1+INDEX(Response_Table!$M$4:$M$21,MATCH($F178&amp;"|low",Response_Table!$A$4:$A$21,0))*$R178*INDEX(Parameters!$X$13:$AA$13,1,MATCH($E178,Parameters!$X$3:$AA$3,0))),BM178*(1+INDEX(Response_Table!$M$4:$M$21,MATCH($F178&amp;"|high",Response_Table!$A$4:$A$21,0))*$R178*INDEX(Parameters!$X$13:$AA$13,1,MATCH($E178,Parameters!$X$3:$AA$3,0))))*(1-Inputs_General!$C$22*Parameters!$F$13))</f>
        <v>0.231793652591517</v>
      </c>
      <c r="BP178" s="46" t="n">
        <f aca="false">MAX(BM178*(1+INDEX(Response_Table!$M$4:$M$21,MATCH($F178&amp;"|low",Response_Table!$A$4:$A$21,0))*$R178*INDEX(Parameters!$X$13:$AA$13,1,MATCH($E178,Parameters!$X$3:$AA$3,0))),BM178*(1+INDEX(Response_Table!$M$4:$M$21,MATCH($F178&amp;"|high",Response_Table!$A$4:$A$21,0))*$R178*INDEX(Parameters!$X$13:$AA$13,1,MATCH($E178,Parameters!$X$3:$AA$3,0))))*(1+Inputs_General!$C$22*Parameters!$F$13)</f>
        <v>0.351044356830708</v>
      </c>
      <c r="BQ178" s="45" t="n">
        <f aca="false">IF(BM178=0,0,BN178/BM178-1)</f>
        <v>0.0285835608658662</v>
      </c>
      <c r="BR178" s="44" t="n">
        <f aca="false">Parameters!$E$14*IF($N178="V",Parameters!$I$14,IF($N178="F",Parameters!$J$14,Parameters!$K$14))*(1-Parameters!$L$14*$P178)*IF($D178="V1",Parameters!$M$14,IF($D178="V2",Parameters!$N$14,Parameters!$O$14))*INDEX(Context!$AC$4:$AC$51,$K178)</f>
        <v>17.325</v>
      </c>
      <c r="BS178" s="44" t="n">
        <f aca="false">BR178*(1+INDEX(Response_Table!$N$4:$N$21,MATCH($F178&amp;"|mid",Response_Table!$A$4:$A$21,0))*$R178*INDEX(Parameters!$X$14:$AA$14,1,MATCH($E178,Parameters!$X$3:$AA$3,0)))</f>
        <v>18.3091538620161</v>
      </c>
      <c r="BT178" s="44" t="n">
        <f aca="false">MAX(0,MIN(BR178*(1+INDEX(Response_Table!$N$4:$N$21,MATCH($F178&amp;"|low",Response_Table!$A$4:$A$21,0))*$R178*INDEX(Parameters!$X$14:$AA$14,1,MATCH($E178,Parameters!$X$3:$AA$3,0))),BR178*(1+INDEX(Response_Table!$N$4:$N$21,MATCH($F178&amp;"|high",Response_Table!$A$4:$A$21,0))*$R178*INDEX(Parameters!$X$14:$AA$14,1,MATCH($E178,Parameters!$X$3:$AA$3,0))))*(1-Inputs_General!$C$22*Parameters!$F$14))</f>
        <v>8.94627938687295</v>
      </c>
      <c r="BU178" s="44" t="n">
        <f aca="false">MAX(BR178*(1+INDEX(Response_Table!$N$4:$N$21,MATCH($F178&amp;"|low",Response_Table!$A$4:$A$21,0))*$R178*INDEX(Parameters!$X$14:$AA$14,1,MATCH($E178,Parameters!$X$3:$AA$3,0))),BR178*(1+INDEX(Response_Table!$N$4:$N$21,MATCH($F178&amp;"|high",Response_Table!$A$4:$A$21,0))*$R178*INDEX(Parameters!$X$14:$AA$14,1,MATCH($E178,Parameters!$X$3:$AA$3,0))))*(1+Inputs_General!$C$22*Parameters!$F$14)</f>
        <v>28.2536366901683</v>
      </c>
      <c r="BV178" s="45" t="n">
        <f aca="false">IF(BR178=0,0,BS178/BR178-1)</f>
        <v>0.0568054177209894</v>
      </c>
      <c r="BW178" s="43" t="n">
        <f aca="false">Parameters!$E$15*IF($N178="V",Parameters!$I$15,IF($N178="F",Parameters!$J$15,Parameters!$K$15))*(1-Parameters!$L$15*$P178)*IF($D178="V1",Parameters!$M$15,IF($D178="V2",Parameters!$N$15,Parameters!$O$15))</f>
        <v>11.6477537142857</v>
      </c>
      <c r="BX178" s="43" t="n">
        <f aca="false">BW178*(1+INDEX(Response_Table!$O$4:$O$21,MATCH($F178&amp;"|mid",Response_Table!$A$4:$A$21,0))*$R178*INDEX(Parameters!$X$15:$AA$15,1,MATCH($E178,Parameters!$X$3:$AA$3,0)))</f>
        <v>11.4823398354729</v>
      </c>
      <c r="BY178" s="43" t="n">
        <f aca="false">MAX(0,MIN(BW178*(1+INDEX(Response_Table!$O$4:$O$21,MATCH($F178&amp;"|low",Response_Table!$A$4:$A$21,0))*$R178*INDEX(Parameters!$X$15:$AA$15,1,MATCH($E178,Parameters!$X$3:$AA$3,0))),BW178*(1+INDEX(Response_Table!$O$4:$O$21,MATCH($F178&amp;"|high",Response_Table!$A$4:$A$21,0))*$R178*INDEX(Parameters!$X$15:$AA$15,1,MATCH($E178,Parameters!$X$3:$AA$3,0))))*(1-Inputs_General!$C$22*Parameters!$F$15))</f>
        <v>9.13362913225993</v>
      </c>
      <c r="BZ178" s="43" t="n">
        <f aca="false">MAX(BW178*(1+INDEX(Response_Table!$O$4:$O$21,MATCH($F178&amp;"|low",Response_Table!$A$4:$A$21,0))*$R178*INDEX(Parameters!$X$15:$AA$15,1,MATCH($E178,Parameters!$X$3:$AA$3,0))),BW178*(1+INDEX(Response_Table!$O$4:$O$21,MATCH($F178&amp;"|high",Response_Table!$A$4:$A$21,0))*$R178*INDEX(Parameters!$X$15:$AA$15,1,MATCH($E178,Parameters!$X$3:$AA$3,0))))*(1+Inputs_General!$C$22*Parameters!$F$15)</f>
        <v>13.8790078348115</v>
      </c>
      <c r="CA178" s="45" t="n">
        <f aca="false">IF(BW178=0,0,BX178/BW178-1)</f>
        <v>-0.0142013544302473</v>
      </c>
      <c r="CB178" s="46" t="n">
        <f aca="false">BD178+BI178</f>
        <v>1.51290939969473</v>
      </c>
      <c r="CC178" s="43" t="n">
        <f aca="false">BD178/BI178</f>
        <v>2.73857944666969</v>
      </c>
      <c r="CD178" s="46" t="n">
        <f aca="false">BN178/CB178</f>
        <v>0.193628355694407</v>
      </c>
      <c r="CE178" s="43" t="n">
        <f aca="false">AE178/AO178</f>
        <v>3.6325736995032</v>
      </c>
      <c r="CF178" s="44" t="n">
        <f aca="false">AE178/AJ178</f>
        <v>44.0403996691445</v>
      </c>
      <c r="CG178" s="44" t="n">
        <f aca="false">INDEX(Context!$V$4:$V$51,$K178)</f>
        <v>25.5785714285714</v>
      </c>
      <c r="CH178" s="44" t="n">
        <f aca="false">INDEX(Context!$Y$4:$Y$51,$K178)</f>
        <v>23.620522619794</v>
      </c>
      <c r="CI178" s="44" t="n">
        <f aca="false">INDEX(Context!$Z$4:$Z$51,$K178)</f>
        <v>29.5785714285714</v>
      </c>
      <c r="CJ178" s="43" t="n">
        <f aca="false">INDEX(Context!$AA$4:$AA$51,$K178)</f>
        <v>0.121160714285714</v>
      </c>
      <c r="CK178" s="43" t="n">
        <f aca="false">MAX(0,MIN(1,1-(1-CJ178)*AO178/AN178))</f>
        <v>0.16905811145466</v>
      </c>
      <c r="CL178" s="44" t="n">
        <f aca="false">CH178+CK178*(CI178-CH178)</f>
        <v>24.6277790993606</v>
      </c>
      <c r="CM178" s="44" t="n">
        <f aca="false">CH178+MAX(0,MIN(1,1-(1-CJ178)*AQ178/AN178))*(CI178-CH178)</f>
        <v>23.620522619794</v>
      </c>
      <c r="CN178" s="44" t="n">
        <f aca="false">CH178+MAX(0,MIN(1,1-(1-CJ178)*AP178/AN178))*(CI178-CH178)</f>
        <v>26.2516132324434</v>
      </c>
      <c r="CO178" s="44" t="n">
        <f aca="false">CL178-CG178</f>
        <v>-0.950792329210827</v>
      </c>
      <c r="CP178" s="44" t="n">
        <f aca="false">CL178-(CH178+CJ178*(CI178-CH178))</f>
        <v>0.285375030145975</v>
      </c>
      <c r="CQ178" s="46" t="n">
        <f aca="false">CL178/CG178</f>
        <v>0.962828560153724</v>
      </c>
      <c r="CR178" s="43" t="n">
        <f aca="false">IF(CL178-CH178&lt;=0,"n/a",(CI178-CL178)/(CL178-CH178))</f>
        <v>4.91512581913701</v>
      </c>
      <c r="CS178" s="43" t="n">
        <f aca="false">IF(CI178-CL178&lt;=0,"n/a",(CL178-CH178)/(CI178-CL178))</f>
        <v>0.203453591382444</v>
      </c>
      <c r="CT178" s="43" t="n">
        <f aca="false">Inputs_General!$C$23+Inputs_General!$C$24*$I178</f>
        <v>0.66</v>
      </c>
      <c r="CU178" s="44" t="n">
        <f aca="false">3.29*CT178</f>
        <v>2.1714</v>
      </c>
    </row>
    <row r="179" customFormat="false" ht="15" hidden="false" customHeight="false" outlineLevel="0" collapsed="false">
      <c r="A179" s="9" t="str">
        <f aca="false">B179&amp;"|"&amp;E179&amp;"|"&amp;F179</f>
        <v>D3V2|24/02/2026|Low</v>
      </c>
      <c r="B179" s="7" t="s">
        <v>350</v>
      </c>
      <c r="C179" s="9" t="s">
        <v>131</v>
      </c>
      <c r="D179" s="9" t="s">
        <v>146</v>
      </c>
      <c r="E179" s="9" t="s">
        <v>160</v>
      </c>
      <c r="F179" s="7" t="s">
        <v>279</v>
      </c>
      <c r="G179" s="9" t="s">
        <v>280</v>
      </c>
      <c r="H179" s="41" t="n">
        <f aca="false">INDEX(Severity_Classes!$C$4:$C$9,MATCH(F179,Severity_Classes!$A$4:$A$9,0))</f>
        <v>0.06</v>
      </c>
      <c r="I179" s="41" t="n">
        <f aca="false">INDEX(Severity_Classes!$D$4:$D$9,MATCH(F179,Severity_Classes!$A$4:$A$9,0))</f>
        <v>0.08</v>
      </c>
      <c r="J179" s="41" t="n">
        <f aca="false">INDEX(Severity_Classes!$E$4:$E$9,MATCH(F179,Severity_Classes!$A$4:$A$9,0))</f>
        <v>0.1</v>
      </c>
      <c r="K179" s="42" t="n">
        <f aca="false">MATCH(B179&amp;"|"&amp;E179,Context!$A$4:$A$51,0)</f>
        <v>30</v>
      </c>
      <c r="L179" s="42" t="n">
        <f aca="false">INDEX(Context!$H$4:$H$51,K179)</f>
        <v>59</v>
      </c>
      <c r="M179" s="42" t="n">
        <f aca="false">INDEX(Context!$I$4:$I$51,K179)</f>
        <v>19</v>
      </c>
      <c r="N179" s="9" t="str">
        <f aca="false">INDEX(Context!$L$4:$L$51,K179)</f>
        <v>V</v>
      </c>
      <c r="O179" s="9" t="str">
        <f aca="false">INDEX(Context!$M$4:$M$51,K179)</f>
        <v>3rd fully expanded leaf from top</v>
      </c>
      <c r="P179" s="43" t="n">
        <f aca="false">INDEX(Context!$R$4:$R$51,K179)</f>
        <v>0.0232142857142859</v>
      </c>
      <c r="Q179" s="43" t="n">
        <f aca="false">INDEX(Context!$U$4:$U$51,K179)</f>
        <v>1.19492600027053</v>
      </c>
      <c r="R179" s="43" t="n">
        <f aca="false">INDEX(Context!$AD$4:$AD$51,K179)</f>
        <v>1.1</v>
      </c>
      <c r="S179" s="9" t="str">
        <f aca="false">INDEX(Context!$AI$4:$AN$51,K179,MATCH(F179,Severity_Classes!$A$4:$A$9,0))</f>
        <v>Likely</v>
      </c>
      <c r="T179" s="44" t="n">
        <f aca="false">Parameters!$E$4*IF($N179="V",Parameters!$I$4,IF($N179="F",Parameters!$J$4,Parameters!$K$4))*(1-Parameters!$L$4*$P179)*IF($D179="V1",Parameters!$M$4,IF($D179="V2",Parameters!$N$4,Parameters!$O$4))</f>
        <v>85.9001785714286</v>
      </c>
      <c r="U179" s="44" t="n">
        <f aca="false">MIN(100,T179*(1+INDEX(Response_Table!$E$4:$E$21,MATCH($F179&amp;"|mid",Response_Table!$A$4:$A$21,0))*$R179*INDEX(Parameters!$X$4:$AA$4,1,MATCH($E179,Parameters!$X$3:$AA$3,0))))</f>
        <v>84.585004942379</v>
      </c>
      <c r="V179" s="44" t="n">
        <f aca="false">MAX(0,MIN(T179*(1+INDEX(Response_Table!$E$4:$E$21,MATCH($F179&amp;"|low",Response_Table!$A$4:$A$21,0))*$R179*INDEX(Parameters!$X$4:$AA$4,1,MATCH($E179,Parameters!$X$3:$AA$3,0))),T179*(1+INDEX(Response_Table!$E$4:$E$21,MATCH($F179&amp;"|high",Response_Table!$A$4:$A$21,0))*$R179*INDEX(Parameters!$X$4:$AA$4,1,MATCH($E179,Parameters!$X$3:$AA$3,0))))*(1-Inputs_General!$C$22*Parameters!$F$4))</f>
        <v>78.5900410999428</v>
      </c>
      <c r="W179" s="44" t="n">
        <f aca="false">MIN(100,MAX(T179*(1+INDEX(Response_Table!$E$4:$E$21,MATCH($F179&amp;"|low",Response_Table!$A$4:$A$21,0))*$R179*INDEX(Parameters!$X$4:$AA$4,1,MATCH($E179,Parameters!$X$3:$AA$3,0))),T179*(1+INDEX(Response_Table!$E$4:$E$21,MATCH($F179&amp;"|high",Response_Table!$A$4:$A$21,0))*$R179*INDEX(Parameters!$X$4:$AA$4,1,MATCH($E179,Parameters!$X$3:$AA$3,0))))*(1+Inputs_General!$C$22*Parameters!$F$4))</f>
        <v>90.5786891662613</v>
      </c>
      <c r="X179" s="45" t="n">
        <f aca="false">IF(T179=0,0,U179/T179-1)</f>
        <v>-0.0153104877186721</v>
      </c>
      <c r="Y179" s="44" t="n">
        <f aca="false">Parameters!$E$5*IF($N179="V",Parameters!$I$5,IF($N179="F",Parameters!$J$5,Parameters!$K$5))*(1-Parameters!$L$5*$P179)*IF($D179="V1",Parameters!$M$5,IF($D179="V2",Parameters!$N$5,Parameters!$O$5))</f>
        <v>71.7994285714286</v>
      </c>
      <c r="Z179" s="44" t="n">
        <f aca="false">MIN(100,Y179*(1+INDEX(Response_Table!$F$4:$F$21,MATCH($F179&amp;"|mid",Response_Table!$A$4:$A$21,0))*$R179*INDEX(Parameters!$X$5:$AA$5,1,MATCH($E179,Parameters!$X$3:$AA$3,0))))</f>
        <v>68.1703961468582</v>
      </c>
      <c r="AA179" s="44" t="n">
        <f aca="false">MAX(0,MIN(Y179*(1+INDEX(Response_Table!$F$4:$F$21,MATCH($F179&amp;"|low",Response_Table!$A$4:$A$21,0))*$R179*INDEX(Parameters!$X$5:$AA$5,1,MATCH($E179,Parameters!$X$3:$AA$3,0))),Y179*(1+INDEX(Response_Table!$F$4:$F$21,MATCH($F179&amp;"|high",Response_Table!$A$4:$A$21,0))*$R179*INDEX(Parameters!$X$5:$AA$5,1,MATCH($E179,Parameters!$X$3:$AA$3,0))))*(1-Inputs_General!$C$22*Parameters!$F$5))</f>
        <v>59.1452672935224</v>
      </c>
      <c r="AB179" s="44" t="n">
        <f aca="false">MIN(100,MAX(Y179*(1+INDEX(Response_Table!$F$4:$F$21,MATCH($F179&amp;"|low",Response_Table!$A$4:$A$21,0))*$R179*INDEX(Parameters!$X$5:$AA$5,1,MATCH($E179,Parameters!$X$3:$AA$3,0))),Y179*(1+INDEX(Response_Table!$F$4:$F$21,MATCH($F179&amp;"|high",Response_Table!$A$4:$A$21,0))*$R179*INDEX(Parameters!$X$5:$AA$5,1,MATCH($E179,Parameters!$X$3:$AA$3,0))))*(1+Inputs_General!$C$22*Parameters!$F$5))</f>
        <v>77.2924206822465</v>
      </c>
      <c r="AC179" s="45" t="n">
        <f aca="false">IF(Y179=0,0,Z179/Y179-1)</f>
        <v>-0.0505440293436336</v>
      </c>
      <c r="AD179" s="44" t="n">
        <f aca="false">Parameters!$E$6*IF($N179="V",Parameters!$I$6,IF($N179="F",Parameters!$J$6,Parameters!$K$6))*(1-Parameters!$L$6*$P179)*IF($D179="V1",Parameters!$M$6,IF($D179="V2",Parameters!$N$6,Parameters!$O$6))</f>
        <v>18.9470714285714</v>
      </c>
      <c r="AE179" s="44" t="n">
        <f aca="false">AD179*(1+INDEX(Response_Table!$G$4:$G$21,MATCH($F179&amp;"|mid",Response_Table!$A$4:$A$21,0))*$R179*INDEX(Parameters!$X$6:$AA$6,1,MATCH($E179,Parameters!$X$3:$AA$3,0)))</f>
        <v>14.3089439319386</v>
      </c>
      <c r="AF179" s="44" t="n">
        <f aca="false">MAX(0,MIN(AD179*(1+INDEX(Response_Table!$G$4:$G$21,MATCH($F179&amp;"|low",Response_Table!$A$4:$A$21,0))*$R179*INDEX(Parameters!$X$6:$AA$6,1,MATCH($E179,Parameters!$X$3:$AA$3,0))),AD179*(1+INDEX(Response_Table!$G$4:$G$21,MATCH($F179&amp;"|high",Response_Table!$A$4:$A$21,0))*$R179*INDEX(Parameters!$X$6:$AA$6,1,MATCH($E179,Parameters!$X$3:$AA$3,0))))*(1-Inputs_General!$C$22*Parameters!$F$6))</f>
        <v>10.7411041913264</v>
      </c>
      <c r="AG179" s="44" t="n">
        <f aca="false">MAX(AD179*(1+INDEX(Response_Table!$G$4:$G$21,MATCH($F179&amp;"|low",Response_Table!$A$4:$A$21,0))*$R179*INDEX(Parameters!$X$6:$AA$6,1,MATCH($E179,Parameters!$X$3:$AA$3,0))),AD179*(1+INDEX(Response_Table!$G$4:$G$21,MATCH($F179&amp;"|high",Response_Table!$A$4:$A$21,0))*$R179*INDEX(Parameters!$X$6:$AA$6,1,MATCH($E179,Parameters!$X$3:$AA$3,0))))*(1+Inputs_General!$C$22*Parameters!$F$6)</f>
        <v>18.3443935263158</v>
      </c>
      <c r="AH179" s="45" t="n">
        <f aca="false">IF(AD179=0,0,AE179/AD179-1)</f>
        <v>-0.244793899369519</v>
      </c>
      <c r="AI179" s="46" t="n">
        <f aca="false">Parameters!$E$7*IF($N179="V",Parameters!$I$7,IF($N179="F",Parameters!$J$7,Parameters!$K$7))*(1-Parameters!$L$7*$P179)*IF($D179="V1",Parameters!$M$7,IF($D179="V2",Parameters!$N$7,Parameters!$O$7))*POWER($Q179/Inputs_General!$C$26,-Inputs_General!$C$25)</f>
        <v>0.411663164578586</v>
      </c>
      <c r="AJ179" s="46" t="n">
        <f aca="false">AI179*(1+INDEX(Response_Table!$H$4:$H$21,MATCH($F179&amp;"|mid",Response_Table!$A$4:$A$21,0))*$R179*INDEX(Parameters!$X$7:$AA$7,1,MATCH($E179,Parameters!$X$3:$AA$3,0)))</f>
        <v>0.348859387867022</v>
      </c>
      <c r="AK179" s="46" t="n">
        <f aca="false">MAX(0,MIN(AI179*(1+INDEX(Response_Table!$H$4:$H$21,MATCH($F179&amp;"|low",Response_Table!$A$4:$A$21,0))*$R179*INDEX(Parameters!$X$7:$AA$7,1,MATCH($E179,Parameters!$X$3:$AA$3,0))),AI179*(1+INDEX(Response_Table!$H$4:$H$21,MATCH($F179&amp;"|high",Response_Table!$A$4:$A$21,0))*$R179*INDEX(Parameters!$X$7:$AA$7,1,MATCH($E179,Parameters!$X$3:$AA$3,0))))*(1-Inputs_General!$C$22*Parameters!$F$7))</f>
        <v>0.236071037356664</v>
      </c>
      <c r="AL179" s="46" t="n">
        <f aca="false">MAX(AI179*(1+INDEX(Response_Table!$H$4:$H$21,MATCH($F179&amp;"|low",Response_Table!$A$4:$A$21,0))*$R179*INDEX(Parameters!$X$7:$AA$7,1,MATCH($E179,Parameters!$X$3:$AA$3,0))),AI179*(1+INDEX(Response_Table!$H$4:$H$21,MATCH($F179&amp;"|high",Response_Table!$A$4:$A$21,0))*$R179*INDEX(Parameters!$X$7:$AA$7,1,MATCH($E179,Parameters!$X$3:$AA$3,0))))*(1+Inputs_General!$C$22*Parameters!$F$7)</f>
        <v>0.470713368226858</v>
      </c>
      <c r="AM179" s="45" t="n">
        <f aca="false">IF(AI179=0,0,AJ179/AI179-1)</f>
        <v>-0.152561079337414</v>
      </c>
      <c r="AN179" s="43" t="n">
        <f aca="false">AI179*$Q179/Inputs_General!$C$13*1000</f>
        <v>4.95374641196979</v>
      </c>
      <c r="AO179" s="43" t="n">
        <f aca="false">AJ179*$Q179/Inputs_General!$C$13*1000*(1+Inputs_General!$C$21*$I179)</f>
        <v>4.28195746284775</v>
      </c>
      <c r="AP179" s="43" t="n">
        <f aca="false">AK179*$Q179/Inputs_General!$C$13*1000*(1+Inputs_General!$C$21*$H179)</f>
        <v>2.88337091394802</v>
      </c>
      <c r="AQ179" s="43" t="n">
        <f aca="false">AL179*$Q179/Inputs_General!$C$13*1000*(1+Inputs_General!$C$21*$J179)</f>
        <v>5.80593487843322</v>
      </c>
      <c r="AR179" s="45" t="n">
        <f aca="false">IF(AN179=0,0,AO179/AN179-1)</f>
        <v>-0.135612300924163</v>
      </c>
      <c r="AS179" s="42" t="n">
        <f aca="false">Parameters!$E$9*IF($N179="V",Parameters!$I$9,IF($N179="F",Parameters!$J$9,Parameters!$K$9))*(1-Parameters!$L$9*$P179)*IF($D179="V1",Parameters!$M$9,IF($D179="V2",Parameters!$N$9,Parameters!$O$9))</f>
        <v>285</v>
      </c>
      <c r="AT179" s="42" t="n">
        <f aca="false">AS179*(1+INDEX(Response_Table!$I$4:$I$21,MATCH($F179&amp;"|mid",Response_Table!$A$4:$A$21,0))*$R179*INDEX(Parameters!$X$9:$AA$9,1,MATCH($E179,Parameters!$X$3:$AA$3,0)))</f>
        <v>310.755683063219</v>
      </c>
      <c r="AU179" s="42" t="n">
        <f aca="false">MAX(0,MIN(AS179*(1+INDEX(Response_Table!$I$4:$I$21,MATCH($F179&amp;"|low",Response_Table!$A$4:$A$21,0))*$R179*INDEX(Parameters!$X$9:$AA$9,1,MATCH($E179,Parameters!$X$3:$AA$3,0))),AS179*(1+INDEX(Response_Table!$I$4:$I$21,MATCH($F179&amp;"|high",Response_Table!$A$4:$A$21,0))*$R179*INDEX(Parameters!$X$9:$AA$9,1,MATCH($E179,Parameters!$X$3:$AA$3,0))))*(1-Inputs_General!$C$22*Parameters!$F$9))</f>
        <v>274.957472644588</v>
      </c>
      <c r="AV179" s="42" t="n">
        <f aca="false">MAX(AS179*(1+INDEX(Response_Table!$I$4:$I$21,MATCH($F179&amp;"|low",Response_Table!$A$4:$A$21,0))*$R179*INDEX(Parameters!$X$9:$AA$9,1,MATCH($E179,Parameters!$X$3:$AA$3,0))),AS179*(1+INDEX(Response_Table!$I$4:$I$21,MATCH($F179&amp;"|high",Response_Table!$A$4:$A$21,0))*$R179*INDEX(Parameters!$X$9:$AA$9,1,MATCH($E179,Parameters!$X$3:$AA$3,0))))*(1+Inputs_General!$C$22*Parameters!$F$9)</f>
        <v>347.196231317812</v>
      </c>
      <c r="AW179" s="45" t="n">
        <f aca="false">IF(AS179=0,0,AT179/AS179-1)</f>
        <v>0.0903708177656819</v>
      </c>
      <c r="AX179" s="43" t="n">
        <f aca="false">INDEX(Context!$AB$4:$AB$51,$K179)</f>
        <v>2.25291371771685</v>
      </c>
      <c r="AY179" s="43" t="n">
        <f aca="false">AX179*(1+INDEX(Response_Table!$J$4:$J$21,MATCH($F179&amp;"|mid",Response_Table!$A$4:$A$21,0))*$R179*INDEX(Parameters!$X$10:$AA$10,1,MATCH($E179,Parameters!$X$3:$AA$3,0)))</f>
        <v>2.0507636510864</v>
      </c>
      <c r="AZ179" s="43" t="n">
        <f aca="false">MAX(0,MIN(AX179*(1+INDEX(Response_Table!$J$4:$J$21,MATCH($F179&amp;"|low",Response_Table!$A$4:$A$21,0))*$R179*INDEX(Parameters!$X$10:$AA$10,1,MATCH($E179,Parameters!$X$3:$AA$3,0))),AX179*(1+INDEX(Response_Table!$J$4:$J$21,MATCH($F179&amp;"|high",Response_Table!$A$4:$A$21,0))*$R179*INDEX(Parameters!$X$10:$AA$10,1,MATCH($E179,Parameters!$X$3:$AA$3,0))))*(1-Inputs_General!$C$22*Parameters!$F$10))</f>
        <v>1.61020345365409</v>
      </c>
      <c r="BA179" s="43" t="n">
        <f aca="false">MAX(AX179*(1+INDEX(Response_Table!$J$4:$J$21,MATCH($F179&amp;"|low",Response_Table!$A$4:$A$21,0))*$R179*INDEX(Parameters!$X$10:$AA$10,1,MATCH($E179,Parameters!$X$3:$AA$3,0))),AX179*(1+INDEX(Response_Table!$J$4:$J$21,MATCH($F179&amp;"|high",Response_Table!$A$4:$A$21,0))*$R179*INDEX(Parameters!$X$10:$AA$10,1,MATCH($E179,Parameters!$X$3:$AA$3,0))))*(1+Inputs_General!$C$22*Parameters!$F$10)</f>
        <v>2.51163789386597</v>
      </c>
      <c r="BB179" s="45" t="n">
        <f aca="false">IF(AX179=0,0,AY179/AX179-1)</f>
        <v>-0.089728277226399</v>
      </c>
      <c r="BC179" s="46" t="n">
        <f aca="false">Parameters!$E$11*IF($N179="V",Parameters!$I$11,IF($N179="F",Parameters!$J$11,Parameters!$K$11))*(1-Parameters!$L$11*$P179)*IF($D179="V1",Parameters!$M$11,IF($D179="V2",Parameters!$N$11,Parameters!$O$11))</f>
        <v>1.18584598214286</v>
      </c>
      <c r="BD179" s="46" t="n">
        <f aca="false">BC179*(1+INDEX(Response_Table!$K$4:$K$21,MATCH($F179&amp;"|mid",Response_Table!$A$4:$A$21,0))*$R179*INDEX(Parameters!$X$11:$AA$11,1,MATCH($E179,Parameters!$X$3:$AA$3,0)))</f>
        <v>0.994345502370535</v>
      </c>
      <c r="BE179" s="46" t="n">
        <f aca="false">MAX(0,MIN(BC179*(1+INDEX(Response_Table!$K$4:$K$21,MATCH($F179&amp;"|low",Response_Table!$A$4:$A$21,0))*$R179*INDEX(Parameters!$X$11:$AA$11,1,MATCH($E179,Parameters!$X$3:$AA$3,0))),BC179*(1+INDEX(Response_Table!$K$4:$K$21,MATCH($F179&amp;"|high",Response_Table!$A$4:$A$21,0))*$R179*INDEX(Parameters!$X$11:$AA$11,1,MATCH($E179,Parameters!$X$3:$AA$3,0))))*(1-Inputs_General!$C$22*Parameters!$F$11))</f>
        <v>0.796777299830348</v>
      </c>
      <c r="BF179" s="46" t="n">
        <f aca="false">MAX(BC179*(1+INDEX(Response_Table!$K$4:$K$21,MATCH($F179&amp;"|low",Response_Table!$A$4:$A$21,0))*$R179*INDEX(Parameters!$X$11:$AA$11,1,MATCH($E179,Parameters!$X$3:$AA$3,0))),BC179*(1+INDEX(Response_Table!$K$4:$K$21,MATCH($F179&amp;"|high",Response_Table!$A$4:$A$21,0))*$R179*INDEX(Parameters!$X$11:$AA$11,1,MATCH($E179,Parameters!$X$3:$AA$3,0))))*(1+Inputs_General!$C$22*Parameters!$F$11)</f>
        <v>1.2084333142063</v>
      </c>
      <c r="BG179" s="45" t="n">
        <f aca="false">IF(BC179=0,0,BD179/BC179-1)</f>
        <v>-0.161488492313542</v>
      </c>
      <c r="BH179" s="46" t="n">
        <f aca="false">Parameters!$E$12*IF($N179="V",Parameters!$I$12,IF($N179="F",Parameters!$J$12,Parameters!$K$12))*(1-Parameters!$L$12*$P179)*IF($D179="V1",Parameters!$M$12,IF($D179="V2",Parameters!$N$12,Parameters!$O$12))</f>
        <v>0.426904553571429</v>
      </c>
      <c r="BI179" s="46" t="n">
        <f aca="false">BH179*(1+INDEX(Response_Table!$L$4:$L$21,MATCH($F179&amp;"|mid",Response_Table!$A$4:$A$21,0))*$R179*INDEX(Parameters!$X$12:$AA$12,1,MATCH($E179,Parameters!$X$3:$AA$3,0)))</f>
        <v>0.37179538325327</v>
      </c>
      <c r="BJ179" s="46" t="n">
        <f aca="false">MAX(0,MIN(BH179*(1+INDEX(Response_Table!$L$4:$L$21,MATCH($F179&amp;"|low",Response_Table!$A$4:$A$21,0))*$R179*INDEX(Parameters!$X$12:$AA$12,1,MATCH($E179,Parameters!$X$3:$AA$3,0))),BH179*(1+INDEX(Response_Table!$L$4:$L$21,MATCH($F179&amp;"|high",Response_Table!$A$4:$A$21,0))*$R179*INDEX(Parameters!$X$12:$AA$12,1,MATCH($E179,Parameters!$X$3:$AA$3,0))))*(1-Inputs_General!$C$22*Parameters!$F$12))</f>
        <v>0.288906941936207</v>
      </c>
      <c r="BK179" s="46" t="n">
        <f aca="false">MAX(BH179*(1+INDEX(Response_Table!$L$4:$L$21,MATCH($F179&amp;"|low",Response_Table!$A$4:$A$21,0))*$R179*INDEX(Parameters!$X$12:$AA$12,1,MATCH($E179,Parameters!$X$3:$AA$3,0))),BH179*(1+INDEX(Response_Table!$L$4:$L$21,MATCH($F179&amp;"|high",Response_Table!$A$4:$A$21,0))*$R179*INDEX(Parameters!$X$12:$AA$12,1,MATCH($E179,Parameters!$X$3:$AA$3,0))))*(1+Inputs_General!$C$22*Parameters!$F$12)</f>
        <v>0.460230982817722</v>
      </c>
      <c r="BL179" s="45" t="n">
        <f aca="false">IF(BH179=0,0,BI179/BH179-1)</f>
        <v>-0.129090144054735</v>
      </c>
      <c r="BM179" s="46" t="n">
        <f aca="false">Parameters!$E$13*IF($N179="V",Parameters!$I$13,IF($N179="F",Parameters!$J$13,Parameters!$K$13))*(1-Parameters!$L$13*$P179)*IF($D179="V1",Parameters!$M$13,IF($D179="V2",Parameters!$N$13,Parameters!$O$13))</f>
        <v>0.284801517857143</v>
      </c>
      <c r="BN179" s="46" t="n">
        <f aca="false">BM179*(1+INDEX(Response_Table!$M$4:$M$21,MATCH($F179&amp;"|mid",Response_Table!$A$4:$A$21,0))*$R179*INDEX(Parameters!$X$13:$AA$13,1,MATCH($E179,Parameters!$X$3:$AA$3,0)))</f>
        <v>0.288674733511632</v>
      </c>
      <c r="BO179" s="46" t="n">
        <f aca="false">MAX(0,MIN(BM179*(1+INDEX(Response_Table!$M$4:$M$21,MATCH($F179&amp;"|low",Response_Table!$A$4:$A$21,0))*$R179*INDEX(Parameters!$X$13:$AA$13,1,MATCH($E179,Parameters!$X$3:$AA$3,0))),BM179*(1+INDEX(Response_Table!$M$4:$M$21,MATCH($F179&amp;"|high",Response_Table!$A$4:$A$21,0))*$R179*INDEX(Parameters!$X$13:$AA$13,1,MATCH($E179,Parameters!$X$3:$AA$3,0))))*(1-Inputs_General!$C$22*Parameters!$F$13))</f>
        <v>0.227658232080022</v>
      </c>
      <c r="BP179" s="46" t="n">
        <f aca="false">MAX(BM179*(1+INDEX(Response_Table!$M$4:$M$21,MATCH($F179&amp;"|low",Response_Table!$A$4:$A$21,0))*$R179*INDEX(Parameters!$X$13:$AA$13,1,MATCH($E179,Parameters!$X$3:$AA$3,0))),BM179*(1+INDEX(Response_Table!$M$4:$M$21,MATCH($F179&amp;"|high",Response_Table!$A$4:$A$21,0))*$R179*INDEX(Parameters!$X$13:$AA$13,1,MATCH($E179,Parameters!$X$3:$AA$3,0))))*(1+Inputs_General!$C$22*Parameters!$F$13)</f>
        <v>0.349880840980746</v>
      </c>
      <c r="BQ179" s="45" t="n">
        <f aca="false">IF(BM179=0,0,BN179/BM179-1)</f>
        <v>0.0135997015873786</v>
      </c>
      <c r="BR179" s="44" t="n">
        <f aca="false">Parameters!$E$14*IF($N179="V",Parameters!$I$14,IF($N179="F",Parameters!$J$14,Parameters!$K$14))*(1-Parameters!$L$14*$P179)*IF($D179="V1",Parameters!$M$14,IF($D179="V2",Parameters!$N$14,Parameters!$O$14))*INDEX(Context!$AC$4:$AC$51,$K179)</f>
        <v>17.325</v>
      </c>
      <c r="BS179" s="44" t="n">
        <f aca="false">BR179*(1+INDEX(Response_Table!$N$4:$N$21,MATCH($F179&amp;"|mid",Response_Table!$A$4:$A$21,0))*$R179*INDEX(Parameters!$X$14:$AA$14,1,MATCH($E179,Parameters!$X$3:$AA$3,0)))</f>
        <v>19.7648037226345</v>
      </c>
      <c r="BT179" s="44" t="n">
        <f aca="false">MAX(0,MIN(BR179*(1+INDEX(Response_Table!$N$4:$N$21,MATCH($F179&amp;"|low",Response_Table!$A$4:$A$21,0))*$R179*INDEX(Parameters!$X$14:$AA$14,1,MATCH($E179,Parameters!$X$3:$AA$3,0))),BR179*(1+INDEX(Response_Table!$N$4:$N$21,MATCH($F179&amp;"|high",Response_Table!$A$4:$A$21,0))*$R179*INDEX(Parameters!$X$14:$AA$14,1,MATCH($E179,Parameters!$X$3:$AA$3,0))))*(1-Inputs_General!$C$22*Parameters!$F$14))</f>
        <v>9.72915730179842</v>
      </c>
      <c r="BU179" s="44" t="n">
        <f aca="false">MAX(BR179*(1+INDEX(Response_Table!$N$4:$N$21,MATCH($F179&amp;"|low",Response_Table!$A$4:$A$21,0))*$R179*INDEX(Parameters!$X$14:$AA$14,1,MATCH($E179,Parameters!$X$3:$AA$3,0))),BR179*(1+INDEX(Response_Table!$N$4:$N$21,MATCH($F179&amp;"|high",Response_Table!$A$4:$A$21,0))*$R179*INDEX(Parameters!$X$14:$AA$14,1,MATCH($E179,Parameters!$X$3:$AA$3,0))))*(1+Inputs_General!$C$22*Parameters!$F$14)</f>
        <v>30.3010450920609</v>
      </c>
      <c r="BV179" s="45" t="n">
        <f aca="false">IF(BR179=0,0,BS179/BR179-1)</f>
        <v>0.140825611696075</v>
      </c>
      <c r="BW179" s="43" t="n">
        <f aca="false">Parameters!$E$15*IF($N179="V",Parameters!$I$15,IF($N179="F",Parameters!$J$15,Parameters!$K$15))*(1-Parameters!$L$15*$P179)*IF($D179="V1",Parameters!$M$15,IF($D179="V2",Parameters!$N$15,Parameters!$O$15))</f>
        <v>11.6477537142857</v>
      </c>
      <c r="BX179" s="43" t="n">
        <f aca="false">BW179*(1+INDEX(Response_Table!$O$4:$O$21,MATCH($F179&amp;"|mid",Response_Table!$A$4:$A$21,0))*$R179*INDEX(Parameters!$X$15:$AA$15,1,MATCH($E179,Parameters!$X$3:$AA$3,0)))</f>
        <v>11.2376782038608</v>
      </c>
      <c r="BY179" s="43" t="n">
        <f aca="false">MAX(0,MIN(BW179*(1+INDEX(Response_Table!$O$4:$O$21,MATCH($F179&amp;"|low",Response_Table!$A$4:$A$21,0))*$R179*INDEX(Parameters!$X$15:$AA$15,1,MATCH($E179,Parameters!$X$3:$AA$3,0))),BW179*(1+INDEX(Response_Table!$O$4:$O$21,MATCH($F179&amp;"|high",Response_Table!$A$4:$A$21,0))*$R179*INDEX(Parameters!$X$15:$AA$15,1,MATCH($E179,Parameters!$X$3:$AA$3,0))))*(1-Inputs_General!$C$22*Parameters!$F$15))</f>
        <v>8.94869913887185</v>
      </c>
      <c r="BZ179" s="43" t="n">
        <f aca="false">MAX(BW179*(1+INDEX(Response_Table!$O$4:$O$21,MATCH($F179&amp;"|low",Response_Table!$A$4:$A$21,0))*$R179*INDEX(Parameters!$X$15:$AA$15,1,MATCH($E179,Parameters!$X$3:$AA$3,0))),BW179*(1+INDEX(Response_Table!$O$4:$O$21,MATCH($F179&amp;"|high",Response_Table!$A$4:$A$21,0))*$R179*INDEX(Parameters!$X$15:$AA$15,1,MATCH($E179,Parameters!$X$3:$AA$3,0))))*(1+Inputs_General!$C$22*Parameters!$F$15)</f>
        <v>13.5679344961529</v>
      </c>
      <c r="CA179" s="45" t="n">
        <f aca="false">IF(BW179=0,0,BX179/BW179-1)</f>
        <v>-0.0352064029240187</v>
      </c>
      <c r="CB179" s="46" t="n">
        <f aca="false">BD179+BI179</f>
        <v>1.36614088562381</v>
      </c>
      <c r="CC179" s="43" t="n">
        <f aca="false">BD179/BI179</f>
        <v>2.67444284452875</v>
      </c>
      <c r="CD179" s="46" t="n">
        <f aca="false">BN179/CB179</f>
        <v>0.21130670822418</v>
      </c>
      <c r="CE179" s="43" t="n">
        <f aca="false">AE179/AO179</f>
        <v>3.34168287660251</v>
      </c>
      <c r="CF179" s="44" t="n">
        <f aca="false">AE179/AJ179</f>
        <v>41.0163648438004</v>
      </c>
      <c r="CG179" s="44" t="n">
        <f aca="false">INDEX(Context!$V$4:$V$51,$K179)</f>
        <v>25.5785714285714</v>
      </c>
      <c r="CH179" s="44" t="n">
        <f aca="false">INDEX(Context!$Y$4:$Y$51,$K179)</f>
        <v>23.620522619794</v>
      </c>
      <c r="CI179" s="44" t="n">
        <f aca="false">INDEX(Context!$Z$4:$Z$51,$K179)</f>
        <v>29.5785714285714</v>
      </c>
      <c r="CJ179" s="43" t="n">
        <f aca="false">INDEX(Context!$AA$4:$AA$51,$K179)</f>
        <v>0.121160714285714</v>
      </c>
      <c r="CK179" s="43" t="n">
        <f aca="false">MAX(0,MIN(1,1-(1-CJ179)*AO179/AN179))</f>
        <v>0.240342131963976</v>
      </c>
      <c r="CL179" s="44" t="n">
        <f aca="false">CH179+CK179*(CI179-CH179)</f>
        <v>25.052492772841</v>
      </c>
      <c r="CM179" s="44" t="n">
        <f aca="false">CH179+MAX(0,MIN(1,1-(1-CJ179)*AQ179/AN179))*(CI179-CH179)</f>
        <v>23.620522619794</v>
      </c>
      <c r="CN179" s="44" t="n">
        <f aca="false">CH179+MAX(0,MIN(1,1-(1-CJ179)*AP179/AN179))*(CI179-CH179)</f>
        <v>26.5308149612536</v>
      </c>
      <c r="CO179" s="44" t="n">
        <f aca="false">CL179-CG179</f>
        <v>-0.52607865573043</v>
      </c>
      <c r="CP179" s="44" t="n">
        <f aca="false">CL179-(CH179+CJ179*(CI179-CH179))</f>
        <v>0.710088703626372</v>
      </c>
      <c r="CQ179" s="46" t="n">
        <f aca="false">CL179/CG179</f>
        <v>0.97943283669303</v>
      </c>
      <c r="CR179" s="43" t="n">
        <f aca="false">IF(CL179-CH179&lt;=0,"n/a",(CI179-CL179)/(CL179-CH179))</f>
        <v>3.16073533104003</v>
      </c>
      <c r="CS179" s="43" t="n">
        <f aca="false">IF(CI179-CL179&lt;=0,"n/a",(CL179-CH179)/(CI179-CL179))</f>
        <v>0.316382074189981</v>
      </c>
      <c r="CT179" s="43" t="n">
        <f aca="false">Inputs_General!$C$23+Inputs_General!$C$24*$I179</f>
        <v>0.76</v>
      </c>
      <c r="CU179" s="44" t="n">
        <f aca="false">3.29*CT179</f>
        <v>2.5004</v>
      </c>
    </row>
    <row r="180" customFormat="false" ht="15" hidden="false" customHeight="false" outlineLevel="0" collapsed="false">
      <c r="A180" s="9" t="str">
        <f aca="false">B180&amp;"|"&amp;E180&amp;"|"&amp;F180</f>
        <v>D3V2|24/02/2026|Moderate</v>
      </c>
      <c r="B180" s="7" t="s">
        <v>350</v>
      </c>
      <c r="C180" s="9" t="s">
        <v>131</v>
      </c>
      <c r="D180" s="9" t="s">
        <v>146</v>
      </c>
      <c r="E180" s="9" t="s">
        <v>160</v>
      </c>
      <c r="F180" s="7" t="s">
        <v>281</v>
      </c>
      <c r="G180" s="9" t="s">
        <v>282</v>
      </c>
      <c r="H180" s="41" t="n">
        <f aca="false">INDEX(Severity_Classes!$C$4:$C$9,MATCH(F180,Severity_Classes!$A$4:$A$9,0))</f>
        <v>0.11</v>
      </c>
      <c r="I180" s="41" t="n">
        <f aca="false">INDEX(Severity_Classes!$D$4:$D$9,MATCH(F180,Severity_Classes!$A$4:$A$9,0))</f>
        <v>0.18</v>
      </c>
      <c r="J180" s="41" t="n">
        <f aca="false">INDEX(Severity_Classes!$E$4:$E$9,MATCH(F180,Severity_Classes!$A$4:$A$9,0))</f>
        <v>0.25</v>
      </c>
      <c r="K180" s="42" t="n">
        <f aca="false">MATCH(B180&amp;"|"&amp;E180,Context!$A$4:$A$51,0)</f>
        <v>30</v>
      </c>
      <c r="L180" s="42" t="n">
        <f aca="false">INDEX(Context!$H$4:$H$51,K180)</f>
        <v>59</v>
      </c>
      <c r="M180" s="42" t="n">
        <f aca="false">INDEX(Context!$I$4:$I$51,K180)</f>
        <v>19</v>
      </c>
      <c r="N180" s="9" t="str">
        <f aca="false">INDEX(Context!$L$4:$L$51,K180)</f>
        <v>V</v>
      </c>
      <c r="O180" s="9" t="str">
        <f aca="false">INDEX(Context!$M$4:$M$51,K180)</f>
        <v>3rd fully expanded leaf from top</v>
      </c>
      <c r="P180" s="43" t="n">
        <f aca="false">INDEX(Context!$R$4:$R$51,K180)</f>
        <v>0.0232142857142859</v>
      </c>
      <c r="Q180" s="43" t="n">
        <f aca="false">INDEX(Context!$U$4:$U$51,K180)</f>
        <v>1.19492600027053</v>
      </c>
      <c r="R180" s="43" t="n">
        <f aca="false">INDEX(Context!$AD$4:$AD$51,K180)</f>
        <v>1.1</v>
      </c>
      <c r="S180" s="9" t="str">
        <f aca="false">INDEX(Context!$AI$4:$AN$51,K180,MATCH(F180,Severity_Classes!$A$4:$A$9,0))</f>
        <v>Likely</v>
      </c>
      <c r="T180" s="44" t="n">
        <f aca="false">Parameters!$E$4*IF($N180="V",Parameters!$I$4,IF($N180="F",Parameters!$J$4,Parameters!$K$4))*(1-Parameters!$L$4*$P180)*IF($D180="V1",Parameters!$M$4,IF($D180="V2",Parameters!$N$4,Parameters!$O$4))</f>
        <v>85.9001785714286</v>
      </c>
      <c r="U180" s="44" t="n">
        <f aca="false">MIN(100,T180*(1+INDEX(Response_Table!$E$4:$E$21,MATCH($F180&amp;"|mid",Response_Table!$A$4:$A$21,0))*$R180*INDEX(Parameters!$X$4:$AA$4,1,MATCH($E180,Parameters!$X$3:$AA$3,0))))</f>
        <v>81.6018264684527</v>
      </c>
      <c r="V180" s="44" t="n">
        <f aca="false">MAX(0,MIN(T180*(1+INDEX(Response_Table!$E$4:$E$21,MATCH($F180&amp;"|low",Response_Table!$A$4:$A$21,0))*$R180*INDEX(Parameters!$X$4:$AA$4,1,MATCH($E180,Parameters!$X$3:$AA$3,0))),T180*(1+INDEX(Response_Table!$E$4:$E$21,MATCH($F180&amp;"|high",Response_Table!$A$4:$A$21,0))*$R180*INDEX(Parameters!$X$4:$AA$4,1,MATCH($E180,Parameters!$X$3:$AA$3,0))))*(1-Inputs_General!$C$22*Parameters!$F$4))</f>
        <v>73.2244322330114</v>
      </c>
      <c r="W180" s="44" t="n">
        <f aca="false">MIN(100,MAX(T180*(1+INDEX(Response_Table!$E$4:$E$21,MATCH($F180&amp;"|low",Response_Table!$A$4:$A$21,0))*$R180*INDEX(Parameters!$X$4:$AA$4,1,MATCH($E180,Parameters!$X$3:$AA$3,0))),T180*(1+INDEX(Response_Table!$E$4:$E$21,MATCH($F180&amp;"|high",Response_Table!$A$4:$A$21,0))*$R180*INDEX(Parameters!$X$4:$AA$4,1,MATCH($E180,Parameters!$X$3:$AA$3,0))))*(1+Inputs_General!$C$22*Parameters!$F$4))</f>
        <v>89.3910325314647</v>
      </c>
      <c r="X180" s="45" t="n">
        <f aca="false">IF(T180=0,0,U180/T180-1)</f>
        <v>-0.0500389192951635</v>
      </c>
      <c r="Y180" s="44" t="n">
        <f aca="false">Parameters!$E$5*IF($N180="V",Parameters!$I$5,IF($N180="F",Parameters!$J$5,Parameters!$K$5))*(1-Parameters!$L$5*$P180)*IF($D180="V1",Parameters!$M$5,IF($D180="V2",Parameters!$N$5,Parameters!$O$5))</f>
        <v>71.7994285714286</v>
      </c>
      <c r="Z180" s="44" t="n">
        <f aca="false">MIN(100,Y180*(1+INDEX(Response_Table!$F$4:$F$21,MATCH($F180&amp;"|mid",Response_Table!$A$4:$A$21,0))*$R180*INDEX(Parameters!$X$5:$AA$5,1,MATCH($E180,Parameters!$X$3:$AA$3,0))))</f>
        <v>59.3886107458156</v>
      </c>
      <c r="AA180" s="44" t="n">
        <f aca="false">MAX(0,MIN(Y180*(1+INDEX(Response_Table!$F$4:$F$21,MATCH($F180&amp;"|low",Response_Table!$A$4:$A$21,0))*$R180*INDEX(Parameters!$X$5:$AA$5,1,MATCH($E180,Parameters!$X$3:$AA$3,0))),Y180*(1+INDEX(Response_Table!$F$4:$F$21,MATCH($F180&amp;"|high",Response_Table!$A$4:$A$21,0))*$R180*INDEX(Parameters!$X$5:$AA$5,1,MATCH($E180,Parameters!$X$3:$AA$3,0))))*(1-Inputs_General!$C$22*Parameters!$F$5))</f>
        <v>44.4225436579428</v>
      </c>
      <c r="AB180" s="44" t="n">
        <f aca="false">MIN(100,MAX(Y180*(1+INDEX(Response_Table!$F$4:$F$21,MATCH($F180&amp;"|low",Response_Table!$A$4:$A$21,0))*$R180*INDEX(Parameters!$X$5:$AA$5,1,MATCH($E180,Parameters!$X$3:$AA$3,0))),Y180*(1+INDEX(Response_Table!$F$4:$F$21,MATCH($F180&amp;"|high",Response_Table!$A$4:$A$21,0))*$R180*INDEX(Parameters!$X$5:$AA$5,1,MATCH($E180,Parameters!$X$3:$AA$3,0))))*(1+Inputs_General!$C$22*Parameters!$F$5))</f>
        <v>73.7140340915095</v>
      </c>
      <c r="AC180" s="45" t="n">
        <f aca="false">IF(Y180=0,0,Z180/Y180-1)</f>
        <v>-0.172853991634017</v>
      </c>
      <c r="AD180" s="44" t="n">
        <f aca="false">Parameters!$E$6*IF($N180="V",Parameters!$I$6,IF($N180="F",Parameters!$J$6,Parameters!$K$6))*(1-Parameters!$L$6*$P180)*IF($D180="V1",Parameters!$M$6,IF($D180="V2",Parameters!$N$6,Parameters!$O$6))</f>
        <v>18.9470714285714</v>
      </c>
      <c r="AE180" s="44" t="n">
        <f aca="false">AD180*(1+INDEX(Response_Table!$G$4:$G$21,MATCH($F180&amp;"|mid",Response_Table!$A$4:$A$21,0))*$R180*INDEX(Parameters!$X$6:$AA$6,1,MATCH($E180,Parameters!$X$3:$AA$3,0)))</f>
        <v>10.3957628266539</v>
      </c>
      <c r="AF180" s="44" t="n">
        <f aca="false">MAX(0,MIN(AD180*(1+INDEX(Response_Table!$G$4:$G$21,MATCH($F180&amp;"|low",Response_Table!$A$4:$A$21,0))*$R180*INDEX(Parameters!$X$6:$AA$6,1,MATCH($E180,Parameters!$X$3:$AA$3,0))),AD180*(1+INDEX(Response_Table!$G$4:$G$21,MATCH($F180&amp;"|high",Response_Table!$A$4:$A$21,0))*$R180*INDEX(Parameters!$X$6:$AA$6,1,MATCH($E180,Parameters!$X$3:$AA$3,0))))*(1-Inputs_General!$C$22*Parameters!$F$6))</f>
        <v>6.83731453862767</v>
      </c>
      <c r="AG180" s="44" t="n">
        <f aca="false">MAX(AD180*(1+INDEX(Response_Table!$G$4:$G$21,MATCH($F180&amp;"|low",Response_Table!$A$4:$A$21,0))*$R180*INDEX(Parameters!$X$6:$AA$6,1,MATCH($E180,Parameters!$X$3:$AA$3,0))),AD180*(1+INDEX(Response_Table!$G$4:$G$21,MATCH($F180&amp;"|high",Response_Table!$A$4:$A$21,0))*$R180*INDEX(Parameters!$X$6:$AA$6,1,MATCH($E180,Parameters!$X$3:$AA$3,0))))*(1+Inputs_General!$C$22*Parameters!$F$6)</f>
        <v>15.5057731655081</v>
      </c>
      <c r="AH180" s="45" t="n">
        <f aca="false">IF(AD180=0,0,AE180/AD180-1)</f>
        <v>-0.45132613945934</v>
      </c>
      <c r="AI180" s="46" t="n">
        <f aca="false">Parameters!$E$7*IF($N180="V",Parameters!$I$7,IF($N180="F",Parameters!$J$7,Parameters!$K$7))*(1-Parameters!$L$7*$P180)*IF($D180="V1",Parameters!$M$7,IF($D180="V2",Parameters!$N$7,Parameters!$O$7))*POWER($Q180/Inputs_General!$C$26,-Inputs_General!$C$25)</f>
        <v>0.411663164578586</v>
      </c>
      <c r="AJ180" s="46" t="n">
        <f aca="false">AI180*(1+INDEX(Response_Table!$H$4:$H$21,MATCH($F180&amp;"|mid",Response_Table!$A$4:$A$21,0))*$R180*INDEX(Parameters!$X$7:$AA$7,1,MATCH($E180,Parameters!$X$3:$AA$3,0)))</f>
        <v>0.288849634558213</v>
      </c>
      <c r="AK180" s="46" t="n">
        <f aca="false">MAX(0,MIN(AI180*(1+INDEX(Response_Table!$H$4:$H$21,MATCH($F180&amp;"|low",Response_Table!$A$4:$A$21,0))*$R180*INDEX(Parameters!$X$7:$AA$7,1,MATCH($E180,Parameters!$X$3:$AA$3,0))),AI180*(1+INDEX(Response_Table!$H$4:$H$21,MATCH($F180&amp;"|high",Response_Table!$A$4:$A$21,0))*$R180*INDEX(Parameters!$X$7:$AA$7,1,MATCH($E180,Parameters!$X$3:$AA$3,0))))*(1-Inputs_General!$C$22*Parameters!$F$7))</f>
        <v>0.180451788171925</v>
      </c>
      <c r="AL180" s="46" t="n">
        <f aca="false">MAX(AI180*(1+INDEX(Response_Table!$H$4:$H$21,MATCH($F180&amp;"|low",Response_Table!$A$4:$A$21,0))*$R180*INDEX(Parameters!$X$7:$AA$7,1,MATCH($E180,Parameters!$X$3:$AA$3,0))),AI180*(1+INDEX(Response_Table!$H$4:$H$21,MATCH($F180&amp;"|high",Response_Table!$A$4:$A$21,0))*$R180*INDEX(Parameters!$X$7:$AA$7,1,MATCH($E180,Parameters!$X$3:$AA$3,0))))*(1+Inputs_General!$C$22*Parameters!$F$7)</f>
        <v>0.426328002612986</v>
      </c>
      <c r="AM180" s="45" t="n">
        <f aca="false">IF(AI180=0,0,AJ180/AI180-1)</f>
        <v>-0.298334999552597</v>
      </c>
      <c r="AN180" s="43" t="n">
        <f aca="false">AI180*$Q180/Inputs_General!$C$13*1000</f>
        <v>4.95374641196979</v>
      </c>
      <c r="AO180" s="43" t="n">
        <f aca="false">AJ180*$Q180/Inputs_General!$C$13*1000*(1+Inputs_General!$C$21*$I180)</f>
        <v>3.6322846498978</v>
      </c>
      <c r="AP180" s="43" t="n">
        <f aca="false">AK180*$Q180/Inputs_General!$C$13*1000*(1+Inputs_General!$C$21*$H180)</f>
        <v>2.23118089781165</v>
      </c>
      <c r="AQ180" s="43" t="n">
        <f aca="false">AL180*$Q180/Inputs_General!$C$13*1000*(1+Inputs_General!$C$21*$J180)</f>
        <v>5.45085413797597</v>
      </c>
      <c r="AR180" s="45" t="n">
        <f aca="false">IF(AN180=0,0,AO180/AN180-1)</f>
        <v>-0.266760074532464</v>
      </c>
      <c r="AS180" s="42" t="n">
        <f aca="false">Parameters!$E$9*IF($N180="V",Parameters!$I$9,IF($N180="F",Parameters!$J$9,Parameters!$K$9))*(1-Parameters!$L$9*$P180)*IF($D180="V1",Parameters!$M$9,IF($D180="V2",Parameters!$N$9,Parameters!$O$9))</f>
        <v>285</v>
      </c>
      <c r="AT180" s="42" t="n">
        <f aca="false">AS180*(1+INDEX(Response_Table!$I$4:$I$21,MATCH($F180&amp;"|mid",Response_Table!$A$4:$A$21,0))*$R180*INDEX(Parameters!$X$9:$AA$9,1,MATCH($E180,Parameters!$X$3:$AA$3,0)))</f>
        <v>333.270950326965</v>
      </c>
      <c r="AU180" s="42" t="n">
        <f aca="false">MAX(0,MIN(AS180*(1+INDEX(Response_Table!$I$4:$I$21,MATCH($F180&amp;"|low",Response_Table!$A$4:$A$21,0))*$R180*INDEX(Parameters!$X$9:$AA$9,1,MATCH($E180,Parameters!$X$3:$AA$3,0))),AS180*(1+INDEX(Response_Table!$I$4:$I$21,MATCH($F180&amp;"|high",Response_Table!$A$4:$A$21,0))*$R180*INDEX(Parameters!$X$9:$AA$9,1,MATCH($E180,Parameters!$X$3:$AA$3,0))))*(1-Inputs_General!$C$22*Parameters!$F$9))</f>
        <v>287.044559024394</v>
      </c>
      <c r="AV180" s="42" t="n">
        <f aca="false">MAX(AS180*(1+INDEX(Response_Table!$I$4:$I$21,MATCH($F180&amp;"|low",Response_Table!$A$4:$A$21,0))*$R180*INDEX(Parameters!$X$9:$AA$9,1,MATCH($E180,Parameters!$X$3:$AA$3,0))),AS180*(1+INDEX(Response_Table!$I$4:$I$21,MATCH($F180&amp;"|high",Response_Table!$A$4:$A$21,0))*$R180*INDEX(Parameters!$X$9:$AA$9,1,MATCH($E180,Parameters!$X$3:$AA$3,0))))*(1+Inputs_General!$C$22*Parameters!$F$9)</f>
        <v>378.448246193483</v>
      </c>
      <c r="AW180" s="45" t="n">
        <f aca="false">IF(AS180=0,0,AT180/AS180-1)</f>
        <v>0.169371755533209</v>
      </c>
      <c r="AX180" s="43" t="n">
        <f aca="false">INDEX(Context!$AB$4:$AB$51,$K180)</f>
        <v>2.25291371771685</v>
      </c>
      <c r="AY180" s="43" t="n">
        <f aca="false">AX180*(1+INDEX(Response_Table!$J$4:$J$21,MATCH($F180&amp;"|mid",Response_Table!$A$4:$A$21,0))*$R180*INDEX(Parameters!$X$10:$AA$10,1,MATCH($E180,Parameters!$X$3:$AA$3,0)))</f>
        <v>1.84879942619462</v>
      </c>
      <c r="AZ180" s="43" t="n">
        <f aca="false">MAX(0,MIN(AX180*(1+INDEX(Response_Table!$J$4:$J$21,MATCH($F180&amp;"|low",Response_Table!$A$4:$A$21,0))*$R180*INDEX(Parameters!$X$10:$AA$10,1,MATCH($E180,Parameters!$X$3:$AA$3,0))),AX180*(1+INDEX(Response_Table!$J$4:$J$21,MATCH($F180&amp;"|high",Response_Table!$A$4:$A$21,0))*$R180*INDEX(Parameters!$X$10:$AA$10,1,MATCH($E180,Parameters!$X$3:$AA$3,0))))*(1-Inputs_General!$C$22*Parameters!$F$10))</f>
        <v>1.39222274284728</v>
      </c>
      <c r="BA180" s="43" t="n">
        <f aca="false">MAX(AX180*(1+INDEX(Response_Table!$J$4:$J$21,MATCH($F180&amp;"|low",Response_Table!$A$4:$A$21,0))*$R180*INDEX(Parameters!$X$10:$AA$10,1,MATCH($E180,Parameters!$X$3:$AA$3,0))),AX180*(1+INDEX(Response_Table!$J$4:$J$21,MATCH($F180&amp;"|high",Response_Table!$A$4:$A$21,0))*$R180*INDEX(Parameters!$X$10:$AA$10,1,MATCH($E180,Parameters!$X$3:$AA$3,0))))*(1+Inputs_General!$C$22*Parameters!$F$10)</f>
        <v>2.37658802875742</v>
      </c>
      <c r="BB180" s="45" t="n">
        <f aca="false">IF(AX180=0,0,AY180/AX180-1)</f>
        <v>-0.179374064947222</v>
      </c>
      <c r="BC180" s="46" t="n">
        <f aca="false">Parameters!$E$11*IF($N180="V",Parameters!$I$11,IF($N180="F",Parameters!$J$11,Parameters!$K$11))*(1-Parameters!$L$11*$P180)*IF($D180="V1",Parameters!$M$11,IF($D180="V2",Parameters!$N$11,Parameters!$O$11))</f>
        <v>1.18584598214286</v>
      </c>
      <c r="BD180" s="46" t="n">
        <f aca="false">BC180*(1+INDEX(Response_Table!$K$4:$K$21,MATCH($F180&amp;"|mid",Response_Table!$A$4:$A$21,0))*$R180*INDEX(Parameters!$X$11:$AA$11,1,MATCH($E180,Parameters!$X$3:$AA$3,0)))</f>
        <v>0.814595372331173</v>
      </c>
      <c r="BE180" s="46" t="n">
        <f aca="false">MAX(0,MIN(BC180*(1+INDEX(Response_Table!$K$4:$K$21,MATCH($F180&amp;"|low",Response_Table!$A$4:$A$21,0))*$R180*INDEX(Parameters!$X$11:$AA$11,1,MATCH($E180,Parameters!$X$3:$AA$3,0))),BC180*(1+INDEX(Response_Table!$K$4:$K$21,MATCH($F180&amp;"|high",Response_Table!$A$4:$A$21,0))*$R180*INDEX(Parameters!$X$11:$AA$11,1,MATCH($E180,Parameters!$X$3:$AA$3,0))))*(1-Inputs_General!$C$22*Parameters!$F$11))</f>
        <v>0.600676953235052</v>
      </c>
      <c r="BF180" s="46" t="n">
        <f aca="false">MAX(BC180*(1+INDEX(Response_Table!$K$4:$K$21,MATCH($F180&amp;"|low",Response_Table!$A$4:$A$21,0))*$R180*INDEX(Parameters!$X$11:$AA$11,1,MATCH($E180,Parameters!$X$3:$AA$3,0))),BC180*(1+INDEX(Response_Table!$K$4:$K$21,MATCH($F180&amp;"|high",Response_Table!$A$4:$A$21,0))*$R180*INDEX(Parameters!$X$11:$AA$11,1,MATCH($E180,Parameters!$X$3:$AA$3,0))))*(1+Inputs_General!$C$22*Parameters!$F$11)</f>
        <v>1.08794945959228</v>
      </c>
      <c r="BG180" s="45" t="n">
        <f aca="false">IF(BC180=0,0,BD180/BC180-1)</f>
        <v>-0.313068151684272</v>
      </c>
      <c r="BH180" s="46" t="n">
        <f aca="false">Parameters!$E$12*IF($N180="V",Parameters!$I$12,IF($N180="F",Parameters!$J$12,Parameters!$K$12))*(1-Parameters!$L$12*$P180)*IF($D180="V1",Parameters!$M$12,IF($D180="V2",Parameters!$N$12,Parameters!$O$12))</f>
        <v>0.426904553571429</v>
      </c>
      <c r="BI180" s="46" t="n">
        <f aca="false">BH180*(1+INDEX(Response_Table!$L$4:$L$21,MATCH($F180&amp;"|mid",Response_Table!$A$4:$A$21,0))*$R180*INDEX(Parameters!$X$12:$AA$12,1,MATCH($E180,Parameters!$X$3:$AA$3,0)))</f>
        <v>0.319137917587884</v>
      </c>
      <c r="BJ180" s="46" t="n">
        <f aca="false">MAX(0,MIN(BH180*(1+INDEX(Response_Table!$L$4:$L$21,MATCH($F180&amp;"|low",Response_Table!$A$4:$A$21,0))*$R180*INDEX(Parameters!$X$12:$AA$12,1,MATCH($E180,Parameters!$X$3:$AA$3,0))),BH180*(1+INDEX(Response_Table!$L$4:$L$21,MATCH($F180&amp;"|high",Response_Table!$A$4:$A$21,0))*$R180*INDEX(Parameters!$X$12:$AA$12,1,MATCH($E180,Parameters!$X$3:$AA$3,0))))*(1-Inputs_General!$C$22*Parameters!$F$12))</f>
        <v>0.233258703142998</v>
      </c>
      <c r="BK180" s="46" t="n">
        <f aca="false">MAX(BH180*(1+INDEX(Response_Table!$L$4:$L$21,MATCH($F180&amp;"|low",Response_Table!$A$4:$A$21,0))*$R180*INDEX(Parameters!$X$12:$AA$12,1,MATCH($E180,Parameters!$X$3:$AA$3,0))),BH180*(1+INDEX(Response_Table!$L$4:$L$21,MATCH($F180&amp;"|high",Response_Table!$A$4:$A$21,0))*$R180*INDEX(Parameters!$X$12:$AA$12,1,MATCH($E180,Parameters!$X$3:$AA$3,0))))*(1+Inputs_General!$C$22*Parameters!$F$12)</f>
        <v>0.424249533163753</v>
      </c>
      <c r="BL180" s="45" t="n">
        <f aca="false">IF(BH180=0,0,BI180/BH180-1)</f>
        <v>-0.252437307313736</v>
      </c>
      <c r="BM180" s="46" t="n">
        <f aca="false">Parameters!$E$13*IF($N180="V",Parameters!$I$13,IF($N180="F",Parameters!$J$13,Parameters!$K$13))*(1-Parameters!$L$13*$P180)*IF($D180="V1",Parameters!$M$13,IF($D180="V2",Parameters!$N$13,Parameters!$O$13))</f>
        <v>0.284801517857143</v>
      </c>
      <c r="BN180" s="46" t="n">
        <f aca="false">BM180*(1+INDEX(Response_Table!$M$4:$M$21,MATCH($F180&amp;"|mid",Response_Table!$A$4:$A$21,0))*$R180*INDEX(Parameters!$X$13:$AA$13,1,MATCH($E180,Parameters!$X$3:$AA$3,0)))</f>
        <v>0.257852563251629</v>
      </c>
      <c r="BO180" s="46" t="n">
        <f aca="false">MAX(0,MIN(BM180*(1+INDEX(Response_Table!$M$4:$M$21,MATCH($F180&amp;"|low",Response_Table!$A$4:$A$21,0))*$R180*INDEX(Parameters!$X$13:$AA$13,1,MATCH($E180,Parameters!$X$3:$AA$3,0))),BM180*(1+INDEX(Response_Table!$M$4:$M$21,MATCH($F180&amp;"|high",Response_Table!$A$4:$A$21,0))*$R180*INDEX(Parameters!$X$13:$AA$13,1,MATCH($E180,Parameters!$X$3:$AA$3,0))))*(1-Inputs_General!$C$22*Parameters!$F$13))</f>
        <v>0.189540418994709</v>
      </c>
      <c r="BP180" s="46" t="n">
        <f aca="false">MAX(BM180*(1+INDEX(Response_Table!$M$4:$M$21,MATCH($F180&amp;"|low",Response_Table!$A$4:$A$21,0))*$R180*INDEX(Parameters!$X$13:$AA$13,1,MATCH($E180,Parameters!$X$3:$AA$3,0))),BM180*(1+INDEX(Response_Table!$M$4:$M$21,MATCH($F180&amp;"|high",Response_Table!$A$4:$A$21,0))*$R180*INDEX(Parameters!$X$13:$AA$13,1,MATCH($E180,Parameters!$X$3:$AA$3,0))))*(1+Inputs_General!$C$22*Parameters!$F$13)</f>
        <v>0.336182848410753</v>
      </c>
      <c r="BQ180" s="45" t="n">
        <f aca="false">IF(BM180=0,0,BN180/BM180-1)</f>
        <v>-0.0946236340602347</v>
      </c>
      <c r="BR180" s="44" t="n">
        <f aca="false">Parameters!$E$14*IF($N180="V",Parameters!$I$14,IF($N180="F",Parameters!$J$14,Parameters!$K$14))*(1-Parameters!$L$14*$P180)*IF($D180="V1",Parameters!$M$14,IF($D180="V2",Parameters!$N$14,Parameters!$O$14))*INDEX(Context!$AC$4:$AC$51,$K180)</f>
        <v>17.325</v>
      </c>
      <c r="BS180" s="44" t="n">
        <f aca="false">BR180*(1+INDEX(Response_Table!$N$4:$N$21,MATCH($F180&amp;"|mid",Response_Table!$A$4:$A$21,0))*$R180*INDEX(Parameters!$X$14:$AA$14,1,MATCH($E180,Parameters!$X$3:$AA$3,0)))</f>
        <v>22.0960651082296</v>
      </c>
      <c r="BT180" s="44" t="n">
        <f aca="false">MAX(0,MIN(BR180*(1+INDEX(Response_Table!$N$4:$N$21,MATCH($F180&amp;"|low",Response_Table!$A$4:$A$21,0))*$R180*INDEX(Parameters!$X$14:$AA$14,1,MATCH($E180,Parameters!$X$3:$AA$3,0))),BR180*(1+INDEX(Response_Table!$N$4:$N$21,MATCH($F180&amp;"|high",Response_Table!$A$4:$A$21,0))*$R180*INDEX(Parameters!$X$14:$AA$14,1,MATCH($E180,Parameters!$X$3:$AA$3,0))))*(1-Inputs_General!$C$22*Parameters!$F$14))</f>
        <v>10.4029865677418</v>
      </c>
      <c r="BU180" s="44" t="n">
        <f aca="false">MAX(BR180*(1+INDEX(Response_Table!$N$4:$N$21,MATCH($F180&amp;"|low",Response_Table!$A$4:$A$21,0))*$R180*INDEX(Parameters!$X$14:$AA$14,1,MATCH($E180,Parameters!$X$3:$AA$3,0))),BR180*(1+INDEX(Response_Table!$N$4:$N$21,MATCH($F180&amp;"|high",Response_Table!$A$4:$A$21,0))*$R180*INDEX(Parameters!$X$14:$AA$14,1,MATCH($E180,Parameters!$X$3:$AA$3,0))))*(1+Inputs_General!$C$22*Parameters!$F$14)</f>
        <v>34.8855085187819</v>
      </c>
      <c r="BV180" s="45" t="n">
        <f aca="false">IF(BR180=0,0,BS180/BR180-1)</f>
        <v>0.275386153433167</v>
      </c>
      <c r="BW180" s="43" t="n">
        <f aca="false">Parameters!$E$15*IF($N180="V",Parameters!$I$15,IF($N180="F",Parameters!$J$15,Parameters!$K$15))*(1-Parameters!$L$15*$P180)*IF($D180="V1",Parameters!$M$15,IF($D180="V2",Parameters!$N$15,Parameters!$O$15))</f>
        <v>11.6477537142857</v>
      </c>
      <c r="BX180" s="43" t="n">
        <f aca="false">BW180*(1+INDEX(Response_Table!$O$4:$O$21,MATCH($F180&amp;"|mid",Response_Table!$A$4:$A$21,0))*$R180*INDEX(Parameters!$X$15:$AA$15,1,MATCH($E180,Parameters!$X$3:$AA$3,0)))</f>
        <v>10.8458461914072</v>
      </c>
      <c r="BY180" s="43" t="n">
        <f aca="false">MAX(0,MIN(BW180*(1+INDEX(Response_Table!$O$4:$O$21,MATCH($F180&amp;"|low",Response_Table!$A$4:$A$21,0))*$R180*INDEX(Parameters!$X$15:$AA$15,1,MATCH($E180,Parameters!$X$3:$AA$3,0))),BW180*(1+INDEX(Response_Table!$O$4:$O$21,MATCH($F180&amp;"|high",Response_Table!$A$4:$A$21,0))*$R180*INDEX(Parameters!$X$15:$AA$15,1,MATCH($E180,Parameters!$X$3:$AA$3,0))))*(1-Inputs_General!$C$22*Parameters!$F$15))</f>
        <v>8.5346123399666</v>
      </c>
      <c r="BZ180" s="43" t="n">
        <f aca="false">MAX(BW180*(1+INDEX(Response_Table!$O$4:$O$21,MATCH($F180&amp;"|low",Response_Table!$A$4:$A$21,0))*$R180*INDEX(Parameters!$X$15:$AA$15,1,MATCH($E180,Parameters!$X$3:$AA$3,0))),BW180*(1+INDEX(Response_Table!$O$4:$O$21,MATCH($F180&amp;"|high",Response_Table!$A$4:$A$21,0))*$R180*INDEX(Parameters!$X$15:$AA$15,1,MATCH($E180,Parameters!$X$3:$AA$3,0))))*(1+Inputs_General!$C$22*Parameters!$F$15)</f>
        <v>13.3001911923163</v>
      </c>
      <c r="CA180" s="45" t="n">
        <f aca="false">IF(BW180=0,0,BX180/BW180-1)</f>
        <v>-0.0688465383582918</v>
      </c>
      <c r="CB180" s="46" t="n">
        <f aca="false">BD180+BI180</f>
        <v>1.13373328991906</v>
      </c>
      <c r="CC180" s="43" t="n">
        <f aca="false">BD180/BI180</f>
        <v>2.55248695763909</v>
      </c>
      <c r="CD180" s="46" t="n">
        <f aca="false">BN180/CB180</f>
        <v>0.227436704509258</v>
      </c>
      <c r="CE180" s="43" t="n">
        <f aca="false">AE180/AO180</f>
        <v>2.8620451943232</v>
      </c>
      <c r="CF180" s="44" t="n">
        <f aca="false">AE180/AJ180</f>
        <v>35.9902232265377</v>
      </c>
      <c r="CG180" s="44" t="n">
        <f aca="false">INDEX(Context!$V$4:$V$51,$K180)</f>
        <v>25.5785714285714</v>
      </c>
      <c r="CH180" s="44" t="n">
        <f aca="false">INDEX(Context!$Y$4:$Y$51,$K180)</f>
        <v>23.620522619794</v>
      </c>
      <c r="CI180" s="44" t="n">
        <f aca="false">INDEX(Context!$Z$4:$Z$51,$K180)</f>
        <v>29.5785714285714</v>
      </c>
      <c r="CJ180" s="43" t="n">
        <f aca="false">INDEX(Context!$AA$4:$AA$51,$K180)</f>
        <v>0.121160714285714</v>
      </c>
      <c r="CK180" s="43" t="n">
        <f aca="false">MAX(0,MIN(1,1-(1-CJ180)*AO180/AN180))</f>
        <v>0.355599947644915</v>
      </c>
      <c r="CL180" s="44" t="n">
        <f aca="false">CH180+CK180*(CI180-CH180)</f>
        <v>25.7392044642611</v>
      </c>
      <c r="CM180" s="44" t="n">
        <f aca="false">CH180+MAX(0,MIN(1,1-(1-CJ180)*AQ180/AN180))*(CI180-CH180)</f>
        <v>23.8169554425534</v>
      </c>
      <c r="CN180" s="44" t="n">
        <f aca="false">CH180+MAX(0,MIN(1,1-(1-CJ180)*AP180/AN180))*(CI180-CH180)</f>
        <v>27.22018736561</v>
      </c>
      <c r="CO180" s="44" t="n">
        <f aca="false">CL180-CG180</f>
        <v>0.160633035689678</v>
      </c>
      <c r="CP180" s="44" t="n">
        <f aca="false">CL180-(CH180+CJ180*(CI180-CH180))</f>
        <v>1.39680039504648</v>
      </c>
      <c r="CQ180" s="46" t="n">
        <f aca="false">CL180/CG180</f>
        <v>1.0062799846402</v>
      </c>
      <c r="CR180" s="43" t="n">
        <f aca="false">IF(CL180-CH180&lt;=0,"n/a",(CI180-CL180)/(CL180-CH180))</f>
        <v>1.81214889547327</v>
      </c>
      <c r="CS180" s="43" t="n">
        <f aca="false">IF(CI180-CL180&lt;=0,"n/a",(CL180-CH180)/(CI180-CL180))</f>
        <v>0.551831034689253</v>
      </c>
      <c r="CT180" s="43" t="n">
        <f aca="false">Inputs_General!$C$23+Inputs_General!$C$24*$I180</f>
        <v>0.96</v>
      </c>
      <c r="CU180" s="44" t="n">
        <f aca="false">3.29*CT180</f>
        <v>3.1584</v>
      </c>
    </row>
    <row r="181" customFormat="false" ht="15" hidden="false" customHeight="false" outlineLevel="0" collapsed="false">
      <c r="A181" s="9" t="str">
        <f aca="false">B181&amp;"|"&amp;E181&amp;"|"&amp;F181</f>
        <v>D3V2|24/02/2026|High</v>
      </c>
      <c r="B181" s="7" t="s">
        <v>350</v>
      </c>
      <c r="C181" s="9" t="s">
        <v>131</v>
      </c>
      <c r="D181" s="9" t="s">
        <v>146</v>
      </c>
      <c r="E181" s="9" t="s">
        <v>160</v>
      </c>
      <c r="F181" s="7" t="s">
        <v>283</v>
      </c>
      <c r="G181" s="9" t="s">
        <v>284</v>
      </c>
      <c r="H181" s="41" t="n">
        <f aca="false">INDEX(Severity_Classes!$C$4:$C$9,MATCH(F181,Severity_Classes!$A$4:$A$9,0))</f>
        <v>0.26</v>
      </c>
      <c r="I181" s="41" t="n">
        <f aca="false">INDEX(Severity_Classes!$D$4:$D$9,MATCH(F181,Severity_Classes!$A$4:$A$9,0))</f>
        <v>0.38</v>
      </c>
      <c r="J181" s="41" t="n">
        <f aca="false">INDEX(Severity_Classes!$E$4:$E$9,MATCH(F181,Severity_Classes!$A$4:$A$9,0))</f>
        <v>0.5</v>
      </c>
      <c r="K181" s="42" t="n">
        <f aca="false">MATCH(B181&amp;"|"&amp;E181,Context!$A$4:$A$51,0)</f>
        <v>30</v>
      </c>
      <c r="L181" s="42" t="n">
        <f aca="false">INDEX(Context!$H$4:$H$51,K181)</f>
        <v>59</v>
      </c>
      <c r="M181" s="42" t="n">
        <f aca="false">INDEX(Context!$I$4:$I$51,K181)</f>
        <v>19</v>
      </c>
      <c r="N181" s="9" t="str">
        <f aca="false">INDEX(Context!$L$4:$L$51,K181)</f>
        <v>V</v>
      </c>
      <c r="O181" s="9" t="str">
        <f aca="false">INDEX(Context!$M$4:$M$51,K181)</f>
        <v>3rd fully expanded leaf from top</v>
      </c>
      <c r="P181" s="43" t="n">
        <f aca="false">INDEX(Context!$R$4:$R$51,K181)</f>
        <v>0.0232142857142859</v>
      </c>
      <c r="Q181" s="43" t="n">
        <f aca="false">INDEX(Context!$U$4:$U$51,K181)</f>
        <v>1.19492600027053</v>
      </c>
      <c r="R181" s="43" t="n">
        <f aca="false">INDEX(Context!$AD$4:$AD$51,K181)</f>
        <v>1.1</v>
      </c>
      <c r="S181" s="9" t="str">
        <f aca="false">INDEX(Context!$AI$4:$AN$51,K181,MATCH(F181,Severity_Classes!$A$4:$A$9,0))</f>
        <v>Likely</v>
      </c>
      <c r="T181" s="44" t="n">
        <f aca="false">Parameters!$E$4*IF($N181="V",Parameters!$I$4,IF($N181="F",Parameters!$J$4,Parameters!$K$4))*(1-Parameters!$L$4*$P181)*IF($D181="V1",Parameters!$M$4,IF($D181="V2",Parameters!$N$4,Parameters!$O$4))</f>
        <v>85.9001785714286</v>
      </c>
      <c r="U181" s="44" t="n">
        <f aca="false">MIN(100,T181*(1+INDEX(Response_Table!$E$4:$E$21,MATCH($F181&amp;"|mid",Response_Table!$A$4:$A$21,0))*$R181*INDEX(Parameters!$X$4:$AA$4,1,MATCH($E181,Parameters!$X$3:$AA$3,0))))</f>
        <v>70.6357345867266</v>
      </c>
      <c r="V181" s="44" t="n">
        <f aca="false">MAX(0,MIN(T181*(1+INDEX(Response_Table!$E$4:$E$21,MATCH($F181&amp;"|low",Response_Table!$A$4:$A$21,0))*$R181*INDEX(Parameters!$X$4:$AA$4,1,MATCH($E181,Parameters!$X$3:$AA$3,0))),T181*(1+INDEX(Response_Table!$E$4:$E$21,MATCH($F181&amp;"|high",Response_Table!$A$4:$A$21,0))*$R181*INDEX(Parameters!$X$4:$AA$4,1,MATCH($E181,Parameters!$X$3:$AA$3,0))))*(1-Inputs_General!$C$22*Parameters!$F$4))</f>
        <v>59.9827661424417</v>
      </c>
      <c r="W181" s="44" t="n">
        <f aca="false">MIN(100,MAX(T181*(1+INDEX(Response_Table!$E$4:$E$21,MATCH($F181&amp;"|low",Response_Table!$A$4:$A$21,0))*$R181*INDEX(Parameters!$X$4:$AA$4,1,MATCH($E181,Parameters!$X$3:$AA$3,0))),T181*(1+INDEX(Response_Table!$E$4:$E$21,MATCH($F181&amp;"|high",Response_Table!$A$4:$A$21,0))*$R181*INDEX(Parameters!$X$4:$AA$4,1,MATCH($E181,Parameters!$X$3:$AA$3,0))))*(1+Inputs_General!$C$22*Parameters!$F$4))</f>
        <v>82.9700524043896</v>
      </c>
      <c r="X181" s="45" t="n">
        <f aca="false">IF(T181=0,0,U181/T181-1)</f>
        <v>-0.177699793394599</v>
      </c>
      <c r="Y181" s="44" t="n">
        <f aca="false">Parameters!$E$5*IF($N181="V",Parameters!$I$5,IF($N181="F",Parameters!$J$5,Parameters!$K$5))*(1-Parameters!$L$5*$P181)*IF($D181="V1",Parameters!$M$5,IF($D181="V2",Parameters!$N$5,Parameters!$O$5))</f>
        <v>71.7994285714286</v>
      </c>
      <c r="Z181" s="44" t="n">
        <f aca="false">MIN(100,Y181*(1+INDEX(Response_Table!$F$4:$F$21,MATCH($F181&amp;"|mid",Response_Table!$A$4:$A$21,0))*$R181*INDEX(Parameters!$X$5:$AA$5,1,MATCH($E181,Parameters!$X$3:$AA$3,0))))</f>
        <v>32.2866047629118</v>
      </c>
      <c r="AA181" s="44" t="n">
        <f aca="false">MAX(0,MIN(Y181*(1+INDEX(Response_Table!$F$4:$F$21,MATCH($F181&amp;"|low",Response_Table!$A$4:$A$21,0))*$R181*INDEX(Parameters!$X$5:$AA$5,1,MATCH($E181,Parameters!$X$3:$AA$3,0))),Y181*(1+INDEX(Response_Table!$F$4:$F$21,MATCH($F181&amp;"|high",Response_Table!$A$4:$A$21,0))*$R181*INDEX(Parameters!$X$5:$AA$5,1,MATCH($E181,Parameters!$X$3:$AA$3,0))))*(1-Inputs_General!$C$22*Parameters!$F$5))</f>
        <v>19.7887705558097</v>
      </c>
      <c r="AB181" s="44" t="n">
        <f aca="false">MIN(100,MAX(Y181*(1+INDEX(Response_Table!$F$4:$F$21,MATCH($F181&amp;"|low",Response_Table!$A$4:$A$21,0))*$R181*INDEX(Parameters!$X$5:$AA$5,1,MATCH($E181,Parameters!$X$3:$AA$3,0))),Y181*(1+INDEX(Response_Table!$F$4:$F$21,MATCH($F181&amp;"|high",Response_Table!$A$4:$A$21,0))*$R181*INDEX(Parameters!$X$5:$AA$5,1,MATCH($E181,Parameters!$X$3:$AA$3,0))))*(1+Inputs_General!$C$22*Parameters!$F$5))</f>
        <v>54.3749883644048</v>
      </c>
      <c r="AC181" s="45" t="n">
        <f aca="false">IF(Y181=0,0,Z181/Y181-1)</f>
        <v>-0.550322260144565</v>
      </c>
      <c r="AD181" s="44" t="n">
        <f aca="false">Parameters!$E$6*IF($N181="V",Parameters!$I$6,IF($N181="F",Parameters!$J$6,Parameters!$K$6))*(1-Parameters!$L$6*$P181)*IF($D181="V1",Parameters!$M$6,IF($D181="V2",Parameters!$N$6,Parameters!$O$6))</f>
        <v>18.9470714285714</v>
      </c>
      <c r="AE181" s="44" t="n">
        <f aca="false">AD181*(1+INDEX(Response_Table!$G$4:$G$21,MATCH($F181&amp;"|mid",Response_Table!$A$4:$A$21,0))*$R181*INDEX(Parameters!$X$6:$AA$6,1,MATCH($E181,Parameters!$X$3:$AA$3,0)))</f>
        <v>6.25241101976886</v>
      </c>
      <c r="AF181" s="44" t="n">
        <f aca="false">MAX(0,MIN(AD181*(1+INDEX(Response_Table!$G$4:$G$21,MATCH($F181&amp;"|low",Response_Table!$A$4:$A$21,0))*$R181*INDEX(Parameters!$X$6:$AA$6,1,MATCH($E181,Parameters!$X$3:$AA$3,0))),AD181*(1+INDEX(Response_Table!$G$4:$G$21,MATCH($F181&amp;"|high",Response_Table!$A$4:$A$21,0))*$R181*INDEX(Parameters!$X$6:$AA$6,1,MATCH($E181,Parameters!$X$3:$AA$3,0))))*(1-Inputs_General!$C$22*Parameters!$F$6))</f>
        <v>4.05131505550024</v>
      </c>
      <c r="AG181" s="44" t="n">
        <f aca="false">MAX(AD181*(1+INDEX(Response_Table!$G$4:$G$21,MATCH($F181&amp;"|low",Response_Table!$A$4:$A$21,0))*$R181*INDEX(Parameters!$X$6:$AA$6,1,MATCH($E181,Parameters!$X$3:$AA$3,0))),AD181*(1+INDEX(Response_Table!$G$4:$G$21,MATCH($F181&amp;"|high",Response_Table!$A$4:$A$21,0))*$R181*INDEX(Parameters!$X$6:$AA$6,1,MATCH($E181,Parameters!$X$3:$AA$3,0))))*(1+Inputs_General!$C$22*Parameters!$F$6)</f>
        <v>9.93240734609386</v>
      </c>
      <c r="AH181" s="45" t="n">
        <f aca="false">IF(AD181=0,0,AE181/AD181-1)</f>
        <v>-0.670006468105648</v>
      </c>
      <c r="AI181" s="46" t="n">
        <f aca="false">Parameters!$E$7*IF($N181="V",Parameters!$I$7,IF($N181="F",Parameters!$J$7,Parameters!$K$7))*(1-Parameters!$L$7*$P181)*IF($D181="V1",Parameters!$M$7,IF($D181="V2",Parameters!$N$7,Parameters!$O$7))*POWER($Q181/Inputs_General!$C$26,-Inputs_General!$C$25)</f>
        <v>0.411663164578586</v>
      </c>
      <c r="AJ181" s="46" t="n">
        <f aca="false">AI181*(1+INDEX(Response_Table!$H$4:$H$21,MATCH($F181&amp;"|mid",Response_Table!$A$4:$A$21,0))*$R181*INDEX(Parameters!$X$7:$AA$7,1,MATCH($E181,Parameters!$X$3:$AA$3,0)))</f>
        <v>0.211459264993426</v>
      </c>
      <c r="AK181" s="46" t="n">
        <f aca="false">MAX(0,MIN(AI181*(1+INDEX(Response_Table!$H$4:$H$21,MATCH($F181&amp;"|low",Response_Table!$A$4:$A$21,0))*$R181*INDEX(Parameters!$X$7:$AA$7,1,MATCH($E181,Parameters!$X$3:$AA$3,0))),AI181*(1+INDEX(Response_Table!$H$4:$H$21,MATCH($F181&amp;"|high",Response_Table!$A$4:$A$21,0))*$R181*INDEX(Parameters!$X$7:$AA$7,1,MATCH($E181,Parameters!$X$3:$AA$3,0))))*(1-Inputs_General!$C$22*Parameters!$F$7))</f>
        <v>0.128813662278162</v>
      </c>
      <c r="AL181" s="46" t="n">
        <f aca="false">MAX(AI181*(1+INDEX(Response_Table!$H$4:$H$21,MATCH($F181&amp;"|low",Response_Table!$A$4:$A$21,0))*$R181*INDEX(Parameters!$X$7:$AA$7,1,MATCH($E181,Parameters!$X$3:$AA$3,0))),AI181*(1+INDEX(Response_Table!$H$4:$H$21,MATCH($F181&amp;"|high",Response_Table!$A$4:$A$21,0))*$R181*INDEX(Parameters!$X$7:$AA$7,1,MATCH($E181,Parameters!$X$3:$AA$3,0))))*(1+Inputs_General!$C$22*Parameters!$F$7)</f>
        <v>0.326942318178776</v>
      </c>
      <c r="AM181" s="45" t="n">
        <f aca="false">IF(AI181=0,0,AJ181/AI181-1)</f>
        <v>-0.486329399401343</v>
      </c>
      <c r="AN181" s="43" t="n">
        <f aca="false">AI181*$Q181/Inputs_General!$C$13*1000</f>
        <v>4.95374641196979</v>
      </c>
      <c r="AO181" s="43" t="n">
        <f aca="false">AJ181*$Q181/Inputs_General!$C$13*1000*(1+Inputs_General!$C$21*$I181)</f>
        <v>2.78633031464171</v>
      </c>
      <c r="AP181" s="43" t="n">
        <f aca="false">AK181*$Q181/Inputs_General!$C$13*1000*(1+Inputs_General!$C$21*$H181)</f>
        <v>1.65083359387965</v>
      </c>
      <c r="AQ181" s="43" t="n">
        <f aca="false">AL181*$Q181/Inputs_General!$C$13*1000*(1+Inputs_General!$C$21*$J181)</f>
        <v>4.4260408978158</v>
      </c>
      <c r="AR181" s="45" t="n">
        <f aca="false">IF(AN181=0,0,AO181/AN181-1)</f>
        <v>-0.437530692344471</v>
      </c>
      <c r="AS181" s="42" t="n">
        <f aca="false">Parameters!$E$9*IF($N181="V",Parameters!$I$9,IF($N181="F",Parameters!$J$9,Parameters!$K$9))*(1-Parameters!$L$9*$P181)*IF($D181="V1",Parameters!$M$9,IF($D181="V2",Parameters!$N$9,Parameters!$O$9))</f>
        <v>285</v>
      </c>
      <c r="AT181" s="42" t="n">
        <f aca="false">AS181*(1+INDEX(Response_Table!$I$4:$I$21,MATCH($F181&amp;"|mid",Response_Table!$A$4:$A$21,0))*$R181*INDEX(Parameters!$X$9:$AA$9,1,MATCH($E181,Parameters!$X$3:$AA$3,0)))</f>
        <v>358.480147032144</v>
      </c>
      <c r="AU181" s="42" t="n">
        <f aca="false">MAX(0,MIN(AS181*(1+INDEX(Response_Table!$I$4:$I$21,MATCH($F181&amp;"|low",Response_Table!$A$4:$A$21,0))*$R181*INDEX(Parameters!$X$9:$AA$9,1,MATCH($E181,Parameters!$X$3:$AA$3,0))),AS181*(1+INDEX(Response_Table!$I$4:$I$21,MATCH($F181&amp;"|high",Response_Table!$A$4:$A$21,0))*$R181*INDEX(Parameters!$X$9:$AA$9,1,MATCH($E181,Parameters!$X$3:$AA$3,0))))*(1-Inputs_General!$C$22*Parameters!$F$9))</f>
        <v>311.676378308909</v>
      </c>
      <c r="AV181" s="42" t="n">
        <f aca="false">MAX(AS181*(1+INDEX(Response_Table!$I$4:$I$21,MATCH($F181&amp;"|low",Response_Table!$A$4:$A$21,0))*$R181*INDEX(Parameters!$X$9:$AA$9,1,MATCH($E181,Parameters!$X$3:$AA$3,0))),AS181*(1+INDEX(Response_Table!$I$4:$I$21,MATCH($F181&amp;"|high",Response_Table!$A$4:$A$21,0))*$R181*INDEX(Parameters!$X$9:$AA$9,1,MATCH($E181,Parameters!$X$3:$AA$3,0))))*(1+Inputs_General!$C$22*Parameters!$F$9)</f>
        <v>402.477670041161</v>
      </c>
      <c r="AW181" s="45" t="n">
        <f aca="false">IF(AS181=0,0,AT181/AS181-1)</f>
        <v>0.257825077305769</v>
      </c>
      <c r="AX181" s="43" t="n">
        <f aca="false">INDEX(Context!$AB$4:$AB$51,$K181)</f>
        <v>2.25291371771685</v>
      </c>
      <c r="AY181" s="43" t="n">
        <f aca="false">AX181*(1+INDEX(Response_Table!$J$4:$J$21,MATCH($F181&amp;"|mid",Response_Table!$A$4:$A$21,0))*$R181*INDEX(Parameters!$X$10:$AA$10,1,MATCH($E181,Parameters!$X$3:$AA$3,0)))</f>
        <v>1.56901203513454</v>
      </c>
      <c r="AZ181" s="43" t="n">
        <f aca="false">MAX(0,MIN(AX181*(1+INDEX(Response_Table!$J$4:$J$21,MATCH($F181&amp;"|low",Response_Table!$A$4:$A$21,0))*$R181*INDEX(Parameters!$X$10:$AA$10,1,MATCH($E181,Parameters!$X$3:$AA$3,0))),AX181*(1+INDEX(Response_Table!$J$4:$J$21,MATCH($F181&amp;"|high",Response_Table!$A$4:$A$21,0))*$R181*INDEX(Parameters!$X$10:$AA$10,1,MATCH($E181,Parameters!$X$3:$AA$3,0))))*(1-Inputs_General!$C$22*Parameters!$F$10))</f>
        <v>1.16957229078154</v>
      </c>
      <c r="BA181" s="43" t="n">
        <f aca="false">MAX(AX181*(1+INDEX(Response_Table!$J$4:$J$21,MATCH($F181&amp;"|low",Response_Table!$A$4:$A$21,0))*$R181*INDEX(Parameters!$X$10:$AA$10,1,MATCH($E181,Parameters!$X$3:$AA$3,0))),AX181*(1+INDEX(Response_Table!$J$4:$J$21,MATCH($F181&amp;"|high",Response_Table!$A$4:$A$21,0))*$R181*INDEX(Parameters!$X$10:$AA$10,1,MATCH($E181,Parameters!$X$3:$AA$3,0))))*(1+Inputs_General!$C$22*Parameters!$F$10)</f>
        <v>2.05941167601316</v>
      </c>
      <c r="BB181" s="45" t="n">
        <f aca="false">IF(AX181=0,0,AY181/AX181-1)</f>
        <v>-0.303563193390022</v>
      </c>
      <c r="BC181" s="46" t="n">
        <f aca="false">Parameters!$E$11*IF($N181="V",Parameters!$I$11,IF($N181="F",Parameters!$J$11,Parameters!$K$11))*(1-Parameters!$L$11*$P181)*IF($D181="V1",Parameters!$M$11,IF($D181="V2",Parameters!$N$11,Parameters!$O$11))</f>
        <v>1.18584598214286</v>
      </c>
      <c r="BD181" s="46" t="n">
        <f aca="false">BC181*(1+INDEX(Response_Table!$K$4:$K$21,MATCH($F181&amp;"|mid",Response_Table!$A$4:$A$21,0))*$R181*INDEX(Parameters!$X$11:$AA$11,1,MATCH($E181,Parameters!$X$3:$AA$3,0)))</f>
        <v>0.58928910669871</v>
      </c>
      <c r="BE181" s="46" t="n">
        <f aca="false">MAX(0,MIN(BC181*(1+INDEX(Response_Table!$K$4:$K$21,MATCH($F181&amp;"|low",Response_Table!$A$4:$A$21,0))*$R181*INDEX(Parameters!$X$11:$AA$11,1,MATCH($E181,Parameters!$X$3:$AA$3,0))),BC181*(1+INDEX(Response_Table!$K$4:$K$21,MATCH($F181&amp;"|high",Response_Table!$A$4:$A$21,0))*$R181*INDEX(Parameters!$X$11:$AA$11,1,MATCH($E181,Parameters!$X$3:$AA$3,0))))*(1-Inputs_General!$C$22*Parameters!$F$11))</f>
        <v>0.425394908384253</v>
      </c>
      <c r="BF181" s="46" t="n">
        <f aca="false">MAX(BC181*(1+INDEX(Response_Table!$K$4:$K$21,MATCH($F181&amp;"|low",Response_Table!$A$4:$A$21,0))*$R181*INDEX(Parameters!$X$11:$AA$11,1,MATCH($E181,Parameters!$X$3:$AA$3,0))),BC181*(1+INDEX(Response_Table!$K$4:$K$21,MATCH($F181&amp;"|high",Response_Table!$A$4:$A$21,0))*$R181*INDEX(Parameters!$X$11:$AA$11,1,MATCH($E181,Parameters!$X$3:$AA$3,0))))*(1+Inputs_General!$C$22*Parameters!$F$11)</f>
        <v>0.82323724798538</v>
      </c>
      <c r="BG181" s="45" t="n">
        <f aca="false">IF(BC181=0,0,BD181/BC181-1)</f>
        <v>-0.503064381401497</v>
      </c>
      <c r="BH181" s="46" t="n">
        <f aca="false">Parameters!$E$12*IF($N181="V",Parameters!$I$12,IF($N181="F",Parameters!$J$12,Parameters!$K$12))*(1-Parameters!$L$12*$P181)*IF($D181="V1",Parameters!$M$12,IF($D181="V2",Parameters!$N$12,Parameters!$O$12))</f>
        <v>0.426904553571429</v>
      </c>
      <c r="BI181" s="46" t="n">
        <f aca="false">BH181*(1+INDEX(Response_Table!$L$4:$L$21,MATCH($F181&amp;"|mid",Response_Table!$A$4:$A$21,0))*$R181*INDEX(Parameters!$X$12:$AA$12,1,MATCH($E181,Parameters!$X$3:$AA$3,0)))</f>
        <v>0.251229277683659</v>
      </c>
      <c r="BJ181" s="46" t="n">
        <f aca="false">MAX(0,MIN(BH181*(1+INDEX(Response_Table!$L$4:$L$21,MATCH($F181&amp;"|low",Response_Table!$A$4:$A$21,0))*$R181*INDEX(Parameters!$X$12:$AA$12,1,MATCH($E181,Parameters!$X$3:$AA$3,0))),BH181*(1+INDEX(Response_Table!$L$4:$L$21,MATCH($F181&amp;"|high",Response_Table!$A$4:$A$21,0))*$R181*INDEX(Parameters!$X$12:$AA$12,1,MATCH($E181,Parameters!$X$3:$AA$3,0))))*(1-Inputs_General!$C$22*Parameters!$F$12))</f>
        <v>0.181593662663481</v>
      </c>
      <c r="BK181" s="46" t="n">
        <f aca="false">MAX(BH181*(1+INDEX(Response_Table!$L$4:$L$21,MATCH($F181&amp;"|low",Response_Table!$A$4:$A$21,0))*$R181*INDEX(Parameters!$X$12:$AA$12,1,MATCH($E181,Parameters!$X$3:$AA$3,0))),BH181*(1+INDEX(Response_Table!$L$4:$L$21,MATCH($F181&amp;"|high",Response_Table!$A$4:$A$21,0))*$R181*INDEX(Parameters!$X$12:$AA$12,1,MATCH($E181,Parameters!$X$3:$AA$3,0))))*(1+Inputs_General!$C$22*Parameters!$F$12)</f>
        <v>0.343681513697509</v>
      </c>
      <c r="BL181" s="45" t="n">
        <f aca="false">IF(BH181=0,0,BI181/BH181-1)</f>
        <v>-0.411509491801136</v>
      </c>
      <c r="BM181" s="46" t="n">
        <f aca="false">Parameters!$E$13*IF($N181="V",Parameters!$I$13,IF($N181="F",Parameters!$J$13,Parameters!$K$13))*(1-Parameters!$L$13*$P181)*IF($D181="V1",Parameters!$M$13,IF($D181="V2",Parameters!$N$13,Parameters!$O$13))</f>
        <v>0.284801517857143</v>
      </c>
      <c r="BN181" s="46" t="n">
        <f aca="false">BM181*(1+INDEX(Response_Table!$M$4:$M$21,MATCH($F181&amp;"|mid",Response_Table!$A$4:$A$21,0))*$R181*INDEX(Parameters!$X$13:$AA$13,1,MATCH($E181,Parameters!$X$3:$AA$3,0)))</f>
        <v>0.206805482476382</v>
      </c>
      <c r="BO181" s="46" t="n">
        <f aca="false">MAX(0,MIN(BM181*(1+INDEX(Response_Table!$M$4:$M$21,MATCH($F181&amp;"|low",Response_Table!$A$4:$A$21,0))*$R181*INDEX(Parameters!$X$13:$AA$13,1,MATCH($E181,Parameters!$X$3:$AA$3,0))),BM181*(1+INDEX(Response_Table!$M$4:$M$21,MATCH($F181&amp;"|high",Response_Table!$A$4:$A$21,0))*$R181*INDEX(Parameters!$X$13:$AA$13,1,MATCH($E181,Parameters!$X$3:$AA$3,0))))*(1-Inputs_General!$C$22*Parameters!$F$13))</f>
        <v>0.152749919133523</v>
      </c>
      <c r="BP181" s="46" t="n">
        <f aca="false">MAX(BM181*(1+INDEX(Response_Table!$M$4:$M$21,MATCH($F181&amp;"|low",Response_Table!$A$4:$A$21,0))*$R181*INDEX(Parameters!$X$13:$AA$13,1,MATCH($E181,Parameters!$X$3:$AA$3,0))),BM181*(1+INDEX(Response_Table!$M$4:$M$21,MATCH($F181&amp;"|high",Response_Table!$A$4:$A$21,0))*$R181*INDEX(Parameters!$X$13:$AA$13,1,MATCH($E181,Parameters!$X$3:$AA$3,0))))*(1+Inputs_General!$C$22*Parameters!$F$13)</f>
        <v>0.279446882558935</v>
      </c>
      <c r="BQ181" s="45" t="n">
        <f aca="false">IF(BM181=0,0,BN181/BM181-1)</f>
        <v>-0.273861024223485</v>
      </c>
      <c r="BR181" s="44" t="n">
        <f aca="false">Parameters!$E$14*IF($N181="V",Parameters!$I$14,IF($N181="F",Parameters!$J$14,Parameters!$K$14))*(1-Parameters!$L$14*$P181)*IF($D181="V1",Parameters!$M$14,IF($D181="V2",Parameters!$N$14,Parameters!$O$14))*INDEX(Context!$AC$4:$AC$51,$K181)</f>
        <v>17.325</v>
      </c>
      <c r="BS181" s="44" t="n">
        <f aca="false">BR181*(1+INDEX(Response_Table!$N$4:$N$21,MATCH($F181&amp;"|mid",Response_Table!$A$4:$A$21,0))*$R181*INDEX(Parameters!$X$14:$AA$14,1,MATCH($E181,Parameters!$X$3:$AA$3,0)))</f>
        <v>25.1025293950415</v>
      </c>
      <c r="BT181" s="44" t="n">
        <f aca="false">MAX(0,MIN(BR181*(1+INDEX(Response_Table!$N$4:$N$21,MATCH($F181&amp;"|low",Response_Table!$A$4:$A$21,0))*$R181*INDEX(Parameters!$X$14:$AA$14,1,MATCH($E181,Parameters!$X$3:$AA$3,0))),BR181*(1+INDEX(Response_Table!$N$4:$N$21,MATCH($F181&amp;"|high",Response_Table!$A$4:$A$21,0))*$R181*INDEX(Parameters!$X$14:$AA$14,1,MATCH($E181,Parameters!$X$3:$AA$3,0))))*(1-Inputs_General!$C$22*Parameters!$F$14))</f>
        <v>11.9117942988795</v>
      </c>
      <c r="BU181" s="44" t="n">
        <f aca="false">MAX(BR181*(1+INDEX(Response_Table!$N$4:$N$21,MATCH($F181&amp;"|low",Response_Table!$A$4:$A$21,0))*$R181*INDEX(Parameters!$X$14:$AA$14,1,MATCH($E181,Parameters!$X$3:$AA$3,0))),BR181*(1+INDEX(Response_Table!$N$4:$N$21,MATCH($F181&amp;"|high",Response_Table!$A$4:$A$21,0))*$R181*INDEX(Parameters!$X$14:$AA$14,1,MATCH($E181,Parameters!$X$3:$AA$3,0))))*(1+Inputs_General!$C$22*Parameters!$F$14)</f>
        <v>39.1418245074796</v>
      </c>
      <c r="BV181" s="45" t="n">
        <f aca="false">IF(BR181=0,0,BS181/BR181-1)</f>
        <v>0.44891944560124</v>
      </c>
      <c r="BW181" s="43" t="n">
        <f aca="false">Parameters!$E$15*IF($N181="V",Parameters!$I$15,IF($N181="F",Parameters!$J$15,Parameters!$K$15))*(1-Parameters!$L$15*$P181)*IF($D181="V1",Parameters!$M$15,IF($D181="V2",Parameters!$N$15,Parameters!$O$15))</f>
        <v>11.6477537142857</v>
      </c>
      <c r="BX181" s="43" t="n">
        <f aca="false">BW181*(1+INDEX(Response_Table!$O$4:$O$21,MATCH($F181&amp;"|mid",Response_Table!$A$4:$A$21,0))*$R181*INDEX(Parameters!$X$15:$AA$15,1,MATCH($E181,Parameters!$X$3:$AA$3,0)))</f>
        <v>10.3405279293065</v>
      </c>
      <c r="BY181" s="43" t="n">
        <f aca="false">MAX(0,MIN(BW181*(1+INDEX(Response_Table!$O$4:$O$21,MATCH($F181&amp;"|low",Response_Table!$A$4:$A$21,0))*$R181*INDEX(Parameters!$X$15:$AA$15,1,MATCH($E181,Parameters!$X$3:$AA$3,0))),BW181*(1+INDEX(Response_Table!$O$4:$O$21,MATCH($F181&amp;"|high",Response_Table!$A$4:$A$21,0))*$R181*INDEX(Parameters!$X$15:$AA$15,1,MATCH($E181,Parameters!$X$3:$AA$3,0))))*(1-Inputs_General!$C$22*Parameters!$F$15))</f>
        <v>8.15016511052285</v>
      </c>
      <c r="BZ181" s="43" t="n">
        <f aca="false">MAX(BW181*(1+INDEX(Response_Table!$O$4:$O$21,MATCH($F181&amp;"|low",Response_Table!$A$4:$A$21,0))*$R181*INDEX(Parameters!$X$15:$AA$15,1,MATCH($E181,Parameters!$X$3:$AA$3,0))),BW181*(1+INDEX(Response_Table!$O$4:$O$21,MATCH($F181&amp;"|high",Response_Table!$A$4:$A$21,0))*$R181*INDEX(Parameters!$X$15:$AA$15,1,MATCH($E181,Parameters!$X$3:$AA$3,0))))*(1+Inputs_General!$C$22*Parameters!$F$15)</f>
        <v>12.7006726091875</v>
      </c>
      <c r="CA181" s="45" t="n">
        <f aca="false">IF(BW181=0,0,BX181/BW181-1)</f>
        <v>-0.11222986140031</v>
      </c>
      <c r="CB181" s="46" t="n">
        <f aca="false">BD181+BI181</f>
        <v>0.840518384382369</v>
      </c>
      <c r="CC181" s="43" t="n">
        <f aca="false">BD181/BI181</f>
        <v>2.34562274004038</v>
      </c>
      <c r="CD181" s="46" t="n">
        <f aca="false">BN181/CB181</f>
        <v>0.246045162508072</v>
      </c>
      <c r="CE181" s="43" t="n">
        <f aca="false">AE181/AO181</f>
        <v>2.24395901193533</v>
      </c>
      <c r="CF181" s="44" t="n">
        <f aca="false">AE181/AJ181</f>
        <v>29.56792184047</v>
      </c>
      <c r="CG181" s="44" t="n">
        <f aca="false">INDEX(Context!$V$4:$V$51,$K181)</f>
        <v>25.5785714285714</v>
      </c>
      <c r="CH181" s="44" t="n">
        <f aca="false">INDEX(Context!$Y$4:$Y$51,$K181)</f>
        <v>23.620522619794</v>
      </c>
      <c r="CI181" s="44" t="n">
        <f aca="false">INDEX(Context!$Z$4:$Z$51,$K181)</f>
        <v>29.5785714285714</v>
      </c>
      <c r="CJ181" s="43" t="n">
        <f aca="false">INDEX(Context!$AA$4:$AA$51,$K181)</f>
        <v>0.121160714285714</v>
      </c>
      <c r="CK181" s="43" t="n">
        <f aca="false">MAX(0,MIN(1,1-(1-CJ181)*AO181/AN181))</f>
        <v>0.505679875423806</v>
      </c>
      <c r="CL181" s="44" t="n">
        <f aca="false">CH181+CK181*(CI181-CH181)</f>
        <v>26.6333879991855</v>
      </c>
      <c r="CM181" s="44" t="n">
        <f aca="false">CH181+MAX(0,MIN(1,1-(1-CJ181)*AQ181/AN181))*(CI181-CH181)</f>
        <v>24.9001949125023</v>
      </c>
      <c r="CN181" s="44" t="n">
        <f aca="false">CH181+MAX(0,MIN(1,1-(1-CJ181)*AP181/AN181))*(CI181-CH181)</f>
        <v>27.8336211906837</v>
      </c>
      <c r="CO181" s="44" t="n">
        <f aca="false">CL181-CG181</f>
        <v>1.0548165706141</v>
      </c>
      <c r="CP181" s="44" t="n">
        <f aca="false">CL181-(CH181+CJ181*(CI181-CH181))</f>
        <v>2.2909839299709</v>
      </c>
      <c r="CQ181" s="46" t="n">
        <f aca="false">CL181/CG181</f>
        <v>1.04123829094833</v>
      </c>
      <c r="CR181" s="43" t="n">
        <f aca="false">IF(CL181-CH181&lt;=0,"n/a",(CI181-CL181)/(CL181-CH181))</f>
        <v>0.977535687300013</v>
      </c>
      <c r="CS181" s="43" t="n">
        <f aca="false">IF(CI181-CL181&lt;=0,"n/a",(CL181-CH181)/(CI181-CL181))</f>
        <v>1.02298055507522</v>
      </c>
      <c r="CT181" s="43" t="n">
        <f aca="false">Inputs_General!$C$23+Inputs_General!$C$24*$I181</f>
        <v>1.36</v>
      </c>
      <c r="CU181" s="44" t="n">
        <f aca="false">3.29*CT181</f>
        <v>4.4744</v>
      </c>
    </row>
    <row r="182" customFormat="false" ht="15" hidden="false" customHeight="false" outlineLevel="0" collapsed="false">
      <c r="A182" s="9" t="str">
        <f aca="false">B182&amp;"|"&amp;E182&amp;"|"&amp;F182</f>
        <v>D3V2|24/02/2026|Very high</v>
      </c>
      <c r="B182" s="7" t="s">
        <v>350</v>
      </c>
      <c r="C182" s="9" t="s">
        <v>131</v>
      </c>
      <c r="D182" s="9" t="s">
        <v>146</v>
      </c>
      <c r="E182" s="9" t="s">
        <v>160</v>
      </c>
      <c r="F182" s="7" t="s">
        <v>285</v>
      </c>
      <c r="G182" s="9" t="s">
        <v>286</v>
      </c>
      <c r="H182" s="41" t="n">
        <f aca="false">INDEX(Severity_Classes!$C$4:$C$9,MATCH(F182,Severity_Classes!$A$4:$A$9,0))</f>
        <v>0.51</v>
      </c>
      <c r="I182" s="41" t="n">
        <f aca="false">INDEX(Severity_Classes!$D$4:$D$9,MATCH(F182,Severity_Classes!$A$4:$A$9,0))</f>
        <v>0.65</v>
      </c>
      <c r="J182" s="41" t="n">
        <f aca="false">INDEX(Severity_Classes!$E$4:$E$9,MATCH(F182,Severity_Classes!$A$4:$A$9,0))</f>
        <v>0.85</v>
      </c>
      <c r="K182" s="42" t="n">
        <f aca="false">MATCH(B182&amp;"|"&amp;E182,Context!$A$4:$A$51,0)</f>
        <v>30</v>
      </c>
      <c r="L182" s="42" t="n">
        <f aca="false">INDEX(Context!$H$4:$H$51,K182)</f>
        <v>59</v>
      </c>
      <c r="M182" s="42" t="n">
        <f aca="false">INDEX(Context!$I$4:$I$51,K182)</f>
        <v>19</v>
      </c>
      <c r="N182" s="9" t="str">
        <f aca="false">INDEX(Context!$L$4:$L$51,K182)</f>
        <v>V</v>
      </c>
      <c r="O182" s="9" t="str">
        <f aca="false">INDEX(Context!$M$4:$M$51,K182)</f>
        <v>3rd fully expanded leaf from top</v>
      </c>
      <c r="P182" s="43" t="n">
        <f aca="false">INDEX(Context!$R$4:$R$51,K182)</f>
        <v>0.0232142857142859</v>
      </c>
      <c r="Q182" s="43" t="n">
        <f aca="false">INDEX(Context!$U$4:$U$51,K182)</f>
        <v>1.19492600027053</v>
      </c>
      <c r="R182" s="43" t="n">
        <f aca="false">INDEX(Context!$AD$4:$AD$51,K182)</f>
        <v>1.1</v>
      </c>
      <c r="S182" s="9" t="str">
        <f aca="false">INDEX(Context!$AI$4:$AN$51,K182,MATCH(F182,Severity_Classes!$A$4:$A$9,0))</f>
        <v>Possible</v>
      </c>
      <c r="T182" s="44" t="n">
        <f aca="false">Parameters!$E$4*IF($N182="V",Parameters!$I$4,IF($N182="F",Parameters!$J$4,Parameters!$K$4))*(1-Parameters!$L$4*$P182)*IF($D182="V1",Parameters!$M$4,IF($D182="V2",Parameters!$N$4,Parameters!$O$4))</f>
        <v>85.9001785714286</v>
      </c>
      <c r="U182" s="44" t="n">
        <f aca="false">MIN(100,T182*(1+INDEX(Response_Table!$E$4:$E$21,MATCH($F182&amp;"|mid",Response_Table!$A$4:$A$21,0))*$R182*INDEX(Parameters!$X$4:$AA$4,1,MATCH($E182,Parameters!$X$3:$AA$3,0))))</f>
        <v>59.8198398202083</v>
      </c>
      <c r="V182" s="44" t="n">
        <f aca="false">MAX(0,MIN(T182*(1+INDEX(Response_Table!$E$4:$E$21,MATCH($F182&amp;"|low",Response_Table!$A$4:$A$21,0))*$R182*INDEX(Parameters!$X$4:$AA$4,1,MATCH($E182,Parameters!$X$3:$AA$3,0))),T182*(1+INDEX(Response_Table!$E$4:$E$21,MATCH($F182&amp;"|high",Response_Table!$A$4:$A$21,0))*$R182*INDEX(Parameters!$X$4:$AA$4,1,MATCH($E182,Parameters!$X$3:$AA$3,0))))*(1-Inputs_General!$C$22*Parameters!$F$4))</f>
        <v>54.1923047358217</v>
      </c>
      <c r="W182" s="44" t="n">
        <f aca="false">MIN(100,MAX(T182*(1+INDEX(Response_Table!$E$4:$E$21,MATCH($F182&amp;"|low",Response_Table!$A$4:$A$21,0))*$R182*INDEX(Parameters!$X$4:$AA$4,1,MATCH($E182,Parameters!$X$3:$AA$3,0))),T182*(1+INDEX(Response_Table!$E$4:$E$21,MATCH($F182&amp;"|high",Response_Table!$A$4:$A$21,0))*$R182*INDEX(Parameters!$X$4:$AA$4,1,MATCH($E182,Parameters!$X$3:$AA$3,0))))*(1+Inputs_General!$C$22*Parameters!$F$4))</f>
        <v>67.9837116760033</v>
      </c>
      <c r="X182" s="45" t="n">
        <f aca="false">IF(T182=0,0,U182/T182-1)</f>
        <v>-0.30361215989247</v>
      </c>
      <c r="Y182" s="44" t="n">
        <f aca="false">Parameters!$E$5*IF($N182="V",Parameters!$I$5,IF($N182="F",Parameters!$J$5,Parameters!$K$5))*(1-Parameters!$L$5*$P182)*IF($D182="V1",Parameters!$M$5,IF($D182="V2",Parameters!$N$5,Parameters!$O$5))</f>
        <v>71.7994285714286</v>
      </c>
      <c r="Z182" s="44" t="n">
        <f aca="false">MIN(100,Y182*(1+INDEX(Response_Table!$F$4:$F$21,MATCH($F182&amp;"|mid",Response_Table!$A$4:$A$21,0))*$R182*INDEX(Parameters!$X$5:$AA$5,1,MATCH($E182,Parameters!$X$3:$AA$3,0))))</f>
        <v>17.9288575380542</v>
      </c>
      <c r="AA182" s="44" t="n">
        <f aca="false">MAX(0,MIN(Y182*(1+INDEX(Response_Table!$F$4:$F$21,MATCH($F182&amp;"|low",Response_Table!$A$4:$A$21,0))*$R182*INDEX(Parameters!$X$5:$AA$5,1,MATCH($E182,Parameters!$X$3:$AA$3,0))),Y182*(1+INDEX(Response_Table!$F$4:$F$21,MATCH($F182&amp;"|high",Response_Table!$A$4:$A$21,0))*$R182*INDEX(Parameters!$X$5:$AA$5,1,MATCH($E182,Parameters!$X$3:$AA$3,0))))*(1-Inputs_General!$C$22*Parameters!$F$5))</f>
        <v>14.7853538336057</v>
      </c>
      <c r="AB182" s="44" t="n">
        <f aca="false">MIN(100,MAX(Y182*(1+INDEX(Response_Table!$F$4:$F$21,MATCH($F182&amp;"|low",Response_Table!$A$4:$A$21,0))*$R182*INDEX(Parameters!$X$5:$AA$5,1,MATCH($E182,Parameters!$X$3:$AA$3,0))),Y182*(1+INDEX(Response_Table!$F$4:$F$21,MATCH($F182&amp;"|high",Response_Table!$A$4:$A$21,0))*$R182*INDEX(Parameters!$X$5:$AA$5,1,MATCH($E182,Parameters!$X$3:$AA$3,0))))*(1+Inputs_General!$C$22*Parameters!$F$5))</f>
        <v>24.3749492087107</v>
      </c>
      <c r="AC182" s="45" t="n">
        <f aca="false">IF(Y182=0,0,Z182/Y182-1)</f>
        <v>-0.750292475932201</v>
      </c>
      <c r="AD182" s="44" t="n">
        <f aca="false">Parameters!$E$6*IF($N182="V",Parameters!$I$6,IF($N182="F",Parameters!$J$6,Parameters!$K$6))*(1-Parameters!$L$6*$P182)*IF($D182="V1",Parameters!$M$6,IF($D182="V2",Parameters!$N$6,Parameters!$O$6))</f>
        <v>18.9470714285714</v>
      </c>
      <c r="AE182" s="44" t="n">
        <f aca="false">AD182*(1+INDEX(Response_Table!$G$4:$G$21,MATCH($F182&amp;"|mid",Response_Table!$A$4:$A$21,0))*$R182*INDEX(Parameters!$X$6:$AA$6,1,MATCH($E182,Parameters!$X$3:$AA$3,0)))</f>
        <v>4.21092461538482</v>
      </c>
      <c r="AF182" s="44" t="n">
        <f aca="false">MAX(0,MIN(AD182*(1+INDEX(Response_Table!$G$4:$G$21,MATCH($F182&amp;"|low",Response_Table!$A$4:$A$21,0))*$R182*INDEX(Parameters!$X$6:$AA$6,1,MATCH($E182,Parameters!$X$3:$AA$3,0))),AD182*(1+INDEX(Response_Table!$G$4:$G$21,MATCH($F182&amp;"|high",Response_Table!$A$4:$A$21,0))*$R182*INDEX(Parameters!$X$6:$AA$6,1,MATCH($E182,Parameters!$X$3:$AA$3,0))))*(1-Inputs_General!$C$22*Parameters!$F$6))</f>
        <v>2.95922297370269</v>
      </c>
      <c r="AG182" s="44" t="n">
        <f aca="false">MAX(AD182*(1+INDEX(Response_Table!$G$4:$G$21,MATCH($F182&amp;"|low",Response_Table!$A$4:$A$21,0))*$R182*INDEX(Parameters!$X$6:$AA$6,1,MATCH($E182,Parameters!$X$3:$AA$3,0))),AD182*(1+INDEX(Response_Table!$G$4:$G$21,MATCH($F182&amp;"|high",Response_Table!$A$4:$A$21,0))*$R182*INDEX(Parameters!$X$6:$AA$6,1,MATCH($E182,Parameters!$X$3:$AA$3,0))))*(1+Inputs_General!$C$22*Parameters!$F$6)</f>
        <v>5.95488917181569</v>
      </c>
      <c r="AH182" s="45" t="n">
        <f aca="false">IF(AD182=0,0,AE182/AD182-1)</f>
        <v>-0.77775327278099</v>
      </c>
      <c r="AI182" s="46" t="n">
        <f aca="false">Parameters!$E$7*IF($N182="V",Parameters!$I$7,IF($N182="F",Parameters!$J$7,Parameters!$K$7))*(1-Parameters!$L$7*$P182)*IF($D182="V1",Parameters!$M$7,IF($D182="V2",Parameters!$N$7,Parameters!$O$7))*POWER($Q182/Inputs_General!$C$26,-Inputs_General!$C$25)</f>
        <v>0.411663164578586</v>
      </c>
      <c r="AJ182" s="46" t="n">
        <f aca="false">AI182*(1+INDEX(Response_Table!$H$4:$H$21,MATCH($F182&amp;"|mid",Response_Table!$A$4:$A$21,0))*$R182*INDEX(Parameters!$X$7:$AA$7,1,MATCH($E182,Parameters!$X$3:$AA$3,0)))</f>
        <v>0.159200833005848</v>
      </c>
      <c r="AK182" s="46" t="n">
        <f aca="false">MAX(0,MIN(AI182*(1+INDEX(Response_Table!$H$4:$H$21,MATCH($F182&amp;"|low",Response_Table!$A$4:$A$21,0))*$R182*INDEX(Parameters!$X$7:$AA$7,1,MATCH($E182,Parameters!$X$3:$AA$3,0))),AI182*(1+INDEX(Response_Table!$H$4:$H$21,MATCH($F182&amp;"|high",Response_Table!$A$4:$A$21,0))*$R182*INDEX(Parameters!$X$7:$AA$7,1,MATCH($E182,Parameters!$X$3:$AA$3,0))))*(1-Inputs_General!$C$22*Parameters!$F$7))</f>
        <v>0.098761741194064</v>
      </c>
      <c r="AL182" s="46" t="n">
        <f aca="false">MAX(AI182*(1+INDEX(Response_Table!$H$4:$H$21,MATCH($F182&amp;"|low",Response_Table!$A$4:$A$21,0))*$R182*INDEX(Parameters!$X$7:$AA$7,1,MATCH($E182,Parameters!$X$3:$AA$3,0))),AI182*(1+INDEX(Response_Table!$H$4:$H$21,MATCH($F182&amp;"|high",Response_Table!$A$4:$A$21,0))*$R182*INDEX(Parameters!$X$7:$AA$7,1,MATCH($E182,Parameters!$X$3:$AA$3,0))))*(1+Inputs_General!$C$22*Parameters!$F$7)</f>
        <v>0.234670477762427</v>
      </c>
      <c r="AM182" s="45" t="n">
        <f aca="false">IF(AI182=0,0,AJ182/AI182-1)</f>
        <v>-0.613274038815643</v>
      </c>
      <c r="AN182" s="43" t="n">
        <f aca="false">AI182*$Q182/Inputs_General!$C$13*1000</f>
        <v>4.95374641196979</v>
      </c>
      <c r="AO182" s="43" t="n">
        <f aca="false">AJ182*$Q182/Inputs_General!$C$13*1000*(1+Inputs_General!$C$21*$I182)</f>
        <v>2.22705047331037</v>
      </c>
      <c r="AP182" s="43" t="n">
        <f aca="false">AK182*$Q182/Inputs_General!$C$13*1000*(1+Inputs_General!$C$21*$H182)</f>
        <v>1.33997609631254</v>
      </c>
      <c r="AQ182" s="43" t="n">
        <f aca="false">AL182*$Q182/Inputs_General!$C$13*1000*(1+Inputs_General!$C$21*$J182)</f>
        <v>3.42398589769644</v>
      </c>
      <c r="AR182" s="45" t="n">
        <f aca="false">IF(AN182=0,0,AO182/AN182-1)</f>
        <v>-0.550431070123185</v>
      </c>
      <c r="AS182" s="42" t="n">
        <f aca="false">Parameters!$E$9*IF($N182="V",Parameters!$I$9,IF($N182="F",Parameters!$J$9,Parameters!$K$9))*(1-Parameters!$L$9*$P182)*IF($D182="V1",Parameters!$M$9,IF($D182="V2",Parameters!$N$9,Parameters!$O$9))</f>
        <v>285</v>
      </c>
      <c r="AT182" s="42" t="n">
        <f aca="false">AS182*(1+INDEX(Response_Table!$I$4:$I$21,MATCH($F182&amp;"|mid",Response_Table!$A$4:$A$21,0))*$R182*INDEX(Parameters!$X$9:$AA$9,1,MATCH($E182,Parameters!$X$3:$AA$3,0)))</f>
        <v>372.064569968942</v>
      </c>
      <c r="AU182" s="42" t="n">
        <f aca="false">MAX(0,MIN(AS182*(1+INDEX(Response_Table!$I$4:$I$21,MATCH($F182&amp;"|low",Response_Table!$A$4:$A$21,0))*$R182*INDEX(Parameters!$X$9:$AA$9,1,MATCH($E182,Parameters!$X$3:$AA$3,0))),AS182*(1+INDEX(Response_Table!$I$4:$I$21,MATCH($F182&amp;"|high",Response_Table!$A$4:$A$21,0))*$R182*INDEX(Parameters!$X$9:$AA$9,1,MATCH($E182,Parameters!$X$3:$AA$3,0))))*(1-Inputs_General!$C$22*Parameters!$F$9))</f>
        <v>330.61558680736</v>
      </c>
      <c r="AV182" s="42" t="n">
        <f aca="false">MAX(AS182*(1+INDEX(Response_Table!$I$4:$I$21,MATCH($F182&amp;"|low",Response_Table!$A$4:$A$21,0))*$R182*INDEX(Parameters!$X$9:$AA$9,1,MATCH($E182,Parameters!$X$3:$AA$3,0))),AS182*(1+INDEX(Response_Table!$I$4:$I$21,MATCH($F182&amp;"|high",Response_Table!$A$4:$A$21,0))*$R182*INDEX(Parameters!$X$9:$AA$9,1,MATCH($E182,Parameters!$X$3:$AA$3,0))))*(1+Inputs_General!$C$22*Parameters!$F$9)</f>
        <v>413.013683739106</v>
      </c>
      <c r="AW182" s="45" t="n">
        <f aca="false">IF(AS182=0,0,AT182/AS182-1)</f>
        <v>0.30548971918927</v>
      </c>
      <c r="AX182" s="43" t="n">
        <f aca="false">INDEX(Context!$AB$4:$AB$51,$K182)</f>
        <v>2.25291371771685</v>
      </c>
      <c r="AY182" s="43" t="n">
        <f aca="false">AX182*(1+INDEX(Response_Table!$J$4:$J$21,MATCH($F182&amp;"|mid",Response_Table!$A$4:$A$21,0))*$R182*INDEX(Parameters!$X$10:$AA$10,1,MATCH($E182,Parameters!$X$3:$AA$3,0)))</f>
        <v>1.35731580949885</v>
      </c>
      <c r="AZ182" s="43" t="n">
        <f aca="false">MAX(0,MIN(AX182*(1+INDEX(Response_Table!$J$4:$J$21,MATCH($F182&amp;"|low",Response_Table!$A$4:$A$21,0))*$R182*INDEX(Parameters!$X$10:$AA$10,1,MATCH($E182,Parameters!$X$3:$AA$3,0))),AX182*(1+INDEX(Response_Table!$J$4:$J$21,MATCH($F182&amp;"|high",Response_Table!$A$4:$A$21,0))*$R182*INDEX(Parameters!$X$10:$AA$10,1,MATCH($E182,Parameters!$X$3:$AA$3,0))))*(1-Inputs_General!$C$22*Parameters!$F$10))</f>
        <v>1.02003409388712</v>
      </c>
      <c r="BA182" s="43" t="n">
        <f aca="false">MAX(AX182*(1+INDEX(Response_Table!$J$4:$J$21,MATCH($F182&amp;"|low",Response_Table!$A$4:$A$21,0))*$R182*INDEX(Parameters!$X$10:$AA$10,1,MATCH($E182,Parameters!$X$3:$AA$3,0))),AX182*(1+INDEX(Response_Table!$J$4:$J$21,MATCH($F182&amp;"|high",Response_Table!$A$4:$A$21,0))*$R182*INDEX(Parameters!$X$10:$AA$10,1,MATCH($E182,Parameters!$X$3:$AA$3,0))))*(1+Inputs_General!$C$22*Parameters!$F$10)</f>
        <v>1.73544054085313</v>
      </c>
      <c r="BB182" s="45" t="n">
        <f aca="false">IF(AX182=0,0,AY182/AX182-1)</f>
        <v>-0.397528720773924</v>
      </c>
      <c r="BC182" s="46" t="n">
        <f aca="false">Parameters!$E$11*IF($N182="V",Parameters!$I$11,IF($N182="F",Parameters!$J$11,Parameters!$K$11))*(1-Parameters!$L$11*$P182)*IF($D182="V1",Parameters!$M$11,IF($D182="V2",Parameters!$N$11,Parameters!$O$11))</f>
        <v>1.18584598214286</v>
      </c>
      <c r="BD182" s="46" t="n">
        <f aca="false">BC182*(1+INDEX(Response_Table!$K$4:$K$21,MATCH($F182&amp;"|mid",Response_Table!$A$4:$A$21,0))*$R182*INDEX(Parameters!$X$11:$AA$11,1,MATCH($E182,Parameters!$X$3:$AA$3,0)))</f>
        <v>0.443891917892234</v>
      </c>
      <c r="BE182" s="46" t="n">
        <f aca="false">MAX(0,MIN(BC182*(1+INDEX(Response_Table!$K$4:$K$21,MATCH($F182&amp;"|low",Response_Table!$A$4:$A$21,0))*$R182*INDEX(Parameters!$X$11:$AA$11,1,MATCH($E182,Parameters!$X$3:$AA$3,0))),BC182*(1+INDEX(Response_Table!$K$4:$K$21,MATCH($F182&amp;"|high",Response_Table!$A$4:$A$21,0))*$R182*INDEX(Parameters!$X$11:$AA$11,1,MATCH($E182,Parameters!$X$3:$AA$3,0))))*(1-Inputs_General!$C$22*Parameters!$F$11))</f>
        <v>0.329036596303206</v>
      </c>
      <c r="BF182" s="46" t="n">
        <f aca="false">MAX(BC182*(1+INDEX(Response_Table!$K$4:$K$21,MATCH($F182&amp;"|low",Response_Table!$A$4:$A$21,0))*$R182*INDEX(Parameters!$X$11:$AA$11,1,MATCH($E182,Parameters!$X$3:$AA$3,0))),BC182*(1+INDEX(Response_Table!$K$4:$K$21,MATCH($F182&amp;"|high",Response_Table!$A$4:$A$21,0))*$R182*INDEX(Parameters!$X$11:$AA$11,1,MATCH($E182,Parameters!$X$3:$AA$3,0))))*(1+Inputs_General!$C$22*Parameters!$F$11)</f>
        <v>0.586627274810826</v>
      </c>
      <c r="BG182" s="45" t="n">
        <f aca="false">IF(BC182=0,0,BD182/BC182-1)</f>
        <v>-0.625674898278014</v>
      </c>
      <c r="BH182" s="46" t="n">
        <f aca="false">Parameters!$E$12*IF($N182="V",Parameters!$I$12,IF($N182="F",Parameters!$J$12,Parameters!$K$12))*(1-Parameters!$L$12*$P182)*IF($D182="V1",Parameters!$M$12,IF($D182="V2",Parameters!$N$12,Parameters!$O$12))</f>
        <v>0.426904553571429</v>
      </c>
      <c r="BI182" s="46" t="n">
        <f aca="false">BH182*(1+INDEX(Response_Table!$L$4:$L$21,MATCH($F182&amp;"|mid",Response_Table!$A$4:$A$21,0))*$R182*INDEX(Parameters!$X$12:$AA$12,1,MATCH($E182,Parameters!$X$3:$AA$3,0)))</f>
        <v>0.205373455315049</v>
      </c>
      <c r="BJ182" s="46" t="n">
        <f aca="false">MAX(0,MIN(BH182*(1+INDEX(Response_Table!$L$4:$L$21,MATCH($F182&amp;"|low",Response_Table!$A$4:$A$21,0))*$R182*INDEX(Parameters!$X$12:$AA$12,1,MATCH($E182,Parameters!$X$3:$AA$3,0))),BH182*(1+INDEX(Response_Table!$L$4:$L$21,MATCH($F182&amp;"|high",Response_Table!$A$4:$A$21,0))*$R182*INDEX(Parameters!$X$12:$AA$12,1,MATCH($E182,Parameters!$X$3:$AA$3,0))))*(1-Inputs_General!$C$22*Parameters!$F$12))</f>
        <v>0.151526078055715</v>
      </c>
      <c r="BK182" s="46" t="n">
        <f aca="false">MAX(BH182*(1+INDEX(Response_Table!$L$4:$L$21,MATCH($F182&amp;"|low",Response_Table!$A$4:$A$21,0))*$R182*INDEX(Parameters!$X$12:$AA$12,1,MATCH($E182,Parameters!$X$3:$AA$3,0))),BH182*(1+INDEX(Response_Table!$L$4:$L$21,MATCH($F182&amp;"|high",Response_Table!$A$4:$A$21,0))*$R182*INDEX(Parameters!$X$12:$AA$12,1,MATCH($E182,Parameters!$X$3:$AA$3,0))))*(1+Inputs_General!$C$22*Parameters!$F$12)</f>
        <v>0.268880404491769</v>
      </c>
      <c r="BL182" s="45" t="n">
        <f aca="false">IF(BH182=0,0,BI182/BH182-1)</f>
        <v>-0.518924186690159</v>
      </c>
      <c r="BM182" s="46" t="n">
        <f aca="false">Parameters!$E$13*IF($N182="V",Parameters!$I$13,IF($N182="F",Parameters!$J$13,Parameters!$K$13))*(1-Parameters!$L$13*$P182)*IF($D182="V1",Parameters!$M$13,IF($D182="V2",Parameters!$N$13,Parameters!$O$13))</f>
        <v>0.284801517857143</v>
      </c>
      <c r="BN182" s="46" t="n">
        <f aca="false">BM182*(1+INDEX(Response_Table!$M$4:$M$21,MATCH($F182&amp;"|mid",Response_Table!$A$4:$A$21,0))*$R182*INDEX(Parameters!$X$13:$AA$13,1,MATCH($E182,Parameters!$X$3:$AA$3,0)))</f>
        <v>0.178149795354203</v>
      </c>
      <c r="BO182" s="46" t="n">
        <f aca="false">MAX(0,MIN(BM182*(1+INDEX(Response_Table!$M$4:$M$21,MATCH($F182&amp;"|low",Response_Table!$A$4:$A$21,0))*$R182*INDEX(Parameters!$X$13:$AA$13,1,MATCH($E182,Parameters!$X$3:$AA$3,0))),BM182*(1+INDEX(Response_Table!$M$4:$M$21,MATCH($F182&amp;"|high",Response_Table!$A$4:$A$21,0))*$R182*INDEX(Parameters!$X$13:$AA$13,1,MATCH($E182,Parameters!$X$3:$AA$3,0))))*(1-Inputs_General!$C$22*Parameters!$F$13))</f>
        <v>0.135977095870644</v>
      </c>
      <c r="BP182" s="46" t="n">
        <f aca="false">MAX(BM182*(1+INDEX(Response_Table!$M$4:$M$21,MATCH($F182&amp;"|low",Response_Table!$A$4:$A$21,0))*$R182*INDEX(Parameters!$X$13:$AA$13,1,MATCH($E182,Parameters!$X$3:$AA$3,0))),BM182*(1+INDEX(Response_Table!$M$4:$M$21,MATCH($F182&amp;"|high",Response_Table!$A$4:$A$21,0))*$R182*INDEX(Parameters!$X$13:$AA$13,1,MATCH($E182,Parameters!$X$3:$AA$3,0))))*(1+Inputs_General!$C$22*Parameters!$F$13)</f>
        <v>0.226633561214889</v>
      </c>
      <c r="BQ182" s="45" t="n">
        <f aca="false">IF(BM182=0,0,BN182/BM182-1)</f>
        <v>-0.374477366923432</v>
      </c>
      <c r="BR182" s="44" t="n">
        <f aca="false">Parameters!$E$14*IF($N182="V",Parameters!$I$14,IF($N182="F",Parameters!$J$14,Parameters!$K$14))*(1-Parameters!$L$14*$P182)*IF($D182="V1",Parameters!$M$14,IF($D182="V2",Parameters!$N$14,Parameters!$O$14))*INDEX(Context!$AC$4:$AC$51,$K182)</f>
        <v>17.325</v>
      </c>
      <c r="BS182" s="44" t="n">
        <f aca="false">BR182*(1+INDEX(Response_Table!$N$4:$N$21,MATCH($F182&amp;"|mid",Response_Table!$A$4:$A$21,0))*$R182*INDEX(Parameters!$X$14:$AA$14,1,MATCH($E182,Parameters!$X$3:$AA$3,0)))</f>
        <v>27.132667128444</v>
      </c>
      <c r="BT182" s="44" t="n">
        <f aca="false">MAX(0,MIN(BR182*(1+INDEX(Response_Table!$N$4:$N$21,MATCH($F182&amp;"|low",Response_Table!$A$4:$A$21,0))*$R182*INDEX(Parameters!$X$14:$AA$14,1,MATCH($E182,Parameters!$X$3:$AA$3,0))),BR182*(1+INDEX(Response_Table!$N$4:$N$21,MATCH($F182&amp;"|high",Response_Table!$A$4:$A$21,0))*$R182*INDEX(Parameters!$X$14:$AA$14,1,MATCH($E182,Parameters!$X$3:$AA$3,0))))*(1-Inputs_General!$C$22*Parameters!$F$14))</f>
        <v>13.312604354966</v>
      </c>
      <c r="BU182" s="44" t="n">
        <f aca="false">MAX(BR182*(1+INDEX(Response_Table!$N$4:$N$21,MATCH($F182&amp;"|low",Response_Table!$A$4:$A$21,0))*$R182*INDEX(Parameters!$X$14:$AA$14,1,MATCH($E182,Parameters!$X$3:$AA$3,0))),BR182*(1+INDEX(Response_Table!$N$4:$N$21,MATCH($F182&amp;"|high",Response_Table!$A$4:$A$21,0))*$R182*INDEX(Parameters!$X$14:$AA$14,1,MATCH($E182,Parameters!$X$3:$AA$3,0))))*(1+Inputs_General!$C$22*Parameters!$F$14)</f>
        <v>41.618879396429</v>
      </c>
      <c r="BV182" s="45" t="n">
        <f aca="false">IF(BR182=0,0,BS182/BR182-1)</f>
        <v>0.566099112752901</v>
      </c>
      <c r="BW182" s="43" t="n">
        <f aca="false">Parameters!$E$15*IF($N182="V",Parameters!$I$15,IF($N182="F",Parameters!$J$15,Parameters!$K$15))*(1-Parameters!$L$15*$P182)*IF($D182="V1",Parameters!$M$15,IF($D182="V2",Parameters!$N$15,Parameters!$O$15))</f>
        <v>11.6477537142857</v>
      </c>
      <c r="BX182" s="43" t="n">
        <f aca="false">BW182*(1+INDEX(Response_Table!$O$4:$O$21,MATCH($F182&amp;"|mid",Response_Table!$A$4:$A$21,0))*$R182*INDEX(Parameters!$X$15:$AA$15,1,MATCH($E182,Parameters!$X$3:$AA$3,0)))</f>
        <v>9.99930795348035</v>
      </c>
      <c r="BY182" s="43" t="n">
        <f aca="false">MAX(0,MIN(BW182*(1+INDEX(Response_Table!$O$4:$O$21,MATCH($F182&amp;"|low",Response_Table!$A$4:$A$21,0))*$R182*INDEX(Parameters!$X$15:$AA$15,1,MATCH($E182,Parameters!$X$3:$AA$3,0))),BW182*(1+INDEX(Response_Table!$O$4:$O$21,MATCH($F182&amp;"|high",Response_Table!$A$4:$A$21,0))*$R182*INDEX(Parameters!$X$15:$AA$15,1,MATCH($E182,Parameters!$X$3:$AA$3,0))))*(1-Inputs_General!$C$22*Parameters!$F$15))</f>
        <v>7.92642775367118</v>
      </c>
      <c r="BZ182" s="43" t="n">
        <f aca="false">MAX(BW182*(1+INDEX(Response_Table!$O$4:$O$21,MATCH($F182&amp;"|low",Response_Table!$A$4:$A$21,0))*$R182*INDEX(Parameters!$X$15:$AA$15,1,MATCH($E182,Parameters!$X$3:$AA$3,0))),BW182*(1+INDEX(Response_Table!$O$4:$O$21,MATCH($F182&amp;"|high",Response_Table!$A$4:$A$21,0))*$R182*INDEX(Parameters!$X$15:$AA$15,1,MATCH($E182,Parameters!$X$3:$AA$3,0))))*(1+Inputs_General!$C$22*Parameters!$F$15)</f>
        <v>12.1440664606863</v>
      </c>
      <c r="CA182" s="45" t="n">
        <f aca="false">IF(BW182=0,0,BX182/BW182-1)</f>
        <v>-0.141524778188225</v>
      </c>
      <c r="CB182" s="46" t="n">
        <f aca="false">BD182+BI182</f>
        <v>0.649265373207283</v>
      </c>
      <c r="CC182" s="43" t="n">
        <f aca="false">BD182/BI182</f>
        <v>2.16138895463043</v>
      </c>
      <c r="CD182" s="46" t="n">
        <f aca="false">BN182/CB182</f>
        <v>0.274386718752869</v>
      </c>
      <c r="CE182" s="43" t="n">
        <f aca="false">AE182/AO182</f>
        <v>1.8908078940508</v>
      </c>
      <c r="CF182" s="44" t="n">
        <f aca="false">AE182/AJ182</f>
        <v>26.450393103346</v>
      </c>
      <c r="CG182" s="44" t="n">
        <f aca="false">INDEX(Context!$V$4:$V$51,$K182)</f>
        <v>25.5785714285714</v>
      </c>
      <c r="CH182" s="44" t="n">
        <f aca="false">INDEX(Context!$Y$4:$Y$51,$K182)</f>
        <v>23.620522619794</v>
      </c>
      <c r="CI182" s="44" t="n">
        <f aca="false">INDEX(Context!$Z$4:$Z$51,$K182)</f>
        <v>29.5785714285714</v>
      </c>
      <c r="CJ182" s="43" t="n">
        <f aca="false">INDEX(Context!$AA$4:$AA$51,$K182)</f>
        <v>0.121160714285714</v>
      </c>
      <c r="CK182" s="43" t="n">
        <f aca="false">MAX(0,MIN(1,1-(1-CJ182)*AO182/AN182))</f>
        <v>0.604901162787724</v>
      </c>
      <c r="CL182" s="44" t="n">
        <f aca="false">CH182+CK182*(CI182-CH182)</f>
        <v>27.2245532721695</v>
      </c>
      <c r="CM182" s="44" t="n">
        <f aca="false">CH182+MAX(0,MIN(1,1-(1-CJ182)*AQ182/AN182))*(CI182-CH182)</f>
        <v>25.9593786590152</v>
      </c>
      <c r="CN182" s="44" t="n">
        <f aca="false">CH182+MAX(0,MIN(1,1-(1-CJ182)*AP182/AN182))*(CI182-CH182)</f>
        <v>28.1622011676965</v>
      </c>
      <c r="CO182" s="44" t="n">
        <f aca="false">CL182-CG182</f>
        <v>1.64598184359805</v>
      </c>
      <c r="CP182" s="44" t="n">
        <f aca="false">CL182-(CH182+CJ182*(CI182-CH182))</f>
        <v>2.88214920295486</v>
      </c>
      <c r="CQ182" s="46" t="n">
        <f aca="false">CL182/CG182</f>
        <v>1.06435003018814</v>
      </c>
      <c r="CR182" s="43" t="n">
        <f aca="false">IF(CL182-CH182&lt;=0,"n/a",(CI182-CL182)/(CL182-CH182))</f>
        <v>0.653162634688019</v>
      </c>
      <c r="CS182" s="43" t="n">
        <f aca="false">IF(CI182-CL182&lt;=0,"n/a",(CL182-CH182)/(CI182-CL182))</f>
        <v>1.53101225773218</v>
      </c>
      <c r="CT182" s="43" t="n">
        <f aca="false">Inputs_General!$C$23+Inputs_General!$C$24*$I182</f>
        <v>1.9</v>
      </c>
      <c r="CU182" s="44" t="n">
        <f aca="false">3.29*CT182</f>
        <v>6.251</v>
      </c>
    </row>
    <row r="183" customFormat="false" ht="15" hidden="false" customHeight="false" outlineLevel="0" collapsed="false">
      <c r="A183" s="33" t="str">
        <f aca="false">B183&amp;"|"&amp;E183&amp;"|"&amp;F183</f>
        <v>D3V2|03/03/2026|Healthy</v>
      </c>
      <c r="B183" s="34" t="s">
        <v>350</v>
      </c>
      <c r="C183" s="33" t="s">
        <v>131</v>
      </c>
      <c r="D183" s="33" t="s">
        <v>146</v>
      </c>
      <c r="E183" s="33" t="s">
        <v>162</v>
      </c>
      <c r="F183" s="34" t="s">
        <v>275</v>
      </c>
      <c r="G183" s="33" t="s">
        <v>276</v>
      </c>
      <c r="H183" s="35" t="n">
        <f aca="false">INDEX(Severity_Classes!$C$4:$C$9,MATCH(F183,Severity_Classes!$A$4:$A$9,0))</f>
        <v>0</v>
      </c>
      <c r="I183" s="35" t="n">
        <f aca="false">INDEX(Severity_Classes!$D$4:$D$9,MATCH(F183,Severity_Classes!$A$4:$A$9,0))</f>
        <v>0</v>
      </c>
      <c r="J183" s="35" t="n">
        <f aca="false">INDEX(Severity_Classes!$E$4:$E$9,MATCH(F183,Severity_Classes!$A$4:$A$9,0))</f>
        <v>0</v>
      </c>
      <c r="K183" s="36" t="n">
        <f aca="false">MATCH(B183&amp;"|"&amp;E183,Context!$A$4:$A$51,0)</f>
        <v>31</v>
      </c>
      <c r="L183" s="36" t="n">
        <f aca="false">INDEX(Context!$H$4:$H$51,K183)</f>
        <v>66</v>
      </c>
      <c r="M183" s="36" t="n">
        <f aca="false">INDEX(Context!$I$4:$I$51,K183)</f>
        <v>26</v>
      </c>
      <c r="N183" s="33" t="str">
        <f aca="false">INDEX(Context!$L$4:$L$51,K183)</f>
        <v>F</v>
      </c>
      <c r="O183" s="33" t="str">
        <f aca="false">INDEX(Context!$M$4:$M$51,K183)</f>
        <v>5th fully expanded leaf from top</v>
      </c>
      <c r="P183" s="37" t="n">
        <f aca="false">INDEX(Context!$R$4:$R$51,K183)</f>
        <v>0.433928571428571</v>
      </c>
      <c r="Q183" s="37" t="n">
        <f aca="false">INDEX(Context!$U$4:$U$51,K183)</f>
        <v>1.73951545534029</v>
      </c>
      <c r="R183" s="37" t="n">
        <f aca="false">INDEX(Context!$AD$4:$AD$51,K183)</f>
        <v>1.1</v>
      </c>
      <c r="S183" s="33" t="str">
        <f aca="false">INDEX(Context!$AI$4:$AN$51,K183,MATCH(F183,Severity_Classes!$A$4:$A$9,0))</f>
        <v>Reference: healthy (uninoculated) control plot</v>
      </c>
      <c r="T183" s="38" t="n">
        <f aca="false">Parameters!$E$4*IF($N183="V",Parameters!$I$4,IF($N183="F",Parameters!$J$4,Parameters!$K$4))*(1-Parameters!$L$4*$P183)*IF($D183="V1",Parameters!$M$4,IF($D183="V2",Parameters!$N$4,Parameters!$O$4))</f>
        <v>83.2927660714286</v>
      </c>
      <c r="U183" s="38" t="n">
        <f aca="false">MIN(100,T183*(1+INDEX(Response_Table!$E$4:$E$21,MATCH($F183&amp;"|mid",Response_Table!$A$4:$A$21,0))*$R183*INDEX(Parameters!$X$4:$AA$4,1,MATCH($E183,Parameters!$X$3:$AA$3,0))))</f>
        <v>83.2927660714286</v>
      </c>
      <c r="V183" s="38" t="n">
        <f aca="false">MAX(0,MIN(T183*(1+INDEX(Response_Table!$E$4:$E$21,MATCH($F183&amp;"|low",Response_Table!$A$4:$A$21,0))*$R183*INDEX(Parameters!$X$4:$AA$4,1,MATCH($E183,Parameters!$X$3:$AA$3,0))),T183*(1+INDEX(Response_Table!$E$4:$E$21,MATCH($F183&amp;"|high",Response_Table!$A$4:$A$21,0))*$R183*INDEX(Parameters!$X$4:$AA$4,1,MATCH($E183,Parameters!$X$3:$AA$3,0))))*(1-Inputs_General!$C$22*Parameters!$F$4))</f>
        <v>77.8121020639286</v>
      </c>
      <c r="W183" s="38" t="n">
        <f aca="false">MIN(100,MAX(T183*(1+INDEX(Response_Table!$E$4:$E$21,MATCH($F183&amp;"|low",Response_Table!$A$4:$A$21,0))*$R183*INDEX(Parameters!$X$4:$AA$4,1,MATCH($E183,Parameters!$X$3:$AA$3,0))),T183*(1+INDEX(Response_Table!$E$4:$E$21,MATCH($F183&amp;"|high",Response_Table!$A$4:$A$21,0))*$R183*INDEX(Parameters!$X$4:$AA$4,1,MATCH($E183,Parameters!$X$3:$AA$3,0))))*(1+Inputs_General!$C$22*Parameters!$F$4))</f>
        <v>88.7734300789286</v>
      </c>
      <c r="X183" s="39" t="n">
        <f aca="false">IF(T183=0,0,U183/T183-1)</f>
        <v>0</v>
      </c>
      <c r="Y183" s="38" t="n">
        <f aca="false">Parameters!$E$5*IF($N183="V",Parameters!$I$5,IF($N183="F",Parameters!$J$5,Parameters!$K$5))*(1-Parameters!$L$5*$P183)*IF($D183="V1",Parameters!$M$5,IF($D183="V2",Parameters!$N$5,Parameters!$O$5))</f>
        <v>66.88584</v>
      </c>
      <c r="Z183" s="38" t="n">
        <f aca="false">MIN(100,Y183*(1+INDEX(Response_Table!$F$4:$F$21,MATCH($F183&amp;"|mid",Response_Table!$A$4:$A$21,0))*$R183*INDEX(Parameters!$X$5:$AA$5,1,MATCH($E183,Parameters!$X$3:$AA$3,0))))</f>
        <v>66.88584</v>
      </c>
      <c r="AA183" s="38" t="n">
        <f aca="false">MAX(0,MIN(Y183*(1+INDEX(Response_Table!$F$4:$F$21,MATCH($F183&amp;"|low",Response_Table!$A$4:$A$21,0))*$R183*INDEX(Parameters!$X$5:$AA$5,1,MATCH($E183,Parameters!$X$3:$AA$3,0))),Y183*(1+INDEX(Response_Table!$F$4:$F$21,MATCH($F183&amp;"|high",Response_Table!$A$4:$A$21,0))*$R183*INDEX(Parameters!$X$5:$AA$5,1,MATCH($E183,Parameters!$X$3:$AA$3,0))))*(1-Inputs_General!$C$22*Parameters!$F$5))</f>
        <v>59.183935524</v>
      </c>
      <c r="AB183" s="38" t="n">
        <f aca="false">MIN(100,MAX(Y183*(1+INDEX(Response_Table!$F$4:$F$21,MATCH($F183&amp;"|low",Response_Table!$A$4:$A$21,0))*$R183*INDEX(Parameters!$X$5:$AA$5,1,MATCH($E183,Parameters!$X$3:$AA$3,0))),Y183*(1+INDEX(Response_Table!$F$4:$F$21,MATCH($F183&amp;"|high",Response_Table!$A$4:$A$21,0))*$R183*INDEX(Parameters!$X$5:$AA$5,1,MATCH($E183,Parameters!$X$3:$AA$3,0))))*(1+Inputs_General!$C$22*Parameters!$F$5))</f>
        <v>74.587744476</v>
      </c>
      <c r="AC183" s="39" t="n">
        <f aca="false">IF(Y183=0,0,Z183/Y183-1)</f>
        <v>0</v>
      </c>
      <c r="AD183" s="38" t="n">
        <f aca="false">Parameters!$E$6*IF($N183="V",Parameters!$I$6,IF($N183="F",Parameters!$J$6,Parameters!$K$6))*(1-Parameters!$L$6*$P183)*IF($D183="V1",Parameters!$M$6,IF($D183="V2",Parameters!$N$6,Parameters!$O$6))</f>
        <v>18.0106428571429</v>
      </c>
      <c r="AE183" s="38" t="n">
        <f aca="false">AD183*(1+INDEX(Response_Table!$G$4:$G$21,MATCH($F183&amp;"|mid",Response_Table!$A$4:$A$21,0))*$R183*INDEX(Parameters!$X$6:$AA$6,1,MATCH($E183,Parameters!$X$3:$AA$3,0)))</f>
        <v>18.0106428571429</v>
      </c>
      <c r="AF183" s="38" t="n">
        <f aca="false">MAX(0,MIN(AD183*(1+INDEX(Response_Table!$G$4:$G$21,MATCH($F183&amp;"|low",Response_Table!$A$4:$A$21,0))*$R183*INDEX(Parameters!$X$6:$AA$6,1,MATCH($E183,Parameters!$X$3:$AA$3,0))),AD183*(1+INDEX(Response_Table!$G$4:$G$21,MATCH($F183&amp;"|high",Response_Table!$A$4:$A$21,0))*$R183*INDEX(Parameters!$X$6:$AA$6,1,MATCH($E183,Parameters!$X$3:$AA$3,0))))*(1-Inputs_General!$C$22*Parameters!$F$6))</f>
        <v>14.4553419571429</v>
      </c>
      <c r="AG183" s="38" t="n">
        <f aca="false">MAX(AD183*(1+INDEX(Response_Table!$G$4:$G$21,MATCH($F183&amp;"|low",Response_Table!$A$4:$A$21,0))*$R183*INDEX(Parameters!$X$6:$AA$6,1,MATCH($E183,Parameters!$X$3:$AA$3,0))),AD183*(1+INDEX(Response_Table!$G$4:$G$21,MATCH($F183&amp;"|high",Response_Table!$A$4:$A$21,0))*$R183*INDEX(Parameters!$X$6:$AA$6,1,MATCH($E183,Parameters!$X$3:$AA$3,0))))*(1+Inputs_General!$C$22*Parameters!$F$6)</f>
        <v>21.5659437571429</v>
      </c>
      <c r="AH183" s="39" t="n">
        <f aca="false">IF(AD183=0,0,AE183/AD183-1)</f>
        <v>0</v>
      </c>
      <c r="AI183" s="40" t="n">
        <f aca="false">Parameters!$E$7*IF($N183="V",Parameters!$I$7,IF($N183="F",Parameters!$J$7,Parameters!$K$7))*(1-Parameters!$L$7*$P183)*IF($D183="V1",Parameters!$M$7,IF($D183="V2",Parameters!$N$7,Parameters!$O$7))*POWER($Q183/Inputs_General!$C$26,-Inputs_General!$C$25)</f>
        <v>0.341191629407368</v>
      </c>
      <c r="AJ183" s="40" t="n">
        <f aca="false">AI183*(1+INDEX(Response_Table!$H$4:$H$21,MATCH($F183&amp;"|mid",Response_Table!$A$4:$A$21,0))*$R183*INDEX(Parameters!$X$7:$AA$7,1,MATCH($E183,Parameters!$X$3:$AA$3,0)))</f>
        <v>0.341191629407368</v>
      </c>
      <c r="AK183" s="40" t="n">
        <f aca="false">MAX(0,MIN(AI183*(1+INDEX(Response_Table!$H$4:$H$21,MATCH($F183&amp;"|low",Response_Table!$A$4:$A$21,0))*$R183*INDEX(Parameters!$X$7:$AA$7,1,MATCH($E183,Parameters!$X$3:$AA$3,0))),AI183*(1+INDEX(Response_Table!$H$4:$H$21,MATCH($F183&amp;"|high",Response_Table!$A$4:$A$21,0))*$R183*INDEX(Parameters!$X$7:$AA$7,1,MATCH($E183,Parameters!$X$3:$AA$3,0))))*(1-Inputs_General!$C$22*Parameters!$F$7))</f>
        <v>0.240164787939846</v>
      </c>
      <c r="AL183" s="40" t="n">
        <f aca="false">MAX(AI183*(1+INDEX(Response_Table!$H$4:$H$21,MATCH($F183&amp;"|low",Response_Table!$A$4:$A$21,0))*$R183*INDEX(Parameters!$X$7:$AA$7,1,MATCH($E183,Parameters!$X$3:$AA$3,0))),AI183*(1+INDEX(Response_Table!$H$4:$H$21,MATCH($F183&amp;"|high",Response_Table!$A$4:$A$21,0))*$R183*INDEX(Parameters!$X$7:$AA$7,1,MATCH($E183,Parameters!$X$3:$AA$3,0))))*(1+Inputs_General!$C$22*Parameters!$F$7)</f>
        <v>0.44221847087489</v>
      </c>
      <c r="AM183" s="39" t="n">
        <f aca="false">IF(AI183=0,0,AJ183/AI183-1)</f>
        <v>0</v>
      </c>
      <c r="AN183" s="37" t="n">
        <f aca="false">AI183*$Q183/Inputs_General!$C$13*1000</f>
        <v>5.97691956280819</v>
      </c>
      <c r="AO183" s="37" t="n">
        <f aca="false">AJ183*$Q183/Inputs_General!$C$13*1000*(1+Inputs_General!$C$21*$I183)</f>
        <v>5.97691956280819</v>
      </c>
      <c r="AP183" s="37" t="n">
        <f aca="false">AK183*$Q183/Inputs_General!$C$13*1000*(1+Inputs_General!$C$21*$H183)</f>
        <v>4.20715368026068</v>
      </c>
      <c r="AQ183" s="37" t="n">
        <f aca="false">AL183*$Q183/Inputs_General!$C$13*1000*(1+Inputs_General!$C$21*$J183)</f>
        <v>7.74668544535569</v>
      </c>
      <c r="AR183" s="39" t="n">
        <f aca="false">IF(AN183=0,0,AO183/AN183-1)</f>
        <v>0</v>
      </c>
      <c r="AS183" s="36" t="n">
        <f aca="false">Parameters!$E$9*IF($N183="V",Parameters!$I$9,IF($N183="F",Parameters!$J$9,Parameters!$K$9))*(1-Parameters!$L$9*$P183)*IF($D183="V1",Parameters!$M$9,IF($D183="V2",Parameters!$N$9,Parameters!$O$9))</f>
        <v>285</v>
      </c>
      <c r="AT183" s="36" t="n">
        <f aca="false">AS183*(1+INDEX(Response_Table!$I$4:$I$21,MATCH($F183&amp;"|mid",Response_Table!$A$4:$A$21,0))*$R183*INDEX(Parameters!$X$9:$AA$9,1,MATCH($E183,Parameters!$X$3:$AA$3,0)))</f>
        <v>285</v>
      </c>
      <c r="AU183" s="36" t="n">
        <f aca="false">MAX(0,MIN(AS183*(1+INDEX(Response_Table!$I$4:$I$21,MATCH($F183&amp;"|low",Response_Table!$A$4:$A$21,0))*$R183*INDEX(Parameters!$X$9:$AA$9,1,MATCH($E183,Parameters!$X$3:$AA$3,0))),AS183*(1+INDEX(Response_Table!$I$4:$I$21,MATCH($F183&amp;"|high",Response_Table!$A$4:$A$21,0))*$R183*INDEX(Parameters!$X$9:$AA$9,1,MATCH($E183,Parameters!$X$3:$AA$3,0))))*(1-Inputs_General!$C$22*Parameters!$F$9))</f>
        <v>256.8705</v>
      </c>
      <c r="AV183" s="36" t="n">
        <f aca="false">MAX(AS183*(1+INDEX(Response_Table!$I$4:$I$21,MATCH($F183&amp;"|low",Response_Table!$A$4:$A$21,0))*$R183*INDEX(Parameters!$X$9:$AA$9,1,MATCH($E183,Parameters!$X$3:$AA$3,0))),AS183*(1+INDEX(Response_Table!$I$4:$I$21,MATCH($F183&amp;"|high",Response_Table!$A$4:$A$21,0))*$R183*INDEX(Parameters!$X$9:$AA$9,1,MATCH($E183,Parameters!$X$3:$AA$3,0))))*(1+Inputs_General!$C$22*Parameters!$F$9)</f>
        <v>313.1295</v>
      </c>
      <c r="AW183" s="39" t="n">
        <f aca="false">IF(AS183=0,0,AT183/AS183-1)</f>
        <v>0</v>
      </c>
      <c r="AX183" s="37" t="n">
        <f aca="false">INDEX(Context!$AB$4:$AB$51,$K183)</f>
        <v>2.65490090255297</v>
      </c>
      <c r="AY183" s="37" t="n">
        <f aca="false">AX183*(1+INDEX(Response_Table!$J$4:$J$21,MATCH($F183&amp;"|mid",Response_Table!$A$4:$A$21,0))*$R183*INDEX(Parameters!$X$10:$AA$10,1,MATCH($E183,Parameters!$X$3:$AA$3,0)))</f>
        <v>2.65490090255297</v>
      </c>
      <c r="AZ183" s="37" t="n">
        <f aca="false">MAX(0,MIN(AX183*(1+INDEX(Response_Table!$J$4:$J$21,MATCH($F183&amp;"|low",Response_Table!$A$4:$A$21,0))*$R183*INDEX(Parameters!$X$10:$AA$10,1,MATCH($E183,Parameters!$X$3:$AA$3,0))),AX183*(1+INDEX(Response_Table!$J$4:$J$21,MATCH($F183&amp;"|high",Response_Table!$A$4:$A$21,0))*$R183*INDEX(Parameters!$X$10:$AA$10,1,MATCH($E183,Parameters!$X$3:$AA$3,0))))*(1-Inputs_General!$C$22*Parameters!$F$10))</f>
        <v>2.13082346438901</v>
      </c>
      <c r="BA183" s="37" t="n">
        <f aca="false">MAX(AX183*(1+INDEX(Response_Table!$J$4:$J$21,MATCH($F183&amp;"|low",Response_Table!$A$4:$A$21,0))*$R183*INDEX(Parameters!$X$10:$AA$10,1,MATCH($E183,Parameters!$X$3:$AA$3,0))),AX183*(1+INDEX(Response_Table!$J$4:$J$21,MATCH($F183&amp;"|high",Response_Table!$A$4:$A$21,0))*$R183*INDEX(Parameters!$X$10:$AA$10,1,MATCH($E183,Parameters!$X$3:$AA$3,0))))*(1+Inputs_General!$C$22*Parameters!$F$10)</f>
        <v>3.17897834071692</v>
      </c>
      <c r="BB183" s="39" t="n">
        <f aca="false">IF(AX183=0,0,AY183/AX183-1)</f>
        <v>0</v>
      </c>
      <c r="BC183" s="40" t="n">
        <f aca="false">Parameters!$E$11*IF($N183="V",Parameters!$I$11,IF($N183="F",Parameters!$J$11,Parameters!$K$11))*(1-Parameters!$L$11*$P183)*IF($D183="V1",Parameters!$M$11,IF($D183="V2",Parameters!$N$11,Parameters!$O$11))</f>
        <v>1.21745535714286</v>
      </c>
      <c r="BD183" s="40" t="n">
        <f aca="false">BC183*(1+INDEX(Response_Table!$K$4:$K$21,MATCH($F183&amp;"|mid",Response_Table!$A$4:$A$21,0))*$R183*INDEX(Parameters!$X$11:$AA$11,1,MATCH($E183,Parameters!$X$3:$AA$3,0)))</f>
        <v>1.21745535714286</v>
      </c>
      <c r="BE183" s="40" t="n">
        <f aca="false">MAX(0,MIN(BC183*(1+INDEX(Response_Table!$K$4:$K$21,MATCH($F183&amp;"|low",Response_Table!$A$4:$A$21,0))*$R183*INDEX(Parameters!$X$11:$AA$11,1,MATCH($E183,Parameters!$X$3:$AA$3,0))),BC183*(1+INDEX(Response_Table!$K$4:$K$21,MATCH($F183&amp;"|high",Response_Table!$A$4:$A$21,0))*$R183*INDEX(Parameters!$X$11:$AA$11,1,MATCH($E183,Parameters!$X$3:$AA$3,0))))*(1-Inputs_General!$C$22*Parameters!$F$11))</f>
        <v>1.01718395089286</v>
      </c>
      <c r="BF183" s="40" t="n">
        <f aca="false">MAX(BC183*(1+INDEX(Response_Table!$K$4:$K$21,MATCH($F183&amp;"|low",Response_Table!$A$4:$A$21,0))*$R183*INDEX(Parameters!$X$11:$AA$11,1,MATCH($E183,Parameters!$X$3:$AA$3,0))),BC183*(1+INDEX(Response_Table!$K$4:$K$21,MATCH($F183&amp;"|high",Response_Table!$A$4:$A$21,0))*$R183*INDEX(Parameters!$X$11:$AA$11,1,MATCH($E183,Parameters!$X$3:$AA$3,0))))*(1+Inputs_General!$C$22*Parameters!$F$11)</f>
        <v>1.41772676339286</v>
      </c>
      <c r="BG183" s="39" t="n">
        <f aca="false">IF(BC183=0,0,BD183/BC183-1)</f>
        <v>0</v>
      </c>
      <c r="BH183" s="40" t="n">
        <f aca="false">Parameters!$E$12*IF($N183="V",Parameters!$I$12,IF($N183="F",Parameters!$J$12,Parameters!$K$12))*(1-Parameters!$L$12*$P183)*IF($D183="V1",Parameters!$M$12,IF($D183="V2",Parameters!$N$12,Parameters!$O$12))</f>
        <v>0.438283928571429</v>
      </c>
      <c r="BI183" s="40" t="n">
        <f aca="false">BH183*(1+INDEX(Response_Table!$L$4:$L$21,MATCH($F183&amp;"|mid",Response_Table!$A$4:$A$21,0))*$R183*INDEX(Parameters!$X$12:$AA$12,1,MATCH($E183,Parameters!$X$3:$AA$3,0)))</f>
        <v>0.438283928571429</v>
      </c>
      <c r="BJ183" s="40" t="n">
        <f aca="false">MAX(0,MIN(BH183*(1+INDEX(Response_Table!$L$4:$L$21,MATCH($F183&amp;"|low",Response_Table!$A$4:$A$21,0))*$R183*INDEX(Parameters!$X$12:$AA$12,1,MATCH($E183,Parameters!$X$3:$AA$3,0))),BH183*(1+INDEX(Response_Table!$L$4:$L$21,MATCH($F183&amp;"|high",Response_Table!$A$4:$A$21,0))*$R183*INDEX(Parameters!$X$12:$AA$12,1,MATCH($E183,Parameters!$X$3:$AA$3,0))))*(1-Inputs_General!$C$22*Parameters!$F$12))</f>
        <v>0.351766681071429</v>
      </c>
      <c r="BK183" s="40" t="n">
        <f aca="false">MAX(BH183*(1+INDEX(Response_Table!$L$4:$L$21,MATCH($F183&amp;"|low",Response_Table!$A$4:$A$21,0))*$R183*INDEX(Parameters!$X$12:$AA$12,1,MATCH($E183,Parameters!$X$3:$AA$3,0))),BH183*(1+INDEX(Response_Table!$L$4:$L$21,MATCH($F183&amp;"|high",Response_Table!$A$4:$A$21,0))*$R183*INDEX(Parameters!$X$12:$AA$12,1,MATCH($E183,Parameters!$X$3:$AA$3,0))))*(1+Inputs_General!$C$22*Parameters!$F$12)</f>
        <v>0.524801176071429</v>
      </c>
      <c r="BL183" s="39" t="n">
        <f aca="false">IF(BH183=0,0,BI183/BH183-1)</f>
        <v>0</v>
      </c>
      <c r="BM183" s="40" t="n">
        <f aca="false">Parameters!$E$13*IF($N183="V",Parameters!$I$13,IF($N183="F",Parameters!$J$13,Parameters!$K$13))*(1-Parameters!$L$13*$P183)*IF($D183="V1",Parameters!$M$13,IF($D183="V2",Parameters!$N$13,Parameters!$O$13))</f>
        <v>0.296094642857143</v>
      </c>
      <c r="BN183" s="40" t="n">
        <f aca="false">BM183*(1+INDEX(Response_Table!$M$4:$M$21,MATCH($F183&amp;"|mid",Response_Table!$A$4:$A$21,0))*$R183*INDEX(Parameters!$X$13:$AA$13,1,MATCH($E183,Parameters!$X$3:$AA$3,0)))</f>
        <v>0.296094642857143</v>
      </c>
      <c r="BO183" s="40" t="n">
        <f aca="false">MAX(0,MIN(BM183*(1+INDEX(Response_Table!$M$4:$M$21,MATCH($F183&amp;"|low",Response_Table!$A$4:$A$21,0))*$R183*INDEX(Parameters!$X$13:$AA$13,1,MATCH($E183,Parameters!$X$3:$AA$3,0))),BM183*(1+INDEX(Response_Table!$M$4:$M$21,MATCH($F183&amp;"|high",Response_Table!$A$4:$A$21,0))*$R183*INDEX(Parameters!$X$13:$AA$13,1,MATCH($E183,Parameters!$X$3:$AA$3,0))))*(1-Inputs_General!$C$22*Parameters!$F$13))</f>
        <v>0.237645560357143</v>
      </c>
      <c r="BP183" s="40" t="n">
        <f aca="false">MAX(BM183*(1+INDEX(Response_Table!$M$4:$M$21,MATCH($F183&amp;"|low",Response_Table!$A$4:$A$21,0))*$R183*INDEX(Parameters!$X$13:$AA$13,1,MATCH($E183,Parameters!$X$3:$AA$3,0))),BM183*(1+INDEX(Response_Table!$M$4:$M$21,MATCH($F183&amp;"|high",Response_Table!$A$4:$A$21,0))*$R183*INDEX(Parameters!$X$13:$AA$13,1,MATCH($E183,Parameters!$X$3:$AA$3,0))))*(1+Inputs_General!$C$22*Parameters!$F$13)</f>
        <v>0.354543725357143</v>
      </c>
      <c r="BQ183" s="39" t="n">
        <f aca="false">IF(BM183=0,0,BN183/BM183-1)</f>
        <v>0</v>
      </c>
      <c r="BR183" s="38" t="n">
        <f aca="false">Parameters!$E$14*IF($N183="V",Parameters!$I$14,IF($N183="F",Parameters!$J$14,Parameters!$K$14))*(1-Parameters!$L$14*$P183)*IF($D183="V1",Parameters!$M$14,IF($D183="V2",Parameters!$N$14,Parameters!$O$14))*INDEX(Context!$AC$4:$AC$51,$K183)</f>
        <v>15</v>
      </c>
      <c r="BS183" s="38" t="n">
        <f aca="false">BR183*(1+INDEX(Response_Table!$N$4:$N$21,MATCH($F183&amp;"|mid",Response_Table!$A$4:$A$21,0))*$R183*INDEX(Parameters!$X$14:$AA$14,1,MATCH($E183,Parameters!$X$3:$AA$3,0)))</f>
        <v>15</v>
      </c>
      <c r="BT183" s="38" t="n">
        <f aca="false">MAX(0,MIN(BR183*(1+INDEX(Response_Table!$N$4:$N$21,MATCH($F183&amp;"|low",Response_Table!$A$4:$A$21,0))*$R183*INDEX(Parameters!$X$14:$AA$14,1,MATCH($E183,Parameters!$X$3:$AA$3,0))),BR183*(1+INDEX(Response_Table!$N$4:$N$21,MATCH($F183&amp;"|high",Response_Table!$A$4:$A$21,0))*$R183*INDEX(Parameters!$X$14:$AA$14,1,MATCH($E183,Parameters!$X$3:$AA$3,0))))*(1-Inputs_General!$C$22*Parameters!$F$14))</f>
        <v>7.5975</v>
      </c>
      <c r="BU183" s="38" t="n">
        <f aca="false">MAX(BR183*(1+INDEX(Response_Table!$N$4:$N$21,MATCH($F183&amp;"|low",Response_Table!$A$4:$A$21,0))*$R183*INDEX(Parameters!$X$14:$AA$14,1,MATCH($E183,Parameters!$X$3:$AA$3,0))),BR183*(1+INDEX(Response_Table!$N$4:$N$21,MATCH($F183&amp;"|high",Response_Table!$A$4:$A$21,0))*$R183*INDEX(Parameters!$X$14:$AA$14,1,MATCH($E183,Parameters!$X$3:$AA$3,0))))*(1+Inputs_General!$C$22*Parameters!$F$14)</f>
        <v>22.4025</v>
      </c>
      <c r="BV183" s="39" t="n">
        <f aca="false">IF(BR183=0,0,BS183/BR183-1)</f>
        <v>0</v>
      </c>
      <c r="BW183" s="37" t="n">
        <f aca="false">Parameters!$E$15*IF($N183="V",Parameters!$I$15,IF($N183="F",Parameters!$J$15,Parameters!$K$15))*(1-Parameters!$L$15*$P183)*IF($D183="V1",Parameters!$M$15,IF($D183="V2",Parameters!$N$15,Parameters!$O$15))</f>
        <v>10.5188142857143</v>
      </c>
      <c r="BX183" s="37" t="n">
        <f aca="false">BW183*(1+INDEX(Response_Table!$O$4:$O$21,MATCH($F183&amp;"|mid",Response_Table!$A$4:$A$21,0))*$R183*INDEX(Parameters!$X$15:$AA$15,1,MATCH($E183,Parameters!$X$3:$AA$3,0)))</f>
        <v>10.5188142857143</v>
      </c>
      <c r="BY183" s="37" t="n">
        <f aca="false">MAX(0,MIN(BW183*(1+INDEX(Response_Table!$O$4:$O$21,MATCH($F183&amp;"|low",Response_Table!$A$4:$A$21,0))*$R183*INDEX(Parameters!$X$15:$AA$15,1,MATCH($E183,Parameters!$X$3:$AA$3,0))),BW183*(1+INDEX(Response_Table!$O$4:$O$21,MATCH($F183&amp;"|high",Response_Table!$A$4:$A$21,0))*$R183*INDEX(Parameters!$X$15:$AA$15,1,MATCH($E183,Parameters!$X$3:$AA$3,0))))*(1-Inputs_General!$C$22*Parameters!$F$15))</f>
        <v>8.44240034571429</v>
      </c>
      <c r="BZ183" s="37" t="n">
        <f aca="false">MAX(BW183*(1+INDEX(Response_Table!$O$4:$O$21,MATCH($F183&amp;"|low",Response_Table!$A$4:$A$21,0))*$R183*INDEX(Parameters!$X$15:$AA$15,1,MATCH($E183,Parameters!$X$3:$AA$3,0))),BW183*(1+INDEX(Response_Table!$O$4:$O$21,MATCH($F183&amp;"|high",Response_Table!$A$4:$A$21,0))*$R183*INDEX(Parameters!$X$15:$AA$15,1,MATCH($E183,Parameters!$X$3:$AA$3,0))))*(1+Inputs_General!$C$22*Parameters!$F$15)</f>
        <v>12.5952282257143</v>
      </c>
      <c r="CA183" s="39" t="n">
        <f aca="false">IF(BW183=0,0,BX183/BW183-1)</f>
        <v>0</v>
      </c>
      <c r="CB183" s="40" t="n">
        <f aca="false">BD183+BI183</f>
        <v>1.65573928571429</v>
      </c>
      <c r="CC183" s="37" t="n">
        <f aca="false">BD183/BI183</f>
        <v>2.77777777777778</v>
      </c>
      <c r="CD183" s="40" t="n">
        <f aca="false">BN183/CB183</f>
        <v>0.178829267030049</v>
      </c>
      <c r="CE183" s="37" t="n">
        <f aca="false">AE183/AO183</f>
        <v>3.01336544149186</v>
      </c>
      <c r="CF183" s="38" t="n">
        <f aca="false">AE183/AJ183</f>
        <v>52.7874698697222</v>
      </c>
      <c r="CG183" s="38" t="n">
        <f aca="false">INDEX(Context!$V$4:$V$51,$K183)</f>
        <v>28.62</v>
      </c>
      <c r="CH183" s="38" t="n">
        <f aca="false">INDEX(Context!$Y$4:$Y$51,$K183)</f>
        <v>25.3060134606718</v>
      </c>
      <c r="CI183" s="38" t="n">
        <f aca="false">INDEX(Context!$Z$4:$Z$51,$K183)</f>
        <v>32.62</v>
      </c>
      <c r="CJ183" s="37" t="n">
        <f aca="false">INDEX(Context!$AA$4:$AA$51,$K183)</f>
        <v>0.221696428571429</v>
      </c>
      <c r="CK183" s="37" t="n">
        <f aca="false">MAX(0,MIN(1,1-(1-CJ183)*AO183/AN183))</f>
        <v>0.221696428571429</v>
      </c>
      <c r="CL183" s="38" t="n">
        <f aca="false">CH183+CK183*(CI183-CH183)</f>
        <v>26.9274981550603</v>
      </c>
      <c r="CM183" s="38" t="n">
        <f aca="false">CH183+MAX(0,MIN(1,1-(1-CJ183)*AQ183/AN183))*(CI183-CH183)</f>
        <v>25.3060134606718</v>
      </c>
      <c r="CN183" s="38" t="n">
        <f aca="false">CH183+MAX(0,MIN(1,1-(1-CJ183)*AP183/AN183))*(CI183-CH183)</f>
        <v>28.613047951347</v>
      </c>
      <c r="CO183" s="38" t="n">
        <f aca="false">CL183-CG183</f>
        <v>-1.69250184493966</v>
      </c>
      <c r="CP183" s="38" t="n">
        <f aca="false">CL183-(CH183+CJ183*(CI183-CH183))</f>
        <v>0</v>
      </c>
      <c r="CQ183" s="40" t="n">
        <f aca="false">CL183/CG183</f>
        <v>0.940862968380864</v>
      </c>
      <c r="CR183" s="37" t="n">
        <f aca="false">IF(CL183-CH183&lt;=0,"n/a",(CI183-CL183)/(CL183-CH183))</f>
        <v>3.5106725734998</v>
      </c>
      <c r="CS183" s="37" t="n">
        <f aca="false">IF(CI183-CL183&lt;=0,"n/a",(CL183-CH183)/(CI183-CL183))</f>
        <v>0.284845703797178</v>
      </c>
      <c r="CT183" s="37" t="n">
        <f aca="false">Inputs_General!$C$23+Inputs_General!$C$24*$I183</f>
        <v>0.6</v>
      </c>
      <c r="CU183" s="38" t="n">
        <f aca="false">3.29*CT183</f>
        <v>1.974</v>
      </c>
    </row>
    <row r="184" customFormat="false" ht="15" hidden="false" customHeight="false" outlineLevel="0" collapsed="false">
      <c r="A184" s="9" t="str">
        <f aca="false">B184&amp;"|"&amp;E184&amp;"|"&amp;F184</f>
        <v>D3V2|03/03/2026|Very low</v>
      </c>
      <c r="B184" s="7" t="s">
        <v>350</v>
      </c>
      <c r="C184" s="9" t="s">
        <v>131</v>
      </c>
      <c r="D184" s="9" t="s">
        <v>146</v>
      </c>
      <c r="E184" s="9" t="s">
        <v>162</v>
      </c>
      <c r="F184" s="7" t="s">
        <v>277</v>
      </c>
      <c r="G184" s="9" t="s">
        <v>278</v>
      </c>
      <c r="H184" s="41" t="n">
        <f aca="false">INDEX(Severity_Classes!$C$4:$C$9,MATCH(F184,Severity_Classes!$A$4:$A$9,0))</f>
        <v>0.01</v>
      </c>
      <c r="I184" s="41" t="n">
        <f aca="false">INDEX(Severity_Classes!$D$4:$D$9,MATCH(F184,Severity_Classes!$A$4:$A$9,0))</f>
        <v>0.03</v>
      </c>
      <c r="J184" s="41" t="n">
        <f aca="false">INDEX(Severity_Classes!$E$4:$E$9,MATCH(F184,Severity_Classes!$A$4:$A$9,0))</f>
        <v>0.05</v>
      </c>
      <c r="K184" s="42" t="n">
        <f aca="false">MATCH(B184&amp;"|"&amp;E184,Context!$A$4:$A$51,0)</f>
        <v>31</v>
      </c>
      <c r="L184" s="42" t="n">
        <f aca="false">INDEX(Context!$H$4:$H$51,K184)</f>
        <v>66</v>
      </c>
      <c r="M184" s="42" t="n">
        <f aca="false">INDEX(Context!$I$4:$I$51,K184)</f>
        <v>26</v>
      </c>
      <c r="N184" s="9" t="str">
        <f aca="false">INDEX(Context!$L$4:$L$51,K184)</f>
        <v>F</v>
      </c>
      <c r="O184" s="9" t="str">
        <f aca="false">INDEX(Context!$M$4:$M$51,K184)</f>
        <v>5th fully expanded leaf from top</v>
      </c>
      <c r="P184" s="43" t="n">
        <f aca="false">INDEX(Context!$R$4:$R$51,K184)</f>
        <v>0.433928571428571</v>
      </c>
      <c r="Q184" s="43" t="n">
        <f aca="false">INDEX(Context!$U$4:$U$51,K184)</f>
        <v>1.73951545534029</v>
      </c>
      <c r="R184" s="43" t="n">
        <f aca="false">INDEX(Context!$AD$4:$AD$51,K184)</f>
        <v>1.1</v>
      </c>
      <c r="S184" s="9" t="str">
        <f aca="false">INDEX(Context!$AI$4:$AN$51,K184,MATCH(F184,Severity_Classes!$A$4:$A$9,0))</f>
        <v>Possible</v>
      </c>
      <c r="T184" s="44" t="n">
        <f aca="false">Parameters!$E$4*IF($N184="V",Parameters!$I$4,IF($N184="F",Parameters!$J$4,Parameters!$K$4))*(1-Parameters!$L$4*$P184)*IF($D184="V1",Parameters!$M$4,IF($D184="V2",Parameters!$N$4,Parameters!$O$4))</f>
        <v>83.2927660714286</v>
      </c>
      <c r="U184" s="44" t="n">
        <f aca="false">MIN(100,T184*(1+INDEX(Response_Table!$E$4:$E$21,MATCH($F184&amp;"|mid",Response_Table!$A$4:$A$21,0))*$R184*INDEX(Parameters!$X$4:$AA$4,1,MATCH($E184,Parameters!$X$3:$AA$3,0))))</f>
        <v>82.8977524038264</v>
      </c>
      <c r="V184" s="44" t="n">
        <f aca="false">MAX(0,MIN(T184*(1+INDEX(Response_Table!$E$4:$E$21,MATCH($F184&amp;"|low",Response_Table!$A$4:$A$21,0))*$R184*INDEX(Parameters!$X$4:$AA$4,1,MATCH($E184,Parameters!$X$3:$AA$3,0))),T184*(1+INDEX(Response_Table!$E$4:$E$21,MATCH($F184&amp;"|high",Response_Table!$A$4:$A$21,0))*$R184*INDEX(Parameters!$X$4:$AA$4,1,MATCH($E184,Parameters!$X$3:$AA$3,0))))*(1-Inputs_General!$C$22*Parameters!$F$4))</f>
        <v>77.1483417033647</v>
      </c>
      <c r="W184" s="44" t="n">
        <f aca="false">MIN(100,MAX(T184*(1+INDEX(Response_Table!$E$4:$E$21,MATCH($F184&amp;"|low",Response_Table!$A$4:$A$21,0))*$R184*INDEX(Parameters!$X$4:$AA$4,1,MATCH($E184,Parameters!$X$3:$AA$3,0))),T184*(1+INDEX(Response_Table!$E$4:$E$21,MATCH($F184&amp;"|high",Response_Table!$A$4:$A$21,0))*$R184*INDEX(Parameters!$X$4:$AA$4,1,MATCH($E184,Parameters!$X$3:$AA$3,0))))*(1+Inputs_General!$C$22*Parameters!$F$4))</f>
        <v>88.6433160793479</v>
      </c>
      <c r="X184" s="45" t="n">
        <f aca="false">IF(T184=0,0,U184/T184-1)</f>
        <v>-0.00474247268080141</v>
      </c>
      <c r="Y184" s="44" t="n">
        <f aca="false">Parameters!$E$5*IF($N184="V",Parameters!$I$5,IF($N184="F",Parameters!$J$5,Parameters!$K$5))*(1-Parameters!$L$5*$P184)*IF($D184="V1",Parameters!$M$5,IF($D184="V2",Parameters!$N$5,Parameters!$O$5))</f>
        <v>66.88584</v>
      </c>
      <c r="Z184" s="44" t="n">
        <f aca="false">MIN(100,Y184*(1+INDEX(Response_Table!$F$4:$F$21,MATCH($F184&amp;"|mid",Response_Table!$A$4:$A$21,0))*$R184*INDEX(Parameters!$X$5:$AA$5,1,MATCH($E184,Parameters!$X$3:$AA$3,0))))</f>
        <v>65.8732542838952</v>
      </c>
      <c r="AA184" s="44" t="n">
        <f aca="false">MAX(0,MIN(Y184*(1+INDEX(Response_Table!$F$4:$F$21,MATCH($F184&amp;"|low",Response_Table!$A$4:$A$21,0))*$R184*INDEX(Parameters!$X$5:$AA$5,1,MATCH($E184,Parameters!$X$3:$AA$3,0))),Y184*(1+INDEX(Response_Table!$F$4:$F$21,MATCH($F184&amp;"|high",Response_Table!$A$4:$A$21,0))*$R184*INDEX(Parameters!$X$5:$AA$5,1,MATCH($E184,Parameters!$X$3:$AA$3,0))))*(1-Inputs_General!$C$22*Parameters!$F$5))</f>
        <v>57.5500061260851</v>
      </c>
      <c r="AB184" s="44" t="n">
        <f aca="false">MIN(100,MAX(Y184*(1+INDEX(Response_Table!$F$4:$F$21,MATCH($F184&amp;"|low",Response_Table!$A$4:$A$21,0))*$R184*INDEX(Parameters!$X$5:$AA$5,1,MATCH($E184,Parameters!$X$3:$AA$3,0))),Y184*(1+INDEX(Response_Table!$F$4:$F$21,MATCH($F184&amp;"|high",Response_Table!$A$4:$A$21,0))*$R184*INDEX(Parameters!$X$5:$AA$5,1,MATCH($E184,Parameters!$X$3:$AA$3,0))))*(1+Inputs_General!$C$22*Parameters!$F$5))</f>
        <v>74.2435679431691</v>
      </c>
      <c r="AC184" s="45" t="n">
        <f aca="false">IF(Y184=0,0,Z184/Y184-1)</f>
        <v>-0.0151390147167895</v>
      </c>
      <c r="AD184" s="44" t="n">
        <f aca="false">Parameters!$E$6*IF($N184="V",Parameters!$I$6,IF($N184="F",Parameters!$J$6,Parameters!$K$6))*(1-Parameters!$L$6*$P184)*IF($D184="V1",Parameters!$M$6,IF($D184="V2",Parameters!$N$6,Parameters!$O$6))</f>
        <v>18.0106428571429</v>
      </c>
      <c r="AE184" s="44" t="n">
        <f aca="false">AD184*(1+INDEX(Response_Table!$G$4:$G$21,MATCH($F184&amp;"|mid",Response_Table!$A$4:$A$21,0))*$R184*INDEX(Parameters!$X$6:$AA$6,1,MATCH($E184,Parameters!$X$3:$AA$3,0)))</f>
        <v>16.1732208638444</v>
      </c>
      <c r="AF184" s="44" t="n">
        <f aca="false">MAX(0,MIN(AD184*(1+INDEX(Response_Table!$G$4:$G$21,MATCH($F184&amp;"|low",Response_Table!$A$4:$A$21,0))*$R184*INDEX(Parameters!$X$6:$AA$6,1,MATCH($E184,Parameters!$X$3:$AA$3,0))),AD184*(1+INDEX(Response_Table!$G$4:$G$21,MATCH($F184&amp;"|high",Response_Table!$A$4:$A$21,0))*$R184*INDEX(Parameters!$X$6:$AA$6,1,MATCH($E184,Parameters!$X$3:$AA$3,0))))*(1-Inputs_General!$C$22*Parameters!$F$6))</f>
        <v>12.1002488550559</v>
      </c>
      <c r="AG184" s="44" t="n">
        <f aca="false">MAX(AD184*(1+INDEX(Response_Table!$G$4:$G$21,MATCH($F184&amp;"|low",Response_Table!$A$4:$A$21,0))*$R184*INDEX(Parameters!$X$6:$AA$6,1,MATCH($E184,Parameters!$X$3:$AA$3,0))),AD184*(1+INDEX(Response_Table!$G$4:$G$21,MATCH($F184&amp;"|high",Response_Table!$A$4:$A$21,0))*$R184*INDEX(Parameters!$X$6:$AA$6,1,MATCH($E184,Parameters!$X$3:$AA$3,0))))*(1+Inputs_General!$C$22*Parameters!$F$6)</f>
        <v>20.8000727181572</v>
      </c>
      <c r="AH184" s="45" t="n">
        <f aca="false">IF(AD184=0,0,AE184/AD184-1)</f>
        <v>-0.102018679059517</v>
      </c>
      <c r="AI184" s="46" t="n">
        <f aca="false">Parameters!$E$7*IF($N184="V",Parameters!$I$7,IF($N184="F",Parameters!$J$7,Parameters!$K$7))*(1-Parameters!$L$7*$P184)*IF($D184="V1",Parameters!$M$7,IF($D184="V2",Parameters!$N$7,Parameters!$O$7))*POWER($Q184/Inputs_General!$C$26,-Inputs_General!$C$25)</f>
        <v>0.341191629407368</v>
      </c>
      <c r="AJ184" s="46" t="n">
        <f aca="false">AI184*(1+INDEX(Response_Table!$H$4:$H$21,MATCH($F184&amp;"|mid",Response_Table!$A$4:$A$21,0))*$R184*INDEX(Parameters!$X$7:$AA$7,1,MATCH($E184,Parameters!$X$3:$AA$3,0)))</f>
        <v>0.320194968623362</v>
      </c>
      <c r="AK184" s="46" t="n">
        <f aca="false">MAX(0,MIN(AI184*(1+INDEX(Response_Table!$H$4:$H$21,MATCH($F184&amp;"|low",Response_Table!$A$4:$A$21,0))*$R184*INDEX(Parameters!$X$7:$AA$7,1,MATCH($E184,Parameters!$X$3:$AA$3,0))),AI184*(1+INDEX(Response_Table!$H$4:$H$21,MATCH($F184&amp;"|high",Response_Table!$A$4:$A$21,0))*$R184*INDEX(Parameters!$X$7:$AA$7,1,MATCH($E184,Parameters!$X$3:$AA$3,0))))*(1-Inputs_General!$C$22*Parameters!$F$7))</f>
        <v>0.216245864837781</v>
      </c>
      <c r="AL184" s="46" t="n">
        <f aca="false">MAX(AI184*(1+INDEX(Response_Table!$H$4:$H$21,MATCH($F184&amp;"|low",Response_Table!$A$4:$A$21,0))*$R184*INDEX(Parameters!$X$7:$AA$7,1,MATCH($E184,Parameters!$X$3:$AA$3,0))),AI184*(1+INDEX(Response_Table!$H$4:$H$21,MATCH($F184&amp;"|high",Response_Table!$A$4:$A$21,0))*$R184*INDEX(Parameters!$X$7:$AA$7,1,MATCH($E184,Parameters!$X$3:$AA$3,0))))*(1+Inputs_General!$C$22*Parameters!$F$7)</f>
        <v>0.432873756237273</v>
      </c>
      <c r="AM184" s="45" t="n">
        <f aca="false">IF(AI184=0,0,AJ184/AI184-1)</f>
        <v>-0.0615392025310718</v>
      </c>
      <c r="AN184" s="43" t="n">
        <f aca="false">AI184*$Q184/Inputs_General!$C$13*1000</f>
        <v>5.97691956280819</v>
      </c>
      <c r="AO184" s="43" t="n">
        <f aca="false">AJ184*$Q184/Inputs_General!$C$13*1000*(1+Inputs_General!$C$21*$I184)</f>
        <v>5.65117298456552</v>
      </c>
      <c r="AP184" s="43" t="n">
        <f aca="false">AK184*$Q184/Inputs_General!$C$13*1000*(1+Inputs_General!$C$21*$H184)</f>
        <v>3.79761763946469</v>
      </c>
      <c r="AQ184" s="43" t="n">
        <f aca="false">AL184*$Q184/Inputs_General!$C$13*1000*(1+Inputs_General!$C$21*$J184)</f>
        <v>7.6777741344488</v>
      </c>
      <c r="AR184" s="45" t="n">
        <f aca="false">IF(AN184=0,0,AO184/AN184-1)</f>
        <v>-0.0545007465500549</v>
      </c>
      <c r="AS184" s="42" t="n">
        <f aca="false">Parameters!$E$9*IF($N184="V",Parameters!$I$9,IF($N184="F",Parameters!$J$9,Parameters!$K$9))*(1-Parameters!$L$9*$P184)*IF($D184="V1",Parameters!$M$9,IF($D184="V2",Parameters!$N$9,Parameters!$O$9))</f>
        <v>285</v>
      </c>
      <c r="AT184" s="42" t="n">
        <f aca="false">AS184*(1+INDEX(Response_Table!$I$4:$I$21,MATCH($F184&amp;"|mid",Response_Table!$A$4:$A$21,0))*$R184*INDEX(Parameters!$X$9:$AA$9,1,MATCH($E184,Parameters!$X$3:$AA$3,0)))</f>
        <v>295.635132926751</v>
      </c>
      <c r="AU184" s="42" t="n">
        <f aca="false">MAX(0,MIN(AS184*(1+INDEX(Response_Table!$I$4:$I$21,MATCH($F184&amp;"|low",Response_Table!$A$4:$A$21,0))*$R184*INDEX(Parameters!$X$9:$AA$9,1,MATCH($E184,Parameters!$X$3:$AA$3,0))),AS184*(1+INDEX(Response_Table!$I$4:$I$21,MATCH($F184&amp;"|high",Response_Table!$A$4:$A$21,0))*$R184*INDEX(Parameters!$X$9:$AA$9,1,MATCH($E184,Parameters!$X$3:$AA$3,0))))*(1-Inputs_General!$C$22*Parameters!$F$9))</f>
        <v>260.194272002174</v>
      </c>
      <c r="AV184" s="42" t="n">
        <f aca="false">MAX(AS184*(1+INDEX(Response_Table!$I$4:$I$21,MATCH($F184&amp;"|low",Response_Table!$A$4:$A$21,0))*$R184*INDEX(Parameters!$X$9:$AA$9,1,MATCH($E184,Parameters!$X$3:$AA$3,0))),AS184*(1+INDEX(Response_Table!$I$4:$I$21,MATCH($F184&amp;"|high",Response_Table!$A$4:$A$21,0))*$R184*INDEX(Parameters!$X$9:$AA$9,1,MATCH($E184,Parameters!$X$3:$AA$3,0))))*(1+Inputs_General!$C$22*Parameters!$F$9)</f>
        <v>331.860547055842</v>
      </c>
      <c r="AW184" s="45" t="n">
        <f aca="false">IF(AS184=0,0,AT184/AS184-1)</f>
        <v>0.037316255883338</v>
      </c>
      <c r="AX184" s="43" t="n">
        <f aca="false">INDEX(Context!$AB$4:$AB$51,$K184)</f>
        <v>2.65490090255297</v>
      </c>
      <c r="AY184" s="43" t="n">
        <f aca="false">AX184*(1+INDEX(Response_Table!$J$4:$J$21,MATCH($F184&amp;"|mid",Response_Table!$A$4:$A$21,0))*$R184*INDEX(Parameters!$X$10:$AA$10,1,MATCH($E184,Parameters!$X$3:$AA$3,0)))</f>
        <v>2.55994313028895</v>
      </c>
      <c r="AZ184" s="43" t="n">
        <f aca="false">MAX(0,MIN(AX184*(1+INDEX(Response_Table!$J$4:$J$21,MATCH($F184&amp;"|low",Response_Table!$A$4:$A$21,0))*$R184*INDEX(Parameters!$X$10:$AA$10,1,MATCH($E184,Parameters!$X$3:$AA$3,0))),AX184*(1+INDEX(Response_Table!$J$4:$J$21,MATCH($F184&amp;"|high",Response_Table!$A$4:$A$21,0))*$R184*INDEX(Parameters!$X$10:$AA$10,1,MATCH($E184,Parameters!$X$3:$AA$3,0))))*(1-Inputs_General!$C$22*Parameters!$F$10))</f>
        <v>2.006886177619</v>
      </c>
      <c r="BA184" s="43" t="n">
        <f aca="false">MAX(AX184*(1+INDEX(Response_Table!$J$4:$J$21,MATCH($F184&amp;"|low",Response_Table!$A$4:$A$21,0))*$R184*INDEX(Parameters!$X$10:$AA$10,1,MATCH($E184,Parameters!$X$3:$AA$3,0))),AX184*(1+INDEX(Response_Table!$J$4:$J$21,MATCH($F184&amp;"|high",Response_Table!$A$4:$A$21,0))*$R184*INDEX(Parameters!$X$10:$AA$10,1,MATCH($E184,Parameters!$X$3:$AA$3,0))))*(1+Inputs_General!$C$22*Parameters!$F$10)</f>
        <v>3.14012615954522</v>
      </c>
      <c r="BB184" s="45" t="n">
        <f aca="false">IF(AX184=0,0,AY184/AX184-1)</f>
        <v>-0.0357669742673662</v>
      </c>
      <c r="BC184" s="46" t="n">
        <f aca="false">Parameters!$E$11*IF($N184="V",Parameters!$I$11,IF($N184="F",Parameters!$J$11,Parameters!$K$11))*(1-Parameters!$L$11*$P184)*IF($D184="V1",Parameters!$M$11,IF($D184="V2",Parameters!$N$11,Parameters!$O$11))</f>
        <v>1.21745535714286</v>
      </c>
      <c r="BD184" s="46" t="n">
        <f aca="false">BC184*(1+INDEX(Response_Table!$K$4:$K$21,MATCH($F184&amp;"|mid",Response_Table!$A$4:$A$21,0))*$R184*INDEX(Parameters!$X$11:$AA$11,1,MATCH($E184,Parameters!$X$3:$AA$3,0)))</f>
        <v>1.13777506072678</v>
      </c>
      <c r="BE184" s="46" t="n">
        <f aca="false">MAX(0,MIN(BC184*(1+INDEX(Response_Table!$K$4:$K$21,MATCH($F184&amp;"|low",Response_Table!$A$4:$A$21,0))*$R184*INDEX(Parameters!$X$11:$AA$11,1,MATCH($E184,Parameters!$X$3:$AA$3,0))),BC184*(1+INDEX(Response_Table!$K$4:$K$21,MATCH($F184&amp;"|high",Response_Table!$A$4:$A$21,0))*$R184*INDEX(Parameters!$X$11:$AA$11,1,MATCH($E184,Parameters!$X$3:$AA$3,0))))*(1-Inputs_General!$C$22*Parameters!$F$11))</f>
        <v>0.909650120986928</v>
      </c>
      <c r="BF184" s="46" t="n">
        <f aca="false">MAX(BC184*(1+INDEX(Response_Table!$K$4:$K$21,MATCH($F184&amp;"|low",Response_Table!$A$4:$A$21,0))*$R184*INDEX(Parameters!$X$11:$AA$11,1,MATCH($E184,Parameters!$X$3:$AA$3,0))),BC184*(1+INDEX(Response_Table!$K$4:$K$21,MATCH($F184&amp;"|high",Response_Table!$A$4:$A$21,0))*$R184*INDEX(Parameters!$X$11:$AA$11,1,MATCH($E184,Parameters!$X$3:$AA$3,0))))*(1+Inputs_General!$C$22*Parameters!$F$11)</f>
        <v>1.38580268445108</v>
      </c>
      <c r="BG184" s="45" t="n">
        <f aca="false">IF(BC184=0,0,BD184/BC184-1)</f>
        <v>-0.0654482285108751</v>
      </c>
      <c r="BH184" s="46" t="n">
        <f aca="false">Parameters!$E$12*IF($N184="V",Parameters!$I$12,IF($N184="F",Parameters!$J$12,Parameters!$K$12))*(1-Parameters!$L$12*$P184)*IF($D184="V1",Parameters!$M$12,IF($D184="V2",Parameters!$N$12,Parameters!$O$12))</f>
        <v>0.438283928571429</v>
      </c>
      <c r="BI184" s="46" t="n">
        <f aca="false">BH184*(1+INDEX(Response_Table!$L$4:$L$21,MATCH($F184&amp;"|mid",Response_Table!$A$4:$A$21,0))*$R184*INDEX(Parameters!$X$12:$AA$12,1,MATCH($E184,Parameters!$X$3:$AA$3,0)))</f>
        <v>0.415461768732107</v>
      </c>
      <c r="BJ184" s="46" t="n">
        <f aca="false">MAX(0,MIN(BH184*(1+INDEX(Response_Table!$L$4:$L$21,MATCH($F184&amp;"|low",Response_Table!$A$4:$A$21,0))*$R184*INDEX(Parameters!$X$12:$AA$12,1,MATCH($E184,Parameters!$X$3:$AA$3,0))),BH184*(1+INDEX(Response_Table!$L$4:$L$21,MATCH($F184&amp;"|high",Response_Table!$A$4:$A$21,0))*$R184*INDEX(Parameters!$X$12:$AA$12,1,MATCH($E184,Parameters!$X$3:$AA$3,0))))*(1-Inputs_General!$C$22*Parameters!$F$12))</f>
        <v>0.322122713907657</v>
      </c>
      <c r="BK184" s="46" t="n">
        <f aca="false">MAX(BH184*(1+INDEX(Response_Table!$L$4:$L$21,MATCH($F184&amp;"|low",Response_Table!$A$4:$A$21,0))*$R184*INDEX(Parameters!$X$12:$AA$12,1,MATCH($E184,Parameters!$X$3:$AA$3,0))),BH184*(1+INDEX(Response_Table!$L$4:$L$21,MATCH($F184&amp;"|high",Response_Table!$A$4:$A$21,0))*$R184*INDEX(Parameters!$X$12:$AA$12,1,MATCH($E184,Parameters!$X$3:$AA$3,0))))*(1+Inputs_General!$C$22*Parameters!$F$12)</f>
        <v>0.515417493726525</v>
      </c>
      <c r="BL184" s="45" t="n">
        <f aca="false">IF(BH184=0,0,BI184/BH184-1)</f>
        <v>-0.052071632910907</v>
      </c>
      <c r="BM184" s="46" t="n">
        <f aca="false">Parameters!$E$13*IF($N184="V",Parameters!$I$13,IF($N184="F",Parameters!$J$13,Parameters!$K$13))*(1-Parameters!$L$13*$P184)*IF($D184="V1",Parameters!$M$13,IF($D184="V2",Parameters!$N$13,Parameters!$O$13))</f>
        <v>0.296094642857143</v>
      </c>
      <c r="BN184" s="46" t="n">
        <f aca="false">BM184*(1+INDEX(Response_Table!$M$4:$M$21,MATCH($F184&amp;"|mid",Response_Table!$A$4:$A$21,0))*$R184*INDEX(Parameters!$X$13:$AA$13,1,MATCH($E184,Parameters!$X$3:$AA$3,0)))</f>
        <v>0.304558082103307</v>
      </c>
      <c r="BO184" s="46" t="n">
        <f aca="false">MAX(0,MIN(BM184*(1+INDEX(Response_Table!$M$4:$M$21,MATCH($F184&amp;"|low",Response_Table!$A$4:$A$21,0))*$R184*INDEX(Parameters!$X$13:$AA$13,1,MATCH($E184,Parameters!$X$3:$AA$3,0))),BM184*(1+INDEX(Response_Table!$M$4:$M$21,MATCH($F184&amp;"|high",Response_Table!$A$4:$A$21,0))*$R184*INDEX(Parameters!$X$13:$AA$13,1,MATCH($E184,Parameters!$X$3:$AA$3,0))))*(1-Inputs_General!$C$22*Parameters!$F$13))</f>
        <v>0.240984877106815</v>
      </c>
      <c r="BP184" s="46" t="n">
        <f aca="false">MAX(BM184*(1+INDEX(Response_Table!$M$4:$M$21,MATCH($F184&amp;"|low",Response_Table!$A$4:$A$21,0))*$R184*INDEX(Parameters!$X$13:$AA$13,1,MATCH($E184,Parameters!$X$3:$AA$3,0))),BM184*(1+INDEX(Response_Table!$M$4:$M$21,MATCH($F184&amp;"|high",Response_Table!$A$4:$A$21,0))*$R184*INDEX(Parameters!$X$13:$AA$13,1,MATCH($E184,Parameters!$X$3:$AA$3,0))))*(1+Inputs_General!$C$22*Parameters!$F$13)</f>
        <v>0.36496418363522</v>
      </c>
      <c r="BQ184" s="45" t="n">
        <f aca="false">IF(BM184=0,0,BN184/BM184-1)</f>
        <v>0.0285835608658662</v>
      </c>
      <c r="BR184" s="44" t="n">
        <f aca="false">Parameters!$E$14*IF($N184="V",Parameters!$I$14,IF($N184="F",Parameters!$J$14,Parameters!$K$14))*(1-Parameters!$L$14*$P184)*IF($D184="V1",Parameters!$M$14,IF($D184="V2",Parameters!$N$14,Parameters!$O$14))*INDEX(Context!$AC$4:$AC$51,$K184)</f>
        <v>15</v>
      </c>
      <c r="BS184" s="44" t="n">
        <f aca="false">BR184*(1+INDEX(Response_Table!$N$4:$N$21,MATCH($F184&amp;"|mid",Response_Table!$A$4:$A$21,0))*$R184*INDEX(Parameters!$X$14:$AA$14,1,MATCH($E184,Parameters!$X$3:$AA$3,0)))</f>
        <v>15.8520812658148</v>
      </c>
      <c r="BT184" s="44" t="n">
        <f aca="false">MAX(0,MIN(BR184*(1+INDEX(Response_Table!$N$4:$N$21,MATCH($F184&amp;"|low",Response_Table!$A$4:$A$21,0))*$R184*INDEX(Parameters!$X$14:$AA$14,1,MATCH($E184,Parameters!$X$3:$AA$3,0))),BR184*(1+INDEX(Response_Table!$N$4:$N$21,MATCH($F184&amp;"|high",Response_Table!$A$4:$A$21,0))*$R184*INDEX(Parameters!$X$14:$AA$14,1,MATCH($E184,Parameters!$X$3:$AA$3,0))))*(1-Inputs_General!$C$22*Parameters!$F$14))</f>
        <v>7.74569643885104</v>
      </c>
      <c r="BU184" s="44" t="n">
        <f aca="false">MAX(BR184*(1+INDEX(Response_Table!$N$4:$N$21,MATCH($F184&amp;"|low",Response_Table!$A$4:$A$21,0))*$R184*INDEX(Parameters!$X$14:$AA$14,1,MATCH($E184,Parameters!$X$3:$AA$3,0))),BR184*(1+INDEX(Response_Table!$N$4:$N$21,MATCH($F184&amp;"|high",Response_Table!$A$4:$A$21,0))*$R184*INDEX(Parameters!$X$14:$AA$14,1,MATCH($E184,Parameters!$X$3:$AA$3,0))))*(1+Inputs_General!$C$22*Parameters!$F$14)</f>
        <v>24.4620231083708</v>
      </c>
      <c r="BV184" s="45" t="n">
        <f aca="false">IF(BR184=0,0,BS184/BR184-1)</f>
        <v>0.0568054177209894</v>
      </c>
      <c r="BW184" s="43" t="n">
        <f aca="false">Parameters!$E$15*IF($N184="V",Parameters!$I$15,IF($N184="F",Parameters!$J$15,Parameters!$K$15))*(1-Parameters!$L$15*$P184)*IF($D184="V1",Parameters!$M$15,IF($D184="V2",Parameters!$N$15,Parameters!$O$15))</f>
        <v>10.5188142857143</v>
      </c>
      <c r="BX184" s="43" t="n">
        <f aca="false">BW184*(1+INDEX(Response_Table!$O$4:$O$21,MATCH($F184&amp;"|mid",Response_Table!$A$4:$A$21,0))*$R184*INDEX(Parameters!$X$15:$AA$15,1,MATCH($E184,Parameters!$X$3:$AA$3,0)))</f>
        <v>10.3694328758569</v>
      </c>
      <c r="BY184" s="43" t="n">
        <f aca="false">MAX(0,MIN(BW184*(1+INDEX(Response_Table!$O$4:$O$21,MATCH($F184&amp;"|low",Response_Table!$A$4:$A$21,0))*$R184*INDEX(Parameters!$X$15:$AA$15,1,MATCH($E184,Parameters!$X$3:$AA$3,0))),BW184*(1+INDEX(Response_Table!$O$4:$O$21,MATCH($F184&amp;"|high",Response_Table!$A$4:$A$21,0))*$R184*INDEX(Parameters!$X$15:$AA$15,1,MATCH($E184,Parameters!$X$3:$AA$3,0))))*(1-Inputs_General!$C$22*Parameters!$F$15))</f>
        <v>8.24836710609687</v>
      </c>
      <c r="BZ184" s="43" t="n">
        <f aca="false">MAX(BW184*(1+INDEX(Response_Table!$O$4:$O$21,MATCH($F184&amp;"|low",Response_Table!$A$4:$A$21,0))*$R184*INDEX(Parameters!$X$15:$AA$15,1,MATCH($E184,Parameters!$X$3:$AA$3,0))),BW184*(1+INDEX(Response_Table!$O$4:$O$21,MATCH($F184&amp;"|high",Response_Table!$A$4:$A$21,0))*$R184*INDEX(Parameters!$X$15:$AA$15,1,MATCH($E184,Parameters!$X$3:$AA$3,0))))*(1+Inputs_General!$C$22*Parameters!$F$15)</f>
        <v>12.5338077594567</v>
      </c>
      <c r="CA184" s="45" t="n">
        <f aca="false">IF(BW184=0,0,BX184/BW184-1)</f>
        <v>-0.0142013544302474</v>
      </c>
      <c r="CB184" s="46" t="n">
        <f aca="false">BD184+BI184</f>
        <v>1.55323682945889</v>
      </c>
      <c r="CC184" s="43" t="n">
        <f aca="false">BD184/BI184</f>
        <v>2.73857944666969</v>
      </c>
      <c r="CD184" s="46" t="n">
        <f aca="false">BN184/CB184</f>
        <v>0.196079616660524</v>
      </c>
      <c r="CE184" s="43" t="n">
        <f aca="false">AE184/AO184</f>
        <v>2.8619228093029</v>
      </c>
      <c r="CF184" s="44" t="n">
        <f aca="false">AE184/AJ184</f>
        <v>50.5105402916828</v>
      </c>
      <c r="CG184" s="44" t="n">
        <f aca="false">INDEX(Context!$V$4:$V$51,$K184)</f>
        <v>28.62</v>
      </c>
      <c r="CH184" s="44" t="n">
        <f aca="false">INDEX(Context!$Y$4:$Y$51,$K184)</f>
        <v>25.3060134606718</v>
      </c>
      <c r="CI184" s="44" t="n">
        <f aca="false">INDEX(Context!$Z$4:$Z$51,$K184)</f>
        <v>32.62</v>
      </c>
      <c r="CJ184" s="43" t="n">
        <f aca="false">INDEX(Context!$AA$4:$AA$51,$K184)</f>
        <v>0.221696428571429</v>
      </c>
      <c r="CK184" s="43" t="n">
        <f aca="false">MAX(0,MIN(1,1-(1-CJ184)*AO184/AN184))</f>
        <v>0.26411455425686</v>
      </c>
      <c r="CL184" s="44" t="n">
        <f aca="false">CH184+CK184*(CI184-CH184)</f>
        <v>27.2377437553471</v>
      </c>
      <c r="CM184" s="44" t="n">
        <f aca="false">CH184+MAX(0,MIN(1,1-(1-CJ184)*AQ184/AN184))*(CI184-CH184)</f>
        <v>25.3075804557682</v>
      </c>
      <c r="CN184" s="44" t="n">
        <f aca="false">CH184+MAX(0,MIN(1,1-(1-CJ184)*AP184/AN184))*(CI184-CH184)</f>
        <v>29.0030958084918</v>
      </c>
      <c r="CO184" s="44" t="n">
        <f aca="false">CL184-CG184</f>
        <v>-1.38225624465289</v>
      </c>
      <c r="CP184" s="44" t="n">
        <f aca="false">CL184-(CH184+CJ184*(CI184-CH184))</f>
        <v>0.310245600286777</v>
      </c>
      <c r="CQ184" s="46" t="n">
        <f aca="false">CL184/CG184</f>
        <v>0.951703136105769</v>
      </c>
      <c r="CR184" s="43" t="n">
        <f aca="false">IF(CL184-CH184&lt;=0,"n/a",(CI184-CL184)/(CL184-CH184))</f>
        <v>2.78623587334558</v>
      </c>
      <c r="CS184" s="43" t="n">
        <f aca="false">IF(CI184-CL184&lt;=0,"n/a",(CL184-CH184)/(CI184-CL184))</f>
        <v>0.358907158423471</v>
      </c>
      <c r="CT184" s="43" t="n">
        <f aca="false">Inputs_General!$C$23+Inputs_General!$C$24*$I184</f>
        <v>0.66</v>
      </c>
      <c r="CU184" s="44" t="n">
        <f aca="false">3.29*CT184</f>
        <v>2.1714</v>
      </c>
    </row>
    <row r="185" customFormat="false" ht="15" hidden="false" customHeight="false" outlineLevel="0" collapsed="false">
      <c r="A185" s="9" t="str">
        <f aca="false">B185&amp;"|"&amp;E185&amp;"|"&amp;F185</f>
        <v>D3V2|03/03/2026|Low</v>
      </c>
      <c r="B185" s="7" t="s">
        <v>350</v>
      </c>
      <c r="C185" s="9" t="s">
        <v>131</v>
      </c>
      <c r="D185" s="9" t="s">
        <v>146</v>
      </c>
      <c r="E185" s="9" t="s">
        <v>162</v>
      </c>
      <c r="F185" s="7" t="s">
        <v>279</v>
      </c>
      <c r="G185" s="9" t="s">
        <v>280</v>
      </c>
      <c r="H185" s="41" t="n">
        <f aca="false">INDEX(Severity_Classes!$C$4:$C$9,MATCH(F185,Severity_Classes!$A$4:$A$9,0))</f>
        <v>0.06</v>
      </c>
      <c r="I185" s="41" t="n">
        <f aca="false">INDEX(Severity_Classes!$D$4:$D$9,MATCH(F185,Severity_Classes!$A$4:$A$9,0))</f>
        <v>0.08</v>
      </c>
      <c r="J185" s="41" t="n">
        <f aca="false">INDEX(Severity_Classes!$E$4:$E$9,MATCH(F185,Severity_Classes!$A$4:$A$9,0))</f>
        <v>0.1</v>
      </c>
      <c r="K185" s="42" t="n">
        <f aca="false">MATCH(B185&amp;"|"&amp;E185,Context!$A$4:$A$51,0)</f>
        <v>31</v>
      </c>
      <c r="L185" s="42" t="n">
        <f aca="false">INDEX(Context!$H$4:$H$51,K185)</f>
        <v>66</v>
      </c>
      <c r="M185" s="42" t="n">
        <f aca="false">INDEX(Context!$I$4:$I$51,K185)</f>
        <v>26</v>
      </c>
      <c r="N185" s="9" t="str">
        <f aca="false">INDEX(Context!$L$4:$L$51,K185)</f>
        <v>F</v>
      </c>
      <c r="O185" s="9" t="str">
        <f aca="false">INDEX(Context!$M$4:$M$51,K185)</f>
        <v>5th fully expanded leaf from top</v>
      </c>
      <c r="P185" s="43" t="n">
        <f aca="false">INDEX(Context!$R$4:$R$51,K185)</f>
        <v>0.433928571428571</v>
      </c>
      <c r="Q185" s="43" t="n">
        <f aca="false">INDEX(Context!$U$4:$U$51,K185)</f>
        <v>1.73951545534029</v>
      </c>
      <c r="R185" s="43" t="n">
        <f aca="false">INDEX(Context!$AD$4:$AD$51,K185)</f>
        <v>1.1</v>
      </c>
      <c r="S185" s="9" t="str">
        <f aca="false">INDEX(Context!$AI$4:$AN$51,K185,MATCH(F185,Severity_Classes!$A$4:$A$9,0))</f>
        <v>Likely</v>
      </c>
      <c r="T185" s="44" t="n">
        <f aca="false">Parameters!$E$4*IF($N185="V",Parameters!$I$4,IF($N185="F",Parameters!$J$4,Parameters!$K$4))*(1-Parameters!$L$4*$P185)*IF($D185="V1",Parameters!$M$4,IF($D185="V2",Parameters!$N$4,Parameters!$O$4))</f>
        <v>83.2927660714286</v>
      </c>
      <c r="U185" s="44" t="n">
        <f aca="false">MIN(100,T185*(1+INDEX(Response_Table!$E$4:$E$21,MATCH($F185&amp;"|mid",Response_Table!$A$4:$A$21,0))*$R185*INDEX(Parameters!$X$4:$AA$4,1,MATCH($E185,Parameters!$X$3:$AA$3,0))))</f>
        <v>82.0175131994377</v>
      </c>
      <c r="V185" s="44" t="n">
        <f aca="false">MAX(0,MIN(T185*(1+INDEX(Response_Table!$E$4:$E$21,MATCH($F185&amp;"|low",Response_Table!$A$4:$A$21,0))*$R185*INDEX(Parameters!$X$4:$AA$4,1,MATCH($E185,Parameters!$X$3:$AA$3,0))),T185*(1+INDEX(Response_Table!$E$4:$E$21,MATCH($F185&amp;"|high",Response_Table!$A$4:$A$21,0))*$R185*INDEX(Parameters!$X$4:$AA$4,1,MATCH($E185,Parameters!$X$3:$AA$3,0))))*(1-Inputs_General!$C$22*Parameters!$F$4))</f>
        <v>76.2045203833694</v>
      </c>
      <c r="W185" s="44" t="n">
        <f aca="false">MIN(100,MAX(T185*(1+INDEX(Response_Table!$E$4:$E$21,MATCH($F185&amp;"|low",Response_Table!$A$4:$A$21,0))*$R185*INDEX(Parameters!$X$4:$AA$4,1,MATCH($E185,Parameters!$X$3:$AA$3,0))),T185*(1+INDEX(Response_Table!$E$4:$E$21,MATCH($F185&amp;"|high",Response_Table!$A$4:$A$21,0))*$R185*INDEX(Parameters!$X$4:$AA$4,1,MATCH($E185,Parameters!$X$3:$AA$3,0))))*(1+Inputs_General!$C$22*Parameters!$F$4))</f>
        <v>87.8292652384713</v>
      </c>
      <c r="X185" s="45" t="n">
        <f aca="false">IF(T185=0,0,U185/T185-1)</f>
        <v>-0.0153104877186722</v>
      </c>
      <c r="Y185" s="44" t="n">
        <f aca="false">Parameters!$E$5*IF($N185="V",Parameters!$I$5,IF($N185="F",Parameters!$J$5,Parameters!$K$5))*(1-Parameters!$L$5*$P185)*IF($D185="V1",Parameters!$M$5,IF($D185="V2",Parameters!$N$5,Parameters!$O$5))</f>
        <v>66.88584</v>
      </c>
      <c r="Z185" s="44" t="n">
        <f aca="false">MIN(100,Y185*(1+INDEX(Response_Table!$F$4:$F$21,MATCH($F185&amp;"|mid",Response_Table!$A$4:$A$21,0))*$R185*INDEX(Parameters!$X$5:$AA$5,1,MATCH($E185,Parameters!$X$3:$AA$3,0))))</f>
        <v>63.5051601403664</v>
      </c>
      <c r="AA185" s="44" t="n">
        <f aca="false">MAX(0,MIN(Y185*(1+INDEX(Response_Table!$F$4:$F$21,MATCH($F185&amp;"|low",Response_Table!$A$4:$A$21,0))*$R185*INDEX(Parameters!$X$5:$AA$5,1,MATCH($E185,Parameters!$X$3:$AA$3,0))),Y185*(1+INDEX(Response_Table!$F$4:$F$21,MATCH($F185&amp;"|high",Response_Table!$A$4:$A$21,0))*$R185*INDEX(Parameters!$X$5:$AA$5,1,MATCH($E185,Parameters!$X$3:$AA$3,0))))*(1-Inputs_General!$C$22*Parameters!$F$5))</f>
        <v>55.09766531103</v>
      </c>
      <c r="AB185" s="44" t="n">
        <f aca="false">MIN(100,MAX(Y185*(1+INDEX(Response_Table!$F$4:$F$21,MATCH($F185&amp;"|low",Response_Table!$A$4:$A$21,0))*$R185*INDEX(Parameters!$X$5:$AA$5,1,MATCH($E185,Parameters!$X$3:$AA$3,0))),Y185*(1+INDEX(Response_Table!$F$4:$F$21,MATCH($F185&amp;"|high",Response_Table!$A$4:$A$21,0))*$R185*INDEX(Parameters!$X$5:$AA$5,1,MATCH($E185,Parameters!$X$3:$AA$3,0))))*(1+Inputs_General!$C$22*Parameters!$F$5))</f>
        <v>72.0029196029376</v>
      </c>
      <c r="AC185" s="45" t="n">
        <f aca="false">IF(Y185=0,0,Z185/Y185-1)</f>
        <v>-0.0505440293436337</v>
      </c>
      <c r="AD185" s="44" t="n">
        <f aca="false">Parameters!$E$6*IF($N185="V",Parameters!$I$6,IF($N185="F",Parameters!$J$6,Parameters!$K$6))*(1-Parameters!$L$6*$P185)*IF($D185="V1",Parameters!$M$6,IF($D185="V2",Parameters!$N$6,Parameters!$O$6))</f>
        <v>18.0106428571429</v>
      </c>
      <c r="AE185" s="44" t="n">
        <f aca="false">AD185*(1+INDEX(Response_Table!$G$4:$G$21,MATCH($F185&amp;"|mid",Response_Table!$A$4:$A$21,0))*$R185*INDEX(Parameters!$X$6:$AA$6,1,MATCH($E185,Parameters!$X$3:$AA$3,0)))</f>
        <v>13.6017473619911</v>
      </c>
      <c r="AF185" s="44" t="n">
        <f aca="false">MAX(0,MIN(AD185*(1+INDEX(Response_Table!$G$4:$G$21,MATCH($F185&amp;"|low",Response_Table!$A$4:$A$21,0))*$R185*INDEX(Parameters!$X$6:$AA$6,1,MATCH($E185,Parameters!$X$3:$AA$3,0))),AD185*(1+INDEX(Response_Table!$G$4:$G$21,MATCH($F185&amp;"|high",Response_Table!$A$4:$A$21,0))*$R185*INDEX(Parameters!$X$6:$AA$6,1,MATCH($E185,Parameters!$X$3:$AA$3,0))))*(1-Inputs_General!$C$22*Parameters!$F$6))</f>
        <v>10.2102423696793</v>
      </c>
      <c r="AG185" s="44" t="n">
        <f aca="false">MAX(AD185*(1+INDEX(Response_Table!$G$4:$G$21,MATCH($F185&amp;"|low",Response_Table!$A$4:$A$21,0))*$R185*INDEX(Parameters!$X$6:$AA$6,1,MATCH($E185,Parameters!$X$3:$AA$3,0))),AD185*(1+INDEX(Response_Table!$G$4:$G$21,MATCH($F185&amp;"|high",Response_Table!$A$4:$A$21,0))*$R185*INDEX(Parameters!$X$6:$AA$6,1,MATCH($E185,Parameters!$X$3:$AA$3,0))))*(1+Inputs_General!$C$22*Parameters!$F$6)</f>
        <v>17.4377513421486</v>
      </c>
      <c r="AH185" s="45" t="n">
        <f aca="false">IF(AD185=0,0,AE185/AD185-1)</f>
        <v>-0.244793899369519</v>
      </c>
      <c r="AI185" s="46" t="n">
        <f aca="false">Parameters!$E$7*IF($N185="V",Parameters!$I$7,IF($N185="F",Parameters!$J$7,Parameters!$K$7))*(1-Parameters!$L$7*$P185)*IF($D185="V1",Parameters!$M$7,IF($D185="V2",Parameters!$N$7,Parameters!$O$7))*POWER($Q185/Inputs_General!$C$26,-Inputs_General!$C$25)</f>
        <v>0.341191629407368</v>
      </c>
      <c r="AJ185" s="46" t="n">
        <f aca="false">AI185*(1+INDEX(Response_Table!$H$4:$H$21,MATCH($F185&amp;"|mid",Response_Table!$A$4:$A$21,0))*$R185*INDEX(Parameters!$X$7:$AA$7,1,MATCH($E185,Parameters!$X$3:$AA$3,0)))</f>
        <v>0.289139066164089</v>
      </c>
      <c r="AK185" s="46" t="n">
        <f aca="false">MAX(0,MIN(AI185*(1+INDEX(Response_Table!$H$4:$H$21,MATCH($F185&amp;"|low",Response_Table!$A$4:$A$21,0))*$R185*INDEX(Parameters!$X$7:$AA$7,1,MATCH($E185,Parameters!$X$3:$AA$3,0))),AI185*(1+INDEX(Response_Table!$H$4:$H$21,MATCH($F185&amp;"|high",Response_Table!$A$4:$A$21,0))*$R185*INDEX(Parameters!$X$7:$AA$7,1,MATCH($E185,Parameters!$X$3:$AA$3,0))))*(1-Inputs_General!$C$22*Parameters!$F$7))</f>
        <v>0.195658656936336</v>
      </c>
      <c r="AL185" s="46" t="n">
        <f aca="false">MAX(AI185*(1+INDEX(Response_Table!$H$4:$H$21,MATCH($F185&amp;"|low",Response_Table!$A$4:$A$21,0))*$R185*INDEX(Parameters!$X$7:$AA$7,1,MATCH($E185,Parameters!$X$3:$AA$3,0))),AI185*(1+INDEX(Response_Table!$H$4:$H$21,MATCH($F185&amp;"|high",Response_Table!$A$4:$A$21,0))*$R185*INDEX(Parameters!$X$7:$AA$7,1,MATCH($E185,Parameters!$X$3:$AA$3,0))))*(1+Inputs_General!$C$22*Parameters!$F$7)</f>
        <v>0.390133183894555</v>
      </c>
      <c r="AM185" s="45" t="n">
        <f aca="false">IF(AI185=0,0,AJ185/AI185-1)</f>
        <v>-0.152561079337414</v>
      </c>
      <c r="AN185" s="43" t="n">
        <f aca="false">AI185*$Q185/Inputs_General!$C$13*1000</f>
        <v>5.97691956280819</v>
      </c>
      <c r="AO185" s="43" t="n">
        <f aca="false">AJ185*$Q185/Inputs_General!$C$13*1000*(1+Inputs_General!$C$21*$I185)</f>
        <v>5.16637574845713</v>
      </c>
      <c r="AP185" s="43" t="n">
        <f aca="false">AK185*$Q185/Inputs_General!$C$13*1000*(1+Inputs_General!$C$21*$H185)</f>
        <v>3.47891768960279</v>
      </c>
      <c r="AQ185" s="43" t="n">
        <f aca="false">AL185*$Q185/Inputs_General!$C$13*1000*(1+Inputs_General!$C$21*$J185)</f>
        <v>7.00512357101044</v>
      </c>
      <c r="AR185" s="45" t="n">
        <f aca="false">IF(AN185=0,0,AO185/AN185-1)</f>
        <v>-0.135612300924163</v>
      </c>
      <c r="AS185" s="42" t="n">
        <f aca="false">Parameters!$E$9*IF($N185="V",Parameters!$I$9,IF($N185="F",Parameters!$J$9,Parameters!$K$9))*(1-Parameters!$L$9*$P185)*IF($D185="V1",Parameters!$M$9,IF($D185="V2",Parameters!$N$9,Parameters!$O$9))</f>
        <v>285</v>
      </c>
      <c r="AT185" s="42" t="n">
        <f aca="false">AS185*(1+INDEX(Response_Table!$I$4:$I$21,MATCH($F185&amp;"|mid",Response_Table!$A$4:$A$21,0))*$R185*INDEX(Parameters!$X$9:$AA$9,1,MATCH($E185,Parameters!$X$3:$AA$3,0)))</f>
        <v>310.755683063219</v>
      </c>
      <c r="AU185" s="42" t="n">
        <f aca="false">MAX(0,MIN(AS185*(1+INDEX(Response_Table!$I$4:$I$21,MATCH($F185&amp;"|low",Response_Table!$A$4:$A$21,0))*$R185*INDEX(Parameters!$X$9:$AA$9,1,MATCH($E185,Parameters!$X$3:$AA$3,0))),AS185*(1+INDEX(Response_Table!$I$4:$I$21,MATCH($F185&amp;"|high",Response_Table!$A$4:$A$21,0))*$R185*INDEX(Parameters!$X$9:$AA$9,1,MATCH($E185,Parameters!$X$3:$AA$3,0))))*(1-Inputs_General!$C$22*Parameters!$F$9))</f>
        <v>274.957472644588</v>
      </c>
      <c r="AV185" s="42" t="n">
        <f aca="false">MAX(AS185*(1+INDEX(Response_Table!$I$4:$I$21,MATCH($F185&amp;"|low",Response_Table!$A$4:$A$21,0))*$R185*INDEX(Parameters!$X$9:$AA$9,1,MATCH($E185,Parameters!$X$3:$AA$3,0))),AS185*(1+INDEX(Response_Table!$I$4:$I$21,MATCH($F185&amp;"|high",Response_Table!$A$4:$A$21,0))*$R185*INDEX(Parameters!$X$9:$AA$9,1,MATCH($E185,Parameters!$X$3:$AA$3,0))))*(1+Inputs_General!$C$22*Parameters!$F$9)</f>
        <v>347.196231317812</v>
      </c>
      <c r="AW185" s="45" t="n">
        <f aca="false">IF(AS185=0,0,AT185/AS185-1)</f>
        <v>0.0903708177656819</v>
      </c>
      <c r="AX185" s="43" t="n">
        <f aca="false">INDEX(Context!$AB$4:$AB$51,$K185)</f>
        <v>2.65490090255297</v>
      </c>
      <c r="AY185" s="43" t="n">
        <f aca="false">AX185*(1+INDEX(Response_Table!$J$4:$J$21,MATCH($F185&amp;"|mid",Response_Table!$A$4:$A$21,0))*$R185*INDEX(Parameters!$X$10:$AA$10,1,MATCH($E185,Parameters!$X$3:$AA$3,0)))</f>
        <v>2.41668121836008</v>
      </c>
      <c r="AZ185" s="43" t="n">
        <f aca="false">MAX(0,MIN(AX185*(1+INDEX(Response_Table!$J$4:$J$21,MATCH($F185&amp;"|low",Response_Table!$A$4:$A$21,0))*$R185*INDEX(Parameters!$X$10:$AA$10,1,MATCH($E185,Parameters!$X$3:$AA$3,0))),AX185*(1+INDEX(Response_Table!$J$4:$J$21,MATCH($F185&amp;"|high",Response_Table!$A$4:$A$21,0))*$R185*INDEX(Parameters!$X$10:$AA$10,1,MATCH($E185,Parameters!$X$3:$AA$3,0))))*(1-Inputs_General!$C$22*Parameters!$F$10))</f>
        <v>1.89751190592973</v>
      </c>
      <c r="BA185" s="43" t="n">
        <f aca="false">MAX(AX185*(1+INDEX(Response_Table!$J$4:$J$21,MATCH($F185&amp;"|low",Response_Table!$A$4:$A$21,0))*$R185*INDEX(Parameters!$X$10:$AA$10,1,MATCH($E185,Parameters!$X$3:$AA$3,0))),AX185*(1+INDEX(Response_Table!$J$4:$J$21,MATCH($F185&amp;"|high",Response_Table!$A$4:$A$21,0))*$R185*INDEX(Parameters!$X$10:$AA$10,1,MATCH($E185,Parameters!$X$3:$AA$3,0))))*(1+Inputs_General!$C$22*Parameters!$F$10)</f>
        <v>2.95978920935713</v>
      </c>
      <c r="BB185" s="45" t="n">
        <f aca="false">IF(AX185=0,0,AY185/AX185-1)</f>
        <v>-0.089728277226399</v>
      </c>
      <c r="BC185" s="46" t="n">
        <f aca="false">Parameters!$E$11*IF($N185="V",Parameters!$I$11,IF($N185="F",Parameters!$J$11,Parameters!$K$11))*(1-Parameters!$L$11*$P185)*IF($D185="V1",Parameters!$M$11,IF($D185="V2",Parameters!$N$11,Parameters!$O$11))</f>
        <v>1.21745535714286</v>
      </c>
      <c r="BD185" s="46" t="n">
        <f aca="false">BC185*(1+INDEX(Response_Table!$K$4:$K$21,MATCH($F185&amp;"|mid",Response_Table!$A$4:$A$21,0))*$R185*INDEX(Parameters!$X$11:$AA$11,1,MATCH($E185,Parameters!$X$3:$AA$3,0)))</f>
        <v>1.02085032705881</v>
      </c>
      <c r="BE185" s="46" t="n">
        <f aca="false">MAX(0,MIN(BC185*(1+INDEX(Response_Table!$K$4:$K$21,MATCH($F185&amp;"|low",Response_Table!$A$4:$A$21,0))*$R185*INDEX(Parameters!$X$11:$AA$11,1,MATCH($E185,Parameters!$X$3:$AA$3,0))),BC185*(1+INDEX(Response_Table!$K$4:$K$21,MATCH($F185&amp;"|high",Response_Table!$A$4:$A$21,0))*$R185*INDEX(Parameters!$X$11:$AA$11,1,MATCH($E185,Parameters!$X$3:$AA$3,0))))*(1-Inputs_General!$C$22*Parameters!$F$11))</f>
        <v>0.818015835728842</v>
      </c>
      <c r="BF185" s="46" t="n">
        <f aca="false">MAX(BC185*(1+INDEX(Response_Table!$K$4:$K$21,MATCH($F185&amp;"|low",Response_Table!$A$4:$A$21,0))*$R185*INDEX(Parameters!$X$11:$AA$11,1,MATCH($E185,Parameters!$X$3:$AA$3,0))),BC185*(1+INDEX(Response_Table!$K$4:$K$21,MATCH($F185&amp;"|high",Response_Table!$A$4:$A$21,0))*$R185*INDEX(Parameters!$X$11:$AA$11,1,MATCH($E185,Parameters!$X$3:$AA$3,0))))*(1+Inputs_General!$C$22*Parameters!$F$11)</f>
        <v>1.24064476692988</v>
      </c>
      <c r="BG185" s="45" t="n">
        <f aca="false">IF(BC185=0,0,BD185/BC185-1)</f>
        <v>-0.161488492313542</v>
      </c>
      <c r="BH185" s="46" t="n">
        <f aca="false">Parameters!$E$12*IF($N185="V",Parameters!$I$12,IF($N185="F",Parameters!$J$12,Parameters!$K$12))*(1-Parameters!$L$12*$P185)*IF($D185="V1",Parameters!$M$12,IF($D185="V2",Parameters!$N$12,Parameters!$O$12))</f>
        <v>0.438283928571429</v>
      </c>
      <c r="BI185" s="46" t="n">
        <f aca="false">BH185*(1+INDEX(Response_Table!$L$4:$L$21,MATCH($F185&amp;"|mid",Response_Table!$A$4:$A$21,0))*$R185*INDEX(Parameters!$X$12:$AA$12,1,MATCH($E185,Parameters!$X$3:$AA$3,0)))</f>
        <v>0.381705793095268</v>
      </c>
      <c r="BJ185" s="46" t="n">
        <f aca="false">MAX(0,MIN(BH185*(1+INDEX(Response_Table!$L$4:$L$21,MATCH($F185&amp;"|low",Response_Table!$A$4:$A$21,0))*$R185*INDEX(Parameters!$X$12:$AA$12,1,MATCH($E185,Parameters!$X$3:$AA$3,0))),BH185*(1+INDEX(Response_Table!$L$4:$L$21,MATCH($F185&amp;"|high",Response_Table!$A$4:$A$21,0))*$R185*INDEX(Parameters!$X$12:$AA$12,1,MATCH($E185,Parameters!$X$3:$AA$3,0))))*(1-Inputs_General!$C$22*Parameters!$F$12))</f>
        <v>0.296607914916916</v>
      </c>
      <c r="BK185" s="46" t="n">
        <f aca="false">MAX(BH185*(1+INDEX(Response_Table!$L$4:$L$21,MATCH($F185&amp;"|low",Response_Table!$A$4:$A$21,0))*$R185*INDEX(Parameters!$X$12:$AA$12,1,MATCH($E185,Parameters!$X$3:$AA$3,0))),BH185*(1+INDEX(Response_Table!$L$4:$L$21,MATCH($F185&amp;"|high",Response_Table!$A$4:$A$21,0))*$R185*INDEX(Parameters!$X$12:$AA$12,1,MATCH($E185,Parameters!$X$3:$AA$3,0))))*(1+Inputs_General!$C$22*Parameters!$F$12)</f>
        <v>0.472498692066284</v>
      </c>
      <c r="BL185" s="45" t="n">
        <f aca="false">IF(BH185=0,0,BI185/BH185-1)</f>
        <v>-0.129090144054735</v>
      </c>
      <c r="BM185" s="46" t="n">
        <f aca="false">Parameters!$E$13*IF($N185="V",Parameters!$I$13,IF($N185="F",Parameters!$J$13,Parameters!$K$13))*(1-Parameters!$L$13*$P185)*IF($D185="V1",Parameters!$M$13,IF($D185="V2",Parameters!$N$13,Parameters!$O$13))</f>
        <v>0.296094642857143</v>
      </c>
      <c r="BN185" s="46" t="n">
        <f aca="false">BM185*(1+INDEX(Response_Table!$M$4:$M$21,MATCH($F185&amp;"|mid",Response_Table!$A$4:$A$21,0))*$R185*INDEX(Parameters!$X$13:$AA$13,1,MATCH($E185,Parameters!$X$3:$AA$3,0)))</f>
        <v>0.300121441641621</v>
      </c>
      <c r="BO185" s="46" t="n">
        <f aca="false">MAX(0,MIN(BM185*(1+INDEX(Response_Table!$M$4:$M$21,MATCH($F185&amp;"|low",Response_Table!$A$4:$A$21,0))*$R185*INDEX(Parameters!$X$13:$AA$13,1,MATCH($E185,Parameters!$X$3:$AA$3,0))),BM185*(1+INDEX(Response_Table!$M$4:$M$21,MATCH($F185&amp;"|high",Response_Table!$A$4:$A$21,0))*$R185*INDEX(Parameters!$X$13:$AA$13,1,MATCH($E185,Parameters!$X$3:$AA$3,0))))*(1-Inputs_General!$C$22*Parameters!$F$13))</f>
        <v>0.236685476357029</v>
      </c>
      <c r="BP185" s="46" t="n">
        <f aca="false">MAX(BM185*(1+INDEX(Response_Table!$M$4:$M$21,MATCH($F185&amp;"|low",Response_Table!$A$4:$A$21,0))*$R185*INDEX(Parameters!$X$13:$AA$13,1,MATCH($E185,Parameters!$X$3:$AA$3,0))),BM185*(1+INDEX(Response_Table!$M$4:$M$21,MATCH($F185&amp;"|high",Response_Table!$A$4:$A$21,0))*$R185*INDEX(Parameters!$X$13:$AA$13,1,MATCH($E185,Parameters!$X$3:$AA$3,0))))*(1+Inputs_General!$C$22*Parameters!$F$13)</f>
        <v>0.363754531338965</v>
      </c>
      <c r="BQ185" s="45" t="n">
        <f aca="false">IF(BM185=0,0,BN185/BM185-1)</f>
        <v>0.0135997015873786</v>
      </c>
      <c r="BR185" s="44" t="n">
        <f aca="false">Parameters!$E$14*IF($N185="V",Parameters!$I$14,IF($N185="F",Parameters!$J$14,Parameters!$K$14))*(1-Parameters!$L$14*$P185)*IF($D185="V1",Parameters!$M$14,IF($D185="V2",Parameters!$N$14,Parameters!$O$14))*INDEX(Context!$AC$4:$AC$51,$K185)</f>
        <v>15</v>
      </c>
      <c r="BS185" s="44" t="n">
        <f aca="false">BR185*(1+INDEX(Response_Table!$N$4:$N$21,MATCH($F185&amp;"|mid",Response_Table!$A$4:$A$21,0))*$R185*INDEX(Parameters!$X$14:$AA$14,1,MATCH($E185,Parameters!$X$3:$AA$3,0)))</f>
        <v>17.1123841754411</v>
      </c>
      <c r="BT185" s="44" t="n">
        <f aca="false">MAX(0,MIN(BR185*(1+INDEX(Response_Table!$N$4:$N$21,MATCH($F185&amp;"|low",Response_Table!$A$4:$A$21,0))*$R185*INDEX(Parameters!$X$14:$AA$14,1,MATCH($E185,Parameters!$X$3:$AA$3,0))),BR185*(1+INDEX(Response_Table!$N$4:$N$21,MATCH($F185&amp;"|high",Response_Table!$A$4:$A$21,0))*$R185*INDEX(Parameters!$X$14:$AA$14,1,MATCH($E185,Parameters!$X$3:$AA$3,0))))*(1-Inputs_General!$C$22*Parameters!$F$14))</f>
        <v>8.42351281540989</v>
      </c>
      <c r="BU185" s="44" t="n">
        <f aca="false">MAX(BR185*(1+INDEX(Response_Table!$N$4:$N$21,MATCH($F185&amp;"|low",Response_Table!$A$4:$A$21,0))*$R185*INDEX(Parameters!$X$14:$AA$14,1,MATCH($E185,Parameters!$X$3:$AA$3,0))),BR185*(1+INDEX(Response_Table!$N$4:$N$21,MATCH($F185&amp;"|high",Response_Table!$A$4:$A$21,0))*$R185*INDEX(Parameters!$X$14:$AA$14,1,MATCH($E185,Parameters!$X$3:$AA$3,0))))*(1+Inputs_General!$C$22*Parameters!$F$14)</f>
        <v>26.2346710753774</v>
      </c>
      <c r="BV185" s="45" t="n">
        <f aca="false">IF(BR185=0,0,BS185/BR185-1)</f>
        <v>0.140825611696075</v>
      </c>
      <c r="BW185" s="43" t="n">
        <f aca="false">Parameters!$E$15*IF($N185="V",Parameters!$I$15,IF($N185="F",Parameters!$J$15,Parameters!$K$15))*(1-Parameters!$L$15*$P185)*IF($D185="V1",Parameters!$M$15,IF($D185="V2",Parameters!$N$15,Parameters!$O$15))</f>
        <v>10.5188142857143</v>
      </c>
      <c r="BX185" s="43" t="n">
        <f aca="false">BW185*(1+INDEX(Response_Table!$O$4:$O$21,MATCH($F185&amp;"|mid",Response_Table!$A$4:$A$21,0))*$R185*INDEX(Parameters!$X$15:$AA$15,1,MATCH($E185,Parameters!$X$3:$AA$3,0)))</f>
        <v>10.1484846716885</v>
      </c>
      <c r="BY185" s="43" t="n">
        <f aca="false">MAX(0,MIN(BW185*(1+INDEX(Response_Table!$O$4:$O$21,MATCH($F185&amp;"|low",Response_Table!$A$4:$A$21,0))*$R185*INDEX(Parameters!$X$15:$AA$15,1,MATCH($E185,Parameters!$X$3:$AA$3,0))),BW185*(1+INDEX(Response_Table!$O$4:$O$21,MATCH($F185&amp;"|high",Response_Table!$A$4:$A$21,0))*$R185*INDEX(Parameters!$X$15:$AA$15,1,MATCH($E185,Parameters!$X$3:$AA$3,0))))*(1-Inputs_General!$C$22*Parameters!$F$15))</f>
        <v>8.08136114906657</v>
      </c>
      <c r="BZ185" s="43" t="n">
        <f aca="false">MAX(BW185*(1+INDEX(Response_Table!$O$4:$O$21,MATCH($F185&amp;"|low",Response_Table!$A$4:$A$21,0))*$R185*INDEX(Parameters!$X$15:$AA$15,1,MATCH($E185,Parameters!$X$3:$AA$3,0))),BW185*(1+INDEX(Response_Table!$O$4:$O$21,MATCH($F185&amp;"|high",Response_Table!$A$4:$A$21,0))*$R185*INDEX(Parameters!$X$15:$AA$15,1,MATCH($E185,Parameters!$X$3:$AA$3,0))))*(1+Inputs_General!$C$22*Parameters!$F$15)</f>
        <v>12.2528846940443</v>
      </c>
      <c r="CA185" s="45" t="n">
        <f aca="false">IF(BW185=0,0,BX185/BW185-1)</f>
        <v>-0.0352064029240187</v>
      </c>
      <c r="CB185" s="46" t="n">
        <f aca="false">BD185+BI185</f>
        <v>1.40255612015408</v>
      </c>
      <c r="CC185" s="43" t="n">
        <f aca="false">BD185/BI185</f>
        <v>2.67444284452876</v>
      </c>
      <c r="CD185" s="46" t="n">
        <f aca="false">BN185/CB185</f>
        <v>0.213981770375542</v>
      </c>
      <c r="CE185" s="43" t="n">
        <f aca="false">AE185/AO185</f>
        <v>2.63274450489844</v>
      </c>
      <c r="CF185" s="44" t="n">
        <f aca="false">AE185/AJ185</f>
        <v>47.0422331455964</v>
      </c>
      <c r="CG185" s="44" t="n">
        <f aca="false">INDEX(Context!$V$4:$V$51,$K185)</f>
        <v>28.62</v>
      </c>
      <c r="CH185" s="44" t="n">
        <f aca="false">INDEX(Context!$Y$4:$Y$51,$K185)</f>
        <v>25.3060134606718</v>
      </c>
      <c r="CI185" s="44" t="n">
        <f aca="false">INDEX(Context!$Z$4:$Z$51,$K185)</f>
        <v>32.62</v>
      </c>
      <c r="CJ185" s="43" t="n">
        <f aca="false">INDEX(Context!$AA$4:$AA$51,$K185)</f>
        <v>0.221696428571429</v>
      </c>
      <c r="CK185" s="43" t="n">
        <f aca="false">MAX(0,MIN(1,1-(1-CJ185)*AO185/AN185))</f>
        <v>0.327243966710351</v>
      </c>
      <c r="CL185" s="44" t="n">
        <f aca="false">CH185+CK185*(CI185-CH185)</f>
        <v>27.6994714282676</v>
      </c>
      <c r="CM185" s="44" t="n">
        <f aca="false">CH185+MAX(0,MIN(1,1-(1-CJ185)*AQ185/AN185))*(CI185-CH185)</f>
        <v>25.9482222668442</v>
      </c>
      <c r="CN185" s="44" t="n">
        <f aca="false">CH185+MAX(0,MIN(1,1-(1-CJ185)*AP185/AN185))*(CI185-CH185)</f>
        <v>29.3066301012837</v>
      </c>
      <c r="CO185" s="44" t="n">
        <f aca="false">CL185-CG185</f>
        <v>-0.920528571732351</v>
      </c>
      <c r="CP185" s="44" t="n">
        <f aca="false">CL185-(CH185+CJ185*(CI185-CH185))</f>
        <v>0.771973273207312</v>
      </c>
      <c r="CQ185" s="46" t="n">
        <f aca="false">CL185/CG185</f>
        <v>0.967836178485942</v>
      </c>
      <c r="CR185" s="43" t="n">
        <f aca="false">IF(CL185-CH185&lt;=0,"n/a",(CI185-CL185)/(CL185-CH185))</f>
        <v>2.05582409983777</v>
      </c>
      <c r="CS185" s="43" t="n">
        <f aca="false">IF(CI185-CL185&lt;=0,"n/a",(CL185-CH185)/(CI185-CL185))</f>
        <v>0.486422938654582</v>
      </c>
      <c r="CT185" s="43" t="n">
        <f aca="false">Inputs_General!$C$23+Inputs_General!$C$24*$I185</f>
        <v>0.76</v>
      </c>
      <c r="CU185" s="44" t="n">
        <f aca="false">3.29*CT185</f>
        <v>2.5004</v>
      </c>
    </row>
    <row r="186" customFormat="false" ht="15" hidden="false" customHeight="false" outlineLevel="0" collapsed="false">
      <c r="A186" s="9" t="str">
        <f aca="false">B186&amp;"|"&amp;E186&amp;"|"&amp;F186</f>
        <v>D3V2|03/03/2026|Moderate</v>
      </c>
      <c r="B186" s="7" t="s">
        <v>350</v>
      </c>
      <c r="C186" s="9" t="s">
        <v>131</v>
      </c>
      <c r="D186" s="9" t="s">
        <v>146</v>
      </c>
      <c r="E186" s="9" t="s">
        <v>162</v>
      </c>
      <c r="F186" s="7" t="s">
        <v>281</v>
      </c>
      <c r="G186" s="9" t="s">
        <v>282</v>
      </c>
      <c r="H186" s="41" t="n">
        <f aca="false">INDEX(Severity_Classes!$C$4:$C$9,MATCH(F186,Severity_Classes!$A$4:$A$9,0))</f>
        <v>0.11</v>
      </c>
      <c r="I186" s="41" t="n">
        <f aca="false">INDEX(Severity_Classes!$D$4:$D$9,MATCH(F186,Severity_Classes!$A$4:$A$9,0))</f>
        <v>0.18</v>
      </c>
      <c r="J186" s="41" t="n">
        <f aca="false">INDEX(Severity_Classes!$E$4:$E$9,MATCH(F186,Severity_Classes!$A$4:$A$9,0))</f>
        <v>0.25</v>
      </c>
      <c r="K186" s="42" t="n">
        <f aca="false">MATCH(B186&amp;"|"&amp;E186,Context!$A$4:$A$51,0)</f>
        <v>31</v>
      </c>
      <c r="L186" s="42" t="n">
        <f aca="false">INDEX(Context!$H$4:$H$51,K186)</f>
        <v>66</v>
      </c>
      <c r="M186" s="42" t="n">
        <f aca="false">INDEX(Context!$I$4:$I$51,K186)</f>
        <v>26</v>
      </c>
      <c r="N186" s="9" t="str">
        <f aca="false">INDEX(Context!$L$4:$L$51,K186)</f>
        <v>F</v>
      </c>
      <c r="O186" s="9" t="str">
        <f aca="false">INDEX(Context!$M$4:$M$51,K186)</f>
        <v>5th fully expanded leaf from top</v>
      </c>
      <c r="P186" s="43" t="n">
        <f aca="false">INDEX(Context!$R$4:$R$51,K186)</f>
        <v>0.433928571428571</v>
      </c>
      <c r="Q186" s="43" t="n">
        <f aca="false">INDEX(Context!$U$4:$U$51,K186)</f>
        <v>1.73951545534029</v>
      </c>
      <c r="R186" s="43" t="n">
        <f aca="false">INDEX(Context!$AD$4:$AD$51,K186)</f>
        <v>1.1</v>
      </c>
      <c r="S186" s="9" t="str">
        <f aca="false">INDEX(Context!$AI$4:$AN$51,K186,MATCH(F186,Severity_Classes!$A$4:$A$9,0))</f>
        <v>Likely</v>
      </c>
      <c r="T186" s="44" t="n">
        <f aca="false">Parameters!$E$4*IF($N186="V",Parameters!$I$4,IF($N186="F",Parameters!$J$4,Parameters!$K$4))*(1-Parameters!$L$4*$P186)*IF($D186="V1",Parameters!$M$4,IF($D186="V2",Parameters!$N$4,Parameters!$O$4))</f>
        <v>83.2927660714286</v>
      </c>
      <c r="U186" s="44" t="n">
        <f aca="false">MIN(100,T186*(1+INDEX(Response_Table!$E$4:$E$21,MATCH($F186&amp;"|mid",Response_Table!$A$4:$A$21,0))*$R186*INDEX(Parameters!$X$4:$AA$4,1,MATCH($E186,Parameters!$X$3:$AA$3,0))))</f>
        <v>79.1248860721094</v>
      </c>
      <c r="V186" s="44" t="n">
        <f aca="false">MAX(0,MIN(T186*(1+INDEX(Response_Table!$E$4:$E$21,MATCH($F186&amp;"|low",Response_Table!$A$4:$A$21,0))*$R186*INDEX(Parameters!$X$4:$AA$4,1,MATCH($E186,Parameters!$X$3:$AA$3,0))),T186*(1+INDEX(Response_Table!$E$4:$E$21,MATCH($F186&amp;"|high",Response_Table!$A$4:$A$21,0))*$R186*INDEX(Parameters!$X$4:$AA$4,1,MATCH($E186,Parameters!$X$3:$AA$3,0))))*(1-Inputs_General!$C$22*Parameters!$F$4))</f>
        <v>71.0017791130182</v>
      </c>
      <c r="W186" s="44" t="n">
        <f aca="false">MIN(100,MAX(T186*(1+INDEX(Response_Table!$E$4:$E$21,MATCH($F186&amp;"|low",Response_Table!$A$4:$A$21,0))*$R186*INDEX(Parameters!$X$4:$AA$4,1,MATCH($E186,Parameters!$X$3:$AA$3,0))),T186*(1+INDEX(Response_Table!$E$4:$E$21,MATCH($F186&amp;"|high",Response_Table!$A$4:$A$21,0))*$R186*INDEX(Parameters!$X$4:$AA$4,1,MATCH($E186,Parameters!$X$3:$AA$3,0))))*(1+Inputs_General!$C$22*Parameters!$F$4))</f>
        <v>86.6776587121468</v>
      </c>
      <c r="X186" s="45" t="n">
        <f aca="false">IF(T186=0,0,U186/T186-1)</f>
        <v>-0.0500389192951635</v>
      </c>
      <c r="Y186" s="44" t="n">
        <f aca="false">Parameters!$E$5*IF($N186="V",Parameters!$I$5,IF($N186="F",Parameters!$J$5,Parameters!$K$5))*(1-Parameters!$L$5*$P186)*IF($D186="V1",Parameters!$M$5,IF($D186="V2",Parameters!$N$5,Parameters!$O$5))</f>
        <v>66.88584</v>
      </c>
      <c r="Z186" s="44" t="n">
        <f aca="false">MIN(100,Y186*(1+INDEX(Response_Table!$F$4:$F$21,MATCH($F186&amp;"|mid",Response_Table!$A$4:$A$21,0))*$R186*INDEX(Parameters!$X$5:$AA$5,1,MATCH($E186,Parameters!$X$3:$AA$3,0))))</f>
        <v>55.3243555722058</v>
      </c>
      <c r="AA186" s="44" t="n">
        <f aca="false">MAX(0,MIN(Y186*(1+INDEX(Response_Table!$F$4:$F$21,MATCH($F186&amp;"|low",Response_Table!$A$4:$A$21,0))*$R186*INDEX(Parameters!$X$5:$AA$5,1,MATCH($E186,Parameters!$X$3:$AA$3,0))),Y186*(1+INDEX(Response_Table!$F$4:$F$21,MATCH($F186&amp;"|high",Response_Table!$A$4:$A$21,0))*$R186*INDEX(Parameters!$X$5:$AA$5,1,MATCH($E186,Parameters!$X$3:$AA$3,0))))*(1-Inputs_General!$C$22*Parameters!$F$5))</f>
        <v>41.3824901759808</v>
      </c>
      <c r="AB186" s="44" t="n">
        <f aca="false">MIN(100,MAX(Y186*(1+INDEX(Response_Table!$F$4:$F$21,MATCH($F186&amp;"|low",Response_Table!$A$4:$A$21,0))*$R186*INDEX(Parameters!$X$5:$AA$5,1,MATCH($E186,Parameters!$X$3:$AA$3,0))),Y186*(1+INDEX(Response_Table!$F$4:$F$21,MATCH($F186&amp;"|high",Response_Table!$A$4:$A$21,0))*$R186*INDEX(Parameters!$X$5:$AA$5,1,MATCH($E186,Parameters!$X$3:$AA$3,0))))*(1+Inputs_General!$C$22*Parameters!$F$5))</f>
        <v>68.6694196332536</v>
      </c>
      <c r="AC186" s="45" t="n">
        <f aca="false">IF(Y186=0,0,Z186/Y186-1)</f>
        <v>-0.172853991634017</v>
      </c>
      <c r="AD186" s="44" t="n">
        <f aca="false">Parameters!$E$6*IF($N186="V",Parameters!$I$6,IF($N186="F",Parameters!$J$6,Parameters!$K$6))*(1-Parameters!$L$6*$P186)*IF($D186="V1",Parameters!$M$6,IF($D186="V2",Parameters!$N$6,Parameters!$O$6))</f>
        <v>18.0106428571429</v>
      </c>
      <c r="AE186" s="44" t="n">
        <f aca="false">AD186*(1+INDEX(Response_Table!$G$4:$G$21,MATCH($F186&amp;"|mid",Response_Table!$A$4:$A$21,0))*$R186*INDEX(Parameters!$X$6:$AA$6,1,MATCH($E186,Parameters!$X$3:$AA$3,0)))</f>
        <v>9.88196894724764</v>
      </c>
      <c r="AF186" s="44" t="n">
        <f aca="false">MAX(0,MIN(AD186*(1+INDEX(Response_Table!$G$4:$G$21,MATCH($F186&amp;"|low",Response_Table!$A$4:$A$21,0))*$R186*INDEX(Parameters!$X$6:$AA$6,1,MATCH($E186,Parameters!$X$3:$AA$3,0))),AD186*(1+INDEX(Response_Table!$G$4:$G$21,MATCH($F186&amp;"|high",Response_Table!$A$4:$A$21,0))*$R186*INDEX(Parameters!$X$6:$AA$6,1,MATCH($E186,Parameters!$X$3:$AA$3,0))))*(1-Inputs_General!$C$22*Parameters!$F$6))</f>
        <v>6.49939125006288</v>
      </c>
      <c r="AG186" s="44" t="n">
        <f aca="false">MAX(AD186*(1+INDEX(Response_Table!$G$4:$G$21,MATCH($F186&amp;"|low",Response_Table!$A$4:$A$21,0))*$R186*INDEX(Parameters!$X$6:$AA$6,1,MATCH($E186,Parameters!$X$3:$AA$3,0))),AD186*(1+INDEX(Response_Table!$G$4:$G$21,MATCH($F186&amp;"|high",Response_Table!$A$4:$A$21,0))*$R186*INDEX(Parameters!$X$6:$AA$6,1,MATCH($E186,Parameters!$X$3:$AA$3,0))))*(1+Inputs_General!$C$22*Parameters!$F$6)</f>
        <v>14.7394252331107</v>
      </c>
      <c r="AH186" s="45" t="n">
        <f aca="false">IF(AD186=0,0,AE186/AD186-1)</f>
        <v>-0.45132613945934</v>
      </c>
      <c r="AI186" s="46" t="n">
        <f aca="false">Parameters!$E$7*IF($N186="V",Parameters!$I$7,IF($N186="F",Parameters!$J$7,Parameters!$K$7))*(1-Parameters!$L$7*$P186)*IF($D186="V1",Parameters!$M$7,IF($D186="V2",Parameters!$N$7,Parameters!$O$7))*POWER($Q186/Inputs_General!$C$26,-Inputs_General!$C$25)</f>
        <v>0.341191629407368</v>
      </c>
      <c r="AJ186" s="46" t="n">
        <f aca="false">AI186*(1+INDEX(Response_Table!$H$4:$H$21,MATCH($F186&amp;"|mid",Response_Table!$A$4:$A$21,0))*$R186*INDEX(Parameters!$X$7:$AA$7,1,MATCH($E186,Parameters!$X$3:$AA$3,0)))</f>
        <v>0.239402224800771</v>
      </c>
      <c r="AK186" s="46" t="n">
        <f aca="false">MAX(0,MIN(AI186*(1+INDEX(Response_Table!$H$4:$H$21,MATCH($F186&amp;"|low",Response_Table!$A$4:$A$21,0))*$R186*INDEX(Parameters!$X$7:$AA$7,1,MATCH($E186,Parameters!$X$3:$AA$3,0))),AI186*(1+INDEX(Response_Table!$H$4:$H$21,MATCH($F186&amp;"|high",Response_Table!$A$4:$A$21,0))*$R186*INDEX(Parameters!$X$7:$AA$7,1,MATCH($E186,Parameters!$X$3:$AA$3,0))))*(1-Inputs_General!$C$22*Parameters!$F$7))</f>
        <v>0.149560720835635</v>
      </c>
      <c r="AL186" s="46" t="n">
        <f aca="false">MAX(AI186*(1+INDEX(Response_Table!$H$4:$H$21,MATCH($F186&amp;"|low",Response_Table!$A$4:$A$21,0))*$R186*INDEX(Parameters!$X$7:$AA$7,1,MATCH($E186,Parameters!$X$3:$AA$3,0))),AI186*(1+INDEX(Response_Table!$H$4:$H$21,MATCH($F186&amp;"|high",Response_Table!$A$4:$A$21,0))*$R186*INDEX(Parameters!$X$7:$AA$7,1,MATCH($E186,Parameters!$X$3:$AA$3,0))))*(1+Inputs_General!$C$22*Parameters!$F$7)</f>
        <v>0.353346032362206</v>
      </c>
      <c r="AM186" s="45" t="n">
        <f aca="false">IF(AI186=0,0,AJ186/AI186-1)</f>
        <v>-0.298334999552597</v>
      </c>
      <c r="AN186" s="43" t="n">
        <f aca="false">AI186*$Q186/Inputs_General!$C$13*1000</f>
        <v>5.97691956280819</v>
      </c>
      <c r="AO186" s="43" t="n">
        <f aca="false">AJ186*$Q186/Inputs_General!$C$13*1000*(1+Inputs_General!$C$21*$I186)</f>
        <v>4.38251605475893</v>
      </c>
      <c r="AP186" s="43" t="n">
        <f aca="false">AK186*$Q186/Inputs_General!$C$13*1000*(1+Inputs_General!$C$21*$H186)</f>
        <v>2.69202087617393</v>
      </c>
      <c r="AQ186" s="43" t="n">
        <f aca="false">AL186*$Q186/Inputs_General!$C$13*1000*(1+Inputs_General!$C$21*$J186)</f>
        <v>6.57670256445925</v>
      </c>
      <c r="AR186" s="45" t="n">
        <f aca="false">IF(AN186=0,0,AO186/AN186-1)</f>
        <v>-0.266760074532465</v>
      </c>
      <c r="AS186" s="42" t="n">
        <f aca="false">Parameters!$E$9*IF($N186="V",Parameters!$I$9,IF($N186="F",Parameters!$J$9,Parameters!$K$9))*(1-Parameters!$L$9*$P186)*IF($D186="V1",Parameters!$M$9,IF($D186="V2",Parameters!$N$9,Parameters!$O$9))</f>
        <v>285</v>
      </c>
      <c r="AT186" s="42" t="n">
        <f aca="false">AS186*(1+INDEX(Response_Table!$I$4:$I$21,MATCH($F186&amp;"|mid",Response_Table!$A$4:$A$21,0))*$R186*INDEX(Parameters!$X$9:$AA$9,1,MATCH($E186,Parameters!$X$3:$AA$3,0)))</f>
        <v>333.270950326965</v>
      </c>
      <c r="AU186" s="42" t="n">
        <f aca="false">MAX(0,MIN(AS186*(1+INDEX(Response_Table!$I$4:$I$21,MATCH($F186&amp;"|low",Response_Table!$A$4:$A$21,0))*$R186*INDEX(Parameters!$X$9:$AA$9,1,MATCH($E186,Parameters!$X$3:$AA$3,0))),AS186*(1+INDEX(Response_Table!$I$4:$I$21,MATCH($F186&amp;"|high",Response_Table!$A$4:$A$21,0))*$R186*INDEX(Parameters!$X$9:$AA$9,1,MATCH($E186,Parameters!$X$3:$AA$3,0))))*(1-Inputs_General!$C$22*Parameters!$F$9))</f>
        <v>287.044559024394</v>
      </c>
      <c r="AV186" s="42" t="n">
        <f aca="false">MAX(AS186*(1+INDEX(Response_Table!$I$4:$I$21,MATCH($F186&amp;"|low",Response_Table!$A$4:$A$21,0))*$R186*INDEX(Parameters!$X$9:$AA$9,1,MATCH($E186,Parameters!$X$3:$AA$3,0))),AS186*(1+INDEX(Response_Table!$I$4:$I$21,MATCH($F186&amp;"|high",Response_Table!$A$4:$A$21,0))*$R186*INDEX(Parameters!$X$9:$AA$9,1,MATCH($E186,Parameters!$X$3:$AA$3,0))))*(1+Inputs_General!$C$22*Parameters!$F$9)</f>
        <v>378.448246193483</v>
      </c>
      <c r="AW186" s="45" t="n">
        <f aca="false">IF(AS186=0,0,AT186/AS186-1)</f>
        <v>0.169371755533209</v>
      </c>
      <c r="AX186" s="43" t="n">
        <f aca="false">INDEX(Context!$AB$4:$AB$51,$K186)</f>
        <v>2.65490090255297</v>
      </c>
      <c r="AY186" s="43" t="n">
        <f aca="false">AX186*(1+INDEX(Response_Table!$J$4:$J$21,MATCH($F186&amp;"|mid",Response_Table!$A$4:$A$21,0))*$R186*INDEX(Parameters!$X$10:$AA$10,1,MATCH($E186,Parameters!$X$3:$AA$3,0)))</f>
        <v>2.17868053562999</v>
      </c>
      <c r="AZ186" s="43" t="n">
        <f aca="false">MAX(0,MIN(AX186*(1+INDEX(Response_Table!$J$4:$J$21,MATCH($F186&amp;"|low",Response_Table!$A$4:$A$21,0))*$R186*INDEX(Parameters!$X$10:$AA$10,1,MATCH($E186,Parameters!$X$3:$AA$3,0))),AX186*(1+INDEX(Response_Table!$J$4:$J$21,MATCH($F186&amp;"|high",Response_Table!$A$4:$A$21,0))*$R186*INDEX(Parameters!$X$10:$AA$10,1,MATCH($E186,Parameters!$X$3:$AA$3,0))))*(1-Inputs_General!$C$22*Parameters!$F$10))</f>
        <v>1.64063691719442</v>
      </c>
      <c r="BA186" s="43" t="n">
        <f aca="false">MAX(AX186*(1+INDEX(Response_Table!$J$4:$J$21,MATCH($F186&amp;"|low",Response_Table!$A$4:$A$21,0))*$R186*INDEX(Parameters!$X$10:$AA$10,1,MATCH($E186,Parameters!$X$3:$AA$3,0))),AX186*(1+INDEX(Response_Table!$J$4:$J$21,MATCH($F186&amp;"|high",Response_Table!$A$4:$A$21,0))*$R186*INDEX(Parameters!$X$10:$AA$10,1,MATCH($E186,Parameters!$X$3:$AA$3,0))))*(1+Inputs_General!$C$22*Parameters!$F$10)</f>
        <v>2.80064240939459</v>
      </c>
      <c r="BB186" s="45" t="n">
        <f aca="false">IF(AX186=0,0,AY186/AX186-1)</f>
        <v>-0.179374064947222</v>
      </c>
      <c r="BC186" s="46" t="n">
        <f aca="false">Parameters!$E$11*IF($N186="V",Parameters!$I$11,IF($N186="F",Parameters!$J$11,Parameters!$K$11))*(1-Parameters!$L$11*$P186)*IF($D186="V1",Parameters!$M$11,IF($D186="V2",Parameters!$N$11,Parameters!$O$11))</f>
        <v>1.21745535714286</v>
      </c>
      <c r="BD186" s="46" t="n">
        <f aca="false">BC186*(1+INDEX(Response_Table!$K$4:$K$21,MATCH($F186&amp;"|mid",Response_Table!$A$4:$A$21,0))*$R186*INDEX(Parameters!$X$11:$AA$11,1,MATCH($E186,Parameters!$X$3:$AA$3,0)))</f>
        <v>0.836308858724028</v>
      </c>
      <c r="BE186" s="46" t="n">
        <f aca="false">MAX(0,MIN(BC186*(1+INDEX(Response_Table!$K$4:$K$21,MATCH($F186&amp;"|low",Response_Table!$A$4:$A$21,0))*$R186*INDEX(Parameters!$X$11:$AA$11,1,MATCH($E186,Parameters!$X$3:$AA$3,0))),BC186*(1+INDEX(Response_Table!$K$4:$K$21,MATCH($F186&amp;"|high",Response_Table!$A$4:$A$21,0))*$R186*INDEX(Parameters!$X$11:$AA$11,1,MATCH($E186,Parameters!$X$3:$AA$3,0))))*(1-Inputs_General!$C$22*Parameters!$F$11))</f>
        <v>0.61668832684898</v>
      </c>
      <c r="BF186" s="46" t="n">
        <f aca="false">MAX(BC186*(1+INDEX(Response_Table!$K$4:$K$21,MATCH($F186&amp;"|low",Response_Table!$A$4:$A$21,0))*$R186*INDEX(Parameters!$X$11:$AA$11,1,MATCH($E186,Parameters!$X$3:$AA$3,0))),BC186*(1+INDEX(Response_Table!$K$4:$K$21,MATCH($F186&amp;"|high",Response_Table!$A$4:$A$21,0))*$R186*INDEX(Parameters!$X$11:$AA$11,1,MATCH($E186,Parameters!$X$3:$AA$3,0))))*(1+Inputs_General!$C$22*Parameters!$F$11)</f>
        <v>1.11694934909492</v>
      </c>
      <c r="BG186" s="45" t="n">
        <f aca="false">IF(BC186=0,0,BD186/BC186-1)</f>
        <v>-0.313068151684272</v>
      </c>
      <c r="BH186" s="46" t="n">
        <f aca="false">Parameters!$E$12*IF($N186="V",Parameters!$I$12,IF($N186="F",Parameters!$J$12,Parameters!$K$12))*(1-Parameters!$L$12*$P186)*IF($D186="V1",Parameters!$M$12,IF($D186="V2",Parameters!$N$12,Parameters!$O$12))</f>
        <v>0.438283928571429</v>
      </c>
      <c r="BI186" s="46" t="n">
        <f aca="false">BH186*(1+INDEX(Response_Table!$L$4:$L$21,MATCH($F186&amp;"|mid",Response_Table!$A$4:$A$21,0))*$R186*INDEX(Parameters!$X$12:$AA$12,1,MATCH($E186,Parameters!$X$3:$AA$3,0)))</f>
        <v>0.327644713803971</v>
      </c>
      <c r="BJ186" s="46" t="n">
        <f aca="false">MAX(0,MIN(BH186*(1+INDEX(Response_Table!$L$4:$L$21,MATCH($F186&amp;"|low",Response_Table!$A$4:$A$21,0))*$R186*INDEX(Parameters!$X$12:$AA$12,1,MATCH($E186,Parameters!$X$3:$AA$3,0))),BH186*(1+INDEX(Response_Table!$L$4:$L$21,MATCH($F186&amp;"|high",Response_Table!$A$4:$A$21,0))*$R186*INDEX(Parameters!$X$12:$AA$12,1,MATCH($E186,Parameters!$X$3:$AA$3,0))))*(1-Inputs_General!$C$22*Parameters!$F$12))</f>
        <v>0.239476341799864</v>
      </c>
      <c r="BK186" s="46" t="n">
        <f aca="false">MAX(BH186*(1+INDEX(Response_Table!$L$4:$L$21,MATCH($F186&amp;"|low",Response_Table!$A$4:$A$21,0))*$R186*INDEX(Parameters!$X$12:$AA$12,1,MATCH($E186,Parameters!$X$3:$AA$3,0))),BH186*(1+INDEX(Response_Table!$L$4:$L$21,MATCH($F186&amp;"|high",Response_Table!$A$4:$A$21,0))*$R186*INDEX(Parameters!$X$12:$AA$12,1,MATCH($E186,Parameters!$X$3:$AA$3,0))))*(1+Inputs_General!$C$22*Parameters!$F$12)</f>
        <v>0.43555813713871</v>
      </c>
      <c r="BL186" s="45" t="n">
        <f aca="false">IF(BH186=0,0,BI186/BH186-1)</f>
        <v>-0.252437307313736</v>
      </c>
      <c r="BM186" s="46" t="n">
        <f aca="false">Parameters!$E$13*IF($N186="V",Parameters!$I$13,IF($N186="F",Parameters!$J$13,Parameters!$K$13))*(1-Parameters!$L$13*$P186)*IF($D186="V1",Parameters!$M$13,IF($D186="V2",Parameters!$N$13,Parameters!$O$13))</f>
        <v>0.296094642857143</v>
      </c>
      <c r="BN186" s="46" t="n">
        <f aca="false">BM186*(1+INDEX(Response_Table!$M$4:$M$21,MATCH($F186&amp;"|mid",Response_Table!$A$4:$A$21,0))*$R186*INDEX(Parameters!$X$13:$AA$13,1,MATCH($E186,Parameters!$X$3:$AA$3,0)))</f>
        <v>0.268077091724233</v>
      </c>
      <c r="BO186" s="46" t="n">
        <f aca="false">MAX(0,MIN(BM186*(1+INDEX(Response_Table!$M$4:$M$21,MATCH($F186&amp;"|low",Response_Table!$A$4:$A$21,0))*$R186*INDEX(Parameters!$X$13:$AA$13,1,MATCH($E186,Parameters!$X$3:$AA$3,0))),BM186*(1+INDEX(Response_Table!$M$4:$M$21,MATCH($F186&amp;"|high",Response_Table!$A$4:$A$21,0))*$R186*INDEX(Parameters!$X$13:$AA$13,1,MATCH($E186,Parameters!$X$3:$AA$3,0))))*(1-Inputs_General!$C$22*Parameters!$F$13))</f>
        <v>0.197056192296638</v>
      </c>
      <c r="BP186" s="46" t="n">
        <f aca="false">MAX(BM186*(1+INDEX(Response_Table!$M$4:$M$21,MATCH($F186&amp;"|low",Response_Table!$A$4:$A$21,0))*$R186*INDEX(Parameters!$X$13:$AA$13,1,MATCH($E186,Parameters!$X$3:$AA$3,0))),BM186*(1+INDEX(Response_Table!$M$4:$M$21,MATCH($F186&amp;"|high",Response_Table!$A$4:$A$21,0))*$R186*INDEX(Parameters!$X$13:$AA$13,1,MATCH($E186,Parameters!$X$3:$AA$3,0))))*(1+Inputs_General!$C$22*Parameters!$F$13)</f>
        <v>0.349513377540387</v>
      </c>
      <c r="BQ186" s="45" t="n">
        <f aca="false">IF(BM186=0,0,BN186/BM186-1)</f>
        <v>-0.0946236340602347</v>
      </c>
      <c r="BR186" s="44" t="n">
        <f aca="false">Parameters!$E$14*IF($N186="V",Parameters!$I$14,IF($N186="F",Parameters!$J$14,Parameters!$K$14))*(1-Parameters!$L$14*$P186)*IF($D186="V1",Parameters!$M$14,IF($D186="V2",Parameters!$N$14,Parameters!$O$14))*INDEX(Context!$AC$4:$AC$51,$K186)</f>
        <v>15</v>
      </c>
      <c r="BS186" s="44" t="n">
        <f aca="false">BR186*(1+INDEX(Response_Table!$N$4:$N$21,MATCH($F186&amp;"|mid",Response_Table!$A$4:$A$21,0))*$R186*INDEX(Parameters!$X$14:$AA$14,1,MATCH($E186,Parameters!$X$3:$AA$3,0)))</f>
        <v>19.1307923014975</v>
      </c>
      <c r="BT186" s="44" t="n">
        <f aca="false">MAX(0,MIN(BR186*(1+INDEX(Response_Table!$N$4:$N$21,MATCH($F186&amp;"|low",Response_Table!$A$4:$A$21,0))*$R186*INDEX(Parameters!$X$14:$AA$14,1,MATCH($E186,Parameters!$X$3:$AA$3,0))),BR186*(1+INDEX(Response_Table!$N$4:$N$21,MATCH($F186&amp;"|high",Response_Table!$A$4:$A$21,0))*$R186*INDEX(Parameters!$X$14:$AA$14,1,MATCH($E186,Parameters!$X$3:$AA$3,0))))*(1-Inputs_General!$C$22*Parameters!$F$14))</f>
        <v>9.00691477726562</v>
      </c>
      <c r="BU186" s="44" t="n">
        <f aca="false">MAX(BR186*(1+INDEX(Response_Table!$N$4:$N$21,MATCH($F186&amp;"|low",Response_Table!$A$4:$A$21,0))*$R186*INDEX(Parameters!$X$14:$AA$14,1,MATCH($E186,Parameters!$X$3:$AA$3,0))),BR186*(1+INDEX(Response_Table!$N$4:$N$21,MATCH($F186&amp;"|high",Response_Table!$A$4:$A$21,0))*$R186*INDEX(Parameters!$X$14:$AA$14,1,MATCH($E186,Parameters!$X$3:$AA$3,0))))*(1+Inputs_General!$C$22*Parameters!$F$14)</f>
        <v>30.2039034794648</v>
      </c>
      <c r="BV186" s="45" t="n">
        <f aca="false">IF(BR186=0,0,BS186/BR186-1)</f>
        <v>0.275386153433167</v>
      </c>
      <c r="BW186" s="43" t="n">
        <f aca="false">Parameters!$E$15*IF($N186="V",Parameters!$I$15,IF($N186="F",Parameters!$J$15,Parameters!$K$15))*(1-Parameters!$L$15*$P186)*IF($D186="V1",Parameters!$M$15,IF($D186="V2",Parameters!$N$15,Parameters!$O$15))</f>
        <v>10.5188142857143</v>
      </c>
      <c r="BX186" s="43" t="n">
        <f aca="false">BW186*(1+INDEX(Response_Table!$O$4:$O$21,MATCH($F186&amp;"|mid",Response_Table!$A$4:$A$21,0))*$R186*INDEX(Parameters!$X$15:$AA$15,1,MATCH($E186,Parameters!$X$3:$AA$3,0)))</f>
        <v>9.79463033450911</v>
      </c>
      <c r="BY186" s="43" t="n">
        <f aca="false">MAX(0,MIN(BW186*(1+INDEX(Response_Table!$O$4:$O$21,MATCH($F186&amp;"|low",Response_Table!$A$4:$A$21,0))*$R186*INDEX(Parameters!$X$15:$AA$15,1,MATCH($E186,Parameters!$X$3:$AA$3,0))),BW186*(1+INDEX(Response_Table!$O$4:$O$21,MATCH($F186&amp;"|high",Response_Table!$A$4:$A$21,0))*$R186*INDEX(Parameters!$X$15:$AA$15,1,MATCH($E186,Parameters!$X$3:$AA$3,0))))*(1-Inputs_General!$C$22*Parameters!$F$15))</f>
        <v>7.70740903411859</v>
      </c>
      <c r="BZ186" s="43" t="n">
        <f aca="false">MAX(BW186*(1+INDEX(Response_Table!$O$4:$O$21,MATCH($F186&amp;"|low",Response_Table!$A$4:$A$21,0))*$R186*INDEX(Parameters!$X$15:$AA$15,1,MATCH($E186,Parameters!$X$3:$AA$3,0))),BW186*(1+INDEX(Response_Table!$O$4:$O$21,MATCH($F186&amp;"|high",Response_Table!$A$4:$A$21,0))*$R186*INDEX(Parameters!$X$15:$AA$15,1,MATCH($E186,Parameters!$X$3:$AA$3,0))))*(1+Inputs_General!$C$22*Parameters!$F$15)</f>
        <v>12.011091970882</v>
      </c>
      <c r="CA186" s="45" t="n">
        <f aca="false">IF(BW186=0,0,BX186/BW186-1)</f>
        <v>-0.0688465383582917</v>
      </c>
      <c r="CB186" s="46" t="n">
        <f aca="false">BD186+BI186</f>
        <v>1.163953572528</v>
      </c>
      <c r="CC186" s="43" t="n">
        <f aca="false">BD186/BI186</f>
        <v>2.55248695763909</v>
      </c>
      <c r="CD186" s="46" t="n">
        <f aca="false">BN186/CB186</f>
        <v>0.230315966247686</v>
      </c>
      <c r="CE186" s="43" t="n">
        <f aca="false">AE186/AO186</f>
        <v>2.25486200706941</v>
      </c>
      <c r="CF186" s="44" t="n">
        <f aca="false">AE186/AJ186</f>
        <v>41.2776821747223</v>
      </c>
      <c r="CG186" s="44" t="n">
        <f aca="false">INDEX(Context!$V$4:$V$51,$K186)</f>
        <v>28.62</v>
      </c>
      <c r="CH186" s="44" t="n">
        <f aca="false">INDEX(Context!$Y$4:$Y$51,$K186)</f>
        <v>25.3060134606718</v>
      </c>
      <c r="CI186" s="44" t="n">
        <f aca="false">INDEX(Context!$Z$4:$Z$51,$K186)</f>
        <v>32.62</v>
      </c>
      <c r="CJ186" s="43" t="n">
        <f aca="false">INDEX(Context!$AA$4:$AA$51,$K186)</f>
        <v>0.221696428571429</v>
      </c>
      <c r="CK186" s="43" t="n">
        <f aca="false">MAX(0,MIN(1,1-(1-CJ186)*AO186/AN186))</f>
        <v>0.429316747294598</v>
      </c>
      <c r="CL186" s="44" t="n">
        <f aca="false">CH186+CK186*(CI186-CH186)</f>
        <v>28.4460303714926</v>
      </c>
      <c r="CM186" s="44" t="n">
        <f aca="false">CH186+MAX(0,MIN(1,1-(1-CJ186)*AQ186/AN186))*(CI186-CH186)</f>
        <v>26.3562564296894</v>
      </c>
      <c r="CN186" s="44" t="n">
        <f aca="false">CH186+MAX(0,MIN(1,1-(1-CJ186)*AP186/AN186))*(CI186-CH186)</f>
        <v>30.0560816398479</v>
      </c>
      <c r="CO186" s="44" t="n">
        <f aca="false">CL186-CG186</f>
        <v>-0.173969628507365</v>
      </c>
      <c r="CP186" s="44" t="n">
        <f aca="false">CL186-(CH186+CJ186*(CI186-CH186))</f>
        <v>1.5185322164323</v>
      </c>
      <c r="CQ186" s="46" t="n">
        <f aca="false">CL186/CG186</f>
        <v>0.993921396627975</v>
      </c>
      <c r="CR186" s="43" t="n">
        <f aca="false">IF(CL186-CH186&lt;=0,"n/a",(CI186-CL186)/(CL186-CH186))</f>
        <v>1.32928253160783</v>
      </c>
      <c r="CS186" s="43" t="n">
        <f aca="false">IF(CI186-CL186&lt;=0,"n/a",(CL186-CH186)/(CI186-CL186))</f>
        <v>0.752285519610682</v>
      </c>
      <c r="CT186" s="43" t="n">
        <f aca="false">Inputs_General!$C$23+Inputs_General!$C$24*$I186</f>
        <v>0.96</v>
      </c>
      <c r="CU186" s="44" t="n">
        <f aca="false">3.29*CT186</f>
        <v>3.1584</v>
      </c>
    </row>
    <row r="187" customFormat="false" ht="15" hidden="false" customHeight="false" outlineLevel="0" collapsed="false">
      <c r="A187" s="9" t="str">
        <f aca="false">B187&amp;"|"&amp;E187&amp;"|"&amp;F187</f>
        <v>D3V2|03/03/2026|High</v>
      </c>
      <c r="B187" s="7" t="s">
        <v>350</v>
      </c>
      <c r="C187" s="9" t="s">
        <v>131</v>
      </c>
      <c r="D187" s="9" t="s">
        <v>146</v>
      </c>
      <c r="E187" s="9" t="s">
        <v>162</v>
      </c>
      <c r="F187" s="7" t="s">
        <v>283</v>
      </c>
      <c r="G187" s="9" t="s">
        <v>284</v>
      </c>
      <c r="H187" s="41" t="n">
        <f aca="false">INDEX(Severity_Classes!$C$4:$C$9,MATCH(F187,Severity_Classes!$A$4:$A$9,0))</f>
        <v>0.26</v>
      </c>
      <c r="I187" s="41" t="n">
        <f aca="false">INDEX(Severity_Classes!$D$4:$D$9,MATCH(F187,Severity_Classes!$A$4:$A$9,0))</f>
        <v>0.38</v>
      </c>
      <c r="J187" s="41" t="n">
        <f aca="false">INDEX(Severity_Classes!$E$4:$E$9,MATCH(F187,Severity_Classes!$A$4:$A$9,0))</f>
        <v>0.5</v>
      </c>
      <c r="K187" s="42" t="n">
        <f aca="false">MATCH(B187&amp;"|"&amp;E187,Context!$A$4:$A$51,0)</f>
        <v>31</v>
      </c>
      <c r="L187" s="42" t="n">
        <f aca="false">INDEX(Context!$H$4:$H$51,K187)</f>
        <v>66</v>
      </c>
      <c r="M187" s="42" t="n">
        <f aca="false">INDEX(Context!$I$4:$I$51,K187)</f>
        <v>26</v>
      </c>
      <c r="N187" s="9" t="str">
        <f aca="false">INDEX(Context!$L$4:$L$51,K187)</f>
        <v>F</v>
      </c>
      <c r="O187" s="9" t="str">
        <f aca="false">INDEX(Context!$M$4:$M$51,K187)</f>
        <v>5th fully expanded leaf from top</v>
      </c>
      <c r="P187" s="43" t="n">
        <f aca="false">INDEX(Context!$R$4:$R$51,K187)</f>
        <v>0.433928571428571</v>
      </c>
      <c r="Q187" s="43" t="n">
        <f aca="false">INDEX(Context!$U$4:$U$51,K187)</f>
        <v>1.73951545534029</v>
      </c>
      <c r="R187" s="43" t="n">
        <f aca="false">INDEX(Context!$AD$4:$AD$51,K187)</f>
        <v>1.1</v>
      </c>
      <c r="S187" s="9" t="str">
        <f aca="false">INDEX(Context!$AI$4:$AN$51,K187,MATCH(F187,Severity_Classes!$A$4:$A$9,0))</f>
        <v>Likely</v>
      </c>
      <c r="T187" s="44" t="n">
        <f aca="false">Parameters!$E$4*IF($N187="V",Parameters!$I$4,IF($N187="F",Parameters!$J$4,Parameters!$K$4))*(1-Parameters!$L$4*$P187)*IF($D187="V1",Parameters!$M$4,IF($D187="V2",Parameters!$N$4,Parameters!$O$4))</f>
        <v>83.2927660714286</v>
      </c>
      <c r="U187" s="44" t="n">
        <f aca="false">MIN(100,T187*(1+INDEX(Response_Table!$E$4:$E$21,MATCH($F187&amp;"|mid",Response_Table!$A$4:$A$21,0))*$R187*INDEX(Parameters!$X$4:$AA$4,1,MATCH($E187,Parameters!$X$3:$AA$3,0))))</f>
        <v>68.4916587492711</v>
      </c>
      <c r="V187" s="44" t="n">
        <f aca="false">MAX(0,MIN(T187*(1+INDEX(Response_Table!$E$4:$E$21,MATCH($F187&amp;"|low",Response_Table!$A$4:$A$21,0))*$R187*INDEX(Parameters!$X$4:$AA$4,1,MATCH($E187,Parameters!$X$3:$AA$3,0))),T187*(1+INDEX(Response_Table!$E$4:$E$21,MATCH($F187&amp;"|high",Response_Table!$A$4:$A$21,0))*$R187*INDEX(Parameters!$X$4:$AA$4,1,MATCH($E187,Parameters!$X$3:$AA$3,0))))*(1-Inputs_General!$C$22*Parameters!$F$4))</f>
        <v>58.1620503205959</v>
      </c>
      <c r="W187" s="44" t="n">
        <f aca="false">MIN(100,MAX(T187*(1+INDEX(Response_Table!$E$4:$E$21,MATCH($F187&amp;"|low",Response_Table!$A$4:$A$21,0))*$R187*INDEX(Parameters!$X$4:$AA$4,1,MATCH($E187,Parameters!$X$3:$AA$3,0))),T187*(1+INDEX(Response_Table!$E$4:$E$21,MATCH($F187&amp;"|high",Response_Table!$A$4:$A$21,0))*$R187*INDEX(Parameters!$X$4:$AA$4,1,MATCH($E187,Parameters!$X$3:$AA$3,0))))*(1+Inputs_General!$C$22*Parameters!$F$4))</f>
        <v>80.4515809022033</v>
      </c>
      <c r="X187" s="45" t="n">
        <f aca="false">IF(T187=0,0,U187/T187-1)</f>
        <v>-0.177699793394599</v>
      </c>
      <c r="Y187" s="44" t="n">
        <f aca="false">Parameters!$E$5*IF($N187="V",Parameters!$I$5,IF($N187="F",Parameters!$J$5,Parameters!$K$5))*(1-Parameters!$L$5*$P187)*IF($D187="V1",Parameters!$M$5,IF($D187="V2",Parameters!$N$5,Parameters!$O$5))</f>
        <v>66.88584</v>
      </c>
      <c r="Z187" s="44" t="n">
        <f aca="false">MIN(100,Y187*(1+INDEX(Response_Table!$F$4:$F$21,MATCH($F187&amp;"|mid",Response_Table!$A$4:$A$21,0))*$R187*INDEX(Parameters!$X$5:$AA$5,1,MATCH($E187,Parameters!$X$3:$AA$3,0))))</f>
        <v>30.0770733595323</v>
      </c>
      <c r="AA187" s="44" t="n">
        <f aca="false">MAX(0,MIN(Y187*(1+INDEX(Response_Table!$F$4:$F$21,MATCH($F187&amp;"|low",Response_Table!$A$4:$A$21,0))*$R187*INDEX(Parameters!$X$5:$AA$5,1,MATCH($E187,Parameters!$X$3:$AA$3,0))),Y187*(1+INDEX(Response_Table!$F$4:$F$21,MATCH($F187&amp;"|high",Response_Table!$A$4:$A$21,0))*$R187*INDEX(Parameters!$X$5:$AA$5,1,MATCH($E187,Parameters!$X$3:$AA$3,0))))*(1-Inputs_General!$C$22*Parameters!$F$5))</f>
        <v>18.4345275098652</v>
      </c>
      <c r="AB187" s="44" t="n">
        <f aca="false">MIN(100,MAX(Y187*(1+INDEX(Response_Table!$F$4:$F$21,MATCH($F187&amp;"|low",Response_Table!$A$4:$A$21,0))*$R187*INDEX(Parameters!$X$5:$AA$5,1,MATCH($E187,Parameters!$X$3:$AA$3,0))),Y187*(1+INDEX(Response_Table!$F$4:$F$21,MATCH($F187&amp;"|high",Response_Table!$A$4:$A$21,0))*$R187*INDEX(Parameters!$X$5:$AA$5,1,MATCH($E187,Parameters!$X$3:$AA$3,0))))*(1+Inputs_General!$C$22*Parameters!$F$5))</f>
        <v>50.6538400667815</v>
      </c>
      <c r="AC187" s="45" t="n">
        <f aca="false">IF(Y187=0,0,Z187/Y187-1)</f>
        <v>-0.550322260144565</v>
      </c>
      <c r="AD187" s="44" t="n">
        <f aca="false">Parameters!$E$6*IF($N187="V",Parameters!$I$6,IF($N187="F",Parameters!$J$6,Parameters!$K$6))*(1-Parameters!$L$6*$P187)*IF($D187="V1",Parameters!$M$6,IF($D187="V2",Parameters!$N$6,Parameters!$O$6))</f>
        <v>18.0106428571429</v>
      </c>
      <c r="AE187" s="44" t="n">
        <f aca="false">AD187*(1+INDEX(Response_Table!$G$4:$G$21,MATCH($F187&amp;"|mid",Response_Table!$A$4:$A$21,0))*$R187*INDEX(Parameters!$X$6:$AA$6,1,MATCH($E187,Parameters!$X$3:$AA$3,0)))</f>
        <v>5.94339564811636</v>
      </c>
      <c r="AF187" s="44" t="n">
        <f aca="false">MAX(0,MIN(AD187*(1+INDEX(Response_Table!$G$4:$G$21,MATCH($F187&amp;"|low",Response_Table!$A$4:$A$21,0))*$R187*INDEX(Parameters!$X$6:$AA$6,1,MATCH($E187,Parameters!$X$3:$AA$3,0))),AD187*(1+INDEX(Response_Table!$G$4:$G$21,MATCH($F187&amp;"|high",Response_Table!$A$4:$A$21,0))*$R187*INDEX(Parameters!$X$6:$AA$6,1,MATCH($E187,Parameters!$X$3:$AA$3,0))))*(1-Inputs_General!$C$22*Parameters!$F$6))</f>
        <v>3.85108531634867</v>
      </c>
      <c r="AG187" s="44" t="n">
        <f aca="false">MAX(AD187*(1+INDEX(Response_Table!$G$4:$G$21,MATCH($F187&amp;"|low",Response_Table!$A$4:$A$21,0))*$R187*INDEX(Parameters!$X$6:$AA$6,1,MATCH($E187,Parameters!$X$3:$AA$3,0))),AD187*(1+INDEX(Response_Table!$G$4:$G$21,MATCH($F187&amp;"|high",Response_Table!$A$4:$A$21,0))*$R187*INDEX(Parameters!$X$6:$AA$6,1,MATCH($E187,Parameters!$X$3:$AA$3,0))))*(1+Inputs_General!$C$22*Parameters!$F$6)</f>
        <v>9.44151406704474</v>
      </c>
      <c r="AH187" s="45" t="n">
        <f aca="false">IF(AD187=0,0,AE187/AD187-1)</f>
        <v>-0.670006468105648</v>
      </c>
      <c r="AI187" s="46" t="n">
        <f aca="false">Parameters!$E$7*IF($N187="V",Parameters!$I$7,IF($N187="F",Parameters!$J$7,Parameters!$K$7))*(1-Parameters!$L$7*$P187)*IF($D187="V1",Parameters!$M$7,IF($D187="V2",Parameters!$N$7,Parameters!$O$7))*POWER($Q187/Inputs_General!$C$26,-Inputs_General!$C$25)</f>
        <v>0.341191629407368</v>
      </c>
      <c r="AJ187" s="46" t="n">
        <f aca="false">AI187*(1+INDEX(Response_Table!$H$4:$H$21,MATCH($F187&amp;"|mid",Response_Table!$A$4:$A$21,0))*$R187*INDEX(Parameters!$X$7:$AA$7,1,MATCH($E187,Parameters!$X$3:$AA$3,0)))</f>
        <v>0.175260109196917</v>
      </c>
      <c r="AK187" s="46" t="n">
        <f aca="false">MAX(0,MIN(AI187*(1+INDEX(Response_Table!$H$4:$H$21,MATCH($F187&amp;"|low",Response_Table!$A$4:$A$21,0))*$R187*INDEX(Parameters!$X$7:$AA$7,1,MATCH($E187,Parameters!$X$3:$AA$3,0))),AI187*(1+INDEX(Response_Table!$H$4:$H$21,MATCH($F187&amp;"|high",Response_Table!$A$4:$A$21,0))*$R187*INDEX(Parameters!$X$7:$AA$7,1,MATCH($E187,Parameters!$X$3:$AA$3,0))))*(1-Inputs_General!$C$22*Parameters!$F$7))</f>
        <v>0.106762389993304</v>
      </c>
      <c r="AL187" s="46" t="n">
        <f aca="false">MAX(AI187*(1+INDEX(Response_Table!$H$4:$H$21,MATCH($F187&amp;"|low",Response_Table!$A$4:$A$21,0))*$R187*INDEX(Parameters!$X$7:$AA$7,1,MATCH($E187,Parameters!$X$3:$AA$3,0))),AI187*(1+INDEX(Response_Table!$H$4:$H$21,MATCH($F187&amp;"|high",Response_Table!$A$4:$A$21,0))*$R187*INDEX(Parameters!$X$7:$AA$7,1,MATCH($E187,Parameters!$X$3:$AA$3,0))))*(1+Inputs_General!$C$22*Parameters!$F$7)</f>
        <v>0.27097392203121</v>
      </c>
      <c r="AM187" s="45" t="n">
        <f aca="false">IF(AI187=0,0,AJ187/AI187-1)</f>
        <v>-0.486329399401343</v>
      </c>
      <c r="AN187" s="43" t="n">
        <f aca="false">AI187*$Q187/Inputs_General!$C$13*1000</f>
        <v>5.97691956280819</v>
      </c>
      <c r="AO187" s="43" t="n">
        <f aca="false">AJ187*$Q187/Inputs_General!$C$13*1000*(1+Inputs_General!$C$21*$I187)</f>
        <v>3.36183380840551</v>
      </c>
      <c r="AP187" s="43" t="n">
        <f aca="false">AK187*$Q187/Inputs_General!$C$13*1000*(1+Inputs_General!$C$21*$H187)</f>
        <v>1.9918055511196</v>
      </c>
      <c r="AQ187" s="43" t="n">
        <f aca="false">AL187*$Q187/Inputs_General!$C$13*1000*(1+Inputs_General!$C$21*$J187)</f>
        <v>5.34021894298486</v>
      </c>
      <c r="AR187" s="45" t="n">
        <f aca="false">IF(AN187=0,0,AO187/AN187-1)</f>
        <v>-0.43753069234447</v>
      </c>
      <c r="AS187" s="42" t="n">
        <f aca="false">Parameters!$E$9*IF($N187="V",Parameters!$I$9,IF($N187="F",Parameters!$J$9,Parameters!$K$9))*(1-Parameters!$L$9*$P187)*IF($D187="V1",Parameters!$M$9,IF($D187="V2",Parameters!$N$9,Parameters!$O$9))</f>
        <v>285</v>
      </c>
      <c r="AT187" s="42" t="n">
        <f aca="false">AS187*(1+INDEX(Response_Table!$I$4:$I$21,MATCH($F187&amp;"|mid",Response_Table!$A$4:$A$21,0))*$R187*INDEX(Parameters!$X$9:$AA$9,1,MATCH($E187,Parameters!$X$3:$AA$3,0)))</f>
        <v>358.480147032144</v>
      </c>
      <c r="AU187" s="42" t="n">
        <f aca="false">MAX(0,MIN(AS187*(1+INDEX(Response_Table!$I$4:$I$21,MATCH($F187&amp;"|low",Response_Table!$A$4:$A$21,0))*$R187*INDEX(Parameters!$X$9:$AA$9,1,MATCH($E187,Parameters!$X$3:$AA$3,0))),AS187*(1+INDEX(Response_Table!$I$4:$I$21,MATCH($F187&amp;"|high",Response_Table!$A$4:$A$21,0))*$R187*INDEX(Parameters!$X$9:$AA$9,1,MATCH($E187,Parameters!$X$3:$AA$3,0))))*(1-Inputs_General!$C$22*Parameters!$F$9))</f>
        <v>311.676378308909</v>
      </c>
      <c r="AV187" s="42" t="n">
        <f aca="false">MAX(AS187*(1+INDEX(Response_Table!$I$4:$I$21,MATCH($F187&amp;"|low",Response_Table!$A$4:$A$21,0))*$R187*INDEX(Parameters!$X$9:$AA$9,1,MATCH($E187,Parameters!$X$3:$AA$3,0))),AS187*(1+INDEX(Response_Table!$I$4:$I$21,MATCH($F187&amp;"|high",Response_Table!$A$4:$A$21,0))*$R187*INDEX(Parameters!$X$9:$AA$9,1,MATCH($E187,Parameters!$X$3:$AA$3,0))))*(1+Inputs_General!$C$22*Parameters!$F$9)</f>
        <v>402.477670041161</v>
      </c>
      <c r="AW187" s="45" t="n">
        <f aca="false">IF(AS187=0,0,AT187/AS187-1)</f>
        <v>0.257825077305769</v>
      </c>
      <c r="AX187" s="43" t="n">
        <f aca="false">INDEX(Context!$AB$4:$AB$51,$K187)</f>
        <v>2.65490090255297</v>
      </c>
      <c r="AY187" s="43" t="n">
        <f aca="false">AX187*(1+INDEX(Response_Table!$J$4:$J$21,MATCH($F187&amp;"|mid",Response_Table!$A$4:$A$21,0))*$R187*INDEX(Parameters!$X$10:$AA$10,1,MATCH($E187,Parameters!$X$3:$AA$3,0)))</f>
        <v>1.84897070643994</v>
      </c>
      <c r="AZ187" s="43" t="n">
        <f aca="false">MAX(0,MIN(AX187*(1+INDEX(Response_Table!$J$4:$J$21,MATCH($F187&amp;"|low",Response_Table!$A$4:$A$21,0))*$R187*INDEX(Parameters!$X$10:$AA$10,1,MATCH($E187,Parameters!$X$3:$AA$3,0))),AX187*(1+INDEX(Response_Table!$J$4:$J$21,MATCH($F187&amp;"|high",Response_Table!$A$4:$A$21,0))*$R187*INDEX(Parameters!$X$10:$AA$10,1,MATCH($E187,Parameters!$X$3:$AA$3,0))))*(1-Inputs_General!$C$22*Parameters!$F$10))</f>
        <v>1.37825896570225</v>
      </c>
      <c r="BA187" s="43" t="n">
        <f aca="false">MAX(AX187*(1+INDEX(Response_Table!$J$4:$J$21,MATCH($F187&amp;"|low",Response_Table!$A$4:$A$21,0))*$R187*INDEX(Parameters!$X$10:$AA$10,1,MATCH($E187,Parameters!$X$3:$AA$3,0))),AX187*(1+INDEX(Response_Table!$J$4:$J$21,MATCH($F187&amp;"|high",Response_Table!$A$4:$A$21,0))*$R187*INDEX(Parameters!$X$10:$AA$10,1,MATCH($E187,Parameters!$X$3:$AA$3,0))))*(1+Inputs_General!$C$22*Parameters!$F$10)</f>
        <v>2.42687230956912</v>
      </c>
      <c r="BB187" s="45" t="n">
        <f aca="false">IF(AX187=0,0,AY187/AX187-1)</f>
        <v>-0.303563193390022</v>
      </c>
      <c r="BC187" s="46" t="n">
        <f aca="false">Parameters!$E$11*IF($N187="V",Parameters!$I$11,IF($N187="F",Parameters!$J$11,Parameters!$K$11))*(1-Parameters!$L$11*$P187)*IF($D187="V1",Parameters!$M$11,IF($D187="V2",Parameters!$N$11,Parameters!$O$11))</f>
        <v>1.21745535714286</v>
      </c>
      <c r="BD187" s="46" t="n">
        <f aca="false">BC187*(1+INDEX(Response_Table!$K$4:$K$21,MATCH($F187&amp;"|mid",Response_Table!$A$4:$A$21,0))*$R187*INDEX(Parameters!$X$11:$AA$11,1,MATCH($E187,Parameters!$X$3:$AA$3,0)))</f>
        <v>0.604996931017847</v>
      </c>
      <c r="BE187" s="46" t="n">
        <f aca="false">MAX(0,MIN(BC187*(1+INDEX(Response_Table!$K$4:$K$21,MATCH($F187&amp;"|low",Response_Table!$A$4:$A$21,0))*$R187*INDEX(Parameters!$X$11:$AA$11,1,MATCH($E187,Parameters!$X$3:$AA$3,0))),BC187*(1+INDEX(Response_Table!$K$4:$K$21,MATCH($F187&amp;"|high",Response_Table!$A$4:$A$21,0))*$R187*INDEX(Parameters!$X$11:$AA$11,1,MATCH($E187,Parameters!$X$3:$AA$3,0))))*(1-Inputs_General!$C$22*Parameters!$F$11))</f>
        <v>0.436734042963864</v>
      </c>
      <c r="BF187" s="46" t="n">
        <f aca="false">MAX(BC187*(1+INDEX(Response_Table!$K$4:$K$21,MATCH($F187&amp;"|low",Response_Table!$A$4:$A$21,0))*$R187*INDEX(Parameters!$X$11:$AA$11,1,MATCH($E187,Parameters!$X$3:$AA$3,0))),BC187*(1+INDEX(Response_Table!$K$4:$K$21,MATCH($F187&amp;"|high",Response_Table!$A$4:$A$21,0))*$R187*INDEX(Parameters!$X$11:$AA$11,1,MATCH($E187,Parameters!$X$3:$AA$3,0))))*(1+Inputs_General!$C$22*Parameters!$F$11)</f>
        <v>0.845181088313207</v>
      </c>
      <c r="BG187" s="45" t="n">
        <f aca="false">IF(BC187=0,0,BD187/BC187-1)</f>
        <v>-0.503064381401497</v>
      </c>
      <c r="BH187" s="46" t="n">
        <f aca="false">Parameters!$E$12*IF($N187="V",Parameters!$I$12,IF($N187="F",Parameters!$J$12,Parameters!$K$12))*(1-Parameters!$L$12*$P187)*IF($D187="V1",Parameters!$M$12,IF($D187="V2",Parameters!$N$12,Parameters!$O$12))</f>
        <v>0.438283928571429</v>
      </c>
      <c r="BI187" s="46" t="n">
        <f aca="false">BH187*(1+INDEX(Response_Table!$L$4:$L$21,MATCH($F187&amp;"|mid",Response_Table!$A$4:$A$21,0))*$R187*INDEX(Parameters!$X$12:$AA$12,1,MATCH($E187,Parameters!$X$3:$AA$3,0)))</f>
        <v>0.257925931860395</v>
      </c>
      <c r="BJ187" s="46" t="n">
        <f aca="false">MAX(0,MIN(BH187*(1+INDEX(Response_Table!$L$4:$L$21,MATCH($F187&amp;"|low",Response_Table!$A$4:$A$21,0))*$R187*INDEX(Parameters!$X$12:$AA$12,1,MATCH($E187,Parameters!$X$3:$AA$3,0))),BH187*(1+INDEX(Response_Table!$L$4:$L$21,MATCH($F187&amp;"|high",Response_Table!$A$4:$A$21,0))*$R187*INDEX(Parameters!$X$12:$AA$12,1,MATCH($E187,Parameters!$X$3:$AA$3,0))))*(1-Inputs_General!$C$22*Parameters!$F$12))</f>
        <v>0.186434141332036</v>
      </c>
      <c r="BK187" s="46" t="n">
        <f aca="false">MAX(BH187*(1+INDEX(Response_Table!$L$4:$L$21,MATCH($F187&amp;"|low",Response_Table!$A$4:$A$21,0))*$R187*INDEX(Parameters!$X$12:$AA$12,1,MATCH($E187,Parameters!$X$3:$AA$3,0))),BH187*(1+INDEX(Response_Table!$L$4:$L$21,MATCH($F187&amp;"|high",Response_Table!$A$4:$A$21,0))*$R187*INDEX(Parameters!$X$12:$AA$12,1,MATCH($E187,Parameters!$X$3:$AA$3,0))))*(1+Inputs_General!$C$22*Parameters!$F$12)</f>
        <v>0.352842532928187</v>
      </c>
      <c r="BL187" s="45" t="n">
        <f aca="false">IF(BH187=0,0,BI187/BH187-1)</f>
        <v>-0.411509491801136</v>
      </c>
      <c r="BM187" s="46" t="n">
        <f aca="false">Parameters!$E$13*IF($N187="V",Parameters!$I$13,IF($N187="F",Parameters!$J$13,Parameters!$K$13))*(1-Parameters!$L$13*$P187)*IF($D187="V1",Parameters!$M$13,IF($D187="V2",Parameters!$N$13,Parameters!$O$13))</f>
        <v>0.296094642857143</v>
      </c>
      <c r="BN187" s="46" t="n">
        <f aca="false">BM187*(1+INDEX(Response_Table!$M$4:$M$21,MATCH($F187&amp;"|mid",Response_Table!$A$4:$A$21,0))*$R187*INDEX(Parameters!$X$13:$AA$13,1,MATCH($E187,Parameters!$X$3:$AA$3,0)))</f>
        <v>0.215005860697199</v>
      </c>
      <c r="BO187" s="46" t="n">
        <f aca="false">MAX(0,MIN(BM187*(1+INDEX(Response_Table!$M$4:$M$21,MATCH($F187&amp;"|low",Response_Table!$A$4:$A$21,0))*$R187*INDEX(Parameters!$X$13:$AA$13,1,MATCH($E187,Parameters!$X$3:$AA$3,0))),BM187*(1+INDEX(Response_Table!$M$4:$M$21,MATCH($F187&amp;"|high",Response_Table!$A$4:$A$21,0))*$R187*INDEX(Parameters!$X$13:$AA$13,1,MATCH($E187,Parameters!$X$3:$AA$3,0))))*(1-Inputs_General!$C$22*Parameters!$F$13))</f>
        <v>0.15880685290092</v>
      </c>
      <c r="BP187" s="46" t="n">
        <f aca="false">MAX(BM187*(1+INDEX(Response_Table!$M$4:$M$21,MATCH($F187&amp;"|low",Response_Table!$A$4:$A$21,0))*$R187*INDEX(Parameters!$X$13:$AA$13,1,MATCH($E187,Parameters!$X$3:$AA$3,0))),BM187*(1+INDEX(Response_Table!$M$4:$M$21,MATCH($F187&amp;"|high",Response_Table!$A$4:$A$21,0))*$R187*INDEX(Parameters!$X$13:$AA$13,1,MATCH($E187,Parameters!$X$3:$AA$3,0))))*(1+Inputs_General!$C$22*Parameters!$F$13)</f>
        <v>0.290527682265843</v>
      </c>
      <c r="BQ187" s="45" t="n">
        <f aca="false">IF(BM187=0,0,BN187/BM187-1)</f>
        <v>-0.273861024223485</v>
      </c>
      <c r="BR187" s="44" t="n">
        <f aca="false">Parameters!$E$14*IF($N187="V",Parameters!$I$14,IF($N187="F",Parameters!$J$14,Parameters!$K$14))*(1-Parameters!$L$14*$P187)*IF($D187="V1",Parameters!$M$14,IF($D187="V2",Parameters!$N$14,Parameters!$O$14))*INDEX(Context!$AC$4:$AC$51,$K187)</f>
        <v>15</v>
      </c>
      <c r="BS187" s="44" t="n">
        <f aca="false">BR187*(1+INDEX(Response_Table!$N$4:$N$21,MATCH($F187&amp;"|mid",Response_Table!$A$4:$A$21,0))*$R187*INDEX(Parameters!$X$14:$AA$14,1,MATCH($E187,Parameters!$X$3:$AA$3,0)))</f>
        <v>21.7337916840186</v>
      </c>
      <c r="BT187" s="44" t="n">
        <f aca="false">MAX(0,MIN(BR187*(1+INDEX(Response_Table!$N$4:$N$21,MATCH($F187&amp;"|low",Response_Table!$A$4:$A$21,0))*$R187*INDEX(Parameters!$X$14:$AA$14,1,MATCH($E187,Parameters!$X$3:$AA$3,0))),BR187*(1+INDEX(Response_Table!$N$4:$N$21,MATCH($F187&amp;"|high",Response_Table!$A$4:$A$21,0))*$R187*INDEX(Parameters!$X$14:$AA$14,1,MATCH($E187,Parameters!$X$3:$AA$3,0))))*(1-Inputs_General!$C$22*Parameters!$F$14))</f>
        <v>10.3132418172117</v>
      </c>
      <c r="BU187" s="44" t="n">
        <f aca="false">MAX(BR187*(1+INDEX(Response_Table!$N$4:$N$21,MATCH($F187&amp;"|low",Response_Table!$A$4:$A$21,0))*$R187*INDEX(Parameters!$X$14:$AA$14,1,MATCH($E187,Parameters!$X$3:$AA$3,0))),BR187*(1+INDEX(Response_Table!$N$4:$N$21,MATCH($F187&amp;"|high",Response_Table!$A$4:$A$21,0))*$R187*INDEX(Parameters!$X$14:$AA$14,1,MATCH($E187,Parameters!$X$3:$AA$3,0))))*(1+Inputs_General!$C$22*Parameters!$F$14)</f>
        <v>33.8890255476014</v>
      </c>
      <c r="BV187" s="45" t="n">
        <f aca="false">IF(BR187=0,0,BS187/BR187-1)</f>
        <v>0.448919445601239</v>
      </c>
      <c r="BW187" s="43" t="n">
        <f aca="false">Parameters!$E$15*IF($N187="V",Parameters!$I$15,IF($N187="F",Parameters!$J$15,Parameters!$K$15))*(1-Parameters!$L$15*$P187)*IF($D187="V1",Parameters!$M$15,IF($D187="V2",Parameters!$N$15,Parameters!$O$15))</f>
        <v>10.5188142857143</v>
      </c>
      <c r="BX187" s="43" t="n">
        <f aca="false">BW187*(1+INDEX(Response_Table!$O$4:$O$21,MATCH($F187&amp;"|mid",Response_Table!$A$4:$A$21,0))*$R187*INDEX(Parameters!$X$15:$AA$15,1,MATCH($E187,Parameters!$X$3:$AA$3,0)))</f>
        <v>9.33828921633297</v>
      </c>
      <c r="BY187" s="43" t="n">
        <f aca="false">MAX(0,MIN(BW187*(1+INDEX(Response_Table!$O$4:$O$21,MATCH($F187&amp;"|low",Response_Table!$A$4:$A$21,0))*$R187*INDEX(Parameters!$X$15:$AA$15,1,MATCH($E187,Parameters!$X$3:$AA$3,0))),BW187*(1+INDEX(Response_Table!$O$4:$O$21,MATCH($F187&amp;"|high",Response_Table!$A$4:$A$21,0))*$R187*INDEX(Parameters!$X$15:$AA$15,1,MATCH($E187,Parameters!$X$3:$AA$3,0))))*(1-Inputs_General!$C$22*Parameters!$F$15))</f>
        <v>7.36022372196553</v>
      </c>
      <c r="BZ187" s="43" t="n">
        <f aca="false">MAX(BW187*(1+INDEX(Response_Table!$O$4:$O$21,MATCH($F187&amp;"|low",Response_Table!$A$4:$A$21,0))*$R187*INDEX(Parameters!$X$15:$AA$15,1,MATCH($E187,Parameters!$X$3:$AA$3,0))),BW187*(1+INDEX(Response_Table!$O$4:$O$21,MATCH($F187&amp;"|high",Response_Table!$A$4:$A$21,0))*$R187*INDEX(Parameters!$X$15:$AA$15,1,MATCH($E187,Parameters!$X$3:$AA$3,0))))*(1+Inputs_General!$C$22*Parameters!$F$15)</f>
        <v>11.4696807433222</v>
      </c>
      <c r="CA187" s="45" t="n">
        <f aca="false">IF(BW187=0,0,BX187/BW187-1)</f>
        <v>-0.11222986140031</v>
      </c>
      <c r="CB187" s="46" t="n">
        <f aca="false">BD187+BI187</f>
        <v>0.862922862878242</v>
      </c>
      <c r="CC187" s="43" t="n">
        <f aca="false">BD187/BI187</f>
        <v>2.34562274004038</v>
      </c>
      <c r="CD187" s="46" t="n">
        <f aca="false">BN187/CB187</f>
        <v>0.249160000211439</v>
      </c>
      <c r="CE187" s="43" t="n">
        <f aca="false">AE187/AO187</f>
        <v>1.76790287290711</v>
      </c>
      <c r="CF187" s="44" t="n">
        <f aca="false">AE187/AJ187</f>
        <v>33.9118563565342</v>
      </c>
      <c r="CG187" s="44" t="n">
        <f aca="false">INDEX(Context!$V$4:$V$51,$K187)</f>
        <v>28.62</v>
      </c>
      <c r="CH187" s="44" t="n">
        <f aca="false">INDEX(Context!$Y$4:$Y$51,$K187)</f>
        <v>25.3060134606718</v>
      </c>
      <c r="CI187" s="44" t="n">
        <f aca="false">INDEX(Context!$Z$4:$Z$51,$K187)</f>
        <v>32.62</v>
      </c>
      <c r="CJ187" s="43" t="n">
        <f aca="false">INDEX(Context!$AA$4:$AA$51,$K187)</f>
        <v>0.221696428571429</v>
      </c>
      <c r="CK187" s="43" t="n">
        <f aca="false">MAX(0,MIN(1,1-(1-CJ187)*AO187/AN187))</f>
        <v>0.562228129032745</v>
      </c>
      <c r="CL187" s="44" t="n">
        <f aca="false">CH187+CK187*(CI187-CH187)</f>
        <v>29.418142428449</v>
      </c>
      <c r="CM187" s="44" t="n">
        <f aca="false">CH187+MAX(0,MIN(1,1-(1-CJ187)*AQ187/AN187))*(CI187-CH187)</f>
        <v>27.5339007366798</v>
      </c>
      <c r="CN187" s="44" t="n">
        <f aca="false">CH187+MAX(0,MIN(1,1-(1-CJ187)*AP187/AN187))*(CI187-CH187)</f>
        <v>30.7229765156849</v>
      </c>
      <c r="CO187" s="44" t="n">
        <f aca="false">CL187-CG187</f>
        <v>0.798142428448962</v>
      </c>
      <c r="CP187" s="44" t="n">
        <f aca="false">CL187-(CH187+CJ187*(CI187-CH187))</f>
        <v>2.49064427338863</v>
      </c>
      <c r="CQ187" s="46" t="n">
        <f aca="false">CL187/CG187</f>
        <v>1.02788757611632</v>
      </c>
      <c r="CR187" s="43" t="n">
        <f aca="false">IF(CL187-CH187&lt;=0,"n/a",(CI187-CL187)/(CL187-CH187))</f>
        <v>0.778637439788713</v>
      </c>
      <c r="CS187" s="43" t="n">
        <f aca="false">IF(CI187-CL187&lt;=0,"n/a",(CL187-CH187)/(CI187-CL187))</f>
        <v>1.28429478072793</v>
      </c>
      <c r="CT187" s="43" t="n">
        <f aca="false">Inputs_General!$C$23+Inputs_General!$C$24*$I187</f>
        <v>1.36</v>
      </c>
      <c r="CU187" s="44" t="n">
        <f aca="false">3.29*CT187</f>
        <v>4.4744</v>
      </c>
    </row>
    <row r="188" customFormat="false" ht="15" hidden="false" customHeight="false" outlineLevel="0" collapsed="false">
      <c r="A188" s="9" t="str">
        <f aca="false">B188&amp;"|"&amp;E188&amp;"|"&amp;F188</f>
        <v>D3V2|03/03/2026|Very high</v>
      </c>
      <c r="B188" s="7" t="s">
        <v>350</v>
      </c>
      <c r="C188" s="9" t="s">
        <v>131</v>
      </c>
      <c r="D188" s="9" t="s">
        <v>146</v>
      </c>
      <c r="E188" s="9" t="s">
        <v>162</v>
      </c>
      <c r="F188" s="7" t="s">
        <v>285</v>
      </c>
      <c r="G188" s="9" t="s">
        <v>286</v>
      </c>
      <c r="H188" s="41" t="n">
        <f aca="false">INDEX(Severity_Classes!$C$4:$C$9,MATCH(F188,Severity_Classes!$A$4:$A$9,0))</f>
        <v>0.51</v>
      </c>
      <c r="I188" s="41" t="n">
        <f aca="false">INDEX(Severity_Classes!$D$4:$D$9,MATCH(F188,Severity_Classes!$A$4:$A$9,0))</f>
        <v>0.65</v>
      </c>
      <c r="J188" s="41" t="n">
        <f aca="false">INDEX(Severity_Classes!$E$4:$E$9,MATCH(F188,Severity_Classes!$A$4:$A$9,0))</f>
        <v>0.85</v>
      </c>
      <c r="K188" s="42" t="n">
        <f aca="false">MATCH(B188&amp;"|"&amp;E188,Context!$A$4:$A$51,0)</f>
        <v>31</v>
      </c>
      <c r="L188" s="42" t="n">
        <f aca="false">INDEX(Context!$H$4:$H$51,K188)</f>
        <v>66</v>
      </c>
      <c r="M188" s="42" t="n">
        <f aca="false">INDEX(Context!$I$4:$I$51,K188)</f>
        <v>26</v>
      </c>
      <c r="N188" s="9" t="str">
        <f aca="false">INDEX(Context!$L$4:$L$51,K188)</f>
        <v>F</v>
      </c>
      <c r="O188" s="9" t="str">
        <f aca="false">INDEX(Context!$M$4:$M$51,K188)</f>
        <v>5th fully expanded leaf from top</v>
      </c>
      <c r="P188" s="43" t="n">
        <f aca="false">INDEX(Context!$R$4:$R$51,K188)</f>
        <v>0.433928571428571</v>
      </c>
      <c r="Q188" s="43" t="n">
        <f aca="false">INDEX(Context!$U$4:$U$51,K188)</f>
        <v>1.73951545534029</v>
      </c>
      <c r="R188" s="43" t="n">
        <f aca="false">INDEX(Context!$AD$4:$AD$51,K188)</f>
        <v>1.1</v>
      </c>
      <c r="S188" s="9" t="str">
        <f aca="false">INDEX(Context!$AI$4:$AN$51,K188,MATCH(F188,Severity_Classes!$A$4:$A$9,0))</f>
        <v>Possible</v>
      </c>
      <c r="T188" s="44" t="n">
        <f aca="false">Parameters!$E$4*IF($N188="V",Parameters!$I$4,IF($N188="F",Parameters!$J$4,Parameters!$K$4))*(1-Parameters!$L$4*$P188)*IF($D188="V1",Parameters!$M$4,IF($D188="V2",Parameters!$N$4,Parameters!$O$4))</f>
        <v>83.2927660714286</v>
      </c>
      <c r="U188" s="44" t="n">
        <f aca="false">MIN(100,T188*(1+INDEX(Response_Table!$E$4:$E$21,MATCH($F188&amp;"|mid",Response_Table!$A$4:$A$21,0))*$R188*INDEX(Parameters!$X$4:$AA$4,1,MATCH($E188,Parameters!$X$3:$AA$3,0))))</f>
        <v>58.0040694610639</v>
      </c>
      <c r="V188" s="44" t="n">
        <f aca="false">MAX(0,MIN(T188*(1+INDEX(Response_Table!$E$4:$E$21,MATCH($F188&amp;"|low",Response_Table!$A$4:$A$21,0))*$R188*INDEX(Parameters!$X$4:$AA$4,1,MATCH($E188,Parameters!$X$3:$AA$3,0))),T188*(1+INDEX(Response_Table!$E$4:$E$21,MATCH($F188&amp;"|high",Response_Table!$A$4:$A$21,0))*$R188*INDEX(Parameters!$X$4:$AA$4,1,MATCH($E188,Parameters!$X$3:$AA$3,0))))*(1-Inputs_General!$C$22*Parameters!$F$4))</f>
        <v>52.5473524770264</v>
      </c>
      <c r="W188" s="44" t="n">
        <f aca="false">MIN(100,MAX(T188*(1+INDEX(Response_Table!$E$4:$E$21,MATCH($F188&amp;"|low",Response_Table!$A$4:$A$21,0))*$R188*INDEX(Parameters!$X$4:$AA$4,1,MATCH($E188,Parameters!$X$3:$AA$3,0))),T188*(1+INDEX(Response_Table!$E$4:$E$21,MATCH($F188&amp;"|high",Response_Table!$A$4:$A$21,0))*$R188*INDEX(Parameters!$X$4:$AA$4,1,MATCH($E188,Parameters!$X$3:$AA$3,0))))*(1+Inputs_General!$C$22*Parameters!$F$4))</f>
        <v>65.9201352950414</v>
      </c>
      <c r="X188" s="45" t="n">
        <f aca="false">IF(T188=0,0,U188/T188-1)</f>
        <v>-0.30361215989247</v>
      </c>
      <c r="Y188" s="44" t="n">
        <f aca="false">Parameters!$E$5*IF($N188="V",Parameters!$I$5,IF($N188="F",Parameters!$J$5,Parameters!$K$5))*(1-Parameters!$L$5*$P188)*IF($D188="V1",Parameters!$M$5,IF($D188="V2",Parameters!$N$5,Parameters!$O$5))</f>
        <v>66.88584</v>
      </c>
      <c r="Z188" s="44" t="n">
        <f aca="false">MIN(100,Y188*(1+INDEX(Response_Table!$F$4:$F$21,MATCH($F188&amp;"|mid",Response_Table!$A$4:$A$21,0))*$R188*INDEX(Parameters!$X$5:$AA$5,1,MATCH($E188,Parameters!$X$3:$AA$3,0))))</f>
        <v>16.701897501595</v>
      </c>
      <c r="AA188" s="44" t="n">
        <f aca="false">MAX(0,MIN(Y188*(1+INDEX(Response_Table!$F$4:$F$21,MATCH($F188&amp;"|low",Response_Table!$A$4:$A$21,0))*$R188*INDEX(Parameters!$X$5:$AA$5,1,MATCH($E188,Parameters!$X$3:$AA$3,0))),Y188*(1+INDEX(Response_Table!$F$4:$F$21,MATCH($F188&amp;"|high",Response_Table!$A$4:$A$21,0))*$R188*INDEX(Parameters!$X$5:$AA$5,1,MATCH($E188,Parameters!$X$3:$AA$3,0))))*(1-Inputs_General!$C$22*Parameters!$F$5))</f>
        <v>13.7735192401164</v>
      </c>
      <c r="AB188" s="44" t="n">
        <f aca="false">MIN(100,MAX(Y188*(1+INDEX(Response_Table!$F$4:$F$21,MATCH($F188&amp;"|low",Response_Table!$A$4:$A$21,0))*$R188*INDEX(Parameters!$X$5:$AA$5,1,MATCH($E188,Parameters!$X$3:$AA$3,0))),Y188*(1+INDEX(Response_Table!$F$4:$F$21,MATCH($F188&amp;"|high",Response_Table!$A$4:$A$21,0))*$R188*INDEX(Parameters!$X$5:$AA$5,1,MATCH($E188,Parameters!$X$3:$AA$3,0))))*(1+Inputs_General!$C$22*Parameters!$F$5))</f>
        <v>22.7068513666516</v>
      </c>
      <c r="AC188" s="45" t="n">
        <f aca="false">IF(Y188=0,0,Z188/Y188-1)</f>
        <v>-0.750292475932201</v>
      </c>
      <c r="AD188" s="44" t="n">
        <f aca="false">Parameters!$E$6*IF($N188="V",Parameters!$I$6,IF($N188="F",Parameters!$J$6,Parameters!$K$6))*(1-Parameters!$L$6*$P188)*IF($D188="V1",Parameters!$M$6,IF($D188="V2",Parameters!$N$6,Parameters!$O$6))</f>
        <v>18.0106428571429</v>
      </c>
      <c r="AE188" s="44" t="n">
        <f aca="false">AD188*(1+INDEX(Response_Table!$G$4:$G$21,MATCH($F188&amp;"|mid",Response_Table!$A$4:$A$21,0))*$R188*INDEX(Parameters!$X$6:$AA$6,1,MATCH($E188,Parameters!$X$3:$AA$3,0)))</f>
        <v>4.00280643011045</v>
      </c>
      <c r="AF188" s="44" t="n">
        <f aca="false">MAX(0,MIN(AD188*(1+INDEX(Response_Table!$G$4:$G$21,MATCH($F188&amp;"|low",Response_Table!$A$4:$A$21,0))*$R188*INDEX(Parameters!$X$6:$AA$6,1,MATCH($E188,Parameters!$X$3:$AA$3,0))),AD188*(1+INDEX(Response_Table!$G$4:$G$21,MATCH($F188&amp;"|high",Response_Table!$A$4:$A$21,0))*$R188*INDEX(Parameters!$X$6:$AA$6,1,MATCH($E188,Parameters!$X$3:$AA$3,0))))*(1-Inputs_General!$C$22*Parameters!$F$6))</f>
        <v>2.81296813150981</v>
      </c>
      <c r="AG188" s="44" t="n">
        <f aca="false">MAX(AD188*(1+INDEX(Response_Table!$G$4:$G$21,MATCH($F188&amp;"|low",Response_Table!$A$4:$A$21,0))*$R188*INDEX(Parameters!$X$6:$AA$6,1,MATCH($E188,Parameters!$X$3:$AA$3,0))),AD188*(1+INDEX(Response_Table!$G$4:$G$21,MATCH($F188&amp;"|high",Response_Table!$A$4:$A$21,0))*$R188*INDEX(Parameters!$X$6:$AA$6,1,MATCH($E188,Parameters!$X$3:$AA$3,0))))*(1+Inputs_General!$C$22*Parameters!$F$6)</f>
        <v>5.66057833960075</v>
      </c>
      <c r="AH188" s="45" t="n">
        <f aca="false">IF(AD188=0,0,AE188/AD188-1)</f>
        <v>-0.77775327278099</v>
      </c>
      <c r="AI188" s="46" t="n">
        <f aca="false">Parameters!$E$7*IF($N188="V",Parameters!$I$7,IF($N188="F",Parameters!$J$7,Parameters!$K$7))*(1-Parameters!$L$7*$P188)*IF($D188="V1",Parameters!$M$7,IF($D188="V2",Parameters!$N$7,Parameters!$O$7))*POWER($Q188/Inputs_General!$C$26,-Inputs_General!$C$25)</f>
        <v>0.341191629407368</v>
      </c>
      <c r="AJ188" s="46" t="n">
        <f aca="false">AI188*(1+INDEX(Response_Table!$H$4:$H$21,MATCH($F188&amp;"|mid",Response_Table!$A$4:$A$21,0))*$R188*INDEX(Parameters!$X$7:$AA$7,1,MATCH($E188,Parameters!$X$3:$AA$3,0)))</f>
        <v>0.131947660830621</v>
      </c>
      <c r="AK188" s="46" t="n">
        <f aca="false">MAX(0,MIN(AI188*(1+INDEX(Response_Table!$H$4:$H$21,MATCH($F188&amp;"|low",Response_Table!$A$4:$A$21,0))*$R188*INDEX(Parameters!$X$7:$AA$7,1,MATCH($E188,Parameters!$X$3:$AA$3,0))),AI188*(1+INDEX(Response_Table!$H$4:$H$21,MATCH($F188&amp;"|high",Response_Table!$A$4:$A$21,0))*$R188*INDEX(Parameters!$X$7:$AA$7,1,MATCH($E188,Parameters!$X$3:$AA$3,0))))*(1-Inputs_General!$C$22*Parameters!$F$7))</f>
        <v>0.0818549782942233</v>
      </c>
      <c r="AL188" s="46" t="n">
        <f aca="false">MAX(AI188*(1+INDEX(Response_Table!$H$4:$H$21,MATCH($F188&amp;"|low",Response_Table!$A$4:$A$21,0))*$R188*INDEX(Parameters!$X$7:$AA$7,1,MATCH($E188,Parameters!$X$3:$AA$3,0))),AI188*(1+INDEX(Response_Table!$H$4:$H$21,MATCH($F188&amp;"|high",Response_Table!$A$4:$A$21,0))*$R188*INDEX(Parameters!$X$7:$AA$7,1,MATCH($E188,Parameters!$X$3:$AA$3,0))))*(1+Inputs_General!$C$22*Parameters!$F$7)</f>
        <v>0.19449785545795</v>
      </c>
      <c r="AM188" s="45" t="n">
        <f aca="false">IF(AI188=0,0,AJ188/AI188-1)</f>
        <v>-0.613274038815643</v>
      </c>
      <c r="AN188" s="43" t="n">
        <f aca="false">AI188*$Q188/Inputs_General!$C$13*1000</f>
        <v>5.97691956280819</v>
      </c>
      <c r="AO188" s="43" t="n">
        <f aca="false">AJ188*$Q188/Inputs_General!$C$13*1000*(1+Inputs_General!$C$21*$I188)</f>
        <v>2.68703733181148</v>
      </c>
      <c r="AP188" s="43" t="n">
        <f aca="false">AK188*$Q188/Inputs_General!$C$13*1000*(1+Inputs_General!$C$21*$H188)</f>
        <v>1.61674189142862</v>
      </c>
      <c r="AQ188" s="43" t="n">
        <f aca="false">AL188*$Q188/Inputs_General!$C$13*1000*(1+Inputs_General!$C$21*$J188)</f>
        <v>4.13119416958278</v>
      </c>
      <c r="AR188" s="45" t="n">
        <f aca="false">IF(AN188=0,0,AO188/AN188-1)</f>
        <v>-0.550431070123185</v>
      </c>
      <c r="AS188" s="42" t="n">
        <f aca="false">Parameters!$E$9*IF($N188="V",Parameters!$I$9,IF($N188="F",Parameters!$J$9,Parameters!$K$9))*(1-Parameters!$L$9*$P188)*IF($D188="V1",Parameters!$M$9,IF($D188="V2",Parameters!$N$9,Parameters!$O$9))</f>
        <v>285</v>
      </c>
      <c r="AT188" s="42" t="n">
        <f aca="false">AS188*(1+INDEX(Response_Table!$I$4:$I$21,MATCH($F188&amp;"|mid",Response_Table!$A$4:$A$21,0))*$R188*INDEX(Parameters!$X$9:$AA$9,1,MATCH($E188,Parameters!$X$3:$AA$3,0)))</f>
        <v>372.064569968942</v>
      </c>
      <c r="AU188" s="42" t="n">
        <f aca="false">MAX(0,MIN(AS188*(1+INDEX(Response_Table!$I$4:$I$21,MATCH($F188&amp;"|low",Response_Table!$A$4:$A$21,0))*$R188*INDEX(Parameters!$X$9:$AA$9,1,MATCH($E188,Parameters!$X$3:$AA$3,0))),AS188*(1+INDEX(Response_Table!$I$4:$I$21,MATCH($F188&amp;"|high",Response_Table!$A$4:$A$21,0))*$R188*INDEX(Parameters!$X$9:$AA$9,1,MATCH($E188,Parameters!$X$3:$AA$3,0))))*(1-Inputs_General!$C$22*Parameters!$F$9))</f>
        <v>330.61558680736</v>
      </c>
      <c r="AV188" s="42" t="n">
        <f aca="false">MAX(AS188*(1+INDEX(Response_Table!$I$4:$I$21,MATCH($F188&amp;"|low",Response_Table!$A$4:$A$21,0))*$R188*INDEX(Parameters!$X$9:$AA$9,1,MATCH($E188,Parameters!$X$3:$AA$3,0))),AS188*(1+INDEX(Response_Table!$I$4:$I$21,MATCH($F188&amp;"|high",Response_Table!$A$4:$A$21,0))*$R188*INDEX(Parameters!$X$9:$AA$9,1,MATCH($E188,Parameters!$X$3:$AA$3,0))))*(1+Inputs_General!$C$22*Parameters!$F$9)</f>
        <v>413.013683739106</v>
      </c>
      <c r="AW188" s="45" t="n">
        <f aca="false">IF(AS188=0,0,AT188/AS188-1)</f>
        <v>0.30548971918927</v>
      </c>
      <c r="AX188" s="43" t="n">
        <f aca="false">INDEX(Context!$AB$4:$AB$51,$K188)</f>
        <v>2.65490090255297</v>
      </c>
      <c r="AY188" s="43" t="n">
        <f aca="false">AX188*(1+INDEX(Response_Table!$J$4:$J$21,MATCH($F188&amp;"|mid",Response_Table!$A$4:$A$21,0))*$R188*INDEX(Parameters!$X$10:$AA$10,1,MATCH($E188,Parameters!$X$3:$AA$3,0)))</f>
        <v>1.59950154297955</v>
      </c>
      <c r="AZ188" s="43" t="n">
        <f aca="false">MAX(0,MIN(AX188*(1+INDEX(Response_Table!$J$4:$J$21,MATCH($F188&amp;"|low",Response_Table!$A$4:$A$21,0))*$R188*INDEX(Parameters!$X$10:$AA$10,1,MATCH($E188,Parameters!$X$3:$AA$3,0))),AX188*(1+INDEX(Response_Table!$J$4:$J$21,MATCH($F188&amp;"|high",Response_Table!$A$4:$A$21,0))*$R188*INDEX(Parameters!$X$10:$AA$10,1,MATCH($E188,Parameters!$X$3:$AA$3,0))))*(1-Inputs_General!$C$22*Parameters!$F$10))</f>
        <v>1.20203868226261</v>
      </c>
      <c r="BA188" s="43" t="n">
        <f aca="false">MAX(AX188*(1+INDEX(Response_Table!$J$4:$J$21,MATCH($F188&amp;"|low",Response_Table!$A$4:$A$21,0))*$R188*INDEX(Parameters!$X$10:$AA$10,1,MATCH($E188,Parameters!$X$3:$AA$3,0))),AX188*(1+INDEX(Response_Table!$J$4:$J$21,MATCH($F188&amp;"|high",Response_Table!$A$4:$A$21,0))*$R188*INDEX(Parameters!$X$10:$AA$10,1,MATCH($E188,Parameters!$X$3:$AA$3,0))))*(1+Inputs_General!$C$22*Parameters!$F$10)</f>
        <v>2.04509503493424</v>
      </c>
      <c r="BB188" s="45" t="n">
        <f aca="false">IF(AX188=0,0,AY188/AX188-1)</f>
        <v>-0.397528720773924</v>
      </c>
      <c r="BC188" s="46" t="n">
        <f aca="false">Parameters!$E$11*IF($N188="V",Parameters!$I$11,IF($N188="F",Parameters!$J$11,Parameters!$K$11))*(1-Parameters!$L$11*$P188)*IF($D188="V1",Parameters!$M$11,IF($D188="V2",Parameters!$N$11,Parameters!$O$11))</f>
        <v>1.21745535714286</v>
      </c>
      <c r="BD188" s="46" t="n">
        <f aca="false">BC188*(1+INDEX(Response_Table!$K$4:$K$21,MATCH($F188&amp;"|mid",Response_Table!$A$4:$A$21,0))*$R188*INDEX(Parameters!$X$11:$AA$11,1,MATCH($E188,Parameters!$X$3:$AA$3,0)))</f>
        <v>0.455724100404477</v>
      </c>
      <c r="BE188" s="46" t="n">
        <f aca="false">MAX(0,MIN(BC188*(1+INDEX(Response_Table!$K$4:$K$21,MATCH($F188&amp;"|low",Response_Table!$A$4:$A$21,0))*$R188*INDEX(Parameters!$X$11:$AA$11,1,MATCH($E188,Parameters!$X$3:$AA$3,0))),BC188*(1+INDEX(Response_Table!$K$4:$K$21,MATCH($F188&amp;"|high",Response_Table!$A$4:$A$21,0))*$R188*INDEX(Parameters!$X$11:$AA$11,1,MATCH($E188,Parameters!$X$3:$AA$3,0))))*(1-Inputs_General!$C$22*Parameters!$F$11))</f>
        <v>0.337807247229119</v>
      </c>
      <c r="BF188" s="46" t="n">
        <f aca="false">MAX(BC188*(1+INDEX(Response_Table!$K$4:$K$21,MATCH($F188&amp;"|low",Response_Table!$A$4:$A$21,0))*$R188*INDEX(Parameters!$X$11:$AA$11,1,MATCH($E188,Parameters!$X$3:$AA$3,0))),BC188*(1+INDEX(Response_Table!$K$4:$K$21,MATCH($F188&amp;"|high",Response_Table!$A$4:$A$21,0))*$R188*INDEX(Parameters!$X$11:$AA$11,1,MATCH($E188,Parameters!$X$3:$AA$3,0))))*(1+Inputs_General!$C$22*Parameters!$F$11)</f>
        <v>0.60226414654118</v>
      </c>
      <c r="BG188" s="45" t="n">
        <f aca="false">IF(BC188=0,0,BD188/BC188-1)</f>
        <v>-0.625674898278014</v>
      </c>
      <c r="BH188" s="46" t="n">
        <f aca="false">Parameters!$E$12*IF($N188="V",Parameters!$I$12,IF($N188="F",Parameters!$J$12,Parameters!$K$12))*(1-Parameters!$L$12*$P188)*IF($D188="V1",Parameters!$M$12,IF($D188="V2",Parameters!$N$12,Parameters!$O$12))</f>
        <v>0.438283928571429</v>
      </c>
      <c r="BI188" s="46" t="n">
        <f aca="false">BH188*(1+INDEX(Response_Table!$L$4:$L$21,MATCH($F188&amp;"|mid",Response_Table!$A$4:$A$21,0))*$R188*INDEX(Parameters!$X$12:$AA$12,1,MATCH($E188,Parameters!$X$3:$AA$3,0)))</f>
        <v>0.210847797398132</v>
      </c>
      <c r="BJ188" s="46" t="n">
        <f aca="false">MAX(0,MIN(BH188*(1+INDEX(Response_Table!$L$4:$L$21,MATCH($F188&amp;"|low",Response_Table!$A$4:$A$21,0))*$R188*INDEX(Parameters!$X$12:$AA$12,1,MATCH($E188,Parameters!$X$3:$AA$3,0))),BH188*(1+INDEX(Response_Table!$L$4:$L$21,MATCH($F188&amp;"|high",Response_Table!$A$4:$A$21,0))*$R188*INDEX(Parameters!$X$12:$AA$12,1,MATCH($E188,Parameters!$X$3:$AA$3,0))))*(1-Inputs_General!$C$22*Parameters!$F$12))</f>
        <v>0.155565088766775</v>
      </c>
      <c r="BK188" s="46" t="n">
        <f aca="false">MAX(BH188*(1+INDEX(Response_Table!$L$4:$L$21,MATCH($F188&amp;"|low",Response_Table!$A$4:$A$21,0))*$R188*INDEX(Parameters!$X$12:$AA$12,1,MATCH($E188,Parameters!$X$3:$AA$3,0))),BH188*(1+INDEX(Response_Table!$L$4:$L$21,MATCH($F188&amp;"|high",Response_Table!$A$4:$A$21,0))*$R188*INDEX(Parameters!$X$12:$AA$12,1,MATCH($E188,Parameters!$X$3:$AA$3,0))))*(1+Inputs_General!$C$22*Parameters!$F$12)</f>
        <v>0.27604755913387</v>
      </c>
      <c r="BL188" s="45" t="n">
        <f aca="false">IF(BH188=0,0,BI188/BH188-1)</f>
        <v>-0.518924186690159</v>
      </c>
      <c r="BM188" s="46" t="n">
        <f aca="false">Parameters!$E$13*IF($N188="V",Parameters!$I$13,IF($N188="F",Parameters!$J$13,Parameters!$K$13))*(1-Parameters!$L$13*$P188)*IF($D188="V1",Parameters!$M$13,IF($D188="V2",Parameters!$N$13,Parameters!$O$13))</f>
        <v>0.296094642857143</v>
      </c>
      <c r="BN188" s="46" t="n">
        <f aca="false">BM188*(1+INDEX(Response_Table!$M$4:$M$21,MATCH($F188&amp;"|mid",Response_Table!$A$4:$A$21,0))*$R188*INDEX(Parameters!$X$13:$AA$13,1,MATCH($E188,Parameters!$X$3:$AA$3,0)))</f>
        <v>0.185213900639866</v>
      </c>
      <c r="BO188" s="46" t="n">
        <f aca="false">MAX(0,MIN(BM188*(1+INDEX(Response_Table!$M$4:$M$21,MATCH($F188&amp;"|low",Response_Table!$A$4:$A$21,0))*$R188*INDEX(Parameters!$X$13:$AA$13,1,MATCH($E188,Parameters!$X$3:$AA$3,0))),BM188*(1+INDEX(Response_Table!$M$4:$M$21,MATCH($F188&amp;"|high",Response_Table!$A$4:$A$21,0))*$R188*INDEX(Parameters!$X$13:$AA$13,1,MATCH($E188,Parameters!$X$3:$AA$3,0))))*(1-Inputs_General!$C$22*Parameters!$F$13))</f>
        <v>0.141368943331143</v>
      </c>
      <c r="BP188" s="46" t="n">
        <f aca="false">MAX(BM188*(1+INDEX(Response_Table!$M$4:$M$21,MATCH($F188&amp;"|low",Response_Table!$A$4:$A$21,0))*$R188*INDEX(Parameters!$X$13:$AA$13,1,MATCH($E188,Parameters!$X$3:$AA$3,0))),BM188*(1+INDEX(Response_Table!$M$4:$M$21,MATCH($F188&amp;"|high",Response_Table!$A$4:$A$21,0))*$R188*INDEX(Parameters!$X$13:$AA$13,1,MATCH($E188,Parameters!$X$3:$AA$3,0))))*(1+Inputs_General!$C$22*Parameters!$F$13)</f>
        <v>0.235620174612359</v>
      </c>
      <c r="BQ188" s="45" t="n">
        <f aca="false">IF(BM188=0,0,BN188/BM188-1)</f>
        <v>-0.374477366923432</v>
      </c>
      <c r="BR188" s="44" t="n">
        <f aca="false">Parameters!$E$14*IF($N188="V",Parameters!$I$14,IF($N188="F",Parameters!$J$14,Parameters!$K$14))*(1-Parameters!$L$14*$P188)*IF($D188="V1",Parameters!$M$14,IF($D188="V2",Parameters!$N$14,Parameters!$O$14))*INDEX(Context!$AC$4:$AC$51,$K188)</f>
        <v>15</v>
      </c>
      <c r="BS188" s="44" t="n">
        <f aca="false">BR188*(1+INDEX(Response_Table!$N$4:$N$21,MATCH($F188&amp;"|mid",Response_Table!$A$4:$A$21,0))*$R188*INDEX(Parameters!$X$14:$AA$14,1,MATCH($E188,Parameters!$X$3:$AA$3,0)))</f>
        <v>23.4914866912935</v>
      </c>
      <c r="BT188" s="44" t="n">
        <f aca="false">MAX(0,MIN(BR188*(1+INDEX(Response_Table!$N$4:$N$21,MATCH($F188&amp;"|low",Response_Table!$A$4:$A$21,0))*$R188*INDEX(Parameters!$X$14:$AA$14,1,MATCH($E188,Parameters!$X$3:$AA$3,0))),BR188*(1+INDEX(Response_Table!$N$4:$N$21,MATCH($F188&amp;"|high",Response_Table!$A$4:$A$21,0))*$R188*INDEX(Parameters!$X$14:$AA$14,1,MATCH($E188,Parameters!$X$3:$AA$3,0))))*(1-Inputs_General!$C$22*Parameters!$F$14))</f>
        <v>11.526064376594</v>
      </c>
      <c r="BU188" s="44" t="n">
        <f aca="false">MAX(BR188*(1+INDEX(Response_Table!$N$4:$N$21,MATCH($F188&amp;"|low",Response_Table!$A$4:$A$21,0))*$R188*INDEX(Parameters!$X$14:$AA$14,1,MATCH($E188,Parameters!$X$3:$AA$3,0))),BR188*(1+INDEX(Response_Table!$N$4:$N$21,MATCH($F188&amp;"|high",Response_Table!$A$4:$A$21,0))*$R188*INDEX(Parameters!$X$14:$AA$14,1,MATCH($E188,Parameters!$X$3:$AA$3,0))))*(1+Inputs_General!$C$22*Parameters!$F$14)</f>
        <v>36.0336618150901</v>
      </c>
      <c r="BV188" s="45" t="n">
        <f aca="false">IF(BR188=0,0,BS188/BR188-1)</f>
        <v>0.566099112752901</v>
      </c>
      <c r="BW188" s="43" t="n">
        <f aca="false">Parameters!$E$15*IF($N188="V",Parameters!$I$15,IF($N188="F",Parameters!$J$15,Parameters!$K$15))*(1-Parameters!$L$15*$P188)*IF($D188="V1",Parameters!$M$15,IF($D188="V2",Parameters!$N$15,Parameters!$O$15))</f>
        <v>10.5188142857143</v>
      </c>
      <c r="BX188" s="43" t="n">
        <f aca="false">BW188*(1+INDEX(Response_Table!$O$4:$O$21,MATCH($F188&amp;"|mid",Response_Table!$A$4:$A$21,0))*$R188*INDEX(Parameters!$X$15:$AA$15,1,MATCH($E188,Parameters!$X$3:$AA$3,0)))</f>
        <v>9.03014142712544</v>
      </c>
      <c r="BY188" s="43" t="n">
        <f aca="false">MAX(0,MIN(BW188*(1+INDEX(Response_Table!$O$4:$O$21,MATCH($F188&amp;"|low",Response_Table!$A$4:$A$21,0))*$R188*INDEX(Parameters!$X$15:$AA$15,1,MATCH($E188,Parameters!$X$3:$AA$3,0))),BW188*(1+INDEX(Response_Table!$O$4:$O$21,MATCH($F188&amp;"|high",Response_Table!$A$4:$A$21,0))*$R188*INDEX(Parameters!$X$15:$AA$15,1,MATCH($E188,Parameters!$X$3:$AA$3,0))))*(1-Inputs_General!$C$22*Parameters!$F$15))</f>
        <v>7.15817174153837</v>
      </c>
      <c r="BZ188" s="43" t="n">
        <f aca="false">MAX(BW188*(1+INDEX(Response_Table!$O$4:$O$21,MATCH($F188&amp;"|low",Response_Table!$A$4:$A$21,0))*$R188*INDEX(Parameters!$X$15:$AA$15,1,MATCH($E188,Parameters!$X$3:$AA$3,0))),BW188*(1+INDEX(Response_Table!$O$4:$O$21,MATCH($F188&amp;"|high",Response_Table!$A$4:$A$21,0))*$R188*INDEX(Parameters!$X$15:$AA$15,1,MATCH($E188,Parameters!$X$3:$AA$3,0))))*(1+Inputs_General!$C$22*Parameters!$F$15)</f>
        <v>10.9670227330321</v>
      </c>
      <c r="CA188" s="45" t="n">
        <f aca="false">IF(BW188=0,0,BX188/BW188-1)</f>
        <v>-0.141524778188225</v>
      </c>
      <c r="CB188" s="46" t="n">
        <f aca="false">BD188+BI188</f>
        <v>0.666571897802609</v>
      </c>
      <c r="CC188" s="43" t="n">
        <f aca="false">BD188/BI188</f>
        <v>2.16138895463043</v>
      </c>
      <c r="CD188" s="46" t="n">
        <f aca="false">BN188/CB188</f>
        <v>0.277860349724364</v>
      </c>
      <c r="CE188" s="43" t="n">
        <f aca="false">AE188/AO188</f>
        <v>1.48967280161007</v>
      </c>
      <c r="CF188" s="44" t="n">
        <f aca="false">AE188/AJ188</f>
        <v>30.3363197567312</v>
      </c>
      <c r="CG188" s="44" t="n">
        <f aca="false">INDEX(Context!$V$4:$V$51,$K188)</f>
        <v>28.62</v>
      </c>
      <c r="CH188" s="44" t="n">
        <f aca="false">INDEX(Context!$Y$4:$Y$51,$K188)</f>
        <v>25.3060134606718</v>
      </c>
      <c r="CI188" s="44" t="n">
        <f aca="false">INDEX(Context!$Z$4:$Z$51,$K188)</f>
        <v>32.62</v>
      </c>
      <c r="CJ188" s="43" t="n">
        <f aca="false">INDEX(Context!$AA$4:$AA$51,$K188)</f>
        <v>0.221696428571429</v>
      </c>
      <c r="CK188" s="43" t="n">
        <f aca="false">MAX(0,MIN(1,1-(1-CJ188)*AO188/AN188))</f>
        <v>0.650098896273554</v>
      </c>
      <c r="CL188" s="44" t="n">
        <f aca="false">CH188+CK188*(CI188-CH188)</f>
        <v>30.0608280372487</v>
      </c>
      <c r="CM188" s="44" t="n">
        <f aca="false">CH188+MAX(0,MIN(1,1-(1-CJ188)*AQ188/AN188))*(CI188-CH188)</f>
        <v>28.6853928524504</v>
      </c>
      <c r="CN188" s="44" t="n">
        <f aca="false">CH188+MAX(0,MIN(1,1-(1-CJ188)*AP188/AN188))*(CI188-CH188)</f>
        <v>31.0801923945879</v>
      </c>
      <c r="CO188" s="44" t="n">
        <f aca="false">CL188-CG188</f>
        <v>1.44082803724868</v>
      </c>
      <c r="CP188" s="44" t="n">
        <f aca="false">CL188-(CH188+CJ188*(CI188-CH188))</f>
        <v>3.13332988218834</v>
      </c>
      <c r="CQ188" s="46" t="n">
        <f aca="false">CL188/CG188</f>
        <v>1.05034339752791</v>
      </c>
      <c r="CR188" s="43" t="n">
        <f aca="false">IF(CL188-CH188&lt;=0,"n/a",(CI188-CL188)/(CL188-CH188))</f>
        <v>0.538227500049796</v>
      </c>
      <c r="CS188" s="43" t="n">
        <f aca="false">IF(CI188-CL188&lt;=0,"n/a",(CL188-CH188)/(CI188-CL188))</f>
        <v>1.85795040184212</v>
      </c>
      <c r="CT188" s="43" t="n">
        <f aca="false">Inputs_General!$C$23+Inputs_General!$C$24*$I188</f>
        <v>1.9</v>
      </c>
      <c r="CU188" s="44" t="n">
        <f aca="false">3.29*CT188</f>
        <v>6.251</v>
      </c>
    </row>
    <row r="189" customFormat="false" ht="15" hidden="false" customHeight="false" outlineLevel="0" collapsed="false">
      <c r="A189" s="33" t="str">
        <f aca="false">B189&amp;"|"&amp;E189&amp;"|"&amp;F189</f>
        <v>D3V2|13/03/2026|Healthy</v>
      </c>
      <c r="B189" s="34" t="s">
        <v>350</v>
      </c>
      <c r="C189" s="33" t="s">
        <v>131</v>
      </c>
      <c r="D189" s="33" t="s">
        <v>146</v>
      </c>
      <c r="E189" s="33" t="s">
        <v>164</v>
      </c>
      <c r="F189" s="34" t="s">
        <v>275</v>
      </c>
      <c r="G189" s="33" t="s">
        <v>276</v>
      </c>
      <c r="H189" s="35" t="n">
        <f aca="false">INDEX(Severity_Classes!$C$4:$C$9,MATCH(F189,Severity_Classes!$A$4:$A$9,0))</f>
        <v>0</v>
      </c>
      <c r="I189" s="35" t="n">
        <f aca="false">INDEX(Severity_Classes!$D$4:$D$9,MATCH(F189,Severity_Classes!$A$4:$A$9,0))</f>
        <v>0</v>
      </c>
      <c r="J189" s="35" t="n">
        <f aca="false">INDEX(Severity_Classes!$E$4:$E$9,MATCH(F189,Severity_Classes!$A$4:$A$9,0))</f>
        <v>0</v>
      </c>
      <c r="K189" s="36" t="n">
        <f aca="false">MATCH(B189&amp;"|"&amp;E189,Context!$A$4:$A$51,0)</f>
        <v>32</v>
      </c>
      <c r="L189" s="36" t="n">
        <f aca="false">INDEX(Context!$H$4:$H$51,K189)</f>
        <v>76</v>
      </c>
      <c r="M189" s="36" t="n">
        <f aca="false">INDEX(Context!$I$4:$I$51,K189)</f>
        <v>36</v>
      </c>
      <c r="N189" s="33" t="str">
        <f aca="false">INDEX(Context!$L$4:$L$51,K189)</f>
        <v>P</v>
      </c>
      <c r="O189" s="33" t="str">
        <f aca="false">INDEX(Context!$M$4:$M$51,K189)</f>
        <v>5th fully expanded leaf from top</v>
      </c>
      <c r="P189" s="37" t="n">
        <f aca="false">INDEX(Context!$R$4:$R$51,K189)</f>
        <v>0.953571428571428</v>
      </c>
      <c r="Q189" s="37" t="n">
        <f aca="false">INDEX(Context!$U$4:$U$51,K189)</f>
        <v>2.18945736698217</v>
      </c>
      <c r="R189" s="37" t="n">
        <f aca="false">INDEX(Context!$AD$4:$AD$51,K189)</f>
        <v>1.1</v>
      </c>
      <c r="S189" s="33" t="str">
        <f aca="false">INDEX(Context!$AI$4:$AN$51,K189,MATCH(F189,Severity_Classes!$A$4:$A$9,0))</f>
        <v>Reference: healthy (uninoculated) control plot</v>
      </c>
      <c r="T189" s="38" t="n">
        <f aca="false">Parameters!$E$4*IF($N189="V",Parameters!$I$4,IF($N189="F",Parameters!$J$4,Parameters!$K$4))*(1-Parameters!$L$4*$P189)*IF($D189="V1",Parameters!$M$4,IF($D189="V2",Parameters!$N$4,Parameters!$O$4))</f>
        <v>77.8046607142857</v>
      </c>
      <c r="U189" s="38" t="n">
        <f aca="false">MIN(100,T189*(1+INDEX(Response_Table!$E$4:$E$21,MATCH($F189&amp;"|mid",Response_Table!$A$4:$A$21,0))*$R189*INDEX(Parameters!$X$4:$AA$4,1,MATCH($E189,Parameters!$X$3:$AA$3,0))))</f>
        <v>77.8046607142857</v>
      </c>
      <c r="V189" s="38" t="n">
        <f aca="false">MAX(0,MIN(T189*(1+INDEX(Response_Table!$E$4:$E$21,MATCH($F189&amp;"|low",Response_Table!$A$4:$A$21,0))*$R189*INDEX(Parameters!$X$4:$AA$4,1,MATCH($E189,Parameters!$X$3:$AA$3,0))),T189*(1+INDEX(Response_Table!$E$4:$E$21,MATCH($F189&amp;"|high",Response_Table!$A$4:$A$21,0))*$R189*INDEX(Parameters!$X$4:$AA$4,1,MATCH($E189,Parameters!$X$3:$AA$3,0))))*(1-Inputs_General!$C$22*Parameters!$F$4))</f>
        <v>72.6851140392857</v>
      </c>
      <c r="W189" s="38" t="n">
        <f aca="false">MIN(100,MAX(T189*(1+INDEX(Response_Table!$E$4:$E$21,MATCH($F189&amp;"|low",Response_Table!$A$4:$A$21,0))*$R189*INDEX(Parameters!$X$4:$AA$4,1,MATCH($E189,Parameters!$X$3:$AA$3,0))),T189*(1+INDEX(Response_Table!$E$4:$E$21,MATCH($F189&amp;"|high",Response_Table!$A$4:$A$21,0))*$R189*INDEX(Parameters!$X$4:$AA$4,1,MATCH($E189,Parameters!$X$3:$AA$3,0))))*(1+Inputs_General!$C$22*Parameters!$F$4))</f>
        <v>82.9242073892857</v>
      </c>
      <c r="X189" s="39" t="n">
        <f aca="false">IF(T189=0,0,U189/T189-1)</f>
        <v>0</v>
      </c>
      <c r="Y189" s="38" t="n">
        <f aca="false">Parameters!$E$5*IF($N189="V",Parameters!$I$5,IF($N189="F",Parameters!$J$5,Parameters!$K$5))*(1-Parameters!$L$5*$P189)*IF($D189="V1",Parameters!$M$5,IF($D189="V2",Parameters!$N$5,Parameters!$O$5))</f>
        <v>58.6602514285714</v>
      </c>
      <c r="Z189" s="38" t="n">
        <f aca="false">MIN(100,Y189*(1+INDEX(Response_Table!$F$4:$F$21,MATCH($F189&amp;"|mid",Response_Table!$A$4:$A$21,0))*$R189*INDEX(Parameters!$X$5:$AA$5,1,MATCH($E189,Parameters!$X$3:$AA$3,0))))</f>
        <v>58.6602514285714</v>
      </c>
      <c r="AA189" s="38" t="n">
        <f aca="false">MAX(0,MIN(Y189*(1+INDEX(Response_Table!$F$4:$F$21,MATCH($F189&amp;"|low",Response_Table!$A$4:$A$21,0))*$R189*INDEX(Parameters!$X$5:$AA$5,1,MATCH($E189,Parameters!$X$3:$AA$3,0))),Y189*(1+INDEX(Response_Table!$F$4:$F$21,MATCH($F189&amp;"|high",Response_Table!$A$4:$A$21,0))*$R189*INDEX(Parameters!$X$5:$AA$5,1,MATCH($E189,Parameters!$X$3:$AA$3,0))))*(1-Inputs_General!$C$22*Parameters!$F$5))</f>
        <v>51.9055234765714</v>
      </c>
      <c r="AB189" s="38" t="n">
        <f aca="false">MIN(100,MAX(Y189*(1+INDEX(Response_Table!$F$4:$F$21,MATCH($F189&amp;"|low",Response_Table!$A$4:$A$21,0))*$R189*INDEX(Parameters!$X$5:$AA$5,1,MATCH($E189,Parameters!$X$3:$AA$3,0))),Y189*(1+INDEX(Response_Table!$F$4:$F$21,MATCH($F189&amp;"|high",Response_Table!$A$4:$A$21,0))*$R189*INDEX(Parameters!$X$5:$AA$5,1,MATCH($E189,Parameters!$X$3:$AA$3,0))))*(1+Inputs_General!$C$22*Parameters!$F$5))</f>
        <v>65.4149793805714</v>
      </c>
      <c r="AC189" s="39" t="n">
        <f aca="false">IF(Y189=0,0,Z189/Y189-1)</f>
        <v>0</v>
      </c>
      <c r="AD189" s="38" t="n">
        <f aca="false">Parameters!$E$6*IF($N189="V",Parameters!$I$6,IF($N189="F",Parameters!$J$6,Parameters!$K$6))*(1-Parameters!$L$6*$P189)*IF($D189="V1",Parameters!$M$6,IF($D189="V2",Parameters!$N$6,Parameters!$O$6))</f>
        <v>14.3019785714286</v>
      </c>
      <c r="AE189" s="38" t="n">
        <f aca="false">AD189*(1+INDEX(Response_Table!$G$4:$G$21,MATCH($F189&amp;"|mid",Response_Table!$A$4:$A$21,0))*$R189*INDEX(Parameters!$X$6:$AA$6,1,MATCH($E189,Parameters!$X$3:$AA$3,0)))</f>
        <v>14.3019785714286</v>
      </c>
      <c r="AF189" s="38" t="n">
        <f aca="false">MAX(0,MIN(AD189*(1+INDEX(Response_Table!$G$4:$G$21,MATCH($F189&amp;"|low",Response_Table!$A$4:$A$21,0))*$R189*INDEX(Parameters!$X$6:$AA$6,1,MATCH($E189,Parameters!$X$3:$AA$3,0))),AD189*(1+INDEX(Response_Table!$G$4:$G$21,MATCH($F189&amp;"|high",Response_Table!$A$4:$A$21,0))*$R189*INDEX(Parameters!$X$6:$AA$6,1,MATCH($E189,Parameters!$X$3:$AA$3,0))))*(1-Inputs_General!$C$22*Parameters!$F$6))</f>
        <v>11.4787680014286</v>
      </c>
      <c r="AG189" s="38" t="n">
        <f aca="false">MAX(AD189*(1+INDEX(Response_Table!$G$4:$G$21,MATCH($F189&amp;"|low",Response_Table!$A$4:$A$21,0))*$R189*INDEX(Parameters!$X$6:$AA$6,1,MATCH($E189,Parameters!$X$3:$AA$3,0))),AD189*(1+INDEX(Response_Table!$G$4:$G$21,MATCH($F189&amp;"|high",Response_Table!$A$4:$A$21,0))*$R189*INDEX(Parameters!$X$6:$AA$6,1,MATCH($E189,Parameters!$X$3:$AA$3,0))))*(1+Inputs_General!$C$22*Parameters!$F$6)</f>
        <v>17.1251891414286</v>
      </c>
      <c r="AH189" s="39" t="n">
        <f aca="false">IF(AD189=0,0,AE189/AD189-1)</f>
        <v>0</v>
      </c>
      <c r="AI189" s="40" t="n">
        <f aca="false">Parameters!$E$7*IF($N189="V",Parameters!$I$7,IF($N189="F",Parameters!$J$7,Parameters!$K$7))*(1-Parameters!$L$7*$P189)*IF($D189="V1",Parameters!$M$7,IF($D189="V2",Parameters!$N$7,Parameters!$O$7))*POWER($Q189/Inputs_General!$C$26,-Inputs_General!$C$25)</f>
        <v>0.258501574676089</v>
      </c>
      <c r="AJ189" s="40" t="n">
        <f aca="false">AI189*(1+INDEX(Response_Table!$H$4:$H$21,MATCH($F189&amp;"|mid",Response_Table!$A$4:$A$21,0))*$R189*INDEX(Parameters!$X$7:$AA$7,1,MATCH($E189,Parameters!$X$3:$AA$3,0)))</f>
        <v>0.258501574676089</v>
      </c>
      <c r="AK189" s="40" t="n">
        <f aca="false">MAX(0,MIN(AI189*(1+INDEX(Response_Table!$H$4:$H$21,MATCH($F189&amp;"|low",Response_Table!$A$4:$A$21,0))*$R189*INDEX(Parameters!$X$7:$AA$7,1,MATCH($E189,Parameters!$X$3:$AA$3,0))),AI189*(1+INDEX(Response_Table!$H$4:$H$21,MATCH($F189&amp;"|high",Response_Table!$A$4:$A$21,0))*$R189*INDEX(Parameters!$X$7:$AA$7,1,MATCH($E189,Parameters!$X$3:$AA$3,0))))*(1-Inputs_General!$C$22*Parameters!$F$7))</f>
        <v>0.181959258414499</v>
      </c>
      <c r="AL189" s="40" t="n">
        <f aca="false">MAX(AI189*(1+INDEX(Response_Table!$H$4:$H$21,MATCH($F189&amp;"|low",Response_Table!$A$4:$A$21,0))*$R189*INDEX(Parameters!$X$7:$AA$7,1,MATCH($E189,Parameters!$X$3:$AA$3,0))),AI189*(1+INDEX(Response_Table!$H$4:$H$21,MATCH($F189&amp;"|high",Response_Table!$A$4:$A$21,0))*$R189*INDEX(Parameters!$X$7:$AA$7,1,MATCH($E189,Parameters!$X$3:$AA$3,0))))*(1+Inputs_General!$C$22*Parameters!$F$7)</f>
        <v>0.335043890937679</v>
      </c>
      <c r="AM189" s="39" t="n">
        <f aca="false">IF(AI189=0,0,AJ189/AI189-1)</f>
        <v>0</v>
      </c>
      <c r="AN189" s="37" t="n">
        <f aca="false">AI189*$Q189/Inputs_General!$C$13*1000</f>
        <v>5.69967952720096</v>
      </c>
      <c r="AO189" s="37" t="n">
        <f aca="false">AJ189*$Q189/Inputs_General!$C$13*1000*(1+Inputs_General!$C$21*$I189)</f>
        <v>5.69967952720096</v>
      </c>
      <c r="AP189" s="37" t="n">
        <f aca="false">AK189*$Q189/Inputs_General!$C$13*1000*(1+Inputs_General!$C$21*$H189)</f>
        <v>4.01200441919675</v>
      </c>
      <c r="AQ189" s="37" t="n">
        <f aca="false">AL189*$Q189/Inputs_General!$C$13*1000*(1+Inputs_General!$C$21*$J189)</f>
        <v>7.38735463520516</v>
      </c>
      <c r="AR189" s="39" t="n">
        <f aca="false">IF(AN189=0,0,AO189/AN189-1)</f>
        <v>0</v>
      </c>
      <c r="AS189" s="36" t="n">
        <f aca="false">Parameters!$E$9*IF($N189="V",Parameters!$I$9,IF($N189="F",Parameters!$J$9,Parameters!$K$9))*(1-Parameters!$L$9*$P189)*IF($D189="V1",Parameters!$M$9,IF($D189="V2",Parameters!$N$9,Parameters!$O$9))</f>
        <v>293.55</v>
      </c>
      <c r="AT189" s="36" t="n">
        <f aca="false">AS189*(1+INDEX(Response_Table!$I$4:$I$21,MATCH($F189&amp;"|mid",Response_Table!$A$4:$A$21,0))*$R189*INDEX(Parameters!$X$9:$AA$9,1,MATCH($E189,Parameters!$X$3:$AA$3,0)))</f>
        <v>293.55</v>
      </c>
      <c r="AU189" s="36" t="n">
        <f aca="false">MAX(0,MIN(AS189*(1+INDEX(Response_Table!$I$4:$I$21,MATCH($F189&amp;"|low",Response_Table!$A$4:$A$21,0))*$R189*INDEX(Parameters!$X$9:$AA$9,1,MATCH($E189,Parameters!$X$3:$AA$3,0))),AS189*(1+INDEX(Response_Table!$I$4:$I$21,MATCH($F189&amp;"|high",Response_Table!$A$4:$A$21,0))*$R189*INDEX(Parameters!$X$9:$AA$9,1,MATCH($E189,Parameters!$X$3:$AA$3,0))))*(1-Inputs_General!$C$22*Parameters!$F$9))</f>
        <v>264.576615</v>
      </c>
      <c r="AV189" s="36" t="n">
        <f aca="false">MAX(AS189*(1+INDEX(Response_Table!$I$4:$I$21,MATCH($F189&amp;"|low",Response_Table!$A$4:$A$21,0))*$R189*INDEX(Parameters!$X$9:$AA$9,1,MATCH($E189,Parameters!$X$3:$AA$3,0))),AS189*(1+INDEX(Response_Table!$I$4:$I$21,MATCH($F189&amp;"|high",Response_Table!$A$4:$A$21,0))*$R189*INDEX(Parameters!$X$9:$AA$9,1,MATCH($E189,Parameters!$X$3:$AA$3,0))))*(1+Inputs_General!$C$22*Parameters!$F$9)</f>
        <v>322.523385</v>
      </c>
      <c r="AW189" s="39" t="n">
        <f aca="false">IF(AS189=0,0,AT189/AS189-1)</f>
        <v>0</v>
      </c>
      <c r="AX189" s="37" t="n">
        <f aca="false">INDEX(Context!$AB$4:$AB$51,$K189)</f>
        <v>2.86350044433308</v>
      </c>
      <c r="AY189" s="37" t="n">
        <f aca="false">AX189*(1+INDEX(Response_Table!$J$4:$J$21,MATCH($F189&amp;"|mid",Response_Table!$A$4:$A$21,0))*$R189*INDEX(Parameters!$X$10:$AA$10,1,MATCH($E189,Parameters!$X$3:$AA$3,0)))</f>
        <v>2.86350044433308</v>
      </c>
      <c r="AZ189" s="37" t="n">
        <f aca="false">MAX(0,MIN(AX189*(1+INDEX(Response_Table!$J$4:$J$21,MATCH($F189&amp;"|low",Response_Table!$A$4:$A$21,0))*$R189*INDEX(Parameters!$X$10:$AA$10,1,MATCH($E189,Parameters!$X$3:$AA$3,0))),AX189*(1+INDEX(Response_Table!$J$4:$J$21,MATCH($F189&amp;"|high",Response_Table!$A$4:$A$21,0))*$R189*INDEX(Parameters!$X$10:$AA$10,1,MATCH($E189,Parameters!$X$3:$AA$3,0))))*(1-Inputs_General!$C$22*Parameters!$F$10))</f>
        <v>2.29824545662173</v>
      </c>
      <c r="BA189" s="37" t="n">
        <f aca="false">MAX(AX189*(1+INDEX(Response_Table!$J$4:$J$21,MATCH($F189&amp;"|low",Response_Table!$A$4:$A$21,0))*$R189*INDEX(Parameters!$X$10:$AA$10,1,MATCH($E189,Parameters!$X$3:$AA$3,0))),AX189*(1+INDEX(Response_Table!$J$4:$J$21,MATCH($F189&amp;"|high",Response_Table!$A$4:$A$21,0))*$R189*INDEX(Parameters!$X$10:$AA$10,1,MATCH($E189,Parameters!$X$3:$AA$3,0))))*(1+Inputs_General!$C$22*Parameters!$F$10)</f>
        <v>3.42875543204443</v>
      </c>
      <c r="BB189" s="39" t="n">
        <f aca="false">IF(AX189=0,0,AY189/AX189-1)</f>
        <v>0</v>
      </c>
      <c r="BC189" s="40" t="n">
        <f aca="false">Parameters!$E$11*IF($N189="V",Parameters!$I$11,IF($N189="F",Parameters!$J$11,Parameters!$K$11))*(1-Parameters!$L$11*$P189)*IF($D189="V1",Parameters!$M$11,IF($D189="V2",Parameters!$N$11,Parameters!$O$11))</f>
        <v>1.00170982142857</v>
      </c>
      <c r="BD189" s="40" t="n">
        <f aca="false">BC189*(1+INDEX(Response_Table!$K$4:$K$21,MATCH($F189&amp;"|mid",Response_Table!$A$4:$A$21,0))*$R189*INDEX(Parameters!$X$11:$AA$11,1,MATCH($E189,Parameters!$X$3:$AA$3,0)))</f>
        <v>1.00170982142857</v>
      </c>
      <c r="BE189" s="40" t="n">
        <f aca="false">MAX(0,MIN(BC189*(1+INDEX(Response_Table!$K$4:$K$21,MATCH($F189&amp;"|low",Response_Table!$A$4:$A$21,0))*$R189*INDEX(Parameters!$X$11:$AA$11,1,MATCH($E189,Parameters!$X$3:$AA$3,0))),BC189*(1+INDEX(Response_Table!$K$4:$K$21,MATCH($F189&amp;"|high",Response_Table!$A$4:$A$21,0))*$R189*INDEX(Parameters!$X$11:$AA$11,1,MATCH($E189,Parameters!$X$3:$AA$3,0))))*(1-Inputs_General!$C$22*Parameters!$F$11))</f>
        <v>0.836928555803572</v>
      </c>
      <c r="BF189" s="40" t="n">
        <f aca="false">MAX(BC189*(1+INDEX(Response_Table!$K$4:$K$21,MATCH($F189&amp;"|low",Response_Table!$A$4:$A$21,0))*$R189*INDEX(Parameters!$X$11:$AA$11,1,MATCH($E189,Parameters!$X$3:$AA$3,0))),BC189*(1+INDEX(Response_Table!$K$4:$K$21,MATCH($F189&amp;"|high",Response_Table!$A$4:$A$21,0))*$R189*INDEX(Parameters!$X$11:$AA$11,1,MATCH($E189,Parameters!$X$3:$AA$3,0))))*(1+Inputs_General!$C$22*Parameters!$F$11)</f>
        <v>1.16649108705357</v>
      </c>
      <c r="BG189" s="39" t="n">
        <f aca="false">IF(BC189=0,0,BD189/BC189-1)</f>
        <v>0</v>
      </c>
      <c r="BH189" s="40" t="n">
        <f aca="false">Parameters!$E$12*IF($N189="V",Parameters!$I$12,IF($N189="F",Parameters!$J$12,Parameters!$K$12))*(1-Parameters!$L$12*$P189)*IF($D189="V1",Parameters!$M$12,IF($D189="V2",Parameters!$N$12,Parameters!$O$12))</f>
        <v>0.373343142857143</v>
      </c>
      <c r="BI189" s="40" t="n">
        <f aca="false">BH189*(1+INDEX(Response_Table!$L$4:$L$21,MATCH($F189&amp;"|mid",Response_Table!$A$4:$A$21,0))*$R189*INDEX(Parameters!$X$12:$AA$12,1,MATCH($E189,Parameters!$X$3:$AA$3,0)))</f>
        <v>0.373343142857143</v>
      </c>
      <c r="BJ189" s="40" t="n">
        <f aca="false">MAX(0,MIN(BH189*(1+INDEX(Response_Table!$L$4:$L$21,MATCH($F189&amp;"|low",Response_Table!$A$4:$A$21,0))*$R189*INDEX(Parameters!$X$12:$AA$12,1,MATCH($E189,Parameters!$X$3:$AA$3,0))),BH189*(1+INDEX(Response_Table!$L$4:$L$21,MATCH($F189&amp;"|high",Response_Table!$A$4:$A$21,0))*$R189*INDEX(Parameters!$X$12:$AA$12,1,MATCH($E189,Parameters!$X$3:$AA$3,0))))*(1-Inputs_General!$C$22*Parameters!$F$12))</f>
        <v>0.299645206457143</v>
      </c>
      <c r="BK189" s="40" t="n">
        <f aca="false">MAX(BH189*(1+INDEX(Response_Table!$L$4:$L$21,MATCH($F189&amp;"|low",Response_Table!$A$4:$A$21,0))*$R189*INDEX(Parameters!$X$12:$AA$12,1,MATCH($E189,Parameters!$X$3:$AA$3,0))),BH189*(1+INDEX(Response_Table!$L$4:$L$21,MATCH($F189&amp;"|high",Response_Table!$A$4:$A$21,0))*$R189*INDEX(Parameters!$X$12:$AA$12,1,MATCH($E189,Parameters!$X$3:$AA$3,0))))*(1+Inputs_General!$C$22*Parameters!$F$12)</f>
        <v>0.447041079257143</v>
      </c>
      <c r="BL189" s="39" t="n">
        <f aca="false">IF(BH189=0,0,BI189/BH189-1)</f>
        <v>0</v>
      </c>
      <c r="BM189" s="40" t="n">
        <f aca="false">Parameters!$E$13*IF($N189="V",Parameters!$I$13,IF($N189="F",Parameters!$J$13,Parameters!$K$13))*(1-Parameters!$L$13*$P189)*IF($D189="V1",Parameters!$M$13,IF($D189="V2",Parameters!$N$13,Parameters!$O$13))</f>
        <v>0.262276071428571</v>
      </c>
      <c r="BN189" s="40" t="n">
        <f aca="false">BM189*(1+INDEX(Response_Table!$M$4:$M$21,MATCH($F189&amp;"|mid",Response_Table!$A$4:$A$21,0))*$R189*INDEX(Parameters!$X$13:$AA$13,1,MATCH($E189,Parameters!$X$3:$AA$3,0)))</f>
        <v>0.262276071428571</v>
      </c>
      <c r="BO189" s="40" t="n">
        <f aca="false">MAX(0,MIN(BM189*(1+INDEX(Response_Table!$M$4:$M$21,MATCH($F189&amp;"|low",Response_Table!$A$4:$A$21,0))*$R189*INDEX(Parameters!$X$13:$AA$13,1,MATCH($E189,Parameters!$X$3:$AA$3,0))),BM189*(1+INDEX(Response_Table!$M$4:$M$21,MATCH($F189&amp;"|high",Response_Table!$A$4:$A$21,0))*$R189*INDEX(Parameters!$X$13:$AA$13,1,MATCH($E189,Parameters!$X$3:$AA$3,0))))*(1-Inputs_General!$C$22*Parameters!$F$13))</f>
        <v>0.210502774928571</v>
      </c>
      <c r="BP189" s="40" t="n">
        <f aca="false">MAX(BM189*(1+INDEX(Response_Table!$M$4:$M$21,MATCH($F189&amp;"|low",Response_Table!$A$4:$A$21,0))*$R189*INDEX(Parameters!$X$13:$AA$13,1,MATCH($E189,Parameters!$X$3:$AA$3,0))),BM189*(1+INDEX(Response_Table!$M$4:$M$21,MATCH($F189&amp;"|high",Response_Table!$A$4:$A$21,0))*$R189*INDEX(Parameters!$X$13:$AA$13,1,MATCH($E189,Parameters!$X$3:$AA$3,0))))*(1+Inputs_General!$C$22*Parameters!$F$13)</f>
        <v>0.314049367928571</v>
      </c>
      <c r="BQ189" s="39" t="n">
        <f aca="false">IF(BM189=0,0,BN189/BM189-1)</f>
        <v>0</v>
      </c>
      <c r="BR189" s="38" t="n">
        <f aca="false">Parameters!$E$14*IF($N189="V",Parameters!$I$14,IF($N189="F",Parameters!$J$14,Parameters!$K$14))*(1-Parameters!$L$14*$P189)*IF($D189="V1",Parameters!$M$14,IF($D189="V2",Parameters!$N$14,Parameters!$O$14))*INDEX(Context!$AC$4:$AC$51,$K189)</f>
        <v>17.25</v>
      </c>
      <c r="BS189" s="38" t="n">
        <f aca="false">BR189*(1+INDEX(Response_Table!$N$4:$N$21,MATCH($F189&amp;"|mid",Response_Table!$A$4:$A$21,0))*$R189*INDEX(Parameters!$X$14:$AA$14,1,MATCH($E189,Parameters!$X$3:$AA$3,0)))</f>
        <v>17.25</v>
      </c>
      <c r="BT189" s="38" t="n">
        <f aca="false">MAX(0,MIN(BR189*(1+INDEX(Response_Table!$N$4:$N$21,MATCH($F189&amp;"|low",Response_Table!$A$4:$A$21,0))*$R189*INDEX(Parameters!$X$14:$AA$14,1,MATCH($E189,Parameters!$X$3:$AA$3,0))),BR189*(1+INDEX(Response_Table!$N$4:$N$21,MATCH($F189&amp;"|high",Response_Table!$A$4:$A$21,0))*$R189*INDEX(Parameters!$X$14:$AA$14,1,MATCH($E189,Parameters!$X$3:$AA$3,0))))*(1-Inputs_General!$C$22*Parameters!$F$14))</f>
        <v>8.737125</v>
      </c>
      <c r="BU189" s="38" t="n">
        <f aca="false">MAX(BR189*(1+INDEX(Response_Table!$N$4:$N$21,MATCH($F189&amp;"|low",Response_Table!$A$4:$A$21,0))*$R189*INDEX(Parameters!$X$14:$AA$14,1,MATCH($E189,Parameters!$X$3:$AA$3,0))),BR189*(1+INDEX(Response_Table!$N$4:$N$21,MATCH($F189&amp;"|high",Response_Table!$A$4:$A$21,0))*$R189*INDEX(Parameters!$X$14:$AA$14,1,MATCH($E189,Parameters!$X$3:$AA$3,0))))*(1+Inputs_General!$C$22*Parameters!$F$14)</f>
        <v>25.762875</v>
      </c>
      <c r="BV189" s="39" t="n">
        <f aca="false">IF(BR189=0,0,BS189/BR189-1)</f>
        <v>0</v>
      </c>
      <c r="BW189" s="37" t="n">
        <f aca="false">Parameters!$E$15*IF($N189="V",Parameters!$I$15,IF($N189="F",Parameters!$J$15,Parameters!$K$15))*(1-Parameters!$L$15*$P189)*IF($D189="V1",Parameters!$M$15,IF($D189="V2",Parameters!$N$15,Parameters!$O$15))</f>
        <v>8.34931028571429</v>
      </c>
      <c r="BX189" s="37" t="n">
        <f aca="false">BW189*(1+INDEX(Response_Table!$O$4:$O$21,MATCH($F189&amp;"|mid",Response_Table!$A$4:$A$21,0))*$R189*INDEX(Parameters!$X$15:$AA$15,1,MATCH($E189,Parameters!$X$3:$AA$3,0)))</f>
        <v>8.34931028571429</v>
      </c>
      <c r="BY189" s="37" t="n">
        <f aca="false">MAX(0,MIN(BW189*(1+INDEX(Response_Table!$O$4:$O$21,MATCH($F189&amp;"|low",Response_Table!$A$4:$A$21,0))*$R189*INDEX(Parameters!$X$15:$AA$15,1,MATCH($E189,Parameters!$X$3:$AA$3,0))),BW189*(1+INDEX(Response_Table!$O$4:$O$21,MATCH($F189&amp;"|high",Response_Table!$A$4:$A$21,0))*$R189*INDEX(Parameters!$X$15:$AA$15,1,MATCH($E189,Parameters!$X$3:$AA$3,0))))*(1-Inputs_General!$C$22*Parameters!$F$15))</f>
        <v>6.70115643531429</v>
      </c>
      <c r="BZ189" s="37" t="n">
        <f aca="false">MAX(BW189*(1+INDEX(Response_Table!$O$4:$O$21,MATCH($F189&amp;"|low",Response_Table!$A$4:$A$21,0))*$R189*INDEX(Parameters!$X$15:$AA$15,1,MATCH($E189,Parameters!$X$3:$AA$3,0))),BW189*(1+INDEX(Response_Table!$O$4:$O$21,MATCH($F189&amp;"|high",Response_Table!$A$4:$A$21,0))*$R189*INDEX(Parameters!$X$15:$AA$15,1,MATCH($E189,Parameters!$X$3:$AA$3,0))))*(1+Inputs_General!$C$22*Parameters!$F$15)</f>
        <v>9.99746413611429</v>
      </c>
      <c r="CA189" s="39" t="n">
        <f aca="false">IF(BW189=0,0,BX189/BW189-1)</f>
        <v>0</v>
      </c>
      <c r="CB189" s="40" t="n">
        <f aca="false">BD189+BI189</f>
        <v>1.37505296428571</v>
      </c>
      <c r="CC189" s="37" t="n">
        <f aca="false">BD189/BI189</f>
        <v>2.68308080808081</v>
      </c>
      <c r="CD189" s="40" t="n">
        <f aca="false">BN189/CB189</f>
        <v>0.190738886603407</v>
      </c>
      <c r="CE189" s="37" t="n">
        <f aca="false">AE189/AO189</f>
        <v>2.5092601264991</v>
      </c>
      <c r="CF189" s="38" t="n">
        <f aca="false">AE189/AJ189</f>
        <v>55.3264659580872</v>
      </c>
      <c r="CG189" s="38" t="n">
        <f aca="false">INDEX(Context!$V$4:$V$51,$K189)</f>
        <v>32.7871428571429</v>
      </c>
      <c r="CH189" s="38" t="n">
        <f aca="false">INDEX(Context!$Y$4:$Y$51,$K189)</f>
        <v>28.36912210206</v>
      </c>
      <c r="CI189" s="38" t="n">
        <f aca="false">INDEX(Context!$Z$4:$Z$51,$K189)</f>
        <v>36.7871428571429</v>
      </c>
      <c r="CJ189" s="37" t="n">
        <f aca="false">INDEX(Context!$AA$4:$AA$51,$K189)</f>
        <v>0.347678571428571</v>
      </c>
      <c r="CK189" s="37" t="n">
        <f aca="false">MAX(0,MIN(1,1-(1-CJ189)*AO189/AN189))</f>
        <v>0.347678571428571</v>
      </c>
      <c r="CL189" s="38" t="n">
        <f aca="false">CH189+CK189*(CI189-CH189)</f>
        <v>31.2958875324433</v>
      </c>
      <c r="CM189" s="38" t="n">
        <f aca="false">CH189+MAX(0,MIN(1,1-(1-CJ189)*AQ189/AN189))*(CI189-CH189)</f>
        <v>29.6699268307998</v>
      </c>
      <c r="CN189" s="38" t="n">
        <f aca="false">CH189+MAX(0,MIN(1,1-(1-CJ189)*AP189/AN189))*(CI189-CH189)</f>
        <v>32.9218482340868</v>
      </c>
      <c r="CO189" s="38" t="n">
        <f aca="false">CL189-CG189</f>
        <v>-1.49125532469956</v>
      </c>
      <c r="CP189" s="38" t="n">
        <f aca="false">CL189-(CH189+CJ189*(CI189-CH189))</f>
        <v>0</v>
      </c>
      <c r="CQ189" s="40" t="n">
        <f aca="false">CL189/CG189</f>
        <v>0.954517069962542</v>
      </c>
      <c r="CR189" s="37" t="n">
        <f aca="false">IF(CL189-CH189&lt;=0,"n/a",(CI189-CL189)/(CL189-CH189))</f>
        <v>1.87621982537237</v>
      </c>
      <c r="CS189" s="37" t="n">
        <f aca="false">IF(CI189-CL189&lt;=0,"n/a",(CL189-CH189)/(CI189-CL189))</f>
        <v>0.53298658636737</v>
      </c>
      <c r="CT189" s="37" t="n">
        <f aca="false">Inputs_General!$C$23+Inputs_General!$C$24*$I189</f>
        <v>0.6</v>
      </c>
      <c r="CU189" s="38" t="n">
        <f aca="false">3.29*CT189</f>
        <v>1.974</v>
      </c>
    </row>
    <row r="190" customFormat="false" ht="15" hidden="false" customHeight="false" outlineLevel="0" collapsed="false">
      <c r="A190" s="9" t="str">
        <f aca="false">B190&amp;"|"&amp;E190&amp;"|"&amp;F190</f>
        <v>D3V2|13/03/2026|Very low</v>
      </c>
      <c r="B190" s="7" t="s">
        <v>350</v>
      </c>
      <c r="C190" s="9" t="s">
        <v>131</v>
      </c>
      <c r="D190" s="9" t="s">
        <v>146</v>
      </c>
      <c r="E190" s="9" t="s">
        <v>164</v>
      </c>
      <c r="F190" s="7" t="s">
        <v>277</v>
      </c>
      <c r="G190" s="9" t="s">
        <v>278</v>
      </c>
      <c r="H190" s="41" t="n">
        <f aca="false">INDEX(Severity_Classes!$C$4:$C$9,MATCH(F190,Severity_Classes!$A$4:$A$9,0))</f>
        <v>0.01</v>
      </c>
      <c r="I190" s="41" t="n">
        <f aca="false">INDEX(Severity_Classes!$D$4:$D$9,MATCH(F190,Severity_Classes!$A$4:$A$9,0))</f>
        <v>0.03</v>
      </c>
      <c r="J190" s="41" t="n">
        <f aca="false">INDEX(Severity_Classes!$E$4:$E$9,MATCH(F190,Severity_Classes!$A$4:$A$9,0))</f>
        <v>0.05</v>
      </c>
      <c r="K190" s="42" t="n">
        <f aca="false">MATCH(B190&amp;"|"&amp;E190,Context!$A$4:$A$51,0)</f>
        <v>32</v>
      </c>
      <c r="L190" s="42" t="n">
        <f aca="false">INDEX(Context!$H$4:$H$51,K190)</f>
        <v>76</v>
      </c>
      <c r="M190" s="42" t="n">
        <f aca="false">INDEX(Context!$I$4:$I$51,K190)</f>
        <v>36</v>
      </c>
      <c r="N190" s="9" t="str">
        <f aca="false">INDEX(Context!$L$4:$L$51,K190)</f>
        <v>P</v>
      </c>
      <c r="O190" s="9" t="str">
        <f aca="false">INDEX(Context!$M$4:$M$51,K190)</f>
        <v>5th fully expanded leaf from top</v>
      </c>
      <c r="P190" s="43" t="n">
        <f aca="false">INDEX(Context!$R$4:$R$51,K190)</f>
        <v>0.953571428571428</v>
      </c>
      <c r="Q190" s="43" t="n">
        <f aca="false">INDEX(Context!$U$4:$U$51,K190)</f>
        <v>2.18945736698217</v>
      </c>
      <c r="R190" s="43" t="n">
        <f aca="false">INDEX(Context!$AD$4:$AD$51,K190)</f>
        <v>1.1</v>
      </c>
      <c r="S190" s="9" t="str">
        <f aca="false">INDEX(Context!$AI$4:$AN$51,K190,MATCH(F190,Severity_Classes!$A$4:$A$9,0))</f>
        <v>Unlikely</v>
      </c>
      <c r="T190" s="44" t="n">
        <f aca="false">Parameters!$E$4*IF($N190="V",Parameters!$I$4,IF($N190="F",Parameters!$J$4,Parameters!$K$4))*(1-Parameters!$L$4*$P190)*IF($D190="V1",Parameters!$M$4,IF($D190="V2",Parameters!$N$4,Parameters!$O$4))</f>
        <v>77.8046607142857</v>
      </c>
      <c r="U190" s="44" t="n">
        <f aca="false">MIN(100,T190*(1+INDEX(Response_Table!$E$4:$E$21,MATCH($F190&amp;"|mid",Response_Table!$A$4:$A$21,0))*$R190*INDEX(Parameters!$X$4:$AA$4,1,MATCH($E190,Parameters!$X$3:$AA$3,0))))</f>
        <v>77.4356742364092</v>
      </c>
      <c r="V190" s="44" t="n">
        <f aca="false">MAX(0,MIN(T190*(1+INDEX(Response_Table!$E$4:$E$21,MATCH($F190&amp;"|low",Response_Table!$A$4:$A$21,0))*$R190*INDEX(Parameters!$X$4:$AA$4,1,MATCH($E190,Parameters!$X$3:$AA$3,0))),T190*(1+INDEX(Response_Table!$E$4:$E$21,MATCH($F190&amp;"|high",Response_Table!$A$4:$A$21,0))*$R190*INDEX(Parameters!$X$4:$AA$4,1,MATCH($E190,Parameters!$X$3:$AA$3,0))))*(1-Inputs_General!$C$22*Parameters!$F$4))</f>
        <v>72.0650884105898</v>
      </c>
      <c r="W190" s="44" t="n">
        <f aca="false">MIN(100,MAX(T190*(1+INDEX(Response_Table!$E$4:$E$21,MATCH($F190&amp;"|low",Response_Table!$A$4:$A$21,0))*$R190*INDEX(Parameters!$X$4:$AA$4,1,MATCH($E190,Parameters!$X$3:$AA$3,0))),T190*(1+INDEX(Response_Table!$E$4:$E$21,MATCH($F190&amp;"|high",Response_Table!$A$4:$A$21,0))*$R190*INDEX(Parameters!$X$4:$AA$4,1,MATCH($E190,Parameters!$X$3:$AA$3,0))))*(1+Inputs_General!$C$22*Parameters!$F$4))</f>
        <v>82.8026665152215</v>
      </c>
      <c r="X190" s="45" t="n">
        <f aca="false">IF(T190=0,0,U190/T190-1)</f>
        <v>-0.0047424726808013</v>
      </c>
      <c r="Y190" s="44" t="n">
        <f aca="false">Parameters!$E$5*IF($N190="V",Parameters!$I$5,IF($N190="F",Parameters!$J$5,Parameters!$K$5))*(1-Parameters!$L$5*$P190)*IF($D190="V1",Parameters!$M$5,IF($D190="V2",Parameters!$N$5,Parameters!$O$5))</f>
        <v>58.6602514285714</v>
      </c>
      <c r="Z190" s="44" t="n">
        <f aca="false">MIN(100,Y190*(1+INDEX(Response_Table!$F$4:$F$21,MATCH($F190&amp;"|mid",Response_Table!$A$4:$A$21,0))*$R190*INDEX(Parameters!$X$5:$AA$5,1,MATCH($E190,Parameters!$X$3:$AA$3,0))))</f>
        <v>57.7721930189037</v>
      </c>
      <c r="AA190" s="44" t="n">
        <f aca="false">MAX(0,MIN(Y190*(1+INDEX(Response_Table!$F$4:$F$21,MATCH($F190&amp;"|low",Response_Table!$A$4:$A$21,0))*$R190*INDEX(Parameters!$X$5:$AA$5,1,MATCH($E190,Parameters!$X$3:$AA$3,0))),Y190*(1+INDEX(Response_Table!$F$4:$F$21,MATCH($F190&amp;"|high",Response_Table!$A$4:$A$21,0))*$R190*INDEX(Parameters!$X$5:$AA$5,1,MATCH($E190,Parameters!$X$3:$AA$3,0))))*(1-Inputs_General!$C$22*Parameters!$F$5))</f>
        <v>50.4725339335199</v>
      </c>
      <c r="AB190" s="44" t="n">
        <f aca="false">MIN(100,MAX(Y190*(1+INDEX(Response_Table!$F$4:$F$21,MATCH($F190&amp;"|low",Response_Table!$A$4:$A$21,0))*$R190*INDEX(Parameters!$X$5:$AA$5,1,MATCH($E190,Parameters!$X$3:$AA$3,0))),Y190*(1+INDEX(Response_Table!$F$4:$F$21,MATCH($F190&amp;"|high",Response_Table!$A$4:$A$21,0))*$R190*INDEX(Parameters!$X$5:$AA$5,1,MATCH($E190,Parameters!$X$3:$AA$3,0))))*(1+Inputs_General!$C$22*Parameters!$F$5))</f>
        <v>65.1131295129212</v>
      </c>
      <c r="AC190" s="45" t="n">
        <f aca="false">IF(Y190=0,0,Z190/Y190-1)</f>
        <v>-0.0151390147167894</v>
      </c>
      <c r="AD190" s="44" t="n">
        <f aca="false">Parameters!$E$6*IF($N190="V",Parameters!$I$6,IF($N190="F",Parameters!$J$6,Parameters!$K$6))*(1-Parameters!$L$6*$P190)*IF($D190="V1",Parameters!$M$6,IF($D190="V2",Parameters!$N$6,Parameters!$O$6))</f>
        <v>14.3019785714286</v>
      </c>
      <c r="AE190" s="44" t="n">
        <f aca="false">AD190*(1+INDEX(Response_Table!$G$4:$G$21,MATCH($F190&amp;"|mid",Response_Table!$A$4:$A$21,0))*$R190*INDEX(Parameters!$X$6:$AA$6,1,MATCH($E190,Parameters!$X$3:$AA$3,0)))</f>
        <v>12.8429096096339</v>
      </c>
      <c r="AF190" s="44" t="n">
        <f aca="false">MAX(0,MIN(AD190*(1+INDEX(Response_Table!$G$4:$G$21,MATCH($F190&amp;"|low",Response_Table!$A$4:$A$21,0))*$R190*INDEX(Parameters!$X$6:$AA$6,1,MATCH($E190,Parameters!$X$3:$AA$3,0))),AD190*(1+INDEX(Response_Table!$G$4:$G$21,MATCH($F190&amp;"|high",Response_Table!$A$4:$A$21,0))*$R190*INDEX(Parameters!$X$6:$AA$6,1,MATCH($E190,Parameters!$X$3:$AA$3,0))))*(1-Inputs_General!$C$22*Parameters!$F$6))</f>
        <v>9.60862425659221</v>
      </c>
      <c r="AG190" s="44" t="n">
        <f aca="false">MAX(AD190*(1+INDEX(Response_Table!$G$4:$G$21,MATCH($F190&amp;"|low",Response_Table!$A$4:$A$21,0))*$R190*INDEX(Parameters!$X$6:$AA$6,1,MATCH($E190,Parameters!$X$3:$AA$3,0))),AD190*(1+INDEX(Response_Table!$G$4:$G$21,MATCH($F190&amp;"|high",Response_Table!$A$4:$A$21,0))*$R190*INDEX(Parameters!$X$6:$AA$6,1,MATCH($E190,Parameters!$X$3:$AA$3,0))))*(1+Inputs_General!$C$22*Parameters!$F$6)</f>
        <v>16.5170225548757</v>
      </c>
      <c r="AH190" s="45" t="n">
        <f aca="false">IF(AD190=0,0,AE190/AD190-1)</f>
        <v>-0.102018679059517</v>
      </c>
      <c r="AI190" s="46" t="n">
        <f aca="false">Parameters!$E$7*IF($N190="V",Parameters!$I$7,IF($N190="F",Parameters!$J$7,Parameters!$K$7))*(1-Parameters!$L$7*$P190)*IF($D190="V1",Parameters!$M$7,IF($D190="V2",Parameters!$N$7,Parameters!$O$7))*POWER($Q190/Inputs_General!$C$26,-Inputs_General!$C$25)</f>
        <v>0.258501574676089</v>
      </c>
      <c r="AJ190" s="46" t="n">
        <f aca="false">AI190*(1+INDEX(Response_Table!$H$4:$H$21,MATCH($F190&amp;"|mid",Response_Table!$A$4:$A$21,0))*$R190*INDEX(Parameters!$X$7:$AA$7,1,MATCH($E190,Parameters!$X$3:$AA$3,0)))</f>
        <v>0.242593593917496</v>
      </c>
      <c r="AK190" s="46" t="n">
        <f aca="false">MAX(0,MIN(AI190*(1+INDEX(Response_Table!$H$4:$H$21,MATCH($F190&amp;"|low",Response_Table!$A$4:$A$21,0))*$R190*INDEX(Parameters!$X$7:$AA$7,1,MATCH($E190,Parameters!$X$3:$AA$3,0))),AI190*(1+INDEX(Response_Table!$H$4:$H$21,MATCH($F190&amp;"|high",Response_Table!$A$4:$A$21,0))*$R190*INDEX(Parameters!$X$7:$AA$7,1,MATCH($E190,Parameters!$X$3:$AA$3,0))))*(1-Inputs_General!$C$22*Parameters!$F$7))</f>
        <v>0.163837244995882</v>
      </c>
      <c r="AL190" s="46" t="n">
        <f aca="false">MAX(AI190*(1+INDEX(Response_Table!$H$4:$H$21,MATCH($F190&amp;"|low",Response_Table!$A$4:$A$21,0))*$R190*INDEX(Parameters!$X$7:$AA$7,1,MATCH($E190,Parameters!$X$3:$AA$3,0))),AI190*(1+INDEX(Response_Table!$H$4:$H$21,MATCH($F190&amp;"|high",Response_Table!$A$4:$A$21,0))*$R190*INDEX(Parameters!$X$7:$AA$7,1,MATCH($E190,Parameters!$X$3:$AA$3,0))))*(1+Inputs_General!$C$22*Parameters!$F$7)</f>
        <v>0.327963929882015</v>
      </c>
      <c r="AM190" s="45" t="n">
        <f aca="false">IF(AI190=0,0,AJ190/AI190-1)</f>
        <v>-0.0615392025310718</v>
      </c>
      <c r="AN190" s="43" t="n">
        <f aca="false">AI190*$Q190/Inputs_General!$C$13*1000</f>
        <v>5.69967952720096</v>
      </c>
      <c r="AO190" s="43" t="n">
        <f aca="false">AJ190*$Q190/Inputs_General!$C$13*1000*(1+Inputs_General!$C$21*$I190)</f>
        <v>5.38904273787244</v>
      </c>
      <c r="AP190" s="43" t="n">
        <f aca="false">AK190*$Q190/Inputs_General!$C$13*1000*(1+Inputs_General!$C$21*$H190)</f>
        <v>3.62146475025077</v>
      </c>
      <c r="AQ190" s="43" t="n">
        <f aca="false">AL190*$Q190/Inputs_General!$C$13*1000*(1+Inputs_General!$C$21*$J190)</f>
        <v>7.32163978262245</v>
      </c>
      <c r="AR190" s="45" t="n">
        <f aca="false">IF(AN190=0,0,AO190/AN190-1)</f>
        <v>-0.0545007465500548</v>
      </c>
      <c r="AS190" s="42" t="n">
        <f aca="false">Parameters!$E$9*IF($N190="V",Parameters!$I$9,IF($N190="F",Parameters!$J$9,Parameters!$K$9))*(1-Parameters!$L$9*$P190)*IF($D190="V1",Parameters!$M$9,IF($D190="V2",Parameters!$N$9,Parameters!$O$9))</f>
        <v>293.55</v>
      </c>
      <c r="AT190" s="42" t="n">
        <f aca="false">AS190*(1+INDEX(Response_Table!$I$4:$I$21,MATCH($F190&amp;"|mid",Response_Table!$A$4:$A$21,0))*$R190*INDEX(Parameters!$X$9:$AA$9,1,MATCH($E190,Parameters!$X$3:$AA$3,0)))</f>
        <v>304.504186914554</v>
      </c>
      <c r="AU190" s="42" t="n">
        <f aca="false">MAX(0,MIN(AS190*(1+INDEX(Response_Table!$I$4:$I$21,MATCH($F190&amp;"|low",Response_Table!$A$4:$A$21,0))*$R190*INDEX(Parameters!$X$9:$AA$9,1,MATCH($E190,Parameters!$X$3:$AA$3,0))),AS190*(1+INDEX(Response_Table!$I$4:$I$21,MATCH($F190&amp;"|high",Response_Table!$A$4:$A$21,0))*$R190*INDEX(Parameters!$X$9:$AA$9,1,MATCH($E190,Parameters!$X$3:$AA$3,0))))*(1-Inputs_General!$C$22*Parameters!$F$9))</f>
        <v>268.000100162239</v>
      </c>
      <c r="AV190" s="42" t="n">
        <f aca="false">MAX(AS190*(1+INDEX(Response_Table!$I$4:$I$21,MATCH($F190&amp;"|low",Response_Table!$A$4:$A$21,0))*$R190*INDEX(Parameters!$X$9:$AA$9,1,MATCH($E190,Parameters!$X$3:$AA$3,0))),AS190*(1+INDEX(Response_Table!$I$4:$I$21,MATCH($F190&amp;"|high",Response_Table!$A$4:$A$21,0))*$R190*INDEX(Parameters!$X$9:$AA$9,1,MATCH($E190,Parameters!$X$3:$AA$3,0))))*(1+Inputs_General!$C$22*Parameters!$F$9)</f>
        <v>341.816363467518</v>
      </c>
      <c r="AW190" s="45" t="n">
        <f aca="false">IF(AS190=0,0,AT190/AS190-1)</f>
        <v>0.037316255883338</v>
      </c>
      <c r="AX190" s="43" t="n">
        <f aca="false">INDEX(Context!$AB$4:$AB$51,$K190)</f>
        <v>2.86350044433308</v>
      </c>
      <c r="AY190" s="43" t="n">
        <f aca="false">AX190*(1+INDEX(Response_Table!$J$4:$J$21,MATCH($F190&amp;"|mid",Response_Table!$A$4:$A$21,0))*$R190*INDEX(Parameters!$X$10:$AA$10,1,MATCH($E190,Parameters!$X$3:$AA$3,0)))</f>
        <v>2.76108169762603</v>
      </c>
      <c r="AZ190" s="43" t="n">
        <f aca="false">MAX(0,MIN(AX190*(1+INDEX(Response_Table!$J$4:$J$21,MATCH($F190&amp;"|low",Response_Table!$A$4:$A$21,0))*$R190*INDEX(Parameters!$X$10:$AA$10,1,MATCH($E190,Parameters!$X$3:$AA$3,0))),AX190*(1+INDEX(Response_Table!$J$4:$J$21,MATCH($F190&amp;"|high",Response_Table!$A$4:$A$21,0))*$R190*INDEX(Parameters!$X$10:$AA$10,1,MATCH($E190,Parameters!$X$3:$AA$3,0))))*(1-Inputs_General!$C$22*Parameters!$F$10))</f>
        <v>2.16457023153364</v>
      </c>
      <c r="BA190" s="43" t="n">
        <f aca="false">MAX(AX190*(1+INDEX(Response_Table!$J$4:$J$21,MATCH($F190&amp;"|low",Response_Table!$A$4:$A$21,0))*$R190*INDEX(Parameters!$X$10:$AA$10,1,MATCH($E190,Parameters!$X$3:$AA$3,0))),AX190*(1+INDEX(Response_Table!$J$4:$J$21,MATCH($F190&amp;"|high",Response_Table!$A$4:$A$21,0))*$R190*INDEX(Parameters!$X$10:$AA$10,1,MATCH($E190,Parameters!$X$3:$AA$3,0))))*(1+Inputs_General!$C$22*Parameters!$F$10)</f>
        <v>3.38685057678543</v>
      </c>
      <c r="BB190" s="45" t="n">
        <f aca="false">IF(AX190=0,0,AY190/AX190-1)</f>
        <v>-0.0357669742673663</v>
      </c>
      <c r="BC190" s="46" t="n">
        <f aca="false">Parameters!$E$11*IF($N190="V",Parameters!$I$11,IF($N190="F",Parameters!$J$11,Parameters!$K$11))*(1-Parameters!$L$11*$P190)*IF($D190="V1",Parameters!$M$11,IF($D190="V2",Parameters!$N$11,Parameters!$O$11))</f>
        <v>1.00170982142857</v>
      </c>
      <c r="BD190" s="46" t="n">
        <f aca="false">BC190*(1+INDEX(Response_Table!$K$4:$K$21,MATCH($F190&amp;"|mid",Response_Table!$A$4:$A$21,0))*$R190*INDEX(Parameters!$X$11:$AA$11,1,MATCH($E190,Parameters!$X$3:$AA$3,0)))</f>
        <v>0.936149688134127</v>
      </c>
      <c r="BE190" s="46" t="n">
        <f aca="false">MAX(0,MIN(BC190*(1+INDEX(Response_Table!$K$4:$K$21,MATCH($F190&amp;"|low",Response_Table!$A$4:$A$21,0))*$R190*INDEX(Parameters!$X$11:$AA$11,1,MATCH($E190,Parameters!$X$3:$AA$3,0))),BC190*(1+INDEX(Response_Table!$K$4:$K$21,MATCH($F190&amp;"|high",Response_Table!$A$4:$A$21,0))*$R190*INDEX(Parameters!$X$11:$AA$11,1,MATCH($E190,Parameters!$X$3:$AA$3,0))))*(1-Inputs_General!$C$22*Parameters!$F$11))</f>
        <v>0.748450819909097</v>
      </c>
      <c r="BF190" s="46" t="n">
        <f aca="false">MAX(BC190*(1+INDEX(Response_Table!$K$4:$K$21,MATCH($F190&amp;"|low",Response_Table!$A$4:$A$21,0))*$R190*INDEX(Parameters!$X$11:$AA$11,1,MATCH($E190,Parameters!$X$3:$AA$3,0))),BC190*(1+INDEX(Response_Table!$K$4:$K$21,MATCH($F190&amp;"|high",Response_Table!$A$4:$A$21,0))*$R190*INDEX(Parameters!$X$11:$AA$11,1,MATCH($E190,Parameters!$X$3:$AA$3,0))))*(1+Inputs_General!$C$22*Parameters!$F$11)</f>
        <v>1.14022428127016</v>
      </c>
      <c r="BG190" s="45" t="n">
        <f aca="false">IF(BC190=0,0,BD190/BC190-1)</f>
        <v>-0.0654482285108751</v>
      </c>
      <c r="BH190" s="46" t="n">
        <f aca="false">Parameters!$E$12*IF($N190="V",Parameters!$I$12,IF($N190="F",Parameters!$J$12,Parameters!$K$12))*(1-Parameters!$L$12*$P190)*IF($D190="V1",Parameters!$M$12,IF($D190="V2",Parameters!$N$12,Parameters!$O$12))</f>
        <v>0.373343142857143</v>
      </c>
      <c r="BI190" s="46" t="n">
        <f aca="false">BH190*(1+INDEX(Response_Table!$L$4:$L$21,MATCH($F190&amp;"|mid",Response_Table!$A$4:$A$21,0))*$R190*INDEX(Parameters!$X$12:$AA$12,1,MATCH($E190,Parameters!$X$3:$AA$3,0)))</f>
        <v>0.353902555772481</v>
      </c>
      <c r="BJ190" s="46" t="n">
        <f aca="false">MAX(0,MIN(BH190*(1+INDEX(Response_Table!$L$4:$L$21,MATCH($F190&amp;"|low",Response_Table!$A$4:$A$21,0))*$R190*INDEX(Parameters!$X$12:$AA$12,1,MATCH($E190,Parameters!$X$3:$AA$3,0))),BH190*(1+INDEX(Response_Table!$L$4:$L$21,MATCH($F190&amp;"|high",Response_Table!$A$4:$A$21,0))*$R190*INDEX(Parameters!$X$12:$AA$12,1,MATCH($E190,Parameters!$X$3:$AA$3,0))))*(1-Inputs_General!$C$22*Parameters!$F$12))</f>
        <v>0.274393603224165</v>
      </c>
      <c r="BK190" s="46" t="n">
        <f aca="false">MAX(BH190*(1+INDEX(Response_Table!$L$4:$L$21,MATCH($F190&amp;"|low",Response_Table!$A$4:$A$21,0))*$R190*INDEX(Parameters!$X$12:$AA$12,1,MATCH($E190,Parameters!$X$3:$AA$3,0))),BH190*(1+INDEX(Response_Table!$L$4:$L$21,MATCH($F190&amp;"|high",Response_Table!$A$4:$A$21,0))*$R190*INDEX(Parameters!$X$12:$AA$12,1,MATCH($E190,Parameters!$X$3:$AA$3,0))))*(1+Inputs_General!$C$22*Parameters!$F$12)</f>
        <v>0.43904778260664</v>
      </c>
      <c r="BL190" s="45" t="n">
        <f aca="false">IF(BH190=0,0,BI190/BH190-1)</f>
        <v>-0.052071632910907</v>
      </c>
      <c r="BM190" s="46" t="n">
        <f aca="false">Parameters!$E$13*IF($N190="V",Parameters!$I$13,IF($N190="F",Parameters!$J$13,Parameters!$K$13))*(1-Parameters!$L$13*$P190)*IF($D190="V1",Parameters!$M$13,IF($D190="V2",Parameters!$N$13,Parameters!$O$13))</f>
        <v>0.262276071428571</v>
      </c>
      <c r="BN190" s="46" t="n">
        <f aca="false">BM190*(1+INDEX(Response_Table!$M$4:$M$21,MATCH($F190&amp;"|mid",Response_Table!$A$4:$A$21,0))*$R190*INDEX(Parameters!$X$13:$AA$13,1,MATCH($E190,Parameters!$X$3:$AA$3,0)))</f>
        <v>0.26977285547991</v>
      </c>
      <c r="BO190" s="46" t="n">
        <f aca="false">MAX(0,MIN(BM190*(1+INDEX(Response_Table!$M$4:$M$21,MATCH($F190&amp;"|low",Response_Table!$A$4:$A$21,0))*$R190*INDEX(Parameters!$X$13:$AA$13,1,MATCH($E190,Parameters!$X$3:$AA$3,0))),BM190*(1+INDEX(Response_Table!$M$4:$M$21,MATCH($F190&amp;"|high",Response_Table!$A$4:$A$21,0))*$R190*INDEX(Parameters!$X$13:$AA$13,1,MATCH($E190,Parameters!$X$3:$AA$3,0))))*(1-Inputs_General!$C$22*Parameters!$F$13))</f>
        <v>0.213460690242096</v>
      </c>
      <c r="BP190" s="46" t="n">
        <f aca="false">MAX(BM190*(1+INDEX(Response_Table!$M$4:$M$21,MATCH($F190&amp;"|low",Response_Table!$A$4:$A$21,0))*$R190*INDEX(Parameters!$X$13:$AA$13,1,MATCH($E190,Parameters!$X$3:$AA$3,0))),BM190*(1+INDEX(Response_Table!$M$4:$M$21,MATCH($F190&amp;"|high",Response_Table!$A$4:$A$21,0))*$R190*INDEX(Parameters!$X$13:$AA$13,1,MATCH($E190,Parameters!$X$3:$AA$3,0))))*(1+Inputs_General!$C$22*Parameters!$F$13)</f>
        <v>0.3232796492781</v>
      </c>
      <c r="BQ190" s="45" t="n">
        <f aca="false">IF(BM190=0,0,BN190/BM190-1)</f>
        <v>0.0285835608658662</v>
      </c>
      <c r="BR190" s="44" t="n">
        <f aca="false">Parameters!$E$14*IF($N190="V",Parameters!$I$14,IF($N190="F",Parameters!$J$14,Parameters!$K$14))*(1-Parameters!$L$14*$P190)*IF($D190="V1",Parameters!$M$14,IF($D190="V2",Parameters!$N$14,Parameters!$O$14))*INDEX(Context!$AC$4:$AC$51,$K190)</f>
        <v>17.25</v>
      </c>
      <c r="BS190" s="44" t="n">
        <f aca="false">BR190*(1+INDEX(Response_Table!$N$4:$N$21,MATCH($F190&amp;"|mid",Response_Table!$A$4:$A$21,0))*$R190*INDEX(Parameters!$X$14:$AA$14,1,MATCH($E190,Parameters!$X$3:$AA$3,0)))</f>
        <v>18.2298934556871</v>
      </c>
      <c r="BT190" s="44" t="n">
        <f aca="false">MAX(0,MIN(BR190*(1+INDEX(Response_Table!$N$4:$N$21,MATCH($F190&amp;"|low",Response_Table!$A$4:$A$21,0))*$R190*INDEX(Parameters!$X$14:$AA$14,1,MATCH($E190,Parameters!$X$3:$AA$3,0))),BR190*(1+INDEX(Response_Table!$N$4:$N$21,MATCH($F190&amp;"|high",Response_Table!$A$4:$A$21,0))*$R190*INDEX(Parameters!$X$14:$AA$14,1,MATCH($E190,Parameters!$X$3:$AA$3,0))))*(1-Inputs_General!$C$22*Parameters!$F$14))</f>
        <v>8.90755090467869</v>
      </c>
      <c r="BU190" s="44" t="n">
        <f aca="false">MAX(BR190*(1+INDEX(Response_Table!$N$4:$N$21,MATCH($F190&amp;"|low",Response_Table!$A$4:$A$21,0))*$R190*INDEX(Parameters!$X$14:$AA$14,1,MATCH($E190,Parameters!$X$3:$AA$3,0))),BR190*(1+INDEX(Response_Table!$N$4:$N$21,MATCH($F190&amp;"|high",Response_Table!$A$4:$A$21,0))*$R190*INDEX(Parameters!$X$14:$AA$14,1,MATCH($E190,Parameters!$X$3:$AA$3,0))))*(1+Inputs_General!$C$22*Parameters!$F$14)</f>
        <v>28.1313265746265</v>
      </c>
      <c r="BV190" s="45" t="n">
        <f aca="false">IF(BR190=0,0,BS190/BR190-1)</f>
        <v>0.0568054177209894</v>
      </c>
      <c r="BW190" s="43" t="n">
        <f aca="false">Parameters!$E$15*IF($N190="V",Parameters!$I$15,IF($N190="F",Parameters!$J$15,Parameters!$K$15))*(1-Parameters!$L$15*$P190)*IF($D190="V1",Parameters!$M$15,IF($D190="V2",Parameters!$N$15,Parameters!$O$15))</f>
        <v>8.34931028571429</v>
      </c>
      <c r="BX190" s="43" t="n">
        <f aca="false">BW190*(1+INDEX(Response_Table!$O$4:$O$21,MATCH($F190&amp;"|mid",Response_Table!$A$4:$A$21,0))*$R190*INDEX(Parameters!$X$15:$AA$15,1,MATCH($E190,Parameters!$X$3:$AA$3,0)))</f>
        <v>8.23073877109875</v>
      </c>
      <c r="BY190" s="43" t="n">
        <f aca="false">MAX(0,MIN(BW190*(1+INDEX(Response_Table!$O$4:$O$21,MATCH($F190&amp;"|low",Response_Table!$A$4:$A$21,0))*$R190*INDEX(Parameters!$X$15:$AA$15,1,MATCH($E190,Parameters!$X$3:$AA$3,0))),BW190*(1+INDEX(Response_Table!$O$4:$O$21,MATCH($F190&amp;"|high",Response_Table!$A$4:$A$21,0))*$R190*INDEX(Parameters!$X$15:$AA$15,1,MATCH($E190,Parameters!$X$3:$AA$3,0))))*(1-Inputs_General!$C$22*Parameters!$F$15))</f>
        <v>6.5471425246867</v>
      </c>
      <c r="BZ190" s="43" t="n">
        <f aca="false">MAX(BW190*(1+INDEX(Response_Table!$O$4:$O$21,MATCH($F190&amp;"|low",Response_Table!$A$4:$A$21,0))*$R190*INDEX(Parameters!$X$15:$AA$15,1,MATCH($E190,Parameters!$X$3:$AA$3,0))),BW190*(1+INDEX(Response_Table!$O$4:$O$21,MATCH($F190&amp;"|high",Response_Table!$A$4:$A$21,0))*$R190*INDEX(Parameters!$X$15:$AA$15,1,MATCH($E190,Parameters!$X$3:$AA$3,0))))*(1+Inputs_General!$C$22*Parameters!$F$15)</f>
        <v>9.94871163257651</v>
      </c>
      <c r="CA190" s="45" t="n">
        <f aca="false">IF(BW190=0,0,BX190/BW190-1)</f>
        <v>-0.0142013544302474</v>
      </c>
      <c r="CB190" s="46" t="n">
        <f aca="false">BD190+BI190</f>
        <v>1.29005224390661</v>
      </c>
      <c r="CC190" s="43" t="n">
        <f aca="false">BD190/BI190</f>
        <v>2.64521878371504</v>
      </c>
      <c r="CD190" s="46" t="n">
        <f aca="false">BN190/CB190</f>
        <v>0.20911777546541</v>
      </c>
      <c r="CE190" s="43" t="n">
        <f aca="false">AE190/AO190</f>
        <v>2.38315230261176</v>
      </c>
      <c r="CF190" s="44" t="n">
        <f aca="false">AE190/AJ190</f>
        <v>52.9400195703505</v>
      </c>
      <c r="CG190" s="44" t="n">
        <f aca="false">INDEX(Context!$V$4:$V$51,$K190)</f>
        <v>32.7871428571429</v>
      </c>
      <c r="CH190" s="44" t="n">
        <f aca="false">INDEX(Context!$Y$4:$Y$51,$K190)</f>
        <v>28.36912210206</v>
      </c>
      <c r="CI190" s="44" t="n">
        <f aca="false">INDEX(Context!$Z$4:$Z$51,$K190)</f>
        <v>36.7871428571429</v>
      </c>
      <c r="CJ190" s="43" t="n">
        <f aca="false">INDEX(Context!$AA$4:$AA$51,$K190)</f>
        <v>0.347678571428571</v>
      </c>
      <c r="CK190" s="43" t="n">
        <f aca="false">MAX(0,MIN(1,1-(1-CJ190)*AO190/AN190))</f>
        <v>0.383230576276312</v>
      </c>
      <c r="CL190" s="44" t="n">
        <f aca="false">CH190+CK190*(CI190-CH190)</f>
        <v>31.5951650471364</v>
      </c>
      <c r="CM190" s="44" t="n">
        <f aca="false">CH190+MAX(0,MIN(1,1-(1-CJ190)*AQ190/AN190))*(CI190-CH190)</f>
        <v>29.733238642005</v>
      </c>
      <c r="CN190" s="44" t="n">
        <f aca="false">CH190+MAX(0,MIN(1,1-(1-CJ190)*AP190/AN190))*(CI190-CH190)</f>
        <v>33.2981067634254</v>
      </c>
      <c r="CO190" s="44" t="n">
        <f aca="false">CL190-CG190</f>
        <v>-1.19197781000647</v>
      </c>
      <c r="CP190" s="44" t="n">
        <f aca="false">CL190-(CH190+CJ190*(CI190-CH190))</f>
        <v>0.299277514693088</v>
      </c>
      <c r="CQ190" s="46" t="n">
        <f aca="false">CL190/CG190</f>
        <v>0.963644962441526</v>
      </c>
      <c r="CR190" s="43" t="n">
        <f aca="false">IF(CL190-CH190&lt;=0,"n/a",(CI190-CL190)/(CL190-CH190))</f>
        <v>1.6093951315591</v>
      </c>
      <c r="CS190" s="43" t="n">
        <f aca="false">IF(CI190-CL190&lt;=0,"n/a",(CL190-CH190)/(CI190-CL190))</f>
        <v>0.621351450859211</v>
      </c>
      <c r="CT190" s="43" t="n">
        <f aca="false">Inputs_General!$C$23+Inputs_General!$C$24*$I190</f>
        <v>0.66</v>
      </c>
      <c r="CU190" s="44" t="n">
        <f aca="false">3.29*CT190</f>
        <v>2.1714</v>
      </c>
    </row>
    <row r="191" customFormat="false" ht="15" hidden="false" customHeight="false" outlineLevel="0" collapsed="false">
      <c r="A191" s="9" t="str">
        <f aca="false">B191&amp;"|"&amp;E191&amp;"|"&amp;F191</f>
        <v>D3V2|13/03/2026|Low</v>
      </c>
      <c r="B191" s="7" t="s">
        <v>350</v>
      </c>
      <c r="C191" s="9" t="s">
        <v>131</v>
      </c>
      <c r="D191" s="9" t="s">
        <v>146</v>
      </c>
      <c r="E191" s="9" t="s">
        <v>164</v>
      </c>
      <c r="F191" s="7" t="s">
        <v>279</v>
      </c>
      <c r="G191" s="9" t="s">
        <v>280</v>
      </c>
      <c r="H191" s="41" t="n">
        <f aca="false">INDEX(Severity_Classes!$C$4:$C$9,MATCH(F191,Severity_Classes!$A$4:$A$9,0))</f>
        <v>0.06</v>
      </c>
      <c r="I191" s="41" t="n">
        <f aca="false">INDEX(Severity_Classes!$D$4:$D$9,MATCH(F191,Severity_Classes!$A$4:$A$9,0))</f>
        <v>0.08</v>
      </c>
      <c r="J191" s="41" t="n">
        <f aca="false">INDEX(Severity_Classes!$E$4:$E$9,MATCH(F191,Severity_Classes!$A$4:$A$9,0))</f>
        <v>0.1</v>
      </c>
      <c r="K191" s="42" t="n">
        <f aca="false">MATCH(B191&amp;"|"&amp;E191,Context!$A$4:$A$51,0)</f>
        <v>32</v>
      </c>
      <c r="L191" s="42" t="n">
        <f aca="false">INDEX(Context!$H$4:$H$51,K191)</f>
        <v>76</v>
      </c>
      <c r="M191" s="42" t="n">
        <f aca="false">INDEX(Context!$I$4:$I$51,K191)</f>
        <v>36</v>
      </c>
      <c r="N191" s="9" t="str">
        <f aca="false">INDEX(Context!$L$4:$L$51,K191)</f>
        <v>P</v>
      </c>
      <c r="O191" s="9" t="str">
        <f aca="false">INDEX(Context!$M$4:$M$51,K191)</f>
        <v>5th fully expanded leaf from top</v>
      </c>
      <c r="P191" s="43" t="n">
        <f aca="false">INDEX(Context!$R$4:$R$51,K191)</f>
        <v>0.953571428571428</v>
      </c>
      <c r="Q191" s="43" t="n">
        <f aca="false">INDEX(Context!$U$4:$U$51,K191)</f>
        <v>2.18945736698217</v>
      </c>
      <c r="R191" s="43" t="n">
        <f aca="false">INDEX(Context!$AD$4:$AD$51,K191)</f>
        <v>1.1</v>
      </c>
      <c r="S191" s="9" t="str">
        <f aca="false">INDEX(Context!$AI$4:$AN$51,K191,MATCH(F191,Severity_Classes!$A$4:$A$9,0))</f>
        <v>Possible</v>
      </c>
      <c r="T191" s="44" t="n">
        <f aca="false">Parameters!$E$4*IF($N191="V",Parameters!$I$4,IF($N191="F",Parameters!$J$4,Parameters!$K$4))*(1-Parameters!$L$4*$P191)*IF($D191="V1",Parameters!$M$4,IF($D191="V2",Parameters!$N$4,Parameters!$O$4))</f>
        <v>77.8046607142857</v>
      </c>
      <c r="U191" s="44" t="n">
        <f aca="false">MIN(100,T191*(1+INDEX(Response_Table!$E$4:$E$21,MATCH($F191&amp;"|mid",Response_Table!$A$4:$A$21,0))*$R191*INDEX(Parameters!$X$4:$AA$4,1,MATCH($E191,Parameters!$X$3:$AA$3,0))))</f>
        <v>76.6134334119642</v>
      </c>
      <c r="V191" s="44" t="n">
        <f aca="false">MAX(0,MIN(T191*(1+INDEX(Response_Table!$E$4:$E$21,MATCH($F191&amp;"|low",Response_Table!$A$4:$A$21,0))*$R191*INDEX(Parameters!$X$4:$AA$4,1,MATCH($E191,Parameters!$X$3:$AA$3,0))),T191*(1+INDEX(Response_Table!$E$4:$E$21,MATCH($F191&amp;"|high",Response_Table!$A$4:$A$21,0))*$R191*INDEX(Parameters!$X$4:$AA$4,1,MATCH($E191,Parameters!$X$3:$AA$3,0))))*(1-Inputs_General!$C$22*Parameters!$F$4))</f>
        <v>71.1834548541513</v>
      </c>
      <c r="W191" s="44" t="n">
        <f aca="false">MIN(100,MAX(T191*(1+INDEX(Response_Table!$E$4:$E$21,MATCH($F191&amp;"|low",Response_Table!$A$4:$A$21,0))*$R191*INDEX(Parameters!$X$4:$AA$4,1,MATCH($E191,Parameters!$X$3:$AA$3,0))),T191*(1+INDEX(Response_Table!$E$4:$E$21,MATCH($F191&amp;"|high",Response_Table!$A$4:$A$21,0))*$R191*INDEX(Parameters!$X$4:$AA$4,1,MATCH($E191,Parameters!$X$3:$AA$3,0))))*(1+Inputs_General!$C$22*Parameters!$F$4))</f>
        <v>82.0422529467218</v>
      </c>
      <c r="X191" s="45" t="n">
        <f aca="false">IF(T191=0,0,U191/T191-1)</f>
        <v>-0.0153104877186722</v>
      </c>
      <c r="Y191" s="44" t="n">
        <f aca="false">Parameters!$E$5*IF($N191="V",Parameters!$I$5,IF($N191="F",Parameters!$J$5,Parameters!$K$5))*(1-Parameters!$L$5*$P191)*IF($D191="V1",Parameters!$M$5,IF($D191="V2",Parameters!$N$5,Parameters!$O$5))</f>
        <v>58.6602514285714</v>
      </c>
      <c r="Z191" s="44" t="n">
        <f aca="false">MIN(100,Y191*(1+INDEX(Response_Table!$F$4:$F$21,MATCH($F191&amp;"|mid",Response_Table!$A$4:$A$21,0))*$R191*INDEX(Parameters!$X$5:$AA$5,1,MATCH($E191,Parameters!$X$3:$AA$3,0))))</f>
        <v>55.6953259590608</v>
      </c>
      <c r="AA191" s="44" t="n">
        <f aca="false">MAX(0,MIN(Y191*(1+INDEX(Response_Table!$F$4:$F$21,MATCH($F191&amp;"|low",Response_Table!$A$4:$A$21,0))*$R191*INDEX(Parameters!$X$5:$AA$5,1,MATCH($E191,Parameters!$X$3:$AA$3,0))),Y191*(1+INDEX(Response_Table!$F$4:$F$21,MATCH($F191&amp;"|high",Response_Table!$A$4:$A$21,0))*$R191*INDEX(Parameters!$X$5:$AA$5,1,MATCH($E191,Parameters!$X$3:$AA$3,0))))*(1-Inputs_General!$C$22*Parameters!$F$5))</f>
        <v>48.321780817469</v>
      </c>
      <c r="AB191" s="44" t="n">
        <f aca="false">MIN(100,MAX(Y191*(1+INDEX(Response_Table!$F$4:$F$21,MATCH($F191&amp;"|low",Response_Table!$A$4:$A$21,0))*$R191*INDEX(Parameters!$X$5:$AA$5,1,MATCH($E191,Parameters!$X$3:$AA$3,0))),Y191*(1+INDEX(Response_Table!$F$4:$F$21,MATCH($F191&amp;"|high",Response_Table!$A$4:$A$21,0))*$R191*INDEX(Parameters!$X$5:$AA$5,1,MATCH($E191,Parameters!$X$3:$AA$3,0))))*(1+Inputs_General!$C$22*Parameters!$F$5))</f>
        <v>63.1480350325201</v>
      </c>
      <c r="AC191" s="45" t="n">
        <f aca="false">IF(Y191=0,0,Z191/Y191-1)</f>
        <v>-0.0505440293436337</v>
      </c>
      <c r="AD191" s="44" t="n">
        <f aca="false">Parameters!$E$6*IF($N191="V",Parameters!$I$6,IF($N191="F",Parameters!$J$6,Parameters!$K$6))*(1-Parameters!$L$6*$P191)*IF($D191="V1",Parameters!$M$6,IF($D191="V2",Parameters!$N$6,Parameters!$O$6))</f>
        <v>14.3019785714286</v>
      </c>
      <c r="AE191" s="44" t="n">
        <f aca="false">AD191*(1+INDEX(Response_Table!$G$4:$G$21,MATCH($F191&amp;"|mid",Response_Table!$A$4:$A$21,0))*$R191*INDEX(Parameters!$X$6:$AA$6,1,MATCH($E191,Parameters!$X$3:$AA$3,0)))</f>
        <v>10.8009414682293</v>
      </c>
      <c r="AF191" s="44" t="n">
        <f aca="false">MAX(0,MIN(AD191*(1+INDEX(Response_Table!$G$4:$G$21,MATCH($F191&amp;"|low",Response_Table!$A$4:$A$21,0))*$R191*INDEX(Parameters!$X$6:$AA$6,1,MATCH($E191,Parameters!$X$3:$AA$3,0))),AD191*(1+INDEX(Response_Table!$G$4:$G$21,MATCH($F191&amp;"|high",Response_Table!$A$4:$A$21,0))*$R191*INDEX(Parameters!$X$6:$AA$6,1,MATCH($E191,Parameters!$X$3:$AA$3,0))))*(1-Inputs_General!$C$22*Parameters!$F$6))</f>
        <v>8.10779874646909</v>
      </c>
      <c r="AG191" s="44" t="n">
        <f aca="false">MAX(AD191*(1+INDEX(Response_Table!$G$4:$G$21,MATCH($F191&amp;"|low",Response_Table!$A$4:$A$21,0))*$R191*INDEX(Parameters!$X$6:$AA$6,1,MATCH($E191,Parameters!$X$3:$AA$3,0))),AD191*(1+INDEX(Response_Table!$G$4:$G$21,MATCH($F191&amp;"|high",Response_Table!$A$4:$A$21,0))*$R191*INDEX(Parameters!$X$6:$AA$6,1,MATCH($E191,Parameters!$X$3:$AA$3,0))))*(1+Inputs_General!$C$22*Parameters!$F$6)</f>
        <v>13.8470541005926</v>
      </c>
      <c r="AH191" s="45" t="n">
        <f aca="false">IF(AD191=0,0,AE191/AD191-1)</f>
        <v>-0.244793899369519</v>
      </c>
      <c r="AI191" s="46" t="n">
        <f aca="false">Parameters!$E$7*IF($N191="V",Parameters!$I$7,IF($N191="F",Parameters!$J$7,Parameters!$K$7))*(1-Parameters!$L$7*$P191)*IF($D191="V1",Parameters!$M$7,IF($D191="V2",Parameters!$N$7,Parameters!$O$7))*POWER($Q191/Inputs_General!$C$26,-Inputs_General!$C$25)</f>
        <v>0.258501574676089</v>
      </c>
      <c r="AJ191" s="46" t="n">
        <f aca="false">AI191*(1+INDEX(Response_Table!$H$4:$H$21,MATCH($F191&amp;"|mid",Response_Table!$A$4:$A$21,0))*$R191*INDEX(Parameters!$X$7:$AA$7,1,MATCH($E191,Parameters!$X$3:$AA$3,0)))</f>
        <v>0.219064295433084</v>
      </c>
      <c r="AK191" s="46" t="n">
        <f aca="false">MAX(0,MIN(AI191*(1+INDEX(Response_Table!$H$4:$H$21,MATCH($F191&amp;"|low",Response_Table!$A$4:$A$21,0))*$R191*INDEX(Parameters!$X$7:$AA$7,1,MATCH($E191,Parameters!$X$3:$AA$3,0))),AI191*(1+INDEX(Response_Table!$H$4:$H$21,MATCH($F191&amp;"|high",Response_Table!$A$4:$A$21,0))*$R191*INDEX(Parameters!$X$7:$AA$7,1,MATCH($E191,Parameters!$X$3:$AA$3,0))))*(1-Inputs_General!$C$22*Parameters!$F$7))</f>
        <v>0.148239483497596</v>
      </c>
      <c r="AL191" s="46" t="n">
        <f aca="false">MAX(AI191*(1+INDEX(Response_Table!$H$4:$H$21,MATCH($F191&amp;"|low",Response_Table!$A$4:$A$21,0))*$R191*INDEX(Parameters!$X$7:$AA$7,1,MATCH($E191,Parameters!$X$3:$AA$3,0))),AI191*(1+INDEX(Response_Table!$H$4:$H$21,MATCH($F191&amp;"|high",Response_Table!$A$4:$A$21,0))*$R191*INDEX(Parameters!$X$7:$AA$7,1,MATCH($E191,Parameters!$X$3:$AA$3,0))))*(1+Inputs_General!$C$22*Parameters!$F$7)</f>
        <v>0.295581818772371</v>
      </c>
      <c r="AM191" s="45" t="n">
        <f aca="false">IF(AI191=0,0,AJ191/AI191-1)</f>
        <v>-0.152561079337414</v>
      </c>
      <c r="AN191" s="43" t="n">
        <f aca="false">AI191*$Q191/Inputs_General!$C$13*1000</f>
        <v>5.69967952720096</v>
      </c>
      <c r="AO191" s="43" t="n">
        <f aca="false">AJ191*$Q191/Inputs_General!$C$13*1000*(1+Inputs_General!$C$21*$I191)</f>
        <v>4.92673287198689</v>
      </c>
      <c r="AP191" s="43" t="n">
        <f aca="false">AK191*$Q191/Inputs_General!$C$13*1000*(1+Inputs_General!$C$21*$H191)</f>
        <v>3.31754773071264</v>
      </c>
      <c r="AQ191" s="43" t="n">
        <f aca="false">AL191*$Q191/Inputs_General!$C$13*1000*(1+Inputs_General!$C$21*$J191)</f>
        <v>6.6801901855346</v>
      </c>
      <c r="AR191" s="45" t="n">
        <f aca="false">IF(AN191=0,0,AO191/AN191-1)</f>
        <v>-0.135612300924163</v>
      </c>
      <c r="AS191" s="42" t="n">
        <f aca="false">Parameters!$E$9*IF($N191="V",Parameters!$I$9,IF($N191="F",Parameters!$J$9,Parameters!$K$9))*(1-Parameters!$L$9*$P191)*IF($D191="V1",Parameters!$M$9,IF($D191="V2",Parameters!$N$9,Parameters!$O$9))</f>
        <v>293.55</v>
      </c>
      <c r="AT191" s="42" t="n">
        <f aca="false">AS191*(1+INDEX(Response_Table!$I$4:$I$21,MATCH($F191&amp;"|mid",Response_Table!$A$4:$A$21,0))*$R191*INDEX(Parameters!$X$9:$AA$9,1,MATCH($E191,Parameters!$X$3:$AA$3,0)))</f>
        <v>320.078353555116</v>
      </c>
      <c r="AU191" s="42" t="n">
        <f aca="false">MAX(0,MIN(AS191*(1+INDEX(Response_Table!$I$4:$I$21,MATCH($F191&amp;"|low",Response_Table!$A$4:$A$21,0))*$R191*INDEX(Parameters!$X$9:$AA$9,1,MATCH($E191,Parameters!$X$3:$AA$3,0))),AS191*(1+INDEX(Response_Table!$I$4:$I$21,MATCH($F191&amp;"|high",Response_Table!$A$4:$A$21,0))*$R191*INDEX(Parameters!$X$9:$AA$9,1,MATCH($E191,Parameters!$X$3:$AA$3,0))))*(1-Inputs_General!$C$22*Parameters!$F$9))</f>
        <v>283.206196823926</v>
      </c>
      <c r="AV191" s="42" t="n">
        <f aca="false">MAX(AS191*(1+INDEX(Response_Table!$I$4:$I$21,MATCH($F191&amp;"|low",Response_Table!$A$4:$A$21,0))*$R191*INDEX(Parameters!$X$9:$AA$9,1,MATCH($E191,Parameters!$X$3:$AA$3,0))),AS191*(1+INDEX(Response_Table!$I$4:$I$21,MATCH($F191&amp;"|high",Response_Table!$A$4:$A$21,0))*$R191*INDEX(Parameters!$X$9:$AA$9,1,MATCH($E191,Parameters!$X$3:$AA$3,0))))*(1+Inputs_General!$C$22*Parameters!$F$9)</f>
        <v>357.612118257346</v>
      </c>
      <c r="AW191" s="45" t="n">
        <f aca="false">IF(AS191=0,0,AT191/AS191-1)</f>
        <v>0.0903708177656819</v>
      </c>
      <c r="AX191" s="43" t="n">
        <f aca="false">INDEX(Context!$AB$4:$AB$51,$K191)</f>
        <v>2.86350044433308</v>
      </c>
      <c r="AY191" s="43" t="n">
        <f aca="false">AX191*(1+INDEX(Response_Table!$J$4:$J$21,MATCH($F191&amp;"|mid",Response_Table!$A$4:$A$21,0))*$R191*INDEX(Parameters!$X$10:$AA$10,1,MATCH($E191,Parameters!$X$3:$AA$3,0)))</f>
        <v>2.60656348262605</v>
      </c>
      <c r="AZ191" s="43" t="n">
        <f aca="false">MAX(0,MIN(AX191*(1+INDEX(Response_Table!$J$4:$J$21,MATCH($F191&amp;"|low",Response_Table!$A$4:$A$21,0))*$R191*INDEX(Parameters!$X$10:$AA$10,1,MATCH($E191,Parameters!$X$3:$AA$3,0))),AX191*(1+INDEX(Response_Table!$J$4:$J$21,MATCH($F191&amp;"|high",Response_Table!$A$4:$A$21,0))*$R191*INDEX(Parameters!$X$10:$AA$10,1,MATCH($E191,Parameters!$X$3:$AA$3,0))))*(1-Inputs_General!$C$22*Parameters!$F$10))</f>
        <v>2.04660225944109</v>
      </c>
      <c r="BA191" s="43" t="n">
        <f aca="false">MAX(AX191*(1+INDEX(Response_Table!$J$4:$J$21,MATCH($F191&amp;"|low",Response_Table!$A$4:$A$21,0))*$R191*INDEX(Parameters!$X$10:$AA$10,1,MATCH($E191,Parameters!$X$3:$AA$3,0))),AX191*(1+INDEX(Response_Table!$J$4:$J$21,MATCH($F191&amp;"|high",Response_Table!$A$4:$A$21,0))*$R191*INDEX(Parameters!$X$10:$AA$10,1,MATCH($E191,Parameters!$X$3:$AA$3,0))))*(1+Inputs_General!$C$22*Parameters!$F$10)</f>
        <v>3.19234428222028</v>
      </c>
      <c r="BB191" s="45" t="n">
        <f aca="false">IF(AX191=0,0,AY191/AX191-1)</f>
        <v>-0.089728277226399</v>
      </c>
      <c r="BC191" s="46" t="n">
        <f aca="false">Parameters!$E$11*IF($N191="V",Parameters!$I$11,IF($N191="F",Parameters!$J$11,Parameters!$K$11))*(1-Parameters!$L$11*$P191)*IF($D191="V1",Parameters!$M$11,IF($D191="V2",Parameters!$N$11,Parameters!$O$11))</f>
        <v>1.00170982142857</v>
      </c>
      <c r="BD191" s="46" t="n">
        <f aca="false">BC191*(1+INDEX(Response_Table!$K$4:$K$21,MATCH($F191&amp;"|mid",Response_Table!$A$4:$A$21,0))*$R191*INDEX(Parameters!$X$11:$AA$11,1,MATCH($E191,Parameters!$X$3:$AA$3,0)))</f>
        <v>0.839945212630404</v>
      </c>
      <c r="BE191" s="46" t="n">
        <f aca="false">MAX(0,MIN(BC191*(1+INDEX(Response_Table!$K$4:$K$21,MATCH($F191&amp;"|low",Response_Table!$A$4:$A$21,0))*$R191*INDEX(Parameters!$X$11:$AA$11,1,MATCH($E191,Parameters!$X$3:$AA$3,0))),BC191*(1+INDEX(Response_Table!$K$4:$K$21,MATCH($F191&amp;"|high",Response_Table!$A$4:$A$21,0))*$R191*INDEX(Parameters!$X$11:$AA$11,1,MATCH($E191,Parameters!$X$3:$AA$3,0))))*(1-Inputs_General!$C$22*Parameters!$F$11))</f>
        <v>0.673055066804828</v>
      </c>
      <c r="BF191" s="46" t="n">
        <f aca="false">MAX(BC191*(1+INDEX(Response_Table!$K$4:$K$21,MATCH($F191&amp;"|low",Response_Table!$A$4:$A$21,0))*$R191*INDEX(Parameters!$X$11:$AA$11,1,MATCH($E191,Parameters!$X$3:$AA$3,0))),BC191*(1+INDEX(Response_Table!$K$4:$K$21,MATCH($F191&amp;"|high",Response_Table!$A$4:$A$21,0))*$R191*INDEX(Parameters!$X$11:$AA$11,1,MATCH($E191,Parameters!$X$3:$AA$3,0))))*(1+Inputs_General!$C$22*Parameters!$F$11)</f>
        <v>1.02078983072871</v>
      </c>
      <c r="BG191" s="45" t="n">
        <f aca="false">IF(BC191=0,0,BD191/BC191-1)</f>
        <v>-0.161488492313542</v>
      </c>
      <c r="BH191" s="46" t="n">
        <f aca="false">Parameters!$E$12*IF($N191="V",Parameters!$I$12,IF($N191="F",Parameters!$J$12,Parameters!$K$12))*(1-Parameters!$L$12*$P191)*IF($D191="V1",Parameters!$M$12,IF($D191="V2",Parameters!$N$12,Parameters!$O$12))</f>
        <v>0.373343142857143</v>
      </c>
      <c r="BI191" s="46" t="n">
        <f aca="false">BH191*(1+INDEX(Response_Table!$L$4:$L$21,MATCH($F191&amp;"|mid",Response_Table!$A$4:$A$21,0))*$R191*INDEX(Parameters!$X$12:$AA$12,1,MATCH($E191,Parameters!$X$3:$AA$3,0)))</f>
        <v>0.325148222763867</v>
      </c>
      <c r="BJ191" s="46" t="n">
        <f aca="false">MAX(0,MIN(BH191*(1+INDEX(Response_Table!$L$4:$L$21,MATCH($F191&amp;"|low",Response_Table!$A$4:$A$21,0))*$R191*INDEX(Parameters!$X$12:$AA$12,1,MATCH($E191,Parameters!$X$3:$AA$3,0))),BH191*(1+INDEX(Response_Table!$L$4:$L$21,MATCH($F191&amp;"|high",Response_Table!$A$4:$A$21,0))*$R191*INDEX(Parameters!$X$12:$AA$12,1,MATCH($E191,Parameters!$X$3:$AA$3,0))))*(1-Inputs_General!$C$22*Parameters!$F$12))</f>
        <v>0.25265934690402</v>
      </c>
      <c r="BK191" s="46" t="n">
        <f aca="false">MAX(BH191*(1+INDEX(Response_Table!$L$4:$L$21,MATCH($F191&amp;"|low",Response_Table!$A$4:$A$21,0))*$R191*INDEX(Parameters!$X$12:$AA$12,1,MATCH($E191,Parameters!$X$3:$AA$3,0))),BH191*(1+INDEX(Response_Table!$L$4:$L$21,MATCH($F191&amp;"|high",Response_Table!$A$4:$A$21,0))*$R191*INDEX(Parameters!$X$12:$AA$12,1,MATCH($E191,Parameters!$X$3:$AA$3,0))))*(1+Inputs_General!$C$22*Parameters!$F$12)</f>
        <v>0.402488284858857</v>
      </c>
      <c r="BL191" s="45" t="n">
        <f aca="false">IF(BH191=0,0,BI191/BH191-1)</f>
        <v>-0.129090144054735</v>
      </c>
      <c r="BM191" s="46" t="n">
        <f aca="false">Parameters!$E$13*IF($N191="V",Parameters!$I$13,IF($N191="F",Parameters!$J$13,Parameters!$K$13))*(1-Parameters!$L$13*$P191)*IF($D191="V1",Parameters!$M$13,IF($D191="V2",Parameters!$N$13,Parameters!$O$13))</f>
        <v>0.262276071428571</v>
      </c>
      <c r="BN191" s="46" t="n">
        <f aca="false">BM191*(1+INDEX(Response_Table!$M$4:$M$21,MATCH($F191&amp;"|mid",Response_Table!$A$4:$A$21,0))*$R191*INDEX(Parameters!$X$13:$AA$13,1,MATCH($E191,Parameters!$X$3:$AA$3,0)))</f>
        <v>0.26584294773351</v>
      </c>
      <c r="BO191" s="46" t="n">
        <f aca="false">MAX(0,MIN(BM191*(1+INDEX(Response_Table!$M$4:$M$21,MATCH($F191&amp;"|low",Response_Table!$A$4:$A$21,0))*$R191*INDEX(Parameters!$X$13:$AA$13,1,MATCH($E191,Parameters!$X$3:$AA$3,0))),BM191*(1+INDEX(Response_Table!$M$4:$M$21,MATCH($F191&amp;"|high",Response_Table!$A$4:$A$21,0))*$R191*INDEX(Parameters!$X$13:$AA$13,1,MATCH($E191,Parameters!$X$3:$AA$3,0))))*(1-Inputs_General!$C$22*Parameters!$F$13))</f>
        <v>0.209652347317448</v>
      </c>
      <c r="BP191" s="46" t="n">
        <f aca="false">MAX(BM191*(1+INDEX(Response_Table!$M$4:$M$21,MATCH($F191&amp;"|low",Response_Table!$A$4:$A$21,0))*$R191*INDEX(Parameters!$X$13:$AA$13,1,MATCH($E191,Parameters!$X$3:$AA$3,0))),BM191*(1+INDEX(Response_Table!$M$4:$M$21,MATCH($F191&amp;"|high",Response_Table!$A$4:$A$21,0))*$R191*INDEX(Parameters!$X$13:$AA$13,1,MATCH($E191,Parameters!$X$3:$AA$3,0))))*(1+Inputs_General!$C$22*Parameters!$F$13)</f>
        <v>0.322208157916436</v>
      </c>
      <c r="BQ191" s="45" t="n">
        <f aca="false">IF(BM191=0,0,BN191/BM191-1)</f>
        <v>0.0135997015873786</v>
      </c>
      <c r="BR191" s="44" t="n">
        <f aca="false">Parameters!$E$14*IF($N191="V",Parameters!$I$14,IF($N191="F",Parameters!$J$14,Parameters!$K$14))*(1-Parameters!$L$14*$P191)*IF($D191="V1",Parameters!$M$14,IF($D191="V2",Parameters!$N$14,Parameters!$O$14))*INDEX(Context!$AC$4:$AC$51,$K191)</f>
        <v>17.25</v>
      </c>
      <c r="BS191" s="44" t="n">
        <f aca="false">BR191*(1+INDEX(Response_Table!$N$4:$N$21,MATCH($F191&amp;"|mid",Response_Table!$A$4:$A$21,0))*$R191*INDEX(Parameters!$X$14:$AA$14,1,MATCH($E191,Parameters!$X$3:$AA$3,0)))</f>
        <v>19.6792418017573</v>
      </c>
      <c r="BT191" s="44" t="n">
        <f aca="false">MAX(0,MIN(BR191*(1+INDEX(Response_Table!$N$4:$N$21,MATCH($F191&amp;"|low",Response_Table!$A$4:$A$21,0))*$R191*INDEX(Parameters!$X$14:$AA$14,1,MATCH($E191,Parameters!$X$3:$AA$3,0))),BR191*(1+INDEX(Response_Table!$N$4:$N$21,MATCH($F191&amp;"|high",Response_Table!$A$4:$A$21,0))*$R191*INDEX(Parameters!$X$14:$AA$14,1,MATCH($E191,Parameters!$X$3:$AA$3,0))))*(1-Inputs_General!$C$22*Parameters!$F$14))</f>
        <v>9.68703973772137</v>
      </c>
      <c r="BU191" s="44" t="n">
        <f aca="false">MAX(BR191*(1+INDEX(Response_Table!$N$4:$N$21,MATCH($F191&amp;"|low",Response_Table!$A$4:$A$21,0))*$R191*INDEX(Parameters!$X$14:$AA$14,1,MATCH($E191,Parameters!$X$3:$AA$3,0))),BR191*(1+INDEX(Response_Table!$N$4:$N$21,MATCH($F191&amp;"|high",Response_Table!$A$4:$A$21,0))*$R191*INDEX(Parameters!$X$14:$AA$14,1,MATCH($E191,Parameters!$X$3:$AA$3,0))))*(1+Inputs_General!$C$22*Parameters!$F$14)</f>
        <v>30.169871736684</v>
      </c>
      <c r="BV191" s="45" t="n">
        <f aca="false">IF(BR191=0,0,BS191/BR191-1)</f>
        <v>0.140825611696075</v>
      </c>
      <c r="BW191" s="43" t="n">
        <f aca="false">Parameters!$E$15*IF($N191="V",Parameters!$I$15,IF($N191="F",Parameters!$J$15,Parameters!$K$15))*(1-Parameters!$L$15*$P191)*IF($D191="V1",Parameters!$M$15,IF($D191="V2",Parameters!$N$15,Parameters!$O$15))</f>
        <v>8.34931028571429</v>
      </c>
      <c r="BX191" s="43" t="n">
        <f aca="false">BW191*(1+INDEX(Response_Table!$O$4:$O$21,MATCH($F191&amp;"|mid",Response_Table!$A$4:$A$21,0))*$R191*INDEX(Parameters!$X$15:$AA$15,1,MATCH($E191,Parameters!$X$3:$AA$3,0)))</f>
        <v>8.05536110365778</v>
      </c>
      <c r="BY191" s="43" t="n">
        <f aca="false">MAX(0,MIN(BW191*(1+INDEX(Response_Table!$O$4:$O$21,MATCH($F191&amp;"|low",Response_Table!$A$4:$A$21,0))*$R191*INDEX(Parameters!$X$15:$AA$15,1,MATCH($E191,Parameters!$X$3:$AA$3,0))),BW191*(1+INDEX(Response_Table!$O$4:$O$21,MATCH($F191&amp;"|high",Response_Table!$A$4:$A$21,0))*$R191*INDEX(Parameters!$X$15:$AA$15,1,MATCH($E191,Parameters!$X$3:$AA$3,0))))*(1-Inputs_General!$C$22*Parameters!$F$15))</f>
        <v>6.41458152332913</v>
      </c>
      <c r="BZ191" s="43" t="n">
        <f aca="false">MAX(BW191*(1+INDEX(Response_Table!$O$4:$O$21,MATCH($F191&amp;"|low",Response_Table!$A$4:$A$21,0))*$R191*INDEX(Parameters!$X$15:$AA$15,1,MATCH($E191,Parameters!$X$3:$AA$3,0))),BW191*(1+INDEX(Response_Table!$O$4:$O$21,MATCH($F191&amp;"|high",Response_Table!$A$4:$A$21,0))*$R191*INDEX(Parameters!$X$15:$AA$15,1,MATCH($E191,Parameters!$X$3:$AA$3,0))))*(1+Inputs_General!$C$22*Parameters!$F$15)</f>
        <v>9.72572891077598</v>
      </c>
      <c r="CA191" s="45" t="n">
        <f aca="false">IF(BW191=0,0,BX191/BW191-1)</f>
        <v>-0.0352064029240186</v>
      </c>
      <c r="CB191" s="46" t="n">
        <f aca="false">BD191+BI191</f>
        <v>1.16509343539427</v>
      </c>
      <c r="CC191" s="43" t="n">
        <f aca="false">BD191/BI191</f>
        <v>2.58326865664709</v>
      </c>
      <c r="CD191" s="46" t="n">
        <f aca="false">BN191/CB191</f>
        <v>0.228173071495805</v>
      </c>
      <c r="CE191" s="43" t="n">
        <f aca="false">AE191/AO191</f>
        <v>2.19231319190102</v>
      </c>
      <c r="CF191" s="44" t="n">
        <f aca="false">AE191/AJ191</f>
        <v>49.304892186452</v>
      </c>
      <c r="CG191" s="44" t="n">
        <f aca="false">INDEX(Context!$V$4:$V$51,$K191)</f>
        <v>32.7871428571429</v>
      </c>
      <c r="CH191" s="44" t="n">
        <f aca="false">INDEX(Context!$Y$4:$Y$51,$K191)</f>
        <v>28.36912210206</v>
      </c>
      <c r="CI191" s="44" t="n">
        <f aca="false">INDEX(Context!$Z$4:$Z$51,$K191)</f>
        <v>36.7871428571429</v>
      </c>
      <c r="CJ191" s="43" t="n">
        <f aca="false">INDEX(Context!$AA$4:$AA$51,$K191)</f>
        <v>0.347678571428571</v>
      </c>
      <c r="CK191" s="43" t="n">
        <f aca="false">MAX(0,MIN(1,1-(1-CJ191)*AO191/AN191))</f>
        <v>0.43614138129928</v>
      </c>
      <c r="CL191" s="44" t="n">
        <f aca="false">CH191+CK191*(CI191-CH191)</f>
        <v>32.0405693019879</v>
      </c>
      <c r="CM191" s="44" t="n">
        <f aca="false">CH191+MAX(0,MIN(1,1-(1-CJ191)*AQ191/AN191))*(CI191-CH191)</f>
        <v>30.3512318991215</v>
      </c>
      <c r="CN191" s="44" t="n">
        <f aca="false">CH191+MAX(0,MIN(1,1-(1-CJ191)*AP191/AN191))*(CI191-CH191)</f>
        <v>33.590910234891</v>
      </c>
      <c r="CO191" s="44" t="n">
        <f aca="false">CL191-CG191</f>
        <v>-0.746573555154996</v>
      </c>
      <c r="CP191" s="44" t="n">
        <f aca="false">CL191-(CH191+CJ191*(CI191-CH191))</f>
        <v>0.744681769544563</v>
      </c>
      <c r="CQ191" s="46" t="n">
        <f aca="false">CL191/CG191</f>
        <v>0.977229685477387</v>
      </c>
      <c r="CR191" s="43" t="n">
        <f aca="false">IF(CL191-CH191&lt;=0,"n/a",(CI191-CL191)/(CL191-CH191))</f>
        <v>1.29283448642495</v>
      </c>
      <c r="CS191" s="43" t="n">
        <f aca="false">IF(CI191-CL191&lt;=0,"n/a",(CL191-CH191)/(CI191-CL191))</f>
        <v>0.773494217937582</v>
      </c>
      <c r="CT191" s="43" t="n">
        <f aca="false">Inputs_General!$C$23+Inputs_General!$C$24*$I191</f>
        <v>0.76</v>
      </c>
      <c r="CU191" s="44" t="n">
        <f aca="false">3.29*CT191</f>
        <v>2.5004</v>
      </c>
    </row>
    <row r="192" customFormat="false" ht="15" hidden="false" customHeight="false" outlineLevel="0" collapsed="false">
      <c r="A192" s="9" t="str">
        <f aca="false">B192&amp;"|"&amp;E192&amp;"|"&amp;F192</f>
        <v>D3V2|13/03/2026|Moderate</v>
      </c>
      <c r="B192" s="7" t="s">
        <v>350</v>
      </c>
      <c r="C192" s="9" t="s">
        <v>131</v>
      </c>
      <c r="D192" s="9" t="s">
        <v>146</v>
      </c>
      <c r="E192" s="9" t="s">
        <v>164</v>
      </c>
      <c r="F192" s="7" t="s">
        <v>281</v>
      </c>
      <c r="G192" s="9" t="s">
        <v>282</v>
      </c>
      <c r="H192" s="41" t="n">
        <f aca="false">INDEX(Severity_Classes!$C$4:$C$9,MATCH(F192,Severity_Classes!$A$4:$A$9,0))</f>
        <v>0.11</v>
      </c>
      <c r="I192" s="41" t="n">
        <f aca="false">INDEX(Severity_Classes!$D$4:$D$9,MATCH(F192,Severity_Classes!$A$4:$A$9,0))</f>
        <v>0.18</v>
      </c>
      <c r="J192" s="41" t="n">
        <f aca="false">INDEX(Severity_Classes!$E$4:$E$9,MATCH(F192,Severity_Classes!$A$4:$A$9,0))</f>
        <v>0.25</v>
      </c>
      <c r="K192" s="42" t="n">
        <f aca="false">MATCH(B192&amp;"|"&amp;E192,Context!$A$4:$A$51,0)</f>
        <v>32</v>
      </c>
      <c r="L192" s="42" t="n">
        <f aca="false">INDEX(Context!$H$4:$H$51,K192)</f>
        <v>76</v>
      </c>
      <c r="M192" s="42" t="n">
        <f aca="false">INDEX(Context!$I$4:$I$51,K192)</f>
        <v>36</v>
      </c>
      <c r="N192" s="9" t="str">
        <f aca="false">INDEX(Context!$L$4:$L$51,K192)</f>
        <v>P</v>
      </c>
      <c r="O192" s="9" t="str">
        <f aca="false">INDEX(Context!$M$4:$M$51,K192)</f>
        <v>5th fully expanded leaf from top</v>
      </c>
      <c r="P192" s="43" t="n">
        <f aca="false">INDEX(Context!$R$4:$R$51,K192)</f>
        <v>0.953571428571428</v>
      </c>
      <c r="Q192" s="43" t="n">
        <f aca="false">INDEX(Context!$U$4:$U$51,K192)</f>
        <v>2.18945736698217</v>
      </c>
      <c r="R192" s="43" t="n">
        <f aca="false">INDEX(Context!$AD$4:$AD$51,K192)</f>
        <v>1.1</v>
      </c>
      <c r="S192" s="9" t="str">
        <f aca="false">INDEX(Context!$AI$4:$AN$51,K192,MATCH(F192,Severity_Classes!$A$4:$A$9,0))</f>
        <v>Likely</v>
      </c>
      <c r="T192" s="44" t="n">
        <f aca="false">Parameters!$E$4*IF($N192="V",Parameters!$I$4,IF($N192="F",Parameters!$J$4,Parameters!$K$4))*(1-Parameters!$L$4*$P192)*IF($D192="V1",Parameters!$M$4,IF($D192="V2",Parameters!$N$4,Parameters!$O$4))</f>
        <v>77.8046607142857</v>
      </c>
      <c r="U192" s="44" t="n">
        <f aca="false">MIN(100,T192*(1+INDEX(Response_Table!$E$4:$E$21,MATCH($F192&amp;"|mid",Response_Table!$A$4:$A$21,0))*$R192*INDEX(Parameters!$X$4:$AA$4,1,MATCH($E192,Parameters!$X$3:$AA$3,0))))</f>
        <v>73.911399576016</v>
      </c>
      <c r="V192" s="44" t="n">
        <f aca="false">MAX(0,MIN(T192*(1+INDEX(Response_Table!$E$4:$E$21,MATCH($F192&amp;"|low",Response_Table!$A$4:$A$21,0))*$R192*INDEX(Parameters!$X$4:$AA$4,1,MATCH($E192,Parameters!$X$3:$AA$3,0))),T192*(1+INDEX(Response_Table!$E$4:$E$21,MATCH($F192&amp;"|high",Response_Table!$A$4:$A$21,0))*$R192*INDEX(Parameters!$X$4:$AA$4,1,MATCH($E192,Parameters!$X$3:$AA$3,0))))*(1-Inputs_General!$C$22*Parameters!$F$4))</f>
        <v>66.3235187706655</v>
      </c>
      <c r="W192" s="44" t="n">
        <f aca="false">MIN(100,MAX(T192*(1+INDEX(Response_Table!$E$4:$E$21,MATCH($F192&amp;"|low",Response_Table!$A$4:$A$21,0))*$R192*INDEX(Parameters!$X$4:$AA$4,1,MATCH($E192,Parameters!$X$3:$AA$3,0))),T192*(1+INDEX(Response_Table!$E$4:$E$21,MATCH($F192&amp;"|high",Response_Table!$A$4:$A$21,0))*$R192*INDEX(Parameters!$X$4:$AA$4,1,MATCH($E192,Parameters!$X$3:$AA$3,0))))*(1+Inputs_General!$C$22*Parameters!$F$4))</f>
        <v>80.966525013996</v>
      </c>
      <c r="X192" s="45" t="n">
        <f aca="false">IF(T192=0,0,U192/T192-1)</f>
        <v>-0.0500389192951635</v>
      </c>
      <c r="Y192" s="44" t="n">
        <f aca="false">Parameters!$E$5*IF($N192="V",Parameters!$I$5,IF($N192="F",Parameters!$J$5,Parameters!$K$5))*(1-Parameters!$L$5*$P192)*IF($D192="V1",Parameters!$M$5,IF($D192="V2",Parameters!$N$5,Parameters!$O$5))</f>
        <v>58.6602514285714</v>
      </c>
      <c r="Z192" s="44" t="n">
        <f aca="false">MIN(100,Y192*(1+INDEX(Response_Table!$F$4:$F$21,MATCH($F192&amp;"|mid",Response_Table!$A$4:$A$21,0))*$R192*INDEX(Parameters!$X$5:$AA$5,1,MATCH($E192,Parameters!$X$3:$AA$3,0))))</f>
        <v>48.5205928188878</v>
      </c>
      <c r="AA192" s="44" t="n">
        <f aca="false">MAX(0,MIN(Y192*(1+INDEX(Response_Table!$F$4:$F$21,MATCH($F192&amp;"|low",Response_Table!$A$4:$A$21,0))*$R192*INDEX(Parameters!$X$5:$AA$5,1,MATCH($E192,Parameters!$X$3:$AA$3,0))),Y192*(1+INDEX(Response_Table!$F$4:$F$21,MATCH($F192&amp;"|high",Response_Table!$A$4:$A$21,0))*$R192*INDEX(Parameters!$X$5:$AA$5,1,MATCH($E192,Parameters!$X$3:$AA$3,0))))*(1-Inputs_General!$C$22*Parameters!$F$5))</f>
        <v>36.2932913523015</v>
      </c>
      <c r="AB192" s="44" t="n">
        <f aca="false">MIN(100,MAX(Y192*(1+INDEX(Response_Table!$F$4:$F$21,MATCH($F192&amp;"|low",Response_Table!$A$4:$A$21,0))*$R192*INDEX(Parameters!$X$5:$AA$5,1,MATCH($E192,Parameters!$X$3:$AA$3,0))),Y192*(1+INDEX(Response_Table!$F$4:$F$21,MATCH($F192&amp;"|high",Response_Table!$A$4:$A$21,0))*$R192*INDEX(Parameters!$X$5:$AA$5,1,MATCH($E192,Parameters!$X$3:$AA$3,0))))*(1+Inputs_General!$C$22*Parameters!$F$5))</f>
        <v>60.2244872926876</v>
      </c>
      <c r="AC192" s="45" t="n">
        <f aca="false">IF(Y192=0,0,Z192/Y192-1)</f>
        <v>-0.172853991634017</v>
      </c>
      <c r="AD192" s="44" t="n">
        <f aca="false">Parameters!$E$6*IF($N192="V",Parameters!$I$6,IF($N192="F",Parameters!$J$6,Parameters!$K$6))*(1-Parameters!$L$6*$P192)*IF($D192="V1",Parameters!$M$6,IF($D192="V2",Parameters!$N$6,Parameters!$O$6))</f>
        <v>14.3019785714286</v>
      </c>
      <c r="AE192" s="44" t="n">
        <f aca="false">AD192*(1+INDEX(Response_Table!$G$4:$G$21,MATCH($F192&amp;"|mid",Response_Table!$A$4:$A$21,0))*$R192*INDEX(Parameters!$X$6:$AA$6,1,MATCH($E192,Parameters!$X$3:$AA$3,0)))</f>
        <v>7.84712179615551</v>
      </c>
      <c r="AF192" s="44" t="n">
        <f aca="false">MAX(0,MIN(AD192*(1+INDEX(Response_Table!$G$4:$G$21,MATCH($F192&amp;"|low",Response_Table!$A$4:$A$21,0))*$R192*INDEX(Parameters!$X$6:$AA$6,1,MATCH($E192,Parameters!$X$3:$AA$3,0))),AD192*(1+INDEX(Response_Table!$G$4:$G$21,MATCH($F192&amp;"|high",Response_Table!$A$4:$A$21,0))*$R192*INDEX(Parameters!$X$6:$AA$6,1,MATCH($E192,Parameters!$X$3:$AA$3,0))))*(1-Inputs_General!$C$22*Parameters!$F$6))</f>
        <v>5.16106810417735</v>
      </c>
      <c r="AG192" s="44" t="n">
        <f aca="false">MAX(AD192*(1+INDEX(Response_Table!$G$4:$G$21,MATCH($F192&amp;"|low",Response_Table!$A$4:$A$21,0))*$R192*INDEX(Parameters!$X$6:$AA$6,1,MATCH($E192,Parameters!$X$3:$AA$3,0))),AD192*(1+INDEX(Response_Table!$G$4:$G$21,MATCH($F192&amp;"|high",Response_Table!$A$4:$A$21,0))*$R192*INDEX(Parameters!$X$6:$AA$6,1,MATCH($E192,Parameters!$X$3:$AA$3,0))))*(1+Inputs_General!$C$22*Parameters!$F$6)</f>
        <v>11.7043542260636</v>
      </c>
      <c r="AH192" s="45" t="n">
        <f aca="false">IF(AD192=0,0,AE192/AD192-1)</f>
        <v>-0.45132613945934</v>
      </c>
      <c r="AI192" s="46" t="n">
        <f aca="false">Parameters!$E$7*IF($N192="V",Parameters!$I$7,IF($N192="F",Parameters!$J$7,Parameters!$K$7))*(1-Parameters!$L$7*$P192)*IF($D192="V1",Parameters!$M$7,IF($D192="V2",Parameters!$N$7,Parameters!$O$7))*POWER($Q192/Inputs_General!$C$26,-Inputs_General!$C$25)</f>
        <v>0.258501574676089</v>
      </c>
      <c r="AJ192" s="46" t="n">
        <f aca="false">AI192*(1+INDEX(Response_Table!$H$4:$H$21,MATCH($F192&amp;"|mid",Response_Table!$A$4:$A$21,0))*$R192*INDEX(Parameters!$X$7:$AA$7,1,MATCH($E192,Parameters!$X$3:$AA$3,0)))</f>
        <v>0.181381507510752</v>
      </c>
      <c r="AK192" s="46" t="n">
        <f aca="false">MAX(0,MIN(AI192*(1+INDEX(Response_Table!$H$4:$H$21,MATCH($F192&amp;"|low",Response_Table!$A$4:$A$21,0))*$R192*INDEX(Parameters!$X$7:$AA$7,1,MATCH($E192,Parameters!$X$3:$AA$3,0))),AI192*(1+INDEX(Response_Table!$H$4:$H$21,MATCH($F192&amp;"|high",Response_Table!$A$4:$A$21,0))*$R192*INDEX(Parameters!$X$7:$AA$7,1,MATCH($E192,Parameters!$X$3:$AA$3,0))))*(1-Inputs_General!$C$22*Parameters!$F$7))</f>
        <v>0.113313688008279</v>
      </c>
      <c r="AL192" s="46" t="n">
        <f aca="false">MAX(AI192*(1+INDEX(Response_Table!$H$4:$H$21,MATCH($F192&amp;"|low",Response_Table!$A$4:$A$21,0))*$R192*INDEX(Parameters!$X$7:$AA$7,1,MATCH($E192,Parameters!$X$3:$AA$3,0))),AI192*(1+INDEX(Response_Table!$H$4:$H$21,MATCH($F192&amp;"|high",Response_Table!$A$4:$A$21,0))*$R192*INDEX(Parameters!$X$7:$AA$7,1,MATCH($E192,Parameters!$X$3:$AA$3,0))))*(1+Inputs_General!$C$22*Parameters!$F$7)</f>
        <v>0.267710277446818</v>
      </c>
      <c r="AM192" s="45" t="n">
        <f aca="false">IF(AI192=0,0,AJ192/AI192-1)</f>
        <v>-0.298334999552597</v>
      </c>
      <c r="AN192" s="43" t="n">
        <f aca="false">AI192*$Q192/Inputs_General!$C$13*1000</f>
        <v>5.69967952720096</v>
      </c>
      <c r="AO192" s="43" t="n">
        <f aca="false">AJ192*$Q192/Inputs_General!$C$13*1000*(1+Inputs_General!$C$21*$I192)</f>
        <v>4.17923259171367</v>
      </c>
      <c r="AP192" s="43" t="n">
        <f aca="false">AK192*$Q192/Inputs_General!$C$13*1000*(1+Inputs_General!$C$21*$H192)</f>
        <v>2.56715120782337</v>
      </c>
      <c r="AQ192" s="43" t="n">
        <f aca="false">AL192*$Q192/Inputs_General!$C$13*1000*(1+Inputs_General!$C$21*$J192)</f>
        <v>6.2716415319343</v>
      </c>
      <c r="AR192" s="45" t="n">
        <f aca="false">IF(AN192=0,0,AO192/AN192-1)</f>
        <v>-0.266760074532464</v>
      </c>
      <c r="AS192" s="42" t="n">
        <f aca="false">Parameters!$E$9*IF($N192="V",Parameters!$I$9,IF($N192="F",Parameters!$J$9,Parameters!$K$9))*(1-Parameters!$L$9*$P192)*IF($D192="V1",Parameters!$M$9,IF($D192="V2",Parameters!$N$9,Parameters!$O$9))</f>
        <v>293.55</v>
      </c>
      <c r="AT192" s="42" t="n">
        <f aca="false">AS192*(1+INDEX(Response_Table!$I$4:$I$21,MATCH($F192&amp;"|mid",Response_Table!$A$4:$A$21,0))*$R192*INDEX(Parameters!$X$9:$AA$9,1,MATCH($E192,Parameters!$X$3:$AA$3,0)))</f>
        <v>343.269078836774</v>
      </c>
      <c r="AU192" s="42" t="n">
        <f aca="false">MAX(0,MIN(AS192*(1+INDEX(Response_Table!$I$4:$I$21,MATCH($F192&amp;"|low",Response_Table!$A$4:$A$21,0))*$R192*INDEX(Parameters!$X$9:$AA$9,1,MATCH($E192,Parameters!$X$3:$AA$3,0))),AS192*(1+INDEX(Response_Table!$I$4:$I$21,MATCH($F192&amp;"|high",Response_Table!$A$4:$A$21,0))*$R192*INDEX(Parameters!$X$9:$AA$9,1,MATCH($E192,Parameters!$X$3:$AA$3,0))))*(1-Inputs_General!$C$22*Parameters!$F$9))</f>
        <v>295.655895795126</v>
      </c>
      <c r="AV192" s="42" t="n">
        <f aca="false">MAX(AS192*(1+INDEX(Response_Table!$I$4:$I$21,MATCH($F192&amp;"|low",Response_Table!$A$4:$A$21,0))*$R192*INDEX(Parameters!$X$9:$AA$9,1,MATCH($E192,Parameters!$X$3:$AA$3,0))),AS192*(1+INDEX(Response_Table!$I$4:$I$21,MATCH($F192&amp;"|high",Response_Table!$A$4:$A$21,0))*$R192*INDEX(Parameters!$X$9:$AA$9,1,MATCH($E192,Parameters!$X$3:$AA$3,0))))*(1+Inputs_General!$C$22*Parameters!$F$9)</f>
        <v>389.801693579288</v>
      </c>
      <c r="AW192" s="45" t="n">
        <f aca="false">IF(AS192=0,0,AT192/AS192-1)</f>
        <v>0.169371755533209</v>
      </c>
      <c r="AX192" s="43" t="n">
        <f aca="false">INDEX(Context!$AB$4:$AB$51,$K192)</f>
        <v>2.86350044433308</v>
      </c>
      <c r="AY192" s="43" t="n">
        <f aca="false">AX192*(1+INDEX(Response_Table!$J$4:$J$21,MATCH($F192&amp;"|mid",Response_Table!$A$4:$A$21,0))*$R192*INDEX(Parameters!$X$10:$AA$10,1,MATCH($E192,Parameters!$X$3:$AA$3,0)))</f>
        <v>2.34986272965488</v>
      </c>
      <c r="AZ192" s="43" t="n">
        <f aca="false">MAX(0,MIN(AX192*(1+INDEX(Response_Table!$J$4:$J$21,MATCH($F192&amp;"|low",Response_Table!$A$4:$A$21,0))*$R192*INDEX(Parameters!$X$10:$AA$10,1,MATCH($E192,Parameters!$X$3:$AA$3,0))),AX192*(1+INDEX(Response_Table!$J$4:$J$21,MATCH($F192&amp;"|high",Response_Table!$A$4:$A$21,0))*$R192*INDEX(Parameters!$X$10:$AA$10,1,MATCH($E192,Parameters!$X$3:$AA$3,0))))*(1-Inputs_General!$C$22*Parameters!$F$10))</f>
        <v>1.7695442179623</v>
      </c>
      <c r="BA192" s="43" t="n">
        <f aca="false">MAX(AX192*(1+INDEX(Response_Table!$J$4:$J$21,MATCH($F192&amp;"|low",Response_Table!$A$4:$A$21,0))*$R192*INDEX(Parameters!$X$10:$AA$10,1,MATCH($E192,Parameters!$X$3:$AA$3,0))),AX192*(1+INDEX(Response_Table!$J$4:$J$21,MATCH($F192&amp;"|high",Response_Table!$A$4:$A$21,0))*$R192*INDEX(Parameters!$X$10:$AA$10,1,MATCH($E192,Parameters!$X$3:$AA$3,0))))*(1+Inputs_General!$C$22*Parameters!$F$10)</f>
        <v>3.02069307973332</v>
      </c>
      <c r="BB192" s="45" t="n">
        <f aca="false">IF(AX192=0,0,AY192/AX192-1)</f>
        <v>-0.179374064947222</v>
      </c>
      <c r="BC192" s="46" t="n">
        <f aca="false">Parameters!$E$11*IF($N192="V",Parameters!$I$11,IF($N192="F",Parameters!$J$11,Parameters!$K$11))*(1-Parameters!$L$11*$P192)*IF($D192="V1",Parameters!$M$11,IF($D192="V2",Parameters!$N$11,Parameters!$O$11))</f>
        <v>1.00170982142857</v>
      </c>
      <c r="BD192" s="46" t="n">
        <f aca="false">BC192*(1+INDEX(Response_Table!$K$4:$K$21,MATCH($F192&amp;"|mid",Response_Table!$A$4:$A$21,0))*$R192*INDEX(Parameters!$X$11:$AA$11,1,MATCH($E192,Parameters!$X$3:$AA$3,0)))</f>
        <v>0.688106379109947</v>
      </c>
      <c r="BE192" s="46" t="n">
        <f aca="false">MAX(0,MIN(BC192*(1+INDEX(Response_Table!$K$4:$K$21,MATCH($F192&amp;"|low",Response_Table!$A$4:$A$21,0))*$R192*INDEX(Parameters!$X$11:$AA$11,1,MATCH($E192,Parameters!$X$3:$AA$3,0))),BC192*(1+INDEX(Response_Table!$K$4:$K$21,MATCH($F192&amp;"|high",Response_Table!$A$4:$A$21,0))*$R192*INDEX(Parameters!$X$11:$AA$11,1,MATCH($E192,Parameters!$X$3:$AA$3,0))))*(1-Inputs_General!$C$22*Parameters!$F$11))</f>
        <v>0.507404850732847</v>
      </c>
      <c r="BF192" s="46" t="n">
        <f aca="false">MAX(BC192*(1+INDEX(Response_Table!$K$4:$K$21,MATCH($F192&amp;"|low",Response_Table!$A$4:$A$21,0))*$R192*INDEX(Parameters!$X$11:$AA$11,1,MATCH($E192,Parameters!$X$3:$AA$3,0))),BC192*(1+INDEX(Response_Table!$K$4:$K$21,MATCH($F192&amp;"|high",Response_Table!$A$4:$A$21,0))*$R192*INDEX(Parameters!$X$11:$AA$11,1,MATCH($E192,Parameters!$X$3:$AA$3,0))))*(1+Inputs_General!$C$22*Parameters!$F$11)</f>
        <v>0.919014505511223</v>
      </c>
      <c r="BG192" s="45" t="n">
        <f aca="false">IF(BC192=0,0,BD192/BC192-1)</f>
        <v>-0.313068151684272</v>
      </c>
      <c r="BH192" s="46" t="n">
        <f aca="false">Parameters!$E$12*IF($N192="V",Parameters!$I$12,IF($N192="F",Parameters!$J$12,Parameters!$K$12))*(1-Parameters!$L$12*$P192)*IF($D192="V1",Parameters!$M$12,IF($D192="V2",Parameters!$N$12,Parameters!$O$12))</f>
        <v>0.373343142857143</v>
      </c>
      <c r="BI192" s="46" t="n">
        <f aca="false">BH192*(1+INDEX(Response_Table!$L$4:$L$21,MATCH($F192&amp;"|mid",Response_Table!$A$4:$A$21,0))*$R192*INDEX(Parameters!$X$12:$AA$12,1,MATCH($E192,Parameters!$X$3:$AA$3,0)))</f>
        <v>0.279097405170238</v>
      </c>
      <c r="BJ192" s="46" t="n">
        <f aca="false">MAX(0,MIN(BH192*(1+INDEX(Response_Table!$L$4:$L$21,MATCH($F192&amp;"|low",Response_Table!$A$4:$A$21,0))*$R192*INDEX(Parameters!$X$12:$AA$12,1,MATCH($E192,Parameters!$X$3:$AA$3,0))),BH192*(1+INDEX(Response_Table!$L$4:$L$21,MATCH($F192&amp;"|high",Response_Table!$A$4:$A$21,0))*$R192*INDEX(Parameters!$X$12:$AA$12,1,MATCH($E192,Parameters!$X$3:$AA$3,0))))*(1-Inputs_General!$C$22*Parameters!$F$12))</f>
        <v>0.203992992348387</v>
      </c>
      <c r="BK192" s="46" t="n">
        <f aca="false">MAX(BH192*(1+INDEX(Response_Table!$L$4:$L$21,MATCH($F192&amp;"|low",Response_Table!$A$4:$A$21,0))*$R192*INDEX(Parameters!$X$12:$AA$12,1,MATCH($E192,Parameters!$X$3:$AA$3,0))),BH192*(1+INDEX(Response_Table!$L$4:$L$21,MATCH($F192&amp;"|high",Response_Table!$A$4:$A$21,0))*$R192*INDEX(Parameters!$X$12:$AA$12,1,MATCH($E192,Parameters!$X$3:$AA$3,0))))*(1+Inputs_General!$C$22*Parameters!$F$12)</f>
        <v>0.371021233533246</v>
      </c>
      <c r="BL192" s="45" t="n">
        <f aca="false">IF(BH192=0,0,BI192/BH192-1)</f>
        <v>-0.252437307313736</v>
      </c>
      <c r="BM192" s="46" t="n">
        <f aca="false">Parameters!$E$13*IF($N192="V",Parameters!$I$13,IF($N192="F",Parameters!$J$13,Parameters!$K$13))*(1-Parameters!$L$13*$P192)*IF($D192="V1",Parameters!$M$13,IF($D192="V2",Parameters!$N$13,Parameters!$O$13))</f>
        <v>0.262276071428571</v>
      </c>
      <c r="BN192" s="46" t="n">
        <f aca="false">BM192*(1+INDEX(Response_Table!$M$4:$M$21,MATCH($F192&amp;"|mid",Response_Table!$A$4:$A$21,0))*$R192*INDEX(Parameters!$X$13:$AA$13,1,MATCH($E192,Parameters!$X$3:$AA$3,0)))</f>
        <v>0.237458556422958</v>
      </c>
      <c r="BO192" s="46" t="n">
        <f aca="false">MAX(0,MIN(BM192*(1+INDEX(Response_Table!$M$4:$M$21,MATCH($F192&amp;"|low",Response_Table!$A$4:$A$21,0))*$R192*INDEX(Parameters!$X$13:$AA$13,1,MATCH($E192,Parameters!$X$3:$AA$3,0))),BM192*(1+INDEX(Response_Table!$M$4:$M$21,MATCH($F192&amp;"|high",Response_Table!$A$4:$A$21,0))*$R192*INDEX(Parameters!$X$13:$AA$13,1,MATCH($E192,Parameters!$X$3:$AA$3,0))))*(1-Inputs_General!$C$22*Parameters!$F$13))</f>
        <v>0.174549338237001</v>
      </c>
      <c r="BP192" s="46" t="n">
        <f aca="false">MAX(BM192*(1+INDEX(Response_Table!$M$4:$M$21,MATCH($F192&amp;"|low",Response_Table!$A$4:$A$21,0))*$R192*INDEX(Parameters!$X$13:$AA$13,1,MATCH($E192,Parameters!$X$3:$AA$3,0))),BM192*(1+INDEX(Response_Table!$M$4:$M$21,MATCH($F192&amp;"|high",Response_Table!$A$4:$A$21,0))*$R192*INDEX(Parameters!$X$13:$AA$13,1,MATCH($E192,Parameters!$X$3:$AA$3,0))))*(1+Inputs_General!$C$22*Parameters!$F$13)</f>
        <v>0.309593563356874</v>
      </c>
      <c r="BQ192" s="45" t="n">
        <f aca="false">IF(BM192=0,0,BN192/BM192-1)</f>
        <v>-0.0946236340602347</v>
      </c>
      <c r="BR192" s="44" t="n">
        <f aca="false">Parameters!$E$14*IF($N192="V",Parameters!$I$14,IF($N192="F",Parameters!$J$14,Parameters!$K$14))*(1-Parameters!$L$14*$P192)*IF($D192="V1",Parameters!$M$14,IF($D192="V2",Parameters!$N$14,Parameters!$O$14))*INDEX(Context!$AC$4:$AC$51,$K192)</f>
        <v>17.25</v>
      </c>
      <c r="BS192" s="44" t="n">
        <f aca="false">BR192*(1+INDEX(Response_Table!$N$4:$N$21,MATCH($F192&amp;"|mid",Response_Table!$A$4:$A$21,0))*$R192*INDEX(Parameters!$X$14:$AA$14,1,MATCH($E192,Parameters!$X$3:$AA$3,0)))</f>
        <v>22.0004111467221</v>
      </c>
      <c r="BT192" s="44" t="n">
        <f aca="false">MAX(0,MIN(BR192*(1+INDEX(Response_Table!$N$4:$N$21,MATCH($F192&amp;"|low",Response_Table!$A$4:$A$21,0))*$R192*INDEX(Parameters!$X$14:$AA$14,1,MATCH($E192,Parameters!$X$3:$AA$3,0))),BR192*(1+INDEX(Response_Table!$N$4:$N$21,MATCH($F192&amp;"|high",Response_Table!$A$4:$A$21,0))*$R192*INDEX(Parameters!$X$14:$AA$14,1,MATCH($E192,Parameters!$X$3:$AA$3,0))))*(1-Inputs_General!$C$22*Parameters!$F$14))</f>
        <v>10.3579519938555</v>
      </c>
      <c r="BU192" s="44" t="n">
        <f aca="false">MAX(BR192*(1+INDEX(Response_Table!$N$4:$N$21,MATCH($F192&amp;"|low",Response_Table!$A$4:$A$21,0))*$R192*INDEX(Parameters!$X$14:$AA$14,1,MATCH($E192,Parameters!$X$3:$AA$3,0))),BR192*(1+INDEX(Response_Table!$N$4:$N$21,MATCH($F192&amp;"|high",Response_Table!$A$4:$A$21,0))*$R192*INDEX(Parameters!$X$14:$AA$14,1,MATCH($E192,Parameters!$X$3:$AA$3,0))))*(1+Inputs_General!$C$22*Parameters!$F$14)</f>
        <v>34.7344890013845</v>
      </c>
      <c r="BV192" s="45" t="n">
        <f aca="false">IF(BR192=0,0,BS192/BR192-1)</f>
        <v>0.275386153433167</v>
      </c>
      <c r="BW192" s="43" t="n">
        <f aca="false">Parameters!$E$15*IF($N192="V",Parameters!$I$15,IF($N192="F",Parameters!$J$15,Parameters!$K$15))*(1-Parameters!$L$15*$P192)*IF($D192="V1",Parameters!$M$15,IF($D192="V2",Parameters!$N$15,Parameters!$O$15))</f>
        <v>8.34931028571429</v>
      </c>
      <c r="BX192" s="43" t="n">
        <f aca="false">BW192*(1+INDEX(Response_Table!$O$4:$O$21,MATCH($F192&amp;"|mid",Response_Table!$A$4:$A$21,0))*$R192*INDEX(Parameters!$X$15:$AA$15,1,MATCH($E192,Parameters!$X$3:$AA$3,0)))</f>
        <v>7.77448917486358</v>
      </c>
      <c r="BY192" s="43" t="n">
        <f aca="false">MAX(0,MIN(BW192*(1+INDEX(Response_Table!$O$4:$O$21,MATCH($F192&amp;"|low",Response_Table!$A$4:$A$21,0))*$R192*INDEX(Parameters!$X$15:$AA$15,1,MATCH($E192,Parameters!$X$3:$AA$3,0))),BW192*(1+INDEX(Response_Table!$O$4:$O$21,MATCH($F192&amp;"|high",Response_Table!$A$4:$A$21,0))*$R192*INDEX(Parameters!$X$15:$AA$15,1,MATCH($E192,Parameters!$X$3:$AA$3,0))))*(1-Inputs_General!$C$22*Parameters!$F$15))</f>
        <v>6.1177569806675</v>
      </c>
      <c r="BZ192" s="43" t="n">
        <f aca="false">MAX(BW192*(1+INDEX(Response_Table!$O$4:$O$21,MATCH($F192&amp;"|low",Response_Table!$A$4:$A$21,0))*$R192*INDEX(Parameters!$X$15:$AA$15,1,MATCH($E192,Parameters!$X$3:$AA$3,0))),BW192*(1+INDEX(Response_Table!$O$4:$O$21,MATCH($F192&amp;"|high",Response_Table!$A$4:$A$21,0))*$R192*INDEX(Parameters!$X$15:$AA$15,1,MATCH($E192,Parameters!$X$3:$AA$3,0))))*(1+Inputs_General!$C$22*Parameters!$F$15)</f>
        <v>9.5338059035173</v>
      </c>
      <c r="CA192" s="45" t="n">
        <f aca="false">IF(BW192=0,0,BX192/BW192-1)</f>
        <v>-0.0688465383582917</v>
      </c>
      <c r="CB192" s="46" t="n">
        <f aca="false">BD192+BI192</f>
        <v>0.967203784280185</v>
      </c>
      <c r="CC192" s="43" t="n">
        <f aca="false">BD192/BI192</f>
        <v>2.46547035681048</v>
      </c>
      <c r="CD192" s="46" t="n">
        <f aca="false">BN192/CB192</f>
        <v>0.245510367393445</v>
      </c>
      <c r="CE192" s="43" t="n">
        <f aca="false">AE192/AO192</f>
        <v>1.87764658318236</v>
      </c>
      <c r="CF192" s="44" t="n">
        <f aca="false">AE192/AJ192</f>
        <v>43.2630751825146</v>
      </c>
      <c r="CG192" s="44" t="n">
        <f aca="false">INDEX(Context!$V$4:$V$51,$K192)</f>
        <v>32.7871428571429</v>
      </c>
      <c r="CH192" s="44" t="n">
        <f aca="false">INDEX(Context!$Y$4:$Y$51,$K192)</f>
        <v>28.36912210206</v>
      </c>
      <c r="CI192" s="44" t="n">
        <f aca="false">INDEX(Context!$Z$4:$Z$51,$K192)</f>
        <v>36.7871428571429</v>
      </c>
      <c r="CJ192" s="43" t="n">
        <f aca="false">INDEX(Context!$AA$4:$AA$51,$K192)</f>
        <v>0.347678571428571</v>
      </c>
      <c r="CK192" s="43" t="n">
        <f aca="false">MAX(0,MIN(1,1-(1-CJ192)*AO192/AN192))</f>
        <v>0.521691884333409</v>
      </c>
      <c r="CL192" s="44" t="n">
        <f aca="false">CH192+CK192*(CI192-CH192)</f>
        <v>32.7607352121369</v>
      </c>
      <c r="CM192" s="44" t="n">
        <f aca="false">CH192+MAX(0,MIN(1,1-(1-CJ192)*AQ192/AN192))*(CI192-CH192)</f>
        <v>30.7448408658669</v>
      </c>
      <c r="CN192" s="44" t="n">
        <f aca="false">CH192+MAX(0,MIN(1,1-(1-CJ192)*AP192/AN192))*(CI192-CH192)</f>
        <v>34.313866478709</v>
      </c>
      <c r="CO192" s="44" t="n">
        <f aca="false">CL192-CG192</f>
        <v>-0.0264076450059108</v>
      </c>
      <c r="CP192" s="44" t="n">
        <f aca="false">CL192-(CH192+CJ192*(CI192-CH192))</f>
        <v>1.46484767969365</v>
      </c>
      <c r="CQ192" s="46" t="n">
        <f aca="false">CL192/CG192</f>
        <v>0.999194573155674</v>
      </c>
      <c r="CR192" s="43" t="n">
        <f aca="false">IF(CL192-CH192&lt;=0,"n/a",(CI192-CL192)/(CL192-CH192))</f>
        <v>0.916840246188125</v>
      </c>
      <c r="CS192" s="43" t="n">
        <f aca="false">IF(CI192-CL192&lt;=0,"n/a",(CL192-CH192)/(CI192-CL192))</f>
        <v>1.09070255604247</v>
      </c>
      <c r="CT192" s="43" t="n">
        <f aca="false">Inputs_General!$C$23+Inputs_General!$C$24*$I192</f>
        <v>0.96</v>
      </c>
      <c r="CU192" s="44" t="n">
        <f aca="false">3.29*CT192</f>
        <v>3.1584</v>
      </c>
    </row>
    <row r="193" customFormat="false" ht="15" hidden="false" customHeight="false" outlineLevel="0" collapsed="false">
      <c r="A193" s="9" t="str">
        <f aca="false">B193&amp;"|"&amp;E193&amp;"|"&amp;F193</f>
        <v>D3V2|13/03/2026|High</v>
      </c>
      <c r="B193" s="7" t="s">
        <v>350</v>
      </c>
      <c r="C193" s="9" t="s">
        <v>131</v>
      </c>
      <c r="D193" s="9" t="s">
        <v>146</v>
      </c>
      <c r="E193" s="9" t="s">
        <v>164</v>
      </c>
      <c r="F193" s="7" t="s">
        <v>283</v>
      </c>
      <c r="G193" s="9" t="s">
        <v>284</v>
      </c>
      <c r="H193" s="41" t="n">
        <f aca="false">INDEX(Severity_Classes!$C$4:$C$9,MATCH(F193,Severity_Classes!$A$4:$A$9,0))</f>
        <v>0.26</v>
      </c>
      <c r="I193" s="41" t="n">
        <f aca="false">INDEX(Severity_Classes!$D$4:$D$9,MATCH(F193,Severity_Classes!$A$4:$A$9,0))</f>
        <v>0.38</v>
      </c>
      <c r="J193" s="41" t="n">
        <f aca="false">INDEX(Severity_Classes!$E$4:$E$9,MATCH(F193,Severity_Classes!$A$4:$A$9,0))</f>
        <v>0.5</v>
      </c>
      <c r="K193" s="42" t="n">
        <f aca="false">MATCH(B193&amp;"|"&amp;E193,Context!$A$4:$A$51,0)</f>
        <v>32</v>
      </c>
      <c r="L193" s="42" t="n">
        <f aca="false">INDEX(Context!$H$4:$H$51,K193)</f>
        <v>76</v>
      </c>
      <c r="M193" s="42" t="n">
        <f aca="false">INDEX(Context!$I$4:$I$51,K193)</f>
        <v>36</v>
      </c>
      <c r="N193" s="9" t="str">
        <f aca="false">INDEX(Context!$L$4:$L$51,K193)</f>
        <v>P</v>
      </c>
      <c r="O193" s="9" t="str">
        <f aca="false">INDEX(Context!$M$4:$M$51,K193)</f>
        <v>5th fully expanded leaf from top</v>
      </c>
      <c r="P193" s="43" t="n">
        <f aca="false">INDEX(Context!$R$4:$R$51,K193)</f>
        <v>0.953571428571428</v>
      </c>
      <c r="Q193" s="43" t="n">
        <f aca="false">INDEX(Context!$U$4:$U$51,K193)</f>
        <v>2.18945736698217</v>
      </c>
      <c r="R193" s="43" t="n">
        <f aca="false">INDEX(Context!$AD$4:$AD$51,K193)</f>
        <v>1.1</v>
      </c>
      <c r="S193" s="9" t="str">
        <f aca="false">INDEX(Context!$AI$4:$AN$51,K193,MATCH(F193,Severity_Classes!$A$4:$A$9,0))</f>
        <v>Likely</v>
      </c>
      <c r="T193" s="44" t="n">
        <f aca="false">Parameters!$E$4*IF($N193="V",Parameters!$I$4,IF($N193="F",Parameters!$J$4,Parameters!$K$4))*(1-Parameters!$L$4*$P193)*IF($D193="V1",Parameters!$M$4,IF($D193="V2",Parameters!$N$4,Parameters!$O$4))</f>
        <v>77.8046607142857</v>
      </c>
      <c r="U193" s="44" t="n">
        <f aca="false">MIN(100,T193*(1+INDEX(Response_Table!$E$4:$E$21,MATCH($F193&amp;"|mid",Response_Table!$A$4:$A$21,0))*$R193*INDEX(Parameters!$X$4:$AA$4,1,MATCH($E193,Parameters!$X$3:$AA$3,0))))</f>
        <v>63.9787885802203</v>
      </c>
      <c r="V193" s="44" t="n">
        <f aca="false">MAX(0,MIN(T193*(1+INDEX(Response_Table!$E$4:$E$21,MATCH($F193&amp;"|low",Response_Table!$A$4:$A$21,0))*$R193*INDEX(Parameters!$X$4:$AA$4,1,MATCH($E193,Parameters!$X$3:$AA$3,0))),T193*(1+INDEX(Response_Table!$E$4:$E$21,MATCH($F193&amp;"|high",Response_Table!$A$4:$A$21,0))*$R193*INDEX(Parameters!$X$4:$AA$4,1,MATCH($E193,Parameters!$X$3:$AA$3,0))))*(1-Inputs_General!$C$22*Parameters!$F$4))</f>
        <v>54.3297912301349</v>
      </c>
      <c r="W193" s="44" t="n">
        <f aca="false">MIN(100,MAX(T193*(1+INDEX(Response_Table!$E$4:$E$21,MATCH($F193&amp;"|low",Response_Table!$A$4:$A$21,0))*$R193*INDEX(Parameters!$X$4:$AA$4,1,MATCH($E193,Parameters!$X$3:$AA$3,0))),T193*(1+INDEX(Response_Table!$E$4:$E$21,MATCH($F193&amp;"|high",Response_Table!$A$4:$A$21,0))*$R193*INDEX(Parameters!$X$4:$AA$4,1,MATCH($E193,Parameters!$X$3:$AA$3,0))))*(1+Inputs_General!$C$22*Parameters!$F$4))</f>
        <v>75.1506793597889</v>
      </c>
      <c r="X193" s="45" t="n">
        <f aca="false">IF(T193=0,0,U193/T193-1)</f>
        <v>-0.177699793394599</v>
      </c>
      <c r="Y193" s="44" t="n">
        <f aca="false">Parameters!$E$5*IF($N193="V",Parameters!$I$5,IF($N193="F",Parameters!$J$5,Parameters!$K$5))*(1-Parameters!$L$5*$P193)*IF($D193="V1",Parameters!$M$5,IF($D193="V2",Parameters!$N$5,Parameters!$O$5))</f>
        <v>58.6602514285714</v>
      </c>
      <c r="Z193" s="44" t="n">
        <f aca="false">MIN(100,Y193*(1+INDEX(Response_Table!$F$4:$F$21,MATCH($F193&amp;"|mid",Response_Table!$A$4:$A$21,0))*$R193*INDEX(Parameters!$X$5:$AA$5,1,MATCH($E193,Parameters!$X$3:$AA$3,0))))</f>
        <v>26.3782092817516</v>
      </c>
      <c r="AA193" s="44" t="n">
        <f aca="false">MAX(0,MIN(Y193*(1+INDEX(Response_Table!$F$4:$F$21,MATCH($F193&amp;"|low",Response_Table!$A$4:$A$21,0))*$R193*INDEX(Parameters!$X$5:$AA$5,1,MATCH($E193,Parameters!$X$3:$AA$3,0))),Y193*(1+INDEX(Response_Table!$F$4:$F$21,MATCH($F193&amp;"|high",Response_Table!$A$4:$A$21,0))*$R193*INDEX(Parameters!$X$5:$AA$5,1,MATCH($E193,Parameters!$X$3:$AA$3,0))))*(1-Inputs_General!$C$22*Parameters!$F$5))</f>
        <v>16.1674581450365</v>
      </c>
      <c r="AB193" s="44" t="n">
        <f aca="false">MIN(100,MAX(Y193*(1+INDEX(Response_Table!$F$4:$F$21,MATCH($F193&amp;"|low",Response_Table!$A$4:$A$21,0))*$R193*INDEX(Parameters!$X$5:$AA$5,1,MATCH($E193,Parameters!$X$3:$AA$3,0))),Y193*(1+INDEX(Response_Table!$F$4:$F$21,MATCH($F193&amp;"|high",Response_Table!$A$4:$A$21,0))*$R193*INDEX(Parameters!$X$5:$AA$5,1,MATCH($E193,Parameters!$X$3:$AA$3,0))))*(1+Inputs_General!$C$22*Parameters!$F$5))</f>
        <v>44.4244550736007</v>
      </c>
      <c r="AC193" s="45" t="n">
        <f aca="false">IF(Y193=0,0,Z193/Y193-1)</f>
        <v>-0.550322260144565</v>
      </c>
      <c r="AD193" s="44" t="n">
        <f aca="false">Parameters!$E$6*IF($N193="V",Parameters!$I$6,IF($N193="F",Parameters!$J$6,Parameters!$K$6))*(1-Parameters!$L$6*$P193)*IF($D193="V1",Parameters!$M$6,IF($D193="V2",Parameters!$N$6,Parameters!$O$6))</f>
        <v>14.3019785714286</v>
      </c>
      <c r="AE193" s="44" t="n">
        <f aca="false">AD193*(1+INDEX(Response_Table!$G$4:$G$21,MATCH($F193&amp;"|mid",Response_Table!$A$4:$A$21,0))*$R193*INDEX(Parameters!$X$6:$AA$6,1,MATCH($E193,Parameters!$X$3:$AA$3,0)))</f>
        <v>4.71956042186306</v>
      </c>
      <c r="AF193" s="44" t="n">
        <f aca="false">MAX(0,MIN(AD193*(1+INDEX(Response_Table!$G$4:$G$21,MATCH($F193&amp;"|low",Response_Table!$A$4:$A$21,0))*$R193*INDEX(Parameters!$X$6:$AA$6,1,MATCH($E193,Parameters!$X$3:$AA$3,0))),AD193*(1+INDEX(Response_Table!$G$4:$G$21,MATCH($F193&amp;"|high",Response_Table!$A$4:$A$21,0))*$R193*INDEX(Parameters!$X$6:$AA$6,1,MATCH($E193,Parameters!$X$3:$AA$3,0))))*(1-Inputs_General!$C$22*Parameters!$F$6))</f>
        <v>3.05808849290009</v>
      </c>
      <c r="AG193" s="44" t="n">
        <f aca="false">MAX(AD193*(1+INDEX(Response_Table!$G$4:$G$21,MATCH($F193&amp;"|low",Response_Table!$A$4:$A$21,0))*$R193*INDEX(Parameters!$X$6:$AA$6,1,MATCH($E193,Parameters!$X$3:$AA$3,0))),AD193*(1+INDEX(Response_Table!$G$4:$G$21,MATCH($F193&amp;"|high",Response_Table!$A$4:$A$21,0))*$R193*INDEX(Parameters!$X$6:$AA$6,1,MATCH($E193,Parameters!$X$3:$AA$3,0))))*(1+Inputs_General!$C$22*Parameters!$F$6)</f>
        <v>7.49736325014977</v>
      </c>
      <c r="AH193" s="45" t="n">
        <f aca="false">IF(AD193=0,0,AE193/AD193-1)</f>
        <v>-0.670006468105648</v>
      </c>
      <c r="AI193" s="46" t="n">
        <f aca="false">Parameters!$E$7*IF($N193="V",Parameters!$I$7,IF($N193="F",Parameters!$J$7,Parameters!$K$7))*(1-Parameters!$L$7*$P193)*IF($D193="V1",Parameters!$M$7,IF($D193="V2",Parameters!$N$7,Parameters!$O$7))*POWER($Q193/Inputs_General!$C$26,-Inputs_General!$C$25)</f>
        <v>0.258501574676089</v>
      </c>
      <c r="AJ193" s="46" t="n">
        <f aca="false">AI193*(1+INDEX(Response_Table!$H$4:$H$21,MATCH($F193&amp;"|mid",Response_Table!$A$4:$A$21,0))*$R193*INDEX(Parameters!$X$7:$AA$7,1,MATCH($E193,Parameters!$X$3:$AA$3,0)))</f>
        <v>0.132784659119565</v>
      </c>
      <c r="AK193" s="46" t="n">
        <f aca="false">MAX(0,MIN(AI193*(1+INDEX(Response_Table!$H$4:$H$21,MATCH($F193&amp;"|low",Response_Table!$A$4:$A$21,0))*$R193*INDEX(Parameters!$X$7:$AA$7,1,MATCH($E193,Parameters!$X$3:$AA$3,0))),AI193*(1+INDEX(Response_Table!$H$4:$H$21,MATCH($F193&amp;"|high",Response_Table!$A$4:$A$21,0))*$R193*INDEX(Parameters!$X$7:$AA$7,1,MATCH($E193,Parameters!$X$3:$AA$3,0))))*(1-Inputs_General!$C$22*Parameters!$F$7))</f>
        <v>0.0808878165545517</v>
      </c>
      <c r="AL193" s="46" t="n">
        <f aca="false">MAX(AI193*(1+INDEX(Response_Table!$H$4:$H$21,MATCH($F193&amp;"|low",Response_Table!$A$4:$A$21,0))*$R193*INDEX(Parameters!$X$7:$AA$7,1,MATCH($E193,Parameters!$X$3:$AA$3,0))),AI193*(1+INDEX(Response_Table!$H$4:$H$21,MATCH($F193&amp;"|high",Response_Table!$A$4:$A$21,0))*$R193*INDEX(Parameters!$X$7:$AA$7,1,MATCH($E193,Parameters!$X$3:$AA$3,0))))*(1+Inputs_General!$C$22*Parameters!$F$7)</f>
        <v>0.205301594481939</v>
      </c>
      <c r="AM193" s="45" t="n">
        <f aca="false">IF(AI193=0,0,AJ193/AI193-1)</f>
        <v>-0.486329399401343</v>
      </c>
      <c r="AN193" s="43" t="n">
        <f aca="false">AI193*$Q193/Inputs_General!$C$13*1000</f>
        <v>5.69967952720096</v>
      </c>
      <c r="AO193" s="43" t="n">
        <f aca="false">AJ193*$Q193/Inputs_General!$C$13*1000*(1+Inputs_General!$C$21*$I193)</f>
        <v>3.20589479752312</v>
      </c>
      <c r="AP193" s="43" t="n">
        <f aca="false">AK193*$Q193/Inputs_General!$C$13*1000*(1+Inputs_General!$C$21*$H193)</f>
        <v>1.89941544345424</v>
      </c>
      <c r="AQ193" s="43" t="n">
        <f aca="false">AL193*$Q193/Inputs_General!$C$13*1000*(1+Inputs_General!$C$21*$J193)</f>
        <v>5.09251233185424</v>
      </c>
      <c r="AR193" s="45" t="n">
        <f aca="false">IF(AN193=0,0,AO193/AN193-1)</f>
        <v>-0.43753069234447</v>
      </c>
      <c r="AS193" s="42" t="n">
        <f aca="false">Parameters!$E$9*IF($N193="V",Parameters!$I$9,IF($N193="F",Parameters!$J$9,Parameters!$K$9))*(1-Parameters!$L$9*$P193)*IF($D193="V1",Parameters!$M$9,IF($D193="V2",Parameters!$N$9,Parameters!$O$9))</f>
        <v>293.55</v>
      </c>
      <c r="AT193" s="42" t="n">
        <f aca="false">AS193*(1+INDEX(Response_Table!$I$4:$I$21,MATCH($F193&amp;"|mid",Response_Table!$A$4:$A$21,0))*$R193*INDEX(Parameters!$X$9:$AA$9,1,MATCH($E193,Parameters!$X$3:$AA$3,0)))</f>
        <v>369.234551443109</v>
      </c>
      <c r="AU193" s="42" t="n">
        <f aca="false">MAX(0,MIN(AS193*(1+INDEX(Response_Table!$I$4:$I$21,MATCH($F193&amp;"|low",Response_Table!$A$4:$A$21,0))*$R193*INDEX(Parameters!$X$9:$AA$9,1,MATCH($E193,Parameters!$X$3:$AA$3,0))),AS193*(1+INDEX(Response_Table!$I$4:$I$21,MATCH($F193&amp;"|high",Response_Table!$A$4:$A$21,0))*$R193*INDEX(Parameters!$X$9:$AA$9,1,MATCH($E193,Parameters!$X$3:$AA$3,0))))*(1-Inputs_General!$C$22*Parameters!$F$9))</f>
        <v>321.026669658177</v>
      </c>
      <c r="AV193" s="42" t="n">
        <f aca="false">MAX(AS193*(1+INDEX(Response_Table!$I$4:$I$21,MATCH($F193&amp;"|low",Response_Table!$A$4:$A$21,0))*$R193*INDEX(Parameters!$X$9:$AA$9,1,MATCH($E193,Parameters!$X$3:$AA$3,0))),AS193*(1+INDEX(Response_Table!$I$4:$I$21,MATCH($F193&amp;"|high",Response_Table!$A$4:$A$21,0))*$R193*INDEX(Parameters!$X$9:$AA$9,1,MATCH($E193,Parameters!$X$3:$AA$3,0))))*(1+Inputs_General!$C$22*Parameters!$F$9)</f>
        <v>414.552000142396</v>
      </c>
      <c r="AW193" s="45" t="n">
        <f aca="false">IF(AS193=0,0,AT193/AS193-1)</f>
        <v>0.257825077305769</v>
      </c>
      <c r="AX193" s="43" t="n">
        <f aca="false">INDEX(Context!$AB$4:$AB$51,$K193)</f>
        <v>2.86350044433308</v>
      </c>
      <c r="AY193" s="43" t="n">
        <f aca="false">AX193*(1+INDEX(Response_Table!$J$4:$J$21,MATCH($F193&amp;"|mid",Response_Table!$A$4:$A$21,0))*$R193*INDEX(Parameters!$X$10:$AA$10,1,MATCH($E193,Parameters!$X$3:$AA$3,0)))</f>
        <v>1.99424710517759</v>
      </c>
      <c r="AZ193" s="43" t="n">
        <f aca="false">MAX(0,MIN(AX193*(1+INDEX(Response_Table!$J$4:$J$21,MATCH($F193&amp;"|low",Response_Table!$A$4:$A$21,0))*$R193*INDEX(Parameters!$X$10:$AA$10,1,MATCH($E193,Parameters!$X$3:$AA$3,0))),AX193*(1+INDEX(Response_Table!$J$4:$J$21,MATCH($F193&amp;"|high",Response_Table!$A$4:$A$21,0))*$R193*INDEX(Parameters!$X$10:$AA$10,1,MATCH($E193,Parameters!$X$3:$AA$3,0))))*(1-Inputs_General!$C$22*Parameters!$F$10))</f>
        <v>1.48655083769769</v>
      </c>
      <c r="BA193" s="43" t="n">
        <f aca="false">MAX(AX193*(1+INDEX(Response_Table!$J$4:$J$21,MATCH($F193&amp;"|low",Response_Table!$A$4:$A$21,0))*$R193*INDEX(Parameters!$X$10:$AA$10,1,MATCH($E193,Parameters!$X$3:$AA$3,0))),AX193*(1+INDEX(Response_Table!$J$4:$J$21,MATCH($F193&amp;"|high",Response_Table!$A$4:$A$21,0))*$R193*INDEX(Parameters!$X$10:$AA$10,1,MATCH($E193,Parameters!$X$3:$AA$3,0))))*(1+Inputs_General!$C$22*Parameters!$F$10)</f>
        <v>2.61755530314081</v>
      </c>
      <c r="BB193" s="45" t="n">
        <f aca="false">IF(AX193=0,0,AY193/AX193-1)</f>
        <v>-0.303563193390022</v>
      </c>
      <c r="BC193" s="46" t="n">
        <f aca="false">Parameters!$E$11*IF($N193="V",Parameters!$I$11,IF($N193="F",Parameters!$J$11,Parameters!$K$11))*(1-Parameters!$L$11*$P193)*IF($D193="V1",Parameters!$M$11,IF($D193="V2",Parameters!$N$11,Parameters!$O$11))</f>
        <v>1.00170982142857</v>
      </c>
      <c r="BD193" s="46" t="n">
        <f aca="false">BC193*(1+INDEX(Response_Table!$K$4:$K$21,MATCH($F193&amp;"|mid",Response_Table!$A$4:$A$21,0))*$R193*INDEX(Parameters!$X$11:$AA$11,1,MATCH($E193,Parameters!$X$3:$AA$3,0)))</f>
        <v>0.497785289767803</v>
      </c>
      <c r="BE193" s="46" t="n">
        <f aca="false">MAX(0,MIN(BC193*(1+INDEX(Response_Table!$K$4:$K$21,MATCH($F193&amp;"|low",Response_Table!$A$4:$A$21,0))*$R193*INDEX(Parameters!$X$11:$AA$11,1,MATCH($E193,Parameters!$X$3:$AA$3,0))),BC193*(1+INDEX(Response_Table!$K$4:$K$21,MATCH($F193&amp;"|high",Response_Table!$A$4:$A$21,0))*$R193*INDEX(Parameters!$X$11:$AA$11,1,MATCH($E193,Parameters!$X$3:$AA$3,0))))*(1-Inputs_General!$C$22*Parameters!$F$11))</f>
        <v>0.359340305681349</v>
      </c>
      <c r="BF193" s="46" t="n">
        <f aca="false">MAX(BC193*(1+INDEX(Response_Table!$K$4:$K$21,MATCH($F193&amp;"|low",Response_Table!$A$4:$A$21,0))*$R193*INDEX(Parameters!$X$11:$AA$11,1,MATCH($E193,Parameters!$X$3:$AA$3,0))),BC193*(1+INDEX(Response_Table!$K$4:$K$21,MATCH($F193&amp;"|high",Response_Table!$A$4:$A$21,0))*$R193*INDEX(Parameters!$X$11:$AA$11,1,MATCH($E193,Parameters!$X$3:$AA$3,0))))*(1+Inputs_General!$C$22*Parameters!$F$11)</f>
        <v>0.695406358912333</v>
      </c>
      <c r="BG193" s="45" t="n">
        <f aca="false">IF(BC193=0,0,BD193/BC193-1)</f>
        <v>-0.503064381401497</v>
      </c>
      <c r="BH193" s="46" t="n">
        <f aca="false">Parameters!$E$12*IF($N193="V",Parameters!$I$12,IF($N193="F",Parameters!$J$12,Parameters!$K$12))*(1-Parameters!$L$12*$P193)*IF($D193="V1",Parameters!$M$12,IF($D193="V2",Parameters!$N$12,Parameters!$O$12))</f>
        <v>0.373343142857143</v>
      </c>
      <c r="BI193" s="46" t="n">
        <f aca="false">BH193*(1+INDEX(Response_Table!$L$4:$L$21,MATCH($F193&amp;"|mid",Response_Table!$A$4:$A$21,0))*$R193*INDEX(Parameters!$X$12:$AA$12,1,MATCH($E193,Parameters!$X$3:$AA$3,0)))</f>
        <v>0.219708895872561</v>
      </c>
      <c r="BJ193" s="46" t="n">
        <f aca="false">MAX(0,MIN(BH193*(1+INDEX(Response_Table!$L$4:$L$21,MATCH($F193&amp;"|low",Response_Table!$A$4:$A$21,0))*$R193*INDEX(Parameters!$X$12:$AA$12,1,MATCH($E193,Parameters!$X$3:$AA$3,0))),BH193*(1+INDEX(Response_Table!$L$4:$L$21,MATCH($F193&amp;"|high",Response_Table!$A$4:$A$21,0))*$R193*INDEX(Parameters!$X$12:$AA$12,1,MATCH($E193,Parameters!$X$3:$AA$3,0))))*(1-Inputs_General!$C$22*Parameters!$F$12))</f>
        <v>0.158810085707789</v>
      </c>
      <c r="BK193" s="46" t="n">
        <f aca="false">MAX(BH193*(1+INDEX(Response_Table!$L$4:$L$21,MATCH($F193&amp;"|low",Response_Table!$A$4:$A$21,0))*$R193*INDEX(Parameters!$X$12:$AA$12,1,MATCH($E193,Parameters!$X$3:$AA$3,0))),BH193*(1+INDEX(Response_Table!$L$4:$L$21,MATCH($F193&amp;"|high",Response_Table!$A$4:$A$21,0))*$R193*INDEX(Parameters!$X$12:$AA$12,1,MATCH($E193,Parameters!$X$3:$AA$3,0))))*(1+Inputs_General!$C$22*Parameters!$F$12)</f>
        <v>0.30056164871584</v>
      </c>
      <c r="BL193" s="45" t="n">
        <f aca="false">IF(BH193=0,0,BI193/BH193-1)</f>
        <v>-0.411509491801136</v>
      </c>
      <c r="BM193" s="46" t="n">
        <f aca="false">Parameters!$E$13*IF($N193="V",Parameters!$I$13,IF($N193="F",Parameters!$J$13,Parameters!$K$13))*(1-Parameters!$L$13*$P193)*IF($D193="V1",Parameters!$M$13,IF($D193="V2",Parameters!$N$13,Parameters!$O$13))</f>
        <v>0.262276071428571</v>
      </c>
      <c r="BN193" s="46" t="n">
        <f aca="false">BM193*(1+INDEX(Response_Table!$M$4:$M$21,MATCH($F193&amp;"|mid",Response_Table!$A$4:$A$21,0))*$R193*INDEX(Parameters!$X$13:$AA$13,1,MATCH($E193,Parameters!$X$3:$AA$3,0)))</f>
        <v>0.190448877877831</v>
      </c>
      <c r="BO193" s="46" t="n">
        <f aca="false">MAX(0,MIN(BM193*(1+INDEX(Response_Table!$M$4:$M$21,MATCH($F193&amp;"|low",Response_Table!$A$4:$A$21,0))*$R193*INDEX(Parameters!$X$13:$AA$13,1,MATCH($E193,Parameters!$X$3:$AA$3,0))),BM193*(1+INDEX(Response_Table!$M$4:$M$21,MATCH($F193&amp;"|high",Response_Table!$A$4:$A$21,0))*$R193*INDEX(Parameters!$X$13:$AA$13,1,MATCH($E193,Parameters!$X$3:$AA$3,0))))*(1-Inputs_General!$C$22*Parameters!$F$13))</f>
        <v>0.140668662873728</v>
      </c>
      <c r="BP193" s="46" t="n">
        <f aca="false">MAX(BM193*(1+INDEX(Response_Table!$M$4:$M$21,MATCH($F193&amp;"|low",Response_Table!$A$4:$A$21,0))*$R193*INDEX(Parameters!$X$13:$AA$13,1,MATCH($E193,Parameters!$X$3:$AA$3,0))),BM193*(1+INDEX(Response_Table!$M$4:$M$21,MATCH($F193&amp;"|high",Response_Table!$A$4:$A$21,0))*$R193*INDEX(Parameters!$X$13:$AA$13,1,MATCH($E193,Parameters!$X$3:$AA$3,0))))*(1+Inputs_General!$C$22*Parameters!$F$13)</f>
        <v>0.257344943531103</v>
      </c>
      <c r="BQ193" s="45" t="n">
        <f aca="false">IF(BM193=0,0,BN193/BM193-1)</f>
        <v>-0.273861024223485</v>
      </c>
      <c r="BR193" s="44" t="n">
        <f aca="false">Parameters!$E$14*IF($N193="V",Parameters!$I$14,IF($N193="F",Parameters!$J$14,Parameters!$K$14))*(1-Parameters!$L$14*$P193)*IF($D193="V1",Parameters!$M$14,IF($D193="V2",Parameters!$N$14,Parameters!$O$14))*INDEX(Context!$AC$4:$AC$51,$K193)</f>
        <v>17.25</v>
      </c>
      <c r="BS193" s="44" t="n">
        <f aca="false">BR193*(1+INDEX(Response_Table!$N$4:$N$21,MATCH($F193&amp;"|mid",Response_Table!$A$4:$A$21,0))*$R193*INDEX(Parameters!$X$14:$AA$14,1,MATCH($E193,Parameters!$X$3:$AA$3,0)))</f>
        <v>24.9938604366214</v>
      </c>
      <c r="BT193" s="44" t="n">
        <f aca="false">MAX(0,MIN(BR193*(1+INDEX(Response_Table!$N$4:$N$21,MATCH($F193&amp;"|low",Response_Table!$A$4:$A$21,0))*$R193*INDEX(Parameters!$X$14:$AA$14,1,MATCH($E193,Parameters!$X$3:$AA$3,0))),BR193*(1+INDEX(Response_Table!$N$4:$N$21,MATCH($F193&amp;"|high",Response_Table!$A$4:$A$21,0))*$R193*INDEX(Parameters!$X$14:$AA$14,1,MATCH($E193,Parameters!$X$3:$AA$3,0))))*(1-Inputs_General!$C$22*Parameters!$F$14))</f>
        <v>11.8602280897934</v>
      </c>
      <c r="BU193" s="44" t="n">
        <f aca="false">MAX(BR193*(1+INDEX(Response_Table!$N$4:$N$21,MATCH($F193&amp;"|low",Response_Table!$A$4:$A$21,0))*$R193*INDEX(Parameters!$X$14:$AA$14,1,MATCH($E193,Parameters!$X$3:$AA$3,0))),BR193*(1+INDEX(Response_Table!$N$4:$N$21,MATCH($F193&amp;"|high",Response_Table!$A$4:$A$21,0))*$R193*INDEX(Parameters!$X$14:$AA$14,1,MATCH($E193,Parameters!$X$3:$AA$3,0))))*(1+Inputs_General!$C$22*Parameters!$F$14)</f>
        <v>38.9723793797416</v>
      </c>
      <c r="BV193" s="45" t="n">
        <f aca="false">IF(BR193=0,0,BS193/BR193-1)</f>
        <v>0.44891944560124</v>
      </c>
      <c r="BW193" s="43" t="n">
        <f aca="false">Parameters!$E$15*IF($N193="V",Parameters!$I$15,IF($N193="F",Parameters!$J$15,Parameters!$K$15))*(1-Parameters!$L$15*$P193)*IF($D193="V1",Parameters!$M$15,IF($D193="V2",Parameters!$N$15,Parameters!$O$15))</f>
        <v>8.34931028571429</v>
      </c>
      <c r="BX193" s="43" t="n">
        <f aca="false">BW193*(1+INDEX(Response_Table!$O$4:$O$21,MATCH($F193&amp;"|mid",Response_Table!$A$4:$A$21,0))*$R193*INDEX(Parameters!$X$15:$AA$15,1,MATCH($E193,Parameters!$X$3:$AA$3,0)))</f>
        <v>7.41226834956039</v>
      </c>
      <c r="BY193" s="43" t="n">
        <f aca="false">MAX(0,MIN(BW193*(1+INDEX(Response_Table!$O$4:$O$21,MATCH($F193&amp;"|low",Response_Table!$A$4:$A$21,0))*$R193*INDEX(Parameters!$X$15:$AA$15,1,MATCH($E193,Parameters!$X$3:$AA$3,0))),BW193*(1+INDEX(Response_Table!$O$4:$O$21,MATCH($F193&amp;"|high",Response_Table!$A$4:$A$21,0))*$R193*INDEX(Parameters!$X$15:$AA$15,1,MATCH($E193,Parameters!$X$3:$AA$3,0))))*(1-Inputs_General!$C$22*Parameters!$F$15))</f>
        <v>5.842178591405</v>
      </c>
      <c r="BZ193" s="43" t="n">
        <f aca="false">MAX(BW193*(1+INDEX(Response_Table!$O$4:$O$21,MATCH($F193&amp;"|low",Response_Table!$A$4:$A$21,0))*$R193*INDEX(Parameters!$X$15:$AA$15,1,MATCH($E193,Parameters!$X$3:$AA$3,0))),BW193*(1+INDEX(Response_Table!$O$4:$O$21,MATCH($F193&amp;"|high",Response_Table!$A$4:$A$21,0))*$R193*INDEX(Parameters!$X$15:$AA$15,1,MATCH($E193,Parameters!$X$3:$AA$3,0))))*(1+Inputs_General!$C$22*Parameters!$F$15)</f>
        <v>9.10406066719295</v>
      </c>
      <c r="CA193" s="45" t="n">
        <f aca="false">IF(BW193=0,0,BX193/BW193-1)</f>
        <v>-0.11222986140031</v>
      </c>
      <c r="CB193" s="46" t="n">
        <f aca="false">BD193+BI193</f>
        <v>0.717494185640364</v>
      </c>
      <c r="CC193" s="43" t="n">
        <f aca="false">BD193/BI193</f>
        <v>2.26565832844809</v>
      </c>
      <c r="CD193" s="46" t="n">
        <f aca="false">BN193/CB193</f>
        <v>0.265436127134403</v>
      </c>
      <c r="CE193" s="43" t="n">
        <f aca="false">AE193/AO193</f>
        <v>1.47215074727636</v>
      </c>
      <c r="CF193" s="44" t="n">
        <f aca="false">AE193/AJ193</f>
        <v>35.5429644746337</v>
      </c>
      <c r="CG193" s="44" t="n">
        <f aca="false">INDEX(Context!$V$4:$V$51,$K193)</f>
        <v>32.7871428571429</v>
      </c>
      <c r="CH193" s="44" t="n">
        <f aca="false">INDEX(Context!$Y$4:$Y$51,$K193)</f>
        <v>28.36912210206</v>
      </c>
      <c r="CI193" s="44" t="n">
        <f aca="false">INDEX(Context!$Z$4:$Z$51,$K193)</f>
        <v>36.7871428571429</v>
      </c>
      <c r="CJ193" s="43" t="n">
        <f aca="false">INDEX(Context!$AA$4:$AA$51,$K193)</f>
        <v>0.347678571428571</v>
      </c>
      <c r="CK193" s="43" t="n">
        <f aca="false">MAX(0,MIN(1,1-(1-CJ193)*AO193/AN193))</f>
        <v>0.633089217702562</v>
      </c>
      <c r="CL193" s="44" t="n">
        <f aca="false">CH193+CK193*(CI193-CH193)</f>
        <v>33.6984802764994</v>
      </c>
      <c r="CM193" s="44" t="n">
        <f aca="false">CH193+MAX(0,MIN(1,1-(1-CJ193)*AQ193/AN193))*(CI193-CH193)</f>
        <v>31.88085201659</v>
      </c>
      <c r="CN193" s="44" t="n">
        <f aca="false">CH193+MAX(0,MIN(1,1-(1-CJ193)*AP193/AN193))*(CI193-CH193)</f>
        <v>34.9571846782824</v>
      </c>
      <c r="CO193" s="44" t="n">
        <f aca="false">CL193-CG193</f>
        <v>0.911337419356499</v>
      </c>
      <c r="CP193" s="44" t="n">
        <f aca="false">CL193-(CH193+CJ193*(CI193-CH193))</f>
        <v>2.40259274405606</v>
      </c>
      <c r="CQ193" s="46" t="n">
        <f aca="false">CL193/CG193</f>
        <v>1.02779557289659</v>
      </c>
      <c r="CR193" s="43" t="n">
        <f aca="false">IF(CL193-CH193&lt;=0,"n/a",(CI193-CL193)/(CL193-CH193))</f>
        <v>0.579556201618678</v>
      </c>
      <c r="CS193" s="43" t="n">
        <f aca="false">IF(CI193-CL193&lt;=0,"n/a",(CL193-CH193)/(CI193-CL193))</f>
        <v>1.72545819923424</v>
      </c>
      <c r="CT193" s="43" t="n">
        <f aca="false">Inputs_General!$C$23+Inputs_General!$C$24*$I193</f>
        <v>1.36</v>
      </c>
      <c r="CU193" s="44" t="n">
        <f aca="false">3.29*CT193</f>
        <v>4.4744</v>
      </c>
    </row>
    <row r="194" customFormat="false" ht="15" hidden="false" customHeight="false" outlineLevel="0" collapsed="false">
      <c r="A194" s="9" t="str">
        <f aca="false">B194&amp;"|"&amp;E194&amp;"|"&amp;F194</f>
        <v>D3V2|13/03/2026|Very high</v>
      </c>
      <c r="B194" s="7" t="s">
        <v>350</v>
      </c>
      <c r="C194" s="9" t="s">
        <v>131</v>
      </c>
      <c r="D194" s="9" t="s">
        <v>146</v>
      </c>
      <c r="E194" s="9" t="s">
        <v>164</v>
      </c>
      <c r="F194" s="7" t="s">
        <v>285</v>
      </c>
      <c r="G194" s="9" t="s">
        <v>286</v>
      </c>
      <c r="H194" s="41" t="n">
        <f aca="false">INDEX(Severity_Classes!$C$4:$C$9,MATCH(F194,Severity_Classes!$A$4:$A$9,0))</f>
        <v>0.51</v>
      </c>
      <c r="I194" s="41" t="n">
        <f aca="false">INDEX(Severity_Classes!$D$4:$D$9,MATCH(F194,Severity_Classes!$A$4:$A$9,0))</f>
        <v>0.65</v>
      </c>
      <c r="J194" s="41" t="n">
        <f aca="false">INDEX(Severity_Classes!$E$4:$E$9,MATCH(F194,Severity_Classes!$A$4:$A$9,0))</f>
        <v>0.85</v>
      </c>
      <c r="K194" s="42" t="n">
        <f aca="false">MATCH(B194&amp;"|"&amp;E194,Context!$A$4:$A$51,0)</f>
        <v>32</v>
      </c>
      <c r="L194" s="42" t="n">
        <f aca="false">INDEX(Context!$H$4:$H$51,K194)</f>
        <v>76</v>
      </c>
      <c r="M194" s="42" t="n">
        <f aca="false">INDEX(Context!$I$4:$I$51,K194)</f>
        <v>36</v>
      </c>
      <c r="N194" s="9" t="str">
        <f aca="false">INDEX(Context!$L$4:$L$51,K194)</f>
        <v>P</v>
      </c>
      <c r="O194" s="9" t="str">
        <f aca="false">INDEX(Context!$M$4:$M$51,K194)</f>
        <v>5th fully expanded leaf from top</v>
      </c>
      <c r="P194" s="43" t="n">
        <f aca="false">INDEX(Context!$R$4:$R$51,K194)</f>
        <v>0.953571428571428</v>
      </c>
      <c r="Q194" s="43" t="n">
        <f aca="false">INDEX(Context!$U$4:$U$51,K194)</f>
        <v>2.18945736698217</v>
      </c>
      <c r="R194" s="43" t="n">
        <f aca="false">INDEX(Context!$AD$4:$AD$51,K194)</f>
        <v>1.1</v>
      </c>
      <c r="S194" s="9" t="str">
        <f aca="false">INDEX(Context!$AI$4:$AN$51,K194,MATCH(F194,Severity_Classes!$A$4:$A$9,0))</f>
        <v>Likely</v>
      </c>
      <c r="T194" s="44" t="n">
        <f aca="false">Parameters!$E$4*IF($N194="V",Parameters!$I$4,IF($N194="F",Parameters!$J$4,Parameters!$K$4))*(1-Parameters!$L$4*$P194)*IF($D194="V1",Parameters!$M$4,IF($D194="V2",Parameters!$N$4,Parameters!$O$4))</f>
        <v>77.8046607142857</v>
      </c>
      <c r="U194" s="44" t="n">
        <f aca="false">MIN(100,T194*(1+INDEX(Response_Table!$E$4:$E$21,MATCH($F194&amp;"|mid",Response_Table!$A$4:$A$21,0))*$R194*INDEX(Parameters!$X$4:$AA$4,1,MATCH($E194,Parameters!$X$3:$AA$3,0))))</f>
        <v>54.1822196251207</v>
      </c>
      <c r="V194" s="44" t="n">
        <f aca="false">MAX(0,MIN(T194*(1+INDEX(Response_Table!$E$4:$E$21,MATCH($F194&amp;"|low",Response_Table!$A$4:$A$21,0))*$R194*INDEX(Parameters!$X$4:$AA$4,1,MATCH($E194,Parameters!$X$3:$AA$3,0))),T194*(1+INDEX(Response_Table!$E$4:$E$21,MATCH($F194&amp;"|high",Response_Table!$A$4:$A$21,0))*$R194*INDEX(Parameters!$X$4:$AA$4,1,MATCH($E194,Parameters!$X$3:$AA$3,0))))*(1-Inputs_General!$C$22*Parameters!$F$4))</f>
        <v>49.0850421200197</v>
      </c>
      <c r="W194" s="44" t="n">
        <f aca="false">MIN(100,MAX(T194*(1+INDEX(Response_Table!$E$4:$E$21,MATCH($F194&amp;"|low",Response_Table!$A$4:$A$21,0))*$R194*INDEX(Parameters!$X$4:$AA$4,1,MATCH($E194,Parameters!$X$3:$AA$3,0))),T194*(1+INDEX(Response_Table!$E$4:$E$21,MATCH($F194&amp;"|high",Response_Table!$A$4:$A$21,0))*$R194*INDEX(Parameters!$X$4:$AA$4,1,MATCH($E194,Parameters!$X$3:$AA$3,0))))*(1+Inputs_General!$C$22*Parameters!$F$4))</f>
        <v>61.5767011083792</v>
      </c>
      <c r="X194" s="45" t="n">
        <f aca="false">IF(T194=0,0,U194/T194-1)</f>
        <v>-0.30361215989247</v>
      </c>
      <c r="Y194" s="44" t="n">
        <f aca="false">Parameters!$E$5*IF($N194="V",Parameters!$I$5,IF($N194="F",Parameters!$J$5,Parameters!$K$5))*(1-Parameters!$L$5*$P194)*IF($D194="V1",Parameters!$M$5,IF($D194="V2",Parameters!$N$5,Parameters!$O$5))</f>
        <v>58.6602514285714</v>
      </c>
      <c r="Z194" s="44" t="n">
        <f aca="false">MIN(100,Y194*(1+INDEX(Response_Table!$F$4:$F$21,MATCH($F194&amp;"|mid",Response_Table!$A$4:$A$21,0))*$R194*INDEX(Parameters!$X$5:$AA$5,1,MATCH($E194,Parameters!$X$3:$AA$3,0))))</f>
        <v>14.6479061454231</v>
      </c>
      <c r="AA194" s="44" t="n">
        <f aca="false">MAX(0,MIN(Y194*(1+INDEX(Response_Table!$F$4:$F$21,MATCH($F194&amp;"|low",Response_Table!$A$4:$A$21,0))*$R194*INDEX(Parameters!$X$5:$AA$5,1,MATCH($E194,Parameters!$X$3:$AA$3,0))),Y194*(1+INDEX(Response_Table!$F$4:$F$21,MATCH($F194&amp;"|high",Response_Table!$A$4:$A$21,0))*$R194*INDEX(Parameters!$X$5:$AA$5,1,MATCH($E194,Parameters!$X$3:$AA$3,0))))*(1-Inputs_General!$C$22*Parameters!$F$5))</f>
        <v>12.0796584401347</v>
      </c>
      <c r="AB194" s="44" t="n">
        <f aca="false">MIN(100,MAX(Y194*(1+INDEX(Response_Table!$F$4:$F$21,MATCH($F194&amp;"|low",Response_Table!$A$4:$A$21,0))*$R194*INDEX(Parameters!$X$5:$AA$5,1,MATCH($E194,Parameters!$X$3:$AA$3,0))),Y194*(1+INDEX(Response_Table!$F$4:$F$21,MATCH($F194&amp;"|high",Response_Table!$A$4:$A$21,0))*$R194*INDEX(Parameters!$X$5:$AA$5,1,MATCH($E194,Parameters!$X$3:$AA$3,0))))*(1+Inputs_General!$C$22*Parameters!$F$5))</f>
        <v>19.9143736599404</v>
      </c>
      <c r="AC194" s="45" t="n">
        <f aca="false">IF(Y194=0,0,Z194/Y194-1)</f>
        <v>-0.750292475932201</v>
      </c>
      <c r="AD194" s="44" t="n">
        <f aca="false">Parameters!$E$6*IF($N194="V",Parameters!$I$6,IF($N194="F",Parameters!$J$6,Parameters!$K$6))*(1-Parameters!$L$6*$P194)*IF($D194="V1",Parameters!$M$6,IF($D194="V2",Parameters!$N$6,Parameters!$O$6))</f>
        <v>14.3019785714286</v>
      </c>
      <c r="AE194" s="44" t="n">
        <f aca="false">AD194*(1+INDEX(Response_Table!$G$4:$G$21,MATCH($F194&amp;"|mid",Response_Table!$A$4:$A$21,0))*$R194*INDEX(Parameters!$X$6:$AA$6,1,MATCH($E194,Parameters!$X$3:$AA$3,0)))</f>
        <v>3.17856793025642</v>
      </c>
      <c r="AF194" s="44" t="n">
        <f aca="false">MAX(0,MIN(AD194*(1+INDEX(Response_Table!$G$4:$G$21,MATCH($F194&amp;"|low",Response_Table!$A$4:$A$21,0))*$R194*INDEX(Parameters!$X$6:$AA$6,1,MATCH($E194,Parameters!$X$3:$AA$3,0))),AD194*(1+INDEX(Response_Table!$G$4:$G$21,MATCH($F194&amp;"|high",Response_Table!$A$4:$A$21,0))*$R194*INDEX(Parameters!$X$6:$AA$6,1,MATCH($E194,Parameters!$X$3:$AA$3,0))))*(1-Inputs_General!$C$22*Parameters!$F$6))</f>
        <v>2.23373536736416</v>
      </c>
      <c r="AG194" s="44" t="n">
        <f aca="false">MAX(AD194*(1+INDEX(Response_Table!$G$4:$G$21,MATCH($F194&amp;"|low",Response_Table!$A$4:$A$21,0))*$R194*INDEX(Parameters!$X$6:$AA$6,1,MATCH($E194,Parameters!$X$3:$AA$3,0))),AD194*(1+INDEX(Response_Table!$G$4:$G$21,MATCH($F194&amp;"|high",Response_Table!$A$4:$A$21,0))*$R194*INDEX(Parameters!$X$6:$AA$6,1,MATCH($E194,Parameters!$X$3:$AA$3,0))))*(1+Inputs_General!$C$22*Parameters!$F$6)</f>
        <v>4.49497948279818</v>
      </c>
      <c r="AH194" s="45" t="n">
        <f aca="false">IF(AD194=0,0,AE194/AD194-1)</f>
        <v>-0.77775327278099</v>
      </c>
      <c r="AI194" s="46" t="n">
        <f aca="false">Parameters!$E$7*IF($N194="V",Parameters!$I$7,IF($N194="F",Parameters!$J$7,Parameters!$K$7))*(1-Parameters!$L$7*$P194)*IF($D194="V1",Parameters!$M$7,IF($D194="V2",Parameters!$N$7,Parameters!$O$7))*POWER($Q194/Inputs_General!$C$26,-Inputs_General!$C$25)</f>
        <v>0.258501574676089</v>
      </c>
      <c r="AJ194" s="46" t="n">
        <f aca="false">AI194*(1+INDEX(Response_Table!$H$4:$H$21,MATCH($F194&amp;"|mid",Response_Table!$A$4:$A$21,0))*$R194*INDEX(Parameters!$X$7:$AA$7,1,MATCH($E194,Parameters!$X$3:$AA$3,0)))</f>
        <v>0.0999692699342804</v>
      </c>
      <c r="AK194" s="46" t="n">
        <f aca="false">MAX(0,MIN(AI194*(1+INDEX(Response_Table!$H$4:$H$21,MATCH($F194&amp;"|low",Response_Table!$A$4:$A$21,0))*$R194*INDEX(Parameters!$X$7:$AA$7,1,MATCH($E194,Parameters!$X$3:$AA$3,0))),AI194*(1+INDEX(Response_Table!$H$4:$H$21,MATCH($F194&amp;"|high",Response_Table!$A$4:$A$21,0))*$R194*INDEX(Parameters!$X$7:$AA$7,1,MATCH($E194,Parameters!$X$3:$AA$3,0))))*(1-Inputs_General!$C$22*Parameters!$F$7))</f>
        <v>0.0620168813076892</v>
      </c>
      <c r="AL194" s="46" t="n">
        <f aca="false">MAX(AI194*(1+INDEX(Response_Table!$H$4:$H$21,MATCH($F194&amp;"|low",Response_Table!$A$4:$A$21,0))*$R194*INDEX(Parameters!$X$7:$AA$7,1,MATCH($E194,Parameters!$X$3:$AA$3,0))),AI194*(1+INDEX(Response_Table!$H$4:$H$21,MATCH($F194&amp;"|high",Response_Table!$A$4:$A$21,0))*$R194*INDEX(Parameters!$X$7:$AA$7,1,MATCH($E194,Parameters!$X$3:$AA$3,0))))*(1+Inputs_General!$C$22*Parameters!$F$7)</f>
        <v>0.147360009957843</v>
      </c>
      <c r="AM194" s="45" t="n">
        <f aca="false">IF(AI194=0,0,AJ194/AI194-1)</f>
        <v>-0.613274038815643</v>
      </c>
      <c r="AN194" s="43" t="n">
        <f aca="false">AI194*$Q194/Inputs_General!$C$13*1000</f>
        <v>5.69967952720096</v>
      </c>
      <c r="AO194" s="43" t="n">
        <f aca="false">AJ194*$Q194/Inputs_General!$C$13*1000*(1+Inputs_General!$C$21*$I194)</f>
        <v>2.56239882568453</v>
      </c>
      <c r="AP194" s="43" t="n">
        <f aca="false">AK194*$Q194/Inputs_General!$C$13*1000*(1+Inputs_General!$C$21*$H194)</f>
        <v>1.54174915063008</v>
      </c>
      <c r="AQ194" s="43" t="n">
        <f aca="false">AL194*$Q194/Inputs_General!$C$13*1000*(1+Inputs_General!$C$21*$J194)</f>
        <v>3.93956829832253</v>
      </c>
      <c r="AR194" s="45" t="n">
        <f aca="false">IF(AN194=0,0,AO194/AN194-1)</f>
        <v>-0.550431070123185</v>
      </c>
      <c r="AS194" s="42" t="n">
        <f aca="false">Parameters!$E$9*IF($N194="V",Parameters!$I$9,IF($N194="F",Parameters!$J$9,Parameters!$K$9))*(1-Parameters!$L$9*$P194)*IF($D194="V1",Parameters!$M$9,IF($D194="V2",Parameters!$N$9,Parameters!$O$9))</f>
        <v>293.55</v>
      </c>
      <c r="AT194" s="42" t="n">
        <f aca="false">AS194*(1+INDEX(Response_Table!$I$4:$I$21,MATCH($F194&amp;"|mid",Response_Table!$A$4:$A$21,0))*$R194*INDEX(Parameters!$X$9:$AA$9,1,MATCH($E194,Parameters!$X$3:$AA$3,0)))</f>
        <v>383.22650706801</v>
      </c>
      <c r="AU194" s="42" t="n">
        <f aca="false">MAX(0,MIN(AS194*(1+INDEX(Response_Table!$I$4:$I$21,MATCH($F194&amp;"|low",Response_Table!$A$4:$A$21,0))*$R194*INDEX(Parameters!$X$9:$AA$9,1,MATCH($E194,Parameters!$X$3:$AA$3,0))),AS194*(1+INDEX(Response_Table!$I$4:$I$21,MATCH($F194&amp;"|high",Response_Table!$A$4:$A$21,0))*$R194*INDEX(Parameters!$X$9:$AA$9,1,MATCH($E194,Parameters!$X$3:$AA$3,0))))*(1-Inputs_General!$C$22*Parameters!$F$9))</f>
        <v>340.534054411581</v>
      </c>
      <c r="AV194" s="42" t="n">
        <f aca="false">MAX(AS194*(1+INDEX(Response_Table!$I$4:$I$21,MATCH($F194&amp;"|low",Response_Table!$A$4:$A$21,0))*$R194*INDEX(Parameters!$X$9:$AA$9,1,MATCH($E194,Parameters!$X$3:$AA$3,0))),AS194*(1+INDEX(Response_Table!$I$4:$I$21,MATCH($F194&amp;"|high",Response_Table!$A$4:$A$21,0))*$R194*INDEX(Parameters!$X$9:$AA$9,1,MATCH($E194,Parameters!$X$3:$AA$3,0))))*(1+Inputs_General!$C$22*Parameters!$F$9)</f>
        <v>425.404094251279</v>
      </c>
      <c r="AW194" s="45" t="n">
        <f aca="false">IF(AS194=0,0,AT194/AS194-1)</f>
        <v>0.30548971918927</v>
      </c>
      <c r="AX194" s="43" t="n">
        <f aca="false">INDEX(Context!$AB$4:$AB$51,$K194)</f>
        <v>2.86350044433308</v>
      </c>
      <c r="AY194" s="43" t="n">
        <f aca="false">AX194*(1+INDEX(Response_Table!$J$4:$J$21,MATCH($F194&amp;"|mid",Response_Table!$A$4:$A$21,0))*$R194*INDEX(Parameters!$X$10:$AA$10,1,MATCH($E194,Parameters!$X$3:$AA$3,0)))</f>
        <v>1.72517677576179</v>
      </c>
      <c r="AZ194" s="43" t="n">
        <f aca="false">MAX(0,MIN(AX194*(1+INDEX(Response_Table!$J$4:$J$21,MATCH($F194&amp;"|low",Response_Table!$A$4:$A$21,0))*$R194*INDEX(Parameters!$X$10:$AA$10,1,MATCH($E194,Parameters!$X$3:$AA$3,0))),AX194*(1+INDEX(Response_Table!$J$4:$J$21,MATCH($F194&amp;"|high",Response_Table!$A$4:$A$21,0))*$R194*INDEX(Parameters!$X$10:$AA$10,1,MATCH($E194,Parameters!$X$3:$AA$3,0))))*(1-Inputs_General!$C$22*Parameters!$F$10))</f>
        <v>1.29648466255544</v>
      </c>
      <c r="BA194" s="43" t="n">
        <f aca="false">MAX(AX194*(1+INDEX(Response_Table!$J$4:$J$21,MATCH($F194&amp;"|low",Response_Table!$A$4:$A$21,0))*$R194*INDEX(Parameters!$X$10:$AA$10,1,MATCH($E194,Parameters!$X$3:$AA$3,0))),AX194*(1+INDEX(Response_Table!$J$4:$J$21,MATCH($F194&amp;"|high",Response_Table!$A$4:$A$21,0))*$R194*INDEX(Parameters!$X$10:$AA$10,1,MATCH($E194,Parameters!$X$3:$AA$3,0))))*(1+Inputs_General!$C$22*Parameters!$F$10)</f>
        <v>2.20578121601688</v>
      </c>
      <c r="BB194" s="45" t="n">
        <f aca="false">IF(AX194=0,0,AY194/AX194-1)</f>
        <v>-0.397528720773924</v>
      </c>
      <c r="BC194" s="46" t="n">
        <f aca="false">Parameters!$E$11*IF($N194="V",Parameters!$I$11,IF($N194="F",Parameters!$J$11,Parameters!$K$11))*(1-Parameters!$L$11*$P194)*IF($D194="V1",Parameters!$M$11,IF($D194="V2",Parameters!$N$11,Parameters!$O$11))</f>
        <v>1.00170982142857</v>
      </c>
      <c r="BD194" s="46" t="n">
        <f aca="false">BC194*(1+INDEX(Response_Table!$K$4:$K$21,MATCH($F194&amp;"|mid",Response_Table!$A$4:$A$21,0))*$R194*INDEX(Parameters!$X$11:$AA$11,1,MATCH($E194,Parameters!$X$3:$AA$3,0)))</f>
        <v>0.374965130802163</v>
      </c>
      <c r="BE194" s="46" t="n">
        <f aca="false">MAX(0,MIN(BC194*(1+INDEX(Response_Table!$K$4:$K$21,MATCH($F194&amp;"|low",Response_Table!$A$4:$A$21,0))*$R194*INDEX(Parameters!$X$11:$AA$11,1,MATCH($E194,Parameters!$X$3:$AA$3,0))),BC194*(1+INDEX(Response_Table!$K$4:$K$21,MATCH($F194&amp;"|high",Response_Table!$A$4:$A$21,0))*$R194*INDEX(Parameters!$X$11:$AA$11,1,MATCH($E194,Parameters!$X$3:$AA$3,0))))*(1-Inputs_General!$C$22*Parameters!$F$11))</f>
        <v>0.277944349510511</v>
      </c>
      <c r="BF194" s="46" t="n">
        <f aca="false">MAX(BC194*(1+INDEX(Response_Table!$K$4:$K$21,MATCH($F194&amp;"|low",Response_Table!$A$4:$A$21,0))*$R194*INDEX(Parameters!$X$11:$AA$11,1,MATCH($E194,Parameters!$X$3:$AA$3,0))),BC194*(1+INDEX(Response_Table!$K$4:$K$21,MATCH($F194&amp;"|high",Response_Table!$A$4:$A$21,0))*$R194*INDEX(Parameters!$X$11:$AA$11,1,MATCH($E194,Parameters!$X$3:$AA$3,0))))*(1+Inputs_General!$C$22*Parameters!$F$11)</f>
        <v>0.495536782638516</v>
      </c>
      <c r="BG194" s="45" t="n">
        <f aca="false">IF(BC194=0,0,BD194/BC194-1)</f>
        <v>-0.625674898278014</v>
      </c>
      <c r="BH194" s="46" t="n">
        <f aca="false">Parameters!$E$12*IF($N194="V",Parameters!$I$12,IF($N194="F",Parameters!$J$12,Parameters!$K$12))*(1-Parameters!$L$12*$P194)*IF($D194="V1",Parameters!$M$12,IF($D194="V2",Parameters!$N$12,Parameters!$O$12))</f>
        <v>0.373343142857143</v>
      </c>
      <c r="BI194" s="46" t="n">
        <f aca="false">BH194*(1+INDEX(Response_Table!$L$4:$L$21,MATCH($F194&amp;"|mid",Response_Table!$A$4:$A$21,0))*$R194*INDEX(Parameters!$X$12:$AA$12,1,MATCH($E194,Parameters!$X$3:$AA$3,0)))</f>
        <v>0.179606356093652</v>
      </c>
      <c r="BJ194" s="46" t="n">
        <f aca="false">MAX(0,MIN(BH194*(1+INDEX(Response_Table!$L$4:$L$21,MATCH($F194&amp;"|low",Response_Table!$A$4:$A$21,0))*$R194*INDEX(Parameters!$X$12:$AA$12,1,MATCH($E194,Parameters!$X$3:$AA$3,0))),BH194*(1+INDEX(Response_Table!$L$4:$L$21,MATCH($F194&amp;"|high",Response_Table!$A$4:$A$21,0))*$R194*INDEX(Parameters!$X$12:$AA$12,1,MATCH($E194,Parameters!$X$3:$AA$3,0))))*(1-Inputs_General!$C$22*Parameters!$F$12))</f>
        <v>0.132514918692879</v>
      </c>
      <c r="BK194" s="46" t="n">
        <f aca="false">MAX(BH194*(1+INDEX(Response_Table!$L$4:$L$21,MATCH($F194&amp;"|low",Response_Table!$A$4:$A$21,0))*$R194*INDEX(Parameters!$X$12:$AA$12,1,MATCH($E194,Parameters!$X$3:$AA$3,0))),BH194*(1+INDEX(Response_Table!$L$4:$L$21,MATCH($F194&amp;"|high",Response_Table!$A$4:$A$21,0))*$R194*INDEX(Parameters!$X$12:$AA$12,1,MATCH($E194,Parameters!$X$3:$AA$3,0))))*(1+Inputs_General!$C$22*Parameters!$F$12)</f>
        <v>0.235145431047413</v>
      </c>
      <c r="BL194" s="45" t="n">
        <f aca="false">IF(BH194=0,0,BI194/BH194-1)</f>
        <v>-0.518924186690159</v>
      </c>
      <c r="BM194" s="46" t="n">
        <f aca="false">Parameters!$E$13*IF($N194="V",Parameters!$I$13,IF($N194="F",Parameters!$J$13,Parameters!$K$13))*(1-Parameters!$L$13*$P194)*IF($D194="V1",Parameters!$M$13,IF($D194="V2",Parameters!$N$13,Parameters!$O$13))</f>
        <v>0.262276071428571</v>
      </c>
      <c r="BN194" s="46" t="n">
        <f aca="false">BM194*(1+INDEX(Response_Table!$M$4:$M$21,MATCH($F194&amp;"|mid",Response_Table!$A$4:$A$21,0))*$R194*INDEX(Parameters!$X$13:$AA$13,1,MATCH($E194,Parameters!$X$3:$AA$3,0)))</f>
        <v>0.164059618792978</v>
      </c>
      <c r="BO194" s="46" t="n">
        <f aca="false">MAX(0,MIN(BM194*(1+INDEX(Response_Table!$M$4:$M$21,MATCH($F194&amp;"|low",Response_Table!$A$4:$A$21,0))*$R194*INDEX(Parameters!$X$13:$AA$13,1,MATCH($E194,Parameters!$X$3:$AA$3,0))),BM194*(1+INDEX(Response_Table!$M$4:$M$21,MATCH($F194&amp;"|high",Response_Table!$A$4:$A$21,0))*$R194*INDEX(Parameters!$X$13:$AA$13,1,MATCH($E194,Parameters!$X$3:$AA$3,0))))*(1-Inputs_General!$C$22*Parameters!$F$13))</f>
        <v>0.125222431318318</v>
      </c>
      <c r="BP194" s="46" t="n">
        <f aca="false">MAX(BM194*(1+INDEX(Response_Table!$M$4:$M$21,MATCH($F194&amp;"|low",Response_Table!$A$4:$A$21,0))*$R194*INDEX(Parameters!$X$13:$AA$13,1,MATCH($E194,Parameters!$X$3:$AA$3,0))),BM194*(1+INDEX(Response_Table!$M$4:$M$21,MATCH($F194&amp;"|high",Response_Table!$A$4:$A$21,0))*$R194*INDEX(Parameters!$X$13:$AA$13,1,MATCH($E194,Parameters!$X$3:$AA$3,0))))*(1+Inputs_General!$C$22*Parameters!$F$13)</f>
        <v>0.208708719449744</v>
      </c>
      <c r="BQ194" s="45" t="n">
        <f aca="false">IF(BM194=0,0,BN194/BM194-1)</f>
        <v>-0.374477366923432</v>
      </c>
      <c r="BR194" s="44" t="n">
        <f aca="false">Parameters!$E$14*IF($N194="V",Parameters!$I$14,IF($N194="F",Parameters!$J$14,Parameters!$K$14))*(1-Parameters!$L$14*$P194)*IF($D194="V1",Parameters!$M$14,IF($D194="V2",Parameters!$N$14,Parameters!$O$14))*INDEX(Context!$AC$4:$AC$51,$K194)</f>
        <v>17.25</v>
      </c>
      <c r="BS194" s="44" t="n">
        <f aca="false">BR194*(1+INDEX(Response_Table!$N$4:$N$21,MATCH($F194&amp;"|mid",Response_Table!$A$4:$A$21,0))*$R194*INDEX(Parameters!$X$14:$AA$14,1,MATCH($E194,Parameters!$X$3:$AA$3,0)))</f>
        <v>27.0152096949875</v>
      </c>
      <c r="BT194" s="44" t="n">
        <f aca="false">MAX(0,MIN(BR194*(1+INDEX(Response_Table!$N$4:$N$21,MATCH($F194&amp;"|low",Response_Table!$A$4:$A$21,0))*$R194*INDEX(Parameters!$X$14:$AA$14,1,MATCH($E194,Parameters!$X$3:$AA$3,0))),BR194*(1+INDEX(Response_Table!$N$4:$N$21,MATCH($F194&amp;"|high",Response_Table!$A$4:$A$21,0))*$R194*INDEX(Parameters!$X$14:$AA$14,1,MATCH($E194,Parameters!$X$3:$AA$3,0))))*(1-Inputs_General!$C$22*Parameters!$F$14))</f>
        <v>13.2549740330831</v>
      </c>
      <c r="BU194" s="44" t="n">
        <f aca="false">MAX(BR194*(1+INDEX(Response_Table!$N$4:$N$21,MATCH($F194&amp;"|low",Response_Table!$A$4:$A$21,0))*$R194*INDEX(Parameters!$X$14:$AA$14,1,MATCH($E194,Parameters!$X$3:$AA$3,0))),BR194*(1+INDEX(Response_Table!$N$4:$N$21,MATCH($F194&amp;"|high",Response_Table!$A$4:$A$21,0))*$R194*INDEX(Parameters!$X$14:$AA$14,1,MATCH($E194,Parameters!$X$3:$AA$3,0))))*(1+Inputs_General!$C$22*Parameters!$F$14)</f>
        <v>41.4387110873536</v>
      </c>
      <c r="BV194" s="45" t="n">
        <f aca="false">IF(BR194=0,0,BS194/BR194-1)</f>
        <v>0.566099112752901</v>
      </c>
      <c r="BW194" s="43" t="n">
        <f aca="false">Parameters!$E$15*IF($N194="V",Parameters!$I$15,IF($N194="F",Parameters!$J$15,Parameters!$K$15))*(1-Parameters!$L$15*$P194)*IF($D194="V1",Parameters!$M$15,IF($D194="V2",Parameters!$N$15,Parameters!$O$15))</f>
        <v>8.34931028571429</v>
      </c>
      <c r="BX194" s="43" t="n">
        <f aca="false">BW194*(1+INDEX(Response_Table!$O$4:$O$21,MATCH($F194&amp;"|mid",Response_Table!$A$4:$A$21,0))*$R194*INDEX(Parameters!$X$15:$AA$15,1,MATCH($E194,Parameters!$X$3:$AA$3,0)))</f>
        <v>7.1676759995039</v>
      </c>
      <c r="BY194" s="43" t="n">
        <f aca="false">MAX(0,MIN(BW194*(1+INDEX(Response_Table!$O$4:$O$21,MATCH($F194&amp;"|low",Response_Table!$A$4:$A$21,0))*$R194*INDEX(Parameters!$X$15:$AA$15,1,MATCH($E194,Parameters!$X$3:$AA$3,0))),BW194*(1+INDEX(Response_Table!$O$4:$O$21,MATCH($F194&amp;"|high",Response_Table!$A$4:$A$21,0))*$R194*INDEX(Parameters!$X$15:$AA$15,1,MATCH($E194,Parameters!$X$3:$AA$3,0))))*(1-Inputs_General!$C$22*Parameters!$F$15))</f>
        <v>5.68179980415704</v>
      </c>
      <c r="BZ194" s="43" t="n">
        <f aca="false">MAX(BW194*(1+INDEX(Response_Table!$O$4:$O$21,MATCH($F194&amp;"|low",Response_Table!$A$4:$A$21,0))*$R194*INDEX(Parameters!$X$15:$AA$15,1,MATCH($E194,Parameters!$X$3:$AA$3,0))),BW194*(1+INDEX(Response_Table!$O$4:$O$21,MATCH($F194&amp;"|high",Response_Table!$A$4:$A$21,0))*$R194*INDEX(Parameters!$X$15:$AA$15,1,MATCH($E194,Parameters!$X$3:$AA$3,0))))*(1+Inputs_General!$C$22*Parameters!$F$15)</f>
        <v>8.70507580240535</v>
      </c>
      <c r="CA194" s="45" t="n">
        <f aca="false">IF(BW194=0,0,BX194/BW194-1)</f>
        <v>-0.141524778188225</v>
      </c>
      <c r="CB194" s="46" t="n">
        <f aca="false">BD194+BI194</f>
        <v>0.554571486895815</v>
      </c>
      <c r="CC194" s="43" t="n">
        <f aca="false">BD194/BI194</f>
        <v>2.08770524026803</v>
      </c>
      <c r="CD194" s="46" t="n">
        <f aca="false">BN194/CB194</f>
        <v>0.295831326834514</v>
      </c>
      <c r="CE194" s="43" t="n">
        <f aca="false">AE194/AO194</f>
        <v>1.24046573015709</v>
      </c>
      <c r="CF194" s="44" t="n">
        <f aca="false">AE194/AJ194</f>
        <v>31.7954500652651</v>
      </c>
      <c r="CG194" s="44" t="n">
        <f aca="false">INDEX(Context!$V$4:$V$51,$K194)</f>
        <v>32.7871428571429</v>
      </c>
      <c r="CH194" s="44" t="n">
        <f aca="false">INDEX(Context!$Y$4:$Y$51,$K194)</f>
        <v>28.36912210206</v>
      </c>
      <c r="CI194" s="44" t="n">
        <f aca="false">INDEX(Context!$Z$4:$Z$51,$K194)</f>
        <v>36.7871428571429</v>
      </c>
      <c r="CJ194" s="43" t="n">
        <f aca="false">INDEX(Context!$AA$4:$AA$51,$K194)</f>
        <v>0.347678571428571</v>
      </c>
      <c r="CK194" s="43" t="n">
        <f aca="false">MAX(0,MIN(1,1-(1-CJ194)*AO194/AN194))</f>
        <v>0.706736553421428</v>
      </c>
      <c r="CL194" s="44" t="n">
        <f aca="false">CH194+CK194*(CI194-CH194)</f>
        <v>34.3184450771373</v>
      </c>
      <c r="CM194" s="44" t="n">
        <f aca="false">CH194+MAX(0,MIN(1,1-(1-CJ194)*AQ194/AN194))*(CI194-CH194)</f>
        <v>32.991635532224</v>
      </c>
      <c r="CN194" s="44" t="n">
        <f aca="false">CH194+MAX(0,MIN(1,1-(1-CJ194)*AP194/AN194))*(CI194-CH194)</f>
        <v>35.3017719354367</v>
      </c>
      <c r="CO194" s="44" t="n">
        <f aca="false">CL194-CG194</f>
        <v>1.53130221999446</v>
      </c>
      <c r="CP194" s="44" t="n">
        <f aca="false">CL194-(CH194+CJ194*(CI194-CH194))</f>
        <v>3.02255754469402</v>
      </c>
      <c r="CQ194" s="46" t="n">
        <f aca="false">CL194/CG194</f>
        <v>1.04670435074708</v>
      </c>
      <c r="CR194" s="43" t="n">
        <f aca="false">IF(CL194-CH194&lt;=0,"n/a",(CI194-CL194)/(CL194-CH194))</f>
        <v>0.414954405794968</v>
      </c>
      <c r="CS194" s="43" t="n">
        <f aca="false">IF(CI194-CL194&lt;=0,"n/a",(CL194-CH194)/(CI194-CL194))</f>
        <v>2.40990331958087</v>
      </c>
      <c r="CT194" s="43" t="n">
        <f aca="false">Inputs_General!$C$23+Inputs_General!$C$24*$I194</f>
        <v>1.9</v>
      </c>
      <c r="CU194" s="44" t="n">
        <f aca="false">3.29*CT194</f>
        <v>6.251</v>
      </c>
    </row>
    <row r="195" customFormat="false" ht="15" hidden="false" customHeight="false" outlineLevel="0" collapsed="false">
      <c r="A195" s="33" t="str">
        <f aca="false">B195&amp;"|"&amp;E195&amp;"|"&amp;F195</f>
        <v>D3V3|11/02/2026|Healthy</v>
      </c>
      <c r="B195" s="34" t="s">
        <v>351</v>
      </c>
      <c r="C195" s="33" t="s">
        <v>131</v>
      </c>
      <c r="D195" s="33" t="s">
        <v>150</v>
      </c>
      <c r="E195" s="33" t="s">
        <v>158</v>
      </c>
      <c r="F195" s="34" t="s">
        <v>275</v>
      </c>
      <c r="G195" s="33" t="s">
        <v>276</v>
      </c>
      <c r="H195" s="35" t="n">
        <f aca="false">INDEX(Severity_Classes!$C$4:$C$9,MATCH(F195,Severity_Classes!$A$4:$A$9,0))</f>
        <v>0</v>
      </c>
      <c r="I195" s="35" t="n">
        <f aca="false">INDEX(Severity_Classes!$D$4:$D$9,MATCH(F195,Severity_Classes!$A$4:$A$9,0))</f>
        <v>0</v>
      </c>
      <c r="J195" s="35" t="n">
        <f aca="false">INDEX(Severity_Classes!$E$4:$E$9,MATCH(F195,Severity_Classes!$A$4:$A$9,0))</f>
        <v>0</v>
      </c>
      <c r="K195" s="36" t="n">
        <f aca="false">MATCH(B195&amp;"|"&amp;E195,Context!$A$4:$A$51,0)</f>
        <v>33</v>
      </c>
      <c r="L195" s="36" t="n">
        <f aca="false">INDEX(Context!$H$4:$H$51,K195)</f>
        <v>46</v>
      </c>
      <c r="M195" s="36" t="n">
        <f aca="false">INDEX(Context!$I$4:$I$51,K195)</f>
        <v>6</v>
      </c>
      <c r="N195" s="33" t="str">
        <f aca="false">INDEX(Context!$L$4:$L$51,K195)</f>
        <v>V</v>
      </c>
      <c r="O195" s="33" t="str">
        <f aca="false">INDEX(Context!$M$4:$M$51,K195)</f>
        <v>3rd fully expanded leaf from top</v>
      </c>
      <c r="P195" s="37" t="n">
        <f aca="false">INDEX(Context!$R$4:$R$51,K195)</f>
        <v>0</v>
      </c>
      <c r="Q195" s="37" t="n">
        <f aca="false">INDEX(Context!$U$4:$U$51,K195)</f>
        <v>0.937791824040773</v>
      </c>
      <c r="R195" s="37" t="n">
        <f aca="false">INDEX(Context!$AD$4:$AD$51,K195)</f>
        <v>0.85</v>
      </c>
      <c r="S195" s="33" t="str">
        <f aca="false">INDEX(Context!$AI$4:$AN$51,K195,MATCH(F195,Severity_Classes!$A$4:$A$9,0))</f>
        <v>Reference: healthy (uninoculated) control plot</v>
      </c>
      <c r="T195" s="38" t="n">
        <f aca="false">Parameters!$E$4*IF($N195="V",Parameters!$I$4,IF($N195="F",Parameters!$J$4,Parameters!$K$4))*(1-Parameters!$L$4*$P195)*IF($D195="V1",Parameters!$M$4,IF($D195="V2",Parameters!$N$4,Parameters!$O$4))</f>
        <v>86</v>
      </c>
      <c r="U195" s="38" t="n">
        <f aca="false">MIN(100,T195*(1+INDEX(Response_Table!$E$4:$E$21,MATCH($F195&amp;"|mid",Response_Table!$A$4:$A$21,0))*$R195*INDEX(Parameters!$X$4:$AA$4,1,MATCH($E195,Parameters!$X$3:$AA$3,0))))</f>
        <v>86</v>
      </c>
      <c r="V195" s="38" t="n">
        <f aca="false">MAX(0,MIN(T195*(1+INDEX(Response_Table!$E$4:$E$21,MATCH($F195&amp;"|low",Response_Table!$A$4:$A$21,0))*$R195*INDEX(Parameters!$X$4:$AA$4,1,MATCH($E195,Parameters!$X$3:$AA$3,0))),T195*(1+INDEX(Response_Table!$E$4:$E$21,MATCH($F195&amp;"|high",Response_Table!$A$4:$A$21,0))*$R195*INDEX(Parameters!$X$4:$AA$4,1,MATCH($E195,Parameters!$X$3:$AA$3,0))))*(1-Inputs_General!$C$22*Parameters!$F$4))</f>
        <v>80.3412</v>
      </c>
      <c r="W195" s="38" t="n">
        <f aca="false">MIN(100,MAX(T195*(1+INDEX(Response_Table!$E$4:$E$21,MATCH($F195&amp;"|low",Response_Table!$A$4:$A$21,0))*$R195*INDEX(Parameters!$X$4:$AA$4,1,MATCH($E195,Parameters!$X$3:$AA$3,0))),T195*(1+INDEX(Response_Table!$E$4:$E$21,MATCH($F195&amp;"|high",Response_Table!$A$4:$A$21,0))*$R195*INDEX(Parameters!$X$4:$AA$4,1,MATCH($E195,Parameters!$X$3:$AA$3,0))))*(1+Inputs_General!$C$22*Parameters!$F$4))</f>
        <v>91.6588</v>
      </c>
      <c r="X195" s="39" t="n">
        <f aca="false">IF(T195=0,0,U195/T195-1)</f>
        <v>0</v>
      </c>
      <c r="Y195" s="38" t="n">
        <f aca="false">Parameters!$E$5*IF($N195="V",Parameters!$I$5,IF($N195="F",Parameters!$J$5,Parameters!$K$5))*(1-Parameters!$L$5*$P195)*IF($D195="V1",Parameters!$M$5,IF($D195="V2",Parameters!$N$5,Parameters!$O$5))</f>
        <v>72</v>
      </c>
      <c r="Z195" s="38" t="n">
        <f aca="false">MIN(100,Y195*(1+INDEX(Response_Table!$F$4:$F$21,MATCH($F195&amp;"|mid",Response_Table!$A$4:$A$21,0))*$R195*INDEX(Parameters!$X$5:$AA$5,1,MATCH($E195,Parameters!$X$3:$AA$3,0))))</f>
        <v>72</v>
      </c>
      <c r="AA195" s="38" t="n">
        <f aca="false">MAX(0,MIN(Y195*(1+INDEX(Response_Table!$F$4:$F$21,MATCH($F195&amp;"|low",Response_Table!$A$4:$A$21,0))*$R195*INDEX(Parameters!$X$5:$AA$5,1,MATCH($E195,Parameters!$X$3:$AA$3,0))),Y195*(1+INDEX(Response_Table!$F$4:$F$21,MATCH($F195&amp;"|high",Response_Table!$A$4:$A$21,0))*$R195*INDEX(Parameters!$X$5:$AA$5,1,MATCH($E195,Parameters!$X$3:$AA$3,0))))*(1-Inputs_General!$C$22*Parameters!$F$5))</f>
        <v>63.7092</v>
      </c>
      <c r="AB195" s="38" t="n">
        <f aca="false">MIN(100,MAX(Y195*(1+INDEX(Response_Table!$F$4:$F$21,MATCH($F195&amp;"|low",Response_Table!$A$4:$A$21,0))*$R195*INDEX(Parameters!$X$5:$AA$5,1,MATCH($E195,Parameters!$X$3:$AA$3,0))),Y195*(1+INDEX(Response_Table!$F$4:$F$21,MATCH($F195&amp;"|high",Response_Table!$A$4:$A$21,0))*$R195*INDEX(Parameters!$X$5:$AA$5,1,MATCH($E195,Parameters!$X$3:$AA$3,0))))*(1+Inputs_General!$C$22*Parameters!$F$5))</f>
        <v>80.2908</v>
      </c>
      <c r="AC195" s="39" t="n">
        <f aca="false">IF(Y195=0,0,Z195/Y195-1)</f>
        <v>0</v>
      </c>
      <c r="AD195" s="38" t="n">
        <f aca="false">Parameters!$E$6*IF($N195="V",Parameters!$I$6,IF($N195="F",Parameters!$J$6,Parameters!$K$6))*(1-Parameters!$L$6*$P195)*IF($D195="V1",Parameters!$M$6,IF($D195="V2",Parameters!$N$6,Parameters!$O$6))</f>
        <v>19.57</v>
      </c>
      <c r="AE195" s="38" t="n">
        <f aca="false">AD195*(1+INDEX(Response_Table!$G$4:$G$21,MATCH($F195&amp;"|mid",Response_Table!$A$4:$A$21,0))*$R195*INDEX(Parameters!$X$6:$AA$6,1,MATCH($E195,Parameters!$X$3:$AA$3,0)))</f>
        <v>19.57</v>
      </c>
      <c r="AF195" s="38" t="n">
        <f aca="false">MAX(0,MIN(AD195*(1+INDEX(Response_Table!$G$4:$G$21,MATCH($F195&amp;"|low",Response_Table!$A$4:$A$21,0))*$R195*INDEX(Parameters!$X$6:$AA$6,1,MATCH($E195,Parameters!$X$3:$AA$3,0))),AD195*(1+INDEX(Response_Table!$G$4:$G$21,MATCH($F195&amp;"|high",Response_Table!$A$4:$A$21,0))*$R195*INDEX(Parameters!$X$6:$AA$6,1,MATCH($E195,Parameters!$X$3:$AA$3,0))))*(1-Inputs_General!$C$22*Parameters!$F$6))</f>
        <v>15.706882</v>
      </c>
      <c r="AG195" s="38" t="n">
        <f aca="false">MAX(AD195*(1+INDEX(Response_Table!$G$4:$G$21,MATCH($F195&amp;"|low",Response_Table!$A$4:$A$21,0))*$R195*INDEX(Parameters!$X$6:$AA$6,1,MATCH($E195,Parameters!$X$3:$AA$3,0))),AD195*(1+INDEX(Response_Table!$G$4:$G$21,MATCH($F195&amp;"|high",Response_Table!$A$4:$A$21,0))*$R195*INDEX(Parameters!$X$6:$AA$6,1,MATCH($E195,Parameters!$X$3:$AA$3,0))))*(1+Inputs_General!$C$22*Parameters!$F$6)</f>
        <v>23.433118</v>
      </c>
      <c r="AH195" s="39" t="n">
        <f aca="false">IF(AD195=0,0,AE195/AD195-1)</f>
        <v>0</v>
      </c>
      <c r="AI195" s="40" t="n">
        <f aca="false">Parameters!$E$7*IF($N195="V",Parameters!$I$7,IF($N195="F",Parameters!$J$7,Parameters!$K$7))*(1-Parameters!$L$7*$P195)*IF($D195="V1",Parameters!$M$7,IF($D195="V2",Parameters!$N$7,Parameters!$O$7))*POWER($Q195/Inputs_General!$C$26,-Inputs_General!$C$25)</f>
        <v>0.464685683730118</v>
      </c>
      <c r="AJ195" s="40" t="n">
        <f aca="false">AI195*(1+INDEX(Response_Table!$H$4:$H$21,MATCH($F195&amp;"|mid",Response_Table!$A$4:$A$21,0))*$R195*INDEX(Parameters!$X$7:$AA$7,1,MATCH($E195,Parameters!$X$3:$AA$3,0)))</f>
        <v>0.464685683730118</v>
      </c>
      <c r="AK195" s="40" t="n">
        <f aca="false">MAX(0,MIN(AI195*(1+INDEX(Response_Table!$H$4:$H$21,MATCH($F195&amp;"|low",Response_Table!$A$4:$A$21,0))*$R195*INDEX(Parameters!$X$7:$AA$7,1,MATCH($E195,Parameters!$X$3:$AA$3,0))),AI195*(1+INDEX(Response_Table!$H$4:$H$21,MATCH($F195&amp;"|high",Response_Table!$A$4:$A$21,0))*$R195*INDEX(Parameters!$X$7:$AA$7,1,MATCH($E195,Parameters!$X$3:$AA$3,0))))*(1-Inputs_General!$C$22*Parameters!$F$7))</f>
        <v>0.32709225277763</v>
      </c>
      <c r="AL195" s="40" t="n">
        <f aca="false">MAX(AI195*(1+INDEX(Response_Table!$H$4:$H$21,MATCH($F195&amp;"|low",Response_Table!$A$4:$A$21,0))*$R195*INDEX(Parameters!$X$7:$AA$7,1,MATCH($E195,Parameters!$X$3:$AA$3,0))),AI195*(1+INDEX(Response_Table!$H$4:$H$21,MATCH($F195&amp;"|high",Response_Table!$A$4:$A$21,0))*$R195*INDEX(Parameters!$X$7:$AA$7,1,MATCH($E195,Parameters!$X$3:$AA$3,0))))*(1+Inputs_General!$C$22*Parameters!$F$7)</f>
        <v>0.602279114682606</v>
      </c>
      <c r="AM195" s="39" t="n">
        <f aca="false">IF(AI195=0,0,AJ195/AI195-1)</f>
        <v>0</v>
      </c>
      <c r="AN195" s="37" t="n">
        <f aca="false">AI195*$Q195/Inputs_General!$C$13*1000</f>
        <v>4.38850387664553</v>
      </c>
      <c r="AO195" s="37" t="n">
        <f aca="false">AJ195*$Q195/Inputs_General!$C$13*1000*(1+Inputs_General!$C$21*$I195)</f>
        <v>4.38850387664553</v>
      </c>
      <c r="AP195" s="37" t="n">
        <f aca="false">AK195*$Q195/Inputs_General!$C$13*1000*(1+Inputs_General!$C$21*$H195)</f>
        <v>3.08906787877079</v>
      </c>
      <c r="AQ195" s="37" t="n">
        <f aca="false">AL195*$Q195/Inputs_General!$C$13*1000*(1+Inputs_General!$C$21*$J195)</f>
        <v>5.68793987452027</v>
      </c>
      <c r="AR195" s="39" t="n">
        <f aca="false">IF(AN195=0,0,AO195/AN195-1)</f>
        <v>0</v>
      </c>
      <c r="AS195" s="36" t="n">
        <f aca="false">Parameters!$E$9*IF($N195="V",Parameters!$I$9,IF($N195="F",Parameters!$J$9,Parameters!$K$9))*(1-Parameters!$L$9*$P195)*IF($D195="V1",Parameters!$M$9,IF($D195="V2",Parameters!$N$9,Parameters!$O$9))</f>
        <v>285</v>
      </c>
      <c r="AT195" s="36" t="n">
        <f aca="false">AS195*(1+INDEX(Response_Table!$I$4:$I$21,MATCH($F195&amp;"|mid",Response_Table!$A$4:$A$21,0))*$R195*INDEX(Parameters!$X$9:$AA$9,1,MATCH($E195,Parameters!$X$3:$AA$3,0)))</f>
        <v>285</v>
      </c>
      <c r="AU195" s="36" t="n">
        <f aca="false">MAX(0,MIN(AS195*(1+INDEX(Response_Table!$I$4:$I$21,MATCH($F195&amp;"|low",Response_Table!$A$4:$A$21,0))*$R195*INDEX(Parameters!$X$9:$AA$9,1,MATCH($E195,Parameters!$X$3:$AA$3,0))),AS195*(1+INDEX(Response_Table!$I$4:$I$21,MATCH($F195&amp;"|high",Response_Table!$A$4:$A$21,0))*$R195*INDEX(Parameters!$X$9:$AA$9,1,MATCH($E195,Parameters!$X$3:$AA$3,0))))*(1-Inputs_General!$C$22*Parameters!$F$9))</f>
        <v>256.8705</v>
      </c>
      <c r="AV195" s="36" t="n">
        <f aca="false">MAX(AS195*(1+INDEX(Response_Table!$I$4:$I$21,MATCH($F195&amp;"|low",Response_Table!$A$4:$A$21,0))*$R195*INDEX(Parameters!$X$9:$AA$9,1,MATCH($E195,Parameters!$X$3:$AA$3,0))),AS195*(1+INDEX(Response_Table!$I$4:$I$21,MATCH($F195&amp;"|high",Response_Table!$A$4:$A$21,0))*$R195*INDEX(Parameters!$X$9:$AA$9,1,MATCH($E195,Parameters!$X$3:$AA$3,0))))*(1+Inputs_General!$C$22*Parameters!$F$9)</f>
        <v>313.1295</v>
      </c>
      <c r="AW195" s="39" t="n">
        <f aca="false">IF(AS195=0,0,AT195/AS195-1)</f>
        <v>0</v>
      </c>
      <c r="AX195" s="37" t="n">
        <f aca="false">INDEX(Context!$AB$4:$AB$51,$K195)</f>
        <v>1.09384586130271</v>
      </c>
      <c r="AY195" s="37" t="n">
        <f aca="false">AX195*(1+INDEX(Response_Table!$J$4:$J$21,MATCH($F195&amp;"|mid",Response_Table!$A$4:$A$21,0))*$R195*INDEX(Parameters!$X$10:$AA$10,1,MATCH($E195,Parameters!$X$3:$AA$3,0)))</f>
        <v>1.09384586130271</v>
      </c>
      <c r="AZ195" s="37" t="n">
        <f aca="false">MAX(0,MIN(AX195*(1+INDEX(Response_Table!$J$4:$J$21,MATCH($F195&amp;"|low",Response_Table!$A$4:$A$21,0))*$R195*INDEX(Parameters!$X$10:$AA$10,1,MATCH($E195,Parameters!$X$3:$AA$3,0))),AX195*(1+INDEX(Response_Table!$J$4:$J$21,MATCH($F195&amp;"|high",Response_Table!$A$4:$A$21,0))*$R195*INDEX(Parameters!$X$10:$AA$10,1,MATCH($E195,Parameters!$X$3:$AA$3,0))))*(1-Inputs_General!$C$22*Parameters!$F$10))</f>
        <v>0.877920688281552</v>
      </c>
      <c r="BA195" s="37" t="n">
        <f aca="false">MAX(AX195*(1+INDEX(Response_Table!$J$4:$J$21,MATCH($F195&amp;"|low",Response_Table!$A$4:$A$21,0))*$R195*INDEX(Parameters!$X$10:$AA$10,1,MATCH($E195,Parameters!$X$3:$AA$3,0))),AX195*(1+INDEX(Response_Table!$J$4:$J$21,MATCH($F195&amp;"|high",Response_Table!$A$4:$A$21,0))*$R195*INDEX(Parameters!$X$10:$AA$10,1,MATCH($E195,Parameters!$X$3:$AA$3,0))))*(1+Inputs_General!$C$22*Parameters!$F$10)</f>
        <v>1.30977103432386</v>
      </c>
      <c r="BB195" s="39" t="n">
        <f aca="false">IF(AX195=0,0,AY195/AX195-1)</f>
        <v>0</v>
      </c>
      <c r="BC195" s="40" t="n">
        <f aca="false">Parameters!$E$11*IF($N195="V",Parameters!$I$11,IF($N195="F",Parameters!$J$11,Parameters!$K$11))*(1-Parameters!$L$11*$P195)*IF($D195="V1",Parameters!$M$11,IF($D195="V2",Parameters!$N$11,Parameters!$O$11))</f>
        <v>1.223125</v>
      </c>
      <c r="BD195" s="40" t="n">
        <f aca="false">BC195*(1+INDEX(Response_Table!$K$4:$K$21,MATCH($F195&amp;"|mid",Response_Table!$A$4:$A$21,0))*$R195*INDEX(Parameters!$X$11:$AA$11,1,MATCH($E195,Parameters!$X$3:$AA$3,0)))</f>
        <v>1.223125</v>
      </c>
      <c r="BE195" s="40" t="n">
        <f aca="false">MAX(0,MIN(BC195*(1+INDEX(Response_Table!$K$4:$K$21,MATCH($F195&amp;"|low",Response_Table!$A$4:$A$21,0))*$R195*INDEX(Parameters!$X$11:$AA$11,1,MATCH($E195,Parameters!$X$3:$AA$3,0))),BC195*(1+INDEX(Response_Table!$K$4:$K$21,MATCH($F195&amp;"|high",Response_Table!$A$4:$A$21,0))*$R195*INDEX(Parameters!$X$11:$AA$11,1,MATCH($E195,Parameters!$X$3:$AA$3,0))))*(1-Inputs_General!$C$22*Parameters!$F$11))</f>
        <v>1.0219209375</v>
      </c>
      <c r="BF195" s="40" t="n">
        <f aca="false">MAX(BC195*(1+INDEX(Response_Table!$K$4:$K$21,MATCH($F195&amp;"|low",Response_Table!$A$4:$A$21,0))*$R195*INDEX(Parameters!$X$11:$AA$11,1,MATCH($E195,Parameters!$X$3:$AA$3,0))),BC195*(1+INDEX(Response_Table!$K$4:$K$21,MATCH($F195&amp;"|high",Response_Table!$A$4:$A$21,0))*$R195*INDEX(Parameters!$X$11:$AA$11,1,MATCH($E195,Parameters!$X$3:$AA$3,0))))*(1+Inputs_General!$C$22*Parameters!$F$11)</f>
        <v>1.4243290625</v>
      </c>
      <c r="BG195" s="39" t="n">
        <f aca="false">IF(BC195=0,0,BD195/BC195-1)</f>
        <v>0</v>
      </c>
      <c r="BH195" s="40" t="n">
        <f aca="false">Parameters!$E$12*IF($N195="V",Parameters!$I$12,IF($N195="F",Parameters!$J$12,Parameters!$K$12))*(1-Parameters!$L$12*$P195)*IF($D195="V1",Parameters!$M$12,IF($D195="V2",Parameters!$N$12,Parameters!$O$12))</f>
        <v>0.440325</v>
      </c>
      <c r="BI195" s="40" t="n">
        <f aca="false">BH195*(1+INDEX(Response_Table!$L$4:$L$21,MATCH($F195&amp;"|mid",Response_Table!$A$4:$A$21,0))*$R195*INDEX(Parameters!$X$12:$AA$12,1,MATCH($E195,Parameters!$X$3:$AA$3,0)))</f>
        <v>0.440325</v>
      </c>
      <c r="BJ195" s="40" t="n">
        <f aca="false">MAX(0,MIN(BH195*(1+INDEX(Response_Table!$L$4:$L$21,MATCH($F195&amp;"|low",Response_Table!$A$4:$A$21,0))*$R195*INDEX(Parameters!$X$12:$AA$12,1,MATCH($E195,Parameters!$X$3:$AA$3,0))),BH195*(1+INDEX(Response_Table!$L$4:$L$21,MATCH($F195&amp;"|high",Response_Table!$A$4:$A$21,0))*$R195*INDEX(Parameters!$X$12:$AA$12,1,MATCH($E195,Parameters!$X$3:$AA$3,0))))*(1-Inputs_General!$C$22*Parameters!$F$12))</f>
        <v>0.353404845</v>
      </c>
      <c r="BK195" s="40" t="n">
        <f aca="false">MAX(BH195*(1+INDEX(Response_Table!$L$4:$L$21,MATCH($F195&amp;"|low",Response_Table!$A$4:$A$21,0))*$R195*INDEX(Parameters!$X$12:$AA$12,1,MATCH($E195,Parameters!$X$3:$AA$3,0))),BH195*(1+INDEX(Response_Table!$L$4:$L$21,MATCH($F195&amp;"|high",Response_Table!$A$4:$A$21,0))*$R195*INDEX(Parameters!$X$12:$AA$12,1,MATCH($E195,Parameters!$X$3:$AA$3,0))))*(1+Inputs_General!$C$22*Parameters!$F$12)</f>
        <v>0.527245155</v>
      </c>
      <c r="BL195" s="39" t="n">
        <f aca="false">IF(BH195=0,0,BI195/BH195-1)</f>
        <v>0</v>
      </c>
      <c r="BM195" s="40" t="n">
        <f aca="false">Parameters!$E$13*IF($N195="V",Parameters!$I$13,IF($N195="F",Parameters!$J$13,Parameters!$K$13))*(1-Parameters!$L$13*$P195)*IF($D195="V1",Parameters!$M$13,IF($D195="V2",Parameters!$N$13,Parameters!$O$13))</f>
        <v>0.29355</v>
      </c>
      <c r="BN195" s="40" t="n">
        <f aca="false">BM195*(1+INDEX(Response_Table!$M$4:$M$21,MATCH($F195&amp;"|mid",Response_Table!$A$4:$A$21,0))*$R195*INDEX(Parameters!$X$13:$AA$13,1,MATCH($E195,Parameters!$X$3:$AA$3,0)))</f>
        <v>0.29355</v>
      </c>
      <c r="BO195" s="40" t="n">
        <f aca="false">MAX(0,MIN(BM195*(1+INDEX(Response_Table!$M$4:$M$21,MATCH($F195&amp;"|low",Response_Table!$A$4:$A$21,0))*$R195*INDEX(Parameters!$X$13:$AA$13,1,MATCH($E195,Parameters!$X$3:$AA$3,0))),BM195*(1+INDEX(Response_Table!$M$4:$M$21,MATCH($F195&amp;"|high",Response_Table!$A$4:$A$21,0))*$R195*INDEX(Parameters!$X$13:$AA$13,1,MATCH($E195,Parameters!$X$3:$AA$3,0))))*(1-Inputs_General!$C$22*Parameters!$F$13))</f>
        <v>0.23560323</v>
      </c>
      <c r="BP195" s="40" t="n">
        <f aca="false">MAX(BM195*(1+INDEX(Response_Table!$M$4:$M$21,MATCH($F195&amp;"|low",Response_Table!$A$4:$A$21,0))*$R195*INDEX(Parameters!$X$13:$AA$13,1,MATCH($E195,Parameters!$X$3:$AA$3,0))),BM195*(1+INDEX(Response_Table!$M$4:$M$21,MATCH($F195&amp;"|high",Response_Table!$A$4:$A$21,0))*$R195*INDEX(Parameters!$X$13:$AA$13,1,MATCH($E195,Parameters!$X$3:$AA$3,0))))*(1+Inputs_General!$C$22*Parameters!$F$13)</f>
        <v>0.35149677</v>
      </c>
      <c r="BQ195" s="39" t="n">
        <f aca="false">IF(BM195=0,0,BN195/BM195-1)</f>
        <v>0</v>
      </c>
      <c r="BR195" s="38" t="n">
        <f aca="false">Parameters!$E$14*IF($N195="V",Parameters!$I$14,IF($N195="F",Parameters!$J$14,Parameters!$K$14))*(1-Parameters!$L$14*$P195)*IF($D195="V1",Parameters!$M$14,IF($D195="V2",Parameters!$N$14,Parameters!$O$14))*INDEX(Context!$AC$4:$AC$51,$K195)</f>
        <v>19.8</v>
      </c>
      <c r="BS195" s="38" t="n">
        <f aca="false">BR195*(1+INDEX(Response_Table!$N$4:$N$21,MATCH($F195&amp;"|mid",Response_Table!$A$4:$A$21,0))*$R195*INDEX(Parameters!$X$14:$AA$14,1,MATCH($E195,Parameters!$X$3:$AA$3,0)))</f>
        <v>19.8</v>
      </c>
      <c r="BT195" s="38" t="n">
        <f aca="false">MAX(0,MIN(BR195*(1+INDEX(Response_Table!$N$4:$N$21,MATCH($F195&amp;"|low",Response_Table!$A$4:$A$21,0))*$R195*INDEX(Parameters!$X$14:$AA$14,1,MATCH($E195,Parameters!$X$3:$AA$3,0))),BR195*(1+INDEX(Response_Table!$N$4:$N$21,MATCH($F195&amp;"|high",Response_Table!$A$4:$A$21,0))*$R195*INDEX(Parameters!$X$14:$AA$14,1,MATCH($E195,Parameters!$X$3:$AA$3,0))))*(1-Inputs_General!$C$22*Parameters!$F$14))</f>
        <v>10.0287</v>
      </c>
      <c r="BU195" s="38" t="n">
        <f aca="false">MAX(BR195*(1+INDEX(Response_Table!$N$4:$N$21,MATCH($F195&amp;"|low",Response_Table!$A$4:$A$21,0))*$R195*INDEX(Parameters!$X$14:$AA$14,1,MATCH($E195,Parameters!$X$3:$AA$3,0))),BR195*(1+INDEX(Response_Table!$N$4:$N$21,MATCH($F195&amp;"|high",Response_Table!$A$4:$A$21,0))*$R195*INDEX(Parameters!$X$14:$AA$14,1,MATCH($E195,Parameters!$X$3:$AA$3,0))))*(1+Inputs_General!$C$22*Parameters!$F$14)</f>
        <v>29.5713</v>
      </c>
      <c r="BV195" s="39" t="n">
        <f aca="false">IF(BR195=0,0,BS195/BR195-1)</f>
        <v>0</v>
      </c>
      <c r="BW195" s="37" t="n">
        <f aca="false">Parameters!$E$15*IF($N195="V",Parameters!$I$15,IF($N195="F",Parameters!$J$15,Parameters!$K$15))*(1-Parameters!$L$15*$P195)*IF($D195="V1",Parameters!$M$15,IF($D195="V2",Parameters!$N$15,Parameters!$O$15))</f>
        <v>10.8</v>
      </c>
      <c r="BX195" s="37" t="n">
        <f aca="false">BW195*(1+INDEX(Response_Table!$O$4:$O$21,MATCH($F195&amp;"|mid",Response_Table!$A$4:$A$21,0))*$R195*INDEX(Parameters!$X$15:$AA$15,1,MATCH($E195,Parameters!$X$3:$AA$3,0)))</f>
        <v>10.8</v>
      </c>
      <c r="BY195" s="37" t="n">
        <f aca="false">MAX(0,MIN(BW195*(1+INDEX(Response_Table!$O$4:$O$21,MATCH($F195&amp;"|low",Response_Table!$A$4:$A$21,0))*$R195*INDEX(Parameters!$X$15:$AA$15,1,MATCH($E195,Parameters!$X$3:$AA$3,0))),BW195*(1+INDEX(Response_Table!$O$4:$O$21,MATCH($F195&amp;"|high",Response_Table!$A$4:$A$21,0))*$R195*INDEX(Parameters!$X$15:$AA$15,1,MATCH($E195,Parameters!$X$3:$AA$3,0))))*(1-Inputs_General!$C$22*Parameters!$F$15))</f>
        <v>8.66808</v>
      </c>
      <c r="BZ195" s="37" t="n">
        <f aca="false">MAX(BW195*(1+INDEX(Response_Table!$O$4:$O$21,MATCH($F195&amp;"|low",Response_Table!$A$4:$A$21,0))*$R195*INDEX(Parameters!$X$15:$AA$15,1,MATCH($E195,Parameters!$X$3:$AA$3,0))),BW195*(1+INDEX(Response_Table!$O$4:$O$21,MATCH($F195&amp;"|high",Response_Table!$A$4:$A$21,0))*$R195*INDEX(Parameters!$X$15:$AA$15,1,MATCH($E195,Parameters!$X$3:$AA$3,0))))*(1+Inputs_General!$C$22*Parameters!$F$15)</f>
        <v>12.93192</v>
      </c>
      <c r="CA195" s="39" t="n">
        <f aca="false">IF(BW195=0,0,BX195/BW195-1)</f>
        <v>0</v>
      </c>
      <c r="CB195" s="40" t="n">
        <f aca="false">BD195+BI195</f>
        <v>1.66345</v>
      </c>
      <c r="CC195" s="37" t="n">
        <f aca="false">BD195/BI195</f>
        <v>2.77777777777778</v>
      </c>
      <c r="CD195" s="40" t="n">
        <f aca="false">BN195/CB195</f>
        <v>0.176470588235294</v>
      </c>
      <c r="CE195" s="37" t="n">
        <f aca="false">AE195/AO195</f>
        <v>4.45937853767122</v>
      </c>
      <c r="CF195" s="38" t="n">
        <f aca="false">AE195/AJ195</f>
        <v>42.1144887505636</v>
      </c>
      <c r="CG195" s="38" t="n">
        <f aca="false">INDEX(Context!$V$4:$V$51,$K195)</f>
        <v>22.6257142857143</v>
      </c>
      <c r="CH195" s="38" t="n">
        <f aca="false">INDEX(Context!$Y$4:$Y$51,$K195)</f>
        <v>21.3177449518561</v>
      </c>
      <c r="CI195" s="38" t="n">
        <f aca="false">INDEX(Context!$Z$4:$Z$51,$K195)</f>
        <v>26.6257142857143</v>
      </c>
      <c r="CJ195" s="37" t="n">
        <f aca="false">INDEX(Context!$AA$4:$AA$51,$K195)</f>
        <v>0.12</v>
      </c>
      <c r="CK195" s="37" t="n">
        <f aca="false">MAX(0,MIN(1,1-(1-CJ195)*AO195/AN195))</f>
        <v>0.12</v>
      </c>
      <c r="CL195" s="38" t="n">
        <f aca="false">CH195+CK195*(CI195-CH195)</f>
        <v>21.954701271919</v>
      </c>
      <c r="CM195" s="38" t="n">
        <f aca="false">CH195+MAX(0,MIN(1,1-(1-CJ195)*AQ195/AN195))*(CI195-CH195)</f>
        <v>21.3177449518561</v>
      </c>
      <c r="CN195" s="38" t="n">
        <f aca="false">CH195+MAX(0,MIN(1,1-(1-CJ195)*AP195/AN195))*(CI195-CH195)</f>
        <v>23.3377882253038</v>
      </c>
      <c r="CO195" s="38" t="n">
        <f aca="false">CL195-CG195</f>
        <v>-0.67101301379525</v>
      </c>
      <c r="CP195" s="38" t="n">
        <f aca="false">CL195-(CH195+CJ195*(CI195-CH195))</f>
        <v>0</v>
      </c>
      <c r="CQ195" s="40" t="n">
        <f aca="false">CL195/CG195</f>
        <v>0.970342902534621</v>
      </c>
      <c r="CR195" s="37" t="n">
        <f aca="false">IF(CL195-CH195&lt;=0,"n/a",(CI195-CL195)/(CL195-CH195))</f>
        <v>7.33333333333333</v>
      </c>
      <c r="CS195" s="37" t="n">
        <f aca="false">IF(CI195-CL195&lt;=0,"n/a",(CL195-CH195)/(CI195-CL195))</f>
        <v>0.136363636363636</v>
      </c>
      <c r="CT195" s="37" t="n">
        <f aca="false">Inputs_General!$C$23+Inputs_General!$C$24*$I195</f>
        <v>0.6</v>
      </c>
      <c r="CU195" s="38" t="n">
        <f aca="false">3.29*CT195</f>
        <v>1.974</v>
      </c>
    </row>
    <row r="196" customFormat="false" ht="15" hidden="false" customHeight="false" outlineLevel="0" collapsed="false">
      <c r="A196" s="9" t="str">
        <f aca="false">B196&amp;"|"&amp;E196&amp;"|"&amp;F196</f>
        <v>D3V3|11/02/2026|Very low</v>
      </c>
      <c r="B196" s="7" t="s">
        <v>351</v>
      </c>
      <c r="C196" s="9" t="s">
        <v>131</v>
      </c>
      <c r="D196" s="9" t="s">
        <v>150</v>
      </c>
      <c r="E196" s="9" t="s">
        <v>158</v>
      </c>
      <c r="F196" s="7" t="s">
        <v>277</v>
      </c>
      <c r="G196" s="9" t="s">
        <v>278</v>
      </c>
      <c r="H196" s="41" t="n">
        <f aca="false">INDEX(Severity_Classes!$C$4:$C$9,MATCH(F196,Severity_Classes!$A$4:$A$9,0))</f>
        <v>0.01</v>
      </c>
      <c r="I196" s="41" t="n">
        <f aca="false">INDEX(Severity_Classes!$D$4:$D$9,MATCH(F196,Severity_Classes!$A$4:$A$9,0))</f>
        <v>0.03</v>
      </c>
      <c r="J196" s="41" t="n">
        <f aca="false">INDEX(Severity_Classes!$E$4:$E$9,MATCH(F196,Severity_Classes!$A$4:$A$9,0))</f>
        <v>0.05</v>
      </c>
      <c r="K196" s="42" t="n">
        <f aca="false">MATCH(B196&amp;"|"&amp;E196,Context!$A$4:$A$51,0)</f>
        <v>33</v>
      </c>
      <c r="L196" s="42" t="n">
        <f aca="false">INDEX(Context!$H$4:$H$51,K196)</f>
        <v>46</v>
      </c>
      <c r="M196" s="42" t="n">
        <f aca="false">INDEX(Context!$I$4:$I$51,K196)</f>
        <v>6</v>
      </c>
      <c r="N196" s="9" t="str">
        <f aca="false">INDEX(Context!$L$4:$L$51,K196)</f>
        <v>V</v>
      </c>
      <c r="O196" s="9" t="str">
        <f aca="false">INDEX(Context!$M$4:$M$51,K196)</f>
        <v>3rd fully expanded leaf from top</v>
      </c>
      <c r="P196" s="43" t="n">
        <f aca="false">INDEX(Context!$R$4:$R$51,K196)</f>
        <v>0</v>
      </c>
      <c r="Q196" s="43" t="n">
        <f aca="false">INDEX(Context!$U$4:$U$51,K196)</f>
        <v>0.937791824040773</v>
      </c>
      <c r="R196" s="43" t="n">
        <f aca="false">INDEX(Context!$AD$4:$AD$51,K196)</f>
        <v>0.85</v>
      </c>
      <c r="S196" s="9" t="str">
        <f aca="false">INDEX(Context!$AI$4:$AN$51,K196,MATCH(F196,Severity_Classes!$A$4:$A$9,0))</f>
        <v>Likely</v>
      </c>
      <c r="T196" s="44" t="n">
        <f aca="false">Parameters!$E$4*IF($N196="V",Parameters!$I$4,IF($N196="F",Parameters!$J$4,Parameters!$K$4))*(1-Parameters!$L$4*$P196)*IF($D196="V1",Parameters!$M$4,IF($D196="V2",Parameters!$N$4,Parameters!$O$4))</f>
        <v>86</v>
      </c>
      <c r="U196" s="44" t="n">
        <f aca="false">MIN(100,T196*(1+INDEX(Response_Table!$E$4:$E$21,MATCH($F196&amp;"|mid",Response_Table!$A$4:$A$21,0))*$R196*INDEX(Parameters!$X$4:$AA$4,1,MATCH($E196,Parameters!$X$3:$AA$3,0))))</f>
        <v>85.8424205668334</v>
      </c>
      <c r="V196" s="44" t="n">
        <f aca="false">MAX(0,MIN(T196*(1+INDEX(Response_Table!$E$4:$E$21,MATCH($F196&amp;"|low",Response_Table!$A$4:$A$21,0))*$R196*INDEX(Parameters!$X$4:$AA$4,1,MATCH($E196,Parameters!$X$3:$AA$3,0))),T196*(1+INDEX(Response_Table!$E$4:$E$21,MATCH($F196&amp;"|high",Response_Table!$A$4:$A$21,0))*$R196*INDEX(Parameters!$X$4:$AA$4,1,MATCH($E196,Parameters!$X$3:$AA$3,0))))*(1-Inputs_General!$C$22*Parameters!$F$4))</f>
        <v>80.076411740872</v>
      </c>
      <c r="W196" s="44" t="n">
        <f aca="false">MIN(100,MAX(T196*(1+INDEX(Response_Table!$E$4:$E$21,MATCH($F196&amp;"|low",Response_Table!$A$4:$A$21,0))*$R196*INDEX(Parameters!$X$4:$AA$4,1,MATCH($E196,Parameters!$X$3:$AA$3,0))),T196*(1+INDEX(Response_Table!$E$4:$E$21,MATCH($F196&amp;"|high",Response_Table!$A$4:$A$21,0))*$R196*INDEX(Parameters!$X$4:$AA$4,1,MATCH($E196,Parameters!$X$3:$AA$3,0))))*(1+Inputs_General!$C$22*Parameters!$F$4))</f>
        <v>91.6068947319483</v>
      </c>
      <c r="X196" s="45" t="n">
        <f aca="false">IF(T196=0,0,U196/T196-1)</f>
        <v>-0.00183231899030967</v>
      </c>
      <c r="Y196" s="44" t="n">
        <f aca="false">Parameters!$E$5*IF($N196="V",Parameters!$I$5,IF($N196="F",Parameters!$J$5,Parameters!$K$5))*(1-Parameters!$L$5*$P196)*IF($D196="V1",Parameters!$M$5,IF($D196="V2",Parameters!$N$5,Parameters!$O$5))</f>
        <v>72</v>
      </c>
      <c r="Z196" s="44" t="n">
        <f aca="false">MIN(100,Y196*(1+INDEX(Response_Table!$F$4:$F$21,MATCH($F196&amp;"|mid",Response_Table!$A$4:$A$21,0))*$R196*INDEX(Parameters!$X$5:$AA$5,1,MATCH($E196,Parameters!$X$3:$AA$3,0))))</f>
        <v>71.5788601360602</v>
      </c>
      <c r="AA196" s="44" t="n">
        <f aca="false">MAX(0,MIN(Y196*(1+INDEX(Response_Table!$F$4:$F$21,MATCH($F196&amp;"|low",Response_Table!$A$4:$A$21,0))*$R196*INDEX(Parameters!$X$5:$AA$5,1,MATCH($E196,Parameters!$X$3:$AA$3,0))),Y196*(1+INDEX(Response_Table!$F$4:$F$21,MATCH($F196&amp;"|high",Response_Table!$A$4:$A$21,0))*$R196*INDEX(Parameters!$X$5:$AA$5,1,MATCH($E196,Parameters!$X$3:$AA$3,0))))*(1-Inputs_General!$C$22*Parameters!$F$5))</f>
        <v>63.0296399455958</v>
      </c>
      <c r="AB196" s="44" t="n">
        <f aca="false">MIN(100,MAX(Y196*(1+INDEX(Response_Table!$F$4:$F$21,MATCH($F196&amp;"|low",Response_Table!$A$4:$A$21,0))*$R196*INDEX(Parameters!$X$5:$AA$5,1,MATCH($E196,Parameters!$X$3:$AA$3,0))),Y196*(1+INDEX(Response_Table!$F$4:$F$21,MATCH($F196&amp;"|high",Response_Table!$A$4:$A$21,0))*$R196*INDEX(Parameters!$X$5:$AA$5,1,MATCH($E196,Parameters!$X$3:$AA$3,0))))*(1+Inputs_General!$C$22*Parameters!$F$5))</f>
        <v>80.1476551225814</v>
      </c>
      <c r="AC196" s="45" t="n">
        <f aca="false">IF(Y196=0,0,Z196/Y196-1)</f>
        <v>-0.00584916477694142</v>
      </c>
      <c r="AD196" s="44" t="n">
        <f aca="false">Parameters!$E$6*IF($N196="V",Parameters!$I$6,IF($N196="F",Parameters!$J$6,Parameters!$K$6))*(1-Parameters!$L$6*$P196)*IF($D196="V1",Parameters!$M$6,IF($D196="V2",Parameters!$N$6,Parameters!$O$6))</f>
        <v>19.57</v>
      </c>
      <c r="AE196" s="44" t="n">
        <f aca="false">AD196*(1+INDEX(Response_Table!$G$4:$G$21,MATCH($F196&amp;"|mid",Response_Table!$A$4:$A$21,0))*$R196*INDEX(Parameters!$X$6:$AA$6,1,MATCH($E196,Parameters!$X$3:$AA$3,0)))</f>
        <v>18.3357965695887</v>
      </c>
      <c r="AF196" s="44" t="n">
        <f aca="false">MAX(0,MIN(AD196*(1+INDEX(Response_Table!$G$4:$G$21,MATCH($F196&amp;"|low",Response_Table!$A$4:$A$21,0))*$R196*INDEX(Parameters!$X$6:$AA$6,1,MATCH($E196,Parameters!$X$3:$AA$3,0))),AD196*(1+INDEX(Response_Table!$G$4:$G$21,MATCH($F196&amp;"|high",Response_Table!$A$4:$A$21,0))*$R196*INDEX(Parameters!$X$6:$AA$6,1,MATCH($E196,Parameters!$X$3:$AA$3,0))))*(1-Inputs_General!$C$22*Parameters!$F$6))</f>
        <v>14.124956891813</v>
      </c>
      <c r="AG196" s="44" t="n">
        <f aca="false">MAX(AD196*(1+INDEX(Response_Table!$G$4:$G$21,MATCH($F196&amp;"|low",Response_Table!$A$4:$A$21,0))*$R196*INDEX(Parameters!$X$6:$AA$6,1,MATCH($E196,Parameters!$X$3:$AA$3,0))),AD196*(1+INDEX(Response_Table!$G$4:$G$21,MATCH($F196&amp;"|high",Response_Table!$A$4:$A$21,0))*$R196*INDEX(Parameters!$X$6:$AA$6,1,MATCH($E196,Parameters!$X$3:$AA$3,0))))*(1+Inputs_General!$C$22*Parameters!$F$6)</f>
        <v>22.9186794730768</v>
      </c>
      <c r="AH196" s="45" t="n">
        <f aca="false">IF(AD196=0,0,AE196/AD196-1)</f>
        <v>-0.0630660925095196</v>
      </c>
      <c r="AI196" s="46" t="n">
        <f aca="false">Parameters!$E$7*IF($N196="V",Parameters!$I$7,IF($N196="F",Parameters!$J$7,Parameters!$K$7))*(1-Parameters!$L$7*$P196)*IF($D196="V1",Parameters!$M$7,IF($D196="V2",Parameters!$N$7,Parameters!$O$7))*POWER($Q196/Inputs_General!$C$26,-Inputs_General!$C$25)</f>
        <v>0.464685683730118</v>
      </c>
      <c r="AJ196" s="46" t="n">
        <f aca="false">AI196*(1+INDEX(Response_Table!$H$4:$H$21,MATCH($F196&amp;"|mid",Response_Table!$A$4:$A$21,0))*$R196*INDEX(Parameters!$X$7:$AA$7,1,MATCH($E196,Parameters!$X$3:$AA$3,0)))</f>
        <v>0.447007917589242</v>
      </c>
      <c r="AK196" s="46" t="n">
        <f aca="false">MAX(0,MIN(AI196*(1+INDEX(Response_Table!$H$4:$H$21,MATCH($F196&amp;"|low",Response_Table!$A$4:$A$21,0))*$R196*INDEX(Parameters!$X$7:$AA$7,1,MATCH($E196,Parameters!$X$3:$AA$3,0))),AI196*(1+INDEX(Response_Table!$H$4:$H$21,MATCH($F196&amp;"|high",Response_Table!$A$4:$A$21,0))*$R196*INDEX(Parameters!$X$7:$AA$7,1,MATCH($E196,Parameters!$X$3:$AA$3,0))))*(1-Inputs_General!$C$22*Parameters!$F$7))</f>
        <v>0.306954139708623</v>
      </c>
      <c r="AL196" s="46" t="n">
        <f aca="false">MAX(AI196*(1+INDEX(Response_Table!$H$4:$H$21,MATCH($F196&amp;"|low",Response_Table!$A$4:$A$21,0))*$R196*INDEX(Parameters!$X$7:$AA$7,1,MATCH($E196,Parameters!$X$3:$AA$3,0))),AI196*(1+INDEX(Response_Table!$H$4:$H$21,MATCH($F196&amp;"|high",Response_Table!$A$4:$A$21,0))*$R196*INDEX(Parameters!$X$7:$AA$7,1,MATCH($E196,Parameters!$X$3:$AA$3,0))))*(1+Inputs_General!$C$22*Parameters!$F$7)</f>
        <v>0.594411497935526</v>
      </c>
      <c r="AM196" s="45" t="n">
        <f aca="false">IF(AI196=0,0,AJ196/AI196-1)</f>
        <v>-0.0380424161101172</v>
      </c>
      <c r="AN196" s="43" t="n">
        <f aca="false">AI196*$Q196/Inputs_General!$C$13*1000</f>
        <v>4.38850387664553</v>
      </c>
      <c r="AO196" s="43" t="n">
        <f aca="false">AJ196*$Q196/Inputs_General!$C$13*1000*(1+Inputs_General!$C$21*$I196)</f>
        <v>4.25321624546484</v>
      </c>
      <c r="AP196" s="43" t="n">
        <f aca="false">AK196*$Q196/Inputs_General!$C$13*1000*(1+Inputs_General!$C$21*$H196)</f>
        <v>2.90613021430666</v>
      </c>
      <c r="AQ196" s="43" t="n">
        <f aca="false">AL196*$Q196/Inputs_General!$C$13*1000*(1+Inputs_General!$C$21*$J196)</f>
        <v>5.68380836773174</v>
      </c>
      <c r="AR196" s="45" t="n">
        <f aca="false">IF(AN196=0,0,AO196/AN196-1)</f>
        <v>-0.0308277342309431</v>
      </c>
      <c r="AS196" s="42" t="n">
        <f aca="false">Parameters!$E$9*IF($N196="V",Parameters!$I$9,IF($N196="F",Parameters!$J$9,Parameters!$K$9))*(1-Parameters!$L$9*$P196)*IF($D196="V1",Parameters!$M$9,IF($D196="V2",Parameters!$N$9,Parameters!$O$9))</f>
        <v>285</v>
      </c>
      <c r="AT196" s="42" t="n">
        <f aca="false">AS196*(1+INDEX(Response_Table!$I$4:$I$21,MATCH($F196&amp;"|mid",Response_Table!$A$4:$A$21,0))*$R196*INDEX(Parameters!$X$9:$AA$9,1,MATCH($E196,Parameters!$X$3:$AA$3,0)))</f>
        <v>291.574445809265</v>
      </c>
      <c r="AU196" s="42" t="n">
        <f aca="false">MAX(0,MIN(AS196*(1+INDEX(Response_Table!$I$4:$I$21,MATCH($F196&amp;"|low",Response_Table!$A$4:$A$21,0))*$R196*INDEX(Parameters!$X$9:$AA$9,1,MATCH($E196,Parameters!$X$3:$AA$3,0))),AS196*(1+INDEX(Response_Table!$I$4:$I$21,MATCH($F196&amp;"|high",Response_Table!$A$4:$A$21,0))*$R196*INDEX(Parameters!$X$9:$AA$9,1,MATCH($E196,Parameters!$X$3:$AA$3,0))))*(1-Inputs_General!$C$22*Parameters!$F$9))</f>
        <v>258.925195419526</v>
      </c>
      <c r="AV196" s="42" t="n">
        <f aca="false">MAX(AS196*(1+INDEX(Response_Table!$I$4:$I$21,MATCH($F196&amp;"|low",Response_Table!$A$4:$A$21,0))*$R196*INDEX(Parameters!$X$9:$AA$9,1,MATCH($E196,Parameters!$X$3:$AA$3,0))),AS196*(1+INDEX(Response_Table!$I$4:$I$21,MATCH($F196&amp;"|high",Response_Table!$A$4:$A$21,0))*$R196*INDEX(Parameters!$X$9:$AA$9,1,MATCH($E196,Parameters!$X$3:$AA$3,0))))*(1+Inputs_General!$C$22*Parameters!$F$9)</f>
        <v>324.70869272543</v>
      </c>
      <c r="AW196" s="45" t="n">
        <f aca="false">IF(AS196=0,0,AT196/AS196-1)</f>
        <v>0.0230682309096999</v>
      </c>
      <c r="AX196" s="43" t="n">
        <f aca="false">INDEX(Context!$AB$4:$AB$51,$K196)</f>
        <v>1.09384586130271</v>
      </c>
      <c r="AY196" s="43" t="n">
        <f aca="false">AX196*(1+INDEX(Response_Table!$J$4:$J$21,MATCH($F196&amp;"|mid",Response_Table!$A$4:$A$21,0))*$R196*INDEX(Parameters!$X$10:$AA$10,1,MATCH($E196,Parameters!$X$3:$AA$3,0)))</f>
        <v>1.07872994164015</v>
      </c>
      <c r="AZ196" s="43" t="n">
        <f aca="false">MAX(0,MIN(AX196*(1+INDEX(Response_Table!$J$4:$J$21,MATCH($F196&amp;"|low",Response_Table!$A$4:$A$21,0))*$R196*INDEX(Parameters!$X$10:$AA$10,1,MATCH($E196,Parameters!$X$3:$AA$3,0))),AX196*(1+INDEX(Response_Table!$J$4:$J$21,MATCH($F196&amp;"|high",Response_Table!$A$4:$A$21,0))*$R196*INDEX(Parameters!$X$10:$AA$10,1,MATCH($E196,Parameters!$X$3:$AA$3,0))))*(1-Inputs_General!$C$22*Parameters!$F$10))</f>
        <v>0.858191644251306</v>
      </c>
      <c r="BA196" s="43" t="n">
        <f aca="false">MAX(AX196*(1+INDEX(Response_Table!$J$4:$J$21,MATCH($F196&amp;"|low",Response_Table!$A$4:$A$21,0))*$R196*INDEX(Parameters!$X$10:$AA$10,1,MATCH($E196,Parameters!$X$3:$AA$3,0))),AX196*(1+INDEX(Response_Table!$J$4:$J$21,MATCH($F196&amp;"|high",Response_Table!$A$4:$A$21,0))*$R196*INDEX(Parameters!$X$10:$AA$10,1,MATCH($E196,Parameters!$X$3:$AA$3,0))))*(1+Inputs_General!$C$22*Parameters!$F$10)</f>
        <v>1.30358632257985</v>
      </c>
      <c r="BB196" s="45" t="n">
        <f aca="false">IF(AX196=0,0,AY196/AX196-1)</f>
        <v>-0.0138190582396643</v>
      </c>
      <c r="BC196" s="46" t="n">
        <f aca="false">Parameters!$E$11*IF($N196="V",Parameters!$I$11,IF($N196="F",Parameters!$J$11,Parameters!$K$11))*(1-Parameters!$L$11*$P196)*IF($D196="V1",Parameters!$M$11,IF($D196="V2",Parameters!$N$11,Parameters!$O$11))</f>
        <v>1.223125</v>
      </c>
      <c r="BD196" s="46" t="n">
        <f aca="false">BC196*(1+INDEX(Response_Table!$K$4:$K$21,MATCH($F196&amp;"|mid",Response_Table!$A$4:$A$21,0))*$R196*INDEX(Parameters!$X$11:$AA$11,1,MATCH($E196,Parameters!$X$3:$AA$3,0)))</f>
        <v>1.19219606371693</v>
      </c>
      <c r="BE196" s="46" t="n">
        <f aca="false">MAX(0,MIN(BC196*(1+INDEX(Response_Table!$K$4:$K$21,MATCH($F196&amp;"|low",Response_Table!$A$4:$A$21,0))*$R196*INDEX(Parameters!$X$11:$AA$11,1,MATCH($E196,Parameters!$X$3:$AA$3,0))),BC196*(1+INDEX(Response_Table!$K$4:$K$21,MATCH($F196&amp;"|high",Response_Table!$A$4:$A$21,0))*$R196*INDEX(Parameters!$X$11:$AA$11,1,MATCH($E196,Parameters!$X$3:$AA$3,0))))*(1-Inputs_General!$C$22*Parameters!$F$11))</f>
        <v>0.980180292409174</v>
      </c>
      <c r="BF196" s="46" t="n">
        <f aca="false">MAX(BC196*(1+INDEX(Response_Table!$K$4:$K$21,MATCH($F196&amp;"|low",Response_Table!$A$4:$A$21,0))*$R196*INDEX(Parameters!$X$11:$AA$11,1,MATCH($E196,Parameters!$X$3:$AA$3,0))),BC196*(1+INDEX(Response_Table!$K$4:$K$21,MATCH($F196&amp;"|high",Response_Table!$A$4:$A$21,0))*$R196*INDEX(Parameters!$X$11:$AA$11,1,MATCH($E196,Parameters!$X$3:$AA$3,0))))*(1+Inputs_General!$C$22*Parameters!$F$11)</f>
        <v>1.41193731889591</v>
      </c>
      <c r="BG196" s="45" t="n">
        <f aca="false">IF(BC196=0,0,BD196/BC196-1)</f>
        <v>-0.0252868155610199</v>
      </c>
      <c r="BH196" s="46" t="n">
        <f aca="false">Parameters!$E$12*IF($N196="V",Parameters!$I$12,IF($N196="F",Parameters!$J$12,Parameters!$K$12))*(1-Parameters!$L$12*$P196)*IF($D196="V1",Parameters!$M$12,IF($D196="V2",Parameters!$N$12,Parameters!$O$12))</f>
        <v>0.440325</v>
      </c>
      <c r="BI196" s="46" t="n">
        <f aca="false">BH196*(1+INDEX(Response_Table!$L$4:$L$21,MATCH($F196&amp;"|mid",Response_Table!$A$4:$A$21,0))*$R196*INDEX(Parameters!$X$12:$AA$12,1,MATCH($E196,Parameters!$X$3:$AA$3,0)))</f>
        <v>0.431466283864877</v>
      </c>
      <c r="BJ196" s="46" t="n">
        <f aca="false">MAX(0,MIN(BH196*(1+INDEX(Response_Table!$L$4:$L$21,MATCH($F196&amp;"|low",Response_Table!$A$4:$A$21,0))*$R196*INDEX(Parameters!$X$12:$AA$12,1,MATCH($E196,Parameters!$X$3:$AA$3,0))),BH196*(1+INDEX(Response_Table!$L$4:$L$21,MATCH($F196&amp;"|high",Response_Table!$A$4:$A$21,0))*$R196*INDEX(Parameters!$X$12:$AA$12,1,MATCH($E196,Parameters!$X$3:$AA$3,0))))*(1-Inputs_General!$C$22*Parameters!$F$12))</f>
        <v>0.34189815623471</v>
      </c>
      <c r="BK196" s="46" t="n">
        <f aca="false">MAX(BH196*(1+INDEX(Response_Table!$L$4:$L$21,MATCH($F196&amp;"|low",Response_Table!$A$4:$A$21,0))*$R196*INDEX(Parameters!$X$12:$AA$12,1,MATCH($E196,Parameters!$X$3:$AA$3,0))),BH196*(1+INDEX(Response_Table!$L$4:$L$21,MATCH($F196&amp;"|high",Response_Table!$A$4:$A$21,0))*$R196*INDEX(Parameters!$X$12:$AA$12,1,MATCH($E196,Parameters!$X$3:$AA$3,0))))*(1+Inputs_General!$C$22*Parameters!$F$12)</f>
        <v>0.523602757488944</v>
      </c>
      <c r="BL196" s="45" t="n">
        <f aca="false">IF(BH196=0,0,BI196/BH196-1)</f>
        <v>-0.0201185854428505</v>
      </c>
      <c r="BM196" s="46" t="n">
        <f aca="false">Parameters!$E$13*IF($N196="V",Parameters!$I$13,IF($N196="F",Parameters!$J$13,Parameters!$K$13))*(1-Parameters!$L$13*$P196)*IF($D196="V1",Parameters!$M$13,IF($D196="V2",Parameters!$N$13,Parameters!$O$13))</f>
        <v>0.29355</v>
      </c>
      <c r="BN196" s="46" t="n">
        <f aca="false">BM196*(1+INDEX(Response_Table!$M$4:$M$21,MATCH($F196&amp;"|mid",Response_Table!$A$4:$A$21,0))*$R196*INDEX(Parameters!$X$13:$AA$13,1,MATCH($E196,Parameters!$X$3:$AA$3,0)))</f>
        <v>0.296791863021977</v>
      </c>
      <c r="BO196" s="46" t="n">
        <f aca="false">MAX(0,MIN(BM196*(1+INDEX(Response_Table!$M$4:$M$21,MATCH($F196&amp;"|low",Response_Table!$A$4:$A$21,0))*$R196*INDEX(Parameters!$X$13:$AA$13,1,MATCH($E196,Parameters!$X$3:$AA$3,0))),BM196*(1+INDEX(Response_Table!$M$4:$M$21,MATCH($F196&amp;"|high",Response_Table!$A$4:$A$21,0))*$R196*INDEX(Parameters!$X$13:$AA$13,1,MATCH($E196,Parameters!$X$3:$AA$3,0))))*(1-Inputs_General!$C$22*Parameters!$F$13))</f>
        <v>0.23688233264073</v>
      </c>
      <c r="BP196" s="46" t="n">
        <f aca="false">MAX(BM196*(1+INDEX(Response_Table!$M$4:$M$21,MATCH($F196&amp;"|low",Response_Table!$A$4:$A$21,0))*$R196*INDEX(Parameters!$X$13:$AA$13,1,MATCH($E196,Parameters!$X$3:$AA$3,0))),BM196*(1+INDEX(Response_Table!$M$4:$M$21,MATCH($F196&amp;"|high",Response_Table!$A$4:$A$21,0))*$R196*INDEX(Parameters!$X$13:$AA$13,1,MATCH($E196,Parameters!$X$3:$AA$3,0))))*(1+Inputs_General!$C$22*Parameters!$F$13)</f>
        <v>0.355488255893759</v>
      </c>
      <c r="BQ196" s="45" t="n">
        <f aca="false">IF(BM196=0,0,BN196/BM196-1)</f>
        <v>0.0110436485163574</v>
      </c>
      <c r="BR196" s="44" t="n">
        <f aca="false">Parameters!$E$14*IF($N196="V",Parameters!$I$14,IF($N196="F",Parameters!$J$14,Parameters!$K$14))*(1-Parameters!$L$14*$P196)*IF($D196="V1",Parameters!$M$14,IF($D196="V2",Parameters!$N$14,Parameters!$O$14))*INDEX(Context!$AC$4:$AC$51,$K196)</f>
        <v>19.8</v>
      </c>
      <c r="BS196" s="44" t="n">
        <f aca="false">BR196*(1+INDEX(Response_Table!$N$4:$N$21,MATCH($F196&amp;"|mid",Response_Table!$A$4:$A$21,0))*$R196*INDEX(Parameters!$X$14:$AA$14,1,MATCH($E196,Parameters!$X$3:$AA$3,0)))</f>
        <v>20.2345614455656</v>
      </c>
      <c r="BT196" s="44" t="n">
        <f aca="false">MAX(0,MIN(BR196*(1+INDEX(Response_Table!$N$4:$N$21,MATCH($F196&amp;"|low",Response_Table!$A$4:$A$21,0))*$R196*INDEX(Parameters!$X$14:$AA$14,1,MATCH($E196,Parameters!$X$3:$AA$3,0))),BR196*(1+INDEX(Response_Table!$N$4:$N$21,MATCH($F196&amp;"|high",Response_Table!$A$4:$A$21,0))*$R196*INDEX(Parameters!$X$14:$AA$14,1,MATCH($E196,Parameters!$X$3:$AA$3,0))))*(1-Inputs_General!$C$22*Parameters!$F$14))</f>
        <v>10.104280183814</v>
      </c>
      <c r="BU196" s="44" t="n">
        <f aca="false">MAX(BR196*(1+INDEX(Response_Table!$N$4:$N$21,MATCH($F196&amp;"|low",Response_Table!$A$4:$A$21,0))*$R196*INDEX(Parameters!$X$14:$AA$14,1,MATCH($E196,Parameters!$X$3:$AA$3,0))),BR196*(1+INDEX(Response_Table!$N$4:$N$21,MATCH($F196&amp;"|high",Response_Table!$A$4:$A$21,0))*$R196*INDEX(Parameters!$X$14:$AA$14,1,MATCH($E196,Parameters!$X$3:$AA$3,0))))*(1+Inputs_General!$C$22*Parameters!$F$14)</f>
        <v>30.6216567852691</v>
      </c>
      <c r="BV196" s="45" t="n">
        <f aca="false">IF(BR196=0,0,BS196/BR196-1)</f>
        <v>0.0219475477558369</v>
      </c>
      <c r="BW196" s="43" t="n">
        <f aca="false">Parameters!$E$15*IF($N196="V",Parameters!$I$15,IF($N196="F",Parameters!$J$15,Parameters!$K$15))*(1-Parameters!$L$15*$P196)*IF($D196="V1",Parameters!$M$15,IF($D196="V2",Parameters!$N$15,Parameters!$O$15))</f>
        <v>10.8</v>
      </c>
      <c r="BX196" s="43" t="n">
        <f aca="false">BW196*(1+INDEX(Response_Table!$O$4:$O$21,MATCH($F196&amp;"|mid",Response_Table!$A$4:$A$21,0))*$R196*INDEX(Parameters!$X$15:$AA$15,1,MATCH($E196,Parameters!$X$3:$AA$3,0)))</f>
        <v>10.7407416210592</v>
      </c>
      <c r="BY196" s="43" t="n">
        <f aca="false">MAX(0,MIN(BW196*(1+INDEX(Response_Table!$O$4:$O$21,MATCH($F196&amp;"|low",Response_Table!$A$4:$A$21,0))*$R196*INDEX(Parameters!$X$15:$AA$15,1,MATCH($E196,Parameters!$X$3:$AA$3,0))),BW196*(1+INDEX(Response_Table!$O$4:$O$21,MATCH($F196&amp;"|high",Response_Table!$A$4:$A$21,0))*$R196*INDEX(Parameters!$X$15:$AA$15,1,MATCH($E196,Parameters!$X$3:$AA$3,0))))*(1-Inputs_General!$C$22*Parameters!$F$15))</f>
        <v>8.59110860676352</v>
      </c>
      <c r="BZ196" s="43" t="n">
        <f aca="false">MAX(BW196*(1+INDEX(Response_Table!$O$4:$O$21,MATCH($F196&amp;"|low",Response_Table!$A$4:$A$21,0))*$R196*INDEX(Parameters!$X$15:$AA$15,1,MATCH($E196,Parameters!$X$3:$AA$3,0))),BW196*(1+INDEX(Response_Table!$O$4:$O$21,MATCH($F196&amp;"|high",Response_Table!$A$4:$A$21,0))*$R196*INDEX(Parameters!$X$15:$AA$15,1,MATCH($E196,Parameters!$X$3:$AA$3,0))))*(1+Inputs_General!$C$22*Parameters!$F$15)</f>
        <v>12.9075550052682</v>
      </c>
      <c r="CA196" s="45" t="n">
        <f aca="false">IF(BW196=0,0,BX196/BW196-1)</f>
        <v>-0.00548688693895916</v>
      </c>
      <c r="CB196" s="46" t="n">
        <f aca="false">BD196+BI196</f>
        <v>1.6236623475818</v>
      </c>
      <c r="CC196" s="43" t="n">
        <f aca="false">BD196/BI196</f>
        <v>2.76312682659183</v>
      </c>
      <c r="CD196" s="46" t="n">
        <f aca="false">BN196/CB196</f>
        <v>0.182791615180338</v>
      </c>
      <c r="CE196" s="43" t="n">
        <f aca="false">AE196/AO196</f>
        <v>4.31104263488601</v>
      </c>
      <c r="CF196" s="44" t="n">
        <f aca="false">AE196/AJ196</f>
        <v>41.0189525690629</v>
      </c>
      <c r="CG196" s="44" t="n">
        <f aca="false">INDEX(Context!$V$4:$V$51,$K196)</f>
        <v>22.6257142857143</v>
      </c>
      <c r="CH196" s="44" t="n">
        <f aca="false">INDEX(Context!$Y$4:$Y$51,$K196)</f>
        <v>21.3177449518561</v>
      </c>
      <c r="CI196" s="44" t="n">
        <f aca="false">INDEX(Context!$Z$4:$Z$51,$K196)</f>
        <v>26.6257142857143</v>
      </c>
      <c r="CJ196" s="43" t="n">
        <f aca="false">INDEX(Context!$AA$4:$AA$51,$K196)</f>
        <v>0.12</v>
      </c>
      <c r="CK196" s="43" t="n">
        <f aca="false">MAX(0,MIN(1,1-(1-CJ196)*AO196/AN196))</f>
        <v>0.14712840612323</v>
      </c>
      <c r="CL196" s="44" t="n">
        <f aca="false">CH196+CK196*(CI196-CH196)</f>
        <v>22.0986980196976</v>
      </c>
      <c r="CM196" s="44" t="n">
        <f aca="false">CH196+MAX(0,MIN(1,1-(1-CJ196)*AQ196/AN196))*(CI196-CH196)</f>
        <v>21.3177449518561</v>
      </c>
      <c r="CN196" s="44" t="n">
        <f aca="false">CH196+MAX(0,MIN(1,1-(1-CJ196)*AP196/AN196))*(CI196-CH196)</f>
        <v>23.5325024685731</v>
      </c>
      <c r="CO196" s="44" t="n">
        <f aca="false">CL196-CG196</f>
        <v>-0.527016266016695</v>
      </c>
      <c r="CP196" s="44" t="n">
        <f aca="false">CL196-(CH196+CJ196*(CI196-CH196))</f>
        <v>0.143996747778555</v>
      </c>
      <c r="CQ196" s="46" t="n">
        <f aca="false">CL196/CG196</f>
        <v>0.976707198749104</v>
      </c>
      <c r="CR196" s="43" t="n">
        <f aca="false">IF(CL196-CH196&lt;=0,"n/a",(CI196-CL196)/(CL196-CH196))</f>
        <v>5.79678402253902</v>
      </c>
      <c r="CS196" s="43" t="n">
        <f aca="false">IF(CI196-CL196&lt;=0,"n/a",(CL196-CH196)/(CI196-CL196))</f>
        <v>0.172509445946547</v>
      </c>
      <c r="CT196" s="43" t="n">
        <f aca="false">Inputs_General!$C$23+Inputs_General!$C$24*$I196</f>
        <v>0.66</v>
      </c>
      <c r="CU196" s="44" t="n">
        <f aca="false">3.29*CT196</f>
        <v>2.1714</v>
      </c>
    </row>
    <row r="197" customFormat="false" ht="15" hidden="false" customHeight="false" outlineLevel="0" collapsed="false">
      <c r="A197" s="9" t="str">
        <f aca="false">B197&amp;"|"&amp;E197&amp;"|"&amp;F197</f>
        <v>D3V3|11/02/2026|Low</v>
      </c>
      <c r="B197" s="7" t="s">
        <v>351</v>
      </c>
      <c r="C197" s="9" t="s">
        <v>131</v>
      </c>
      <c r="D197" s="9" t="s">
        <v>150</v>
      </c>
      <c r="E197" s="9" t="s">
        <v>158</v>
      </c>
      <c r="F197" s="7" t="s">
        <v>279</v>
      </c>
      <c r="G197" s="9" t="s">
        <v>280</v>
      </c>
      <c r="H197" s="41" t="n">
        <f aca="false">INDEX(Severity_Classes!$C$4:$C$9,MATCH(F197,Severity_Classes!$A$4:$A$9,0))</f>
        <v>0.06</v>
      </c>
      <c r="I197" s="41" t="n">
        <f aca="false">INDEX(Severity_Classes!$D$4:$D$9,MATCH(F197,Severity_Classes!$A$4:$A$9,0))</f>
        <v>0.08</v>
      </c>
      <c r="J197" s="41" t="n">
        <f aca="false">INDEX(Severity_Classes!$E$4:$E$9,MATCH(F197,Severity_Classes!$A$4:$A$9,0))</f>
        <v>0.1</v>
      </c>
      <c r="K197" s="42" t="n">
        <f aca="false">MATCH(B197&amp;"|"&amp;E197,Context!$A$4:$A$51,0)</f>
        <v>33</v>
      </c>
      <c r="L197" s="42" t="n">
        <f aca="false">INDEX(Context!$H$4:$H$51,K197)</f>
        <v>46</v>
      </c>
      <c r="M197" s="42" t="n">
        <f aca="false">INDEX(Context!$I$4:$I$51,K197)</f>
        <v>6</v>
      </c>
      <c r="N197" s="9" t="str">
        <f aca="false">INDEX(Context!$L$4:$L$51,K197)</f>
        <v>V</v>
      </c>
      <c r="O197" s="9" t="str">
        <f aca="false">INDEX(Context!$M$4:$M$51,K197)</f>
        <v>3rd fully expanded leaf from top</v>
      </c>
      <c r="P197" s="43" t="n">
        <f aca="false">INDEX(Context!$R$4:$R$51,K197)</f>
        <v>0</v>
      </c>
      <c r="Q197" s="43" t="n">
        <f aca="false">INDEX(Context!$U$4:$U$51,K197)</f>
        <v>0.937791824040773</v>
      </c>
      <c r="R197" s="43" t="n">
        <f aca="false">INDEX(Context!$AD$4:$AD$51,K197)</f>
        <v>0.85</v>
      </c>
      <c r="S197" s="9" t="str">
        <f aca="false">INDEX(Context!$AI$4:$AN$51,K197,MATCH(F197,Severity_Classes!$A$4:$A$9,0))</f>
        <v>Likely</v>
      </c>
      <c r="T197" s="44" t="n">
        <f aca="false">Parameters!$E$4*IF($N197="V",Parameters!$I$4,IF($N197="F",Parameters!$J$4,Parameters!$K$4))*(1-Parameters!$L$4*$P197)*IF($D197="V1",Parameters!$M$4,IF($D197="V2",Parameters!$N$4,Parameters!$O$4))</f>
        <v>86</v>
      </c>
      <c r="U197" s="44" t="n">
        <f aca="false">MIN(100,T197*(1+INDEX(Response_Table!$E$4:$E$21,MATCH($F197&amp;"|mid",Response_Table!$A$4:$A$21,0))*$R197*INDEX(Parameters!$X$4:$AA$4,1,MATCH($E197,Parameters!$X$3:$AA$3,0))))</f>
        <v>85.4912742489841</v>
      </c>
      <c r="V197" s="44" t="n">
        <f aca="false">MAX(0,MIN(T197*(1+INDEX(Response_Table!$E$4:$E$21,MATCH($F197&amp;"|low",Response_Table!$A$4:$A$21,0))*$R197*INDEX(Parameters!$X$4:$AA$4,1,MATCH($E197,Parameters!$X$3:$AA$3,0))),T197*(1+INDEX(Response_Table!$E$4:$E$21,MATCH($F197&amp;"|high",Response_Table!$A$4:$A$21,0))*$R197*INDEX(Parameters!$X$4:$AA$4,1,MATCH($E197,Parameters!$X$3:$AA$3,0))))*(1-Inputs_General!$C$22*Parameters!$F$4))</f>
        <v>79.6999011519644</v>
      </c>
      <c r="W197" s="44" t="n">
        <f aca="false">MIN(100,MAX(T197*(1+INDEX(Response_Table!$E$4:$E$21,MATCH($F197&amp;"|low",Response_Table!$A$4:$A$21,0))*$R197*INDEX(Parameters!$X$4:$AA$4,1,MATCH($E197,Parameters!$X$3:$AA$3,0))),T197*(1+INDEX(Response_Table!$E$4:$E$21,MATCH($F197&amp;"|high",Response_Table!$A$4:$A$21,0))*$R197*INDEX(Parameters!$X$4:$AA$4,1,MATCH($E197,Parameters!$X$3:$AA$3,0))))*(1+Inputs_General!$C$22*Parameters!$F$4))</f>
        <v>91.2821523734045</v>
      </c>
      <c r="X197" s="45" t="n">
        <f aca="false">IF(T197=0,0,U197/T197-1)</f>
        <v>-0.00591541570948695</v>
      </c>
      <c r="Y197" s="44" t="n">
        <f aca="false">Parameters!$E$5*IF($N197="V",Parameters!$I$5,IF($N197="F",Parameters!$J$5,Parameters!$K$5))*(1-Parameters!$L$5*$P197)*IF($D197="V1",Parameters!$M$5,IF($D197="V2",Parameters!$N$5,Parameters!$O$5))</f>
        <v>72</v>
      </c>
      <c r="Z197" s="44" t="n">
        <f aca="false">MIN(100,Y197*(1+INDEX(Response_Table!$F$4:$F$21,MATCH($F197&amp;"|mid",Response_Table!$A$4:$A$21,0))*$R197*INDEX(Parameters!$X$5:$AA$5,1,MATCH($E197,Parameters!$X$3:$AA$3,0))))</f>
        <v>70.5939570018953</v>
      </c>
      <c r="AA197" s="44" t="n">
        <f aca="false">MAX(0,MIN(Y197*(1+INDEX(Response_Table!$F$4:$F$21,MATCH($F197&amp;"|low",Response_Table!$A$4:$A$21,0))*$R197*INDEX(Parameters!$X$5:$AA$5,1,MATCH($E197,Parameters!$X$3:$AA$3,0))),Y197*(1+INDEX(Response_Table!$F$4:$F$21,MATCH($F197&amp;"|high",Response_Table!$A$4:$A$21,0))*$R197*INDEX(Parameters!$X$5:$AA$5,1,MATCH($E197,Parameters!$X$3:$AA$3,0))))*(1-Inputs_General!$C$22*Parameters!$F$5))</f>
        <v>62.0096981660899</v>
      </c>
      <c r="AB197" s="44" t="n">
        <f aca="false">MIN(100,MAX(Y197*(1+INDEX(Response_Table!$F$4:$F$21,MATCH($F197&amp;"|low",Response_Table!$A$4:$A$21,0))*$R197*INDEX(Parameters!$X$5:$AA$5,1,MATCH($E197,Parameters!$X$3:$AA$3,0))),Y197*(1+INDEX(Response_Table!$F$4:$F$21,MATCH($F197&amp;"|high",Response_Table!$A$4:$A$21,0))*$R197*INDEX(Parameters!$X$5:$AA$5,1,MATCH($E197,Parameters!$X$3:$AA$3,0))))*(1+Inputs_General!$C$22*Parameters!$F$5))</f>
        <v>79.2157573857933</v>
      </c>
      <c r="AC197" s="45" t="n">
        <f aca="false">IF(Y197=0,0,Z197/Y197-1)</f>
        <v>-0.0195283749736768</v>
      </c>
      <c r="AD197" s="44" t="n">
        <f aca="false">Parameters!$E$6*IF($N197="V",Parameters!$I$6,IF($N197="F",Parameters!$J$6,Parameters!$K$6))*(1-Parameters!$L$6*$P197)*IF($D197="V1",Parameters!$M$6,IF($D197="V2",Parameters!$N$6,Parameters!$O$6))</f>
        <v>19.57</v>
      </c>
      <c r="AE197" s="44" t="n">
        <f aca="false">AD197*(1+INDEX(Response_Table!$G$4:$G$21,MATCH($F197&amp;"|mid",Response_Table!$A$4:$A$21,0))*$R197*INDEX(Parameters!$X$6:$AA$6,1,MATCH($E197,Parameters!$X$3:$AA$3,0)))</f>
        <v>16.6085279134093</v>
      </c>
      <c r="AF197" s="44" t="n">
        <f aca="false">MAX(0,MIN(AD197*(1+INDEX(Response_Table!$G$4:$G$21,MATCH($F197&amp;"|low",Response_Table!$A$4:$A$21,0))*$R197*INDEX(Parameters!$X$6:$AA$6,1,MATCH($E197,Parameters!$X$3:$AA$3,0))),AD197*(1+INDEX(Response_Table!$G$4:$G$21,MATCH($F197&amp;"|high",Response_Table!$A$4:$A$21,0))*$R197*INDEX(Parameters!$X$6:$AA$6,1,MATCH($E197,Parameters!$X$3:$AA$3,0))))*(1-Inputs_General!$C$22*Parameters!$F$6))</f>
        <v>12.8554322555242</v>
      </c>
      <c r="AG197" s="44" t="n">
        <f aca="false">MAX(AD197*(1+INDEX(Response_Table!$G$4:$G$21,MATCH($F197&amp;"|low",Response_Table!$A$4:$A$21,0))*$R197*INDEX(Parameters!$X$6:$AA$6,1,MATCH($E197,Parameters!$X$3:$AA$3,0))),AD197*(1+INDEX(Response_Table!$G$4:$G$21,MATCH($F197&amp;"|high",Response_Table!$A$4:$A$21,0))*$R197*INDEX(Parameters!$X$6:$AA$6,1,MATCH($E197,Parameters!$X$3:$AA$3,0))))*(1+Inputs_General!$C$22*Parameters!$F$6)</f>
        <v>20.6601952535832</v>
      </c>
      <c r="AH197" s="45" t="n">
        <f aca="false">IF(AD197=0,0,AE197/AD197-1)</f>
        <v>-0.151327137792066</v>
      </c>
      <c r="AI197" s="46" t="n">
        <f aca="false">Parameters!$E$7*IF($N197="V",Parameters!$I$7,IF($N197="F",Parameters!$J$7,Parameters!$K$7))*(1-Parameters!$L$7*$P197)*IF($D197="V1",Parameters!$M$7,IF($D197="V2",Parameters!$N$7,Parameters!$O$7))*POWER($Q197/Inputs_General!$C$26,-Inputs_General!$C$25)</f>
        <v>0.464685683730118</v>
      </c>
      <c r="AJ197" s="46" t="n">
        <f aca="false">AI197*(1+INDEX(Response_Table!$H$4:$H$21,MATCH($F197&amp;"|mid",Response_Table!$A$4:$A$21,0))*$R197*INDEX(Parameters!$X$7:$AA$7,1,MATCH($E197,Parameters!$X$3:$AA$3,0)))</f>
        <v>0.420860951335111</v>
      </c>
      <c r="AK197" s="46" t="n">
        <f aca="false">MAX(0,MIN(AI197*(1+INDEX(Response_Table!$H$4:$H$21,MATCH($F197&amp;"|low",Response_Table!$A$4:$A$21,0))*$R197*INDEX(Parameters!$X$7:$AA$7,1,MATCH($E197,Parameters!$X$3:$AA$3,0))),AI197*(1+INDEX(Response_Table!$H$4:$H$21,MATCH($F197&amp;"|high",Response_Table!$A$4:$A$21,0))*$R197*INDEX(Parameters!$X$7:$AA$7,1,MATCH($E197,Parameters!$X$3:$AA$3,0))))*(1-Inputs_General!$C$22*Parameters!$F$7))</f>
        <v>0.28962110515998</v>
      </c>
      <c r="AL197" s="46" t="n">
        <f aca="false">MAX(AI197*(1+INDEX(Response_Table!$H$4:$H$21,MATCH($F197&amp;"|low",Response_Table!$A$4:$A$21,0))*$R197*INDEX(Parameters!$X$7:$AA$7,1,MATCH($E197,Parameters!$X$3:$AA$3,0))),AI197*(1+INDEX(Response_Table!$H$4:$H$21,MATCH($F197&amp;"|high",Response_Table!$A$4:$A$21,0))*$R197*INDEX(Parameters!$X$7:$AA$7,1,MATCH($E197,Parameters!$X$3:$AA$3,0))))*(1+Inputs_General!$C$22*Parameters!$F$7)</f>
        <v>0.558426831117588</v>
      </c>
      <c r="AM197" s="45" t="n">
        <f aca="false">IF(AI197=0,0,AJ197/AI197-1)</f>
        <v>-0.0943104854085833</v>
      </c>
      <c r="AN197" s="43" t="n">
        <f aca="false">AI197*$Q197/Inputs_General!$C$13*1000</f>
        <v>4.38850387664553</v>
      </c>
      <c r="AO197" s="43" t="n">
        <f aca="false">AJ197*$Q197/Inputs_General!$C$13*1000*(1+Inputs_General!$C$21*$I197)</f>
        <v>4.05411438473807</v>
      </c>
      <c r="AP197" s="43" t="n">
        <f aca="false">AK197*$Q197/Inputs_General!$C$13*1000*(1+Inputs_General!$C$21*$H197)</f>
        <v>2.77621721103738</v>
      </c>
      <c r="AQ197" s="43" t="n">
        <f aca="false">AL197*$Q197/Inputs_General!$C$13*1000*(1+Inputs_General!$C$21*$J197)</f>
        <v>5.40564269346171</v>
      </c>
      <c r="AR197" s="45" t="n">
        <f aca="false">IF(AN197=0,0,AO197/AN197-1)</f>
        <v>-0.0761966951167549</v>
      </c>
      <c r="AS197" s="42" t="n">
        <f aca="false">Parameters!$E$9*IF($N197="V",Parameters!$I$9,IF($N197="F",Parameters!$J$9,Parameters!$K$9))*(1-Parameters!$L$9*$P197)*IF($D197="V1",Parameters!$M$9,IF($D197="V2",Parameters!$N$9,Parameters!$O$9))</f>
        <v>285</v>
      </c>
      <c r="AT197" s="42" t="n">
        <f aca="false">AS197*(1+INDEX(Response_Table!$I$4:$I$21,MATCH($F197&amp;"|mid",Response_Table!$A$4:$A$21,0))*$R197*INDEX(Parameters!$X$9:$AA$9,1,MATCH($E197,Parameters!$X$3:$AA$3,0)))</f>
        <v>300.921694984536</v>
      </c>
      <c r="AU197" s="42" t="n">
        <f aca="false">MAX(0,MIN(AS197*(1+INDEX(Response_Table!$I$4:$I$21,MATCH($F197&amp;"|low",Response_Table!$A$4:$A$21,0))*$R197*INDEX(Parameters!$X$9:$AA$9,1,MATCH($E197,Parameters!$X$3:$AA$3,0))),AS197*(1+INDEX(Response_Table!$I$4:$I$21,MATCH($F197&amp;"|high",Response_Table!$A$4:$A$21,0))*$R197*INDEX(Parameters!$X$9:$AA$9,1,MATCH($E197,Parameters!$X$3:$AA$3,0))))*(1-Inputs_General!$C$22*Parameters!$F$9))</f>
        <v>268.051537634836</v>
      </c>
      <c r="AV197" s="42" t="n">
        <f aca="false">MAX(AS197*(1+INDEX(Response_Table!$I$4:$I$21,MATCH($F197&amp;"|low",Response_Table!$A$4:$A$21,0))*$R197*INDEX(Parameters!$X$9:$AA$9,1,MATCH($E197,Parameters!$X$3:$AA$3,0))),AS197*(1+INDEX(Response_Table!$I$4:$I$21,MATCH($F197&amp;"|high",Response_Table!$A$4:$A$21,0))*$R197*INDEX(Parameters!$X$9:$AA$9,1,MATCH($E197,Parameters!$X$3:$AA$3,0))))*(1+Inputs_General!$C$22*Parameters!$F$9)</f>
        <v>334.188933905556</v>
      </c>
      <c r="AW197" s="45" t="n">
        <f aca="false">IF(AS197=0,0,AT197/AS197-1)</f>
        <v>0.055865596436967</v>
      </c>
      <c r="AX197" s="43" t="n">
        <f aca="false">INDEX(Context!$AB$4:$AB$51,$K197)</f>
        <v>1.09384586130271</v>
      </c>
      <c r="AY197" s="43" t="n">
        <f aca="false">AX197*(1+INDEX(Response_Table!$J$4:$J$21,MATCH($F197&amp;"|mid",Response_Table!$A$4:$A$21,0))*$R197*INDEX(Parameters!$X$10:$AA$10,1,MATCH($E197,Parameters!$X$3:$AA$3,0)))</f>
        <v>1.05592469358315</v>
      </c>
      <c r="AZ197" s="43" t="n">
        <f aca="false">MAX(0,MIN(AX197*(1+INDEX(Response_Table!$J$4:$J$21,MATCH($F197&amp;"|low",Response_Table!$A$4:$A$21,0))*$R197*INDEX(Parameters!$X$10:$AA$10,1,MATCH($E197,Parameters!$X$3:$AA$3,0))),AX197*(1+INDEX(Response_Table!$J$4:$J$21,MATCH($F197&amp;"|high",Response_Table!$A$4:$A$21,0))*$R197*INDEX(Parameters!$X$10:$AA$10,1,MATCH($E197,Parameters!$X$3:$AA$3,0))))*(1-Inputs_General!$C$22*Parameters!$F$10))</f>
        <v>0.84078082400366</v>
      </c>
      <c r="BA197" s="43" t="n">
        <f aca="false">MAX(AX197*(1+INDEX(Response_Table!$J$4:$J$21,MATCH($F197&amp;"|low",Response_Table!$A$4:$A$21,0))*$R197*INDEX(Parameters!$X$10:$AA$10,1,MATCH($E197,Parameters!$X$3:$AA$3,0))),AX197*(1+INDEX(Response_Table!$J$4:$J$21,MATCH($F197&amp;"|high",Response_Table!$A$4:$A$21,0))*$R197*INDEX(Parameters!$X$10:$AA$10,1,MATCH($E197,Parameters!$X$3:$AA$3,0))))*(1+Inputs_General!$C$22*Parameters!$F$10)</f>
        <v>1.27487925852137</v>
      </c>
      <c r="BB197" s="45" t="n">
        <f aca="false">IF(AX197=0,0,AY197/AX197-1)</f>
        <v>-0.0346677434738361</v>
      </c>
      <c r="BC197" s="46" t="n">
        <f aca="false">Parameters!$E$11*IF($N197="V",Parameters!$I$11,IF($N197="F",Parameters!$J$11,Parameters!$K$11))*(1-Parameters!$L$11*$P197)*IF($D197="V1",Parameters!$M$11,IF($D197="V2",Parameters!$N$11,Parameters!$O$11))</f>
        <v>1.223125</v>
      </c>
      <c r="BD197" s="46" t="n">
        <f aca="false">BC197*(1+INDEX(Response_Table!$K$4:$K$21,MATCH($F197&amp;"|mid",Response_Table!$A$4:$A$21,0))*$R197*INDEX(Parameters!$X$11:$AA$11,1,MATCH($E197,Parameters!$X$3:$AA$3,0)))</f>
        <v>1.1468102180287</v>
      </c>
      <c r="BE197" s="46" t="n">
        <f aca="false">MAX(0,MIN(BC197*(1+INDEX(Response_Table!$K$4:$K$21,MATCH($F197&amp;"|low",Response_Table!$A$4:$A$21,0))*$R197*INDEX(Parameters!$X$11:$AA$11,1,MATCH($E197,Parameters!$X$3:$AA$3,0))),BC197*(1+INDEX(Response_Table!$K$4:$K$21,MATCH($F197&amp;"|high",Response_Table!$A$4:$A$21,0))*$R197*INDEX(Parameters!$X$11:$AA$11,1,MATCH($E197,Parameters!$X$3:$AA$3,0))))*(1-Inputs_General!$C$22*Parameters!$F$11))</f>
        <v>0.944611260947583</v>
      </c>
      <c r="BF197" s="46" t="n">
        <f aca="false">MAX(BC197*(1+INDEX(Response_Table!$K$4:$K$21,MATCH($F197&amp;"|low",Response_Table!$A$4:$A$21,0))*$R197*INDEX(Parameters!$X$11:$AA$11,1,MATCH($E197,Parameters!$X$3:$AA$3,0))),BC197*(1+INDEX(Response_Table!$K$4:$K$21,MATCH($F197&amp;"|high",Response_Table!$A$4:$A$21,0))*$R197*INDEX(Parameters!$X$11:$AA$11,1,MATCH($E197,Parameters!$X$3:$AA$3,0))))*(1+Inputs_General!$C$22*Parameters!$F$11)</f>
        <v>1.35559239820745</v>
      </c>
      <c r="BG197" s="45" t="n">
        <f aca="false">IF(BC197=0,0,BD197/BC197-1)</f>
        <v>-0.0623932811211415</v>
      </c>
      <c r="BH197" s="46" t="n">
        <f aca="false">Parameters!$E$12*IF($N197="V",Parameters!$I$12,IF($N197="F",Parameters!$J$12,Parameters!$K$12))*(1-Parameters!$L$12*$P197)*IF($D197="V1",Parameters!$M$12,IF($D197="V2",Parameters!$N$12,Parameters!$O$12))</f>
        <v>0.440325</v>
      </c>
      <c r="BI197" s="46" t="n">
        <f aca="false">BH197*(1+INDEX(Response_Table!$L$4:$L$21,MATCH($F197&amp;"|mid",Response_Table!$A$4:$A$21,0))*$R197*INDEX(Parameters!$X$12:$AA$12,1,MATCH($E197,Parameters!$X$3:$AA$3,0)))</f>
        <v>0.418363465896016</v>
      </c>
      <c r="BJ197" s="46" t="n">
        <f aca="false">MAX(0,MIN(BH197*(1+INDEX(Response_Table!$L$4:$L$21,MATCH($F197&amp;"|low",Response_Table!$A$4:$A$21,0))*$R197*INDEX(Parameters!$X$12:$AA$12,1,MATCH($E197,Parameters!$X$3:$AA$3,0))),BH197*(1+INDEX(Response_Table!$L$4:$L$21,MATCH($F197&amp;"|high",Response_Table!$A$4:$A$21,0))*$R197*INDEX(Parameters!$X$12:$AA$12,1,MATCH($E197,Parameters!$X$3:$AA$3,0))))*(1-Inputs_General!$C$22*Parameters!$F$12))</f>
        <v>0.331994257432185</v>
      </c>
      <c r="BK197" s="46" t="n">
        <f aca="false">MAX(BH197*(1+INDEX(Response_Table!$L$4:$L$21,MATCH($F197&amp;"|low",Response_Table!$A$4:$A$21,0))*$R197*INDEX(Parameters!$X$12:$AA$12,1,MATCH($E197,Parameters!$X$3:$AA$3,0))),BH197*(1+INDEX(Response_Table!$L$4:$L$21,MATCH($F197&amp;"|high",Response_Table!$A$4:$A$21,0))*$R197*INDEX(Parameters!$X$12:$AA$12,1,MATCH($E197,Parameters!$X$3:$AA$3,0))))*(1+Inputs_General!$C$22*Parameters!$F$12)</f>
        <v>0.506943270243015</v>
      </c>
      <c r="BL197" s="45" t="n">
        <f aca="false">IF(BH197=0,0,BI197/BH197-1)</f>
        <v>-0.0498757374756931</v>
      </c>
      <c r="BM197" s="46" t="n">
        <f aca="false">Parameters!$E$13*IF($N197="V",Parameters!$I$13,IF($N197="F",Parameters!$J$13,Parameters!$K$13))*(1-Parameters!$L$13*$P197)*IF($D197="V1",Parameters!$M$13,IF($D197="V2",Parameters!$N$13,Parameters!$O$13))</f>
        <v>0.29355</v>
      </c>
      <c r="BN197" s="46" t="n">
        <f aca="false">BM197*(1+INDEX(Response_Table!$M$4:$M$21,MATCH($F197&amp;"|mid",Response_Table!$A$4:$A$21,0))*$R197*INDEX(Parameters!$X$13:$AA$13,1,MATCH($E197,Parameters!$X$3:$AA$3,0)))</f>
        <v>0.295092437973104</v>
      </c>
      <c r="BO197" s="46" t="n">
        <f aca="false">MAX(0,MIN(BM197*(1+INDEX(Response_Table!$M$4:$M$21,MATCH($F197&amp;"|low",Response_Table!$A$4:$A$21,0))*$R197*INDEX(Parameters!$X$13:$AA$13,1,MATCH($E197,Parameters!$X$3:$AA$3,0))),BM197*(1+INDEX(Response_Table!$M$4:$M$21,MATCH($F197&amp;"|high",Response_Table!$A$4:$A$21,0))*$R197*INDEX(Parameters!$X$13:$AA$13,1,MATCH($E197,Parameters!$X$3:$AA$3,0))))*(1-Inputs_General!$C$22*Parameters!$F$13))</f>
        <v>0.235235476333029</v>
      </c>
      <c r="BP197" s="46" t="n">
        <f aca="false">MAX(BM197*(1+INDEX(Response_Table!$M$4:$M$21,MATCH($F197&amp;"|low",Response_Table!$A$4:$A$21,0))*$R197*INDEX(Parameters!$X$13:$AA$13,1,MATCH($E197,Parameters!$X$3:$AA$3,0))),BM197*(1+INDEX(Response_Table!$M$4:$M$21,MATCH($F197&amp;"|high",Response_Table!$A$4:$A$21,0))*$R197*INDEX(Parameters!$X$13:$AA$13,1,MATCH($E197,Parameters!$X$3:$AA$3,0))))*(1+Inputs_General!$C$22*Parameters!$F$13)</f>
        <v>0.355024906782999</v>
      </c>
      <c r="BQ197" s="45" t="n">
        <f aca="false">IF(BM197=0,0,BN197/BM197-1)</f>
        <v>0.00525443015875982</v>
      </c>
      <c r="BR197" s="44" t="n">
        <f aca="false">Parameters!$E$14*IF($N197="V",Parameters!$I$14,IF($N197="F",Parameters!$J$14,Parameters!$K$14))*(1-Parameters!$L$14*$P197)*IF($D197="V1",Parameters!$M$14,IF($D197="V2",Parameters!$N$14,Parameters!$O$14))*INDEX(Context!$AC$4:$AC$51,$K197)</f>
        <v>19.8</v>
      </c>
      <c r="BS197" s="44" t="n">
        <f aca="false">BR197*(1+INDEX(Response_Table!$N$4:$N$21,MATCH($F197&amp;"|mid",Response_Table!$A$4:$A$21,0))*$R197*INDEX(Parameters!$X$14:$AA$14,1,MATCH($E197,Parameters!$X$3:$AA$3,0)))</f>
        <v>20.877315929475</v>
      </c>
      <c r="BT197" s="44" t="n">
        <f aca="false">MAX(0,MIN(BR197*(1+INDEX(Response_Table!$N$4:$N$21,MATCH($F197&amp;"|low",Response_Table!$A$4:$A$21,0))*$R197*INDEX(Parameters!$X$14:$AA$14,1,MATCH($E197,Parameters!$X$3:$AA$3,0))),BR197*(1+INDEX(Response_Table!$N$4:$N$21,MATCH($F197&amp;"|high",Response_Table!$A$4:$A$21,0))*$R197*INDEX(Parameters!$X$14:$AA$14,1,MATCH($E197,Parameters!$X$3:$AA$3,0))))*(1-Inputs_General!$C$22*Parameters!$F$14))</f>
        <v>10.449966535859</v>
      </c>
      <c r="BU197" s="44" t="n">
        <f aca="false">MAX(BR197*(1+INDEX(Response_Table!$N$4:$N$21,MATCH($F197&amp;"|low",Response_Table!$A$4:$A$21,0))*$R197*INDEX(Parameters!$X$14:$AA$14,1,MATCH($E197,Parameters!$X$3:$AA$3,0))),BR197*(1+INDEX(Response_Table!$N$4:$N$21,MATCH($F197&amp;"|high",Response_Table!$A$4:$A$21,0))*$R197*INDEX(Parameters!$X$14:$AA$14,1,MATCH($E197,Parameters!$X$3:$AA$3,0))))*(1+Inputs_General!$C$22*Parameters!$F$14)</f>
        <v>31.5257072484425</v>
      </c>
      <c r="BV197" s="45" t="n">
        <f aca="false">IF(BR197=0,0,BS197/BR197-1)</f>
        <v>0.0544098954280288</v>
      </c>
      <c r="BW197" s="43" t="n">
        <f aca="false">Parameters!$E$15*IF($N197="V",Parameters!$I$15,IF($N197="F",Parameters!$J$15,Parameters!$K$15))*(1-Parameters!$L$15*$P197)*IF($D197="V1",Parameters!$M$15,IF($D197="V2",Parameters!$N$15,Parameters!$O$15))</f>
        <v>10.8</v>
      </c>
      <c r="BX197" s="43" t="n">
        <f aca="false">BW197*(1+INDEX(Response_Table!$O$4:$O$21,MATCH($F197&amp;"|mid",Response_Table!$A$4:$A$21,0))*$R197*INDEX(Parameters!$X$15:$AA$15,1,MATCH($E197,Parameters!$X$3:$AA$3,0)))</f>
        <v>10.6530932823443</v>
      </c>
      <c r="BY197" s="43" t="n">
        <f aca="false">MAX(0,MIN(BW197*(1+INDEX(Response_Table!$O$4:$O$21,MATCH($F197&amp;"|low",Response_Table!$A$4:$A$21,0))*$R197*INDEX(Parameters!$X$15:$AA$15,1,MATCH($E197,Parameters!$X$3:$AA$3,0))),BW197*(1+INDEX(Response_Table!$O$4:$O$21,MATCH($F197&amp;"|high",Response_Table!$A$4:$A$21,0))*$R197*INDEX(Parameters!$X$15:$AA$15,1,MATCH($E197,Parameters!$X$3:$AA$3,0))))*(1-Inputs_General!$C$22*Parameters!$F$15))</f>
        <v>8.52485871464833</v>
      </c>
      <c r="BZ197" s="43" t="n">
        <f aca="false">MAX(BW197*(1+INDEX(Response_Table!$O$4:$O$21,MATCH($F197&amp;"|low",Response_Table!$A$4:$A$21,0))*$R197*INDEX(Parameters!$X$15:$AA$15,1,MATCH($E197,Parameters!$X$3:$AA$3,0))),BW197*(1+INDEX(Response_Table!$O$4:$O$21,MATCH($F197&amp;"|high",Response_Table!$A$4:$A$21,0))*$R197*INDEX(Parameters!$X$15:$AA$15,1,MATCH($E197,Parameters!$X$3:$AA$3,0))))*(1+Inputs_General!$C$22*Parameters!$F$15)</f>
        <v>12.7961151314625</v>
      </c>
      <c r="CA197" s="45" t="n">
        <f aca="false">IF(BW197=0,0,BX197/BW197-1)</f>
        <v>-0.0136024738570073</v>
      </c>
      <c r="CB197" s="46" t="n">
        <f aca="false">BD197+BI197</f>
        <v>1.56517368392472</v>
      </c>
      <c r="CC197" s="43" t="n">
        <f aca="false">BD197/BI197</f>
        <v>2.74118155984907</v>
      </c>
      <c r="CD197" s="46" t="n">
        <f aca="false">BN197/CB197</f>
        <v>0.188536544540636</v>
      </c>
      <c r="CE197" s="43" t="n">
        <f aca="false">AE197/AO197</f>
        <v>4.09670925318066</v>
      </c>
      <c r="CF197" s="44" t="n">
        <f aca="false">AE197/AJ197</f>
        <v>39.4632190530423</v>
      </c>
      <c r="CG197" s="44" t="n">
        <f aca="false">INDEX(Context!$V$4:$V$51,$K197)</f>
        <v>22.6257142857143</v>
      </c>
      <c r="CH197" s="44" t="n">
        <f aca="false">INDEX(Context!$Y$4:$Y$51,$K197)</f>
        <v>21.3177449518561</v>
      </c>
      <c r="CI197" s="44" t="n">
        <f aca="false">INDEX(Context!$Z$4:$Z$51,$K197)</f>
        <v>26.6257142857143</v>
      </c>
      <c r="CJ197" s="43" t="n">
        <f aca="false">INDEX(Context!$AA$4:$AA$51,$K197)</f>
        <v>0.12</v>
      </c>
      <c r="CK197" s="43" t="n">
        <f aca="false">MAX(0,MIN(1,1-(1-CJ197)*AO197/AN197))</f>
        <v>0.187053091702744</v>
      </c>
      <c r="CL197" s="44" t="n">
        <f aca="false">CH197+CK197*(CI197-CH197)</f>
        <v>22.3106170264176</v>
      </c>
      <c r="CM197" s="44" t="n">
        <f aca="false">CH197+MAX(0,MIN(1,1-(1-CJ197)*AQ197/AN197))*(CI197-CH197)</f>
        <v>21.3177449518561</v>
      </c>
      <c r="CN197" s="44" t="n">
        <f aca="false">CH197+MAX(0,MIN(1,1-(1-CJ197)*AP197/AN197))*(CI197-CH197)</f>
        <v>23.6707785977481</v>
      </c>
      <c r="CO197" s="44" t="n">
        <f aca="false">CL197-CG197</f>
        <v>-0.315097259296699</v>
      </c>
      <c r="CP197" s="44" t="n">
        <f aca="false">CL197-(CH197+CJ197*(CI197-CH197))</f>
        <v>0.35591575449855</v>
      </c>
      <c r="CQ197" s="46" t="n">
        <f aca="false">CL197/CG197</f>
        <v>0.986073488981709</v>
      </c>
      <c r="CR197" s="43" t="n">
        <f aca="false">IF(CL197-CH197&lt;=0,"n/a",(CI197-CL197)/(CL197-CH197))</f>
        <v>4.34607576328731</v>
      </c>
      <c r="CS197" s="43" t="n">
        <f aca="false">IF(CI197-CL197&lt;=0,"n/a",(CL197-CH197)/(CI197-CL197))</f>
        <v>0.230092629412335</v>
      </c>
      <c r="CT197" s="43" t="n">
        <f aca="false">Inputs_General!$C$23+Inputs_General!$C$24*$I197</f>
        <v>0.76</v>
      </c>
      <c r="CU197" s="44" t="n">
        <f aca="false">3.29*CT197</f>
        <v>2.5004</v>
      </c>
    </row>
    <row r="198" customFormat="false" ht="15" hidden="false" customHeight="false" outlineLevel="0" collapsed="false">
      <c r="A198" s="9" t="str">
        <f aca="false">B198&amp;"|"&amp;E198&amp;"|"&amp;F198</f>
        <v>D3V3|11/02/2026|Moderate</v>
      </c>
      <c r="B198" s="7" t="s">
        <v>351</v>
      </c>
      <c r="C198" s="9" t="s">
        <v>131</v>
      </c>
      <c r="D198" s="9" t="s">
        <v>150</v>
      </c>
      <c r="E198" s="9" t="s">
        <v>158</v>
      </c>
      <c r="F198" s="7" t="s">
        <v>281</v>
      </c>
      <c r="G198" s="9" t="s">
        <v>282</v>
      </c>
      <c r="H198" s="41" t="n">
        <f aca="false">INDEX(Severity_Classes!$C$4:$C$9,MATCH(F198,Severity_Classes!$A$4:$A$9,0))</f>
        <v>0.11</v>
      </c>
      <c r="I198" s="41" t="n">
        <f aca="false">INDEX(Severity_Classes!$D$4:$D$9,MATCH(F198,Severity_Classes!$A$4:$A$9,0))</f>
        <v>0.18</v>
      </c>
      <c r="J198" s="41" t="n">
        <f aca="false">INDEX(Severity_Classes!$E$4:$E$9,MATCH(F198,Severity_Classes!$A$4:$A$9,0))</f>
        <v>0.25</v>
      </c>
      <c r="K198" s="42" t="n">
        <f aca="false">MATCH(B198&amp;"|"&amp;E198,Context!$A$4:$A$51,0)</f>
        <v>33</v>
      </c>
      <c r="L198" s="42" t="n">
        <f aca="false">INDEX(Context!$H$4:$H$51,K198)</f>
        <v>46</v>
      </c>
      <c r="M198" s="42" t="n">
        <f aca="false">INDEX(Context!$I$4:$I$51,K198)</f>
        <v>6</v>
      </c>
      <c r="N198" s="9" t="str">
        <f aca="false">INDEX(Context!$L$4:$L$51,K198)</f>
        <v>V</v>
      </c>
      <c r="O198" s="9" t="str">
        <f aca="false">INDEX(Context!$M$4:$M$51,K198)</f>
        <v>3rd fully expanded leaf from top</v>
      </c>
      <c r="P198" s="43" t="n">
        <f aca="false">INDEX(Context!$R$4:$R$51,K198)</f>
        <v>0</v>
      </c>
      <c r="Q198" s="43" t="n">
        <f aca="false">INDEX(Context!$U$4:$U$51,K198)</f>
        <v>0.937791824040773</v>
      </c>
      <c r="R198" s="43" t="n">
        <f aca="false">INDEX(Context!$AD$4:$AD$51,K198)</f>
        <v>0.85</v>
      </c>
      <c r="S198" s="9" t="str">
        <f aca="false">INDEX(Context!$AI$4:$AN$51,K198,MATCH(F198,Severity_Classes!$A$4:$A$9,0))</f>
        <v>Unlikely (only via pre-inoculation natural infection)</v>
      </c>
      <c r="T198" s="44" t="n">
        <f aca="false">Parameters!$E$4*IF($N198="V",Parameters!$I$4,IF($N198="F",Parameters!$J$4,Parameters!$K$4))*(1-Parameters!$L$4*$P198)*IF($D198="V1",Parameters!$M$4,IF($D198="V2",Parameters!$N$4,Parameters!$O$4))</f>
        <v>86</v>
      </c>
      <c r="U198" s="44" t="n">
        <f aca="false">MIN(100,T198*(1+INDEX(Response_Table!$E$4:$E$21,MATCH($F198&amp;"|mid",Response_Table!$A$4:$A$21,0))*$R198*INDEX(Parameters!$X$4:$AA$4,1,MATCH($E198,Parameters!$X$3:$AA$3,0))))</f>
        <v>84.3373431816016</v>
      </c>
      <c r="V198" s="44" t="n">
        <f aca="false">MAX(0,MIN(T198*(1+INDEX(Response_Table!$E$4:$E$21,MATCH($F198&amp;"|low",Response_Table!$A$4:$A$21,0))*$R198*INDEX(Parameters!$X$4:$AA$4,1,MATCH($E198,Parameters!$X$3:$AA$3,0))),T198*(1+INDEX(Response_Table!$E$4:$E$21,MATCH($F198&amp;"|high",Response_Table!$A$4:$A$21,0))*$R198*INDEX(Parameters!$X$4:$AA$4,1,MATCH($E198,Parameters!$X$3:$AA$3,0))))*(1-Inputs_General!$C$22*Parameters!$F$4))</f>
        <v>77.6244159535121</v>
      </c>
      <c r="W198" s="44" t="n">
        <f aca="false">MIN(100,MAX(T198*(1+INDEX(Response_Table!$E$4:$E$21,MATCH($F198&amp;"|low",Response_Table!$A$4:$A$21,0))*$R198*INDEX(Parameters!$X$4:$AA$4,1,MATCH($E198,Parameters!$X$3:$AA$3,0))),T198*(1+INDEX(Response_Table!$E$4:$E$21,MATCH($F198&amp;"|high",Response_Table!$A$4:$A$21,0))*$R198*INDEX(Parameters!$X$4:$AA$4,1,MATCH($E198,Parameters!$X$3:$AA$3,0))))*(1+Inputs_General!$C$22*Parameters!$F$4))</f>
        <v>90.8227518044298</v>
      </c>
      <c r="X198" s="45" t="n">
        <f aca="false">IF(T198=0,0,U198/T198-1)</f>
        <v>-0.019333218818586</v>
      </c>
      <c r="Y198" s="44" t="n">
        <f aca="false">Parameters!$E$5*IF($N198="V",Parameters!$I$5,IF($N198="F",Parameters!$J$5,Parameters!$K$5))*(1-Parameters!$L$5*$P198)*IF($D198="V1",Parameters!$M$5,IF($D198="V2",Parameters!$N$5,Parameters!$O$5))</f>
        <v>72</v>
      </c>
      <c r="Z198" s="44" t="n">
        <f aca="false">MIN(100,Y198*(1+INDEX(Response_Table!$F$4:$F$21,MATCH($F198&amp;"|mid",Response_Table!$A$4:$A$21,0))*$R198*INDEX(Parameters!$X$5:$AA$5,1,MATCH($E198,Parameters!$X$3:$AA$3,0))))</f>
        <v>67.1915162327264</v>
      </c>
      <c r="AA198" s="44" t="n">
        <f aca="false">MAX(0,MIN(Y198*(1+INDEX(Response_Table!$F$4:$F$21,MATCH($F198&amp;"|low",Response_Table!$A$4:$A$21,0))*$R198*INDEX(Parameters!$X$5:$AA$5,1,MATCH($E198,Parameters!$X$3:$AA$3,0))),Y198*(1+INDEX(Response_Table!$F$4:$F$21,MATCH($F198&amp;"|high",Response_Table!$A$4:$A$21,0))*$R198*INDEX(Parameters!$X$5:$AA$5,1,MATCH($E198,Parameters!$X$3:$AA$3,0))))*(1-Inputs_General!$C$22*Parameters!$F$5))</f>
        <v>56.3054828108666</v>
      </c>
      <c r="AB198" s="44" t="n">
        <f aca="false">MIN(100,MAX(Y198*(1+INDEX(Response_Table!$F$4:$F$21,MATCH($F198&amp;"|low",Response_Table!$A$4:$A$21,0))*$R198*INDEX(Parameters!$X$5:$AA$5,1,MATCH($E198,Parameters!$X$3:$AA$3,0))),Y198*(1+INDEX(Response_Table!$F$4:$F$21,MATCH($F198&amp;"|high",Response_Table!$A$4:$A$21,0))*$R198*INDEX(Parameters!$X$5:$AA$5,1,MATCH($E198,Parameters!$X$3:$AA$3,0))))*(1+Inputs_General!$C$22*Parameters!$F$5))</f>
        <v>77.8293367585339</v>
      </c>
      <c r="AC198" s="45" t="n">
        <f aca="false">IF(Y198=0,0,Z198/Y198-1)</f>
        <v>-0.0667844967676885</v>
      </c>
      <c r="AD198" s="44" t="n">
        <f aca="false">Parameters!$E$6*IF($N198="V",Parameters!$I$6,IF($N198="F",Parameters!$J$6,Parameters!$K$6))*(1-Parameters!$L$6*$P198)*IF($D198="V1",Parameters!$M$6,IF($D198="V2",Parameters!$N$6,Parameters!$O$6))</f>
        <v>19.57</v>
      </c>
      <c r="AE198" s="44" t="n">
        <f aca="false">AD198*(1+INDEX(Response_Table!$G$4:$G$21,MATCH($F198&amp;"|mid",Response_Table!$A$4:$A$21,0))*$R198*INDEX(Parameters!$X$6:$AA$6,1,MATCH($E198,Parameters!$X$3:$AA$3,0)))</f>
        <v>14.109938424119</v>
      </c>
      <c r="AF198" s="44" t="n">
        <f aca="false">MAX(0,MIN(AD198*(1+INDEX(Response_Table!$G$4:$G$21,MATCH($F198&amp;"|low",Response_Table!$A$4:$A$21,0))*$R198*INDEX(Parameters!$X$6:$AA$6,1,MATCH($E198,Parameters!$X$3:$AA$3,0))),AD198*(1+INDEX(Response_Table!$G$4:$G$21,MATCH($F198&amp;"|high",Response_Table!$A$4:$A$21,0))*$R198*INDEX(Parameters!$X$6:$AA$6,1,MATCH($E198,Parameters!$X$3:$AA$3,0))))*(1-Inputs_General!$C$22*Parameters!$F$6))</f>
        <v>10.3628392647575</v>
      </c>
      <c r="AG198" s="44" t="n">
        <f aca="false">MAX(AD198*(1+INDEX(Response_Table!$G$4:$G$21,MATCH($F198&amp;"|low",Response_Table!$A$4:$A$21,0))*$R198*INDEX(Parameters!$X$6:$AA$6,1,MATCH($E198,Parameters!$X$3:$AA$3,0))),AD198*(1+INDEX(Response_Table!$G$4:$G$21,MATCH($F198&amp;"|high",Response_Table!$A$4:$A$21,0))*$R198*INDEX(Parameters!$X$6:$AA$6,1,MATCH($E198,Parameters!$X$3:$AA$3,0))))*(1+Inputs_General!$C$22*Parameters!$F$6)</f>
        <v>18.8477192125379</v>
      </c>
      <c r="AH198" s="45" t="n">
        <f aca="false">IF(AD198=0,0,AE198/AD198-1)</f>
        <v>-0.279001613483956</v>
      </c>
      <c r="AI198" s="46" t="n">
        <f aca="false">Parameters!$E$7*IF($N198="V",Parameters!$I$7,IF($N198="F",Parameters!$J$7,Parameters!$K$7))*(1-Parameters!$L$7*$P198)*IF($D198="V1",Parameters!$M$7,IF($D198="V2",Parameters!$N$7,Parameters!$O$7))*POWER($Q198/Inputs_General!$C$26,-Inputs_General!$C$25)</f>
        <v>0.464685683730118</v>
      </c>
      <c r="AJ198" s="46" t="n">
        <f aca="false">AI198*(1+INDEX(Response_Table!$H$4:$H$21,MATCH($F198&amp;"|mid",Response_Table!$A$4:$A$21,0))*$R198*INDEX(Parameters!$X$7:$AA$7,1,MATCH($E198,Parameters!$X$3:$AA$3,0)))</f>
        <v>0.378985899904253</v>
      </c>
      <c r="AK198" s="46" t="n">
        <f aca="false">MAX(0,MIN(AI198*(1+INDEX(Response_Table!$H$4:$H$21,MATCH($F198&amp;"|low",Response_Table!$A$4:$A$21,0))*$R198*INDEX(Parameters!$X$7:$AA$7,1,MATCH($E198,Parameters!$X$3:$AA$3,0))),AI198*(1+INDEX(Response_Table!$H$4:$H$21,MATCH($F198&amp;"|high",Response_Table!$A$4:$A$21,0))*$R198*INDEX(Parameters!$X$7:$AA$7,1,MATCH($E198,Parameters!$X$3:$AA$3,0))))*(1-Inputs_General!$C$22*Parameters!$F$7))</f>
        <v>0.250809765473722</v>
      </c>
      <c r="AL198" s="46" t="n">
        <f aca="false">MAX(AI198*(1+INDEX(Response_Table!$H$4:$H$21,MATCH($F198&amp;"|low",Response_Table!$A$4:$A$21,0))*$R198*INDEX(Parameters!$X$7:$AA$7,1,MATCH($E198,Parameters!$X$3:$AA$3,0))),AI198*(1+INDEX(Response_Table!$H$4:$H$21,MATCH($F198&amp;"|high",Response_Table!$A$4:$A$21,0))*$R198*INDEX(Parameters!$X$7:$AA$7,1,MATCH($E198,Parameters!$X$3:$AA$3,0))))*(1+Inputs_General!$C$22*Parameters!$F$7)</f>
        <v>0.527454541358391</v>
      </c>
      <c r="AM198" s="45" t="n">
        <f aca="false">IF(AI198=0,0,AJ198/AI198-1)</f>
        <v>-0.184425272450697</v>
      </c>
      <c r="AN198" s="43" t="n">
        <f aca="false">AI198*$Q198/Inputs_General!$C$13*1000</f>
        <v>4.38850387664553</v>
      </c>
      <c r="AO198" s="43" t="n">
        <f aca="false">AJ198*$Q198/Inputs_General!$C$13*1000*(1+Inputs_General!$C$21*$I198)</f>
        <v>3.74021473195373</v>
      </c>
      <c r="AP198" s="43" t="n">
        <f aca="false">AK198*$Q198/Inputs_General!$C$13*1000*(1+Inputs_General!$C$21*$H198)</f>
        <v>2.43379203933272</v>
      </c>
      <c r="AQ198" s="43" t="n">
        <f aca="false">AL198*$Q198/Inputs_General!$C$13*1000*(1+Inputs_General!$C$21*$J198)</f>
        <v>5.29262554095183</v>
      </c>
      <c r="AR198" s="45" t="n">
        <f aca="false">IF(AN198=0,0,AO198/AN198-1)</f>
        <v>-0.147724409710978</v>
      </c>
      <c r="AS198" s="42" t="n">
        <f aca="false">Parameters!$E$9*IF($N198="V",Parameters!$I$9,IF($N198="F",Parameters!$J$9,Parameters!$K$9))*(1-Parameters!$L$9*$P198)*IF($D198="V1",Parameters!$M$9,IF($D198="V2",Parameters!$N$9,Parameters!$O$9))</f>
        <v>285</v>
      </c>
      <c r="AT198" s="42" t="n">
        <f aca="false">AS198*(1+INDEX(Response_Table!$I$4:$I$21,MATCH($F198&amp;"|mid",Response_Table!$A$4:$A$21,0))*$R198*INDEX(Parameters!$X$9:$AA$9,1,MATCH($E198,Parameters!$X$3:$AA$3,0)))</f>
        <v>314.840223838487</v>
      </c>
      <c r="AU198" s="42" t="n">
        <f aca="false">MAX(0,MIN(AS198*(1+INDEX(Response_Table!$I$4:$I$21,MATCH($F198&amp;"|low",Response_Table!$A$4:$A$21,0))*$R198*INDEX(Parameters!$X$9:$AA$9,1,MATCH($E198,Parameters!$X$3:$AA$3,0))),AS198*(1+INDEX(Response_Table!$I$4:$I$21,MATCH($F198&amp;"|high",Response_Table!$A$4:$A$21,0))*$R198*INDEX(Parameters!$X$9:$AA$9,1,MATCH($E198,Parameters!$X$3:$AA$3,0))))*(1-Inputs_General!$C$22*Parameters!$F$9))</f>
        <v>275.523554669625</v>
      </c>
      <c r="AV198" s="42" t="n">
        <f aca="false">MAX(AS198*(1+INDEX(Response_Table!$I$4:$I$21,MATCH($F198&amp;"|low",Response_Table!$A$4:$A$21,0))*$R198*INDEX(Parameters!$X$9:$AA$9,1,MATCH($E198,Parameters!$X$3:$AA$3,0))),AS198*(1+INDEX(Response_Table!$I$4:$I$21,MATCH($F198&amp;"|high",Response_Table!$A$4:$A$21,0))*$R198*INDEX(Parameters!$X$9:$AA$9,1,MATCH($E198,Parameters!$X$3:$AA$3,0))))*(1+Inputs_General!$C$22*Parameters!$F$9)</f>
        <v>353.508361283244</v>
      </c>
      <c r="AW198" s="45" t="n">
        <f aca="false">IF(AS198=0,0,AT198/AS198-1)</f>
        <v>0.104702539784166</v>
      </c>
      <c r="AX198" s="43" t="n">
        <f aca="false">INDEX(Context!$AB$4:$AB$51,$K198)</f>
        <v>1.09384586130271</v>
      </c>
      <c r="AY198" s="43" t="n">
        <f aca="false">AX198*(1+INDEX(Response_Table!$J$4:$J$21,MATCH($F198&amp;"|mid",Response_Table!$A$4:$A$21,0))*$R198*INDEX(Parameters!$X$10:$AA$10,1,MATCH($E198,Parameters!$X$3:$AA$3,0)))</f>
        <v>1.01803838776524</v>
      </c>
      <c r="AZ198" s="43" t="n">
        <f aca="false">MAX(0,MIN(AX198*(1+INDEX(Response_Table!$J$4:$J$21,MATCH($F198&amp;"|low",Response_Table!$A$4:$A$21,0))*$R198*INDEX(Parameters!$X$10:$AA$10,1,MATCH($E198,Parameters!$X$3:$AA$3,0))),AX198*(1+INDEX(Response_Table!$J$4:$J$21,MATCH($F198&amp;"|high",Response_Table!$A$4:$A$21,0))*$R198*INDEX(Parameters!$X$10:$AA$10,1,MATCH($E198,Parameters!$X$3:$AA$3,0))))*(1-Inputs_General!$C$22*Parameters!$F$10))</f>
        <v>0.799889998529707</v>
      </c>
      <c r="BA198" s="43" t="n">
        <f aca="false">MAX(AX198*(1+INDEX(Response_Table!$J$4:$J$21,MATCH($F198&amp;"|low",Response_Table!$A$4:$A$21,0))*$R198*INDEX(Parameters!$X$10:$AA$10,1,MATCH($E198,Parameters!$X$3:$AA$3,0))),AX198*(1+INDEX(Response_Table!$J$4:$J$21,MATCH($F198&amp;"|high",Response_Table!$A$4:$A$21,0))*$R198*INDEX(Parameters!$X$10:$AA$10,1,MATCH($E198,Parameters!$X$3:$AA$3,0))))*(1+Inputs_General!$C$22*Parameters!$F$10)</f>
        <v>1.24954536340746</v>
      </c>
      <c r="BB198" s="45" t="n">
        <f aca="false">IF(AX198=0,0,AY198/AX198-1)</f>
        <v>-0.0693036160023358</v>
      </c>
      <c r="BC198" s="46" t="n">
        <f aca="false">Parameters!$E$11*IF($N198="V",Parameters!$I$11,IF($N198="F",Parameters!$J$11,Parameters!$K$11))*(1-Parameters!$L$11*$P198)*IF($D198="V1",Parameters!$M$11,IF($D198="V2",Parameters!$N$11,Parameters!$O$11))</f>
        <v>1.223125</v>
      </c>
      <c r="BD198" s="46" t="n">
        <f aca="false">BC198*(1+INDEX(Response_Table!$K$4:$K$21,MATCH($F198&amp;"|mid",Response_Table!$A$4:$A$21,0))*$R198*INDEX(Parameters!$X$11:$AA$11,1,MATCH($E198,Parameters!$X$3:$AA$3,0)))</f>
        <v>1.07517806337523</v>
      </c>
      <c r="BE198" s="46" t="n">
        <f aca="false">MAX(0,MIN(BC198*(1+INDEX(Response_Table!$K$4:$K$21,MATCH($F198&amp;"|low",Response_Table!$A$4:$A$21,0))*$R198*INDEX(Parameters!$X$11:$AA$11,1,MATCH($E198,Parameters!$X$3:$AA$3,0))),BC198*(1+INDEX(Response_Table!$K$4:$K$21,MATCH($F198&amp;"|high",Response_Table!$A$4:$A$21,0))*$R198*INDEX(Parameters!$X$11:$AA$11,1,MATCH($E198,Parameters!$X$3:$AA$3,0))))*(1-Inputs_General!$C$22*Parameters!$F$11))</f>
        <v>0.866463387831504</v>
      </c>
      <c r="BF198" s="46" t="n">
        <f aca="false">MAX(BC198*(1+INDEX(Response_Table!$K$4:$K$21,MATCH($F198&amp;"|low",Response_Table!$A$4:$A$21,0))*$R198*INDEX(Parameters!$X$11:$AA$11,1,MATCH($E198,Parameters!$X$3:$AA$3,0))),BC198*(1+INDEX(Response_Table!$K$4:$K$21,MATCH($F198&amp;"|high",Response_Table!$A$4:$A$21,0))*$R198*INDEX(Parameters!$X$11:$AA$11,1,MATCH($E198,Parameters!$X$3:$AA$3,0))))*(1+Inputs_General!$C$22*Parameters!$F$11)</f>
        <v>1.30757842400299</v>
      </c>
      <c r="BG198" s="45" t="n">
        <f aca="false">IF(BC198=0,0,BD198/BC198-1)</f>
        <v>-0.120958149514378</v>
      </c>
      <c r="BH198" s="46" t="n">
        <f aca="false">Parameters!$E$12*IF($N198="V",Parameters!$I$12,IF($N198="F",Parameters!$J$12,Parameters!$K$12))*(1-Parameters!$L$12*$P198)*IF($D198="V1",Parameters!$M$12,IF($D198="V2",Parameters!$N$12,Parameters!$O$12))</f>
        <v>0.440325</v>
      </c>
      <c r="BI198" s="46" t="n">
        <f aca="false">BH198*(1+INDEX(Response_Table!$L$4:$L$21,MATCH($F198&amp;"|mid",Response_Table!$A$4:$A$21,0))*$R198*INDEX(Parameters!$X$12:$AA$12,1,MATCH($E198,Parameters!$X$3:$AA$3,0)))</f>
        <v>0.397378959662962</v>
      </c>
      <c r="BJ198" s="46" t="n">
        <f aca="false">MAX(0,MIN(BH198*(1+INDEX(Response_Table!$L$4:$L$21,MATCH($F198&amp;"|low",Response_Table!$A$4:$A$21,0))*$R198*INDEX(Parameters!$X$12:$AA$12,1,MATCH($E198,Parameters!$X$3:$AA$3,0))),BH198*(1+INDEX(Response_Table!$L$4:$L$21,MATCH($F198&amp;"|high",Response_Table!$A$4:$A$21,0))*$R198*INDEX(Parameters!$X$12:$AA$12,1,MATCH($E198,Parameters!$X$3:$AA$3,0))))*(1-Inputs_General!$C$22*Parameters!$F$12))</f>
        <v>0.309817899359143</v>
      </c>
      <c r="BK198" s="46" t="n">
        <f aca="false">MAX(BH198*(1+INDEX(Response_Table!$L$4:$L$21,MATCH($F198&amp;"|low",Response_Table!$A$4:$A$21,0))*$R198*INDEX(Parameters!$X$12:$AA$12,1,MATCH($E198,Parameters!$X$3:$AA$3,0))),BH198*(1+INDEX(Response_Table!$L$4:$L$21,MATCH($F198&amp;"|high",Response_Table!$A$4:$A$21,0))*$R198*INDEX(Parameters!$X$12:$AA$12,1,MATCH($E198,Parameters!$X$3:$AA$3,0))))*(1+Inputs_General!$C$22*Parameters!$F$12)</f>
        <v>0.492604316687293</v>
      </c>
      <c r="BL198" s="45" t="n">
        <f aca="false">IF(BH198=0,0,BI198/BH198-1)</f>
        <v>-0.0975325960075799</v>
      </c>
      <c r="BM198" s="46" t="n">
        <f aca="false">Parameters!$E$13*IF($N198="V",Parameters!$I$13,IF($N198="F",Parameters!$J$13,Parameters!$K$13))*(1-Parameters!$L$13*$P198)*IF($D198="V1",Parameters!$M$13,IF($D198="V2",Parameters!$N$13,Parameters!$O$13))</f>
        <v>0.29355</v>
      </c>
      <c r="BN198" s="46" t="n">
        <f aca="false">BM198*(1+INDEX(Response_Table!$M$4:$M$21,MATCH($F198&amp;"|mid",Response_Table!$A$4:$A$21,0))*$R198*INDEX(Parameters!$X$13:$AA$13,1,MATCH($E198,Parameters!$X$3:$AA$3,0)))</f>
        <v>0.282818066994716</v>
      </c>
      <c r="BO198" s="46" t="n">
        <f aca="false">MAX(0,MIN(BM198*(1+INDEX(Response_Table!$M$4:$M$21,MATCH($F198&amp;"|low",Response_Table!$A$4:$A$21,0))*$R198*INDEX(Parameters!$X$13:$AA$13,1,MATCH($E198,Parameters!$X$3:$AA$3,0))),BM198*(1+INDEX(Response_Table!$M$4:$M$21,MATCH($F198&amp;"|high",Response_Table!$A$4:$A$21,0))*$R198*INDEX(Parameters!$X$13:$AA$13,1,MATCH($E198,Parameters!$X$3:$AA$3,0))))*(1-Inputs_General!$C$22*Parameters!$F$13))</f>
        <v>0.220055747756255</v>
      </c>
      <c r="BP198" s="46" t="n">
        <f aca="false">MAX(BM198*(1+INDEX(Response_Table!$M$4:$M$21,MATCH($F198&amp;"|low",Response_Table!$A$4:$A$21,0))*$R198*INDEX(Parameters!$X$13:$AA$13,1,MATCH($E198,Parameters!$X$3:$AA$3,0))),BM198*(1+INDEX(Response_Table!$M$4:$M$21,MATCH($F198&amp;"|high",Response_Table!$A$4:$A$21,0))*$R198*INDEX(Parameters!$X$13:$AA$13,1,MATCH($E198,Parameters!$X$3:$AA$3,0))))*(1+Inputs_General!$C$22*Parameters!$F$13)</f>
        <v>0.349569929374044</v>
      </c>
      <c r="BQ198" s="45" t="n">
        <f aca="false">IF(BM198=0,0,BN198/BM198-1)</f>
        <v>-0.0365591313414543</v>
      </c>
      <c r="BR198" s="44" t="n">
        <f aca="false">Parameters!$E$14*IF($N198="V",Parameters!$I$14,IF($N198="F",Parameters!$J$14,Parameters!$K$14))*(1-Parameters!$L$14*$P198)*IF($D198="V1",Parameters!$M$14,IF($D198="V2",Parameters!$N$14,Parameters!$O$14))*INDEX(Context!$AC$4:$AC$51,$K198)</f>
        <v>19.8</v>
      </c>
      <c r="BS198" s="44" t="n">
        <f aca="false">BR198*(1+INDEX(Response_Table!$N$4:$N$21,MATCH($F198&amp;"|mid",Response_Table!$A$4:$A$21,0))*$R198*INDEX(Parameters!$X$14:$AA$14,1,MATCH($E198,Parameters!$X$3:$AA$3,0)))</f>
        <v>21.9067040737637</v>
      </c>
      <c r="BT198" s="44" t="n">
        <f aca="false">MAX(0,MIN(BR198*(1+INDEX(Response_Table!$N$4:$N$21,MATCH($F198&amp;"|low",Response_Table!$A$4:$A$21,0))*$R198*INDEX(Parameters!$X$14:$AA$14,1,MATCH($E198,Parameters!$X$3:$AA$3,0))),BR198*(1+INDEX(Response_Table!$N$4:$N$21,MATCH($F198&amp;"|high",Response_Table!$A$4:$A$21,0))*$R198*INDEX(Parameters!$X$14:$AA$14,1,MATCH($E198,Parameters!$X$3:$AA$3,0))))*(1-Inputs_General!$C$22*Parameters!$F$14))</f>
        <v>10.7475015364055</v>
      </c>
      <c r="BU198" s="44" t="n">
        <f aca="false">MAX(BR198*(1+INDEX(Response_Table!$N$4:$N$21,MATCH($F198&amp;"|low",Response_Table!$A$4:$A$21,0))*$R198*INDEX(Parameters!$X$14:$AA$14,1,MATCH($E198,Parameters!$X$3:$AA$3,0))),BR198*(1+INDEX(Response_Table!$N$4:$N$21,MATCH($F198&amp;"|high",Response_Table!$A$4:$A$21,0))*$R198*INDEX(Parameters!$X$14:$AA$14,1,MATCH($E198,Parameters!$X$3:$AA$3,0))))*(1+Inputs_General!$C$22*Parameters!$F$14)</f>
        <v>33.5500157745271</v>
      </c>
      <c r="BV198" s="45" t="n">
        <f aca="false">IF(BR198=0,0,BS198/BR198-1)</f>
        <v>0.106399195644633</v>
      </c>
      <c r="BW198" s="43" t="n">
        <f aca="false">Parameters!$E$15*IF($N198="V",Parameters!$I$15,IF($N198="F",Parameters!$J$15,Parameters!$K$15))*(1-Parameters!$L$15*$P198)*IF($D198="V1",Parameters!$M$15,IF($D198="V2",Parameters!$N$15,Parameters!$O$15))</f>
        <v>10.8</v>
      </c>
      <c r="BX198" s="43" t="n">
        <f aca="false">BW198*(1+INDEX(Response_Table!$O$4:$O$21,MATCH($F198&amp;"|mid",Response_Table!$A$4:$A$21,0))*$R198*INDEX(Parameters!$X$15:$AA$15,1,MATCH($E198,Parameters!$X$3:$AA$3,0)))</f>
        <v>10.5127221717595</v>
      </c>
      <c r="BY198" s="43" t="n">
        <f aca="false">MAX(0,MIN(BW198*(1+INDEX(Response_Table!$O$4:$O$21,MATCH($F198&amp;"|low",Response_Table!$A$4:$A$21,0))*$R198*INDEX(Parameters!$X$15:$AA$15,1,MATCH($E198,Parameters!$X$3:$AA$3,0))),BW198*(1+INDEX(Response_Table!$O$4:$O$21,MATCH($F198&amp;"|high",Response_Table!$A$4:$A$21,0))*$R198*INDEX(Parameters!$X$15:$AA$15,1,MATCH($E198,Parameters!$X$3:$AA$3,0))))*(1-Inputs_General!$C$22*Parameters!$F$15))</f>
        <v>8.37651498061582</v>
      </c>
      <c r="BZ198" s="43" t="n">
        <f aca="false">MAX(BW198*(1+INDEX(Response_Table!$O$4:$O$21,MATCH($F198&amp;"|low",Response_Table!$A$4:$A$21,0))*$R198*INDEX(Parameters!$X$15:$AA$15,1,MATCH($E198,Parameters!$X$3:$AA$3,0))),BW198*(1+INDEX(Response_Table!$O$4:$O$21,MATCH($F198&amp;"|high",Response_Table!$A$4:$A$21,0))*$R198*INDEX(Parameters!$X$15:$AA$15,1,MATCH($E198,Parameters!$X$3:$AA$3,0))))*(1+Inputs_General!$C$22*Parameters!$F$15)</f>
        <v>12.7001979431862</v>
      </c>
      <c r="CA198" s="45" t="n">
        <f aca="false">IF(BW198=0,0,BX198/BW198-1)</f>
        <v>-0.0265997989111582</v>
      </c>
      <c r="CB198" s="46" t="n">
        <f aca="false">BD198+BI198</f>
        <v>1.47255702303819</v>
      </c>
      <c r="CC198" s="43" t="n">
        <f aca="false">BD198/BI198</f>
        <v>2.70567436254587</v>
      </c>
      <c r="CD198" s="46" t="n">
        <f aca="false">BN198/CB198</f>
        <v>0.192059161424665</v>
      </c>
      <c r="CE198" s="43" t="n">
        <f aca="false">AE198/AO198</f>
        <v>3.77249421098038</v>
      </c>
      <c r="CF198" s="44" t="n">
        <f aca="false">AE198/AJ198</f>
        <v>37.2307740939273</v>
      </c>
      <c r="CG198" s="44" t="n">
        <f aca="false">INDEX(Context!$V$4:$V$51,$K198)</f>
        <v>22.6257142857143</v>
      </c>
      <c r="CH198" s="44" t="n">
        <f aca="false">INDEX(Context!$Y$4:$Y$51,$K198)</f>
        <v>21.3177449518561</v>
      </c>
      <c r="CI198" s="44" t="n">
        <f aca="false">INDEX(Context!$Z$4:$Z$51,$K198)</f>
        <v>26.6257142857143</v>
      </c>
      <c r="CJ198" s="43" t="n">
        <f aca="false">INDEX(Context!$AA$4:$AA$51,$K198)</f>
        <v>0.12</v>
      </c>
      <c r="CK198" s="43" t="n">
        <f aca="false">MAX(0,MIN(1,1-(1-CJ198)*AO198/AN198))</f>
        <v>0.249997480545661</v>
      </c>
      <c r="CL198" s="44" t="n">
        <f aca="false">CH198+CK198*(CI198-CH198)</f>
        <v>22.6447239121342</v>
      </c>
      <c r="CM198" s="44" t="n">
        <f aca="false">CH198+MAX(0,MIN(1,1-(1-CJ198)*AQ198/AN198))*(CI198-CH198)</f>
        <v>21.3177449518561</v>
      </c>
      <c r="CN198" s="44" t="n">
        <f aca="false">CH198+MAX(0,MIN(1,1-(1-CJ198)*AP198/AN198))*(CI198-CH198)</f>
        <v>24.0352473274661</v>
      </c>
      <c r="CO198" s="44" t="n">
        <f aca="false">CL198-CG198</f>
        <v>0.0190096264199475</v>
      </c>
      <c r="CP198" s="44" t="n">
        <f aca="false">CL198-(CH198+CJ198*(CI198-CH198))</f>
        <v>0.690022640215197</v>
      </c>
      <c r="CQ198" s="46" t="n">
        <f aca="false">CL198/CG198</f>
        <v>1.00084017795769</v>
      </c>
      <c r="CR198" s="43" t="n">
        <f aca="false">IF(CL198-CH198&lt;=0,"n/a",(CI198-CL198)/(CL198-CH198))</f>
        <v>3.00004031167569</v>
      </c>
      <c r="CS198" s="43" t="n">
        <f aca="false">IF(CI198-CL198&lt;=0,"n/a",(CL198-CH198)/(CI198-CL198))</f>
        <v>0.333328854318442</v>
      </c>
      <c r="CT198" s="43" t="n">
        <f aca="false">Inputs_General!$C$23+Inputs_General!$C$24*$I198</f>
        <v>0.96</v>
      </c>
      <c r="CU198" s="44" t="n">
        <f aca="false">3.29*CT198</f>
        <v>3.1584</v>
      </c>
    </row>
    <row r="199" customFormat="false" ht="15" hidden="false" customHeight="false" outlineLevel="0" collapsed="false">
      <c r="A199" s="9" t="str">
        <f aca="false">B199&amp;"|"&amp;E199&amp;"|"&amp;F199</f>
        <v>D3V3|11/02/2026|High</v>
      </c>
      <c r="B199" s="7" t="s">
        <v>351</v>
      </c>
      <c r="C199" s="9" t="s">
        <v>131</v>
      </c>
      <c r="D199" s="9" t="s">
        <v>150</v>
      </c>
      <c r="E199" s="9" t="s">
        <v>158</v>
      </c>
      <c r="F199" s="7" t="s">
        <v>283</v>
      </c>
      <c r="G199" s="9" t="s">
        <v>284</v>
      </c>
      <c r="H199" s="41" t="n">
        <f aca="false">INDEX(Severity_Classes!$C$4:$C$9,MATCH(F199,Severity_Classes!$A$4:$A$9,0))</f>
        <v>0.26</v>
      </c>
      <c r="I199" s="41" t="n">
        <f aca="false">INDEX(Severity_Classes!$D$4:$D$9,MATCH(F199,Severity_Classes!$A$4:$A$9,0))</f>
        <v>0.38</v>
      </c>
      <c r="J199" s="41" t="n">
        <f aca="false">INDEX(Severity_Classes!$E$4:$E$9,MATCH(F199,Severity_Classes!$A$4:$A$9,0))</f>
        <v>0.5</v>
      </c>
      <c r="K199" s="42" t="n">
        <f aca="false">MATCH(B199&amp;"|"&amp;E199,Context!$A$4:$A$51,0)</f>
        <v>33</v>
      </c>
      <c r="L199" s="42" t="n">
        <f aca="false">INDEX(Context!$H$4:$H$51,K199)</f>
        <v>46</v>
      </c>
      <c r="M199" s="42" t="n">
        <f aca="false">INDEX(Context!$I$4:$I$51,K199)</f>
        <v>6</v>
      </c>
      <c r="N199" s="9" t="str">
        <f aca="false">INDEX(Context!$L$4:$L$51,K199)</f>
        <v>V</v>
      </c>
      <c r="O199" s="9" t="str">
        <f aca="false">INDEX(Context!$M$4:$M$51,K199)</f>
        <v>3rd fully expanded leaf from top</v>
      </c>
      <c r="P199" s="43" t="n">
        <f aca="false">INDEX(Context!$R$4:$R$51,K199)</f>
        <v>0</v>
      </c>
      <c r="Q199" s="43" t="n">
        <f aca="false">INDEX(Context!$U$4:$U$51,K199)</f>
        <v>0.937791824040773</v>
      </c>
      <c r="R199" s="43" t="n">
        <f aca="false">INDEX(Context!$AD$4:$AD$51,K199)</f>
        <v>0.85</v>
      </c>
      <c r="S199" s="9" t="str">
        <f aca="false">INDEX(Context!$AI$4:$AN$51,K199,MATCH(F199,Severity_Classes!$A$4:$A$9,0))</f>
        <v>Unlikely (only via pre-inoculation natural infection)</v>
      </c>
      <c r="T199" s="44" t="n">
        <f aca="false">Parameters!$E$4*IF($N199="V",Parameters!$I$4,IF($N199="F",Parameters!$J$4,Parameters!$K$4))*(1-Parameters!$L$4*$P199)*IF($D199="V1",Parameters!$M$4,IF($D199="V2",Parameters!$N$4,Parameters!$O$4))</f>
        <v>86</v>
      </c>
      <c r="U199" s="44" t="n">
        <f aca="false">MIN(100,T199*(1+INDEX(Response_Table!$E$4:$E$21,MATCH($F199&amp;"|mid",Response_Table!$A$4:$A$21,0))*$R199*INDEX(Parameters!$X$4:$AA$4,1,MATCH($E199,Parameters!$X$3:$AA$3,0))))</f>
        <v>80.0955205012977</v>
      </c>
      <c r="V199" s="44" t="n">
        <f aca="false">MAX(0,MIN(T199*(1+INDEX(Response_Table!$E$4:$E$21,MATCH($F199&amp;"|low",Response_Table!$A$4:$A$21,0))*$R199*INDEX(Parameters!$X$4:$AA$4,1,MATCH($E199,Parameters!$X$3:$AA$3,0))),T199*(1+INDEX(Response_Table!$E$4:$E$21,MATCH($F199&amp;"|high",Response_Table!$A$4:$A$21,0))*$R199*INDEX(Parameters!$X$4:$AA$4,1,MATCH($E199,Parameters!$X$3:$AA$3,0))))*(1-Inputs_General!$C$22*Parameters!$F$4))</f>
        <v>72.5023724621942</v>
      </c>
      <c r="W199" s="44" t="n">
        <f aca="false">MIN(100,MAX(T199*(1+INDEX(Response_Table!$E$4:$E$21,MATCH($F199&amp;"|low",Response_Table!$A$4:$A$21,0))*$R199*INDEX(Parameters!$X$4:$AA$4,1,MATCH($E199,Parameters!$X$3:$AA$3,0))),T199*(1+INDEX(Response_Table!$E$4:$E$21,MATCH($F199&amp;"|high",Response_Table!$A$4:$A$21,0))*$R199*INDEX(Parameters!$X$4:$AA$4,1,MATCH($E199,Parameters!$X$3:$AA$3,0))))*(1+Inputs_General!$C$22*Parameters!$F$4))</f>
        <v>88.3390356887373</v>
      </c>
      <c r="X199" s="45" t="n">
        <f aca="false">IF(T199=0,0,U199/T199-1)</f>
        <v>-0.068656738357004</v>
      </c>
      <c r="Y199" s="44" t="n">
        <f aca="false">Parameters!$E$5*IF($N199="V",Parameters!$I$5,IF($N199="F",Parameters!$J$5,Parameters!$K$5))*(1-Parameters!$L$5*$P199)*IF($D199="V1",Parameters!$M$5,IF($D199="V2",Parameters!$N$5,Parameters!$O$5))</f>
        <v>72</v>
      </c>
      <c r="Z199" s="44" t="n">
        <f aca="false">MIN(100,Y199*(1+INDEX(Response_Table!$F$4:$F$21,MATCH($F199&amp;"|mid",Response_Table!$A$4:$A$21,0))*$R199*INDEX(Parameters!$X$5:$AA$5,1,MATCH($E199,Parameters!$X$3:$AA$3,0))))</f>
        <v>56.6910353087058</v>
      </c>
      <c r="AA199" s="44" t="n">
        <f aca="false">MAX(0,MIN(Y199*(1+INDEX(Response_Table!$F$4:$F$21,MATCH($F199&amp;"|low",Response_Table!$A$4:$A$21,0))*$R199*INDEX(Parameters!$X$5:$AA$5,1,MATCH($E199,Parameters!$X$3:$AA$3,0))),Y199*(1+INDEX(Response_Table!$F$4:$F$21,MATCH($F199&amp;"|high",Response_Table!$A$4:$A$21,0))*$R199*INDEX(Parameters!$X$5:$AA$5,1,MATCH($E199,Parameters!$X$3:$AA$3,0))))*(1-Inputs_General!$C$22*Parameters!$F$5))</f>
        <v>46.7613012949755</v>
      </c>
      <c r="AB199" s="44" t="n">
        <f aca="false">MIN(100,MAX(Y199*(1+INDEX(Response_Table!$F$4:$F$21,MATCH($F199&amp;"|low",Response_Table!$A$4:$A$21,0))*$R199*INDEX(Parameters!$X$5:$AA$5,1,MATCH($E199,Parameters!$X$3:$AA$3,0))),Y199*(1+INDEX(Response_Table!$F$4:$F$21,MATCH($F199&amp;"|high",Response_Table!$A$4:$A$21,0))*$R199*INDEX(Parameters!$X$5:$AA$5,1,MATCH($E199,Parameters!$X$3:$AA$3,0))))*(1+Inputs_General!$C$22*Parameters!$F$5))</f>
        <v>70.3365599923299</v>
      </c>
      <c r="AC199" s="45" t="n">
        <f aca="false">IF(Y199=0,0,Z199/Y199-1)</f>
        <v>-0.212624509601309</v>
      </c>
      <c r="AD199" s="44" t="n">
        <f aca="false">Parameters!$E$6*IF($N199="V",Parameters!$I$6,IF($N199="F",Parameters!$J$6,Parameters!$K$6))*(1-Parameters!$L$6*$P199)*IF($D199="V1",Parameters!$M$6,IF($D199="V2",Parameters!$N$6,Parameters!$O$6))</f>
        <v>19.57</v>
      </c>
      <c r="AE199" s="44" t="n">
        <f aca="false">AD199*(1+INDEX(Response_Table!$G$4:$G$21,MATCH($F199&amp;"|mid",Response_Table!$A$4:$A$21,0))*$R199*INDEX(Parameters!$X$6:$AA$6,1,MATCH($E199,Parameters!$X$3:$AA$3,0)))</f>
        <v>11.4643835682157</v>
      </c>
      <c r="AF199" s="44" t="n">
        <f aca="false">MAX(0,MIN(AD199*(1+INDEX(Response_Table!$G$4:$G$21,MATCH($F199&amp;"|low",Response_Table!$A$4:$A$21,0))*$R199*INDEX(Parameters!$X$6:$AA$6,1,MATCH($E199,Parameters!$X$3:$AA$3,0))),AD199*(1+INDEX(Response_Table!$G$4:$G$21,MATCH($F199&amp;"|high",Response_Table!$A$4:$A$21,0))*$R199*INDEX(Parameters!$X$6:$AA$6,1,MATCH($E199,Parameters!$X$3:$AA$3,0))))*(1-Inputs_General!$C$22*Parameters!$F$6))</f>
        <v>8.58396196814849</v>
      </c>
      <c r="AG199" s="44" t="n">
        <f aca="false">MAX(AD199*(1+INDEX(Response_Table!$G$4:$G$21,MATCH($F199&amp;"|low",Response_Table!$A$4:$A$21,0))*$R199*INDEX(Parameters!$X$6:$AA$6,1,MATCH($E199,Parameters!$X$3:$AA$3,0))),AD199*(1+INDEX(Response_Table!$G$4:$G$21,MATCH($F199&amp;"|high",Response_Table!$A$4:$A$21,0))*$R199*INDEX(Parameters!$X$6:$AA$6,1,MATCH($E199,Parameters!$X$3:$AA$3,0))))*(1+Inputs_General!$C$22*Parameters!$F$6)</f>
        <v>15.2890918754204</v>
      </c>
      <c r="AH199" s="45" t="n">
        <f aca="false">IF(AD199=0,0,AE199/AD199-1)</f>
        <v>-0.414185816647128</v>
      </c>
      <c r="AI199" s="46" t="n">
        <f aca="false">Parameters!$E$7*IF($N199="V",Parameters!$I$7,IF($N199="F",Parameters!$J$7,Parameters!$K$7))*(1-Parameters!$L$7*$P199)*IF($D199="V1",Parameters!$M$7,IF($D199="V2",Parameters!$N$7,Parameters!$O$7))*POWER($Q199/Inputs_General!$C$26,-Inputs_General!$C$25)</f>
        <v>0.464685683730118</v>
      </c>
      <c r="AJ199" s="46" t="n">
        <f aca="false">AI199*(1+INDEX(Response_Table!$H$4:$H$21,MATCH($F199&amp;"|mid",Response_Table!$A$4:$A$21,0))*$R199*INDEX(Parameters!$X$7:$AA$7,1,MATCH($E199,Parameters!$X$3:$AA$3,0)))</f>
        <v>0.324982583324998</v>
      </c>
      <c r="AK199" s="46" t="n">
        <f aca="false">MAX(0,MIN(AI199*(1+INDEX(Response_Table!$H$4:$H$21,MATCH($F199&amp;"|low",Response_Table!$A$4:$A$21,0))*$R199*INDEX(Parameters!$X$7:$AA$7,1,MATCH($E199,Parameters!$X$3:$AA$3,0))),AI199*(1+INDEX(Response_Table!$H$4:$H$21,MATCH($F199&amp;"|high",Response_Table!$A$4:$A$21,0))*$R199*INDEX(Parameters!$X$7:$AA$7,1,MATCH($E199,Parameters!$X$3:$AA$3,0))))*(1-Inputs_General!$C$22*Parameters!$F$7))</f>
        <v>0.214776469911465</v>
      </c>
      <c r="AL199" s="46" t="n">
        <f aca="false">MAX(AI199*(1+INDEX(Response_Table!$H$4:$H$21,MATCH($F199&amp;"|low",Response_Table!$A$4:$A$21,0))*$R199*INDEX(Parameters!$X$7:$AA$7,1,MATCH($E199,Parameters!$X$3:$AA$3,0))),AI199*(1+INDEX(Response_Table!$H$4:$H$21,MATCH($F199&amp;"|high",Response_Table!$A$4:$A$21,0))*$R199*INDEX(Parameters!$X$7:$AA$7,1,MATCH($E199,Parameters!$X$3:$AA$3,0))))*(1+Inputs_General!$C$22*Parameters!$F$7)</f>
        <v>0.458102804054004</v>
      </c>
      <c r="AM199" s="45" t="n">
        <f aca="false">IF(AI199=0,0,AJ199/AI199-1)</f>
        <v>-0.300639992357194</v>
      </c>
      <c r="AN199" s="43" t="n">
        <f aca="false">AI199*$Q199/Inputs_General!$C$13*1000</f>
        <v>4.38850387664553</v>
      </c>
      <c r="AO199" s="43" t="n">
        <f aca="false">AJ199*$Q199/Inputs_General!$C$13*1000*(1+Inputs_General!$C$21*$I199)</f>
        <v>3.36071279465888</v>
      </c>
      <c r="AP199" s="43" t="n">
        <f aca="false">AK199*$Q199/Inputs_General!$C$13*1000*(1+Inputs_General!$C$21*$H199)</f>
        <v>2.16019771012554</v>
      </c>
      <c r="AQ199" s="43" t="n">
        <f aca="false">AL199*$Q199/Inputs_General!$C$13*1000*(1+Inputs_General!$C$21*$J199)</f>
        <v>4.86712686040782</v>
      </c>
      <c r="AR199" s="45" t="n">
        <f aca="false">IF(AN199=0,0,AO199/AN199-1)</f>
        <v>-0.234200791631127</v>
      </c>
      <c r="AS199" s="42" t="n">
        <f aca="false">Parameters!$E$9*IF($N199="V",Parameters!$I$9,IF($N199="F",Parameters!$J$9,Parameters!$K$9))*(1-Parameters!$L$9*$P199)*IF($D199="V1",Parameters!$M$9,IF($D199="V2",Parameters!$N$9,Parameters!$O$9))</f>
        <v>285</v>
      </c>
      <c r="AT199" s="42" t="n">
        <f aca="false">AS199*(1+INDEX(Response_Table!$I$4:$I$21,MATCH($F199&amp;"|mid",Response_Table!$A$4:$A$21,0))*$R199*INDEX(Parameters!$X$9:$AA$9,1,MATCH($E199,Parameters!$X$3:$AA$3,0)))</f>
        <v>330.424090892598</v>
      </c>
      <c r="AU199" s="42" t="n">
        <f aca="false">MAX(0,MIN(AS199*(1+INDEX(Response_Table!$I$4:$I$21,MATCH($F199&amp;"|low",Response_Table!$A$4:$A$21,0))*$R199*INDEX(Parameters!$X$9:$AA$9,1,MATCH($E199,Parameters!$X$3:$AA$3,0))),AS199*(1+INDEX(Response_Table!$I$4:$I$21,MATCH($F199&amp;"|high",Response_Table!$A$4:$A$21,0))*$R199*INDEX(Parameters!$X$9:$AA$9,1,MATCH($E199,Parameters!$X$3:$AA$3,0))))*(1-Inputs_General!$C$22*Parameters!$F$9))</f>
        <v>290.750497500053</v>
      </c>
      <c r="AV199" s="42" t="n">
        <f aca="false">MAX(AS199*(1+INDEX(Response_Table!$I$4:$I$21,MATCH($F199&amp;"|low",Response_Table!$A$4:$A$21,0))*$R199*INDEX(Parameters!$X$9:$AA$9,1,MATCH($E199,Parameters!$X$3:$AA$3,0))),AS199*(1+INDEX(Response_Table!$I$4:$I$21,MATCH($F199&amp;"|high",Response_Table!$A$4:$A$21,0))*$R199*INDEX(Parameters!$X$9:$AA$9,1,MATCH($E199,Parameters!$X$3:$AA$3,0))))*(1+Inputs_General!$C$22*Parameters!$F$9)</f>
        <v>368.362914207263</v>
      </c>
      <c r="AW199" s="45" t="n">
        <f aca="false">IF(AS199=0,0,AT199/AS199-1)</f>
        <v>0.159382775061748</v>
      </c>
      <c r="AX199" s="43" t="n">
        <f aca="false">INDEX(Context!$AB$4:$AB$51,$K199)</f>
        <v>1.09384586130271</v>
      </c>
      <c r="AY199" s="43" t="n">
        <f aca="false">AX199*(1+INDEX(Response_Table!$J$4:$J$21,MATCH($F199&amp;"|mid",Response_Table!$A$4:$A$21,0))*$R199*INDEX(Parameters!$X$10:$AA$10,1,MATCH($E199,Parameters!$X$3:$AA$3,0)))</f>
        <v>0.96555329706476</v>
      </c>
      <c r="AZ199" s="43" t="n">
        <f aca="false">MAX(0,MIN(AX199*(1+INDEX(Response_Table!$J$4:$J$21,MATCH($F199&amp;"|low",Response_Table!$A$4:$A$21,0))*$R199*INDEX(Parameters!$X$10:$AA$10,1,MATCH($E199,Parameters!$X$3:$AA$3,0))),AX199*(1+INDEX(Response_Table!$J$4:$J$21,MATCH($F199&amp;"|high",Response_Table!$A$4:$A$21,0))*$R199*INDEX(Parameters!$X$10:$AA$10,1,MATCH($E199,Parameters!$X$3:$AA$3,0))))*(1-Inputs_General!$C$22*Parameters!$F$10))</f>
        <v>0.758123180064813</v>
      </c>
      <c r="BA199" s="43" t="n">
        <f aca="false">MAX(AX199*(1+INDEX(Response_Table!$J$4:$J$21,MATCH($F199&amp;"|low",Response_Table!$A$4:$A$21,0))*$R199*INDEX(Parameters!$X$10:$AA$10,1,MATCH($E199,Parameters!$X$3:$AA$3,0))),AX199*(1+INDEX(Response_Table!$J$4:$J$21,MATCH($F199&amp;"|high",Response_Table!$A$4:$A$21,0))*$R199*INDEX(Parameters!$X$10:$AA$10,1,MATCH($E199,Parameters!$X$3:$AA$3,0))))*(1+Inputs_General!$C$22*Parameters!$F$10)</f>
        <v>1.19004650758427</v>
      </c>
      <c r="BB199" s="45" t="n">
        <f aca="false">IF(AX199=0,0,AY199/AX199-1)</f>
        <v>-0.117285779264327</v>
      </c>
      <c r="BC199" s="46" t="n">
        <f aca="false">Parameters!$E$11*IF($N199="V",Parameters!$I$11,IF($N199="F",Parameters!$J$11,Parameters!$K$11))*(1-Parameters!$L$11*$P199)*IF($D199="V1",Parameters!$M$11,IF($D199="V2",Parameters!$N$11,Parameters!$O$11))</f>
        <v>1.223125</v>
      </c>
      <c r="BD199" s="46" t="n">
        <f aca="false">BC199*(1+INDEX(Response_Table!$K$4:$K$21,MATCH($F199&amp;"|mid",Response_Table!$A$4:$A$21,0))*$R199*INDEX(Parameters!$X$11:$AA$11,1,MATCH($E199,Parameters!$X$3:$AA$3,0)))</f>
        <v>0.985391350783432</v>
      </c>
      <c r="BE199" s="46" t="n">
        <f aca="false">MAX(0,MIN(BC199*(1+INDEX(Response_Table!$K$4:$K$21,MATCH($F199&amp;"|low",Response_Table!$A$4:$A$21,0))*$R199*INDEX(Parameters!$X$11:$AA$11,1,MATCH($E199,Parameters!$X$3:$AA$3,0))),BC199*(1+INDEX(Response_Table!$K$4:$K$21,MATCH($F199&amp;"|high",Response_Table!$A$4:$A$21,0))*$R199*INDEX(Parameters!$X$11:$AA$11,1,MATCH($E199,Parameters!$X$3:$AA$3,0))))*(1-Inputs_General!$C$22*Parameters!$F$11))</f>
        <v>0.796611808074757</v>
      </c>
      <c r="BF199" s="46" t="n">
        <f aca="false">MAX(BC199*(1+INDEX(Response_Table!$K$4:$K$21,MATCH($F199&amp;"|low",Response_Table!$A$4:$A$21,0))*$R199*INDEX(Parameters!$X$11:$AA$11,1,MATCH($E199,Parameters!$X$3:$AA$3,0))),BC199*(1+INDEX(Response_Table!$K$4:$K$21,MATCH($F199&amp;"|high",Response_Table!$A$4:$A$21,0))*$R199*INDEX(Parameters!$X$11:$AA$11,1,MATCH($E199,Parameters!$X$3:$AA$3,0))))*(1+Inputs_General!$C$22*Parameters!$F$11)</f>
        <v>1.20208806315408</v>
      </c>
      <c r="BG199" s="45" t="n">
        <f aca="false">IF(BC199=0,0,BD199/BC199-1)</f>
        <v>-0.194365783723306</v>
      </c>
      <c r="BH199" s="46" t="n">
        <f aca="false">Parameters!$E$12*IF($N199="V",Parameters!$I$12,IF($N199="F",Parameters!$J$12,Parameters!$K$12))*(1-Parameters!$L$12*$P199)*IF($D199="V1",Parameters!$M$12,IF($D199="V2",Parameters!$N$12,Parameters!$O$12))</f>
        <v>0.440325</v>
      </c>
      <c r="BI199" s="46" t="n">
        <f aca="false">BH199*(1+INDEX(Response_Table!$L$4:$L$21,MATCH($F199&amp;"|mid",Response_Table!$A$4:$A$21,0))*$R199*INDEX(Parameters!$X$12:$AA$12,1,MATCH($E199,Parameters!$X$3:$AA$3,0)))</f>
        <v>0.37031671389512</v>
      </c>
      <c r="BJ199" s="46" t="n">
        <f aca="false">MAX(0,MIN(BH199*(1+INDEX(Response_Table!$L$4:$L$21,MATCH($F199&amp;"|low",Response_Table!$A$4:$A$21,0))*$R199*INDEX(Parameters!$X$12:$AA$12,1,MATCH($E199,Parameters!$X$3:$AA$3,0))),BH199*(1+INDEX(Response_Table!$L$4:$L$21,MATCH($F199&amp;"|high",Response_Table!$A$4:$A$21,0))*$R199*INDEX(Parameters!$X$12:$AA$12,1,MATCH($E199,Parameters!$X$3:$AA$3,0))))*(1-Inputs_General!$C$22*Parameters!$F$12))</f>
        <v>0.289228884102261</v>
      </c>
      <c r="BK199" s="46" t="n">
        <f aca="false">MAX(BH199*(1+INDEX(Response_Table!$L$4:$L$21,MATCH($F199&amp;"|low",Response_Table!$A$4:$A$21,0))*$R199*INDEX(Parameters!$X$12:$AA$12,1,MATCH($E199,Parameters!$X$3:$AA$3,0))),BH199*(1+INDEX(Response_Table!$L$4:$L$21,MATCH($F199&amp;"|high",Response_Table!$A$4:$A$21,0))*$R199*INDEX(Parameters!$X$12:$AA$12,1,MATCH($E199,Parameters!$X$3:$AA$3,0))))*(1+Inputs_General!$C$22*Parameters!$F$12)</f>
        <v>0.460497186476781</v>
      </c>
      <c r="BL199" s="45" t="n">
        <f aca="false">IF(BH199=0,0,BI199/BH199-1)</f>
        <v>-0.158992303650439</v>
      </c>
      <c r="BM199" s="46" t="n">
        <f aca="false">Parameters!$E$13*IF($N199="V",Parameters!$I$13,IF($N199="F",Parameters!$J$13,Parameters!$K$13))*(1-Parameters!$L$13*$P199)*IF($D199="V1",Parameters!$M$13,IF($D199="V2",Parameters!$N$13,Parameters!$O$13))</f>
        <v>0.29355</v>
      </c>
      <c r="BN199" s="46" t="n">
        <f aca="false">BM199*(1+INDEX(Response_Table!$M$4:$M$21,MATCH($F199&amp;"|mid",Response_Table!$A$4:$A$21,0))*$R199*INDEX(Parameters!$X$13:$AA$13,1,MATCH($E199,Parameters!$X$3:$AA$3,0)))</f>
        <v>0.262489491767417</v>
      </c>
      <c r="BO199" s="46" t="n">
        <f aca="false">MAX(0,MIN(BM199*(1+INDEX(Response_Table!$M$4:$M$21,MATCH($F199&amp;"|low",Response_Table!$A$4:$A$21,0))*$R199*INDEX(Parameters!$X$13:$AA$13,1,MATCH($E199,Parameters!$X$3:$AA$3,0))),BM199*(1+INDEX(Response_Table!$M$4:$M$21,MATCH($F199&amp;"|high",Response_Table!$A$4:$A$21,0))*$R199*INDEX(Parameters!$X$13:$AA$13,1,MATCH($E199,Parameters!$X$3:$AA$3,0))))*(1-Inputs_General!$C$22*Parameters!$F$13))</f>
        <v>0.205404597627397</v>
      </c>
      <c r="BP199" s="46" t="n">
        <f aca="false">MAX(BM199*(1+INDEX(Response_Table!$M$4:$M$21,MATCH($F199&amp;"|low",Response_Table!$A$4:$A$21,0))*$R199*INDEX(Parameters!$X$13:$AA$13,1,MATCH($E199,Parameters!$X$3:$AA$3,0))),BM199*(1+INDEX(Response_Table!$M$4:$M$21,MATCH($F199&amp;"|high",Response_Table!$A$4:$A$21,0))*$R199*INDEX(Parameters!$X$13:$AA$13,1,MATCH($E199,Parameters!$X$3:$AA$3,0))))*(1+Inputs_General!$C$22*Parameters!$F$13)</f>
        <v>0.326975858716208</v>
      </c>
      <c r="BQ199" s="45" t="n">
        <f aca="false">IF(BM199=0,0,BN199/BM199-1)</f>
        <v>-0.105809941177256</v>
      </c>
      <c r="BR199" s="44" t="n">
        <f aca="false">Parameters!$E$14*IF($N199="V",Parameters!$I$14,IF($N199="F",Parameters!$J$14,Parameters!$K$14))*(1-Parameters!$L$14*$P199)*IF($D199="V1",Parameters!$M$14,IF($D199="V2",Parameters!$N$14,Parameters!$O$14))*INDEX(Context!$AC$4:$AC$51,$K199)</f>
        <v>19.8</v>
      </c>
      <c r="BS199" s="44" t="n">
        <f aca="false">BR199*(1+INDEX(Response_Table!$N$4:$N$21,MATCH($F199&amp;"|mid",Response_Table!$A$4:$A$21,0))*$R199*INDEX(Parameters!$X$14:$AA$14,1,MATCH($E199,Parameters!$X$3:$AA$3,0)))</f>
        <v>23.2342337588495</v>
      </c>
      <c r="BT199" s="44" t="n">
        <f aca="false">MAX(0,MIN(BR199*(1+INDEX(Response_Table!$N$4:$N$21,MATCH($F199&amp;"|low",Response_Table!$A$4:$A$21,0))*$R199*INDEX(Parameters!$X$14:$AA$14,1,MATCH($E199,Parameters!$X$3:$AA$3,0))),BR199*(1+INDEX(Response_Table!$N$4:$N$21,MATCH($F199&amp;"|high",Response_Table!$A$4:$A$21,0))*$R199*INDEX(Parameters!$X$14:$AA$14,1,MATCH($E199,Parameters!$X$3:$AA$3,0))))*(1-Inputs_General!$C$22*Parameters!$F$14))</f>
        <v>11.4137283267779</v>
      </c>
      <c r="BU199" s="44" t="n">
        <f aca="false">MAX(BR199*(1+INDEX(Response_Table!$N$4:$N$21,MATCH($F199&amp;"|low",Response_Table!$A$4:$A$21,0))*$R199*INDEX(Parameters!$X$14:$AA$14,1,MATCH($E199,Parameters!$X$3:$AA$3,0))),BR199*(1+INDEX(Response_Table!$N$4:$N$21,MATCH($F199&amp;"|high",Response_Table!$A$4:$A$21,0))*$R199*INDEX(Parameters!$X$14:$AA$14,1,MATCH($E199,Parameters!$X$3:$AA$3,0))))*(1+Inputs_General!$C$22*Parameters!$F$14)</f>
        <v>35.4294280292767</v>
      </c>
      <c r="BV199" s="45" t="n">
        <f aca="false">IF(BR199=0,0,BS199/BR199-1)</f>
        <v>0.173446149436842</v>
      </c>
      <c r="BW199" s="43" t="n">
        <f aca="false">Parameters!$E$15*IF($N199="V",Parameters!$I$15,IF($N199="F",Parameters!$J$15,Parameters!$K$15))*(1-Parameters!$L$15*$P199)*IF($D199="V1",Parameters!$M$15,IF($D199="V2",Parameters!$N$15,Parameters!$O$15))</f>
        <v>10.8</v>
      </c>
      <c r="BX199" s="43" t="n">
        <f aca="false">BW199*(1+INDEX(Response_Table!$O$4:$O$21,MATCH($F199&amp;"|mid",Response_Table!$A$4:$A$21,0))*$R199*INDEX(Parameters!$X$15:$AA$15,1,MATCH($E199,Parameters!$X$3:$AA$3,0)))</f>
        <v>10.3316953965205</v>
      </c>
      <c r="BY199" s="43" t="n">
        <f aca="false">MAX(0,MIN(BW199*(1+INDEX(Response_Table!$O$4:$O$21,MATCH($F199&amp;"|low",Response_Table!$A$4:$A$21,0))*$R199*INDEX(Parameters!$X$15:$AA$15,1,MATCH($E199,Parameters!$X$3:$AA$3,0))),BW199*(1+INDEX(Response_Table!$O$4:$O$21,MATCH($F199&amp;"|high",Response_Table!$A$4:$A$21,0))*$R199*INDEX(Parameters!$X$15:$AA$15,1,MATCH($E199,Parameters!$X$3:$AA$3,0))))*(1-Inputs_General!$C$22*Parameters!$F$15))</f>
        <v>8.23878941750944</v>
      </c>
      <c r="BZ199" s="43" t="n">
        <f aca="false">MAX(BW199*(1+INDEX(Response_Table!$O$4:$O$21,MATCH($F199&amp;"|low",Response_Table!$A$4:$A$21,0))*$R199*INDEX(Parameters!$X$15:$AA$15,1,MATCH($E199,Parameters!$X$3:$AA$3,0))),BW199*(1+INDEX(Response_Table!$O$4:$O$21,MATCH($F199&amp;"|high",Response_Table!$A$4:$A$21,0))*$R199*INDEX(Parameters!$X$15:$AA$15,1,MATCH($E199,Parameters!$X$3:$AA$3,0))))*(1+Inputs_General!$C$22*Parameters!$F$15)</f>
        <v>12.4854245539395</v>
      </c>
      <c r="CA199" s="45" t="n">
        <f aca="false">IF(BW199=0,0,BX199/BW199-1)</f>
        <v>-0.0433615373592108</v>
      </c>
      <c r="CB199" s="46" t="n">
        <f aca="false">BD199+BI199</f>
        <v>1.35570806467855</v>
      </c>
      <c r="CC199" s="43" t="n">
        <f aca="false">BD199/BI199</f>
        <v>2.66094214441131</v>
      </c>
      <c r="CD199" s="46" t="n">
        <f aca="false">BN199/CB199</f>
        <v>0.193618005680046</v>
      </c>
      <c r="CE199" s="43" t="n">
        <f aca="false">AE199/AO199</f>
        <v>3.41129524261516</v>
      </c>
      <c r="CF199" s="44" t="n">
        <f aca="false">AE199/AJ199</f>
        <v>35.2769168455738</v>
      </c>
      <c r="CG199" s="44" t="n">
        <f aca="false">INDEX(Context!$V$4:$V$51,$K199)</f>
        <v>22.6257142857143</v>
      </c>
      <c r="CH199" s="44" t="n">
        <f aca="false">INDEX(Context!$Y$4:$Y$51,$K199)</f>
        <v>21.3177449518561</v>
      </c>
      <c r="CI199" s="44" t="n">
        <f aca="false">INDEX(Context!$Z$4:$Z$51,$K199)</f>
        <v>26.6257142857143</v>
      </c>
      <c r="CJ199" s="43" t="n">
        <f aca="false">INDEX(Context!$AA$4:$AA$51,$K199)</f>
        <v>0.12</v>
      </c>
      <c r="CK199" s="43" t="n">
        <f aca="false">MAX(0,MIN(1,1-(1-CJ199)*AO199/AN199))</f>
        <v>0.326096696635392</v>
      </c>
      <c r="CL199" s="44" t="n">
        <f aca="false">CH199+CK199*(CI199-CH199)</f>
        <v>23.0486562174692</v>
      </c>
      <c r="CM199" s="44" t="n">
        <f aca="false">CH199+MAX(0,MIN(1,1-(1-CJ199)*AQ199/AN199))*(CI199-CH199)</f>
        <v>21.4452670208175</v>
      </c>
      <c r="CN199" s="44" t="n">
        <f aca="false">CH199+MAX(0,MIN(1,1-(1-CJ199)*AP199/AN199))*(CI199-CH199)</f>
        <v>24.3264542417469</v>
      </c>
      <c r="CO199" s="44" t="n">
        <f aca="false">CL199-CG199</f>
        <v>0.422941931754892</v>
      </c>
      <c r="CP199" s="44" t="n">
        <f aca="false">CL199-(CH199+CJ199*(CI199-CH199))</f>
        <v>1.09395494555014</v>
      </c>
      <c r="CQ199" s="46" t="n">
        <f aca="false">CL199/CG199</f>
        <v>1.01869297589522</v>
      </c>
      <c r="CR199" s="43" t="n">
        <f aca="false">IF(CL199-CH199&lt;=0,"n/a",(CI199-CL199)/(CL199-CH199))</f>
        <v>2.06657506904493</v>
      </c>
      <c r="CS199" s="43" t="n">
        <f aca="false">IF(CI199-CL199&lt;=0,"n/a",(CL199-CH199)/(CI199-CL199))</f>
        <v>0.483892414545652</v>
      </c>
      <c r="CT199" s="43" t="n">
        <f aca="false">Inputs_General!$C$23+Inputs_General!$C$24*$I199</f>
        <v>1.36</v>
      </c>
      <c r="CU199" s="44" t="n">
        <f aca="false">3.29*CT199</f>
        <v>4.4744</v>
      </c>
    </row>
    <row r="200" customFormat="false" ht="15" hidden="false" customHeight="false" outlineLevel="0" collapsed="false">
      <c r="A200" s="9" t="str">
        <f aca="false">B200&amp;"|"&amp;E200&amp;"|"&amp;F200</f>
        <v>D3V3|11/02/2026|Very high</v>
      </c>
      <c r="B200" s="7" t="s">
        <v>351</v>
      </c>
      <c r="C200" s="9" t="s">
        <v>131</v>
      </c>
      <c r="D200" s="9" t="s">
        <v>150</v>
      </c>
      <c r="E200" s="9" t="s">
        <v>158</v>
      </c>
      <c r="F200" s="7" t="s">
        <v>285</v>
      </c>
      <c r="G200" s="9" t="s">
        <v>286</v>
      </c>
      <c r="H200" s="41" t="n">
        <f aca="false">INDEX(Severity_Classes!$C$4:$C$9,MATCH(F200,Severity_Classes!$A$4:$A$9,0))</f>
        <v>0.51</v>
      </c>
      <c r="I200" s="41" t="n">
        <f aca="false">INDEX(Severity_Classes!$D$4:$D$9,MATCH(F200,Severity_Classes!$A$4:$A$9,0))</f>
        <v>0.65</v>
      </c>
      <c r="J200" s="41" t="n">
        <f aca="false">INDEX(Severity_Classes!$E$4:$E$9,MATCH(F200,Severity_Classes!$A$4:$A$9,0))</f>
        <v>0.85</v>
      </c>
      <c r="K200" s="42" t="n">
        <f aca="false">MATCH(B200&amp;"|"&amp;E200,Context!$A$4:$A$51,0)</f>
        <v>33</v>
      </c>
      <c r="L200" s="42" t="n">
        <f aca="false">INDEX(Context!$H$4:$H$51,K200)</f>
        <v>46</v>
      </c>
      <c r="M200" s="42" t="n">
        <f aca="false">INDEX(Context!$I$4:$I$51,K200)</f>
        <v>6</v>
      </c>
      <c r="N200" s="9" t="str">
        <f aca="false">INDEX(Context!$L$4:$L$51,K200)</f>
        <v>V</v>
      </c>
      <c r="O200" s="9" t="str">
        <f aca="false">INDEX(Context!$M$4:$M$51,K200)</f>
        <v>3rd fully expanded leaf from top</v>
      </c>
      <c r="P200" s="43" t="n">
        <f aca="false">INDEX(Context!$R$4:$R$51,K200)</f>
        <v>0</v>
      </c>
      <c r="Q200" s="43" t="n">
        <f aca="false">INDEX(Context!$U$4:$U$51,K200)</f>
        <v>0.937791824040773</v>
      </c>
      <c r="R200" s="43" t="n">
        <f aca="false">INDEX(Context!$AD$4:$AD$51,K200)</f>
        <v>0.85</v>
      </c>
      <c r="S200" s="9" t="str">
        <f aca="false">INDEX(Context!$AI$4:$AN$51,K200,MATCH(F200,Severity_Classes!$A$4:$A$9,0))</f>
        <v>Unlikely (only via pre-inoculation natural infection)</v>
      </c>
      <c r="T200" s="44" t="n">
        <f aca="false">Parameters!$E$4*IF($N200="V",Parameters!$I$4,IF($N200="F",Parameters!$J$4,Parameters!$K$4))*(1-Parameters!$L$4*$P200)*IF($D200="V1",Parameters!$M$4,IF($D200="V2",Parameters!$N$4,Parameters!$O$4))</f>
        <v>86</v>
      </c>
      <c r="U200" s="44" t="n">
        <f aca="false">MIN(100,T200*(1+INDEX(Response_Table!$E$4:$E$21,MATCH($F200&amp;"|mid",Response_Table!$A$4:$A$21,0))*$R200*INDEX(Parameters!$X$4:$AA$4,1,MATCH($E200,Parameters!$X$3:$AA$3,0))))</f>
        <v>75.9117959599366</v>
      </c>
      <c r="V200" s="44" t="n">
        <f aca="false">MAX(0,MIN(T200*(1+INDEX(Response_Table!$E$4:$E$21,MATCH($F200&amp;"|low",Response_Table!$A$4:$A$21,0))*$R200*INDEX(Parameters!$X$4:$AA$4,1,MATCH($E200,Parameters!$X$3:$AA$3,0))),T200*(1+INDEX(Response_Table!$E$4:$E$21,MATCH($F200&amp;"|high",Response_Table!$A$4:$A$21,0))*$R200*INDEX(Parameters!$X$4:$AA$4,1,MATCH($E200,Parameters!$X$3:$AA$3,0))))*(1-Inputs_General!$C$22*Parameters!$F$4))</f>
        <v>70.2625489417515</v>
      </c>
      <c r="W200" s="44" t="n">
        <f aca="false">MIN(100,MAX(T200*(1+INDEX(Response_Table!$E$4:$E$21,MATCH($F200&amp;"|low",Response_Table!$A$4:$A$21,0))*$R200*INDEX(Parameters!$X$4:$AA$4,1,MATCH($E200,Parameters!$X$3:$AA$3,0))),T200*(1+INDEX(Response_Table!$E$4:$E$21,MATCH($F200&amp;"|high",Response_Table!$A$4:$A$21,0))*$R200*INDEX(Parameters!$X$4:$AA$4,1,MATCH($E200,Parameters!$X$3:$AA$3,0))))*(1+Inputs_General!$C$22*Parameters!$F$4))</f>
        <v>82.5421300379317</v>
      </c>
      <c r="X200" s="45" t="n">
        <f aca="false">IF(T200=0,0,U200/T200-1)</f>
        <v>-0.117304698140272</v>
      </c>
      <c r="Y200" s="44" t="n">
        <f aca="false">Parameters!$E$5*IF($N200="V",Parameters!$I$5,IF($N200="F",Parameters!$J$5,Parameters!$K$5))*(1-Parameters!$L$5*$P200)*IF($D200="V1",Parameters!$M$5,IF($D200="V2",Parameters!$N$5,Parameters!$O$5))</f>
        <v>72</v>
      </c>
      <c r="Z200" s="44" t="n">
        <f aca="false">MIN(100,Y200*(1+INDEX(Response_Table!$F$4:$F$21,MATCH($F200&amp;"|mid",Response_Table!$A$4:$A$21,0))*$R200*INDEX(Parameters!$X$5:$AA$5,1,MATCH($E200,Parameters!$X$3:$AA$3,0))))</f>
        <v>51.1282274877042</v>
      </c>
      <c r="AA200" s="44" t="n">
        <f aca="false">MAX(0,MIN(Y200*(1+INDEX(Response_Table!$F$4:$F$21,MATCH($F200&amp;"|low",Response_Table!$A$4:$A$21,0))*$R200*INDEX(Parameters!$X$5:$AA$5,1,MATCH($E200,Parameters!$X$3:$AA$3,0))),Y200*(1+INDEX(Response_Table!$F$4:$F$21,MATCH($F200&amp;"|high",Response_Table!$A$4:$A$21,0))*$R200*INDEX(Parameters!$X$5:$AA$5,1,MATCH($E200,Parameters!$X$3:$AA$3,0))))*(1-Inputs_General!$C$22*Parameters!$F$5))</f>
        <v>44.8227628015676</v>
      </c>
      <c r="AB200" s="44" t="n">
        <f aca="false">MIN(100,MAX(Y200*(1+INDEX(Response_Table!$F$4:$F$21,MATCH($F200&amp;"|low",Response_Table!$A$4:$A$21,0))*$R200*INDEX(Parameters!$X$5:$AA$5,1,MATCH($E200,Parameters!$X$3:$AA$3,0))),Y200*(1+INDEX(Response_Table!$F$4:$F$21,MATCH($F200&amp;"|high",Response_Table!$A$4:$A$21,0))*$R200*INDEX(Parameters!$X$5:$AA$5,1,MATCH($E200,Parameters!$X$3:$AA$3,0))))*(1+Inputs_General!$C$22*Parameters!$F$5))</f>
        <v>58.7132565706956</v>
      </c>
      <c r="AC200" s="45" t="n">
        <f aca="false">IF(Y200=0,0,Z200/Y200-1)</f>
        <v>-0.289885729337441</v>
      </c>
      <c r="AD200" s="44" t="n">
        <f aca="false">Parameters!$E$6*IF($N200="V",Parameters!$I$6,IF($N200="F",Parameters!$J$6,Parameters!$K$6))*(1-Parameters!$L$6*$P200)*IF($D200="V1",Parameters!$M$6,IF($D200="V2",Parameters!$N$6,Parameters!$O$6))</f>
        <v>19.57</v>
      </c>
      <c r="AE200" s="44" t="n">
        <f aca="false">AD200*(1+INDEX(Response_Table!$G$4:$G$21,MATCH($F200&amp;"|mid",Response_Table!$A$4:$A$21,0))*$R200*INDEX(Parameters!$X$6:$AA$6,1,MATCH($E200,Parameters!$X$3:$AA$3,0)))</f>
        <v>10.1608823155816</v>
      </c>
      <c r="AF200" s="44" t="n">
        <f aca="false">MAX(0,MIN(AD200*(1+INDEX(Response_Table!$G$4:$G$21,MATCH($F200&amp;"|low",Response_Table!$A$4:$A$21,0))*$R200*INDEX(Parameters!$X$6:$AA$6,1,MATCH($E200,Parameters!$X$3:$AA$3,0))),AD200*(1+INDEX(Response_Table!$G$4:$G$21,MATCH($F200&amp;"|high",Response_Table!$A$4:$A$21,0))*$R200*INDEX(Parameters!$X$6:$AA$6,1,MATCH($E200,Parameters!$X$3:$AA$3,0))))*(1-Inputs_General!$C$22*Parameters!$F$6))</f>
        <v>7.88665465639861</v>
      </c>
      <c r="AG200" s="44" t="n">
        <f aca="false">MAX(AD200*(1+INDEX(Response_Table!$G$4:$G$21,MATCH($F200&amp;"|low",Response_Table!$A$4:$A$21,0))*$R200*INDEX(Parameters!$X$6:$AA$6,1,MATCH($E200,Parameters!$X$3:$AA$3,0))),AD200*(1+INDEX(Response_Table!$G$4:$G$21,MATCH($F200&amp;"|high",Response_Table!$A$4:$A$21,0))*$R200*INDEX(Parameters!$X$6:$AA$6,1,MATCH($E200,Parameters!$X$3:$AA$3,0))))*(1+Inputs_General!$C$22*Parameters!$F$6)</f>
        <v>12.749422783619</v>
      </c>
      <c r="AH200" s="45" t="n">
        <f aca="false">IF(AD200=0,0,AE200/AD200-1)</f>
        <v>-0.480792932264612</v>
      </c>
      <c r="AI200" s="46" t="n">
        <f aca="false">Parameters!$E$7*IF($N200="V",Parameters!$I$7,IF($N200="F",Parameters!$J$7,Parameters!$K$7))*(1-Parameters!$L$7*$P200)*IF($D200="V1",Parameters!$M$7,IF($D200="V2",Parameters!$N$7,Parameters!$O$7))*POWER($Q200/Inputs_General!$C$26,-Inputs_General!$C$25)</f>
        <v>0.464685683730118</v>
      </c>
      <c r="AJ200" s="46" t="n">
        <f aca="false">AI200*(1+INDEX(Response_Table!$H$4:$H$21,MATCH($F200&amp;"|mid",Response_Table!$A$4:$A$21,0))*$R200*INDEX(Parameters!$X$7:$AA$7,1,MATCH($E200,Parameters!$X$3:$AA$3,0)))</f>
        <v>0.288516435632059</v>
      </c>
      <c r="AK200" s="46" t="n">
        <f aca="false">MAX(0,MIN(AI200*(1+INDEX(Response_Table!$H$4:$H$21,MATCH($F200&amp;"|low",Response_Table!$A$4:$A$21,0))*$R200*INDEX(Parameters!$X$7:$AA$7,1,MATCH($E200,Parameters!$X$3:$AA$3,0))),AI200*(1+INDEX(Response_Table!$H$4:$H$21,MATCH($F200&amp;"|high",Response_Table!$A$4:$A$21,0))*$R200*INDEX(Parameters!$X$7:$AA$7,1,MATCH($E200,Parameters!$X$3:$AA$3,0))))*(1-Inputs_General!$C$22*Parameters!$F$7))</f>
        <v>0.19380611640048</v>
      </c>
      <c r="AL200" s="46" t="n">
        <f aca="false">MAX(AI200*(1+INDEX(Response_Table!$H$4:$H$21,MATCH($F200&amp;"|low",Response_Table!$A$4:$A$21,0))*$R200*INDEX(Parameters!$X$7:$AA$7,1,MATCH($E200,Parameters!$X$3:$AA$3,0))),AI200*(1+INDEX(Response_Table!$H$4:$H$21,MATCH($F200&amp;"|high",Response_Table!$A$4:$A$21,0))*$R200*INDEX(Parameters!$X$7:$AA$7,1,MATCH($E200,Parameters!$X$3:$AA$3,0))))*(1+Inputs_General!$C$22*Parameters!$F$7)</f>
        <v>0.393715136216559</v>
      </c>
      <c r="AM200" s="45" t="n">
        <f aca="false">IF(AI200=0,0,AJ200/AI200-1)</f>
        <v>-0.379114860358761</v>
      </c>
      <c r="AN200" s="43" t="n">
        <f aca="false">AI200*$Q200/Inputs_General!$C$13*1000</f>
        <v>4.38850387664553</v>
      </c>
      <c r="AO200" s="43" t="n">
        <f aca="false">AJ200*$Q200/Inputs_General!$C$13*1000*(1+Inputs_General!$C$21*$I200)</f>
        <v>3.16752982913559</v>
      </c>
      <c r="AP200" s="43" t="n">
        <f aca="false">AK200*$Q200/Inputs_General!$C$13*1000*(1+Inputs_General!$C$21*$H200)</f>
        <v>2.06367462048511</v>
      </c>
      <c r="AQ200" s="43" t="n">
        <f aca="false">AL200*$Q200/Inputs_General!$C$13*1000*(1+Inputs_General!$C$21*$J200)</f>
        <v>4.50838558248538</v>
      </c>
      <c r="AR200" s="45" t="n">
        <f aca="false">IF(AN200=0,0,AO200/AN200-1)</f>
        <v>-0.27822102516706</v>
      </c>
      <c r="AS200" s="42" t="n">
        <f aca="false">Parameters!$E$9*IF($N200="V",Parameters!$I$9,IF($N200="F",Parameters!$J$9,Parameters!$K$9))*(1-Parameters!$L$9*$P200)*IF($D200="V1",Parameters!$M$9,IF($D200="V2",Parameters!$N$9,Parameters!$O$9))</f>
        <v>285</v>
      </c>
      <c r="AT200" s="42" t="n">
        <f aca="false">AS200*(1+INDEX(Response_Table!$I$4:$I$21,MATCH($F200&amp;"|mid",Response_Table!$A$4:$A$21,0))*$R200*INDEX(Parameters!$X$9:$AA$9,1,MATCH($E200,Parameters!$X$3:$AA$3,0)))</f>
        <v>338.821734162619</v>
      </c>
      <c r="AU200" s="42" t="n">
        <f aca="false">MAX(0,MIN(AS200*(1+INDEX(Response_Table!$I$4:$I$21,MATCH($F200&amp;"|low",Response_Table!$A$4:$A$21,0))*$R200*INDEX(Parameters!$X$9:$AA$9,1,MATCH($E200,Parameters!$X$3:$AA$3,0))),AS200*(1+INDEX(Response_Table!$I$4:$I$21,MATCH($F200&amp;"|high",Response_Table!$A$4:$A$21,0))*$R200*INDEX(Parameters!$X$9:$AA$9,1,MATCH($E200,Parameters!$X$3:$AA$3,0))))*(1-Inputs_General!$C$22*Parameters!$F$9))</f>
        <v>302.45837184455</v>
      </c>
      <c r="AV200" s="42" t="n">
        <f aca="false">MAX(AS200*(1+INDEX(Response_Table!$I$4:$I$21,MATCH($F200&amp;"|low",Response_Table!$A$4:$A$21,0))*$R200*INDEX(Parameters!$X$9:$AA$9,1,MATCH($E200,Parameters!$X$3:$AA$3,0))),AS200*(1+INDEX(Response_Table!$I$4:$I$21,MATCH($F200&amp;"|high",Response_Table!$A$4:$A$21,0))*$R200*INDEX(Parameters!$X$9:$AA$9,1,MATCH($E200,Parameters!$X$3:$AA$3,0))))*(1+Inputs_General!$C$22*Parameters!$F$9)</f>
        <v>374.876086311447</v>
      </c>
      <c r="AW200" s="45" t="n">
        <f aca="false">IF(AS200=0,0,AT200/AS200-1)</f>
        <v>0.188848190044276</v>
      </c>
      <c r="AX200" s="43" t="n">
        <f aca="false">INDEX(Context!$AB$4:$AB$51,$K200)</f>
        <v>1.09384586130271</v>
      </c>
      <c r="AY200" s="43" t="n">
        <f aca="false">AX200*(1+INDEX(Response_Table!$J$4:$J$21,MATCH($F200&amp;"|mid",Response_Table!$A$4:$A$21,0))*$R200*INDEX(Parameters!$X$10:$AA$10,1,MATCH($E200,Parameters!$X$3:$AA$3,0)))</f>
        <v>0.925841373087984</v>
      </c>
      <c r="AZ200" s="43" t="n">
        <f aca="false">MAX(0,MIN(AX200*(1+INDEX(Response_Table!$J$4:$J$21,MATCH($F200&amp;"|low",Response_Table!$A$4:$A$21,0))*$R200*INDEX(Parameters!$X$10:$AA$10,1,MATCH($E200,Parameters!$X$3:$AA$3,0))),AX200*(1+INDEX(Response_Table!$J$4:$J$21,MATCH($F200&amp;"|high",Response_Table!$A$4:$A$21,0))*$R200*INDEX(Parameters!$X$10:$AA$10,1,MATCH($E200,Parameters!$X$3:$AA$3,0))))*(1-Inputs_General!$C$22*Parameters!$F$10))</f>
        <v>0.730071430493638</v>
      </c>
      <c r="BA200" s="43" t="n">
        <f aca="false">MAX(AX200*(1+INDEX(Response_Table!$J$4:$J$21,MATCH($F200&amp;"|low",Response_Table!$A$4:$A$21,0))*$R200*INDEX(Parameters!$X$10:$AA$10,1,MATCH($E200,Parameters!$X$3:$AA$3,0))),AX200*(1+INDEX(Response_Table!$J$4:$J$21,MATCH($F200&amp;"|high",Response_Table!$A$4:$A$21,0))*$R200*INDEX(Parameters!$X$10:$AA$10,1,MATCH($E200,Parameters!$X$3:$AA$3,0))))*(1+Inputs_General!$C$22*Parameters!$F$10)</f>
        <v>1.12927302401596</v>
      </c>
      <c r="BB200" s="45" t="n">
        <f aca="false">IF(AX200=0,0,AY200/AX200-1)</f>
        <v>-0.153590642117198</v>
      </c>
      <c r="BC200" s="46" t="n">
        <f aca="false">Parameters!$E$11*IF($N200="V",Parameters!$I$11,IF($N200="F",Parameters!$J$11,Parameters!$K$11))*(1-Parameters!$L$11*$P200)*IF($D200="V1",Parameters!$M$11,IF($D200="V2",Parameters!$N$11,Parameters!$O$11))</f>
        <v>1.223125</v>
      </c>
      <c r="BD200" s="46" t="n">
        <f aca="false">BC200*(1+INDEX(Response_Table!$K$4:$K$21,MATCH($F200&amp;"|mid",Response_Table!$A$4:$A$21,0))*$R200*INDEX(Parameters!$X$11:$AA$11,1,MATCH($E200,Parameters!$X$3:$AA$3,0)))</f>
        <v>0.927449173425977</v>
      </c>
      <c r="BE200" s="46" t="n">
        <f aca="false">MAX(0,MIN(BC200*(1+INDEX(Response_Table!$K$4:$K$21,MATCH($F200&amp;"|low",Response_Table!$A$4:$A$21,0))*$R200*INDEX(Parameters!$X$11:$AA$11,1,MATCH($E200,Parameters!$X$3:$AA$3,0))),BC200*(1+INDEX(Response_Table!$K$4:$K$21,MATCH($F200&amp;"|high",Response_Table!$A$4:$A$21,0))*$R200*INDEX(Parameters!$X$11:$AA$11,1,MATCH($E200,Parameters!$X$3:$AA$3,0))))*(1-Inputs_General!$C$22*Parameters!$F$11))</f>
        <v>0.758212094474405</v>
      </c>
      <c r="BF200" s="46" t="n">
        <f aca="false">MAX(BC200*(1+INDEX(Response_Table!$K$4:$K$21,MATCH($F200&amp;"|low",Response_Table!$A$4:$A$21,0))*$R200*INDEX(Parameters!$X$11:$AA$11,1,MATCH($E200,Parameters!$X$3:$AA$3,0))),BC200*(1+INDEX(Response_Table!$K$4:$K$21,MATCH($F200&amp;"|high",Response_Table!$A$4:$A$21,0))*$R200*INDEX(Parameters!$X$11:$AA$11,1,MATCH($E200,Parameters!$X$3:$AA$3,0))))*(1+Inputs_General!$C$22*Parameters!$F$11)</f>
        <v>1.10779671445084</v>
      </c>
      <c r="BG200" s="45" t="n">
        <f aca="false">IF(BC200=0,0,BD200/BC200-1)</f>
        <v>-0.241738028880142</v>
      </c>
      <c r="BH200" s="46" t="n">
        <f aca="false">Parameters!$E$12*IF($N200="V",Parameters!$I$12,IF($N200="F",Parameters!$J$12,Parameters!$K$12))*(1-Parameters!$L$12*$P200)*IF($D200="V1",Parameters!$M$12,IF($D200="V2",Parameters!$N$12,Parameters!$O$12))</f>
        <v>0.440325</v>
      </c>
      <c r="BI200" s="46" t="n">
        <f aca="false">BH200*(1+INDEX(Response_Table!$L$4:$L$21,MATCH($F200&amp;"|mid",Response_Table!$A$4:$A$21,0))*$R200*INDEX(Parameters!$X$12:$AA$12,1,MATCH($E200,Parameters!$X$3:$AA$3,0)))</f>
        <v>0.352042727896049</v>
      </c>
      <c r="BJ200" s="46" t="n">
        <f aca="false">MAX(0,MIN(BH200*(1+INDEX(Response_Table!$L$4:$L$21,MATCH($F200&amp;"|low",Response_Table!$A$4:$A$21,0))*$R200*INDEX(Parameters!$X$12:$AA$12,1,MATCH($E200,Parameters!$X$3:$AA$3,0))),BH200*(1+INDEX(Response_Table!$L$4:$L$21,MATCH($F200&amp;"|high",Response_Table!$A$4:$A$21,0))*$R200*INDEX(Parameters!$X$12:$AA$12,1,MATCH($E200,Parameters!$X$3:$AA$3,0))))*(1-Inputs_General!$C$22*Parameters!$F$12))</f>
        <v>0.277246662613975</v>
      </c>
      <c r="BK200" s="46" t="n">
        <f aca="false">MAX(BH200*(1+INDEX(Response_Table!$L$4:$L$21,MATCH($F200&amp;"|low",Response_Table!$A$4:$A$21,0))*$R200*INDEX(Parameters!$X$12:$AA$12,1,MATCH($E200,Parameters!$X$3:$AA$3,0))),BH200*(1+INDEX(Response_Table!$L$4:$L$21,MATCH($F200&amp;"|high",Response_Table!$A$4:$A$21,0))*$R200*INDEX(Parameters!$X$12:$AA$12,1,MATCH($E200,Parameters!$X$3:$AA$3,0))))*(1+Inputs_General!$C$22*Parameters!$F$12)</f>
        <v>0.430688225439012</v>
      </c>
      <c r="BL200" s="45" t="n">
        <f aca="false">IF(BH200=0,0,BI200/BH200-1)</f>
        <v>-0.200493435766652</v>
      </c>
      <c r="BM200" s="46" t="n">
        <f aca="false">Parameters!$E$13*IF($N200="V",Parameters!$I$13,IF($N200="F",Parameters!$J$13,Parameters!$K$13))*(1-Parameters!$L$13*$P200)*IF($D200="V1",Parameters!$M$13,IF($D200="V2",Parameters!$N$13,Parameters!$O$13))</f>
        <v>0.29355</v>
      </c>
      <c r="BN200" s="46" t="n">
        <f aca="false">BM200*(1+INDEX(Response_Table!$M$4:$M$21,MATCH($F200&amp;"|mid",Response_Table!$A$4:$A$21,0))*$R200*INDEX(Parameters!$X$13:$AA$13,1,MATCH($E200,Parameters!$X$3:$AA$3,0)))</f>
        <v>0.251077883453947</v>
      </c>
      <c r="BO200" s="46" t="n">
        <f aca="false">MAX(0,MIN(BM200*(1+INDEX(Response_Table!$M$4:$M$21,MATCH($F200&amp;"|low",Response_Table!$A$4:$A$21,0))*$R200*INDEX(Parameters!$X$13:$AA$13,1,MATCH($E200,Parameters!$X$3:$AA$3,0))),BM200*(1+INDEX(Response_Table!$M$4:$M$21,MATCH($F200&amp;"|high",Response_Table!$A$4:$A$21,0))*$R200*INDEX(Parameters!$X$13:$AA$13,1,MATCH($E200,Parameters!$X$3:$AA$3,0))))*(1-Inputs_General!$C$22*Parameters!$F$13))</f>
        <v>0.198725124593966</v>
      </c>
      <c r="BP200" s="46" t="n">
        <f aca="false">MAX(BM200*(1+INDEX(Response_Table!$M$4:$M$21,MATCH($F200&amp;"|low",Response_Table!$A$4:$A$21,0))*$R200*INDEX(Parameters!$X$13:$AA$13,1,MATCH($E200,Parameters!$X$3:$AA$3,0))),BM200*(1+INDEX(Response_Table!$M$4:$M$21,MATCH($F200&amp;"|high",Response_Table!$A$4:$A$21,0))*$R200*INDEX(Parameters!$X$13:$AA$13,1,MATCH($E200,Parameters!$X$3:$AA$3,0))))*(1+Inputs_General!$C$22*Parameters!$F$13)</f>
        <v>0.305943910176918</v>
      </c>
      <c r="BQ200" s="45" t="n">
        <f aca="false">IF(BM200=0,0,BN200/BM200-1)</f>
        <v>-0.144684437220417</v>
      </c>
      <c r="BR200" s="44" t="n">
        <f aca="false">Parameters!$E$14*IF($N200="V",Parameters!$I$14,IF($N200="F",Parameters!$J$14,Parameters!$K$14))*(1-Parameters!$L$14*$P200)*IF($D200="V1",Parameters!$M$14,IF($D200="V2",Parameters!$N$14,Parameters!$O$14))*INDEX(Context!$AC$4:$AC$51,$K200)</f>
        <v>19.8</v>
      </c>
      <c r="BS200" s="44" t="n">
        <f aca="false">BR200*(1+INDEX(Response_Table!$N$4:$N$21,MATCH($F200&amp;"|mid",Response_Table!$A$4:$A$21,0))*$R200*INDEX(Parameters!$X$14:$AA$14,1,MATCH($E200,Parameters!$X$3:$AA$3,0)))</f>
        <v>24.1306582125597</v>
      </c>
      <c r="BT200" s="44" t="n">
        <f aca="false">MAX(0,MIN(BR200*(1+INDEX(Response_Table!$N$4:$N$21,MATCH($F200&amp;"|low",Response_Table!$A$4:$A$21,0))*$R200*INDEX(Parameters!$X$14:$AA$14,1,MATCH($E200,Parameters!$X$3:$AA$3,0))),BR200*(1+INDEX(Response_Table!$N$4:$N$21,MATCH($F200&amp;"|high",Response_Table!$A$4:$A$21,0))*$R200*INDEX(Parameters!$X$14:$AA$14,1,MATCH($E200,Parameters!$X$3:$AA$3,0))))*(1-Inputs_General!$C$22*Parameters!$F$14))</f>
        <v>12.0322678320629</v>
      </c>
      <c r="BU200" s="44" t="n">
        <f aca="false">MAX(BR200*(1+INDEX(Response_Table!$N$4:$N$21,MATCH($F200&amp;"|low",Response_Table!$A$4:$A$21,0))*$R200*INDEX(Parameters!$X$14:$AA$14,1,MATCH($E200,Parameters!$X$3:$AA$3,0))),BR200*(1+INDEX(Response_Table!$N$4:$N$21,MATCH($F200&amp;"|high",Response_Table!$A$4:$A$21,0))*$R200*INDEX(Parameters!$X$14:$AA$14,1,MATCH($E200,Parameters!$X$3:$AA$3,0))))*(1+Inputs_General!$C$22*Parameters!$F$14)</f>
        <v>36.5231925256959</v>
      </c>
      <c r="BV200" s="45" t="n">
        <f aca="false">IF(BR200=0,0,BS200/BR200-1)</f>
        <v>0.218720111745439</v>
      </c>
      <c r="BW200" s="43" t="n">
        <f aca="false">Parameters!$E$15*IF($N200="V",Parameters!$I$15,IF($N200="F",Parameters!$J$15,Parameters!$K$15))*(1-Parameters!$L$15*$P200)*IF($D200="V1",Parameters!$M$15,IF($D200="V2",Parameters!$N$15,Parameters!$O$15))</f>
        <v>10.8</v>
      </c>
      <c r="BX200" s="43" t="n">
        <f aca="false">BW200*(1+INDEX(Response_Table!$O$4:$O$21,MATCH($F200&amp;"|mid",Response_Table!$A$4:$A$21,0))*$R200*INDEX(Parameters!$X$15:$AA$15,1,MATCH($E200,Parameters!$X$3:$AA$3,0)))</f>
        <v>10.2094556982873</v>
      </c>
      <c r="BY200" s="43" t="n">
        <f aca="false">MAX(0,MIN(BW200*(1+INDEX(Response_Table!$O$4:$O$21,MATCH($F200&amp;"|low",Response_Table!$A$4:$A$21,0))*$R200*INDEX(Parameters!$X$15:$AA$15,1,MATCH($E200,Parameters!$X$3:$AA$3,0))),BW200*(1+INDEX(Response_Table!$O$4:$O$21,MATCH($F200&amp;"|high",Response_Table!$A$4:$A$21,0))*$R200*INDEX(Parameters!$X$15:$AA$15,1,MATCH($E200,Parameters!$X$3:$AA$3,0))))*(1-Inputs_General!$C$22*Parameters!$F$15))</f>
        <v>8.15863705562374</v>
      </c>
      <c r="BZ200" s="43" t="n">
        <f aca="false">MAX(BW200*(1+INDEX(Response_Table!$O$4:$O$21,MATCH($F200&amp;"|low",Response_Table!$A$4:$A$21,0))*$R200*INDEX(Parameters!$X$15:$AA$15,1,MATCH($E200,Parameters!$X$3:$AA$3,0))),BW200*(1+INDEX(Response_Table!$O$4:$O$21,MATCH($F200&amp;"|high",Response_Table!$A$4:$A$21,0))*$R200*INDEX(Parameters!$X$15:$AA$15,1,MATCH($E200,Parameters!$X$3:$AA$3,0))))*(1+Inputs_General!$C$22*Parameters!$F$15)</f>
        <v>12.2860242478384</v>
      </c>
      <c r="CA200" s="45" t="n">
        <f aca="false">IF(BW200=0,0,BX200/BW200-1)</f>
        <v>-0.0546800279363597</v>
      </c>
      <c r="CB200" s="46" t="n">
        <f aca="false">BD200+BI200</f>
        <v>1.27949190132203</v>
      </c>
      <c r="CC200" s="43" t="n">
        <f aca="false">BD200/BI200</f>
        <v>2.63447899909421</v>
      </c>
      <c r="CD200" s="46" t="n">
        <f aca="false">BN200/CB200</f>
        <v>0.196232491346387</v>
      </c>
      <c r="CE200" s="43" t="n">
        <f aca="false">AE200/AO200</f>
        <v>3.20782529721414</v>
      </c>
      <c r="CF200" s="44" t="n">
        <f aca="false">AE200/AJ200</f>
        <v>35.2176897420832</v>
      </c>
      <c r="CG200" s="44" t="n">
        <f aca="false">INDEX(Context!$V$4:$V$51,$K200)</f>
        <v>22.6257142857143</v>
      </c>
      <c r="CH200" s="44" t="n">
        <f aca="false">INDEX(Context!$Y$4:$Y$51,$K200)</f>
        <v>21.3177449518561</v>
      </c>
      <c r="CI200" s="44" t="n">
        <f aca="false">INDEX(Context!$Z$4:$Z$51,$K200)</f>
        <v>26.6257142857143</v>
      </c>
      <c r="CJ200" s="43" t="n">
        <f aca="false">INDEX(Context!$AA$4:$AA$51,$K200)</f>
        <v>0.12</v>
      </c>
      <c r="CK200" s="43" t="n">
        <f aca="false">MAX(0,MIN(1,1-(1-CJ200)*AO200/AN200))</f>
        <v>0.364834502147012</v>
      </c>
      <c r="CL200" s="44" t="n">
        <f aca="false">CH200+CK200*(CI200-CH200)</f>
        <v>23.2542753011858</v>
      </c>
      <c r="CM200" s="44" t="n">
        <f aca="false">CH200+MAX(0,MIN(1,1-(1-CJ200)*AQ200/AN200))*(CI200-CH200)</f>
        <v>21.827102203117</v>
      </c>
      <c r="CN200" s="44" t="n">
        <f aca="false">CH200+MAX(0,MIN(1,1-(1-CJ200)*AP200/AN200))*(CI200-CH200)</f>
        <v>24.4291909876893</v>
      </c>
      <c r="CO200" s="44" t="n">
        <f aca="false">CL200-CG200</f>
        <v>0.62856101547154</v>
      </c>
      <c r="CP200" s="44" t="n">
        <f aca="false">CL200-(CH200+CJ200*(CI200-CH200))</f>
        <v>1.29957402926679</v>
      </c>
      <c r="CQ200" s="46" t="n">
        <f aca="false">CL200/CG200</f>
        <v>1.02778082528287</v>
      </c>
      <c r="CR200" s="43" t="n">
        <f aca="false">IF(CL200-CH200&lt;=0,"n/a",(CI200-CL200)/(CL200-CH200))</f>
        <v>1.74096883412919</v>
      </c>
      <c r="CS200" s="43" t="n">
        <f aca="false">IF(CI200-CL200&lt;=0,"n/a",(CL200-CH200)/(CI200-CL200))</f>
        <v>0.57439282105253</v>
      </c>
      <c r="CT200" s="43" t="n">
        <f aca="false">Inputs_General!$C$23+Inputs_General!$C$24*$I200</f>
        <v>1.9</v>
      </c>
      <c r="CU200" s="44" t="n">
        <f aca="false">3.29*CT200</f>
        <v>6.251</v>
      </c>
    </row>
    <row r="201" customFormat="false" ht="15" hidden="false" customHeight="false" outlineLevel="0" collapsed="false">
      <c r="A201" s="33" t="str">
        <f aca="false">B201&amp;"|"&amp;E201&amp;"|"&amp;F201</f>
        <v>D3V3|24/02/2026|Healthy</v>
      </c>
      <c r="B201" s="34" t="s">
        <v>351</v>
      </c>
      <c r="C201" s="33" t="s">
        <v>131</v>
      </c>
      <c r="D201" s="33" t="s">
        <v>150</v>
      </c>
      <c r="E201" s="33" t="s">
        <v>160</v>
      </c>
      <c r="F201" s="34" t="s">
        <v>275</v>
      </c>
      <c r="G201" s="33" t="s">
        <v>276</v>
      </c>
      <c r="H201" s="35" t="n">
        <f aca="false">INDEX(Severity_Classes!$C$4:$C$9,MATCH(F201,Severity_Classes!$A$4:$A$9,0))</f>
        <v>0</v>
      </c>
      <c r="I201" s="35" t="n">
        <f aca="false">INDEX(Severity_Classes!$D$4:$D$9,MATCH(F201,Severity_Classes!$A$4:$A$9,0))</f>
        <v>0</v>
      </c>
      <c r="J201" s="35" t="n">
        <f aca="false">INDEX(Severity_Classes!$E$4:$E$9,MATCH(F201,Severity_Classes!$A$4:$A$9,0))</f>
        <v>0</v>
      </c>
      <c r="K201" s="36" t="n">
        <f aca="false">MATCH(B201&amp;"|"&amp;E201,Context!$A$4:$A$51,0)</f>
        <v>34</v>
      </c>
      <c r="L201" s="36" t="n">
        <f aca="false">INDEX(Context!$H$4:$H$51,K201)</f>
        <v>59</v>
      </c>
      <c r="M201" s="36" t="n">
        <f aca="false">INDEX(Context!$I$4:$I$51,K201)</f>
        <v>19</v>
      </c>
      <c r="N201" s="33" t="str">
        <f aca="false">INDEX(Context!$L$4:$L$51,K201)</f>
        <v>V</v>
      </c>
      <c r="O201" s="33" t="str">
        <f aca="false">INDEX(Context!$M$4:$M$51,K201)</f>
        <v>3rd fully expanded leaf from top</v>
      </c>
      <c r="P201" s="37" t="n">
        <f aca="false">INDEX(Context!$R$4:$R$51,K201)</f>
        <v>0.0232142857142859</v>
      </c>
      <c r="Q201" s="37" t="n">
        <f aca="false">INDEX(Context!$U$4:$U$51,K201)</f>
        <v>1.19492600027053</v>
      </c>
      <c r="R201" s="37" t="n">
        <f aca="false">INDEX(Context!$AD$4:$AD$51,K201)</f>
        <v>0.85</v>
      </c>
      <c r="S201" s="33" t="str">
        <f aca="false">INDEX(Context!$AI$4:$AN$51,K201,MATCH(F201,Severity_Classes!$A$4:$A$9,0))</f>
        <v>Reference: healthy (uninoculated) control plot</v>
      </c>
      <c r="T201" s="38" t="n">
        <f aca="false">Parameters!$E$4*IF($N201="V",Parameters!$I$4,IF($N201="F",Parameters!$J$4,Parameters!$K$4))*(1-Parameters!$L$4*$P201)*IF($D201="V1",Parameters!$M$4,IF($D201="V2",Parameters!$N$4,Parameters!$O$4))</f>
        <v>85.9001785714286</v>
      </c>
      <c r="U201" s="38" t="n">
        <f aca="false">MIN(100,T201*(1+INDEX(Response_Table!$E$4:$E$21,MATCH($F201&amp;"|mid",Response_Table!$A$4:$A$21,0))*$R201*INDEX(Parameters!$X$4:$AA$4,1,MATCH($E201,Parameters!$X$3:$AA$3,0))))</f>
        <v>85.9001785714286</v>
      </c>
      <c r="V201" s="38" t="n">
        <f aca="false">MAX(0,MIN(T201*(1+INDEX(Response_Table!$E$4:$E$21,MATCH($F201&amp;"|low",Response_Table!$A$4:$A$21,0))*$R201*INDEX(Parameters!$X$4:$AA$4,1,MATCH($E201,Parameters!$X$3:$AA$3,0))),T201*(1+INDEX(Response_Table!$E$4:$E$21,MATCH($F201&amp;"|high",Response_Table!$A$4:$A$21,0))*$R201*INDEX(Parameters!$X$4:$AA$4,1,MATCH($E201,Parameters!$X$3:$AA$3,0))))*(1-Inputs_General!$C$22*Parameters!$F$4))</f>
        <v>80.2479468214286</v>
      </c>
      <c r="W201" s="38" t="n">
        <f aca="false">MIN(100,MAX(T201*(1+INDEX(Response_Table!$E$4:$E$21,MATCH($F201&amp;"|low",Response_Table!$A$4:$A$21,0))*$R201*INDEX(Parameters!$X$4:$AA$4,1,MATCH($E201,Parameters!$X$3:$AA$3,0))),T201*(1+INDEX(Response_Table!$E$4:$E$21,MATCH($F201&amp;"|high",Response_Table!$A$4:$A$21,0))*$R201*INDEX(Parameters!$X$4:$AA$4,1,MATCH($E201,Parameters!$X$3:$AA$3,0))))*(1+Inputs_General!$C$22*Parameters!$F$4))</f>
        <v>91.5524103214286</v>
      </c>
      <c r="X201" s="39" t="n">
        <f aca="false">IF(T201=0,0,U201/T201-1)</f>
        <v>0</v>
      </c>
      <c r="Y201" s="38" t="n">
        <f aca="false">Parameters!$E$5*IF($N201="V",Parameters!$I$5,IF($N201="F",Parameters!$J$5,Parameters!$K$5))*(1-Parameters!$L$5*$P201)*IF($D201="V1",Parameters!$M$5,IF($D201="V2",Parameters!$N$5,Parameters!$O$5))</f>
        <v>71.7994285714286</v>
      </c>
      <c r="Z201" s="38" t="n">
        <f aca="false">MIN(100,Y201*(1+INDEX(Response_Table!$F$4:$F$21,MATCH($F201&amp;"|mid",Response_Table!$A$4:$A$21,0))*$R201*INDEX(Parameters!$X$5:$AA$5,1,MATCH($E201,Parameters!$X$3:$AA$3,0))))</f>
        <v>71.7994285714286</v>
      </c>
      <c r="AA201" s="38" t="n">
        <f aca="false">MAX(0,MIN(Y201*(1+INDEX(Response_Table!$F$4:$F$21,MATCH($F201&amp;"|low",Response_Table!$A$4:$A$21,0))*$R201*INDEX(Parameters!$X$5:$AA$5,1,MATCH($E201,Parameters!$X$3:$AA$3,0))),Y201*(1+INDEX(Response_Table!$F$4:$F$21,MATCH($F201&amp;"|high",Response_Table!$A$4:$A$21,0))*$R201*INDEX(Parameters!$X$5:$AA$5,1,MATCH($E201,Parameters!$X$3:$AA$3,0))))*(1-Inputs_General!$C$22*Parameters!$F$5))</f>
        <v>63.5317243714286</v>
      </c>
      <c r="AB201" s="38" t="n">
        <f aca="false">MIN(100,MAX(Y201*(1+INDEX(Response_Table!$F$4:$F$21,MATCH($F201&amp;"|low",Response_Table!$A$4:$A$21,0))*$R201*INDEX(Parameters!$X$5:$AA$5,1,MATCH($E201,Parameters!$X$3:$AA$3,0))),Y201*(1+INDEX(Response_Table!$F$4:$F$21,MATCH($F201&amp;"|high",Response_Table!$A$4:$A$21,0))*$R201*INDEX(Parameters!$X$5:$AA$5,1,MATCH($E201,Parameters!$X$3:$AA$3,0))))*(1+Inputs_General!$C$22*Parameters!$F$5))</f>
        <v>80.0671327714286</v>
      </c>
      <c r="AC201" s="39" t="n">
        <f aca="false">IF(Y201=0,0,Z201/Y201-1)</f>
        <v>0</v>
      </c>
      <c r="AD201" s="38" t="n">
        <f aca="false">Parameters!$E$6*IF($N201="V",Parameters!$I$6,IF($N201="F",Parameters!$J$6,Parameters!$K$6))*(1-Parameters!$L$6*$P201)*IF($D201="V1",Parameters!$M$6,IF($D201="V2",Parameters!$N$6,Parameters!$O$6))</f>
        <v>19.5154835714286</v>
      </c>
      <c r="AE201" s="38" t="n">
        <f aca="false">AD201*(1+INDEX(Response_Table!$G$4:$G$21,MATCH($F201&amp;"|mid",Response_Table!$A$4:$A$21,0))*$R201*INDEX(Parameters!$X$6:$AA$6,1,MATCH($E201,Parameters!$X$3:$AA$3,0)))</f>
        <v>19.5154835714286</v>
      </c>
      <c r="AF201" s="38" t="n">
        <f aca="false">MAX(0,MIN(AD201*(1+INDEX(Response_Table!$G$4:$G$21,MATCH($F201&amp;"|low",Response_Table!$A$4:$A$21,0))*$R201*INDEX(Parameters!$X$6:$AA$6,1,MATCH($E201,Parameters!$X$3:$AA$3,0))),AD201*(1+INDEX(Response_Table!$G$4:$G$21,MATCH($F201&amp;"|high",Response_Table!$A$4:$A$21,0))*$R201*INDEX(Parameters!$X$6:$AA$6,1,MATCH($E201,Parameters!$X$3:$AA$3,0))))*(1-Inputs_General!$C$22*Parameters!$F$6))</f>
        <v>15.6631271144286</v>
      </c>
      <c r="AG201" s="38" t="n">
        <f aca="false">MAX(AD201*(1+INDEX(Response_Table!$G$4:$G$21,MATCH($F201&amp;"|low",Response_Table!$A$4:$A$21,0))*$R201*INDEX(Parameters!$X$6:$AA$6,1,MATCH($E201,Parameters!$X$3:$AA$3,0))),AD201*(1+INDEX(Response_Table!$G$4:$G$21,MATCH($F201&amp;"|high",Response_Table!$A$4:$A$21,0))*$R201*INDEX(Parameters!$X$6:$AA$6,1,MATCH($E201,Parameters!$X$3:$AA$3,0))))*(1+Inputs_General!$C$22*Parameters!$F$6)</f>
        <v>23.3678400284286</v>
      </c>
      <c r="AH201" s="39" t="n">
        <f aca="false">IF(AD201=0,0,AE201/AD201-1)</f>
        <v>0</v>
      </c>
      <c r="AI201" s="40" t="n">
        <f aca="false">Parameters!$E$7*IF($N201="V",Parameters!$I$7,IF($N201="F",Parameters!$J$7,Parameters!$K$7))*(1-Parameters!$L$7*$P201)*IF($D201="V1",Parameters!$M$7,IF($D201="V2",Parameters!$N$7,Parameters!$O$7))*POWER($Q201/Inputs_General!$C$26,-Inputs_General!$C$25)</f>
        <v>0.411663164578586</v>
      </c>
      <c r="AJ201" s="40" t="n">
        <f aca="false">AI201*(1+INDEX(Response_Table!$H$4:$H$21,MATCH($F201&amp;"|mid",Response_Table!$A$4:$A$21,0))*$R201*INDEX(Parameters!$X$7:$AA$7,1,MATCH($E201,Parameters!$X$3:$AA$3,0)))</f>
        <v>0.411663164578586</v>
      </c>
      <c r="AK201" s="40" t="n">
        <f aca="false">MAX(0,MIN(AI201*(1+INDEX(Response_Table!$H$4:$H$21,MATCH($F201&amp;"|low",Response_Table!$A$4:$A$21,0))*$R201*INDEX(Parameters!$X$7:$AA$7,1,MATCH($E201,Parameters!$X$3:$AA$3,0))),AI201*(1+INDEX(Response_Table!$H$4:$H$21,MATCH($F201&amp;"|high",Response_Table!$A$4:$A$21,0))*$R201*INDEX(Parameters!$X$7:$AA$7,1,MATCH($E201,Parameters!$X$3:$AA$3,0))))*(1-Inputs_General!$C$22*Parameters!$F$7))</f>
        <v>0.289769701546867</v>
      </c>
      <c r="AL201" s="40" t="n">
        <f aca="false">MAX(AI201*(1+INDEX(Response_Table!$H$4:$H$21,MATCH($F201&amp;"|low",Response_Table!$A$4:$A$21,0))*$R201*INDEX(Parameters!$X$7:$AA$7,1,MATCH($E201,Parameters!$X$3:$AA$3,0))),AI201*(1+INDEX(Response_Table!$H$4:$H$21,MATCH($F201&amp;"|high",Response_Table!$A$4:$A$21,0))*$R201*INDEX(Parameters!$X$7:$AA$7,1,MATCH($E201,Parameters!$X$3:$AA$3,0))))*(1+Inputs_General!$C$22*Parameters!$F$7)</f>
        <v>0.533556627610306</v>
      </c>
      <c r="AM201" s="39" t="n">
        <f aca="false">IF(AI201=0,0,AJ201/AI201-1)</f>
        <v>0</v>
      </c>
      <c r="AN201" s="37" t="n">
        <f aca="false">AI201*$Q201/Inputs_General!$C$13*1000</f>
        <v>4.95374641196979</v>
      </c>
      <c r="AO201" s="37" t="n">
        <f aca="false">AJ201*$Q201/Inputs_General!$C$13*1000*(1+Inputs_General!$C$21*$I201)</f>
        <v>4.95374641196979</v>
      </c>
      <c r="AP201" s="37" t="n">
        <f aca="false">AK201*$Q201/Inputs_General!$C$13*1000*(1+Inputs_General!$C$21*$H201)</f>
        <v>3.48694209938553</v>
      </c>
      <c r="AQ201" s="37" t="n">
        <f aca="false">AL201*$Q201/Inputs_General!$C$13*1000*(1+Inputs_General!$C$21*$J201)</f>
        <v>6.42055072455404</v>
      </c>
      <c r="AR201" s="39" t="n">
        <f aca="false">IF(AN201=0,0,AO201/AN201-1)</f>
        <v>0</v>
      </c>
      <c r="AS201" s="36" t="n">
        <f aca="false">Parameters!$E$9*IF($N201="V",Parameters!$I$9,IF($N201="F",Parameters!$J$9,Parameters!$K$9))*(1-Parameters!$L$9*$P201)*IF($D201="V1",Parameters!$M$9,IF($D201="V2",Parameters!$N$9,Parameters!$O$9))</f>
        <v>285</v>
      </c>
      <c r="AT201" s="36" t="n">
        <f aca="false">AS201*(1+INDEX(Response_Table!$I$4:$I$21,MATCH($F201&amp;"|mid",Response_Table!$A$4:$A$21,0))*$R201*INDEX(Parameters!$X$9:$AA$9,1,MATCH($E201,Parameters!$X$3:$AA$3,0)))</f>
        <v>285</v>
      </c>
      <c r="AU201" s="36" t="n">
        <f aca="false">MAX(0,MIN(AS201*(1+INDEX(Response_Table!$I$4:$I$21,MATCH($F201&amp;"|low",Response_Table!$A$4:$A$21,0))*$R201*INDEX(Parameters!$X$9:$AA$9,1,MATCH($E201,Parameters!$X$3:$AA$3,0))),AS201*(1+INDEX(Response_Table!$I$4:$I$21,MATCH($F201&amp;"|high",Response_Table!$A$4:$A$21,0))*$R201*INDEX(Parameters!$X$9:$AA$9,1,MATCH($E201,Parameters!$X$3:$AA$3,0))))*(1-Inputs_General!$C$22*Parameters!$F$9))</f>
        <v>256.8705</v>
      </c>
      <c r="AV201" s="36" t="n">
        <f aca="false">MAX(AS201*(1+INDEX(Response_Table!$I$4:$I$21,MATCH($F201&amp;"|low",Response_Table!$A$4:$A$21,0))*$R201*INDEX(Parameters!$X$9:$AA$9,1,MATCH($E201,Parameters!$X$3:$AA$3,0))),AS201*(1+INDEX(Response_Table!$I$4:$I$21,MATCH($F201&amp;"|high",Response_Table!$A$4:$A$21,0))*$R201*INDEX(Parameters!$X$9:$AA$9,1,MATCH($E201,Parameters!$X$3:$AA$3,0))))*(1+Inputs_General!$C$22*Parameters!$F$9)</f>
        <v>313.1295</v>
      </c>
      <c r="AW201" s="39" t="n">
        <f aca="false">IF(AS201=0,0,AT201/AS201-1)</f>
        <v>0</v>
      </c>
      <c r="AX201" s="37" t="n">
        <f aca="false">INDEX(Context!$AB$4:$AB$51,$K201)</f>
        <v>2.25291371771685</v>
      </c>
      <c r="AY201" s="37" t="n">
        <f aca="false">AX201*(1+INDEX(Response_Table!$J$4:$J$21,MATCH($F201&amp;"|mid",Response_Table!$A$4:$A$21,0))*$R201*INDEX(Parameters!$X$10:$AA$10,1,MATCH($E201,Parameters!$X$3:$AA$3,0)))</f>
        <v>2.25291371771685</v>
      </c>
      <c r="AZ201" s="37" t="n">
        <f aca="false">MAX(0,MIN(AX201*(1+INDEX(Response_Table!$J$4:$J$21,MATCH($F201&amp;"|low",Response_Table!$A$4:$A$21,0))*$R201*INDEX(Parameters!$X$10:$AA$10,1,MATCH($E201,Parameters!$X$3:$AA$3,0))),AX201*(1+INDEX(Response_Table!$J$4:$J$21,MATCH($F201&amp;"|high",Response_Table!$A$4:$A$21,0))*$R201*INDEX(Parameters!$X$10:$AA$10,1,MATCH($E201,Parameters!$X$3:$AA$3,0))))*(1-Inputs_General!$C$22*Parameters!$F$10))</f>
        <v>1.80818854983955</v>
      </c>
      <c r="BA201" s="37" t="n">
        <f aca="false">MAX(AX201*(1+INDEX(Response_Table!$J$4:$J$21,MATCH($F201&amp;"|low",Response_Table!$A$4:$A$21,0))*$R201*INDEX(Parameters!$X$10:$AA$10,1,MATCH($E201,Parameters!$X$3:$AA$3,0))),AX201*(1+INDEX(Response_Table!$J$4:$J$21,MATCH($F201&amp;"|high",Response_Table!$A$4:$A$21,0))*$R201*INDEX(Parameters!$X$10:$AA$10,1,MATCH($E201,Parameters!$X$3:$AA$3,0))))*(1+Inputs_General!$C$22*Parameters!$F$10)</f>
        <v>2.69763888559416</v>
      </c>
      <c r="BB201" s="39" t="n">
        <f aca="false">IF(AX201=0,0,AY201/AX201-1)</f>
        <v>0</v>
      </c>
      <c r="BC201" s="40" t="n">
        <f aca="false">Parameters!$E$11*IF($N201="V",Parameters!$I$11,IF($N201="F",Parameters!$J$11,Parameters!$K$11))*(1-Parameters!$L$11*$P201)*IF($D201="V1",Parameters!$M$11,IF($D201="V2",Parameters!$N$11,Parameters!$O$11))</f>
        <v>1.22142136160714</v>
      </c>
      <c r="BD201" s="40" t="n">
        <f aca="false">BC201*(1+INDEX(Response_Table!$K$4:$K$21,MATCH($F201&amp;"|mid",Response_Table!$A$4:$A$21,0))*$R201*INDEX(Parameters!$X$11:$AA$11,1,MATCH($E201,Parameters!$X$3:$AA$3,0)))</f>
        <v>1.22142136160714</v>
      </c>
      <c r="BE201" s="40" t="n">
        <f aca="false">MAX(0,MIN(BC201*(1+INDEX(Response_Table!$K$4:$K$21,MATCH($F201&amp;"|low",Response_Table!$A$4:$A$21,0))*$R201*INDEX(Parameters!$X$11:$AA$11,1,MATCH($E201,Parameters!$X$3:$AA$3,0))),BC201*(1+INDEX(Response_Table!$K$4:$K$21,MATCH($F201&amp;"|high",Response_Table!$A$4:$A$21,0))*$R201*INDEX(Parameters!$X$11:$AA$11,1,MATCH($E201,Parameters!$X$3:$AA$3,0))))*(1-Inputs_General!$C$22*Parameters!$F$11))</f>
        <v>1.02049754762277</v>
      </c>
      <c r="BF201" s="40" t="n">
        <f aca="false">MAX(BC201*(1+INDEX(Response_Table!$K$4:$K$21,MATCH($F201&amp;"|low",Response_Table!$A$4:$A$21,0))*$R201*INDEX(Parameters!$X$11:$AA$11,1,MATCH($E201,Parameters!$X$3:$AA$3,0))),BC201*(1+INDEX(Response_Table!$K$4:$K$21,MATCH($F201&amp;"|high",Response_Table!$A$4:$A$21,0))*$R201*INDEX(Parameters!$X$11:$AA$11,1,MATCH($E201,Parameters!$X$3:$AA$3,0))))*(1+Inputs_General!$C$22*Parameters!$F$11)</f>
        <v>1.42234517559152</v>
      </c>
      <c r="BG201" s="39" t="n">
        <f aca="false">IF(BC201=0,0,BD201/BC201-1)</f>
        <v>0</v>
      </c>
      <c r="BH201" s="40" t="n">
        <f aca="false">Parameters!$E$12*IF($N201="V",Parameters!$I$12,IF($N201="F",Parameters!$J$12,Parameters!$K$12))*(1-Parameters!$L$12*$P201)*IF($D201="V1",Parameters!$M$12,IF($D201="V2",Parameters!$N$12,Parameters!$O$12))</f>
        <v>0.439711690178571</v>
      </c>
      <c r="BI201" s="40" t="n">
        <f aca="false">BH201*(1+INDEX(Response_Table!$L$4:$L$21,MATCH($F201&amp;"|mid",Response_Table!$A$4:$A$21,0))*$R201*INDEX(Parameters!$X$12:$AA$12,1,MATCH($E201,Parameters!$X$3:$AA$3,0)))</f>
        <v>0.439711690178571</v>
      </c>
      <c r="BJ201" s="40" t="n">
        <f aca="false">MAX(0,MIN(BH201*(1+INDEX(Response_Table!$L$4:$L$21,MATCH($F201&amp;"|low",Response_Table!$A$4:$A$21,0))*$R201*INDEX(Parameters!$X$12:$AA$12,1,MATCH($E201,Parameters!$X$3:$AA$3,0))),BH201*(1+INDEX(Response_Table!$L$4:$L$21,MATCH($F201&amp;"|high",Response_Table!$A$4:$A$21,0))*$R201*INDEX(Parameters!$X$12:$AA$12,1,MATCH($E201,Parameters!$X$3:$AA$3,0))))*(1-Inputs_General!$C$22*Parameters!$F$12))</f>
        <v>0.352912602537321</v>
      </c>
      <c r="BK201" s="40" t="n">
        <f aca="false">MAX(BH201*(1+INDEX(Response_Table!$L$4:$L$21,MATCH($F201&amp;"|low",Response_Table!$A$4:$A$21,0))*$R201*INDEX(Parameters!$X$12:$AA$12,1,MATCH($E201,Parameters!$X$3:$AA$3,0))),BH201*(1+INDEX(Response_Table!$L$4:$L$21,MATCH($F201&amp;"|high",Response_Table!$A$4:$A$21,0))*$R201*INDEX(Parameters!$X$12:$AA$12,1,MATCH($E201,Parameters!$X$3:$AA$3,0))))*(1+Inputs_General!$C$22*Parameters!$F$12)</f>
        <v>0.526510777819822</v>
      </c>
      <c r="BL201" s="39" t="n">
        <f aca="false">IF(BH201=0,0,BI201/BH201-1)</f>
        <v>0</v>
      </c>
      <c r="BM201" s="40" t="n">
        <f aca="false">Parameters!$E$13*IF($N201="V",Parameters!$I$13,IF($N201="F",Parameters!$J$13,Parameters!$K$13))*(1-Parameters!$L$13*$P201)*IF($D201="V1",Parameters!$M$13,IF($D201="V2",Parameters!$N$13,Parameters!$O$13))</f>
        <v>0.293345563392857</v>
      </c>
      <c r="BN201" s="40" t="n">
        <f aca="false">BM201*(1+INDEX(Response_Table!$M$4:$M$21,MATCH($F201&amp;"|mid",Response_Table!$A$4:$A$21,0))*$R201*INDEX(Parameters!$X$13:$AA$13,1,MATCH($E201,Parameters!$X$3:$AA$3,0)))</f>
        <v>0.293345563392857</v>
      </c>
      <c r="BO201" s="40" t="n">
        <f aca="false">MAX(0,MIN(BM201*(1+INDEX(Response_Table!$M$4:$M$21,MATCH($F201&amp;"|low",Response_Table!$A$4:$A$21,0))*$R201*INDEX(Parameters!$X$13:$AA$13,1,MATCH($E201,Parameters!$X$3:$AA$3,0))),BM201*(1+INDEX(Response_Table!$M$4:$M$21,MATCH($F201&amp;"|high",Response_Table!$A$4:$A$21,0))*$R201*INDEX(Parameters!$X$13:$AA$13,1,MATCH($E201,Parameters!$X$3:$AA$3,0))))*(1-Inputs_General!$C$22*Parameters!$F$13))</f>
        <v>0.235439149179107</v>
      </c>
      <c r="BP201" s="40" t="n">
        <f aca="false">MAX(BM201*(1+INDEX(Response_Table!$M$4:$M$21,MATCH($F201&amp;"|low",Response_Table!$A$4:$A$21,0))*$R201*INDEX(Parameters!$X$13:$AA$13,1,MATCH($E201,Parameters!$X$3:$AA$3,0))),BM201*(1+INDEX(Response_Table!$M$4:$M$21,MATCH($F201&amp;"|high",Response_Table!$A$4:$A$21,0))*$R201*INDEX(Parameters!$X$13:$AA$13,1,MATCH($E201,Parameters!$X$3:$AA$3,0))))*(1+Inputs_General!$C$22*Parameters!$F$13)</f>
        <v>0.351251977606607</v>
      </c>
      <c r="BQ201" s="39" t="n">
        <f aca="false">IF(BM201=0,0,BN201/BM201-1)</f>
        <v>0</v>
      </c>
      <c r="BR201" s="38" t="n">
        <f aca="false">Parameters!$E$14*IF($N201="V",Parameters!$I$14,IF($N201="F",Parameters!$J$14,Parameters!$K$14))*(1-Parameters!$L$14*$P201)*IF($D201="V1",Parameters!$M$14,IF($D201="V2",Parameters!$N$14,Parameters!$O$14))*INDEX(Context!$AC$4:$AC$51,$K201)</f>
        <v>17.325</v>
      </c>
      <c r="BS201" s="38" t="n">
        <f aca="false">BR201*(1+INDEX(Response_Table!$N$4:$N$21,MATCH($F201&amp;"|mid",Response_Table!$A$4:$A$21,0))*$R201*INDEX(Parameters!$X$14:$AA$14,1,MATCH($E201,Parameters!$X$3:$AA$3,0)))</f>
        <v>17.325</v>
      </c>
      <c r="BT201" s="38" t="n">
        <f aca="false">MAX(0,MIN(BR201*(1+INDEX(Response_Table!$N$4:$N$21,MATCH($F201&amp;"|low",Response_Table!$A$4:$A$21,0))*$R201*INDEX(Parameters!$X$14:$AA$14,1,MATCH($E201,Parameters!$X$3:$AA$3,0))),BR201*(1+INDEX(Response_Table!$N$4:$N$21,MATCH($F201&amp;"|high",Response_Table!$A$4:$A$21,0))*$R201*INDEX(Parameters!$X$14:$AA$14,1,MATCH($E201,Parameters!$X$3:$AA$3,0))))*(1-Inputs_General!$C$22*Parameters!$F$14))</f>
        <v>8.7751125</v>
      </c>
      <c r="BU201" s="38" t="n">
        <f aca="false">MAX(BR201*(1+INDEX(Response_Table!$N$4:$N$21,MATCH($F201&amp;"|low",Response_Table!$A$4:$A$21,0))*$R201*INDEX(Parameters!$X$14:$AA$14,1,MATCH($E201,Parameters!$X$3:$AA$3,0))),BR201*(1+INDEX(Response_Table!$N$4:$N$21,MATCH($F201&amp;"|high",Response_Table!$A$4:$A$21,0))*$R201*INDEX(Parameters!$X$14:$AA$14,1,MATCH($E201,Parameters!$X$3:$AA$3,0))))*(1+Inputs_General!$C$22*Parameters!$F$14)</f>
        <v>25.8748875</v>
      </c>
      <c r="BV201" s="39" t="n">
        <f aca="false">IF(BR201=0,0,BS201/BR201-1)</f>
        <v>0</v>
      </c>
      <c r="BW201" s="37" t="n">
        <f aca="false">Parameters!$E$15*IF($N201="V",Parameters!$I$15,IF($N201="F",Parameters!$J$15,Parameters!$K$15))*(1-Parameters!$L$15*$P201)*IF($D201="V1",Parameters!$M$15,IF($D201="V2",Parameters!$N$15,Parameters!$O$15))</f>
        <v>10.7849571428571</v>
      </c>
      <c r="BX201" s="37" t="n">
        <f aca="false">BW201*(1+INDEX(Response_Table!$O$4:$O$21,MATCH($F201&amp;"|mid",Response_Table!$A$4:$A$21,0))*$R201*INDEX(Parameters!$X$15:$AA$15,1,MATCH($E201,Parameters!$X$3:$AA$3,0)))</f>
        <v>10.7849571428571</v>
      </c>
      <c r="BY201" s="37" t="n">
        <f aca="false">MAX(0,MIN(BW201*(1+INDEX(Response_Table!$O$4:$O$21,MATCH($F201&amp;"|low",Response_Table!$A$4:$A$21,0))*$R201*INDEX(Parameters!$X$15:$AA$15,1,MATCH($E201,Parameters!$X$3:$AA$3,0))),BW201*(1+INDEX(Response_Table!$O$4:$O$21,MATCH($F201&amp;"|high",Response_Table!$A$4:$A$21,0))*$R201*INDEX(Parameters!$X$15:$AA$15,1,MATCH($E201,Parameters!$X$3:$AA$3,0))))*(1-Inputs_General!$C$22*Parameters!$F$15))</f>
        <v>8.65600660285714</v>
      </c>
      <c r="BZ201" s="37" t="n">
        <f aca="false">MAX(BW201*(1+INDEX(Response_Table!$O$4:$O$21,MATCH($F201&amp;"|low",Response_Table!$A$4:$A$21,0))*$R201*INDEX(Parameters!$X$15:$AA$15,1,MATCH($E201,Parameters!$X$3:$AA$3,0))),BW201*(1+INDEX(Response_Table!$O$4:$O$21,MATCH($F201&amp;"|high",Response_Table!$A$4:$A$21,0))*$R201*INDEX(Parameters!$X$15:$AA$15,1,MATCH($E201,Parameters!$X$3:$AA$3,0))))*(1+Inputs_General!$C$22*Parameters!$F$15)</f>
        <v>12.9139076828571</v>
      </c>
      <c r="CA201" s="39" t="n">
        <f aca="false">IF(BW201=0,0,BX201/BW201-1)</f>
        <v>0</v>
      </c>
      <c r="CB201" s="40" t="n">
        <f aca="false">BD201+BI201</f>
        <v>1.66113305178571</v>
      </c>
      <c r="CC201" s="37" t="n">
        <f aca="false">BD201/BI201</f>
        <v>2.77777777777778</v>
      </c>
      <c r="CD201" s="40" t="n">
        <f aca="false">BN201/CB201</f>
        <v>0.176593658814694</v>
      </c>
      <c r="CE201" s="37" t="n">
        <f aca="false">AE201/AO201</f>
        <v>3.93954028899685</v>
      </c>
      <c r="CF201" s="38" t="n">
        <f aca="false">AE201/AJ201</f>
        <v>47.4064362581634</v>
      </c>
      <c r="CG201" s="38" t="n">
        <f aca="false">INDEX(Context!$V$4:$V$51,$K201)</f>
        <v>25.5785714285714</v>
      </c>
      <c r="CH201" s="38" t="n">
        <f aca="false">INDEX(Context!$Y$4:$Y$51,$K201)</f>
        <v>23.620522619794</v>
      </c>
      <c r="CI201" s="38" t="n">
        <f aca="false">INDEX(Context!$Z$4:$Z$51,$K201)</f>
        <v>29.5785714285714</v>
      </c>
      <c r="CJ201" s="37" t="n">
        <f aca="false">INDEX(Context!$AA$4:$AA$51,$K201)</f>
        <v>0.121160714285714</v>
      </c>
      <c r="CK201" s="37" t="n">
        <f aca="false">MAX(0,MIN(1,1-(1-CJ201)*AO201/AN201))</f>
        <v>0.121160714285714</v>
      </c>
      <c r="CL201" s="38" t="n">
        <f aca="false">CH201+CK201*(CI201-CH201)</f>
        <v>24.3424040692146</v>
      </c>
      <c r="CM201" s="38" t="n">
        <f aca="false">CH201+MAX(0,MIN(1,1-(1-CJ201)*AQ201/AN201))*(CI201-CH201)</f>
        <v>23.620522619794</v>
      </c>
      <c r="CN201" s="38" t="n">
        <f aca="false">CH201+MAX(0,MIN(1,1-(1-CJ201)*AP201/AN201))*(CI201-CH201)</f>
        <v>25.8928332243202</v>
      </c>
      <c r="CO201" s="38" t="n">
        <f aca="false">CL201-CG201</f>
        <v>-1.2361673593568</v>
      </c>
      <c r="CP201" s="38" t="n">
        <f aca="false">CL201-(CH201+CJ201*(CI201-CH201))</f>
        <v>0</v>
      </c>
      <c r="CQ201" s="40" t="n">
        <f aca="false">CL201/CG201</f>
        <v>0.951671759198561</v>
      </c>
      <c r="CR201" s="37" t="n">
        <f aca="false">IF(CL201-CH201&lt;=0,"n/a",(CI201-CL201)/(CL201-CH201))</f>
        <v>7.25350036845984</v>
      </c>
      <c r="CS201" s="37" t="n">
        <f aca="false">IF(CI201-CL201&lt;=0,"n/a",(CL201-CH201)/(CI201-CL201))</f>
        <v>0.137864472213756</v>
      </c>
      <c r="CT201" s="37" t="n">
        <f aca="false">Inputs_General!$C$23+Inputs_General!$C$24*$I201</f>
        <v>0.6</v>
      </c>
      <c r="CU201" s="38" t="n">
        <f aca="false">3.29*CT201</f>
        <v>1.974</v>
      </c>
    </row>
    <row r="202" customFormat="false" ht="15" hidden="false" customHeight="false" outlineLevel="0" collapsed="false">
      <c r="A202" s="9" t="str">
        <f aca="false">B202&amp;"|"&amp;E202&amp;"|"&amp;F202</f>
        <v>D3V3|24/02/2026|Very low</v>
      </c>
      <c r="B202" s="7" t="s">
        <v>351</v>
      </c>
      <c r="C202" s="9" t="s">
        <v>131</v>
      </c>
      <c r="D202" s="9" t="s">
        <v>150</v>
      </c>
      <c r="E202" s="9" t="s">
        <v>160</v>
      </c>
      <c r="F202" s="7" t="s">
        <v>277</v>
      </c>
      <c r="G202" s="9" t="s">
        <v>278</v>
      </c>
      <c r="H202" s="41" t="n">
        <f aca="false">INDEX(Severity_Classes!$C$4:$C$9,MATCH(F202,Severity_Classes!$A$4:$A$9,0))</f>
        <v>0.01</v>
      </c>
      <c r="I202" s="41" t="n">
        <f aca="false">INDEX(Severity_Classes!$D$4:$D$9,MATCH(F202,Severity_Classes!$A$4:$A$9,0))</f>
        <v>0.03</v>
      </c>
      <c r="J202" s="41" t="n">
        <f aca="false">INDEX(Severity_Classes!$E$4:$E$9,MATCH(F202,Severity_Classes!$A$4:$A$9,0))</f>
        <v>0.05</v>
      </c>
      <c r="K202" s="42" t="n">
        <f aca="false">MATCH(B202&amp;"|"&amp;E202,Context!$A$4:$A$51,0)</f>
        <v>34</v>
      </c>
      <c r="L202" s="42" t="n">
        <f aca="false">INDEX(Context!$H$4:$H$51,K202)</f>
        <v>59</v>
      </c>
      <c r="M202" s="42" t="n">
        <f aca="false">INDEX(Context!$I$4:$I$51,K202)</f>
        <v>19</v>
      </c>
      <c r="N202" s="9" t="str">
        <f aca="false">INDEX(Context!$L$4:$L$51,K202)</f>
        <v>V</v>
      </c>
      <c r="O202" s="9" t="str">
        <f aca="false">INDEX(Context!$M$4:$M$51,K202)</f>
        <v>3rd fully expanded leaf from top</v>
      </c>
      <c r="P202" s="43" t="n">
        <f aca="false">INDEX(Context!$R$4:$R$51,K202)</f>
        <v>0.0232142857142859</v>
      </c>
      <c r="Q202" s="43" t="n">
        <f aca="false">INDEX(Context!$U$4:$U$51,K202)</f>
        <v>1.19492600027053</v>
      </c>
      <c r="R202" s="43" t="n">
        <f aca="false">INDEX(Context!$AD$4:$AD$51,K202)</f>
        <v>0.85</v>
      </c>
      <c r="S202" s="9" t="str">
        <f aca="false">INDEX(Context!$AI$4:$AN$51,K202,MATCH(F202,Severity_Classes!$A$4:$A$9,0))</f>
        <v>Likely</v>
      </c>
      <c r="T202" s="44" t="n">
        <f aca="false">Parameters!$E$4*IF($N202="V",Parameters!$I$4,IF($N202="F",Parameters!$J$4,Parameters!$K$4))*(1-Parameters!$L$4*$P202)*IF($D202="V1",Parameters!$M$4,IF($D202="V2",Parameters!$N$4,Parameters!$O$4))</f>
        <v>85.9001785714286</v>
      </c>
      <c r="U202" s="44" t="n">
        <f aca="false">MIN(100,T202*(1+INDEX(Response_Table!$E$4:$E$21,MATCH($F202&amp;"|mid",Response_Table!$A$4:$A$21,0))*$R202*INDEX(Parameters!$X$4:$AA$4,1,MATCH($E202,Parameters!$X$3:$AA$3,0))))</f>
        <v>85.5853855144937</v>
      </c>
      <c r="V202" s="44" t="n">
        <f aca="false">MAX(0,MIN(T202*(1+INDEX(Response_Table!$E$4:$E$21,MATCH($F202&amp;"|low",Response_Table!$A$4:$A$21,0))*$R202*INDEX(Parameters!$X$4:$AA$4,1,MATCH($E202,Parameters!$X$3:$AA$3,0))),T202*(1+INDEX(Response_Table!$E$4:$E$21,MATCH($F202&amp;"|high",Response_Table!$A$4:$A$21,0))*$R202*INDEX(Parameters!$X$4:$AA$4,1,MATCH($E202,Parameters!$X$3:$AA$3,0))))*(1-Inputs_General!$C$22*Parameters!$F$4))</f>
        <v>79.7189849902027</v>
      </c>
      <c r="W202" s="44" t="n">
        <f aca="false">MIN(100,MAX(T202*(1+INDEX(Response_Table!$E$4:$E$21,MATCH($F202&amp;"|low",Response_Table!$A$4:$A$21,0))*$R202*INDEX(Parameters!$X$4:$AA$4,1,MATCH($E202,Parameters!$X$3:$AA$3,0))),T202*(1+INDEX(Response_Table!$E$4:$E$21,MATCH($F202&amp;"|high",Response_Table!$A$4:$A$21,0))*$R202*INDEX(Parameters!$X$4:$AA$4,1,MATCH($E202,Parameters!$X$3:$AA$3,0))))*(1+Inputs_General!$C$22*Parameters!$F$4))</f>
        <v>91.4487202796975</v>
      </c>
      <c r="X202" s="45" t="n">
        <f aca="false">IF(T202=0,0,U202/T202-1)</f>
        <v>-0.00366463798061945</v>
      </c>
      <c r="Y202" s="44" t="n">
        <f aca="false">Parameters!$E$5*IF($N202="V",Parameters!$I$5,IF($N202="F",Parameters!$J$5,Parameters!$K$5))*(1-Parameters!$L$5*$P202)*IF($D202="V1",Parameters!$M$5,IF($D202="V2",Parameters!$N$5,Parameters!$O$5))</f>
        <v>71.7994285714286</v>
      </c>
      <c r="Z202" s="44" t="n">
        <f aca="false">MIN(100,Y202*(1+INDEX(Response_Table!$F$4:$F$21,MATCH($F202&amp;"|mid",Response_Table!$A$4:$A$21,0))*$R202*INDEX(Parameters!$X$5:$AA$5,1,MATCH($E202,Parameters!$X$3:$AA$3,0))))</f>
        <v>70.9594951942195</v>
      </c>
      <c r="AA202" s="44" t="n">
        <f aca="false">MAX(0,MIN(Y202*(1+INDEX(Response_Table!$F$4:$F$21,MATCH($F202&amp;"|low",Response_Table!$A$4:$A$21,0))*$R202*INDEX(Parameters!$X$5:$AA$5,1,MATCH($E202,Parameters!$X$3:$AA$3,0))),Y202*(1+INDEX(Response_Table!$F$4:$F$21,MATCH($F202&amp;"|high",Response_Table!$A$4:$A$21,0))*$R202*INDEX(Parameters!$X$5:$AA$5,1,MATCH($E202,Parameters!$X$3:$AA$3,0))))*(1-Inputs_General!$C$22*Parameters!$F$5))</f>
        <v>62.1763903829233</v>
      </c>
      <c r="AB202" s="44" t="n">
        <f aca="false">MIN(100,MAX(Y202*(1+INDEX(Response_Table!$F$4:$F$21,MATCH($F202&amp;"|low",Response_Table!$A$4:$A$21,0))*$R202*INDEX(Parameters!$X$5:$AA$5,1,MATCH($E202,Parameters!$X$3:$AA$3,0))),Y202*(1+INDEX(Response_Table!$F$4:$F$21,MATCH($F202&amp;"|high",Response_Table!$A$4:$A$21,0))*$R202*INDEX(Parameters!$X$5:$AA$5,1,MATCH($E202,Parameters!$X$3:$AA$3,0))))*(1+Inputs_General!$C$22*Parameters!$F$5))</f>
        <v>79.7816405380512</v>
      </c>
      <c r="AC202" s="45" t="n">
        <f aca="false">IF(Y202=0,0,Z202/Y202-1)</f>
        <v>-0.0116983295538827</v>
      </c>
      <c r="AD202" s="44" t="n">
        <f aca="false">Parameters!$E$6*IF($N202="V",Parameters!$I$6,IF($N202="F",Parameters!$J$6,Parameters!$K$6))*(1-Parameters!$L$6*$P202)*IF($D202="V1",Parameters!$M$6,IF($D202="V2",Parameters!$N$6,Parameters!$O$6))</f>
        <v>19.5154835714286</v>
      </c>
      <c r="AE202" s="44" t="n">
        <f aca="false">AD202*(1+INDEX(Response_Table!$G$4:$G$21,MATCH($F202&amp;"|mid",Response_Table!$A$4:$A$21,0))*$R202*INDEX(Parameters!$X$6:$AA$6,1,MATCH($E202,Parameters!$X$3:$AA$3,0)))</f>
        <v>17.9770269560739</v>
      </c>
      <c r="AF202" s="44" t="n">
        <f aca="false">MAX(0,MIN(AD202*(1+INDEX(Response_Table!$G$4:$G$21,MATCH($F202&amp;"|low",Response_Table!$A$4:$A$21,0))*$R202*INDEX(Parameters!$X$6:$AA$6,1,MATCH($E202,Parameters!$X$3:$AA$3,0))),AD202*(1+INDEX(Response_Table!$G$4:$G$21,MATCH($F202&amp;"|high",Response_Table!$A$4:$A$21,0))*$R202*INDEX(Parameters!$X$6:$AA$6,1,MATCH($E202,Parameters!$X$3:$AA$3,0))))*(1-Inputs_General!$C$22*Parameters!$F$6))</f>
        <v>13.6912292184109</v>
      </c>
      <c r="AG202" s="44" t="n">
        <f aca="false">MAX(AD202*(1+INDEX(Response_Table!$G$4:$G$21,MATCH($F202&amp;"|low",Response_Table!$A$4:$A$21,0))*$R202*INDEX(Parameters!$X$6:$AA$6,1,MATCH($E202,Parameters!$X$3:$AA$3,0))),AD202*(1+INDEX(Response_Table!$G$4:$G$21,MATCH($F202&amp;"|high",Response_Table!$A$4:$A$21,0))*$R202*INDEX(Parameters!$X$6:$AA$6,1,MATCH($E202,Parameters!$X$3:$AA$3,0))))*(1+Inputs_General!$C$22*Parameters!$F$6)</f>
        <v>22.7265832182165</v>
      </c>
      <c r="AH202" s="45" t="n">
        <f aca="false">IF(AD202=0,0,AE202/AD202-1)</f>
        <v>-0.0788326156368996</v>
      </c>
      <c r="AI202" s="46" t="n">
        <f aca="false">Parameters!$E$7*IF($N202="V",Parameters!$I$7,IF($N202="F",Parameters!$J$7,Parameters!$K$7))*(1-Parameters!$L$7*$P202)*IF($D202="V1",Parameters!$M$7,IF($D202="V2",Parameters!$N$7,Parameters!$O$7))*POWER($Q202/Inputs_General!$C$26,-Inputs_General!$C$25)</f>
        <v>0.411663164578586</v>
      </c>
      <c r="AJ202" s="46" t="n">
        <f aca="false">AI202*(1+INDEX(Response_Table!$H$4:$H$21,MATCH($F202&amp;"|mid",Response_Table!$A$4:$A$21,0))*$R202*INDEX(Parameters!$X$7:$AA$7,1,MATCH($E202,Parameters!$X$3:$AA$3,0)))</f>
        <v>0.392087337823454</v>
      </c>
      <c r="AK202" s="46" t="n">
        <f aca="false">MAX(0,MIN(AI202*(1+INDEX(Response_Table!$H$4:$H$21,MATCH($F202&amp;"|low",Response_Table!$A$4:$A$21,0))*$R202*INDEX(Parameters!$X$7:$AA$7,1,MATCH($E202,Parameters!$X$3:$AA$3,0))),AI202*(1+INDEX(Response_Table!$H$4:$H$21,MATCH($F202&amp;"|high",Response_Table!$A$4:$A$21,0))*$R202*INDEX(Parameters!$X$7:$AA$7,1,MATCH($E202,Parameters!$X$3:$AA$3,0))))*(1-Inputs_General!$C$22*Parameters!$F$7))</f>
        <v>0.267469360572075</v>
      </c>
      <c r="AL202" s="46" t="n">
        <f aca="false">MAX(AI202*(1+INDEX(Response_Table!$H$4:$H$21,MATCH($F202&amp;"|low",Response_Table!$A$4:$A$21,0))*$R202*INDEX(Parameters!$X$7:$AA$7,1,MATCH($E202,Parameters!$X$3:$AA$3,0))),AI202*(1+INDEX(Response_Table!$H$4:$H$21,MATCH($F202&amp;"|high",Response_Table!$A$4:$A$21,0))*$R202*INDEX(Parameters!$X$7:$AA$7,1,MATCH($E202,Parameters!$X$3:$AA$3,0))))*(1+Inputs_General!$C$22*Parameters!$F$7)</f>
        <v>0.524844265358805</v>
      </c>
      <c r="AM202" s="45" t="n">
        <f aca="false">IF(AI202=0,0,AJ202/AI202-1)</f>
        <v>-0.0475530201376464</v>
      </c>
      <c r="AN202" s="43" t="n">
        <f aca="false">AI202*$Q202/Inputs_General!$C$13*1000</f>
        <v>4.95374641196979</v>
      </c>
      <c r="AO202" s="43" t="n">
        <f aca="false">AJ202*$Q202/Inputs_General!$C$13*1000*(1+Inputs_General!$C$21*$I202)</f>
        <v>4.75356716515273</v>
      </c>
      <c r="AP202" s="43" t="n">
        <f aca="false">AK202*$Q202/Inputs_General!$C$13*1000*(1+Inputs_General!$C$21*$H202)</f>
        <v>3.22663754739542</v>
      </c>
      <c r="AQ202" s="43" t="n">
        <f aca="false">AL202*$Q202/Inputs_General!$C$13*1000*(1+Inputs_General!$C$21*$J202)</f>
        <v>6.39465694365306</v>
      </c>
      <c r="AR202" s="45" t="n">
        <f aca="false">IF(AN202=0,0,AO202/AN202-1)</f>
        <v>-0.0404096677886785</v>
      </c>
      <c r="AS202" s="42" t="n">
        <f aca="false">Parameters!$E$9*IF($N202="V",Parameters!$I$9,IF($N202="F",Parameters!$J$9,Parameters!$K$9))*(1-Parameters!$L$9*$P202)*IF($D202="V1",Parameters!$M$9,IF($D202="V2",Parameters!$N$9,Parameters!$O$9))</f>
        <v>285</v>
      </c>
      <c r="AT202" s="42" t="n">
        <f aca="false">AS202*(1+INDEX(Response_Table!$I$4:$I$21,MATCH($F202&amp;"|mid",Response_Table!$A$4:$A$21,0))*$R202*INDEX(Parameters!$X$9:$AA$9,1,MATCH($E202,Parameters!$X$3:$AA$3,0)))</f>
        <v>293.218057261581</v>
      </c>
      <c r="AU202" s="42" t="n">
        <f aca="false">MAX(0,MIN(AS202*(1+INDEX(Response_Table!$I$4:$I$21,MATCH($F202&amp;"|low",Response_Table!$A$4:$A$21,0))*$R202*INDEX(Parameters!$X$9:$AA$9,1,MATCH($E202,Parameters!$X$3:$AA$3,0))),AS202*(1+INDEX(Response_Table!$I$4:$I$21,MATCH($F202&amp;"|high",Response_Table!$A$4:$A$21,0))*$R202*INDEX(Parameters!$X$9:$AA$9,1,MATCH($E202,Parameters!$X$3:$AA$3,0))))*(1-Inputs_General!$C$22*Parameters!$F$9))</f>
        <v>259.438869274407</v>
      </c>
      <c r="AV202" s="42" t="n">
        <f aca="false">MAX(AS202*(1+INDEX(Response_Table!$I$4:$I$21,MATCH($F202&amp;"|low",Response_Table!$A$4:$A$21,0))*$R202*INDEX(Parameters!$X$9:$AA$9,1,MATCH($E202,Parameters!$X$3:$AA$3,0))),AS202*(1+INDEX(Response_Table!$I$4:$I$21,MATCH($F202&amp;"|high",Response_Table!$A$4:$A$21,0))*$R202*INDEX(Parameters!$X$9:$AA$9,1,MATCH($E202,Parameters!$X$3:$AA$3,0))))*(1+Inputs_General!$C$22*Parameters!$F$9)</f>
        <v>327.603490906787</v>
      </c>
      <c r="AW202" s="45" t="n">
        <f aca="false">IF(AS202=0,0,AT202/AS202-1)</f>
        <v>0.0288352886371248</v>
      </c>
      <c r="AX202" s="43" t="n">
        <f aca="false">INDEX(Context!$AB$4:$AB$51,$K202)</f>
        <v>2.25291371771685</v>
      </c>
      <c r="AY202" s="43" t="n">
        <f aca="false">AX202*(1+INDEX(Response_Table!$J$4:$J$21,MATCH($F202&amp;"|mid",Response_Table!$A$4:$A$21,0))*$R202*INDEX(Parameters!$X$10:$AA$10,1,MATCH($E202,Parameters!$X$3:$AA$3,0)))</f>
        <v>2.19064742596872</v>
      </c>
      <c r="AZ202" s="43" t="n">
        <f aca="false">MAX(0,MIN(AX202*(1+INDEX(Response_Table!$J$4:$J$21,MATCH($F202&amp;"|low",Response_Table!$A$4:$A$21,0))*$R202*INDEX(Parameters!$X$10:$AA$10,1,MATCH($E202,Parameters!$X$3:$AA$3,0))),AX202*(1+INDEX(Response_Table!$J$4:$J$21,MATCH($F202&amp;"|high",Response_Table!$A$4:$A$21,0))*$R202*INDEX(Parameters!$X$10:$AA$10,1,MATCH($E202,Parameters!$X$3:$AA$3,0))))*(1-Inputs_General!$C$22*Parameters!$F$10))</f>
        <v>1.72691963343071</v>
      </c>
      <c r="BA202" s="43" t="n">
        <f aca="false">MAX(AX202*(1+INDEX(Response_Table!$J$4:$J$21,MATCH($F202&amp;"|low",Response_Table!$A$4:$A$21,0))*$R202*INDEX(Parameters!$X$10:$AA$10,1,MATCH($E202,Parameters!$X$3:$AA$3,0))),AX202*(1+INDEX(Response_Table!$J$4:$J$21,MATCH($F202&amp;"|high",Response_Table!$A$4:$A$21,0))*$R202*INDEX(Parameters!$X$10:$AA$10,1,MATCH($E202,Parameters!$X$3:$AA$3,0))))*(1+Inputs_General!$C$22*Parameters!$F$10)</f>
        <v>2.67216249550824</v>
      </c>
      <c r="BB202" s="45" t="n">
        <f aca="false">IF(AX202=0,0,AY202/AX202-1)</f>
        <v>-0.0276381164793286</v>
      </c>
      <c r="BC202" s="46" t="n">
        <f aca="false">Parameters!$E$11*IF($N202="V",Parameters!$I$11,IF($N202="F",Parameters!$J$11,Parameters!$K$11))*(1-Parameters!$L$11*$P202)*IF($D202="V1",Parameters!$M$11,IF($D202="V2",Parameters!$N$11,Parameters!$O$11))</f>
        <v>1.22142136160714</v>
      </c>
      <c r="BD202" s="46" t="n">
        <f aca="false">BC202*(1+INDEX(Response_Table!$K$4:$K$21,MATCH($F202&amp;"|mid",Response_Table!$A$4:$A$21,0))*$R202*INDEX(Parameters!$X$11:$AA$11,1,MATCH($E202,Parameters!$X$3:$AA$3,0)))</f>
        <v>1.15964964822064</v>
      </c>
      <c r="BE202" s="46" t="n">
        <f aca="false">MAX(0,MIN(BC202*(1+INDEX(Response_Table!$K$4:$K$21,MATCH($F202&amp;"|low",Response_Table!$A$4:$A$21,0))*$R202*INDEX(Parameters!$X$11:$AA$11,1,MATCH($E202,Parameters!$X$3:$AA$3,0))),BC202*(1+INDEX(Response_Table!$K$4:$K$21,MATCH($F202&amp;"|high",Response_Table!$A$4:$A$21,0))*$R202*INDEX(Parameters!$X$11:$AA$11,1,MATCH($E202,Parameters!$X$3:$AA$3,0))))*(1-Inputs_General!$C$22*Parameters!$F$11))</f>
        <v>0.937132534952439</v>
      </c>
      <c r="BF202" s="46" t="n">
        <f aca="false">MAX(BC202*(1+INDEX(Response_Table!$K$4:$K$21,MATCH($F202&amp;"|low",Response_Table!$A$4:$A$21,0))*$R202*INDEX(Parameters!$X$11:$AA$11,1,MATCH($E202,Parameters!$X$3:$AA$3,0))),BC202*(1+INDEX(Response_Table!$K$4:$K$21,MATCH($F202&amp;"|high",Response_Table!$A$4:$A$21,0))*$R202*INDEX(Parameters!$X$11:$AA$11,1,MATCH($E202,Parameters!$X$3:$AA$3,0))))*(1+Inputs_General!$C$22*Parameters!$F$11)</f>
        <v>1.39759620824051</v>
      </c>
      <c r="BG202" s="45" t="n">
        <f aca="false">IF(BC202=0,0,BD202/BC202-1)</f>
        <v>-0.0505736311220398</v>
      </c>
      <c r="BH202" s="46" t="n">
        <f aca="false">Parameters!$E$12*IF($N202="V",Parameters!$I$12,IF($N202="F",Parameters!$J$12,Parameters!$K$12))*(1-Parameters!$L$12*$P202)*IF($D202="V1",Parameters!$M$12,IF($D202="V2",Parameters!$N$12,Parameters!$O$12))</f>
        <v>0.439711690178571</v>
      </c>
      <c r="BI202" s="46" t="n">
        <f aca="false">BH202*(1+INDEX(Response_Table!$L$4:$L$21,MATCH($F202&amp;"|mid",Response_Table!$A$4:$A$21,0))*$R202*INDEX(Parameters!$X$12:$AA$12,1,MATCH($E202,Parameters!$X$3:$AA$3,0)))</f>
        <v>0.422018935760416</v>
      </c>
      <c r="BJ202" s="46" t="n">
        <f aca="false">MAX(0,MIN(BH202*(1+INDEX(Response_Table!$L$4:$L$21,MATCH($F202&amp;"|low",Response_Table!$A$4:$A$21,0))*$R202*INDEX(Parameters!$X$12:$AA$12,1,MATCH($E202,Parameters!$X$3:$AA$3,0))),BH202*(1+INDEX(Response_Table!$L$4:$L$21,MATCH($F202&amp;"|high",Response_Table!$A$4:$A$21,0))*$R202*INDEX(Parameters!$X$12:$AA$12,1,MATCH($E202,Parameters!$X$3:$AA$3,0))))*(1-Inputs_General!$C$22*Parameters!$F$12))</f>
        <v>0.329931279354017</v>
      </c>
      <c r="BK202" s="46" t="n">
        <f aca="false">MAX(BH202*(1+INDEX(Response_Table!$L$4:$L$21,MATCH($F202&amp;"|low",Response_Table!$A$4:$A$21,0))*$R202*INDEX(Parameters!$X$12:$AA$12,1,MATCH($E202,Parameters!$X$3:$AA$3,0))),BH202*(1+INDEX(Response_Table!$L$4:$L$21,MATCH($F202&amp;"|high",Response_Table!$A$4:$A$21,0))*$R202*INDEX(Parameters!$X$12:$AA$12,1,MATCH($E202,Parameters!$X$3:$AA$3,0))))*(1+Inputs_General!$C$22*Parameters!$F$12)</f>
        <v>0.51923612947649</v>
      </c>
      <c r="BL202" s="45" t="n">
        <f aca="false">IF(BH202=0,0,BI202/BH202-1)</f>
        <v>-0.0402371708857008</v>
      </c>
      <c r="BM202" s="46" t="n">
        <f aca="false">Parameters!$E$13*IF($N202="V",Parameters!$I$13,IF($N202="F",Parameters!$J$13,Parameters!$K$13))*(1-Parameters!$L$13*$P202)*IF($D202="V1",Parameters!$M$13,IF($D202="V2",Parameters!$N$13,Parameters!$O$13))</f>
        <v>0.293345563392857</v>
      </c>
      <c r="BN202" s="46" t="n">
        <f aca="false">BM202*(1+INDEX(Response_Table!$M$4:$M$21,MATCH($F202&amp;"|mid",Response_Table!$A$4:$A$21,0))*$R202*INDEX(Parameters!$X$13:$AA$13,1,MATCH($E202,Parameters!$X$3:$AA$3,0)))</f>
        <v>0.299824773984744</v>
      </c>
      <c r="BO202" s="46" t="n">
        <f aca="false">MAX(0,MIN(BM202*(1+INDEX(Response_Table!$M$4:$M$21,MATCH($F202&amp;"|low",Response_Table!$A$4:$A$21,0))*$R202*INDEX(Parameters!$X$13:$AA$13,1,MATCH($E202,Parameters!$X$3:$AA$3,0))),BM202*(1+INDEX(Response_Table!$M$4:$M$21,MATCH($F202&amp;"|high",Response_Table!$A$4:$A$21,0))*$R202*INDEX(Parameters!$X$13:$AA$13,1,MATCH($E202,Parameters!$X$3:$AA$3,0))))*(1-Inputs_General!$C$22*Parameters!$F$13))</f>
        <v>0.237995572853318</v>
      </c>
      <c r="BP202" s="46" t="n">
        <f aca="false">MAX(BM202*(1+INDEX(Response_Table!$M$4:$M$21,MATCH($F202&amp;"|low",Response_Table!$A$4:$A$21,0))*$R202*INDEX(Parameters!$X$13:$AA$13,1,MATCH($E202,Parameters!$X$3:$AA$3,0))),BM202*(1+INDEX(Response_Table!$M$4:$M$21,MATCH($F202&amp;"|high",Response_Table!$A$4:$A$21,0))*$R202*INDEX(Parameters!$X$13:$AA$13,1,MATCH($E202,Parameters!$X$3:$AA$3,0))))*(1+Inputs_General!$C$22*Parameters!$F$13)</f>
        <v>0.359229389824487</v>
      </c>
      <c r="BQ202" s="45" t="n">
        <f aca="false">IF(BM202=0,0,BN202/BM202-1)</f>
        <v>0.0220872970327148</v>
      </c>
      <c r="BR202" s="44" t="n">
        <f aca="false">Parameters!$E$14*IF($N202="V",Parameters!$I$14,IF($N202="F",Parameters!$J$14,Parameters!$K$14))*(1-Parameters!$L$14*$P202)*IF($D202="V1",Parameters!$M$14,IF($D202="V2",Parameters!$N$14,Parameters!$O$14))*INDEX(Context!$AC$4:$AC$51,$K202)</f>
        <v>17.325</v>
      </c>
      <c r="BS202" s="44" t="n">
        <f aca="false">BR202*(1+INDEX(Response_Table!$N$4:$N$21,MATCH($F202&amp;"|mid",Response_Table!$A$4:$A$21,0))*$R202*INDEX(Parameters!$X$14:$AA$14,1,MATCH($E202,Parameters!$X$3:$AA$3,0)))</f>
        <v>18.0854825297397</v>
      </c>
      <c r="BT202" s="44" t="n">
        <f aca="false">MAX(0,MIN(BR202*(1+INDEX(Response_Table!$N$4:$N$21,MATCH($F202&amp;"|low",Response_Table!$A$4:$A$21,0))*$R202*INDEX(Parameters!$X$14:$AA$14,1,MATCH($E202,Parameters!$X$3:$AA$3,0))),BR202*(1+INDEX(Response_Table!$N$4:$N$21,MATCH($F202&amp;"|high",Response_Table!$A$4:$A$21,0))*$R202*INDEX(Parameters!$X$14:$AA$14,1,MATCH($E202,Parameters!$X$3:$AA$3,0))))*(1-Inputs_General!$C$22*Parameters!$F$14))</f>
        <v>8.90737782167455</v>
      </c>
      <c r="BU202" s="44" t="n">
        <f aca="false">MAX(BR202*(1+INDEX(Response_Table!$N$4:$N$21,MATCH($F202&amp;"|low",Response_Table!$A$4:$A$21,0))*$R202*INDEX(Parameters!$X$14:$AA$14,1,MATCH($E202,Parameters!$X$3:$AA$3,0))),BR202*(1+INDEX(Response_Table!$N$4:$N$21,MATCH($F202&amp;"|high",Response_Table!$A$4:$A$21,0))*$R202*INDEX(Parameters!$X$14:$AA$14,1,MATCH($E202,Parameters!$X$3:$AA$3,0))))*(1+Inputs_General!$C$22*Parameters!$F$14)</f>
        <v>27.713011874221</v>
      </c>
      <c r="BV202" s="45" t="n">
        <f aca="false">IF(BR202=0,0,BS202/BR202-1)</f>
        <v>0.0438950955116737</v>
      </c>
      <c r="BW202" s="43" t="n">
        <f aca="false">Parameters!$E$15*IF($N202="V",Parameters!$I$15,IF($N202="F",Parameters!$J$15,Parameters!$K$15))*(1-Parameters!$L$15*$P202)*IF($D202="V1",Parameters!$M$15,IF($D202="V2",Parameters!$N$15,Parameters!$O$15))</f>
        <v>10.7849571428571</v>
      </c>
      <c r="BX202" s="43" t="n">
        <f aca="false">BW202*(1+INDEX(Response_Table!$O$4:$O$21,MATCH($F202&amp;"|mid",Response_Table!$A$4:$A$21,0))*$R202*INDEX(Parameters!$X$15:$AA$15,1,MATCH($E202,Parameters!$X$3:$AA$3,0)))</f>
        <v>10.6666054618884</v>
      </c>
      <c r="BY202" s="43" t="n">
        <f aca="false">MAX(0,MIN(BW202*(1+INDEX(Response_Table!$O$4:$O$21,MATCH($F202&amp;"|low",Response_Table!$A$4:$A$21,0))*$R202*INDEX(Parameters!$X$15:$AA$15,1,MATCH($E202,Parameters!$X$3:$AA$3,0))),BW202*(1+INDEX(Response_Table!$O$4:$O$21,MATCH($F202&amp;"|high",Response_Table!$A$4:$A$21,0))*$R202*INDEX(Parameters!$X$15:$AA$15,1,MATCH($E202,Parameters!$X$3:$AA$3,0))))*(1-Inputs_General!$C$22*Parameters!$F$15))</f>
        <v>8.50227823669392</v>
      </c>
      <c r="BZ202" s="43" t="n">
        <f aca="false">MAX(BW202*(1+INDEX(Response_Table!$O$4:$O$21,MATCH($F202&amp;"|low",Response_Table!$A$4:$A$21,0))*$R202*INDEX(Parameters!$X$15:$AA$15,1,MATCH($E202,Parameters!$X$3:$AA$3,0))),BW202*(1+INDEX(Response_Table!$O$4:$O$21,MATCH($F202&amp;"|high",Response_Table!$A$4:$A$21,0))*$R202*INDEX(Parameters!$X$15:$AA$15,1,MATCH($E202,Parameters!$X$3:$AA$3,0))))*(1+Inputs_General!$C$22*Parameters!$F$15)</f>
        <v>12.8652455673074</v>
      </c>
      <c r="CA202" s="45" t="n">
        <f aca="false">IF(BW202=0,0,BX202/BW202-1)</f>
        <v>-0.0109737738779184</v>
      </c>
      <c r="CB202" s="46" t="n">
        <f aca="false">BD202+BI202</f>
        <v>1.58166858398106</v>
      </c>
      <c r="CC202" s="43" t="n">
        <f aca="false">BD202/BI202</f>
        <v>2.74786164779816</v>
      </c>
      <c r="CD202" s="46" t="n">
        <f aca="false">BN202/CB202</f>
        <v>0.189562324889886</v>
      </c>
      <c r="CE202" s="43" t="n">
        <f aca="false">AE202/AO202</f>
        <v>3.78179719177195</v>
      </c>
      <c r="CF202" s="44" t="n">
        <f aca="false">AE202/AJ202</f>
        <v>45.849547337763</v>
      </c>
      <c r="CG202" s="44" t="n">
        <f aca="false">INDEX(Context!$V$4:$V$51,$K202)</f>
        <v>25.5785714285714</v>
      </c>
      <c r="CH202" s="44" t="n">
        <f aca="false">INDEX(Context!$Y$4:$Y$51,$K202)</f>
        <v>23.620522619794</v>
      </c>
      <c r="CI202" s="44" t="n">
        <f aca="false">INDEX(Context!$Z$4:$Z$51,$K202)</f>
        <v>29.5785714285714</v>
      </c>
      <c r="CJ202" s="43" t="n">
        <f aca="false">INDEX(Context!$AA$4:$AA$51,$K202)</f>
        <v>0.121160714285714</v>
      </c>
      <c r="CK202" s="43" t="n">
        <f aca="false">MAX(0,MIN(1,1-(1-CJ202)*AO202/AN202))</f>
        <v>0.156674317861068</v>
      </c>
      <c r="CL202" s="44" t="n">
        <f aca="false">CH202+CK202*(CI202-CH202)</f>
        <v>24.5539958526922</v>
      </c>
      <c r="CM202" s="44" t="n">
        <f aca="false">CH202+MAX(0,MIN(1,1-(1-CJ202)*AQ202/AN202))*(CI202-CH202)</f>
        <v>23.620522619794</v>
      </c>
      <c r="CN202" s="44" t="n">
        <f aca="false">CH202+MAX(0,MIN(1,1-(1-CJ202)*AP202/AN202))*(CI202-CH202)</f>
        <v>26.1679781520721</v>
      </c>
      <c r="CO202" s="44" t="n">
        <f aca="false">CL202-CG202</f>
        <v>-1.02457557587927</v>
      </c>
      <c r="CP202" s="44" t="n">
        <f aca="false">CL202-(CH202+CJ202*(CI202-CH202))</f>
        <v>0.21159178347753</v>
      </c>
      <c r="CQ202" s="46" t="n">
        <f aca="false">CL202/CG202</f>
        <v>0.959943987538928</v>
      </c>
      <c r="CR202" s="43" t="n">
        <f aca="false">IF(CL202-CH202&lt;=0,"n/a",(CI202-CL202)/(CL202-CH202))</f>
        <v>5.38266701047173</v>
      </c>
      <c r="CS202" s="43" t="n">
        <f aca="false">IF(CI202-CL202&lt;=0,"n/a",(CL202-CH202)/(CI202-CL202))</f>
        <v>0.185781509065032</v>
      </c>
      <c r="CT202" s="43" t="n">
        <f aca="false">Inputs_General!$C$23+Inputs_General!$C$24*$I202</f>
        <v>0.66</v>
      </c>
      <c r="CU202" s="44" t="n">
        <f aca="false">3.29*CT202</f>
        <v>2.1714</v>
      </c>
    </row>
    <row r="203" customFormat="false" ht="15" hidden="false" customHeight="false" outlineLevel="0" collapsed="false">
      <c r="A203" s="9" t="str">
        <f aca="false">B203&amp;"|"&amp;E203&amp;"|"&amp;F203</f>
        <v>D3V3|24/02/2026|Low</v>
      </c>
      <c r="B203" s="7" t="s">
        <v>351</v>
      </c>
      <c r="C203" s="9" t="s">
        <v>131</v>
      </c>
      <c r="D203" s="9" t="s">
        <v>150</v>
      </c>
      <c r="E203" s="9" t="s">
        <v>160</v>
      </c>
      <c r="F203" s="7" t="s">
        <v>279</v>
      </c>
      <c r="G203" s="9" t="s">
        <v>280</v>
      </c>
      <c r="H203" s="41" t="n">
        <f aca="false">INDEX(Severity_Classes!$C$4:$C$9,MATCH(F203,Severity_Classes!$A$4:$A$9,0))</f>
        <v>0.06</v>
      </c>
      <c r="I203" s="41" t="n">
        <f aca="false">INDEX(Severity_Classes!$D$4:$D$9,MATCH(F203,Severity_Classes!$A$4:$A$9,0))</f>
        <v>0.08</v>
      </c>
      <c r="J203" s="41" t="n">
        <f aca="false">INDEX(Severity_Classes!$E$4:$E$9,MATCH(F203,Severity_Classes!$A$4:$A$9,0))</f>
        <v>0.1</v>
      </c>
      <c r="K203" s="42" t="n">
        <f aca="false">MATCH(B203&amp;"|"&amp;E203,Context!$A$4:$A$51,0)</f>
        <v>34</v>
      </c>
      <c r="L203" s="42" t="n">
        <f aca="false">INDEX(Context!$H$4:$H$51,K203)</f>
        <v>59</v>
      </c>
      <c r="M203" s="42" t="n">
        <f aca="false">INDEX(Context!$I$4:$I$51,K203)</f>
        <v>19</v>
      </c>
      <c r="N203" s="9" t="str">
        <f aca="false">INDEX(Context!$L$4:$L$51,K203)</f>
        <v>V</v>
      </c>
      <c r="O203" s="9" t="str">
        <f aca="false">INDEX(Context!$M$4:$M$51,K203)</f>
        <v>3rd fully expanded leaf from top</v>
      </c>
      <c r="P203" s="43" t="n">
        <f aca="false">INDEX(Context!$R$4:$R$51,K203)</f>
        <v>0.0232142857142859</v>
      </c>
      <c r="Q203" s="43" t="n">
        <f aca="false">INDEX(Context!$U$4:$U$51,K203)</f>
        <v>1.19492600027053</v>
      </c>
      <c r="R203" s="43" t="n">
        <f aca="false">INDEX(Context!$AD$4:$AD$51,K203)</f>
        <v>0.85</v>
      </c>
      <c r="S203" s="9" t="str">
        <f aca="false">INDEX(Context!$AI$4:$AN$51,K203,MATCH(F203,Severity_Classes!$A$4:$A$9,0))</f>
        <v>Likely</v>
      </c>
      <c r="T203" s="44" t="n">
        <f aca="false">Parameters!$E$4*IF($N203="V",Parameters!$I$4,IF($N203="F",Parameters!$J$4,Parameters!$K$4))*(1-Parameters!$L$4*$P203)*IF($D203="V1",Parameters!$M$4,IF($D203="V2",Parameters!$N$4,Parameters!$O$4))</f>
        <v>85.9001785714286</v>
      </c>
      <c r="U203" s="44" t="n">
        <f aca="false">MIN(100,T203*(1+INDEX(Response_Table!$E$4:$E$21,MATCH($F203&amp;"|mid",Response_Table!$A$4:$A$21,0))*$R203*INDEX(Parameters!$X$4:$AA$4,1,MATCH($E203,Parameters!$X$3:$AA$3,0))))</f>
        <v>84.8839080398902</v>
      </c>
      <c r="V203" s="44" t="n">
        <f aca="false">MAX(0,MIN(T203*(1+INDEX(Response_Table!$E$4:$E$21,MATCH($F203&amp;"|low",Response_Table!$A$4:$A$21,0))*$R203*INDEX(Parameters!$X$4:$AA$4,1,MATCH($E203,Parameters!$X$3:$AA$3,0))),T203*(1+INDEX(Response_Table!$E$4:$E$21,MATCH($F203&amp;"|high",Response_Table!$A$4:$A$21,0))*$R203*INDEX(Parameters!$X$4:$AA$4,1,MATCH($E203,Parameters!$X$3:$AA$3,0))))*(1-Inputs_General!$C$22*Parameters!$F$4))</f>
        <v>78.966837854826</v>
      </c>
      <c r="W203" s="44" t="n">
        <f aca="false">MIN(100,MAX(T203*(1+INDEX(Response_Table!$E$4:$E$21,MATCH($F203&amp;"|low",Response_Table!$A$4:$A$21,0))*$R203*INDEX(Parameters!$X$4:$AA$4,1,MATCH($E203,Parameters!$X$3:$AA$3,0))),T203*(1+INDEX(Response_Table!$E$4:$E$21,MATCH($F203&amp;"|high",Response_Table!$A$4:$A$21,0))*$R203*INDEX(Parameters!$X$4:$AA$4,1,MATCH($E203,Parameters!$X$3:$AA$3,0))))*(1+Inputs_General!$C$22*Parameters!$F$4))</f>
        <v>90.7999894287993</v>
      </c>
      <c r="X203" s="45" t="n">
        <f aca="false">IF(T203=0,0,U203/T203-1)</f>
        <v>-0.0118308314189739</v>
      </c>
      <c r="Y203" s="44" t="n">
        <f aca="false">Parameters!$E$5*IF($N203="V",Parameters!$I$5,IF($N203="F",Parameters!$J$5,Parameters!$K$5))*(1-Parameters!$L$5*$P203)*IF($D203="V1",Parameters!$M$5,IF($D203="V2",Parameters!$N$5,Parameters!$O$5))</f>
        <v>71.7994285714286</v>
      </c>
      <c r="Z203" s="44" t="n">
        <f aca="false">MIN(100,Y203*(1+INDEX(Response_Table!$F$4:$F$21,MATCH($F203&amp;"|mid",Response_Table!$A$4:$A$21,0))*$R203*INDEX(Parameters!$X$5:$AA$5,1,MATCH($E203,Parameters!$X$3:$AA$3,0))))</f>
        <v>68.9951762433514</v>
      </c>
      <c r="AA203" s="44" t="n">
        <f aca="false">MAX(0,MIN(Y203*(1+INDEX(Response_Table!$F$4:$F$21,MATCH($F203&amp;"|low",Response_Table!$A$4:$A$21,0))*$R203*INDEX(Parameters!$X$5:$AA$5,1,MATCH($E203,Parameters!$X$3:$AA$3,0))),Y203*(1+INDEX(Response_Table!$F$4:$F$21,MATCH($F203&amp;"|high",Response_Table!$A$4:$A$21,0))*$R203*INDEX(Parameters!$X$5:$AA$5,1,MATCH($E203,Parameters!$X$3:$AA$3,0))))*(1-Inputs_General!$C$22*Parameters!$F$5))</f>
        <v>60.1421893566829</v>
      </c>
      <c r="AB203" s="44" t="n">
        <f aca="false">MIN(100,MAX(Y203*(1+INDEX(Response_Table!$F$4:$F$21,MATCH($F203&amp;"|low",Response_Table!$A$4:$A$21,0))*$R203*INDEX(Parameters!$X$5:$AA$5,1,MATCH($E203,Parameters!$X$3:$AA$3,0))),Y203*(1+INDEX(Response_Table!$F$4:$F$21,MATCH($F203&amp;"|high",Response_Table!$A$4:$A$21,0))*$R203*INDEX(Parameters!$X$5:$AA$5,1,MATCH($E203,Parameters!$X$3:$AA$3,0))))*(1+Inputs_General!$C$22*Parameters!$F$5))</f>
        <v>77.9230370661516</v>
      </c>
      <c r="AC203" s="45" t="n">
        <f aca="false">IF(Y203=0,0,Z203/Y203-1)</f>
        <v>-0.0390567499473533</v>
      </c>
      <c r="AD203" s="44" t="n">
        <f aca="false">Parameters!$E$6*IF($N203="V",Parameters!$I$6,IF($N203="F",Parameters!$J$6,Parameters!$K$6))*(1-Parameters!$L$6*$P203)*IF($D203="V1",Parameters!$M$6,IF($D203="V2",Parameters!$N$6,Parameters!$O$6))</f>
        <v>19.5154835714286</v>
      </c>
      <c r="AE203" s="44" t="n">
        <f aca="false">AD203*(1+INDEX(Response_Table!$G$4:$G$21,MATCH($F203&amp;"|mid",Response_Table!$A$4:$A$21,0))*$R203*INDEX(Parameters!$X$6:$AA$6,1,MATCH($E203,Parameters!$X$3:$AA$3,0)))</f>
        <v>15.8239557320631</v>
      </c>
      <c r="AF203" s="44" t="n">
        <f aca="false">MAX(0,MIN(AD203*(1+INDEX(Response_Table!$G$4:$G$21,MATCH($F203&amp;"|low",Response_Table!$A$4:$A$21,0))*$R203*INDEX(Parameters!$X$6:$AA$6,1,MATCH($E203,Parameters!$X$3:$AA$3,0))),AD203*(1+INDEX(Response_Table!$G$4:$G$21,MATCH($F203&amp;"|high",Response_Table!$A$4:$A$21,0))*$R203*INDEX(Parameters!$X$6:$AA$6,1,MATCH($E203,Parameters!$X$3:$AA$3,0))))*(1-Inputs_General!$C$22*Parameters!$F$6))</f>
        <v>12.108744089194</v>
      </c>
      <c r="AG203" s="44" t="n">
        <f aca="false">MAX(AD203*(1+INDEX(Response_Table!$G$4:$G$21,MATCH($F203&amp;"|low",Response_Table!$A$4:$A$21,0))*$R203*INDEX(Parameters!$X$6:$AA$6,1,MATCH($E203,Parameters!$X$3:$AA$3,0))),AD203*(1+INDEX(Response_Table!$G$4:$G$21,MATCH($F203&amp;"|high",Response_Table!$A$4:$A$21,0))*$R203*INDEX(Parameters!$X$6:$AA$6,1,MATCH($E203,Parameters!$X$3:$AA$3,0))))*(1+Inputs_General!$C$22*Parameters!$F$6)</f>
        <v>19.9113423085424</v>
      </c>
      <c r="AH203" s="45" t="n">
        <f aca="false">IF(AD203=0,0,AE203/AD203-1)</f>
        <v>-0.189158922240083</v>
      </c>
      <c r="AI203" s="46" t="n">
        <f aca="false">Parameters!$E$7*IF($N203="V",Parameters!$I$7,IF($N203="F",Parameters!$J$7,Parameters!$K$7))*(1-Parameters!$L$7*$P203)*IF($D203="V1",Parameters!$M$7,IF($D203="V2",Parameters!$N$7,Parameters!$O$7))*POWER($Q203/Inputs_General!$C$26,-Inputs_General!$C$25)</f>
        <v>0.411663164578586</v>
      </c>
      <c r="AJ203" s="46" t="n">
        <f aca="false">AI203*(1+INDEX(Response_Table!$H$4:$H$21,MATCH($F203&amp;"|mid",Response_Table!$A$4:$A$21,0))*$R203*INDEX(Parameters!$X$7:$AA$7,1,MATCH($E203,Parameters!$X$3:$AA$3,0)))</f>
        <v>0.363132973483286</v>
      </c>
      <c r="AK203" s="46" t="n">
        <f aca="false">MAX(0,MIN(AI203*(1+INDEX(Response_Table!$H$4:$H$21,MATCH($F203&amp;"|low",Response_Table!$A$4:$A$21,0))*$R203*INDEX(Parameters!$X$7:$AA$7,1,MATCH($E203,Parameters!$X$3:$AA$3,0))),AI203*(1+INDEX(Response_Table!$H$4:$H$21,MATCH($F203&amp;"|high",Response_Table!$A$4:$A$21,0))*$R203*INDEX(Parameters!$X$7:$AA$7,1,MATCH($E203,Parameters!$X$3:$AA$3,0))))*(1-Inputs_General!$C$22*Parameters!$F$7))</f>
        <v>0.248275279218074</v>
      </c>
      <c r="AL203" s="46" t="n">
        <f aca="false">MAX(AI203*(1+INDEX(Response_Table!$H$4:$H$21,MATCH($F203&amp;"|low",Response_Table!$A$4:$A$21,0))*$R203*INDEX(Parameters!$X$7:$AA$7,1,MATCH($E203,Parameters!$X$3:$AA$3,0))),AI203*(1+INDEX(Response_Table!$H$4:$H$21,MATCH($F203&amp;"|high",Response_Table!$A$4:$A$21,0))*$R203*INDEX(Parameters!$X$7:$AA$7,1,MATCH($E203,Parameters!$X$3:$AA$3,0))))*(1+Inputs_General!$C$22*Parameters!$F$7)</f>
        <v>0.484995927177642</v>
      </c>
      <c r="AM203" s="45" t="n">
        <f aca="false">IF(AI203=0,0,AJ203/AI203-1)</f>
        <v>-0.117888106760729</v>
      </c>
      <c r="AN203" s="43" t="n">
        <f aca="false">AI203*$Q203/Inputs_General!$C$13*1000</f>
        <v>4.95374641196979</v>
      </c>
      <c r="AO203" s="43" t="n">
        <f aca="false">AJ203*$Q203/Inputs_General!$C$13*1000*(1+Inputs_General!$C$21*$I203)</f>
        <v>4.45715379861171</v>
      </c>
      <c r="AP203" s="43" t="n">
        <f aca="false">AK203*$Q203/Inputs_General!$C$13*1000*(1+Inputs_General!$C$21*$H203)</f>
        <v>3.03243348597718</v>
      </c>
      <c r="AQ203" s="43" t="n">
        <f aca="false">AL203*$Q203/Inputs_General!$C$13*1000*(1+Inputs_General!$C$21*$J203)</f>
        <v>5.98210069985019</v>
      </c>
      <c r="AR203" s="45" t="n">
        <f aca="false">IF(AN203=0,0,AO203/AN203-1)</f>
        <v>-0.100245868895944</v>
      </c>
      <c r="AS203" s="42" t="n">
        <f aca="false">Parameters!$E$9*IF($N203="V",Parameters!$I$9,IF($N203="F",Parameters!$J$9,Parameters!$K$9))*(1-Parameters!$L$9*$P203)*IF($D203="V1",Parameters!$M$9,IF($D203="V2",Parameters!$N$9,Parameters!$O$9))</f>
        <v>285</v>
      </c>
      <c r="AT203" s="42" t="n">
        <f aca="false">AS203*(1+INDEX(Response_Table!$I$4:$I$21,MATCH($F203&amp;"|mid",Response_Table!$A$4:$A$21,0))*$R203*INDEX(Parameters!$X$9:$AA$9,1,MATCH($E203,Parameters!$X$3:$AA$3,0)))</f>
        <v>304.90211873067</v>
      </c>
      <c r="AU203" s="42" t="n">
        <f aca="false">MAX(0,MIN(AS203*(1+INDEX(Response_Table!$I$4:$I$21,MATCH($F203&amp;"|low",Response_Table!$A$4:$A$21,0))*$R203*INDEX(Parameters!$X$9:$AA$9,1,MATCH($E203,Parameters!$X$3:$AA$3,0))),AS203*(1+INDEX(Response_Table!$I$4:$I$21,MATCH($F203&amp;"|high",Response_Table!$A$4:$A$21,0))*$R203*INDEX(Parameters!$X$9:$AA$9,1,MATCH($E203,Parameters!$X$3:$AA$3,0))))*(1-Inputs_General!$C$22*Parameters!$F$9))</f>
        <v>270.846797043545</v>
      </c>
      <c r="AV203" s="42" t="n">
        <f aca="false">MAX(AS203*(1+INDEX(Response_Table!$I$4:$I$21,MATCH($F203&amp;"|low",Response_Table!$A$4:$A$21,0))*$R203*INDEX(Parameters!$X$9:$AA$9,1,MATCH($E203,Parameters!$X$3:$AA$3,0))),AS203*(1+INDEX(Response_Table!$I$4:$I$21,MATCH($F203&amp;"|high",Response_Table!$A$4:$A$21,0))*$R203*INDEX(Parameters!$X$9:$AA$9,1,MATCH($E203,Parameters!$X$3:$AA$3,0))))*(1+Inputs_General!$C$22*Parameters!$F$9)</f>
        <v>339.453792381945</v>
      </c>
      <c r="AW203" s="45" t="n">
        <f aca="false">IF(AS203=0,0,AT203/AS203-1)</f>
        <v>0.0698319955462088</v>
      </c>
      <c r="AX203" s="43" t="n">
        <f aca="false">INDEX(Context!$AB$4:$AB$51,$K203)</f>
        <v>2.25291371771685</v>
      </c>
      <c r="AY203" s="43" t="n">
        <f aca="false">AX203*(1+INDEX(Response_Table!$J$4:$J$21,MATCH($F203&amp;"|mid",Response_Table!$A$4:$A$21,0))*$R203*INDEX(Parameters!$X$10:$AA$10,1,MATCH($E203,Parameters!$X$3:$AA$3,0)))</f>
        <v>2.09670684804787</v>
      </c>
      <c r="AZ203" s="43" t="n">
        <f aca="false">MAX(0,MIN(AX203*(1+INDEX(Response_Table!$J$4:$J$21,MATCH($F203&amp;"|low",Response_Table!$A$4:$A$21,0))*$R203*INDEX(Parameters!$X$10:$AA$10,1,MATCH($E203,Parameters!$X$3:$AA$3,0))),AX203*(1+INDEX(Response_Table!$J$4:$J$21,MATCH($F203&amp;"|high",Response_Table!$A$4:$A$21,0))*$R203*INDEX(Parameters!$X$10:$AA$10,1,MATCH($E203,Parameters!$X$3:$AA$3,0))))*(1-Inputs_General!$C$22*Parameters!$F$10))</f>
        <v>1.65520006642351</v>
      </c>
      <c r="BA203" s="43" t="n">
        <f aca="false">MAX(AX203*(1+INDEX(Response_Table!$J$4:$J$21,MATCH($F203&amp;"|low",Response_Table!$A$4:$A$21,0))*$R203*INDEX(Parameters!$X$10:$AA$10,1,MATCH($E203,Parameters!$X$3:$AA$3,0))),AX203*(1+INDEX(Response_Table!$J$4:$J$21,MATCH($F203&amp;"|high",Response_Table!$A$4:$A$21,0))*$R203*INDEX(Parameters!$X$10:$AA$10,1,MATCH($E203,Parameters!$X$3:$AA$3,0))))*(1+Inputs_General!$C$22*Parameters!$F$10)</f>
        <v>2.55391084653147</v>
      </c>
      <c r="BB203" s="45" t="n">
        <f aca="false">IF(AX203=0,0,AY203/AX203-1)</f>
        <v>-0.069335486947672</v>
      </c>
      <c r="BC203" s="46" t="n">
        <f aca="false">Parameters!$E$11*IF($N203="V",Parameters!$I$11,IF($N203="F",Parameters!$J$11,Parameters!$K$11))*(1-Parameters!$L$11*$P203)*IF($D203="V1",Parameters!$M$11,IF($D203="V2",Parameters!$N$11,Parameters!$O$11))</f>
        <v>1.22142136160714</v>
      </c>
      <c r="BD203" s="46" t="n">
        <f aca="false">BC203*(1+INDEX(Response_Table!$K$4:$K$21,MATCH($F203&amp;"|mid",Response_Table!$A$4:$A$21,0))*$R203*INDEX(Parameters!$X$11:$AA$11,1,MATCH($E203,Parameters!$X$3:$AA$3,0)))</f>
        <v>1.0690043888429</v>
      </c>
      <c r="BE203" s="46" t="n">
        <f aca="false">MAX(0,MIN(BC203*(1+INDEX(Response_Table!$K$4:$K$21,MATCH($F203&amp;"|low",Response_Table!$A$4:$A$21,0))*$R203*INDEX(Parameters!$X$11:$AA$11,1,MATCH($E203,Parameters!$X$3:$AA$3,0))),BC203*(1+INDEX(Response_Table!$K$4:$K$21,MATCH($F203&amp;"|high",Response_Table!$A$4:$A$21,0))*$R203*INDEX(Parameters!$X$11:$AA$11,1,MATCH($E203,Parameters!$X$3:$AA$3,0))))*(1-Inputs_General!$C$22*Parameters!$F$11))</f>
        <v>0.866093557188329</v>
      </c>
      <c r="BF203" s="46" t="n">
        <f aca="false">MAX(BC203*(1+INDEX(Response_Table!$K$4:$K$21,MATCH($F203&amp;"|low",Response_Table!$A$4:$A$21,0))*$R203*INDEX(Parameters!$X$11:$AA$11,1,MATCH($E203,Parameters!$X$3:$AA$3,0))),BC203*(1+INDEX(Response_Table!$K$4:$K$21,MATCH($F203&amp;"|high",Response_Table!$A$4:$A$21,0))*$R203*INDEX(Parameters!$X$11:$AA$11,1,MATCH($E203,Parameters!$X$3:$AA$3,0))))*(1+Inputs_General!$C$22*Parameters!$F$11)</f>
        <v>1.28506332771409</v>
      </c>
      <c r="BG203" s="45" t="n">
        <f aca="false">IF(BC203=0,0,BD203/BC203-1)</f>
        <v>-0.124786562242283</v>
      </c>
      <c r="BH203" s="46" t="n">
        <f aca="false">Parameters!$E$12*IF($N203="V",Parameters!$I$12,IF($N203="F",Parameters!$J$12,Parameters!$K$12))*(1-Parameters!$L$12*$P203)*IF($D203="V1",Parameters!$M$12,IF($D203="V2",Parameters!$N$12,Parameters!$O$12))</f>
        <v>0.439711690178571</v>
      </c>
      <c r="BI203" s="46" t="n">
        <f aca="false">BH203*(1+INDEX(Response_Table!$L$4:$L$21,MATCH($F203&amp;"|mid",Response_Table!$A$4:$A$21,0))*$R203*INDEX(Parameters!$X$12:$AA$12,1,MATCH($E203,Parameters!$X$3:$AA$3,0)))</f>
        <v>0.395849800529892</v>
      </c>
      <c r="BJ203" s="46" t="n">
        <f aca="false">MAX(0,MIN(BH203*(1+INDEX(Response_Table!$L$4:$L$21,MATCH($F203&amp;"|low",Response_Table!$A$4:$A$21,0))*$R203*INDEX(Parameters!$X$12:$AA$12,1,MATCH($E203,Parameters!$X$3:$AA$3,0))),BH203*(1+INDEX(Response_Table!$L$4:$L$21,MATCH($F203&amp;"|high",Response_Table!$A$4:$A$21,0))*$R203*INDEX(Parameters!$X$12:$AA$12,1,MATCH($E203,Parameters!$X$3:$AA$3,0))))*(1-Inputs_General!$C$22*Parameters!$F$12))</f>
        <v>0.310151071181345</v>
      </c>
      <c r="BK203" s="46" t="n">
        <f aca="false">MAX(BH203*(1+INDEX(Response_Table!$L$4:$L$21,MATCH($F203&amp;"|low",Response_Table!$A$4:$A$21,0))*$R203*INDEX(Parameters!$X$12:$AA$12,1,MATCH($E203,Parameters!$X$3:$AA$3,0))),BH203*(1+INDEX(Response_Table!$L$4:$L$21,MATCH($F203&amp;"|high",Response_Table!$A$4:$A$21,0))*$R203*INDEX(Parameters!$X$12:$AA$12,1,MATCH($E203,Parameters!$X$3:$AA$3,0))))*(1+Inputs_General!$C$22*Parameters!$F$12)</f>
        <v>0.485963563556247</v>
      </c>
      <c r="BL203" s="45" t="n">
        <f aca="false">IF(BH203=0,0,BI203/BH203-1)</f>
        <v>-0.0997514749513863</v>
      </c>
      <c r="BM203" s="46" t="n">
        <f aca="false">Parameters!$E$13*IF($N203="V",Parameters!$I$13,IF($N203="F",Parameters!$J$13,Parameters!$K$13))*(1-Parameters!$L$13*$P203)*IF($D203="V1",Parameters!$M$13,IF($D203="V2",Parameters!$N$13,Parameters!$O$13))</f>
        <v>0.293345563392857</v>
      </c>
      <c r="BN203" s="46" t="n">
        <f aca="false">BM203*(1+INDEX(Response_Table!$M$4:$M$21,MATCH($F203&amp;"|mid",Response_Table!$A$4:$A$21,0))*$R203*INDEX(Parameters!$X$13:$AA$13,1,MATCH($E203,Parameters!$X$3:$AA$3,0)))</f>
        <v>0.296428290943317</v>
      </c>
      <c r="BO203" s="46" t="n">
        <f aca="false">MAX(0,MIN(BM203*(1+INDEX(Response_Table!$M$4:$M$21,MATCH($F203&amp;"|low",Response_Table!$A$4:$A$21,0))*$R203*INDEX(Parameters!$X$13:$AA$13,1,MATCH($E203,Parameters!$X$3:$AA$3,0))),BM203*(1+INDEX(Response_Table!$M$4:$M$21,MATCH($F203&amp;"|high",Response_Table!$A$4:$A$21,0))*$R203*INDEX(Parameters!$X$13:$AA$13,1,MATCH($E203,Parameters!$X$3:$AA$3,0))))*(1-Inputs_General!$C$22*Parameters!$F$13))</f>
        <v>0.234704154073487</v>
      </c>
      <c r="BP203" s="46" t="n">
        <f aca="false">MAX(BM203*(1+INDEX(Response_Table!$M$4:$M$21,MATCH($F203&amp;"|low",Response_Table!$A$4:$A$21,0))*$R203*INDEX(Parameters!$X$13:$AA$13,1,MATCH($E203,Parameters!$X$3:$AA$3,0))),BM203*(1+INDEX(Response_Table!$M$4:$M$21,MATCH($F203&amp;"|high",Response_Table!$A$4:$A$21,0))*$R203*INDEX(Parameters!$X$13:$AA$13,1,MATCH($E203,Parameters!$X$3:$AA$3,0))))*(1+Inputs_General!$C$22*Parameters!$F$13)</f>
        <v>0.358303336982087</v>
      </c>
      <c r="BQ203" s="45" t="n">
        <f aca="false">IF(BM203=0,0,BN203/BM203-1)</f>
        <v>0.0105088603175196</v>
      </c>
      <c r="BR203" s="44" t="n">
        <f aca="false">Parameters!$E$14*IF($N203="V",Parameters!$I$14,IF($N203="F",Parameters!$J$14,Parameters!$K$14))*(1-Parameters!$L$14*$P203)*IF($D203="V1",Parameters!$M$14,IF($D203="V2",Parameters!$N$14,Parameters!$O$14))*INDEX(Context!$AC$4:$AC$51,$K203)</f>
        <v>17.325</v>
      </c>
      <c r="BS203" s="44" t="n">
        <f aca="false">BR203*(1+INDEX(Response_Table!$N$4:$N$21,MATCH($F203&amp;"|mid",Response_Table!$A$4:$A$21,0))*$R203*INDEX(Parameters!$X$14:$AA$14,1,MATCH($E203,Parameters!$X$3:$AA$3,0)))</f>
        <v>19.2103028765812</v>
      </c>
      <c r="BT203" s="44" t="n">
        <f aca="false">MAX(0,MIN(BR203*(1+INDEX(Response_Table!$N$4:$N$21,MATCH($F203&amp;"|low",Response_Table!$A$4:$A$21,0))*$R203*INDEX(Parameters!$X$14:$AA$14,1,MATCH($E203,Parameters!$X$3:$AA$3,0))),BR203*(1+INDEX(Response_Table!$N$4:$N$21,MATCH($F203&amp;"|high",Response_Table!$A$4:$A$21,0))*$R203*INDEX(Parameters!$X$14:$AA$14,1,MATCH($E203,Parameters!$X$3:$AA$3,0))))*(1-Inputs_General!$C$22*Parameters!$F$14))</f>
        <v>9.51232893775332</v>
      </c>
      <c r="BU203" s="44" t="n">
        <f aca="false">MAX(BR203*(1+INDEX(Response_Table!$N$4:$N$21,MATCH($F203&amp;"|low",Response_Table!$A$4:$A$21,0))*$R203*INDEX(Parameters!$X$14:$AA$14,1,MATCH($E203,Parameters!$X$3:$AA$3,0))),BR203*(1+INDEX(Response_Table!$N$4:$N$21,MATCH($F203&amp;"|high",Response_Table!$A$4:$A$21,0))*$R203*INDEX(Parameters!$X$14:$AA$14,1,MATCH($E203,Parameters!$X$3:$AA$3,0))))*(1+Inputs_General!$C$22*Parameters!$F$14)</f>
        <v>29.2951001847743</v>
      </c>
      <c r="BV203" s="45" t="n">
        <f aca="false">IF(BR203=0,0,BS203/BR203-1)</f>
        <v>0.108819790856058</v>
      </c>
      <c r="BW203" s="43" t="n">
        <f aca="false">Parameters!$E$15*IF($N203="V",Parameters!$I$15,IF($N203="F",Parameters!$J$15,Parameters!$K$15))*(1-Parameters!$L$15*$P203)*IF($D203="V1",Parameters!$M$15,IF($D203="V2",Parameters!$N$15,Parameters!$O$15))</f>
        <v>10.7849571428571</v>
      </c>
      <c r="BX203" s="43" t="n">
        <f aca="false">BW203*(1+INDEX(Response_Table!$O$4:$O$21,MATCH($F203&amp;"|mid",Response_Table!$A$4:$A$21,0))*$R203*INDEX(Parameters!$X$15:$AA$15,1,MATCH($E203,Parameters!$X$3:$AA$3,0)))</f>
        <v>10.4915529476878</v>
      </c>
      <c r="BY203" s="43" t="n">
        <f aca="false">MAX(0,MIN(BW203*(1+INDEX(Response_Table!$O$4:$O$21,MATCH($F203&amp;"|low",Response_Table!$A$4:$A$21,0))*$R203*INDEX(Parameters!$X$15:$AA$15,1,MATCH($E203,Parameters!$X$3:$AA$3,0))),BW203*(1+INDEX(Response_Table!$O$4:$O$21,MATCH($F203&amp;"|high",Response_Table!$A$4:$A$21,0))*$R203*INDEX(Parameters!$X$15:$AA$15,1,MATCH($E203,Parameters!$X$3:$AA$3,0))))*(1-Inputs_General!$C$22*Parameters!$F$15))</f>
        <v>8.36996300573443</v>
      </c>
      <c r="BZ203" s="43" t="n">
        <f aca="false">MAX(BW203*(1+INDEX(Response_Table!$O$4:$O$21,MATCH($F203&amp;"|low",Response_Table!$A$4:$A$21,0))*$R203*INDEX(Parameters!$X$15:$AA$15,1,MATCH($E203,Parameters!$X$3:$AA$3,0))),BW203*(1+INDEX(Response_Table!$O$4:$O$21,MATCH($F203&amp;"|high",Response_Table!$A$4:$A$21,0))*$R203*INDEX(Parameters!$X$15:$AA$15,1,MATCH($E203,Parameters!$X$3:$AA$3,0))))*(1+Inputs_General!$C$22*Parameters!$F$15)</f>
        <v>12.6426762593446</v>
      </c>
      <c r="CA203" s="45" t="n">
        <f aca="false">IF(BW203=0,0,BX203/BW203-1)</f>
        <v>-0.0272049477140144</v>
      </c>
      <c r="CB203" s="46" t="n">
        <f aca="false">BD203+BI203</f>
        <v>1.46485418937279</v>
      </c>
      <c r="CC203" s="43" t="n">
        <f aca="false">BD203/BI203</f>
        <v>2.700530320874</v>
      </c>
      <c r="CD203" s="46" t="n">
        <f aca="false">BN203/CB203</f>
        <v>0.20236027114087</v>
      </c>
      <c r="CE203" s="43" t="n">
        <f aca="false">AE203/AO203</f>
        <v>3.55023776316444</v>
      </c>
      <c r="CF203" s="44" t="n">
        <f aca="false">AE203/AJ203</f>
        <v>43.5762017981312</v>
      </c>
      <c r="CG203" s="44" t="n">
        <f aca="false">INDEX(Context!$V$4:$V$51,$K203)</f>
        <v>25.5785714285714</v>
      </c>
      <c r="CH203" s="44" t="n">
        <f aca="false">INDEX(Context!$Y$4:$Y$51,$K203)</f>
        <v>23.620522619794</v>
      </c>
      <c r="CI203" s="44" t="n">
        <f aca="false">INDEX(Context!$Z$4:$Z$51,$K203)</f>
        <v>29.5785714285714</v>
      </c>
      <c r="CJ203" s="43" t="n">
        <f aca="false">INDEX(Context!$AA$4:$AA$51,$K203)</f>
        <v>0.121160714285714</v>
      </c>
      <c r="CK203" s="43" t="n">
        <f aca="false">MAX(0,MIN(1,1-(1-CJ203)*AO203/AN203))</f>
        <v>0.209260722102033</v>
      </c>
      <c r="CL203" s="44" t="n">
        <f aca="false">CH203+CK203*(CI203-CH203)</f>
        <v>24.8673082158379</v>
      </c>
      <c r="CM203" s="44" t="n">
        <f aca="false">CH203+MAX(0,MIN(1,1-(1-CJ203)*AQ203/AN203))*(CI203-CH203)</f>
        <v>23.620522619794</v>
      </c>
      <c r="CN203" s="44" t="n">
        <f aca="false">CH203+MAX(0,MIN(1,1-(1-CJ203)*AP203/AN203))*(CI203-CH203)</f>
        <v>26.3732540953451</v>
      </c>
      <c r="CO203" s="44" t="n">
        <f aca="false">CL203-CG203</f>
        <v>-0.711263212733499</v>
      </c>
      <c r="CP203" s="44" t="n">
        <f aca="false">CL203-(CH203+CJ203*(CI203-CH203))</f>
        <v>0.524904146623303</v>
      </c>
      <c r="CQ203" s="46" t="n">
        <f aca="false">CL203/CG203</f>
        <v>0.972193004807961</v>
      </c>
      <c r="CR203" s="43" t="n">
        <f aca="false">IF(CL203-CH203&lt;=0,"n/a",(CI203-CL203)/(CL203-CH203))</f>
        <v>3.77872765588761</v>
      </c>
      <c r="CS203" s="43" t="n">
        <f aca="false">IF(CI203-CL203&lt;=0,"n/a",(CL203-CH203)/(CI203-CL203))</f>
        <v>0.264639341880568</v>
      </c>
      <c r="CT203" s="43" t="n">
        <f aca="false">Inputs_General!$C$23+Inputs_General!$C$24*$I203</f>
        <v>0.76</v>
      </c>
      <c r="CU203" s="44" t="n">
        <f aca="false">3.29*CT203</f>
        <v>2.5004</v>
      </c>
    </row>
    <row r="204" customFormat="false" ht="15" hidden="false" customHeight="false" outlineLevel="0" collapsed="false">
      <c r="A204" s="9" t="str">
        <f aca="false">B204&amp;"|"&amp;E204&amp;"|"&amp;F204</f>
        <v>D3V3|24/02/2026|Moderate</v>
      </c>
      <c r="B204" s="7" t="s">
        <v>351</v>
      </c>
      <c r="C204" s="9" t="s">
        <v>131</v>
      </c>
      <c r="D204" s="9" t="s">
        <v>150</v>
      </c>
      <c r="E204" s="9" t="s">
        <v>160</v>
      </c>
      <c r="F204" s="7" t="s">
        <v>281</v>
      </c>
      <c r="G204" s="9" t="s">
        <v>282</v>
      </c>
      <c r="H204" s="41" t="n">
        <f aca="false">INDEX(Severity_Classes!$C$4:$C$9,MATCH(F204,Severity_Classes!$A$4:$A$9,0))</f>
        <v>0.11</v>
      </c>
      <c r="I204" s="41" t="n">
        <f aca="false">INDEX(Severity_Classes!$D$4:$D$9,MATCH(F204,Severity_Classes!$A$4:$A$9,0))</f>
        <v>0.18</v>
      </c>
      <c r="J204" s="41" t="n">
        <f aca="false">INDEX(Severity_Classes!$E$4:$E$9,MATCH(F204,Severity_Classes!$A$4:$A$9,0))</f>
        <v>0.25</v>
      </c>
      <c r="K204" s="42" t="n">
        <f aca="false">MATCH(B204&amp;"|"&amp;E204,Context!$A$4:$A$51,0)</f>
        <v>34</v>
      </c>
      <c r="L204" s="42" t="n">
        <f aca="false">INDEX(Context!$H$4:$H$51,K204)</f>
        <v>59</v>
      </c>
      <c r="M204" s="42" t="n">
        <f aca="false">INDEX(Context!$I$4:$I$51,K204)</f>
        <v>19</v>
      </c>
      <c r="N204" s="9" t="str">
        <f aca="false">INDEX(Context!$L$4:$L$51,K204)</f>
        <v>V</v>
      </c>
      <c r="O204" s="9" t="str">
        <f aca="false">INDEX(Context!$M$4:$M$51,K204)</f>
        <v>3rd fully expanded leaf from top</v>
      </c>
      <c r="P204" s="43" t="n">
        <f aca="false">INDEX(Context!$R$4:$R$51,K204)</f>
        <v>0.0232142857142859</v>
      </c>
      <c r="Q204" s="43" t="n">
        <f aca="false">INDEX(Context!$U$4:$U$51,K204)</f>
        <v>1.19492600027053</v>
      </c>
      <c r="R204" s="43" t="n">
        <f aca="false">INDEX(Context!$AD$4:$AD$51,K204)</f>
        <v>0.85</v>
      </c>
      <c r="S204" s="9" t="str">
        <f aca="false">INDEX(Context!$AI$4:$AN$51,K204,MATCH(F204,Severity_Classes!$A$4:$A$9,0))</f>
        <v>Likely</v>
      </c>
      <c r="T204" s="44" t="n">
        <f aca="false">Parameters!$E$4*IF($N204="V",Parameters!$I$4,IF($N204="F",Parameters!$J$4,Parameters!$K$4))*(1-Parameters!$L$4*$P204)*IF($D204="V1",Parameters!$M$4,IF($D204="V2",Parameters!$N$4,Parameters!$O$4))</f>
        <v>85.9001785714286</v>
      </c>
      <c r="U204" s="44" t="n">
        <f aca="false">MIN(100,T204*(1+INDEX(Response_Table!$E$4:$E$21,MATCH($F204&amp;"|mid",Response_Table!$A$4:$A$21,0))*$R204*INDEX(Parameters!$X$4:$AA$4,1,MATCH($E204,Parameters!$X$3:$AA$3,0))))</f>
        <v>82.5787246736745</v>
      </c>
      <c r="V204" s="44" t="n">
        <f aca="false">MAX(0,MIN(T204*(1+INDEX(Response_Table!$E$4:$E$21,MATCH($F204&amp;"|low",Response_Table!$A$4:$A$21,0))*$R204*INDEX(Parameters!$X$4:$AA$4,1,MATCH($E204,Parameters!$X$3:$AA$3,0))),T204*(1+INDEX(Response_Table!$E$4:$E$21,MATCH($F204&amp;"|high",Response_Table!$A$4:$A$21,0))*$R204*INDEX(Parameters!$X$4:$AA$4,1,MATCH($E204,Parameters!$X$3:$AA$3,0))))*(1-Inputs_General!$C$22*Parameters!$F$4))</f>
        <v>74.8206855485608</v>
      </c>
      <c r="W204" s="44" t="n">
        <f aca="false">MIN(100,MAX(T204*(1+INDEX(Response_Table!$E$4:$E$21,MATCH($F204&amp;"|low",Response_Table!$A$4:$A$21,0))*$R204*INDEX(Parameters!$X$4:$AA$4,1,MATCH($E204,Parameters!$X$3:$AA$3,0))),T204*(1+INDEX(Response_Table!$E$4:$E$21,MATCH($F204&amp;"|high",Response_Table!$A$4:$A$21,0))*$R204*INDEX(Parameters!$X$4:$AA$4,1,MATCH($E204,Parameters!$X$3:$AA$3,0))))*(1+Inputs_General!$C$22*Parameters!$F$4))</f>
        <v>89.8822547564565</v>
      </c>
      <c r="X204" s="45" t="n">
        <f aca="false">IF(T204=0,0,U204/T204-1)</f>
        <v>-0.0386664376371717</v>
      </c>
      <c r="Y204" s="44" t="n">
        <f aca="false">Parameters!$E$5*IF($N204="V",Parameters!$I$5,IF($N204="F",Parameters!$J$5,Parameters!$K$5))*(1-Parameters!$L$5*$P204)*IF($D204="V1",Parameters!$M$5,IF($D204="V2",Parameters!$N$5,Parameters!$O$5))</f>
        <v>71.7994285714286</v>
      </c>
      <c r="Z204" s="44" t="n">
        <f aca="false">MIN(100,Y204*(1+INDEX(Response_Table!$F$4:$F$21,MATCH($F204&amp;"|mid",Response_Table!$A$4:$A$21,0))*$R204*INDEX(Parameters!$X$5:$AA$5,1,MATCH($E204,Parameters!$X$3:$AA$3,0))))</f>
        <v>62.2092511607277</v>
      </c>
      <c r="AA204" s="44" t="n">
        <f aca="false">MAX(0,MIN(Y204*(1+INDEX(Response_Table!$F$4:$F$21,MATCH($F204&amp;"|low",Response_Table!$A$4:$A$21,0))*$R204*INDEX(Parameters!$X$5:$AA$5,1,MATCH($E204,Parameters!$X$3:$AA$3,0))),Y204*(1+INDEX(Response_Table!$F$4:$F$21,MATCH($F204&amp;"|high",Response_Table!$A$4:$A$21,0))*$R204*INDEX(Parameters!$X$5:$AA$5,1,MATCH($E204,Parameters!$X$3:$AA$3,0))))*(1-Inputs_General!$C$22*Parameters!$F$5))</f>
        <v>48.7655392746441</v>
      </c>
      <c r="AB204" s="44" t="n">
        <f aca="false">MIN(100,MAX(Y204*(1+INDEX(Response_Table!$F$4:$F$21,MATCH($F204&amp;"|low",Response_Table!$A$4:$A$21,0))*$R204*INDEX(Parameters!$X$5:$AA$5,1,MATCH($E204,Parameters!$X$3:$AA$3,0))),Y204*(1+INDEX(Response_Table!$F$4:$F$21,MATCH($F204&amp;"|high",Response_Table!$A$4:$A$21,0))*$R204*INDEX(Parameters!$X$5:$AA$5,1,MATCH($E204,Parameters!$X$3:$AA$3,0))))*(1+Inputs_General!$C$22*Parameters!$F$5))</f>
        <v>75.1579201551274</v>
      </c>
      <c r="AC204" s="45" t="n">
        <f aca="false">IF(Y204=0,0,Z204/Y204-1)</f>
        <v>-0.133568993535377</v>
      </c>
      <c r="AD204" s="44" t="n">
        <f aca="false">Parameters!$E$6*IF($N204="V",Parameters!$I$6,IF($N204="F",Parameters!$J$6,Parameters!$K$6))*(1-Parameters!$L$6*$P204)*IF($D204="V1",Parameters!$M$6,IF($D204="V2",Parameters!$N$6,Parameters!$O$6))</f>
        <v>19.5154835714286</v>
      </c>
      <c r="AE204" s="44" t="n">
        <f aca="false">AD204*(1+INDEX(Response_Table!$G$4:$G$21,MATCH($F204&amp;"|mid",Response_Table!$A$4:$A$21,0))*$R204*INDEX(Parameters!$X$6:$AA$6,1,MATCH($E204,Parameters!$X$3:$AA$3,0)))</f>
        <v>12.7094193159933</v>
      </c>
      <c r="AF204" s="44" t="n">
        <f aca="false">MAX(0,MIN(AD204*(1+INDEX(Response_Table!$G$4:$G$21,MATCH($F204&amp;"|low",Response_Table!$A$4:$A$21,0))*$R204*INDEX(Parameters!$X$6:$AA$6,1,MATCH($E204,Parameters!$X$3:$AA$3,0))),AD204*(1+INDEX(Response_Table!$G$4:$G$21,MATCH($F204&amp;"|high",Response_Table!$A$4:$A$21,0))*$R204*INDEX(Parameters!$X$6:$AA$6,1,MATCH($E204,Parameters!$X$3:$AA$3,0))))*(1-Inputs_General!$C$22*Parameters!$F$6))</f>
        <v>9.00168241561425</v>
      </c>
      <c r="AG204" s="44" t="n">
        <f aca="false">MAX(AD204*(1+INDEX(Response_Table!$G$4:$G$21,MATCH($F204&amp;"|low",Response_Table!$A$4:$A$21,0))*$R204*INDEX(Parameters!$X$6:$AA$6,1,MATCH($E204,Parameters!$X$3:$AA$3,0))),AD204*(1+INDEX(Response_Table!$G$4:$G$21,MATCH($F204&amp;"|high",Response_Table!$A$4:$A$21,0))*$R204*INDEX(Parameters!$X$6:$AA$6,1,MATCH($E204,Parameters!$X$3:$AA$3,0))))*(1+Inputs_General!$C$22*Parameters!$F$6)</f>
        <v>17.6520585577359</v>
      </c>
      <c r="AH204" s="45" t="n">
        <f aca="false">IF(AD204=0,0,AE204/AD204-1)</f>
        <v>-0.348752016854945</v>
      </c>
      <c r="AI204" s="46" t="n">
        <f aca="false">Parameters!$E$7*IF($N204="V",Parameters!$I$7,IF($N204="F",Parameters!$J$7,Parameters!$K$7))*(1-Parameters!$L$7*$P204)*IF($D204="V1",Parameters!$M$7,IF($D204="V2",Parameters!$N$7,Parameters!$O$7))*POWER($Q204/Inputs_General!$C$26,-Inputs_General!$C$25)</f>
        <v>0.411663164578586</v>
      </c>
      <c r="AJ204" s="46" t="n">
        <f aca="false">AI204*(1+INDEX(Response_Table!$H$4:$H$21,MATCH($F204&amp;"|mid",Response_Table!$A$4:$A$21,0))*$R204*INDEX(Parameters!$X$7:$AA$7,1,MATCH($E204,Parameters!$X$3:$AA$3,0)))</f>
        <v>0.316761800471934</v>
      </c>
      <c r="AK204" s="46" t="n">
        <f aca="false">MAX(0,MIN(AI204*(1+INDEX(Response_Table!$H$4:$H$21,MATCH($F204&amp;"|low",Response_Table!$A$4:$A$21,0))*$R204*INDEX(Parameters!$X$7:$AA$7,1,MATCH($E204,Parameters!$X$3:$AA$3,0))),AI204*(1+INDEX(Response_Table!$H$4:$H$21,MATCH($F204&amp;"|high",Response_Table!$A$4:$A$21,0))*$R204*INDEX(Parameters!$X$7:$AA$7,1,MATCH($E204,Parameters!$X$3:$AA$3,0))))*(1-Inputs_General!$C$22*Parameters!$F$7))</f>
        <v>0.205296768484412</v>
      </c>
      <c r="AL204" s="46" t="n">
        <f aca="false">MAX(AI204*(1+INDEX(Response_Table!$H$4:$H$21,MATCH($F204&amp;"|low",Response_Table!$A$4:$A$21,0))*$R204*INDEX(Parameters!$X$7:$AA$7,1,MATCH($E204,Parameters!$X$3:$AA$3,0))),AI204*(1+INDEX(Response_Table!$H$4:$H$21,MATCH($F204&amp;"|high",Response_Table!$A$4:$A$21,0))*$R204*INDEX(Parameters!$X$7:$AA$7,1,MATCH($E204,Parameters!$X$3:$AA$3,0))))*(1+Inputs_General!$C$22*Parameters!$F$7)</f>
        <v>0.450698144657831</v>
      </c>
      <c r="AM204" s="45" t="n">
        <f aca="false">IF(AI204=0,0,AJ204/AI204-1)</f>
        <v>-0.230531590563371</v>
      </c>
      <c r="AN204" s="43" t="n">
        <f aca="false">AI204*$Q204/Inputs_General!$C$13*1000</f>
        <v>4.95374641196979</v>
      </c>
      <c r="AO204" s="43" t="n">
        <f aca="false">AJ204*$Q204/Inputs_General!$C$13*1000*(1+Inputs_General!$C$21*$I204)</f>
        <v>3.98328018412749</v>
      </c>
      <c r="AP204" s="43" t="n">
        <f aca="false">AK204*$Q204/Inputs_General!$C$13*1000*(1+Inputs_General!$C$21*$H204)</f>
        <v>2.53837455901778</v>
      </c>
      <c r="AQ204" s="43" t="n">
        <f aca="false">AL204*$Q204/Inputs_General!$C$13*1000*(1+Inputs_General!$C$21*$J204)</f>
        <v>5.76244073044476</v>
      </c>
      <c r="AR204" s="45" t="n">
        <f aca="false">IF(AN204=0,0,AO204/AN204-1)</f>
        <v>-0.195905512138722</v>
      </c>
      <c r="AS204" s="42" t="n">
        <f aca="false">Parameters!$E$9*IF($N204="V",Parameters!$I$9,IF($N204="F",Parameters!$J$9,Parameters!$K$9))*(1-Parameters!$L$9*$P204)*IF($D204="V1",Parameters!$M$9,IF($D204="V2",Parameters!$N$9,Parameters!$O$9))</f>
        <v>285</v>
      </c>
      <c r="AT204" s="42" t="n">
        <f aca="false">AS204*(1+INDEX(Response_Table!$I$4:$I$21,MATCH($F204&amp;"|mid",Response_Table!$A$4:$A$21,0))*$R204*INDEX(Parameters!$X$9:$AA$9,1,MATCH($E204,Parameters!$X$3:$AA$3,0)))</f>
        <v>322.300279798109</v>
      </c>
      <c r="AU204" s="42" t="n">
        <f aca="false">MAX(0,MIN(AS204*(1+INDEX(Response_Table!$I$4:$I$21,MATCH($F204&amp;"|low",Response_Table!$A$4:$A$21,0))*$R204*INDEX(Parameters!$X$9:$AA$9,1,MATCH($E204,Parameters!$X$3:$AA$3,0))),AS204*(1+INDEX(Response_Table!$I$4:$I$21,MATCH($F204&amp;"|high",Response_Table!$A$4:$A$21,0))*$R204*INDEX(Parameters!$X$9:$AA$9,1,MATCH($E204,Parameters!$X$3:$AA$3,0))))*(1-Inputs_General!$C$22*Parameters!$F$9))</f>
        <v>280.186818337032</v>
      </c>
      <c r="AV204" s="42" t="n">
        <f aca="false">MAX(AS204*(1+INDEX(Response_Table!$I$4:$I$21,MATCH($F204&amp;"|low",Response_Table!$A$4:$A$21,0))*$R204*INDEX(Parameters!$X$9:$AA$9,1,MATCH($E204,Parameters!$X$3:$AA$3,0))),AS204*(1+INDEX(Response_Table!$I$4:$I$21,MATCH($F204&amp;"|high",Response_Table!$A$4:$A$21,0))*$R204*INDEX(Parameters!$X$9:$AA$9,1,MATCH($E204,Parameters!$X$3:$AA$3,0))))*(1+Inputs_General!$C$22*Parameters!$F$9)</f>
        <v>363.603076604055</v>
      </c>
      <c r="AW204" s="45" t="n">
        <f aca="false">IF(AS204=0,0,AT204/AS204-1)</f>
        <v>0.130878174730207</v>
      </c>
      <c r="AX204" s="43" t="n">
        <f aca="false">INDEX(Context!$AB$4:$AB$51,$K204)</f>
        <v>2.25291371771685</v>
      </c>
      <c r="AY204" s="43" t="n">
        <f aca="false">AX204*(1+INDEX(Response_Table!$J$4:$J$21,MATCH($F204&amp;"|mid",Response_Table!$A$4:$A$21,0))*$R204*INDEX(Parameters!$X$10:$AA$10,1,MATCH($E204,Parameters!$X$3:$AA$3,0)))</f>
        <v>1.94064358335877</v>
      </c>
      <c r="AZ204" s="43" t="n">
        <f aca="false">MAX(0,MIN(AX204*(1+INDEX(Response_Table!$J$4:$J$21,MATCH($F204&amp;"|low",Response_Table!$A$4:$A$21,0))*$R204*INDEX(Parameters!$X$10:$AA$10,1,MATCH($E204,Parameters!$X$3:$AA$3,0))),AX204*(1+INDEX(Response_Table!$J$4:$J$21,MATCH($F204&amp;"|high",Response_Table!$A$4:$A$21,0))*$R204*INDEX(Parameters!$X$10:$AA$10,1,MATCH($E204,Parameters!$X$3:$AA$3,0))))*(1-Inputs_General!$C$22*Parameters!$F$10))</f>
        <v>1.48676042625461</v>
      </c>
      <c r="BA204" s="43" t="n">
        <f aca="false">MAX(AX204*(1+INDEX(Response_Table!$J$4:$J$21,MATCH($F204&amp;"|low",Response_Table!$A$4:$A$21,0))*$R204*INDEX(Parameters!$X$10:$AA$10,1,MATCH($E204,Parameters!$X$3:$AA$3,0))),AX204*(1+INDEX(Response_Table!$J$4:$J$21,MATCH($F204&amp;"|high",Response_Table!$A$4:$A$21,0))*$R204*INDEX(Parameters!$X$10:$AA$10,1,MATCH($E204,Parameters!$X$3:$AA$3,0))))*(1+Inputs_General!$C$22*Parameters!$F$10)</f>
        <v>2.44955413258395</v>
      </c>
      <c r="BB204" s="45" t="n">
        <f aca="false">IF(AX204=0,0,AY204/AX204-1)</f>
        <v>-0.138607232004672</v>
      </c>
      <c r="BC204" s="46" t="n">
        <f aca="false">Parameters!$E$11*IF($N204="V",Parameters!$I$11,IF($N204="F",Parameters!$J$11,Parameters!$K$11))*(1-Parameters!$L$11*$P204)*IF($D204="V1",Parameters!$M$11,IF($D204="V2",Parameters!$N$11,Parameters!$O$11))</f>
        <v>1.22142136160714</v>
      </c>
      <c r="BD204" s="46" t="n">
        <f aca="false">BC204*(1+INDEX(Response_Table!$K$4:$K$21,MATCH($F204&amp;"|mid",Response_Table!$A$4:$A$21,0))*$R204*INDEX(Parameters!$X$11:$AA$11,1,MATCH($E204,Parameters!$X$3:$AA$3,0)))</f>
        <v>0.92593962625248</v>
      </c>
      <c r="BE204" s="46" t="n">
        <f aca="false">MAX(0,MIN(BC204*(1+INDEX(Response_Table!$K$4:$K$21,MATCH($F204&amp;"|low",Response_Table!$A$4:$A$21,0))*$R204*INDEX(Parameters!$X$11:$AA$11,1,MATCH($E204,Parameters!$X$3:$AA$3,0))),BC204*(1+INDEX(Response_Table!$K$4:$K$21,MATCH($F204&amp;"|high",Response_Table!$A$4:$A$21,0))*$R204*INDEX(Parameters!$X$11:$AA$11,1,MATCH($E204,Parameters!$X$3:$AA$3,0))))*(1-Inputs_General!$C$22*Parameters!$F$11))</f>
        <v>0.710015508602709</v>
      </c>
      <c r="BF204" s="46" t="n">
        <f aca="false">MAX(BC204*(1+INDEX(Response_Table!$K$4:$K$21,MATCH($F204&amp;"|low",Response_Table!$A$4:$A$21,0))*$R204*INDEX(Parameters!$X$11:$AA$11,1,MATCH($E204,Parameters!$X$3:$AA$3,0))),BC204*(1+INDEX(Response_Table!$K$4:$K$21,MATCH($F204&amp;"|high",Response_Table!$A$4:$A$21,0))*$R204*INDEX(Parameters!$X$11:$AA$11,1,MATCH($E204,Parameters!$X$3:$AA$3,0))))*(1+Inputs_General!$C$22*Parameters!$F$11)</f>
        <v>1.18916913251901</v>
      </c>
      <c r="BG204" s="45" t="n">
        <f aca="false">IF(BC204=0,0,BD204/BC204-1)</f>
        <v>-0.241916299028756</v>
      </c>
      <c r="BH204" s="46" t="n">
        <f aca="false">Parameters!$E$12*IF($N204="V",Parameters!$I$12,IF($N204="F",Parameters!$J$12,Parameters!$K$12))*(1-Parameters!$L$12*$P204)*IF($D204="V1",Parameters!$M$12,IF($D204="V2",Parameters!$N$12,Parameters!$O$12))</f>
        <v>0.439711690178571</v>
      </c>
      <c r="BI204" s="46" t="n">
        <f aca="false">BH204*(1+INDEX(Response_Table!$L$4:$L$21,MATCH($F204&amp;"|mid",Response_Table!$A$4:$A$21,0))*$R204*INDEX(Parameters!$X$12:$AA$12,1,MATCH($E204,Parameters!$X$3:$AA$3,0)))</f>
        <v>0.353939244902578</v>
      </c>
      <c r="BJ204" s="46" t="n">
        <f aca="false">MAX(0,MIN(BH204*(1+INDEX(Response_Table!$L$4:$L$21,MATCH($F204&amp;"|low",Response_Table!$A$4:$A$21,0))*$R204*INDEX(Parameters!$X$12:$AA$12,1,MATCH($E204,Parameters!$X$3:$AA$3,0))),BH204*(1+INDEX(Response_Table!$L$4:$L$21,MATCH($F204&amp;"|high",Response_Table!$A$4:$A$21,0))*$R204*INDEX(Parameters!$X$12:$AA$12,1,MATCH($E204,Parameters!$X$3:$AA$3,0))))*(1-Inputs_General!$C$22*Parameters!$F$12))</f>
        <v>0.26586013203275</v>
      </c>
      <c r="BK204" s="46" t="n">
        <f aca="false">MAX(BH204*(1+INDEX(Response_Table!$L$4:$L$21,MATCH($F204&amp;"|low",Response_Table!$A$4:$A$21,0))*$R204*INDEX(Parameters!$X$12:$AA$12,1,MATCH($E204,Parameters!$X$3:$AA$3,0))),BH204*(1+INDEX(Response_Table!$L$4:$L$21,MATCH($F204&amp;"|high",Response_Table!$A$4:$A$21,0))*$R204*INDEX(Parameters!$X$12:$AA$12,1,MATCH($E204,Parameters!$X$3:$AA$3,0))))*(1+Inputs_General!$C$22*Parameters!$F$12)</f>
        <v>0.457325600672565</v>
      </c>
      <c r="BL204" s="45" t="n">
        <f aca="false">IF(BH204=0,0,BI204/BH204-1)</f>
        <v>-0.19506519201516</v>
      </c>
      <c r="BM204" s="46" t="n">
        <f aca="false">Parameters!$E$13*IF($N204="V",Parameters!$I$13,IF($N204="F",Parameters!$J$13,Parameters!$K$13))*(1-Parameters!$L$13*$P204)*IF($D204="V1",Parameters!$M$13,IF($D204="V2",Parameters!$N$13,Parameters!$O$13))</f>
        <v>0.293345563392857</v>
      </c>
      <c r="BN204" s="46" t="n">
        <f aca="false">BM204*(1+INDEX(Response_Table!$M$4:$M$21,MATCH($F204&amp;"|mid",Response_Table!$A$4:$A$21,0))*$R204*INDEX(Parameters!$X$13:$AA$13,1,MATCH($E204,Parameters!$X$3:$AA$3,0)))</f>
        <v>0.271896645431832</v>
      </c>
      <c r="BO204" s="46" t="n">
        <f aca="false">MAX(0,MIN(BM204*(1+INDEX(Response_Table!$M$4:$M$21,MATCH($F204&amp;"|low",Response_Table!$A$4:$A$21,0))*$R204*INDEX(Parameters!$X$13:$AA$13,1,MATCH($E204,Parameters!$X$3:$AA$3,0))),BM204*(1+INDEX(Response_Table!$M$4:$M$21,MATCH($F204&amp;"|high",Response_Table!$A$4:$A$21,0))*$R204*INDEX(Parameters!$X$13:$AA$13,1,MATCH($E204,Parameters!$X$3:$AA$3,0))))*(1-Inputs_General!$C$22*Parameters!$F$13))</f>
        <v>0.204365840113313</v>
      </c>
      <c r="BP204" s="46" t="n">
        <f aca="false">MAX(BM204*(1+INDEX(Response_Table!$M$4:$M$21,MATCH($F204&amp;"|low",Response_Table!$A$4:$A$21,0))*$R204*INDEX(Parameters!$X$13:$AA$13,1,MATCH($E204,Parameters!$X$3:$AA$3,0))),BM204*(1+INDEX(Response_Table!$M$4:$M$21,MATCH($F204&amp;"|high",Response_Table!$A$4:$A$21,0))*$R204*INDEX(Parameters!$X$13:$AA$13,1,MATCH($E204,Parameters!$X$3:$AA$3,0))))*(1+Inputs_General!$C$22*Parameters!$F$13)</f>
        <v>0.347400980168423</v>
      </c>
      <c r="BQ204" s="45" t="n">
        <f aca="false">IF(BM204=0,0,BN204/BM204-1)</f>
        <v>-0.0731182626829087</v>
      </c>
      <c r="BR204" s="44" t="n">
        <f aca="false">Parameters!$E$14*IF($N204="V",Parameters!$I$14,IF($N204="F",Parameters!$J$14,Parameters!$K$14))*(1-Parameters!$L$14*$P204)*IF($D204="V1",Parameters!$M$14,IF($D204="V2",Parameters!$N$14,Parameters!$O$14))*INDEX(Context!$AC$4:$AC$51,$K204)</f>
        <v>17.325</v>
      </c>
      <c r="BS204" s="44" t="n">
        <f aca="false">BR204*(1+INDEX(Response_Table!$N$4:$N$21,MATCH($F204&amp;"|mid",Response_Table!$A$4:$A$21,0))*$R204*INDEX(Parameters!$X$14:$AA$14,1,MATCH($E204,Parameters!$X$3:$AA$3,0)))</f>
        <v>21.0117321290865</v>
      </c>
      <c r="BT204" s="44" t="n">
        <f aca="false">MAX(0,MIN(BR204*(1+INDEX(Response_Table!$N$4:$N$21,MATCH($F204&amp;"|low",Response_Table!$A$4:$A$21,0))*$R204*INDEX(Parameters!$X$14:$AA$14,1,MATCH($E204,Parameters!$X$3:$AA$3,0))),BR204*(1+INDEX(Response_Table!$N$4:$N$21,MATCH($F204&amp;"|high",Response_Table!$A$4:$A$21,0))*$R204*INDEX(Parameters!$X$14:$AA$14,1,MATCH($E204,Parameters!$X$3:$AA$3,0))))*(1-Inputs_General!$C$22*Parameters!$F$14))</f>
        <v>10.0330151887096</v>
      </c>
      <c r="BU204" s="44" t="n">
        <f aca="false">MAX(BR204*(1+INDEX(Response_Table!$N$4:$N$21,MATCH($F204&amp;"|low",Response_Table!$A$4:$A$21,0))*$R204*INDEX(Parameters!$X$14:$AA$14,1,MATCH($E204,Parameters!$X$3:$AA$3,0))),BR204*(1+INDEX(Response_Table!$N$4:$N$21,MATCH($F204&amp;"|high",Response_Table!$A$4:$A$21,0))*$R204*INDEX(Parameters!$X$14:$AA$14,1,MATCH($E204,Parameters!$X$3:$AA$3,0))))*(1+Inputs_General!$C$22*Parameters!$F$14)</f>
        <v>32.8376401054224</v>
      </c>
      <c r="BV204" s="45" t="n">
        <f aca="false">IF(BR204=0,0,BS204/BR204-1)</f>
        <v>0.212798391289265</v>
      </c>
      <c r="BW204" s="43" t="n">
        <f aca="false">Parameters!$E$15*IF($N204="V",Parameters!$I$15,IF($N204="F",Parameters!$J$15,Parameters!$K$15))*(1-Parameters!$L$15*$P204)*IF($D204="V1",Parameters!$M$15,IF($D204="V2",Parameters!$N$15,Parameters!$O$15))</f>
        <v>10.7849571428571</v>
      </c>
      <c r="BX204" s="43" t="n">
        <f aca="false">BW204*(1+INDEX(Response_Table!$O$4:$O$21,MATCH($F204&amp;"|mid",Response_Table!$A$4:$A$21,0))*$R204*INDEX(Parameters!$X$15:$AA$15,1,MATCH($E204,Parameters!$X$3:$AA$3,0)))</f>
        <v>10.2112017603262</v>
      </c>
      <c r="BY204" s="43" t="n">
        <f aca="false">MAX(0,MIN(BW204*(1+INDEX(Response_Table!$O$4:$O$21,MATCH($F204&amp;"|low",Response_Table!$A$4:$A$21,0))*$R204*INDEX(Parameters!$X$15:$AA$15,1,MATCH($E204,Parameters!$X$3:$AA$3,0))),BW204*(1+INDEX(Response_Table!$O$4:$O$21,MATCH($F204&amp;"|high",Response_Table!$A$4:$A$21,0))*$R204*INDEX(Parameters!$X$15:$AA$15,1,MATCH($E204,Parameters!$X$3:$AA$3,0))))*(1-Inputs_General!$C$22*Parameters!$F$15))</f>
        <v>8.07368878092848</v>
      </c>
      <c r="BZ204" s="43" t="n">
        <f aca="false">MAX(BW204*(1+INDEX(Response_Table!$O$4:$O$21,MATCH($F204&amp;"|low",Response_Table!$A$4:$A$21,0))*$R204*INDEX(Parameters!$X$15:$AA$15,1,MATCH($E204,Parameters!$X$3:$AA$3,0))),BW204*(1+INDEX(Response_Table!$O$4:$O$21,MATCH($F204&amp;"|high",Response_Table!$A$4:$A$21,0))*$R204*INDEX(Parameters!$X$15:$AA$15,1,MATCH($E204,Parameters!$X$3:$AA$3,0))))*(1+Inputs_General!$C$22*Parameters!$F$15)</f>
        <v>12.4511090806736</v>
      </c>
      <c r="CA204" s="45" t="n">
        <f aca="false">IF(BW204=0,0,BX204/BW204-1)</f>
        <v>-0.0531995978223163</v>
      </c>
      <c r="CB204" s="46" t="n">
        <f aca="false">BD204+BI204</f>
        <v>1.27987887115506</v>
      </c>
      <c r="CC204" s="43" t="n">
        <f aca="false">BD204/BI204</f>
        <v>2.6160976483615</v>
      </c>
      <c r="CD204" s="46" t="n">
        <f aca="false">BN204/CB204</f>
        <v>0.212439357785829</v>
      </c>
      <c r="CE204" s="43" t="n">
        <f aca="false">AE204/AO204</f>
        <v>3.19069177373905</v>
      </c>
      <c r="CF204" s="44" t="n">
        <f aca="false">AE204/AJ204</f>
        <v>40.1229545262653</v>
      </c>
      <c r="CG204" s="44" t="n">
        <f aca="false">INDEX(Context!$V$4:$V$51,$K204)</f>
        <v>25.5785714285714</v>
      </c>
      <c r="CH204" s="44" t="n">
        <f aca="false">INDEX(Context!$Y$4:$Y$51,$K204)</f>
        <v>23.620522619794</v>
      </c>
      <c r="CI204" s="44" t="n">
        <f aca="false">INDEX(Context!$Z$4:$Z$51,$K204)</f>
        <v>29.5785714285714</v>
      </c>
      <c r="CJ204" s="43" t="n">
        <f aca="false">INDEX(Context!$AA$4:$AA$51,$K204)</f>
        <v>0.121160714285714</v>
      </c>
      <c r="CK204" s="43" t="n">
        <f aca="false">MAX(0,MIN(1,1-(1-CJ204)*AO204/AN204))</f>
        <v>0.2933301746412</v>
      </c>
      <c r="CL204" s="44" t="n">
        <f aca="false">CH204+CK204*(CI204-CH204)</f>
        <v>25.3681981173935</v>
      </c>
      <c r="CM204" s="44" t="n">
        <f aca="false">CH204+MAX(0,MIN(1,1-(1-CJ204)*AQ204/AN204))*(CI204-CH204)</f>
        <v>23.620522619794</v>
      </c>
      <c r="CN204" s="44" t="n">
        <f aca="false">CH204+MAX(0,MIN(1,1-(1-CJ204)*AP204/AN204))*(CI204-CH204)</f>
        <v>26.8954801060858</v>
      </c>
      <c r="CO204" s="44" t="n">
        <f aca="false">CL204-CG204</f>
        <v>-0.210373311177946</v>
      </c>
      <c r="CP204" s="44" t="n">
        <f aca="false">CL204-(CH204+CJ204*(CI204-CH204))</f>
        <v>1.02579404817886</v>
      </c>
      <c r="CQ204" s="46" t="n">
        <f aca="false">CL204/CG204</f>
        <v>0.991775408108095</v>
      </c>
      <c r="CR204" s="43" t="n">
        <f aca="false">IF(CL204-CH204&lt;=0,"n/a",(CI204-CL204)/(CL204-CH204))</f>
        <v>2.40912761949293</v>
      </c>
      <c r="CS204" s="43" t="n">
        <f aca="false">IF(CI204-CL204&lt;=0,"n/a",(CL204-CH204)/(CI204-CL204))</f>
        <v>0.415088014395219</v>
      </c>
      <c r="CT204" s="43" t="n">
        <f aca="false">Inputs_General!$C$23+Inputs_General!$C$24*$I204</f>
        <v>0.96</v>
      </c>
      <c r="CU204" s="44" t="n">
        <f aca="false">3.29*CT204</f>
        <v>3.1584</v>
      </c>
    </row>
    <row r="205" customFormat="false" ht="15" hidden="false" customHeight="false" outlineLevel="0" collapsed="false">
      <c r="A205" s="9" t="str">
        <f aca="false">B205&amp;"|"&amp;E205&amp;"|"&amp;F205</f>
        <v>D3V3|24/02/2026|High</v>
      </c>
      <c r="B205" s="7" t="s">
        <v>351</v>
      </c>
      <c r="C205" s="9" t="s">
        <v>131</v>
      </c>
      <c r="D205" s="9" t="s">
        <v>150</v>
      </c>
      <c r="E205" s="9" t="s">
        <v>160</v>
      </c>
      <c r="F205" s="7" t="s">
        <v>283</v>
      </c>
      <c r="G205" s="9" t="s">
        <v>284</v>
      </c>
      <c r="H205" s="41" t="n">
        <f aca="false">INDEX(Severity_Classes!$C$4:$C$9,MATCH(F205,Severity_Classes!$A$4:$A$9,0))</f>
        <v>0.26</v>
      </c>
      <c r="I205" s="41" t="n">
        <f aca="false">INDEX(Severity_Classes!$D$4:$D$9,MATCH(F205,Severity_Classes!$A$4:$A$9,0))</f>
        <v>0.38</v>
      </c>
      <c r="J205" s="41" t="n">
        <f aca="false">INDEX(Severity_Classes!$E$4:$E$9,MATCH(F205,Severity_Classes!$A$4:$A$9,0))</f>
        <v>0.5</v>
      </c>
      <c r="K205" s="42" t="n">
        <f aca="false">MATCH(B205&amp;"|"&amp;E205,Context!$A$4:$A$51,0)</f>
        <v>34</v>
      </c>
      <c r="L205" s="42" t="n">
        <f aca="false">INDEX(Context!$H$4:$H$51,K205)</f>
        <v>59</v>
      </c>
      <c r="M205" s="42" t="n">
        <f aca="false">INDEX(Context!$I$4:$I$51,K205)</f>
        <v>19</v>
      </c>
      <c r="N205" s="9" t="str">
        <f aca="false">INDEX(Context!$L$4:$L$51,K205)</f>
        <v>V</v>
      </c>
      <c r="O205" s="9" t="str">
        <f aca="false">INDEX(Context!$M$4:$M$51,K205)</f>
        <v>3rd fully expanded leaf from top</v>
      </c>
      <c r="P205" s="43" t="n">
        <f aca="false">INDEX(Context!$R$4:$R$51,K205)</f>
        <v>0.0232142857142859</v>
      </c>
      <c r="Q205" s="43" t="n">
        <f aca="false">INDEX(Context!$U$4:$U$51,K205)</f>
        <v>1.19492600027053</v>
      </c>
      <c r="R205" s="43" t="n">
        <f aca="false">INDEX(Context!$AD$4:$AD$51,K205)</f>
        <v>0.85</v>
      </c>
      <c r="S205" s="9" t="str">
        <f aca="false">INDEX(Context!$AI$4:$AN$51,K205,MATCH(F205,Severity_Classes!$A$4:$A$9,0))</f>
        <v>Possible</v>
      </c>
      <c r="T205" s="44" t="n">
        <f aca="false">Parameters!$E$4*IF($N205="V",Parameters!$I$4,IF($N205="F",Parameters!$J$4,Parameters!$K$4))*(1-Parameters!$L$4*$P205)*IF($D205="V1",Parameters!$M$4,IF($D205="V2",Parameters!$N$4,Parameters!$O$4))</f>
        <v>85.9001785714286</v>
      </c>
      <c r="U205" s="44" t="n">
        <f aca="false">MIN(100,T205*(1+INDEX(Response_Table!$E$4:$E$21,MATCH($F205&amp;"|mid",Response_Table!$A$4:$A$21,0))*$R205*INDEX(Parameters!$X$4:$AA$4,1,MATCH($E205,Parameters!$X$3:$AA$3,0))))</f>
        <v>74.1049264014316</v>
      </c>
      <c r="V205" s="44" t="n">
        <f aca="false">MAX(0,MIN(T205*(1+INDEX(Response_Table!$E$4:$E$21,MATCH($F205&amp;"|low",Response_Table!$A$4:$A$21,0))*$R205*INDEX(Parameters!$X$4:$AA$4,1,MATCH($E205,Parameters!$X$3:$AA$3,0))),T205*(1+INDEX(Response_Table!$E$4:$E$21,MATCH($F205&amp;"|high",Response_Table!$A$4:$A$21,0))*$R205*INDEX(Parameters!$X$4:$AA$4,1,MATCH($E205,Parameters!$X$3:$AA$3,0))))*(1-Inputs_General!$C$22*Parameters!$F$4))</f>
        <v>64.5884890240296</v>
      </c>
      <c r="W205" s="44" t="n">
        <f aca="false">MIN(100,MAX(T205*(1+INDEX(Response_Table!$E$4:$E$21,MATCH($F205&amp;"|low",Response_Table!$A$4:$A$21,0))*$R205*INDEX(Parameters!$X$4:$AA$4,1,MATCH($E205,Parameters!$X$3:$AA$3,0))),T205*(1+INDEX(Response_Table!$E$4:$E$21,MATCH($F205&amp;"|high",Response_Table!$A$4:$A$21,0))*$R205*INDEX(Parameters!$X$4:$AA$4,1,MATCH($E205,Parameters!$X$3:$AA$3,0))))*(1+Inputs_General!$C$22*Parameters!$F$4))</f>
        <v>84.9205882946258</v>
      </c>
      <c r="X205" s="45" t="n">
        <f aca="false">IF(T205=0,0,U205/T205-1)</f>
        <v>-0.137313476714008</v>
      </c>
      <c r="Y205" s="44" t="n">
        <f aca="false">Parameters!$E$5*IF($N205="V",Parameters!$I$5,IF($N205="F",Parameters!$J$5,Parameters!$K$5))*(1-Parameters!$L$5*$P205)*IF($D205="V1",Parameters!$M$5,IF($D205="V2",Parameters!$N$5,Parameters!$O$5))</f>
        <v>71.7994285714286</v>
      </c>
      <c r="Z205" s="44" t="n">
        <f aca="false">MIN(100,Y205*(1+INDEX(Response_Table!$F$4:$F$21,MATCH($F205&amp;"|mid",Response_Table!$A$4:$A$21,0))*$R205*INDEX(Parameters!$X$5:$AA$5,1,MATCH($E205,Parameters!$X$3:$AA$3,0))))</f>
        <v>41.2667919921201</v>
      </c>
      <c r="AA205" s="44" t="n">
        <f aca="false">MAX(0,MIN(Y205*(1+INDEX(Response_Table!$F$4:$F$21,MATCH($F205&amp;"|low",Response_Table!$A$4:$A$21,0))*$R205*INDEX(Parameters!$X$5:$AA$5,1,MATCH($E205,Parameters!$X$3:$AA$3,0))),Y205*(1+INDEX(Response_Table!$F$4:$F$21,MATCH($F205&amp;"|high",Response_Table!$A$4:$A$21,0))*$R205*INDEX(Parameters!$X$5:$AA$5,1,MATCH($E205,Parameters!$X$3:$AA$3,0))))*(1-Inputs_General!$C$22*Parameters!$F$5))</f>
        <v>29.7303509684504</v>
      </c>
      <c r="AB205" s="44" t="n">
        <f aca="false">MIN(100,MAX(Y205*(1+INDEX(Response_Table!$F$4:$F$21,MATCH($F205&amp;"|low",Response_Table!$A$4:$A$21,0))*$R205*INDEX(Parameters!$X$5:$AA$5,1,MATCH($E205,Parameters!$X$3:$AA$3,0))),Y205*(1+INDEX(Response_Table!$F$4:$F$21,MATCH($F205&amp;"|high",Response_Table!$A$4:$A$21,0))*$R205*INDEX(Parameters!$X$5:$AA$5,1,MATCH($E205,Parameters!$X$3:$AA$3,0))))*(1+Inputs_General!$C$22*Parameters!$F$5))</f>
        <v>60.2141120932739</v>
      </c>
      <c r="AC205" s="45" t="n">
        <f aca="false">IF(Y205=0,0,Z205/Y205-1)</f>
        <v>-0.425249019202618</v>
      </c>
      <c r="AD205" s="44" t="n">
        <f aca="false">Parameters!$E$6*IF($N205="V",Parameters!$I$6,IF($N205="F",Parameters!$J$6,Parameters!$K$6))*(1-Parameters!$L$6*$P205)*IF($D205="V1",Parameters!$M$6,IF($D205="V2",Parameters!$N$6,Parameters!$O$6))</f>
        <v>19.5154835714286</v>
      </c>
      <c r="AE205" s="44" t="n">
        <f aca="false">AD205*(1+INDEX(Response_Table!$G$4:$G$21,MATCH($F205&amp;"|mid",Response_Table!$A$4:$A$21,0))*$R205*INDEX(Parameters!$X$6:$AA$6,1,MATCH($E205,Parameters!$X$3:$AA$3,0)))</f>
        <v>9.41168794605889</v>
      </c>
      <c r="AF205" s="44" t="n">
        <f aca="false">MAX(0,MIN(AD205*(1+INDEX(Response_Table!$G$4:$G$21,MATCH($F205&amp;"|low",Response_Table!$A$4:$A$21,0))*$R205*INDEX(Parameters!$X$6:$AA$6,1,MATCH($E205,Parameters!$X$3:$AA$3,0))),AD205*(1+INDEX(Response_Table!$G$4:$G$21,MATCH($F205&amp;"|high",Response_Table!$A$4:$A$21,0))*$R205*INDEX(Parameters!$X$6:$AA$6,1,MATCH($E205,Parameters!$X$3:$AA$3,0))))*(1-Inputs_General!$C$22*Parameters!$F$6))</f>
        <v>6.7842800997251</v>
      </c>
      <c r="AG205" s="44" t="n">
        <f aca="false">MAX(AD205*(1+INDEX(Response_Table!$G$4:$G$21,MATCH($F205&amp;"|low",Response_Table!$A$4:$A$21,0))*$R205*INDEX(Parameters!$X$6:$AA$6,1,MATCH($E205,Parameters!$X$3:$AA$3,0))),AD205*(1+INDEX(Response_Table!$G$4:$G$21,MATCH($F205&amp;"|high",Response_Table!$A$4:$A$21,0))*$R205*INDEX(Parameters!$X$6:$AA$6,1,MATCH($E205,Parameters!$X$3:$AA$3,0))))*(1+Inputs_General!$C$22*Parameters!$F$6)</f>
        <v>13.2161660351021</v>
      </c>
      <c r="AH205" s="45" t="n">
        <f aca="false">IF(AD205=0,0,AE205/AD205-1)</f>
        <v>-0.51773227080891</v>
      </c>
      <c r="AI205" s="46" t="n">
        <f aca="false">Parameters!$E$7*IF($N205="V",Parameters!$I$7,IF($N205="F",Parameters!$J$7,Parameters!$K$7))*(1-Parameters!$L$7*$P205)*IF($D205="V1",Parameters!$M$7,IF($D205="V2",Parameters!$N$7,Parameters!$O$7))*POWER($Q205/Inputs_General!$C$26,-Inputs_General!$C$25)</f>
        <v>0.411663164578586</v>
      </c>
      <c r="AJ205" s="46" t="n">
        <f aca="false">AI205*(1+INDEX(Response_Table!$H$4:$H$21,MATCH($F205&amp;"|mid",Response_Table!$A$4:$A$21,0))*$R205*INDEX(Parameters!$X$7:$AA$7,1,MATCH($E205,Parameters!$X$3:$AA$3,0)))</f>
        <v>0.256960151262781</v>
      </c>
      <c r="AK205" s="46" t="n">
        <f aca="false">MAX(0,MIN(AI205*(1+INDEX(Response_Table!$H$4:$H$21,MATCH($F205&amp;"|low",Response_Table!$A$4:$A$21,0))*$R205*INDEX(Parameters!$X$7:$AA$7,1,MATCH($E205,Parameters!$X$3:$AA$3,0))),AI205*(1+INDEX(Response_Table!$H$4:$H$21,MATCH($F205&amp;"|high",Response_Table!$A$4:$A$21,0))*$R205*INDEX(Parameters!$X$7:$AA$7,1,MATCH($E205,Parameters!$X$3:$AA$3,0))))*(1-Inputs_General!$C$22*Parameters!$F$7))</f>
        <v>0.165394580293777</v>
      </c>
      <c r="AL205" s="46" t="n">
        <f aca="false">MAX(AI205*(1+INDEX(Response_Table!$H$4:$H$21,MATCH($F205&amp;"|low",Response_Table!$A$4:$A$21,0))*$R205*INDEX(Parameters!$X$7:$AA$7,1,MATCH($E205,Parameters!$X$3:$AA$3,0))),AI205*(1+INDEX(Response_Table!$H$4:$H$21,MATCH($F205&amp;"|high",Response_Table!$A$4:$A$21,0))*$R205*INDEX(Parameters!$X$7:$AA$7,1,MATCH($E205,Parameters!$X$3:$AA$3,0))))*(1+Inputs_General!$C$22*Parameters!$F$7)</f>
        <v>0.373900115776851</v>
      </c>
      <c r="AM205" s="45" t="n">
        <f aca="false">IF(AI205=0,0,AJ205/AI205-1)</f>
        <v>-0.375799990446492</v>
      </c>
      <c r="AN205" s="43" t="n">
        <f aca="false">AI205*$Q205/Inputs_General!$C$13*1000</f>
        <v>4.95374641196979</v>
      </c>
      <c r="AO205" s="43" t="n">
        <f aca="false">AJ205*$Q205/Inputs_General!$C$13*1000*(1+Inputs_General!$C$21*$I205)</f>
        <v>3.38588077065653</v>
      </c>
      <c r="AP205" s="43" t="n">
        <f aca="false">AK205*$Q205/Inputs_General!$C$13*1000*(1+Inputs_General!$C$21*$H205)</f>
        <v>2.11964262614464</v>
      </c>
      <c r="AQ205" s="43" t="n">
        <f aca="false">AL205*$Q205/Inputs_General!$C$13*1000*(1+Inputs_General!$C$21*$J205)</f>
        <v>5.06174059493113</v>
      </c>
      <c r="AR205" s="45" t="n">
        <f aca="false">IF(AN205=0,0,AO205/AN205-1)</f>
        <v>-0.316500989538909</v>
      </c>
      <c r="AS205" s="42" t="n">
        <f aca="false">Parameters!$E$9*IF($N205="V",Parameters!$I$9,IF($N205="F",Parameters!$J$9,Parameters!$K$9))*(1-Parameters!$L$9*$P205)*IF($D205="V1",Parameters!$M$9,IF($D205="V2",Parameters!$N$9,Parameters!$O$9))</f>
        <v>285</v>
      </c>
      <c r="AT205" s="42" t="n">
        <f aca="false">AS205*(1+INDEX(Response_Table!$I$4:$I$21,MATCH($F205&amp;"|mid",Response_Table!$A$4:$A$21,0))*$R205*INDEX(Parameters!$X$9:$AA$9,1,MATCH($E205,Parameters!$X$3:$AA$3,0)))</f>
        <v>341.780113615748</v>
      </c>
      <c r="AU205" s="42" t="n">
        <f aca="false">MAX(0,MIN(AS205*(1+INDEX(Response_Table!$I$4:$I$21,MATCH($F205&amp;"|low",Response_Table!$A$4:$A$21,0))*$R205*INDEX(Parameters!$X$9:$AA$9,1,MATCH($E205,Parameters!$X$3:$AA$3,0))),AS205*(1+INDEX(Response_Table!$I$4:$I$21,MATCH($F205&amp;"|high",Response_Table!$A$4:$A$21,0))*$R205*INDEX(Parameters!$X$9:$AA$9,1,MATCH($E205,Parameters!$X$3:$AA$3,0))))*(1-Inputs_General!$C$22*Parameters!$F$9))</f>
        <v>299.220496875066</v>
      </c>
      <c r="AV205" s="42" t="n">
        <f aca="false">MAX(AS205*(1+INDEX(Response_Table!$I$4:$I$21,MATCH($F205&amp;"|low",Response_Table!$A$4:$A$21,0))*$R205*INDEX(Parameters!$X$9:$AA$9,1,MATCH($E205,Parameters!$X$3:$AA$3,0))),AS205*(1+INDEX(Response_Table!$I$4:$I$21,MATCH($F205&amp;"|high",Response_Table!$A$4:$A$21,0))*$R205*INDEX(Parameters!$X$9:$AA$9,1,MATCH($E205,Parameters!$X$3:$AA$3,0))))*(1+Inputs_General!$C$22*Parameters!$F$9)</f>
        <v>382.171267759079</v>
      </c>
      <c r="AW205" s="45" t="n">
        <f aca="false">IF(AS205=0,0,AT205/AS205-1)</f>
        <v>0.199228468827185</v>
      </c>
      <c r="AX205" s="43" t="n">
        <f aca="false">INDEX(Context!$AB$4:$AB$51,$K205)</f>
        <v>2.25291371771685</v>
      </c>
      <c r="AY205" s="43" t="n">
        <f aca="false">AX205*(1+INDEX(Response_Table!$J$4:$J$21,MATCH($F205&amp;"|mid",Response_Table!$A$4:$A$21,0))*$R205*INDEX(Parameters!$X$10:$AA$10,1,MATCH($E205,Parameters!$X$3:$AA$3,0)))</f>
        <v>1.72444423572143</v>
      </c>
      <c r="AZ205" s="43" t="n">
        <f aca="false">MAX(0,MIN(AX205*(1+INDEX(Response_Table!$J$4:$J$21,MATCH($F205&amp;"|low",Response_Table!$A$4:$A$21,0))*$R205*INDEX(Parameters!$X$10:$AA$10,1,MATCH($E205,Parameters!$X$3:$AA$3,0))),AX205*(1+INDEX(Response_Table!$J$4:$J$21,MATCH($F205&amp;"|high",Response_Table!$A$4:$A$21,0))*$R205*INDEX(Parameters!$X$10:$AA$10,1,MATCH($E205,Parameters!$X$3:$AA$3,0))))*(1-Inputs_General!$C$22*Parameters!$F$10))</f>
        <v>1.31471234965836</v>
      </c>
      <c r="BA205" s="43" t="n">
        <f aca="false">MAX(AX205*(1+INDEX(Response_Table!$J$4:$J$21,MATCH($F205&amp;"|low",Response_Table!$A$4:$A$21,0))*$R205*INDEX(Parameters!$X$10:$AA$10,1,MATCH($E205,Parameters!$X$3:$AA$3,0))),AX205*(1+INDEX(Response_Table!$J$4:$J$21,MATCH($F205&amp;"|high",Response_Table!$A$4:$A$21,0))*$R205*INDEX(Parameters!$X$10:$AA$10,1,MATCH($E205,Parameters!$X$3:$AA$3,0))))*(1+Inputs_General!$C$22*Parameters!$F$10)</f>
        <v>2.2044633145543</v>
      </c>
      <c r="BB205" s="45" t="n">
        <f aca="false">IF(AX205=0,0,AY205/AX205-1)</f>
        <v>-0.234571558528653</v>
      </c>
      <c r="BC205" s="46" t="n">
        <f aca="false">Parameters!$E$11*IF($N205="V",Parameters!$I$11,IF($N205="F",Parameters!$J$11,Parameters!$K$11))*(1-Parameters!$L$11*$P205)*IF($D205="V1",Parameters!$M$11,IF($D205="V2",Parameters!$N$11,Parameters!$O$11))</f>
        <v>1.22142136160714</v>
      </c>
      <c r="BD205" s="46" t="n">
        <f aca="false">BC205*(1+INDEX(Response_Table!$K$4:$K$21,MATCH($F205&amp;"|mid",Response_Table!$A$4:$A$21,0))*$R205*INDEX(Parameters!$X$11:$AA$11,1,MATCH($E205,Parameters!$X$3:$AA$3,0)))</f>
        <v>0.746616321196824</v>
      </c>
      <c r="BE205" s="46" t="n">
        <f aca="false">MAX(0,MIN(BC205*(1+INDEX(Response_Table!$K$4:$K$21,MATCH($F205&amp;"|low",Response_Table!$A$4:$A$21,0))*$R205*INDEX(Parameters!$X$11:$AA$11,1,MATCH($E205,Parameters!$X$3:$AA$3,0))),BC205*(1+INDEX(Response_Table!$K$4:$K$21,MATCH($F205&amp;"|high",Response_Table!$A$4:$A$21,0))*$R205*INDEX(Parameters!$X$11:$AA$11,1,MATCH($E205,Parameters!$X$3:$AA$3,0))))*(1-Inputs_General!$C$22*Parameters!$F$11))</f>
        <v>0.570506935632823</v>
      </c>
      <c r="BF205" s="46" t="n">
        <f aca="false">MAX(BC205*(1+INDEX(Response_Table!$K$4:$K$21,MATCH($F205&amp;"|low",Response_Table!$A$4:$A$21,0))*$R205*INDEX(Parameters!$X$11:$AA$11,1,MATCH($E205,Parameters!$X$3:$AA$3,0))),BC205*(1+INDEX(Response_Table!$K$4:$K$21,MATCH($F205&amp;"|high",Response_Table!$A$4:$A$21,0))*$R205*INDEX(Parameters!$X$11:$AA$11,1,MATCH($E205,Parameters!$X$3:$AA$3,0))))*(1+Inputs_General!$C$22*Parameters!$F$11)</f>
        <v>0.978482276826436</v>
      </c>
      <c r="BG205" s="45" t="n">
        <f aca="false">IF(BC205=0,0,BD205/BC205-1)</f>
        <v>-0.388731567446611</v>
      </c>
      <c r="BH205" s="46" t="n">
        <f aca="false">Parameters!$E$12*IF($N205="V",Parameters!$I$12,IF($N205="F",Parameters!$J$12,Parameters!$K$12))*(1-Parameters!$L$12*$P205)*IF($D205="V1",Parameters!$M$12,IF($D205="V2",Parameters!$N$12,Parameters!$O$12))</f>
        <v>0.439711690178571</v>
      </c>
      <c r="BI205" s="46" t="n">
        <f aca="false">BH205*(1+INDEX(Response_Table!$L$4:$L$21,MATCH($F205&amp;"|mid",Response_Table!$A$4:$A$21,0))*$R205*INDEX(Parameters!$X$12:$AA$12,1,MATCH($E205,Parameters!$X$3:$AA$3,0)))</f>
        <v>0.299890141051533</v>
      </c>
      <c r="BJ205" s="46" t="n">
        <f aca="false">MAX(0,MIN(BH205*(1+INDEX(Response_Table!$L$4:$L$21,MATCH($F205&amp;"|low",Response_Table!$A$4:$A$21,0))*$R205*INDEX(Parameters!$X$12:$AA$12,1,MATCH($E205,Parameters!$X$3:$AA$3,0))),BH205*(1+INDEX(Response_Table!$L$4:$L$21,MATCH($F205&amp;"|high",Response_Table!$A$4:$A$21,0))*$R205*INDEX(Parameters!$X$12:$AA$12,1,MATCH($E205,Parameters!$X$3:$AA$3,0))))*(1-Inputs_General!$C$22*Parameters!$F$12))</f>
        <v>0.224739456632917</v>
      </c>
      <c r="BK205" s="46" t="n">
        <f aca="false">MAX(BH205*(1+INDEX(Response_Table!$L$4:$L$21,MATCH($F205&amp;"|low",Response_Table!$A$4:$A$21,0))*$R205*INDEX(Parameters!$X$12:$AA$12,1,MATCH($E205,Parameters!$X$3:$AA$3,0))),BH205*(1+INDEX(Response_Table!$L$4:$L$21,MATCH($F205&amp;"|high",Response_Table!$A$4:$A$21,0))*$R205*INDEX(Parameters!$X$12:$AA$12,1,MATCH($E205,Parameters!$X$3:$AA$3,0))))*(1+Inputs_General!$C$22*Parameters!$F$12)</f>
        <v>0.393200781542841</v>
      </c>
      <c r="BL205" s="45" t="n">
        <f aca="false">IF(BH205=0,0,BI205/BH205-1)</f>
        <v>-0.317984607300878</v>
      </c>
      <c r="BM205" s="46" t="n">
        <f aca="false">Parameters!$E$13*IF($N205="V",Parameters!$I$13,IF($N205="F",Parameters!$J$13,Parameters!$K$13))*(1-Parameters!$L$13*$P205)*IF($D205="V1",Parameters!$M$13,IF($D205="V2",Parameters!$N$13,Parameters!$O$13))</f>
        <v>0.293345563392857</v>
      </c>
      <c r="BN205" s="46" t="n">
        <f aca="false">BM205*(1+INDEX(Response_Table!$M$4:$M$21,MATCH($F205&amp;"|mid",Response_Table!$A$4:$A$21,0))*$R205*INDEX(Parameters!$X$13:$AA$13,1,MATCH($E205,Parameters!$X$3:$AA$3,0)))</f>
        <v>0.231267809778443</v>
      </c>
      <c r="BO205" s="46" t="n">
        <f aca="false">MAX(0,MIN(BM205*(1+INDEX(Response_Table!$M$4:$M$21,MATCH($F205&amp;"|low",Response_Table!$A$4:$A$21,0))*$R205*INDEX(Parameters!$X$13:$AA$13,1,MATCH($E205,Parameters!$X$3:$AA$3,0))),BM205*(1+INDEX(Response_Table!$M$4:$M$21,MATCH($F205&amp;"|high",Response_Table!$A$4:$A$21,0))*$R205*INDEX(Parameters!$X$13:$AA$13,1,MATCH($E205,Parameters!$X$3:$AA$3,0))))*(1-Inputs_General!$C$22*Parameters!$F$13))</f>
        <v>0.175083946814706</v>
      </c>
      <c r="BP205" s="46" t="n">
        <f aca="false">MAX(BM205*(1+INDEX(Response_Table!$M$4:$M$21,MATCH($F205&amp;"|low",Response_Table!$A$4:$A$21,0))*$R205*INDEX(Parameters!$X$13:$AA$13,1,MATCH($E205,Parameters!$X$3:$AA$3,0))),BM205*(1+INDEX(Response_Table!$M$4:$M$21,MATCH($F205&amp;"|high",Response_Table!$A$4:$A$21,0))*$R205*INDEX(Parameters!$X$13:$AA$13,1,MATCH($E205,Parameters!$X$3:$AA$3,0))))*(1+Inputs_General!$C$22*Parameters!$F$13)</f>
        <v>0.302244309165454</v>
      </c>
      <c r="BQ205" s="45" t="n">
        <f aca="false">IF(BM205=0,0,BN205/BM205-1)</f>
        <v>-0.211619882354511</v>
      </c>
      <c r="BR205" s="44" t="n">
        <f aca="false">Parameters!$E$14*IF($N205="V",Parameters!$I$14,IF($N205="F",Parameters!$J$14,Parameters!$K$14))*(1-Parameters!$L$14*$P205)*IF($D205="V1",Parameters!$M$14,IF($D205="V2",Parameters!$N$14,Parameters!$O$14))*INDEX(Context!$AC$4:$AC$51,$K205)</f>
        <v>17.325</v>
      </c>
      <c r="BS205" s="44" t="n">
        <f aca="false">BR205*(1+INDEX(Response_Table!$N$4:$N$21,MATCH($F205&amp;"|mid",Response_Table!$A$4:$A$21,0))*$R205*INDEX(Parameters!$X$14:$AA$14,1,MATCH($E205,Parameters!$X$3:$AA$3,0)))</f>
        <v>23.3349090779866</v>
      </c>
      <c r="BT205" s="44" t="n">
        <f aca="false">MAX(0,MIN(BR205*(1+INDEX(Response_Table!$N$4:$N$21,MATCH($F205&amp;"|low",Response_Table!$A$4:$A$21,0))*$R205*INDEX(Parameters!$X$14:$AA$14,1,MATCH($E205,Parameters!$X$3:$AA$3,0))),BR205*(1+INDEX(Response_Table!$N$4:$N$21,MATCH($F205&amp;"|high",Response_Table!$A$4:$A$21,0))*$R205*INDEX(Parameters!$X$14:$AA$14,1,MATCH($E205,Parameters!$X$3:$AA$3,0))))*(1-Inputs_General!$C$22*Parameters!$F$14))</f>
        <v>11.1989120718614</v>
      </c>
      <c r="BU205" s="44" t="n">
        <f aca="false">MAX(BR205*(1+INDEX(Response_Table!$N$4:$N$21,MATCH($F205&amp;"|low",Response_Table!$A$4:$A$21,0))*$R205*INDEX(Parameters!$X$14:$AA$14,1,MATCH($E205,Parameters!$X$3:$AA$3,0))),BR205*(1+INDEX(Response_Table!$N$4:$N$21,MATCH($F205&amp;"|high",Response_Table!$A$4:$A$21,0))*$R205*INDEX(Parameters!$X$14:$AA$14,1,MATCH($E205,Parameters!$X$3:$AA$3,0))))*(1+Inputs_General!$C$22*Parameters!$F$14)</f>
        <v>36.1266115512342</v>
      </c>
      <c r="BV205" s="45" t="n">
        <f aca="false">IF(BR205=0,0,BS205/BR205-1)</f>
        <v>0.346892298873685</v>
      </c>
      <c r="BW205" s="43" t="n">
        <f aca="false">Parameters!$E$15*IF($N205="V",Parameters!$I$15,IF($N205="F",Parameters!$J$15,Parameters!$K$15))*(1-Parameters!$L$15*$P205)*IF($D205="V1",Parameters!$M$15,IF($D205="V2",Parameters!$N$15,Parameters!$O$15))</f>
        <v>10.7849571428571</v>
      </c>
      <c r="BX205" s="43" t="n">
        <f aca="false">BW205*(1+INDEX(Response_Table!$O$4:$O$21,MATCH($F205&amp;"|mid",Response_Table!$A$4:$A$21,0))*$R205*INDEX(Parameters!$X$15:$AA$15,1,MATCH($E205,Parameters!$X$3:$AA$3,0)))</f>
        <v>9.84965249872217</v>
      </c>
      <c r="BY205" s="43" t="n">
        <f aca="false">MAX(0,MIN(BW205*(1+INDEX(Response_Table!$O$4:$O$21,MATCH($F205&amp;"|low",Response_Table!$A$4:$A$21,0))*$R205*INDEX(Parameters!$X$15:$AA$15,1,MATCH($E205,Parameters!$X$3:$AA$3,0))),BW205*(1+INDEX(Response_Table!$O$4:$O$21,MATCH($F205&amp;"|high",Response_Table!$A$4:$A$21,0))*$R205*INDEX(Parameters!$X$15:$AA$15,1,MATCH($E205,Parameters!$X$3:$AA$3,0))))*(1-Inputs_General!$C$22*Parameters!$F$15))</f>
        <v>7.79862131878438</v>
      </c>
      <c r="BZ205" s="43" t="n">
        <f aca="false">MAX(BW205*(1+INDEX(Response_Table!$O$4:$O$21,MATCH($F205&amp;"|low",Response_Table!$A$4:$A$21,0))*$R205*INDEX(Parameters!$X$15:$AA$15,1,MATCH($E205,Parameters!$X$3:$AA$3,0))),BW205*(1+INDEX(Response_Table!$O$4:$O$21,MATCH($F205&amp;"|high",Response_Table!$A$4:$A$21,0))*$R205*INDEX(Parameters!$X$15:$AA$15,1,MATCH($E205,Parameters!$X$3:$AA$3,0))))*(1+Inputs_General!$C$22*Parameters!$F$15)</f>
        <v>12.0221605994788</v>
      </c>
      <c r="CA205" s="45" t="n">
        <f aca="false">IF(BW205=0,0,BX205/BW205-1)</f>
        <v>-0.0867230747184213</v>
      </c>
      <c r="CB205" s="46" t="n">
        <f aca="false">BD205+BI205</f>
        <v>1.04650646224836</v>
      </c>
      <c r="CC205" s="43" t="n">
        <f aca="false">BD205/BI205</f>
        <v>2.48963276544835</v>
      </c>
      <c r="CD205" s="46" t="n">
        <f aca="false">BN205/CB205</f>
        <v>0.220990331279539</v>
      </c>
      <c r="CE205" s="43" t="n">
        <f aca="false">AE205/AO205</f>
        <v>2.77968675909221</v>
      </c>
      <c r="CF205" s="44" t="n">
        <f aca="false">AE205/AJ205</f>
        <v>36.6270330236302</v>
      </c>
      <c r="CG205" s="44" t="n">
        <f aca="false">INDEX(Context!$V$4:$V$51,$K205)</f>
        <v>25.5785714285714</v>
      </c>
      <c r="CH205" s="44" t="n">
        <f aca="false">INDEX(Context!$Y$4:$Y$51,$K205)</f>
        <v>23.620522619794</v>
      </c>
      <c r="CI205" s="44" t="n">
        <f aca="false">INDEX(Context!$Z$4:$Z$51,$K205)</f>
        <v>29.5785714285714</v>
      </c>
      <c r="CJ205" s="43" t="n">
        <f aca="false">INDEX(Context!$AA$4:$AA$51,$K205)</f>
        <v>0.121160714285714</v>
      </c>
      <c r="CK205" s="43" t="n">
        <f aca="false">MAX(0,MIN(1,1-(1-CJ205)*AO205/AN205))</f>
        <v>0.399314217859954</v>
      </c>
      <c r="CL205" s="44" t="n">
        <f aca="false">CH205+CK205*(CI205-CH205)</f>
        <v>25.9996562198424</v>
      </c>
      <c r="CM205" s="44" t="n">
        <f aca="false">CH205+MAX(0,MIN(1,1-(1-CJ205)*AQ205/AN205))*(CI205-CH205)</f>
        <v>24.2282529664339</v>
      </c>
      <c r="CN205" s="44" t="n">
        <f aca="false">CH205+MAX(0,MIN(1,1-(1-CJ205)*AP205/AN205))*(CI205-CH205)</f>
        <v>27.3380846112201</v>
      </c>
      <c r="CO205" s="44" t="n">
        <f aca="false">CL205-CG205</f>
        <v>0.42108479127096</v>
      </c>
      <c r="CP205" s="44" t="n">
        <f aca="false">CL205-(CH205+CJ205*(CI205-CH205))</f>
        <v>1.65725215062776</v>
      </c>
      <c r="CQ205" s="46" t="n">
        <f aca="false">CL205/CG205</f>
        <v>1.01646240457356</v>
      </c>
      <c r="CR205" s="43" t="n">
        <f aca="false">IF(CL205-CH205&lt;=0,"n/a",(CI205-CL205)/(CL205-CH205))</f>
        <v>1.50429349938829</v>
      </c>
      <c r="CS205" s="43" t="n">
        <f aca="false">IF(CI205-CL205&lt;=0,"n/a",(CL205-CH205)/(CI205-CL205))</f>
        <v>0.664763891093489</v>
      </c>
      <c r="CT205" s="43" t="n">
        <f aca="false">Inputs_General!$C$23+Inputs_General!$C$24*$I205</f>
        <v>1.36</v>
      </c>
      <c r="CU205" s="44" t="n">
        <f aca="false">3.29*CT205</f>
        <v>4.4744</v>
      </c>
    </row>
    <row r="206" customFormat="false" ht="15" hidden="false" customHeight="false" outlineLevel="0" collapsed="false">
      <c r="A206" s="9" t="str">
        <f aca="false">B206&amp;"|"&amp;E206&amp;"|"&amp;F206</f>
        <v>D3V3|24/02/2026|Very high</v>
      </c>
      <c r="B206" s="7" t="s">
        <v>351</v>
      </c>
      <c r="C206" s="9" t="s">
        <v>131</v>
      </c>
      <c r="D206" s="9" t="s">
        <v>150</v>
      </c>
      <c r="E206" s="9" t="s">
        <v>160</v>
      </c>
      <c r="F206" s="7" t="s">
        <v>285</v>
      </c>
      <c r="G206" s="9" t="s">
        <v>286</v>
      </c>
      <c r="H206" s="41" t="n">
        <f aca="false">INDEX(Severity_Classes!$C$4:$C$9,MATCH(F206,Severity_Classes!$A$4:$A$9,0))</f>
        <v>0.51</v>
      </c>
      <c r="I206" s="41" t="n">
        <f aca="false">INDEX(Severity_Classes!$D$4:$D$9,MATCH(F206,Severity_Classes!$A$4:$A$9,0))</f>
        <v>0.65</v>
      </c>
      <c r="J206" s="41" t="n">
        <f aca="false">INDEX(Severity_Classes!$E$4:$E$9,MATCH(F206,Severity_Classes!$A$4:$A$9,0))</f>
        <v>0.85</v>
      </c>
      <c r="K206" s="42" t="n">
        <f aca="false">MATCH(B206&amp;"|"&amp;E206,Context!$A$4:$A$51,0)</f>
        <v>34</v>
      </c>
      <c r="L206" s="42" t="n">
        <f aca="false">INDEX(Context!$H$4:$H$51,K206)</f>
        <v>59</v>
      </c>
      <c r="M206" s="42" t="n">
        <f aca="false">INDEX(Context!$I$4:$I$51,K206)</f>
        <v>19</v>
      </c>
      <c r="N206" s="9" t="str">
        <f aca="false">INDEX(Context!$L$4:$L$51,K206)</f>
        <v>V</v>
      </c>
      <c r="O206" s="9" t="str">
        <f aca="false">INDEX(Context!$M$4:$M$51,K206)</f>
        <v>3rd fully expanded leaf from top</v>
      </c>
      <c r="P206" s="43" t="n">
        <f aca="false">INDEX(Context!$R$4:$R$51,K206)</f>
        <v>0.0232142857142859</v>
      </c>
      <c r="Q206" s="43" t="n">
        <f aca="false">INDEX(Context!$U$4:$U$51,K206)</f>
        <v>1.19492600027053</v>
      </c>
      <c r="R206" s="43" t="n">
        <f aca="false">INDEX(Context!$AD$4:$AD$51,K206)</f>
        <v>0.85</v>
      </c>
      <c r="S206" s="9" t="str">
        <f aca="false">INDEX(Context!$AI$4:$AN$51,K206,MATCH(F206,Severity_Classes!$A$4:$A$9,0))</f>
        <v>Unlikely</v>
      </c>
      <c r="T206" s="44" t="n">
        <f aca="false">Parameters!$E$4*IF($N206="V",Parameters!$I$4,IF($N206="F",Parameters!$J$4,Parameters!$K$4))*(1-Parameters!$L$4*$P206)*IF($D206="V1",Parameters!$M$4,IF($D206="V2",Parameters!$N$4,Parameters!$O$4))</f>
        <v>85.9001785714286</v>
      </c>
      <c r="U206" s="44" t="n">
        <f aca="false">MIN(100,T206*(1+INDEX(Response_Table!$E$4:$E$21,MATCH($F206&amp;"|mid",Response_Table!$A$4:$A$21,0))*$R206*INDEX(Parameters!$X$4:$AA$4,1,MATCH($E206,Parameters!$X$3:$AA$3,0))))</f>
        <v>65.7471895363947</v>
      </c>
      <c r="V206" s="44" t="n">
        <f aca="false">MAX(0,MIN(T206*(1+INDEX(Response_Table!$E$4:$E$21,MATCH($F206&amp;"|low",Response_Table!$A$4:$A$21,0))*$R206*INDEX(Parameters!$X$4:$AA$4,1,MATCH($E206,Parameters!$X$3:$AA$3,0))),T206*(1+INDEX(Response_Table!$E$4:$E$21,MATCH($F206&amp;"|high",Response_Table!$A$4:$A$21,0))*$R206*INDEX(Parameters!$X$4:$AA$4,1,MATCH($E206,Parameters!$X$3:$AA$3,0))))*(1-Inputs_General!$C$22*Parameters!$F$4))</f>
        <v>60.1140415734596</v>
      </c>
      <c r="W206" s="44" t="n">
        <f aca="false">MIN(100,MAX(T206*(1+INDEX(Response_Table!$E$4:$E$21,MATCH($F206&amp;"|low",Response_Table!$A$4:$A$21,0))*$R206*INDEX(Parameters!$X$4:$AA$4,1,MATCH($E206,Parameters!$X$3:$AA$3,0))),T206*(1+INDEX(Response_Table!$E$4:$E$21,MATCH($F206&amp;"|high",Response_Table!$A$4:$A$21,0))*$R206*INDEX(Parameters!$X$4:$AA$4,1,MATCH($E206,Parameters!$X$3:$AA$3,0))))*(1+Inputs_General!$C$22*Parameters!$F$4))</f>
        <v>73.3402340954181</v>
      </c>
      <c r="X206" s="45" t="n">
        <f aca="false">IF(T206=0,0,U206/T206-1)</f>
        <v>-0.234609396280545</v>
      </c>
      <c r="Y206" s="44" t="n">
        <f aca="false">Parameters!$E$5*IF($N206="V",Parameters!$I$5,IF($N206="F",Parameters!$J$5,Parameters!$K$5))*(1-Parameters!$L$5*$P206)*IF($D206="V1",Parameters!$M$5,IF($D206="V2",Parameters!$N$5,Parameters!$O$5))</f>
        <v>71.7994285714286</v>
      </c>
      <c r="Z206" s="44" t="n">
        <f aca="false">MIN(100,Y206*(1+INDEX(Response_Table!$F$4:$F$21,MATCH($F206&amp;"|mid",Response_Table!$A$4:$A$21,0))*$R206*INDEX(Parameters!$X$5:$AA$5,1,MATCH($E206,Parameters!$X$3:$AA$3,0))))</f>
        <v>30.1721691365484</v>
      </c>
      <c r="AA206" s="44" t="n">
        <f aca="false">MAX(0,MIN(Y206*(1+INDEX(Response_Table!$F$4:$F$21,MATCH($F206&amp;"|low",Response_Table!$A$4:$A$21,0))*$R206*INDEX(Parameters!$X$5:$AA$5,1,MATCH($E206,Parameters!$X$3:$AA$3,0))),Y206*(1+INDEX(Response_Table!$F$4:$F$21,MATCH($F206&amp;"|high",Response_Table!$A$4:$A$21,0))*$R206*INDEX(Parameters!$X$5:$AA$5,1,MATCH($E206,Parameters!$X$3:$AA$3,0))))*(1-Inputs_General!$C$22*Parameters!$F$5))</f>
        <v>25.8640744103836</v>
      </c>
      <c r="AB206" s="44" t="n">
        <f aca="false">MIN(100,MAX(Y206*(1+INDEX(Response_Table!$F$4:$F$21,MATCH($F206&amp;"|low",Response_Table!$A$4:$A$21,0))*$R206*INDEX(Parameters!$X$5:$AA$5,1,MATCH($E206,Parameters!$X$3:$AA$3,0))),Y206*(1+INDEX(Response_Table!$F$4:$F$21,MATCH($F206&amp;"|high",Response_Table!$A$4:$A$21,0))*$R206*INDEX(Parameters!$X$5:$AA$5,1,MATCH($E206,Parameters!$X$3:$AA$3,0))))*(1+Inputs_General!$C$22*Parameters!$F$5))</f>
        <v>37.0322636547829</v>
      </c>
      <c r="AC206" s="45" t="n">
        <f aca="false">IF(Y206=0,0,Z206/Y206-1)</f>
        <v>-0.579771458674883</v>
      </c>
      <c r="AD206" s="44" t="n">
        <f aca="false">Parameters!$E$6*IF($N206="V",Parameters!$I$6,IF($N206="F",Parameters!$J$6,Parameters!$K$6))*(1-Parameters!$L$6*$P206)*IF($D206="V1",Parameters!$M$6,IF($D206="V2",Parameters!$N$6,Parameters!$O$6))</f>
        <v>19.5154835714286</v>
      </c>
      <c r="AE206" s="44" t="n">
        <f aca="false">AD206*(1+INDEX(Response_Table!$G$4:$G$21,MATCH($F206&amp;"|mid",Response_Table!$A$4:$A$21,0))*$R206*INDEX(Parameters!$X$6:$AA$6,1,MATCH($E206,Parameters!$X$3:$AA$3,0)))</f>
        <v>7.78685035784233</v>
      </c>
      <c r="AF206" s="44" t="n">
        <f aca="false">MAX(0,MIN(AD206*(1+INDEX(Response_Table!$G$4:$G$21,MATCH($F206&amp;"|low",Response_Table!$A$4:$A$21,0))*$R206*INDEX(Parameters!$X$6:$AA$6,1,MATCH($E206,Parameters!$X$3:$AA$3,0))),AD206*(1+INDEX(Response_Table!$G$4:$G$21,MATCH($F206&amp;"|high",Response_Table!$A$4:$A$21,0))*$R206*INDEX(Parameters!$X$6:$AA$6,1,MATCH($E206,Parameters!$X$3:$AA$3,0))))*(1-Inputs_General!$C$22*Parameters!$F$6))</f>
        <v>5.91507408371259</v>
      </c>
      <c r="AG206" s="44" t="n">
        <f aca="false">MAX(AD206*(1+INDEX(Response_Table!$G$4:$G$21,MATCH($F206&amp;"|low",Response_Table!$A$4:$A$21,0))*$R206*INDEX(Parameters!$X$6:$AA$6,1,MATCH($E206,Parameters!$X$3:$AA$3,0))),AD206*(1+INDEX(Response_Table!$G$4:$G$21,MATCH($F206&amp;"|high",Response_Table!$A$4:$A$21,0))*$R206*INDEX(Parameters!$X$6:$AA$6,1,MATCH($E206,Parameters!$X$3:$AA$3,0))))*(1+Inputs_General!$C$22*Parameters!$F$6)</f>
        <v>10.050423160938</v>
      </c>
      <c r="AH206" s="45" t="n">
        <f aca="false">IF(AD206=0,0,AE206/AD206-1)</f>
        <v>-0.600991165330765</v>
      </c>
      <c r="AI206" s="46" t="n">
        <f aca="false">Parameters!$E$7*IF($N206="V",Parameters!$I$7,IF($N206="F",Parameters!$J$7,Parameters!$K$7))*(1-Parameters!$L$7*$P206)*IF($D206="V1",Parameters!$M$7,IF($D206="V2",Parameters!$N$7,Parameters!$O$7))*POWER($Q206/Inputs_General!$C$26,-Inputs_General!$C$25)</f>
        <v>0.411663164578586</v>
      </c>
      <c r="AJ206" s="46" t="n">
        <f aca="false">AI206*(1+INDEX(Response_Table!$H$4:$H$21,MATCH($F206&amp;"|mid",Response_Table!$A$4:$A$21,0))*$R206*INDEX(Parameters!$X$7:$AA$7,1,MATCH($E206,Parameters!$X$3:$AA$3,0)))</f>
        <v>0.216578635636016</v>
      </c>
      <c r="AK206" s="46" t="n">
        <f aca="false">MAX(0,MIN(AI206*(1+INDEX(Response_Table!$H$4:$H$21,MATCH($F206&amp;"|low",Response_Table!$A$4:$A$21,0))*$R206*INDEX(Parameters!$X$7:$AA$7,1,MATCH($E206,Parameters!$X$3:$AA$3,0))),AI206*(1+INDEX(Response_Table!$H$4:$H$21,MATCH($F206&amp;"|high",Response_Table!$A$4:$A$21,0))*$R206*INDEX(Parameters!$X$7:$AA$7,1,MATCH($E206,Parameters!$X$3:$AA$3,0))))*(1-Inputs_General!$C$22*Parameters!$F$7))</f>
        <v>0.142172641274247</v>
      </c>
      <c r="AL206" s="46" t="n">
        <f aca="false">MAX(AI206*(1+INDEX(Response_Table!$H$4:$H$21,MATCH($F206&amp;"|low",Response_Table!$A$4:$A$21,0))*$R206*INDEX(Parameters!$X$7:$AA$7,1,MATCH($E206,Parameters!$X$3:$AA$3,0))),AI206*(1+INDEX(Response_Table!$H$4:$H$21,MATCH($F206&amp;"|high",Response_Table!$A$4:$A$21,0))*$R206*INDEX(Parameters!$X$7:$AA$7,1,MATCH($E206,Parameters!$X$3:$AA$3,0))))*(1+Inputs_General!$C$22*Parameters!$F$7)</f>
        <v>0.3025991481824</v>
      </c>
      <c r="AM206" s="45" t="n">
        <f aca="false">IF(AI206=0,0,AJ206/AI206-1)</f>
        <v>-0.473893575448451</v>
      </c>
      <c r="AN206" s="43" t="n">
        <f aca="false">AI206*$Q206/Inputs_General!$C$13*1000</f>
        <v>4.95374641196979</v>
      </c>
      <c r="AO206" s="43" t="n">
        <f aca="false">AJ206*$Q206/Inputs_General!$C$13*1000*(1+Inputs_General!$C$21*$I206)</f>
        <v>3.02970495753867</v>
      </c>
      <c r="AP206" s="43" t="n">
        <f aca="false">AK206*$Q206/Inputs_General!$C$13*1000*(1+Inputs_General!$C$21*$H206)</f>
        <v>1.92896498739087</v>
      </c>
      <c r="AQ206" s="43" t="n">
        <f aca="false">AL206*$Q206/Inputs_General!$C$13*1000*(1+Inputs_General!$C$21*$J206)</f>
        <v>4.41510677402038</v>
      </c>
      <c r="AR206" s="45" t="n">
        <f aca="false">IF(AN206=0,0,AO206/AN206-1)</f>
        <v>-0.388401281458825</v>
      </c>
      <c r="AS206" s="42" t="n">
        <f aca="false">Parameters!$E$9*IF($N206="V",Parameters!$I$9,IF($N206="F",Parameters!$J$9,Parameters!$K$9))*(1-Parameters!$L$9*$P206)*IF($D206="V1",Parameters!$M$9,IF($D206="V2",Parameters!$N$9,Parameters!$O$9))</f>
        <v>285</v>
      </c>
      <c r="AT206" s="42" t="n">
        <f aca="false">AS206*(1+INDEX(Response_Table!$I$4:$I$21,MATCH($F206&amp;"|mid",Response_Table!$A$4:$A$21,0))*$R206*INDEX(Parameters!$X$9:$AA$9,1,MATCH($E206,Parameters!$X$3:$AA$3,0)))</f>
        <v>352.277167703273</v>
      </c>
      <c r="AU206" s="42" t="n">
        <f aca="false">MAX(0,MIN(AS206*(1+INDEX(Response_Table!$I$4:$I$21,MATCH($F206&amp;"|low",Response_Table!$A$4:$A$21,0))*$R206*INDEX(Parameters!$X$9:$AA$9,1,MATCH($E206,Parameters!$X$3:$AA$3,0))),AS206*(1+INDEX(Response_Table!$I$4:$I$21,MATCH($F206&amp;"|high",Response_Table!$A$4:$A$21,0))*$R206*INDEX(Parameters!$X$9:$AA$9,1,MATCH($E206,Parameters!$X$3:$AA$3,0))))*(1-Inputs_General!$C$22*Parameters!$F$9))</f>
        <v>313.855339805687</v>
      </c>
      <c r="AV206" s="42" t="n">
        <f aca="false">MAX(AS206*(1+INDEX(Response_Table!$I$4:$I$21,MATCH($F206&amp;"|low",Response_Table!$A$4:$A$21,0))*$R206*INDEX(Parameters!$X$9:$AA$9,1,MATCH($E206,Parameters!$X$3:$AA$3,0))),AS206*(1+INDEX(Response_Table!$I$4:$I$21,MATCH($F206&amp;"|high",Response_Table!$A$4:$A$21,0))*$R206*INDEX(Parameters!$X$9:$AA$9,1,MATCH($E206,Parameters!$X$3:$AA$3,0))))*(1+Inputs_General!$C$22*Parameters!$F$9)</f>
        <v>390.312732889309</v>
      </c>
      <c r="AW206" s="45" t="n">
        <f aca="false">IF(AS206=0,0,AT206/AS206-1)</f>
        <v>0.236060237555345</v>
      </c>
      <c r="AX206" s="43" t="n">
        <f aca="false">INDEX(Context!$AB$4:$AB$51,$K206)</f>
        <v>2.25291371771685</v>
      </c>
      <c r="AY206" s="43" t="n">
        <f aca="false">AX206*(1+INDEX(Response_Table!$J$4:$J$21,MATCH($F206&amp;"|mid",Response_Table!$A$4:$A$21,0))*$R206*INDEX(Parameters!$X$10:$AA$10,1,MATCH($E206,Parameters!$X$3:$AA$3,0)))</f>
        <v>1.5608607886393</v>
      </c>
      <c r="AZ206" s="43" t="n">
        <f aca="false">MAX(0,MIN(AX206*(1+INDEX(Response_Table!$J$4:$J$21,MATCH($F206&amp;"|low",Response_Table!$A$4:$A$21,0))*$R206*INDEX(Parameters!$X$10:$AA$10,1,MATCH($E206,Parameters!$X$3:$AA$3,0))),AX206*(1+INDEX(Response_Table!$J$4:$J$21,MATCH($F206&amp;"|high",Response_Table!$A$4:$A$21,0))*$R206*INDEX(Parameters!$X$10:$AA$10,1,MATCH($E206,Parameters!$X$3:$AA$3,0))))*(1-Inputs_General!$C$22*Parameters!$F$10))</f>
        <v>1.19916010660358</v>
      </c>
      <c r="BA206" s="43" t="n">
        <f aca="false">MAX(AX206*(1+INDEX(Response_Table!$J$4:$J$21,MATCH($F206&amp;"|low",Response_Table!$A$4:$A$21,0))*$R206*INDEX(Parameters!$X$10:$AA$10,1,MATCH($E206,Parameters!$X$3:$AA$3,0))),AX206*(1+INDEX(Response_Table!$J$4:$J$21,MATCH($F206&amp;"|high",Response_Table!$A$4:$A$21,0))*$R206*INDEX(Parameters!$X$10:$AA$10,1,MATCH($E206,Parameters!$X$3:$AA$3,0))))*(1+Inputs_General!$C$22*Parameters!$F$10)</f>
        <v>1.95412198283973</v>
      </c>
      <c r="BB206" s="45" t="n">
        <f aca="false">IF(AX206=0,0,AY206/AX206-1)</f>
        <v>-0.307181284234396</v>
      </c>
      <c r="BC206" s="46" t="n">
        <f aca="false">Parameters!$E$11*IF($N206="V",Parameters!$I$11,IF($N206="F",Parameters!$J$11,Parameters!$K$11))*(1-Parameters!$L$11*$P206)*IF($D206="V1",Parameters!$M$11,IF($D206="V2",Parameters!$N$11,Parameters!$O$11))</f>
        <v>1.22142136160714</v>
      </c>
      <c r="BD206" s="46" t="n">
        <f aca="false">BC206*(1+INDEX(Response_Table!$K$4:$K$21,MATCH($F206&amp;"|mid",Response_Table!$A$4:$A$21,0))*$R206*INDEX(Parameters!$X$11:$AA$11,1,MATCH($E206,Parameters!$X$3:$AA$3,0)))</f>
        <v>0.630893376833124</v>
      </c>
      <c r="BE206" s="46" t="n">
        <f aca="false">MAX(0,MIN(BC206*(1+INDEX(Response_Table!$K$4:$K$21,MATCH($F206&amp;"|low",Response_Table!$A$4:$A$21,0))*$R206*INDEX(Parameters!$X$11:$AA$11,1,MATCH($E206,Parameters!$X$3:$AA$3,0))),BC206*(1+INDEX(Response_Table!$K$4:$K$21,MATCH($F206&amp;"|high",Response_Table!$A$4:$A$21,0))*$R206*INDEX(Parameters!$X$11:$AA$11,1,MATCH($E206,Parameters!$X$3:$AA$3,0))))*(1-Inputs_General!$C$22*Parameters!$F$11))</f>
        <v>0.493814479062863</v>
      </c>
      <c r="BF206" s="46" t="n">
        <f aca="false">MAX(BC206*(1+INDEX(Response_Table!$K$4:$K$21,MATCH($F206&amp;"|low",Response_Table!$A$4:$A$21,0))*$R206*INDEX(Parameters!$X$11:$AA$11,1,MATCH($E206,Parameters!$X$3:$AA$3,0))),BC206*(1+INDEX(Response_Table!$K$4:$K$21,MATCH($F206&amp;"|high",Response_Table!$A$4:$A$21,0))*$R206*INDEX(Parameters!$X$11:$AA$11,1,MATCH($E206,Parameters!$X$3:$AA$3,0))))*(1+Inputs_General!$C$22*Parameters!$F$11)</f>
        <v>0.790162248177053</v>
      </c>
      <c r="BG206" s="45" t="n">
        <f aca="false">IF(BC206=0,0,BD206/BC206-1)</f>
        <v>-0.483476057760283</v>
      </c>
      <c r="BH206" s="46" t="n">
        <f aca="false">Parameters!$E$12*IF($N206="V",Parameters!$I$12,IF($N206="F",Parameters!$J$12,Parameters!$K$12))*(1-Parameters!$L$12*$P206)*IF($D206="V1",Parameters!$M$12,IF($D206="V2",Parameters!$N$12,Parameters!$O$12))</f>
        <v>0.439711690178571</v>
      </c>
      <c r="BI206" s="46" t="n">
        <f aca="false">BH206*(1+INDEX(Response_Table!$L$4:$L$21,MATCH($F206&amp;"|mid",Response_Table!$A$4:$A$21,0))*$R206*INDEX(Parameters!$X$12:$AA$12,1,MATCH($E206,Parameters!$X$3:$AA$3,0)))</f>
        <v>0.263393075157244</v>
      </c>
      <c r="BJ206" s="46" t="n">
        <f aca="false">MAX(0,MIN(BH206*(1+INDEX(Response_Table!$L$4:$L$21,MATCH($F206&amp;"|low",Response_Table!$A$4:$A$21,0))*$R206*INDEX(Parameters!$X$12:$AA$12,1,MATCH($E206,Parameters!$X$3:$AA$3,0))),BH206*(1+INDEX(Response_Table!$L$4:$L$21,MATCH($F206&amp;"|high",Response_Table!$A$4:$A$21,0))*$R206*INDEX(Parameters!$X$12:$AA$12,1,MATCH($E206,Parameters!$X$3:$AA$3,0))))*(1-Inputs_General!$C$22*Parameters!$F$12))</f>
        <v>0.200808392701917</v>
      </c>
      <c r="BK206" s="46" t="n">
        <f aca="false">MAX(BH206*(1+INDEX(Response_Table!$L$4:$L$21,MATCH($F206&amp;"|low",Response_Table!$A$4:$A$21,0))*$R206*INDEX(Parameters!$X$12:$AA$12,1,MATCH($E206,Parameters!$X$3:$AA$3,0))),BH206*(1+INDEX(Response_Table!$L$4:$L$21,MATCH($F206&amp;"|high",Response_Table!$A$4:$A$21,0))*$R206*INDEX(Parameters!$X$12:$AA$12,1,MATCH($E206,Parameters!$X$3:$AA$3,0))))*(1+Inputs_General!$C$22*Parameters!$F$12)</f>
        <v>0.333665898715908</v>
      </c>
      <c r="BL206" s="45" t="n">
        <f aca="false">IF(BH206=0,0,BI206/BH206-1)</f>
        <v>-0.400986871533305</v>
      </c>
      <c r="BM206" s="46" t="n">
        <f aca="false">Parameters!$E$13*IF($N206="V",Parameters!$I$13,IF($N206="F",Parameters!$J$13,Parameters!$K$13))*(1-Parameters!$L$13*$P206)*IF($D206="V1",Parameters!$M$13,IF($D206="V2",Parameters!$N$13,Parameters!$O$13))</f>
        <v>0.293345563392857</v>
      </c>
      <c r="BN206" s="46" t="n">
        <f aca="false">BM206*(1+INDEX(Response_Table!$M$4:$M$21,MATCH($F206&amp;"|mid",Response_Table!$A$4:$A$21,0))*$R206*INDEX(Parameters!$X$13:$AA$13,1,MATCH($E206,Parameters!$X$3:$AA$3,0)))</f>
        <v>0.208460487891654</v>
      </c>
      <c r="BO206" s="46" t="n">
        <f aca="false">MAX(0,MIN(BM206*(1+INDEX(Response_Table!$M$4:$M$21,MATCH($F206&amp;"|low",Response_Table!$A$4:$A$21,0))*$R206*INDEX(Parameters!$X$13:$AA$13,1,MATCH($E206,Parameters!$X$3:$AA$3,0))),BM206*(1+INDEX(Response_Table!$M$4:$M$21,MATCH($F206&amp;"|high",Response_Table!$A$4:$A$21,0))*$R206*INDEX(Parameters!$X$13:$AA$13,1,MATCH($E206,Parameters!$X$3:$AA$3,0))))*(1-Inputs_General!$C$22*Parameters!$F$13))</f>
        <v>0.161734304299569</v>
      </c>
      <c r="BP206" s="46" t="n">
        <f aca="false">MAX(BM206*(1+INDEX(Response_Table!$M$4:$M$21,MATCH($F206&amp;"|low",Response_Table!$A$4:$A$21,0))*$R206*INDEX(Parameters!$X$13:$AA$13,1,MATCH($E206,Parameters!$X$3:$AA$3,0))),BM206*(1+INDEX(Response_Table!$M$4:$M$21,MATCH($F206&amp;"|high",Response_Table!$A$4:$A$21,0))*$R206*INDEX(Parameters!$X$13:$AA$13,1,MATCH($E206,Parameters!$X$3:$AA$3,0))))*(1+Inputs_General!$C$22*Parameters!$F$13)</f>
        <v>0.260209706586625</v>
      </c>
      <c r="BQ206" s="45" t="n">
        <f aca="false">IF(BM206=0,0,BN206/BM206-1)</f>
        <v>-0.289368874440834</v>
      </c>
      <c r="BR206" s="44" t="n">
        <f aca="false">Parameters!$E$14*IF($N206="V",Parameters!$I$14,IF($N206="F",Parameters!$J$14,Parameters!$K$14))*(1-Parameters!$L$14*$P206)*IF($D206="V1",Parameters!$M$14,IF($D206="V2",Parameters!$N$14,Parameters!$O$14))*INDEX(Context!$AC$4:$AC$51,$K206)</f>
        <v>17.325</v>
      </c>
      <c r="BS206" s="44" t="n">
        <f aca="false">BR206*(1+INDEX(Response_Table!$N$4:$N$21,MATCH($F206&amp;"|mid",Response_Table!$A$4:$A$21,0))*$R206*INDEX(Parameters!$X$14:$AA$14,1,MATCH($E206,Parameters!$X$3:$AA$3,0)))</f>
        <v>24.9036518719795</v>
      </c>
      <c r="BT206" s="44" t="n">
        <f aca="false">MAX(0,MIN(BR206*(1+INDEX(Response_Table!$N$4:$N$21,MATCH($F206&amp;"|low",Response_Table!$A$4:$A$21,0))*$R206*INDEX(Parameters!$X$14:$AA$14,1,MATCH($E206,Parameters!$X$3:$AA$3,0))),BR206*(1+INDEX(Response_Table!$N$4:$N$21,MATCH($F206&amp;"|high",Response_Table!$A$4:$A$21,0))*$R206*INDEX(Parameters!$X$14:$AA$14,1,MATCH($E206,Parameters!$X$3:$AA$3,0))))*(1-Inputs_General!$C$22*Parameters!$F$14))</f>
        <v>12.2813562061101</v>
      </c>
      <c r="BU206" s="44" t="n">
        <f aca="false">MAX(BR206*(1+INDEX(Response_Table!$N$4:$N$21,MATCH($F206&amp;"|low",Response_Table!$A$4:$A$21,0))*$R206*INDEX(Parameters!$X$14:$AA$14,1,MATCH($E206,Parameters!$X$3:$AA$3,0))),BR206*(1+INDEX(Response_Table!$N$4:$N$21,MATCH($F206&amp;"|high",Response_Table!$A$4:$A$21,0))*$R206*INDEX(Parameters!$X$14:$AA$14,1,MATCH($E206,Parameters!$X$3:$AA$3,0))))*(1+Inputs_General!$C$22*Parameters!$F$14)</f>
        <v>38.0406994199679</v>
      </c>
      <c r="BV206" s="45" t="n">
        <f aca="false">IF(BR206=0,0,BS206/BR206-1)</f>
        <v>0.437440223490878</v>
      </c>
      <c r="BW206" s="43" t="n">
        <f aca="false">Parameters!$E$15*IF($N206="V",Parameters!$I$15,IF($N206="F",Parameters!$J$15,Parameters!$K$15))*(1-Parameters!$L$15*$P206)*IF($D206="V1",Parameters!$M$15,IF($D206="V2",Parameters!$N$15,Parameters!$O$15))</f>
        <v>10.7849571428571</v>
      </c>
      <c r="BX206" s="43" t="n">
        <f aca="false">BW206*(1+INDEX(Response_Table!$O$4:$O$21,MATCH($F206&amp;"|mid",Response_Table!$A$4:$A$21,0))*$R206*INDEX(Parameters!$X$15:$AA$15,1,MATCH($E206,Parameters!$X$3:$AA$3,0)))</f>
        <v>9.6055136271294</v>
      </c>
      <c r="BY206" s="43" t="n">
        <f aca="false">MAX(0,MIN(BW206*(1+INDEX(Response_Table!$O$4:$O$21,MATCH($F206&amp;"|low",Response_Table!$A$4:$A$21,0))*$R206*INDEX(Parameters!$X$15:$AA$15,1,MATCH($E206,Parameters!$X$3:$AA$3,0))),BW206*(1+INDEX(Response_Table!$O$4:$O$21,MATCH($F206&amp;"|high",Response_Table!$A$4:$A$21,0))*$R206*INDEX(Parameters!$X$15:$AA$15,1,MATCH($E206,Parameters!$X$3:$AA$3,0))))*(1-Inputs_General!$C$22*Parameters!$F$15))</f>
        <v>7.63853987659254</v>
      </c>
      <c r="BZ206" s="43" t="n">
        <f aca="false">MAX(BW206*(1+INDEX(Response_Table!$O$4:$O$21,MATCH($F206&amp;"|low",Response_Table!$A$4:$A$21,0))*$R206*INDEX(Parameters!$X$15:$AA$15,1,MATCH($E206,Parameters!$X$3:$AA$3,0))),BW206*(1+INDEX(Response_Table!$O$4:$O$21,MATCH($F206&amp;"|high",Response_Table!$A$4:$A$21,0))*$R206*INDEX(Parameters!$X$15:$AA$15,1,MATCH($E206,Parameters!$X$3:$AA$3,0))))*(1+Inputs_General!$C$22*Parameters!$F$15)</f>
        <v>11.6239154595579</v>
      </c>
      <c r="CA206" s="45" t="n">
        <f aca="false">IF(BW206=0,0,BX206/BW206-1)</f>
        <v>-0.109360055872719</v>
      </c>
      <c r="CB206" s="46" t="n">
        <f aca="false">BD206+BI206</f>
        <v>0.894286451990368</v>
      </c>
      <c r="CC206" s="43" t="n">
        <f aca="false">BD206/BI206</f>
        <v>2.3952542277601</v>
      </c>
      <c r="CD206" s="46" t="n">
        <f aca="false">BN206/CB206</f>
        <v>0.233102589698965</v>
      </c>
      <c r="CE206" s="43" t="n">
        <f aca="false">AE206/AO206</f>
        <v>2.57016787673225</v>
      </c>
      <c r="CF206" s="44" t="n">
        <f aca="false">AE206/AJ206</f>
        <v>35.9539173149515</v>
      </c>
      <c r="CG206" s="44" t="n">
        <f aca="false">INDEX(Context!$V$4:$V$51,$K206)</f>
        <v>25.5785714285714</v>
      </c>
      <c r="CH206" s="44" t="n">
        <f aca="false">INDEX(Context!$Y$4:$Y$51,$K206)</f>
        <v>23.620522619794</v>
      </c>
      <c r="CI206" s="44" t="n">
        <f aca="false">INDEX(Context!$Z$4:$Z$51,$K206)</f>
        <v>29.5785714285714</v>
      </c>
      <c r="CJ206" s="43" t="n">
        <f aca="false">INDEX(Context!$AA$4:$AA$51,$K206)</f>
        <v>0.121160714285714</v>
      </c>
      <c r="CK206" s="43" t="n">
        <f aca="false">MAX(0,MIN(1,1-(1-CJ206)*AO206/AN206))</f>
        <v>0.462503019053501</v>
      </c>
      <c r="CL206" s="44" t="n">
        <f aca="false">CH206+CK206*(CI206-CH206)</f>
        <v>26.3761381815217</v>
      </c>
      <c r="CM206" s="44" t="n">
        <f aca="false">CH206+MAX(0,MIN(1,1-(1-CJ206)*AQ206/AN206))*(CI206-CH206)</f>
        <v>24.911752408054</v>
      </c>
      <c r="CN206" s="44" t="n">
        <f aca="false">CH206+MAX(0,MIN(1,1-(1-CJ206)*AP206/AN206))*(CI206-CH206)</f>
        <v>27.5396330848741</v>
      </c>
      <c r="CO206" s="44" t="n">
        <f aca="false">CL206-CG206</f>
        <v>0.79756675295025</v>
      </c>
      <c r="CP206" s="44" t="n">
        <f aca="false">CL206-(CH206+CJ206*(CI206-CH206))</f>
        <v>2.03373411230705</v>
      </c>
      <c r="CQ206" s="46" t="n">
        <f aca="false">CL206/CG206</f>
        <v>1.03118105149764</v>
      </c>
      <c r="CR206" s="43" t="n">
        <f aca="false">IF(CL206-CH206&lt;=0,"n/a",(CI206-CL206)/(CL206-CH206))</f>
        <v>1.16214804834457</v>
      </c>
      <c r="CS206" s="43" t="n">
        <f aca="false">IF(CI206-CL206&lt;=0,"n/a",(CL206-CH206)/(CI206-CL206))</f>
        <v>0.860475566279575</v>
      </c>
      <c r="CT206" s="43" t="n">
        <f aca="false">Inputs_General!$C$23+Inputs_General!$C$24*$I206</f>
        <v>1.9</v>
      </c>
      <c r="CU206" s="44" t="n">
        <f aca="false">3.29*CT206</f>
        <v>6.251</v>
      </c>
    </row>
    <row r="207" customFormat="false" ht="15" hidden="false" customHeight="false" outlineLevel="0" collapsed="false">
      <c r="A207" s="33" t="str">
        <f aca="false">B207&amp;"|"&amp;E207&amp;"|"&amp;F207</f>
        <v>D3V3|03/03/2026|Healthy</v>
      </c>
      <c r="B207" s="34" t="s">
        <v>351</v>
      </c>
      <c r="C207" s="33" t="s">
        <v>131</v>
      </c>
      <c r="D207" s="33" t="s">
        <v>150</v>
      </c>
      <c r="E207" s="33" t="s">
        <v>162</v>
      </c>
      <c r="F207" s="34" t="s">
        <v>275</v>
      </c>
      <c r="G207" s="33" t="s">
        <v>276</v>
      </c>
      <c r="H207" s="35" t="n">
        <f aca="false">INDEX(Severity_Classes!$C$4:$C$9,MATCH(F207,Severity_Classes!$A$4:$A$9,0))</f>
        <v>0</v>
      </c>
      <c r="I207" s="35" t="n">
        <f aca="false">INDEX(Severity_Classes!$D$4:$D$9,MATCH(F207,Severity_Classes!$A$4:$A$9,0))</f>
        <v>0</v>
      </c>
      <c r="J207" s="35" t="n">
        <f aca="false">INDEX(Severity_Classes!$E$4:$E$9,MATCH(F207,Severity_Classes!$A$4:$A$9,0))</f>
        <v>0</v>
      </c>
      <c r="K207" s="36" t="n">
        <f aca="false">MATCH(B207&amp;"|"&amp;E207,Context!$A$4:$A$51,0)</f>
        <v>35</v>
      </c>
      <c r="L207" s="36" t="n">
        <f aca="false">INDEX(Context!$H$4:$H$51,K207)</f>
        <v>66</v>
      </c>
      <c r="M207" s="36" t="n">
        <f aca="false">INDEX(Context!$I$4:$I$51,K207)</f>
        <v>26</v>
      </c>
      <c r="N207" s="33" t="str">
        <f aca="false">INDEX(Context!$L$4:$L$51,K207)</f>
        <v>F</v>
      </c>
      <c r="O207" s="33" t="str">
        <f aca="false">INDEX(Context!$M$4:$M$51,K207)</f>
        <v>5th fully expanded leaf from top</v>
      </c>
      <c r="P207" s="37" t="n">
        <f aca="false">INDEX(Context!$R$4:$R$51,K207)</f>
        <v>0.433928571428571</v>
      </c>
      <c r="Q207" s="37" t="n">
        <f aca="false">INDEX(Context!$U$4:$U$51,K207)</f>
        <v>1.73951545534029</v>
      </c>
      <c r="R207" s="37" t="n">
        <f aca="false">INDEX(Context!$AD$4:$AD$51,K207)</f>
        <v>0.85</v>
      </c>
      <c r="S207" s="33" t="str">
        <f aca="false">INDEX(Context!$AI$4:$AN$51,K207,MATCH(F207,Severity_Classes!$A$4:$A$9,0))</f>
        <v>Reference: healthy (uninoculated) control plot</v>
      </c>
      <c r="T207" s="38" t="n">
        <f aca="false">Parameters!$E$4*IF($N207="V",Parameters!$I$4,IF($N207="F",Parameters!$J$4,Parameters!$K$4))*(1-Parameters!$L$4*$P207)*IF($D207="V1",Parameters!$M$4,IF($D207="V2",Parameters!$N$4,Parameters!$O$4))</f>
        <v>83.2927660714286</v>
      </c>
      <c r="U207" s="38" t="n">
        <f aca="false">MIN(100,T207*(1+INDEX(Response_Table!$E$4:$E$21,MATCH($F207&amp;"|mid",Response_Table!$A$4:$A$21,0))*$R207*INDEX(Parameters!$X$4:$AA$4,1,MATCH($E207,Parameters!$X$3:$AA$3,0))))</f>
        <v>83.2927660714286</v>
      </c>
      <c r="V207" s="38" t="n">
        <f aca="false">MAX(0,MIN(T207*(1+INDEX(Response_Table!$E$4:$E$21,MATCH($F207&amp;"|low",Response_Table!$A$4:$A$21,0))*$R207*INDEX(Parameters!$X$4:$AA$4,1,MATCH($E207,Parameters!$X$3:$AA$3,0))),T207*(1+INDEX(Response_Table!$E$4:$E$21,MATCH($F207&amp;"|high",Response_Table!$A$4:$A$21,0))*$R207*INDEX(Parameters!$X$4:$AA$4,1,MATCH($E207,Parameters!$X$3:$AA$3,0))))*(1-Inputs_General!$C$22*Parameters!$F$4))</f>
        <v>77.8121020639286</v>
      </c>
      <c r="W207" s="38" t="n">
        <f aca="false">MIN(100,MAX(T207*(1+INDEX(Response_Table!$E$4:$E$21,MATCH($F207&amp;"|low",Response_Table!$A$4:$A$21,0))*$R207*INDEX(Parameters!$X$4:$AA$4,1,MATCH($E207,Parameters!$X$3:$AA$3,0))),T207*(1+INDEX(Response_Table!$E$4:$E$21,MATCH($F207&amp;"|high",Response_Table!$A$4:$A$21,0))*$R207*INDEX(Parameters!$X$4:$AA$4,1,MATCH($E207,Parameters!$X$3:$AA$3,0))))*(1+Inputs_General!$C$22*Parameters!$F$4))</f>
        <v>88.7734300789286</v>
      </c>
      <c r="X207" s="39" t="n">
        <f aca="false">IF(T207=0,0,U207/T207-1)</f>
        <v>0</v>
      </c>
      <c r="Y207" s="38" t="n">
        <f aca="false">Parameters!$E$5*IF($N207="V",Parameters!$I$5,IF($N207="F",Parameters!$J$5,Parameters!$K$5))*(1-Parameters!$L$5*$P207)*IF($D207="V1",Parameters!$M$5,IF($D207="V2",Parameters!$N$5,Parameters!$O$5))</f>
        <v>66.88584</v>
      </c>
      <c r="Z207" s="38" t="n">
        <f aca="false">MIN(100,Y207*(1+INDEX(Response_Table!$F$4:$F$21,MATCH($F207&amp;"|mid",Response_Table!$A$4:$A$21,0))*$R207*INDEX(Parameters!$X$5:$AA$5,1,MATCH($E207,Parameters!$X$3:$AA$3,0))))</f>
        <v>66.88584</v>
      </c>
      <c r="AA207" s="38" t="n">
        <f aca="false">MAX(0,MIN(Y207*(1+INDEX(Response_Table!$F$4:$F$21,MATCH($F207&amp;"|low",Response_Table!$A$4:$A$21,0))*$R207*INDEX(Parameters!$X$5:$AA$5,1,MATCH($E207,Parameters!$X$3:$AA$3,0))),Y207*(1+INDEX(Response_Table!$F$4:$F$21,MATCH($F207&amp;"|high",Response_Table!$A$4:$A$21,0))*$R207*INDEX(Parameters!$X$5:$AA$5,1,MATCH($E207,Parameters!$X$3:$AA$3,0))))*(1-Inputs_General!$C$22*Parameters!$F$5))</f>
        <v>59.183935524</v>
      </c>
      <c r="AB207" s="38" t="n">
        <f aca="false">MIN(100,MAX(Y207*(1+INDEX(Response_Table!$F$4:$F$21,MATCH($F207&amp;"|low",Response_Table!$A$4:$A$21,0))*$R207*INDEX(Parameters!$X$5:$AA$5,1,MATCH($E207,Parameters!$X$3:$AA$3,0))),Y207*(1+INDEX(Response_Table!$F$4:$F$21,MATCH($F207&amp;"|high",Response_Table!$A$4:$A$21,0))*$R207*INDEX(Parameters!$X$5:$AA$5,1,MATCH($E207,Parameters!$X$3:$AA$3,0))))*(1+Inputs_General!$C$22*Parameters!$F$5))</f>
        <v>74.587744476</v>
      </c>
      <c r="AC207" s="39" t="n">
        <f aca="false">IF(Y207=0,0,Z207/Y207-1)</f>
        <v>0</v>
      </c>
      <c r="AD207" s="38" t="n">
        <f aca="false">Parameters!$E$6*IF($N207="V",Parameters!$I$6,IF($N207="F",Parameters!$J$6,Parameters!$K$6))*(1-Parameters!$L$6*$P207)*IF($D207="V1",Parameters!$M$6,IF($D207="V2",Parameters!$N$6,Parameters!$O$6))</f>
        <v>18.5509621428571</v>
      </c>
      <c r="AE207" s="38" t="n">
        <f aca="false">AD207*(1+INDEX(Response_Table!$G$4:$G$21,MATCH($F207&amp;"|mid",Response_Table!$A$4:$A$21,0))*$R207*INDEX(Parameters!$X$6:$AA$6,1,MATCH($E207,Parameters!$X$3:$AA$3,0)))</f>
        <v>18.5509621428571</v>
      </c>
      <c r="AF207" s="38" t="n">
        <f aca="false">MAX(0,MIN(AD207*(1+INDEX(Response_Table!$G$4:$G$21,MATCH($F207&amp;"|low",Response_Table!$A$4:$A$21,0))*$R207*INDEX(Parameters!$X$6:$AA$6,1,MATCH($E207,Parameters!$X$3:$AA$3,0))),AD207*(1+INDEX(Response_Table!$G$4:$G$21,MATCH($F207&amp;"|high",Response_Table!$A$4:$A$21,0))*$R207*INDEX(Parameters!$X$6:$AA$6,1,MATCH($E207,Parameters!$X$3:$AA$3,0))))*(1-Inputs_General!$C$22*Parameters!$F$6))</f>
        <v>14.8890022158571</v>
      </c>
      <c r="AG207" s="38" t="n">
        <f aca="false">MAX(AD207*(1+INDEX(Response_Table!$G$4:$G$21,MATCH($F207&amp;"|low",Response_Table!$A$4:$A$21,0))*$R207*INDEX(Parameters!$X$6:$AA$6,1,MATCH($E207,Parameters!$X$3:$AA$3,0))),AD207*(1+INDEX(Response_Table!$G$4:$G$21,MATCH($F207&amp;"|high",Response_Table!$A$4:$A$21,0))*$R207*INDEX(Parameters!$X$6:$AA$6,1,MATCH($E207,Parameters!$X$3:$AA$3,0))))*(1+Inputs_General!$C$22*Parameters!$F$6)</f>
        <v>22.2129220698571</v>
      </c>
      <c r="AH207" s="39" t="n">
        <f aca="false">IF(AD207=0,0,AE207/AD207-1)</f>
        <v>0</v>
      </c>
      <c r="AI207" s="40" t="n">
        <f aca="false">Parameters!$E$7*IF($N207="V",Parameters!$I$7,IF($N207="F",Parameters!$J$7,Parameters!$K$7))*(1-Parameters!$L$7*$P207)*IF($D207="V1",Parameters!$M$7,IF($D207="V2",Parameters!$N$7,Parameters!$O$7))*POWER($Q207/Inputs_General!$C$26,-Inputs_General!$C$25)</f>
        <v>0.341191629407368</v>
      </c>
      <c r="AJ207" s="40" t="n">
        <f aca="false">AI207*(1+INDEX(Response_Table!$H$4:$H$21,MATCH($F207&amp;"|mid",Response_Table!$A$4:$A$21,0))*$R207*INDEX(Parameters!$X$7:$AA$7,1,MATCH($E207,Parameters!$X$3:$AA$3,0)))</f>
        <v>0.341191629407368</v>
      </c>
      <c r="AK207" s="40" t="n">
        <f aca="false">MAX(0,MIN(AI207*(1+INDEX(Response_Table!$H$4:$H$21,MATCH($F207&amp;"|low",Response_Table!$A$4:$A$21,0))*$R207*INDEX(Parameters!$X$7:$AA$7,1,MATCH($E207,Parameters!$X$3:$AA$3,0))),AI207*(1+INDEX(Response_Table!$H$4:$H$21,MATCH($F207&amp;"|high",Response_Table!$A$4:$A$21,0))*$R207*INDEX(Parameters!$X$7:$AA$7,1,MATCH($E207,Parameters!$X$3:$AA$3,0))))*(1-Inputs_General!$C$22*Parameters!$F$7))</f>
        <v>0.240164787939846</v>
      </c>
      <c r="AL207" s="40" t="n">
        <f aca="false">MAX(AI207*(1+INDEX(Response_Table!$H$4:$H$21,MATCH($F207&amp;"|low",Response_Table!$A$4:$A$21,0))*$R207*INDEX(Parameters!$X$7:$AA$7,1,MATCH($E207,Parameters!$X$3:$AA$3,0))),AI207*(1+INDEX(Response_Table!$H$4:$H$21,MATCH($F207&amp;"|high",Response_Table!$A$4:$A$21,0))*$R207*INDEX(Parameters!$X$7:$AA$7,1,MATCH($E207,Parameters!$X$3:$AA$3,0))))*(1+Inputs_General!$C$22*Parameters!$F$7)</f>
        <v>0.44221847087489</v>
      </c>
      <c r="AM207" s="39" t="n">
        <f aca="false">IF(AI207=0,0,AJ207/AI207-1)</f>
        <v>0</v>
      </c>
      <c r="AN207" s="37" t="n">
        <f aca="false">AI207*$Q207/Inputs_General!$C$13*1000</f>
        <v>5.97691956280819</v>
      </c>
      <c r="AO207" s="37" t="n">
        <f aca="false">AJ207*$Q207/Inputs_General!$C$13*1000*(1+Inputs_General!$C$21*$I207)</f>
        <v>5.97691956280819</v>
      </c>
      <c r="AP207" s="37" t="n">
        <f aca="false">AK207*$Q207/Inputs_General!$C$13*1000*(1+Inputs_General!$C$21*$H207)</f>
        <v>4.20715368026068</v>
      </c>
      <c r="AQ207" s="37" t="n">
        <f aca="false">AL207*$Q207/Inputs_General!$C$13*1000*(1+Inputs_General!$C$21*$J207)</f>
        <v>7.74668544535569</v>
      </c>
      <c r="AR207" s="39" t="n">
        <f aca="false">IF(AN207=0,0,AO207/AN207-1)</f>
        <v>0</v>
      </c>
      <c r="AS207" s="36" t="n">
        <f aca="false">Parameters!$E$9*IF($N207="V",Parameters!$I$9,IF($N207="F",Parameters!$J$9,Parameters!$K$9))*(1-Parameters!$L$9*$P207)*IF($D207="V1",Parameters!$M$9,IF($D207="V2",Parameters!$N$9,Parameters!$O$9))</f>
        <v>285</v>
      </c>
      <c r="AT207" s="36" t="n">
        <f aca="false">AS207*(1+INDEX(Response_Table!$I$4:$I$21,MATCH($F207&amp;"|mid",Response_Table!$A$4:$A$21,0))*$R207*INDEX(Parameters!$X$9:$AA$9,1,MATCH($E207,Parameters!$X$3:$AA$3,0)))</f>
        <v>285</v>
      </c>
      <c r="AU207" s="36" t="n">
        <f aca="false">MAX(0,MIN(AS207*(1+INDEX(Response_Table!$I$4:$I$21,MATCH($F207&amp;"|low",Response_Table!$A$4:$A$21,0))*$R207*INDEX(Parameters!$X$9:$AA$9,1,MATCH($E207,Parameters!$X$3:$AA$3,0))),AS207*(1+INDEX(Response_Table!$I$4:$I$21,MATCH($F207&amp;"|high",Response_Table!$A$4:$A$21,0))*$R207*INDEX(Parameters!$X$9:$AA$9,1,MATCH($E207,Parameters!$X$3:$AA$3,0))))*(1-Inputs_General!$C$22*Parameters!$F$9))</f>
        <v>256.8705</v>
      </c>
      <c r="AV207" s="36" t="n">
        <f aca="false">MAX(AS207*(1+INDEX(Response_Table!$I$4:$I$21,MATCH($F207&amp;"|low",Response_Table!$A$4:$A$21,0))*$R207*INDEX(Parameters!$X$9:$AA$9,1,MATCH($E207,Parameters!$X$3:$AA$3,0))),AS207*(1+INDEX(Response_Table!$I$4:$I$21,MATCH($F207&amp;"|high",Response_Table!$A$4:$A$21,0))*$R207*INDEX(Parameters!$X$9:$AA$9,1,MATCH($E207,Parameters!$X$3:$AA$3,0))))*(1+Inputs_General!$C$22*Parameters!$F$9)</f>
        <v>313.1295</v>
      </c>
      <c r="AW207" s="39" t="n">
        <f aca="false">IF(AS207=0,0,AT207/AS207-1)</f>
        <v>0</v>
      </c>
      <c r="AX207" s="37" t="n">
        <f aca="false">INDEX(Context!$AB$4:$AB$51,$K207)</f>
        <v>2.65490090255297</v>
      </c>
      <c r="AY207" s="37" t="n">
        <f aca="false">AX207*(1+INDEX(Response_Table!$J$4:$J$21,MATCH($F207&amp;"|mid",Response_Table!$A$4:$A$21,0))*$R207*INDEX(Parameters!$X$10:$AA$10,1,MATCH($E207,Parameters!$X$3:$AA$3,0)))</f>
        <v>2.65490090255297</v>
      </c>
      <c r="AZ207" s="37" t="n">
        <f aca="false">MAX(0,MIN(AX207*(1+INDEX(Response_Table!$J$4:$J$21,MATCH($F207&amp;"|low",Response_Table!$A$4:$A$21,0))*$R207*INDEX(Parameters!$X$10:$AA$10,1,MATCH($E207,Parameters!$X$3:$AA$3,0))),AX207*(1+INDEX(Response_Table!$J$4:$J$21,MATCH($F207&amp;"|high",Response_Table!$A$4:$A$21,0))*$R207*INDEX(Parameters!$X$10:$AA$10,1,MATCH($E207,Parameters!$X$3:$AA$3,0))))*(1-Inputs_General!$C$22*Parameters!$F$10))</f>
        <v>2.13082346438901</v>
      </c>
      <c r="BA207" s="37" t="n">
        <f aca="false">MAX(AX207*(1+INDEX(Response_Table!$J$4:$J$21,MATCH($F207&amp;"|low",Response_Table!$A$4:$A$21,0))*$R207*INDEX(Parameters!$X$10:$AA$10,1,MATCH($E207,Parameters!$X$3:$AA$3,0))),AX207*(1+INDEX(Response_Table!$J$4:$J$21,MATCH($F207&amp;"|high",Response_Table!$A$4:$A$21,0))*$R207*INDEX(Parameters!$X$10:$AA$10,1,MATCH($E207,Parameters!$X$3:$AA$3,0))))*(1+Inputs_General!$C$22*Parameters!$F$10)</f>
        <v>3.17897834071692</v>
      </c>
      <c r="BB207" s="39" t="n">
        <f aca="false">IF(AX207=0,0,AY207/AX207-1)</f>
        <v>0</v>
      </c>
      <c r="BC207" s="40" t="n">
        <f aca="false">Parameters!$E$11*IF($N207="V",Parameters!$I$11,IF($N207="F",Parameters!$J$11,Parameters!$K$11))*(1-Parameters!$L$11*$P207)*IF($D207="V1",Parameters!$M$11,IF($D207="V2",Parameters!$N$11,Parameters!$O$11))</f>
        <v>1.25397901785714</v>
      </c>
      <c r="BD207" s="40" t="n">
        <f aca="false">BC207*(1+INDEX(Response_Table!$K$4:$K$21,MATCH($F207&amp;"|mid",Response_Table!$A$4:$A$21,0))*$R207*INDEX(Parameters!$X$11:$AA$11,1,MATCH($E207,Parameters!$X$3:$AA$3,0)))</f>
        <v>1.25397901785714</v>
      </c>
      <c r="BE207" s="40" t="n">
        <f aca="false">MAX(0,MIN(BC207*(1+INDEX(Response_Table!$K$4:$K$21,MATCH($F207&amp;"|low",Response_Table!$A$4:$A$21,0))*$R207*INDEX(Parameters!$X$11:$AA$11,1,MATCH($E207,Parameters!$X$3:$AA$3,0))),BC207*(1+INDEX(Response_Table!$K$4:$K$21,MATCH($F207&amp;"|high",Response_Table!$A$4:$A$21,0))*$R207*INDEX(Parameters!$X$11:$AA$11,1,MATCH($E207,Parameters!$X$3:$AA$3,0))))*(1-Inputs_General!$C$22*Parameters!$F$11))</f>
        <v>1.04769946941964</v>
      </c>
      <c r="BF207" s="40" t="n">
        <f aca="false">MAX(BC207*(1+INDEX(Response_Table!$K$4:$K$21,MATCH($F207&amp;"|low",Response_Table!$A$4:$A$21,0))*$R207*INDEX(Parameters!$X$11:$AA$11,1,MATCH($E207,Parameters!$X$3:$AA$3,0))),BC207*(1+INDEX(Response_Table!$K$4:$K$21,MATCH($F207&amp;"|high",Response_Table!$A$4:$A$21,0))*$R207*INDEX(Parameters!$X$11:$AA$11,1,MATCH($E207,Parameters!$X$3:$AA$3,0))))*(1+Inputs_General!$C$22*Parameters!$F$11)</f>
        <v>1.46025856629464</v>
      </c>
      <c r="BG207" s="39" t="n">
        <f aca="false">IF(BC207=0,0,BD207/BC207-1)</f>
        <v>0</v>
      </c>
      <c r="BH207" s="40" t="n">
        <f aca="false">Parameters!$E$12*IF($N207="V",Parameters!$I$12,IF($N207="F",Parameters!$J$12,Parameters!$K$12))*(1-Parameters!$L$12*$P207)*IF($D207="V1",Parameters!$M$12,IF($D207="V2",Parameters!$N$12,Parameters!$O$12))</f>
        <v>0.451432446428571</v>
      </c>
      <c r="BI207" s="40" t="n">
        <f aca="false">BH207*(1+INDEX(Response_Table!$L$4:$L$21,MATCH($F207&amp;"|mid",Response_Table!$A$4:$A$21,0))*$R207*INDEX(Parameters!$X$12:$AA$12,1,MATCH($E207,Parameters!$X$3:$AA$3,0)))</f>
        <v>0.451432446428571</v>
      </c>
      <c r="BJ207" s="40" t="n">
        <f aca="false">MAX(0,MIN(BH207*(1+INDEX(Response_Table!$L$4:$L$21,MATCH($F207&amp;"|low",Response_Table!$A$4:$A$21,0))*$R207*INDEX(Parameters!$X$12:$AA$12,1,MATCH($E207,Parameters!$X$3:$AA$3,0))),BH207*(1+INDEX(Response_Table!$L$4:$L$21,MATCH($F207&amp;"|high",Response_Table!$A$4:$A$21,0))*$R207*INDEX(Parameters!$X$12:$AA$12,1,MATCH($E207,Parameters!$X$3:$AA$3,0))))*(1-Inputs_General!$C$22*Parameters!$F$12))</f>
        <v>0.362319681503571</v>
      </c>
      <c r="BK207" s="40" t="n">
        <f aca="false">MAX(BH207*(1+INDEX(Response_Table!$L$4:$L$21,MATCH($F207&amp;"|low",Response_Table!$A$4:$A$21,0))*$R207*INDEX(Parameters!$X$12:$AA$12,1,MATCH($E207,Parameters!$X$3:$AA$3,0))),BH207*(1+INDEX(Response_Table!$L$4:$L$21,MATCH($F207&amp;"|high",Response_Table!$A$4:$A$21,0))*$R207*INDEX(Parameters!$X$12:$AA$12,1,MATCH($E207,Parameters!$X$3:$AA$3,0))))*(1+Inputs_General!$C$22*Parameters!$F$12)</f>
        <v>0.540545211353572</v>
      </c>
      <c r="BL207" s="39" t="n">
        <f aca="false">IF(BH207=0,0,BI207/BH207-1)</f>
        <v>0</v>
      </c>
      <c r="BM207" s="40" t="n">
        <f aca="false">Parameters!$E$13*IF($N207="V",Parameters!$I$13,IF($N207="F",Parameters!$J$13,Parameters!$K$13))*(1-Parameters!$L$13*$P207)*IF($D207="V1",Parameters!$M$13,IF($D207="V2",Parameters!$N$13,Parameters!$O$13))</f>
        <v>0.304977482142857</v>
      </c>
      <c r="BN207" s="40" t="n">
        <f aca="false">BM207*(1+INDEX(Response_Table!$M$4:$M$21,MATCH($F207&amp;"|mid",Response_Table!$A$4:$A$21,0))*$R207*INDEX(Parameters!$X$13:$AA$13,1,MATCH($E207,Parameters!$X$3:$AA$3,0)))</f>
        <v>0.304977482142857</v>
      </c>
      <c r="BO207" s="40" t="n">
        <f aca="false">MAX(0,MIN(BM207*(1+INDEX(Response_Table!$M$4:$M$21,MATCH($F207&amp;"|low",Response_Table!$A$4:$A$21,0))*$R207*INDEX(Parameters!$X$13:$AA$13,1,MATCH($E207,Parameters!$X$3:$AA$3,0))),BM207*(1+INDEX(Response_Table!$M$4:$M$21,MATCH($F207&amp;"|high",Response_Table!$A$4:$A$21,0))*$R207*INDEX(Parameters!$X$13:$AA$13,1,MATCH($E207,Parameters!$X$3:$AA$3,0))))*(1-Inputs_General!$C$22*Parameters!$F$13))</f>
        <v>0.244774927167857</v>
      </c>
      <c r="BP207" s="40" t="n">
        <f aca="false">MAX(BM207*(1+INDEX(Response_Table!$M$4:$M$21,MATCH($F207&amp;"|low",Response_Table!$A$4:$A$21,0))*$R207*INDEX(Parameters!$X$13:$AA$13,1,MATCH($E207,Parameters!$X$3:$AA$3,0))),BM207*(1+INDEX(Response_Table!$M$4:$M$21,MATCH($F207&amp;"|high",Response_Table!$A$4:$A$21,0))*$R207*INDEX(Parameters!$X$13:$AA$13,1,MATCH($E207,Parameters!$X$3:$AA$3,0))))*(1+Inputs_General!$C$22*Parameters!$F$13)</f>
        <v>0.365180037117857</v>
      </c>
      <c r="BQ207" s="39" t="n">
        <f aca="false">IF(BM207=0,0,BN207/BM207-1)</f>
        <v>0</v>
      </c>
      <c r="BR207" s="38" t="n">
        <f aca="false">Parameters!$E$14*IF($N207="V",Parameters!$I$14,IF($N207="F",Parameters!$J$14,Parameters!$K$14))*(1-Parameters!$L$14*$P207)*IF($D207="V1",Parameters!$M$14,IF($D207="V2",Parameters!$N$14,Parameters!$O$14))*INDEX(Context!$AC$4:$AC$51,$K207)</f>
        <v>15</v>
      </c>
      <c r="BS207" s="38" t="n">
        <f aca="false">BR207*(1+INDEX(Response_Table!$N$4:$N$21,MATCH($F207&amp;"|mid",Response_Table!$A$4:$A$21,0))*$R207*INDEX(Parameters!$X$14:$AA$14,1,MATCH($E207,Parameters!$X$3:$AA$3,0)))</f>
        <v>15</v>
      </c>
      <c r="BT207" s="38" t="n">
        <f aca="false">MAX(0,MIN(BR207*(1+INDEX(Response_Table!$N$4:$N$21,MATCH($F207&amp;"|low",Response_Table!$A$4:$A$21,0))*$R207*INDEX(Parameters!$X$14:$AA$14,1,MATCH($E207,Parameters!$X$3:$AA$3,0))),BR207*(1+INDEX(Response_Table!$N$4:$N$21,MATCH($F207&amp;"|high",Response_Table!$A$4:$A$21,0))*$R207*INDEX(Parameters!$X$14:$AA$14,1,MATCH($E207,Parameters!$X$3:$AA$3,0))))*(1-Inputs_General!$C$22*Parameters!$F$14))</f>
        <v>7.5975</v>
      </c>
      <c r="BU207" s="38" t="n">
        <f aca="false">MAX(BR207*(1+INDEX(Response_Table!$N$4:$N$21,MATCH($F207&amp;"|low",Response_Table!$A$4:$A$21,0))*$R207*INDEX(Parameters!$X$14:$AA$14,1,MATCH($E207,Parameters!$X$3:$AA$3,0))),BR207*(1+INDEX(Response_Table!$N$4:$N$21,MATCH($F207&amp;"|high",Response_Table!$A$4:$A$21,0))*$R207*INDEX(Parameters!$X$14:$AA$14,1,MATCH($E207,Parameters!$X$3:$AA$3,0))))*(1+Inputs_General!$C$22*Parameters!$F$14)</f>
        <v>22.4025</v>
      </c>
      <c r="BV207" s="39" t="n">
        <f aca="false">IF(BR207=0,0,BS207/BR207-1)</f>
        <v>0</v>
      </c>
      <c r="BW207" s="37" t="n">
        <f aca="false">Parameters!$E$15*IF($N207="V",Parameters!$I$15,IF($N207="F",Parameters!$J$15,Parameters!$K$15))*(1-Parameters!$L$15*$P207)*IF($D207="V1",Parameters!$M$15,IF($D207="V2",Parameters!$N$15,Parameters!$O$15))</f>
        <v>9.73964285714286</v>
      </c>
      <c r="BX207" s="37" t="n">
        <f aca="false">BW207*(1+INDEX(Response_Table!$O$4:$O$21,MATCH($F207&amp;"|mid",Response_Table!$A$4:$A$21,0))*$R207*INDEX(Parameters!$X$15:$AA$15,1,MATCH($E207,Parameters!$X$3:$AA$3,0)))</f>
        <v>9.73964285714286</v>
      </c>
      <c r="BY207" s="37" t="n">
        <f aca="false">MAX(0,MIN(BW207*(1+INDEX(Response_Table!$O$4:$O$21,MATCH($F207&amp;"|low",Response_Table!$A$4:$A$21,0))*$R207*INDEX(Parameters!$X$15:$AA$15,1,MATCH($E207,Parameters!$X$3:$AA$3,0))),BW207*(1+INDEX(Response_Table!$O$4:$O$21,MATCH($F207&amp;"|high",Response_Table!$A$4:$A$21,0))*$R207*INDEX(Parameters!$X$15:$AA$15,1,MATCH($E207,Parameters!$X$3:$AA$3,0))))*(1-Inputs_General!$C$22*Parameters!$F$15))</f>
        <v>7.81703735714286</v>
      </c>
      <c r="BZ207" s="37" t="n">
        <f aca="false">MAX(BW207*(1+INDEX(Response_Table!$O$4:$O$21,MATCH($F207&amp;"|low",Response_Table!$A$4:$A$21,0))*$R207*INDEX(Parameters!$X$15:$AA$15,1,MATCH($E207,Parameters!$X$3:$AA$3,0))),BW207*(1+INDEX(Response_Table!$O$4:$O$21,MATCH($F207&amp;"|high",Response_Table!$A$4:$A$21,0))*$R207*INDEX(Parameters!$X$15:$AA$15,1,MATCH($E207,Parameters!$X$3:$AA$3,0))))*(1+Inputs_General!$C$22*Parameters!$F$15)</f>
        <v>11.6622483571429</v>
      </c>
      <c r="CA207" s="39" t="n">
        <f aca="false">IF(BW207=0,0,BX207/BW207-1)</f>
        <v>0</v>
      </c>
      <c r="CB207" s="40" t="n">
        <f aca="false">BD207+BI207</f>
        <v>1.70541146428571</v>
      </c>
      <c r="CC207" s="37" t="n">
        <f aca="false">BD207/BI207</f>
        <v>2.77777777777778</v>
      </c>
      <c r="CD207" s="40" t="n">
        <f aca="false">BN207/CB207</f>
        <v>0.178829267030049</v>
      </c>
      <c r="CE207" s="37" t="n">
        <f aca="false">AE207/AO207</f>
        <v>3.10376640473662</v>
      </c>
      <c r="CF207" s="38" t="n">
        <f aca="false">AE207/AJ207</f>
        <v>54.3710939658139</v>
      </c>
      <c r="CG207" s="38" t="n">
        <f aca="false">INDEX(Context!$V$4:$V$51,$K207)</f>
        <v>28.62</v>
      </c>
      <c r="CH207" s="38" t="n">
        <f aca="false">INDEX(Context!$Y$4:$Y$51,$K207)</f>
        <v>25.3060134606718</v>
      </c>
      <c r="CI207" s="38" t="n">
        <f aca="false">INDEX(Context!$Z$4:$Z$51,$K207)</f>
        <v>32.62</v>
      </c>
      <c r="CJ207" s="37" t="n">
        <f aca="false">INDEX(Context!$AA$4:$AA$51,$K207)</f>
        <v>0.221696428571429</v>
      </c>
      <c r="CK207" s="37" t="n">
        <f aca="false">MAX(0,MIN(1,1-(1-CJ207)*AO207/AN207))</f>
        <v>0.221696428571429</v>
      </c>
      <c r="CL207" s="38" t="n">
        <f aca="false">CH207+CK207*(CI207-CH207)</f>
        <v>26.9274981550603</v>
      </c>
      <c r="CM207" s="38" t="n">
        <f aca="false">CH207+MAX(0,MIN(1,1-(1-CJ207)*AQ207/AN207))*(CI207-CH207)</f>
        <v>25.3060134606718</v>
      </c>
      <c r="CN207" s="38" t="n">
        <f aca="false">CH207+MAX(0,MIN(1,1-(1-CJ207)*AP207/AN207))*(CI207-CH207)</f>
        <v>28.613047951347</v>
      </c>
      <c r="CO207" s="38" t="n">
        <f aca="false">CL207-CG207</f>
        <v>-1.69250184493966</v>
      </c>
      <c r="CP207" s="38" t="n">
        <f aca="false">CL207-(CH207+CJ207*(CI207-CH207))</f>
        <v>0</v>
      </c>
      <c r="CQ207" s="40" t="n">
        <f aca="false">CL207/CG207</f>
        <v>0.940862968380864</v>
      </c>
      <c r="CR207" s="37" t="n">
        <f aca="false">IF(CL207-CH207&lt;=0,"n/a",(CI207-CL207)/(CL207-CH207))</f>
        <v>3.5106725734998</v>
      </c>
      <c r="CS207" s="37" t="n">
        <f aca="false">IF(CI207-CL207&lt;=0,"n/a",(CL207-CH207)/(CI207-CL207))</f>
        <v>0.284845703797178</v>
      </c>
      <c r="CT207" s="37" t="n">
        <f aca="false">Inputs_General!$C$23+Inputs_General!$C$24*$I207</f>
        <v>0.6</v>
      </c>
      <c r="CU207" s="38" t="n">
        <f aca="false">3.29*CT207</f>
        <v>1.974</v>
      </c>
    </row>
    <row r="208" customFormat="false" ht="15" hidden="false" customHeight="false" outlineLevel="0" collapsed="false">
      <c r="A208" s="9" t="str">
        <f aca="false">B208&amp;"|"&amp;E208&amp;"|"&amp;F208</f>
        <v>D3V3|03/03/2026|Very low</v>
      </c>
      <c r="B208" s="7" t="s">
        <v>351</v>
      </c>
      <c r="C208" s="9" t="s">
        <v>131</v>
      </c>
      <c r="D208" s="9" t="s">
        <v>150</v>
      </c>
      <c r="E208" s="9" t="s">
        <v>162</v>
      </c>
      <c r="F208" s="7" t="s">
        <v>277</v>
      </c>
      <c r="G208" s="9" t="s">
        <v>278</v>
      </c>
      <c r="H208" s="41" t="n">
        <f aca="false">INDEX(Severity_Classes!$C$4:$C$9,MATCH(F208,Severity_Classes!$A$4:$A$9,0))</f>
        <v>0.01</v>
      </c>
      <c r="I208" s="41" t="n">
        <f aca="false">INDEX(Severity_Classes!$D$4:$D$9,MATCH(F208,Severity_Classes!$A$4:$A$9,0))</f>
        <v>0.03</v>
      </c>
      <c r="J208" s="41" t="n">
        <f aca="false">INDEX(Severity_Classes!$E$4:$E$9,MATCH(F208,Severity_Classes!$A$4:$A$9,0))</f>
        <v>0.05</v>
      </c>
      <c r="K208" s="42" t="n">
        <f aca="false">MATCH(B208&amp;"|"&amp;E208,Context!$A$4:$A$51,0)</f>
        <v>35</v>
      </c>
      <c r="L208" s="42" t="n">
        <f aca="false">INDEX(Context!$H$4:$H$51,K208)</f>
        <v>66</v>
      </c>
      <c r="M208" s="42" t="n">
        <f aca="false">INDEX(Context!$I$4:$I$51,K208)</f>
        <v>26</v>
      </c>
      <c r="N208" s="9" t="str">
        <f aca="false">INDEX(Context!$L$4:$L$51,K208)</f>
        <v>F</v>
      </c>
      <c r="O208" s="9" t="str">
        <f aca="false">INDEX(Context!$M$4:$M$51,K208)</f>
        <v>5th fully expanded leaf from top</v>
      </c>
      <c r="P208" s="43" t="n">
        <f aca="false">INDEX(Context!$R$4:$R$51,K208)</f>
        <v>0.433928571428571</v>
      </c>
      <c r="Q208" s="43" t="n">
        <f aca="false">INDEX(Context!$U$4:$U$51,K208)</f>
        <v>1.73951545534029</v>
      </c>
      <c r="R208" s="43" t="n">
        <f aca="false">INDEX(Context!$AD$4:$AD$51,K208)</f>
        <v>0.85</v>
      </c>
      <c r="S208" s="9" t="str">
        <f aca="false">INDEX(Context!$AI$4:$AN$51,K208,MATCH(F208,Severity_Classes!$A$4:$A$9,0))</f>
        <v>Possible</v>
      </c>
      <c r="T208" s="44" t="n">
        <f aca="false">Parameters!$E$4*IF($N208="V",Parameters!$I$4,IF($N208="F",Parameters!$J$4,Parameters!$K$4))*(1-Parameters!$L$4*$P208)*IF($D208="V1",Parameters!$M$4,IF($D208="V2",Parameters!$N$4,Parameters!$O$4))</f>
        <v>83.2927660714286</v>
      </c>
      <c r="U208" s="44" t="n">
        <f aca="false">MIN(100,T208*(1+INDEX(Response_Table!$E$4:$E$21,MATCH($F208&amp;"|mid",Response_Table!$A$4:$A$21,0))*$R208*INDEX(Parameters!$X$4:$AA$4,1,MATCH($E208,Parameters!$X$3:$AA$3,0))))</f>
        <v>82.9875282373724</v>
      </c>
      <c r="V208" s="44" t="n">
        <f aca="false">MAX(0,MIN(T208*(1+INDEX(Response_Table!$E$4:$E$21,MATCH($F208&amp;"|low",Response_Table!$A$4:$A$21,0))*$R208*INDEX(Parameters!$X$4:$AA$4,1,MATCH($E208,Parameters!$X$3:$AA$3,0))),T208*(1+INDEX(Response_Table!$E$4:$E$21,MATCH($F208&amp;"|high",Response_Table!$A$4:$A$21,0))*$R208*INDEX(Parameters!$X$4:$AA$4,1,MATCH($E208,Parameters!$X$3:$AA$3,0))))*(1-Inputs_General!$C$22*Parameters!$F$4))</f>
        <v>77.2991963307656</v>
      </c>
      <c r="W208" s="44" t="n">
        <f aca="false">MIN(100,MAX(T208*(1+INDEX(Response_Table!$E$4:$E$21,MATCH($F208&amp;"|low",Response_Table!$A$4:$A$21,0))*$R208*INDEX(Parameters!$X$4:$AA$4,1,MATCH($E208,Parameters!$X$3:$AA$3,0))),T208*(1+INDEX(Response_Table!$E$4:$E$21,MATCH($F208&amp;"|high",Response_Table!$A$4:$A$21,0))*$R208*INDEX(Parameters!$X$4:$AA$4,1,MATCH($E208,Parameters!$X$3:$AA$3,0))))*(1+Inputs_General!$C$22*Parameters!$F$4))</f>
        <v>88.672887442889</v>
      </c>
      <c r="X208" s="45" t="n">
        <f aca="false">IF(T208=0,0,U208/T208-1)</f>
        <v>-0.00366463798061933</v>
      </c>
      <c r="Y208" s="44" t="n">
        <f aca="false">Parameters!$E$5*IF($N208="V",Parameters!$I$5,IF($N208="F",Parameters!$J$5,Parameters!$K$5))*(1-Parameters!$L$5*$P208)*IF($D208="V1",Parameters!$M$5,IF($D208="V2",Parameters!$N$5,Parameters!$O$5))</f>
        <v>66.88584</v>
      </c>
      <c r="Z208" s="44" t="n">
        <f aca="false">MIN(100,Y208*(1+INDEX(Response_Table!$F$4:$F$21,MATCH($F208&amp;"|mid",Response_Table!$A$4:$A$21,0))*$R208*INDEX(Parameters!$X$5:$AA$5,1,MATCH($E208,Parameters!$X$3:$AA$3,0))))</f>
        <v>66.1033874011917</v>
      </c>
      <c r="AA208" s="44" t="n">
        <f aca="false">MAX(0,MIN(Y208*(1+INDEX(Response_Table!$F$4:$F$21,MATCH($F208&amp;"|low",Response_Table!$A$4:$A$21,0))*$R208*INDEX(Parameters!$X$5:$AA$5,1,MATCH($E208,Parameters!$X$3:$AA$3,0))),Y208*(1+INDEX(Response_Table!$F$4:$F$21,MATCH($F208&amp;"|high",Response_Table!$A$4:$A$21,0))*$R208*INDEX(Parameters!$X$5:$AA$5,1,MATCH($E208,Parameters!$X$3:$AA$3,0))))*(1-Inputs_General!$C$22*Parameters!$F$5))</f>
        <v>57.9213537165203</v>
      </c>
      <c r="AB208" s="44" t="n">
        <f aca="false">MIN(100,MAX(Y208*(1+INDEX(Response_Table!$F$4:$F$21,MATCH($F208&amp;"|low",Response_Table!$A$4:$A$21,0))*$R208*INDEX(Parameters!$X$5:$AA$5,1,MATCH($E208,Parameters!$X$3:$AA$3,0))),Y208*(1+INDEX(Response_Table!$F$4:$F$21,MATCH($F208&amp;"|high",Response_Table!$A$4:$A$21,0))*$R208*INDEX(Parameters!$X$5:$AA$5,1,MATCH($E208,Parameters!$X$3:$AA$3,0))))*(1+Inputs_General!$C$22*Parameters!$F$5))</f>
        <v>74.3217898824488</v>
      </c>
      <c r="AC208" s="45" t="n">
        <f aca="false">IF(Y208=0,0,Z208/Y208-1)</f>
        <v>-0.0116983295538828</v>
      </c>
      <c r="AD208" s="44" t="n">
        <f aca="false">Parameters!$E$6*IF($N208="V",Parameters!$I$6,IF($N208="F",Parameters!$J$6,Parameters!$K$6))*(1-Parameters!$L$6*$P208)*IF($D208="V1",Parameters!$M$6,IF($D208="V2",Parameters!$N$6,Parameters!$O$6))</f>
        <v>18.5509621428571</v>
      </c>
      <c r="AE208" s="44" t="n">
        <f aca="false">AD208*(1+INDEX(Response_Table!$G$4:$G$21,MATCH($F208&amp;"|mid",Response_Table!$A$4:$A$21,0))*$R208*INDEX(Parameters!$X$6:$AA$6,1,MATCH($E208,Parameters!$X$3:$AA$3,0)))</f>
        <v>17.0885412745546</v>
      </c>
      <c r="AF208" s="44" t="n">
        <f aca="false">MAX(0,MIN(AD208*(1+INDEX(Response_Table!$G$4:$G$21,MATCH($F208&amp;"|low",Response_Table!$A$4:$A$21,0))*$R208*INDEX(Parameters!$X$6:$AA$6,1,MATCH($E208,Parameters!$X$3:$AA$3,0))),AD208*(1+INDEX(Response_Table!$G$4:$G$21,MATCH($F208&amp;"|high",Response_Table!$A$4:$A$21,0))*$R208*INDEX(Parameters!$X$6:$AA$6,1,MATCH($E208,Parameters!$X$3:$AA$3,0))))*(1-Inputs_General!$C$22*Parameters!$F$6))</f>
        <v>13.0145622059688</v>
      </c>
      <c r="AG208" s="44" t="n">
        <f aca="false">MAX(AD208*(1+INDEX(Response_Table!$G$4:$G$21,MATCH($F208&amp;"|low",Response_Table!$A$4:$A$21,0))*$R208*INDEX(Parameters!$X$6:$AA$6,1,MATCH($E208,Parameters!$X$3:$AA$3,0))),AD208*(1+INDEX(Response_Table!$G$4:$G$21,MATCH($F208&amp;"|high",Response_Table!$A$4:$A$21,0))*$R208*INDEX(Parameters!$X$6:$AA$6,1,MATCH($E208,Parameters!$X$3:$AA$3,0))))*(1+Inputs_General!$C$22*Parameters!$F$6)</f>
        <v>21.6033583474645</v>
      </c>
      <c r="AH208" s="45" t="n">
        <f aca="false">IF(AD208=0,0,AE208/AD208-1)</f>
        <v>-0.0788326156368997</v>
      </c>
      <c r="AI208" s="46" t="n">
        <f aca="false">Parameters!$E$7*IF($N208="V",Parameters!$I$7,IF($N208="F",Parameters!$J$7,Parameters!$K$7))*(1-Parameters!$L$7*$P208)*IF($D208="V1",Parameters!$M$7,IF($D208="V2",Parameters!$N$7,Parameters!$O$7))*POWER($Q208/Inputs_General!$C$26,-Inputs_General!$C$25)</f>
        <v>0.341191629407368</v>
      </c>
      <c r="AJ208" s="46" t="n">
        <f aca="false">AI208*(1+INDEX(Response_Table!$H$4:$H$21,MATCH($F208&amp;"|mid",Response_Table!$A$4:$A$21,0))*$R208*INDEX(Parameters!$X$7:$AA$7,1,MATCH($E208,Parameters!$X$3:$AA$3,0)))</f>
        <v>0.324966936983363</v>
      </c>
      <c r="AK208" s="46" t="n">
        <f aca="false">MAX(0,MIN(AI208*(1+INDEX(Response_Table!$H$4:$H$21,MATCH($F208&amp;"|low",Response_Table!$A$4:$A$21,0))*$R208*INDEX(Parameters!$X$7:$AA$7,1,MATCH($E208,Parameters!$X$3:$AA$3,0))),AI208*(1+INDEX(Response_Table!$H$4:$H$21,MATCH($F208&amp;"|high",Response_Table!$A$4:$A$21,0))*$R208*INDEX(Parameters!$X$7:$AA$7,1,MATCH($E208,Parameters!$X$3:$AA$3,0))))*(1-Inputs_General!$C$22*Parameters!$F$7))</f>
        <v>0.221681983724614</v>
      </c>
      <c r="AL208" s="46" t="n">
        <f aca="false">MAX(AI208*(1+INDEX(Response_Table!$H$4:$H$21,MATCH($F208&amp;"|low",Response_Table!$A$4:$A$21,0))*$R208*INDEX(Parameters!$X$7:$AA$7,1,MATCH($E208,Parameters!$X$3:$AA$3,0))),AI208*(1+INDEX(Response_Table!$H$4:$H$21,MATCH($F208&amp;"|high",Response_Table!$A$4:$A$21,0))*$R208*INDEX(Parameters!$X$7:$AA$7,1,MATCH($E208,Parameters!$X$3:$AA$3,0))))*(1+Inputs_General!$C$22*Parameters!$F$7)</f>
        <v>0.434997555018549</v>
      </c>
      <c r="AM208" s="45" t="n">
        <f aca="false">IF(AI208=0,0,AJ208/AI208-1)</f>
        <v>-0.0475530201376465</v>
      </c>
      <c r="AN208" s="43" t="n">
        <f aca="false">AI208*$Q208/Inputs_General!$C$13*1000</f>
        <v>5.97691956280819</v>
      </c>
      <c r="AO208" s="43" t="n">
        <f aca="false">AJ208*$Q208/Inputs_General!$C$13*1000*(1+Inputs_General!$C$21*$I208)</f>
        <v>5.73539422887546</v>
      </c>
      <c r="AP208" s="43" t="n">
        <f aca="false">AK208*$Q208/Inputs_General!$C$13*1000*(1+Inputs_General!$C$21*$H208)</f>
        <v>3.89308444060029</v>
      </c>
      <c r="AQ208" s="43" t="n">
        <f aca="false">AL208*$Q208/Inputs_General!$C$13*1000*(1+Inputs_General!$C$21*$J208)</f>
        <v>7.71544342512467</v>
      </c>
      <c r="AR208" s="45" t="n">
        <f aca="false">IF(AN208=0,0,AO208/AN208-1)</f>
        <v>-0.0404096677886788</v>
      </c>
      <c r="AS208" s="42" t="n">
        <f aca="false">Parameters!$E$9*IF($N208="V",Parameters!$I$9,IF($N208="F",Parameters!$J$9,Parameters!$K$9))*(1-Parameters!$L$9*$P208)*IF($D208="V1",Parameters!$M$9,IF($D208="V2",Parameters!$N$9,Parameters!$O$9))</f>
        <v>285</v>
      </c>
      <c r="AT208" s="42" t="n">
        <f aca="false">AS208*(1+INDEX(Response_Table!$I$4:$I$21,MATCH($F208&amp;"|mid",Response_Table!$A$4:$A$21,0))*$R208*INDEX(Parameters!$X$9:$AA$9,1,MATCH($E208,Parameters!$X$3:$AA$3,0)))</f>
        <v>293.218057261581</v>
      </c>
      <c r="AU208" s="42" t="n">
        <f aca="false">MAX(0,MIN(AS208*(1+INDEX(Response_Table!$I$4:$I$21,MATCH($F208&amp;"|low",Response_Table!$A$4:$A$21,0))*$R208*INDEX(Parameters!$X$9:$AA$9,1,MATCH($E208,Parameters!$X$3:$AA$3,0))),AS208*(1+INDEX(Response_Table!$I$4:$I$21,MATCH($F208&amp;"|high",Response_Table!$A$4:$A$21,0))*$R208*INDEX(Parameters!$X$9:$AA$9,1,MATCH($E208,Parameters!$X$3:$AA$3,0))))*(1-Inputs_General!$C$22*Parameters!$F$9))</f>
        <v>259.438869274407</v>
      </c>
      <c r="AV208" s="42" t="n">
        <f aca="false">MAX(AS208*(1+INDEX(Response_Table!$I$4:$I$21,MATCH($F208&amp;"|low",Response_Table!$A$4:$A$21,0))*$R208*INDEX(Parameters!$X$9:$AA$9,1,MATCH($E208,Parameters!$X$3:$AA$3,0))),AS208*(1+INDEX(Response_Table!$I$4:$I$21,MATCH($F208&amp;"|high",Response_Table!$A$4:$A$21,0))*$R208*INDEX(Parameters!$X$9:$AA$9,1,MATCH($E208,Parameters!$X$3:$AA$3,0))))*(1+Inputs_General!$C$22*Parameters!$F$9)</f>
        <v>327.603490906787</v>
      </c>
      <c r="AW208" s="45" t="n">
        <f aca="false">IF(AS208=0,0,AT208/AS208-1)</f>
        <v>0.0288352886371248</v>
      </c>
      <c r="AX208" s="43" t="n">
        <f aca="false">INDEX(Context!$AB$4:$AB$51,$K208)</f>
        <v>2.65490090255297</v>
      </c>
      <c r="AY208" s="43" t="n">
        <f aca="false">AX208*(1+INDEX(Response_Table!$J$4:$J$21,MATCH($F208&amp;"|mid",Response_Table!$A$4:$A$21,0))*$R208*INDEX(Parameters!$X$10:$AA$10,1,MATCH($E208,Parameters!$X$3:$AA$3,0)))</f>
        <v>2.58152444216713</v>
      </c>
      <c r="AZ208" s="43" t="n">
        <f aca="false">MAX(0,MIN(AX208*(1+INDEX(Response_Table!$J$4:$J$21,MATCH($F208&amp;"|low",Response_Table!$A$4:$A$21,0))*$R208*INDEX(Parameters!$X$10:$AA$10,1,MATCH($E208,Parameters!$X$3:$AA$3,0))),AX208*(1+INDEX(Response_Table!$J$4:$J$21,MATCH($F208&amp;"|high",Response_Table!$A$4:$A$21,0))*$R208*INDEX(Parameters!$X$10:$AA$10,1,MATCH($E208,Parameters!$X$3:$AA$3,0))))*(1-Inputs_General!$C$22*Parameters!$F$10))</f>
        <v>2.035053742794</v>
      </c>
      <c r="BA208" s="43" t="n">
        <f aca="false">MAX(AX208*(1+INDEX(Response_Table!$J$4:$J$21,MATCH($F208&amp;"|low",Response_Table!$A$4:$A$21,0))*$R208*INDEX(Parameters!$X$10:$AA$10,1,MATCH($E208,Parameters!$X$3:$AA$3,0))),AX208*(1+INDEX(Response_Table!$J$4:$J$21,MATCH($F208&amp;"|high",Response_Table!$A$4:$A$21,0))*$R208*INDEX(Parameters!$X$10:$AA$10,1,MATCH($E208,Parameters!$X$3:$AA$3,0))))*(1+Inputs_General!$C$22*Parameters!$F$10)</f>
        <v>3.14895620072061</v>
      </c>
      <c r="BB208" s="45" t="n">
        <f aca="false">IF(AX208=0,0,AY208/AX208-1)</f>
        <v>-0.0276381164793286</v>
      </c>
      <c r="BC208" s="46" t="n">
        <f aca="false">Parameters!$E$11*IF($N208="V",Parameters!$I$11,IF($N208="F",Parameters!$J$11,Parameters!$K$11))*(1-Parameters!$L$11*$P208)*IF($D208="V1",Parameters!$M$11,IF($D208="V2",Parameters!$N$11,Parameters!$O$11))</f>
        <v>1.25397901785714</v>
      </c>
      <c r="BD208" s="46" t="n">
        <f aca="false">BC208*(1+INDEX(Response_Table!$K$4:$K$21,MATCH($F208&amp;"|mid",Response_Table!$A$4:$A$21,0))*$R208*INDEX(Parameters!$X$11:$AA$11,1,MATCH($E208,Parameters!$X$3:$AA$3,0)))</f>
        <v>1.19056074557326</v>
      </c>
      <c r="BE208" s="46" t="n">
        <f aca="false">MAX(0,MIN(BC208*(1+INDEX(Response_Table!$K$4:$K$21,MATCH($F208&amp;"|low",Response_Table!$A$4:$A$21,0))*$R208*INDEX(Parameters!$X$11:$AA$11,1,MATCH($E208,Parameters!$X$3:$AA$3,0))),BC208*(1+INDEX(Response_Table!$K$4:$K$21,MATCH($F208&amp;"|high",Response_Table!$A$4:$A$21,0))*$R208*INDEX(Parameters!$X$11:$AA$11,1,MATCH($E208,Parameters!$X$3:$AA$3,0))))*(1-Inputs_General!$C$22*Parameters!$F$11))</f>
        <v>0.962112316617242</v>
      </c>
      <c r="BF208" s="46" t="n">
        <f aca="false">MAX(BC208*(1+INDEX(Response_Table!$K$4:$K$21,MATCH($F208&amp;"|low",Response_Table!$A$4:$A$21,0))*$R208*INDEX(Parameters!$X$11:$AA$11,1,MATCH($E208,Parameters!$X$3:$AA$3,0))),BC208*(1+INDEX(Response_Table!$K$4:$K$21,MATCH($F208&amp;"|high",Response_Table!$A$4:$A$21,0))*$R208*INDEX(Parameters!$X$11:$AA$11,1,MATCH($E208,Parameters!$X$3:$AA$3,0))))*(1+Inputs_General!$C$22*Parameters!$F$11)</f>
        <v>1.43484990164598</v>
      </c>
      <c r="BG208" s="45" t="n">
        <f aca="false">IF(BC208=0,0,BD208/BC208-1)</f>
        <v>-0.0505736311220398</v>
      </c>
      <c r="BH208" s="46" t="n">
        <f aca="false">Parameters!$E$12*IF($N208="V",Parameters!$I$12,IF($N208="F",Parameters!$J$12,Parameters!$K$12))*(1-Parameters!$L$12*$P208)*IF($D208="V1",Parameters!$M$12,IF($D208="V2",Parameters!$N$12,Parameters!$O$12))</f>
        <v>0.451432446428571</v>
      </c>
      <c r="BI208" s="46" t="n">
        <f aca="false">BH208*(1+INDEX(Response_Table!$L$4:$L$21,MATCH($F208&amp;"|mid",Response_Table!$A$4:$A$21,0))*$R208*INDEX(Parameters!$X$12:$AA$12,1,MATCH($E208,Parameters!$X$3:$AA$3,0)))</f>
        <v>0.433268081938275</v>
      </c>
      <c r="BJ208" s="46" t="n">
        <f aca="false">MAX(0,MIN(BH208*(1+INDEX(Response_Table!$L$4:$L$21,MATCH($F208&amp;"|low",Response_Table!$A$4:$A$21,0))*$R208*INDEX(Parameters!$X$12:$AA$12,1,MATCH($E208,Parameters!$X$3:$AA$3,0))),BH208*(1+INDEX(Response_Table!$L$4:$L$21,MATCH($F208&amp;"|high",Response_Table!$A$4:$A$21,0))*$R208*INDEX(Parameters!$X$12:$AA$12,1,MATCH($E208,Parameters!$X$3:$AA$3,0))))*(1-Inputs_General!$C$22*Parameters!$F$12))</f>
        <v>0.338725778547315</v>
      </c>
      <c r="BK208" s="46" t="n">
        <f aca="false">MAX(BH208*(1+INDEX(Response_Table!$L$4:$L$21,MATCH($F208&amp;"|low",Response_Table!$A$4:$A$21,0))*$R208*INDEX(Parameters!$X$12:$AA$12,1,MATCH($E208,Parameters!$X$3:$AA$3,0))),BH208*(1+INDEX(Response_Table!$L$4:$L$21,MATCH($F208&amp;"|high",Response_Table!$A$4:$A$21,0))*$R208*INDEX(Parameters!$X$12:$AA$12,1,MATCH($E208,Parameters!$X$3:$AA$3,0))))*(1+Inputs_General!$C$22*Parameters!$F$12)</f>
        <v>0.53307665326906</v>
      </c>
      <c r="BL208" s="45" t="n">
        <f aca="false">IF(BH208=0,0,BI208/BH208-1)</f>
        <v>-0.0402371708857008</v>
      </c>
      <c r="BM208" s="46" t="n">
        <f aca="false">Parameters!$E$13*IF($N208="V",Parameters!$I$13,IF($N208="F",Parameters!$J$13,Parameters!$K$13))*(1-Parameters!$L$13*$P208)*IF($D208="V1",Parameters!$M$13,IF($D208="V2",Parameters!$N$13,Parameters!$O$13))</f>
        <v>0.304977482142857</v>
      </c>
      <c r="BN208" s="46" t="n">
        <f aca="false">BM208*(1+INDEX(Response_Table!$M$4:$M$21,MATCH($F208&amp;"|mid",Response_Table!$A$4:$A$21,0))*$R208*INDEX(Parameters!$X$13:$AA$13,1,MATCH($E208,Parameters!$X$3:$AA$3,0)))</f>
        <v>0.311713610379236</v>
      </c>
      <c r="BO208" s="46" t="n">
        <f aca="false">MAX(0,MIN(BM208*(1+INDEX(Response_Table!$M$4:$M$21,MATCH($F208&amp;"|low",Response_Table!$A$4:$A$21,0))*$R208*INDEX(Parameters!$X$13:$AA$13,1,MATCH($E208,Parameters!$X$3:$AA$3,0))),BM208*(1+INDEX(Response_Table!$M$4:$M$21,MATCH($F208&amp;"|high",Response_Table!$A$4:$A$21,0))*$R208*INDEX(Parameters!$X$13:$AA$13,1,MATCH($E208,Parameters!$X$3:$AA$3,0))))*(1-Inputs_General!$C$22*Parameters!$F$13))</f>
        <v>0.247432719726346</v>
      </c>
      <c r="BP208" s="46" t="n">
        <f aca="false">MAX(BM208*(1+INDEX(Response_Table!$M$4:$M$21,MATCH($F208&amp;"|low",Response_Table!$A$4:$A$21,0))*$R208*INDEX(Parameters!$X$13:$AA$13,1,MATCH($E208,Parameters!$X$3:$AA$3,0))),BM208*(1+INDEX(Response_Table!$M$4:$M$21,MATCH($F208&amp;"|high",Response_Table!$A$4:$A$21,0))*$R208*INDEX(Parameters!$X$13:$AA$13,1,MATCH($E208,Parameters!$X$3:$AA$3,0))))*(1+Inputs_General!$C$22*Parameters!$F$13)</f>
        <v>0.373473774592818</v>
      </c>
      <c r="BQ208" s="45" t="n">
        <f aca="false">IF(BM208=0,0,BN208/BM208-1)</f>
        <v>0.0220872970327148</v>
      </c>
      <c r="BR208" s="44" t="n">
        <f aca="false">Parameters!$E$14*IF($N208="V",Parameters!$I$14,IF($N208="F",Parameters!$J$14,Parameters!$K$14))*(1-Parameters!$L$14*$P208)*IF($D208="V1",Parameters!$M$14,IF($D208="V2",Parameters!$N$14,Parameters!$O$14))*INDEX(Context!$AC$4:$AC$51,$K208)</f>
        <v>15</v>
      </c>
      <c r="BS208" s="44" t="n">
        <f aca="false">BR208*(1+INDEX(Response_Table!$N$4:$N$21,MATCH($F208&amp;"|mid",Response_Table!$A$4:$A$21,0))*$R208*INDEX(Parameters!$X$14:$AA$14,1,MATCH($E208,Parameters!$X$3:$AA$3,0)))</f>
        <v>15.6584264326751</v>
      </c>
      <c r="BT208" s="44" t="n">
        <f aca="false">MAX(0,MIN(BR208*(1+INDEX(Response_Table!$N$4:$N$21,MATCH($F208&amp;"|low",Response_Table!$A$4:$A$21,0))*$R208*INDEX(Parameters!$X$14:$AA$14,1,MATCH($E208,Parameters!$X$3:$AA$3,0))),BR208*(1+INDEX(Response_Table!$N$4:$N$21,MATCH($F208&amp;"|high",Response_Table!$A$4:$A$21,0))*$R208*INDEX(Parameters!$X$14:$AA$14,1,MATCH($E208,Parameters!$X$3:$AA$3,0))))*(1-Inputs_General!$C$22*Parameters!$F$14))</f>
        <v>7.71201543002126</v>
      </c>
      <c r="BU208" s="44" t="n">
        <f aca="false">MAX(BR208*(1+INDEX(Response_Table!$N$4:$N$21,MATCH($F208&amp;"|low",Response_Table!$A$4:$A$21,0))*$R208*INDEX(Parameters!$X$14:$AA$14,1,MATCH($E208,Parameters!$X$3:$AA$3,0))),BR208*(1+INDEX(Response_Table!$N$4:$N$21,MATCH($F208&amp;"|high",Response_Table!$A$4:$A$21,0))*$R208*INDEX(Parameters!$X$14:$AA$14,1,MATCH($E208,Parameters!$X$3:$AA$3,0))))*(1+Inputs_General!$C$22*Parameters!$F$14)</f>
        <v>23.9939496746502</v>
      </c>
      <c r="BV208" s="45" t="n">
        <f aca="false">IF(BR208=0,0,BS208/BR208-1)</f>
        <v>0.0438950955116737</v>
      </c>
      <c r="BW208" s="43" t="n">
        <f aca="false">Parameters!$E$15*IF($N208="V",Parameters!$I$15,IF($N208="F",Parameters!$J$15,Parameters!$K$15))*(1-Parameters!$L$15*$P208)*IF($D208="V1",Parameters!$M$15,IF($D208="V2",Parameters!$N$15,Parameters!$O$15))</f>
        <v>9.73964285714286</v>
      </c>
      <c r="BX208" s="43" t="n">
        <f aca="false">BW208*(1+INDEX(Response_Table!$O$4:$O$21,MATCH($F208&amp;"|mid",Response_Table!$A$4:$A$21,0))*$R208*INDEX(Parameters!$X$15:$AA$15,1,MATCH($E208,Parameters!$X$3:$AA$3,0)))</f>
        <v>9.63276221877689</v>
      </c>
      <c r="BY208" s="43" t="n">
        <f aca="false">MAX(0,MIN(BW208*(1+INDEX(Response_Table!$O$4:$O$21,MATCH($F208&amp;"|low",Response_Table!$A$4:$A$21,0))*$R208*INDEX(Parameters!$X$15:$AA$15,1,MATCH($E208,Parameters!$X$3:$AA$3,0))),BW208*(1+INDEX(Response_Table!$O$4:$O$21,MATCH($F208&amp;"|high",Response_Table!$A$4:$A$21,0))*$R208*INDEX(Parameters!$X$15:$AA$15,1,MATCH($E208,Parameters!$X$3:$AA$3,0))))*(1-Inputs_General!$C$22*Parameters!$F$15))</f>
        <v>7.6782088607836</v>
      </c>
      <c r="BZ208" s="43" t="n">
        <f aca="false">MAX(BW208*(1+INDEX(Response_Table!$O$4:$O$21,MATCH($F208&amp;"|low",Response_Table!$A$4:$A$21,0))*$R208*INDEX(Parameters!$X$15:$AA$15,1,MATCH($E208,Parameters!$X$3:$AA$3,0))),BW208*(1+INDEX(Response_Table!$O$4:$O$21,MATCH($F208&amp;"|high",Response_Table!$A$4:$A$21,0))*$R208*INDEX(Parameters!$X$15:$AA$15,1,MATCH($E208,Parameters!$X$3:$AA$3,0))))*(1+Inputs_General!$C$22*Parameters!$F$15)</f>
        <v>11.6183027373458</v>
      </c>
      <c r="CA208" s="45" t="n">
        <f aca="false">IF(BW208=0,0,BX208/BW208-1)</f>
        <v>-0.0109737738779183</v>
      </c>
      <c r="CB208" s="46" t="n">
        <f aca="false">BD208+BI208</f>
        <v>1.62382882751153</v>
      </c>
      <c r="CC208" s="43" t="n">
        <f aca="false">BD208/BI208</f>
        <v>2.74786164779816</v>
      </c>
      <c r="CD208" s="46" t="n">
        <f aca="false">BN208/CB208</f>
        <v>0.191962111460312</v>
      </c>
      <c r="CE208" s="43" t="n">
        <f aca="false">AE208/AO208</f>
        <v>2.97948852208285</v>
      </c>
      <c r="CF208" s="44" t="n">
        <f aca="false">AE208/AJ208</f>
        <v>52.5854766432115</v>
      </c>
      <c r="CG208" s="44" t="n">
        <f aca="false">INDEX(Context!$V$4:$V$51,$K208)</f>
        <v>28.62</v>
      </c>
      <c r="CH208" s="44" t="n">
        <f aca="false">INDEX(Context!$Y$4:$Y$51,$K208)</f>
        <v>25.3060134606718</v>
      </c>
      <c r="CI208" s="44" t="n">
        <f aca="false">INDEX(Context!$Z$4:$Z$51,$K208)</f>
        <v>32.62</v>
      </c>
      <c r="CJ208" s="43" t="n">
        <f aca="false">INDEX(Context!$AA$4:$AA$51,$K208)</f>
        <v>0.221696428571429</v>
      </c>
      <c r="CK208" s="43" t="n">
        <f aca="false">MAX(0,MIN(1,1-(1-CJ208)*AO208/AN208))</f>
        <v>0.253147417331599</v>
      </c>
      <c r="CL208" s="44" t="n">
        <f aca="false">CH208+CK208*(CI208-CH208)</f>
        <v>27.1575302635008</v>
      </c>
      <c r="CM208" s="44" t="n">
        <f aca="false">CH208+MAX(0,MIN(1,1-(1-CJ208)*AQ208/AN208))*(CI208-CH208)</f>
        <v>25.3060134606718</v>
      </c>
      <c r="CN208" s="44" t="n">
        <f aca="false">CH208+MAX(0,MIN(1,1-(1-CJ208)*AP208/AN208))*(CI208-CH208)</f>
        <v>28.9121718909313</v>
      </c>
      <c r="CO208" s="44" t="n">
        <f aca="false">CL208-CG208</f>
        <v>-1.46246973649921</v>
      </c>
      <c r="CP208" s="44" t="n">
        <f aca="false">CL208-(CH208+CJ208*(CI208-CH208))</f>
        <v>0.230032108440454</v>
      </c>
      <c r="CQ208" s="46" t="n">
        <f aca="false">CL208/CG208</f>
        <v>0.948900428494088</v>
      </c>
      <c r="CR208" s="43" t="n">
        <f aca="false">IF(CL208-CH208&lt;=0,"n/a",(CI208-CL208)/(CL208-CH208))</f>
        <v>2.95026743918977</v>
      </c>
      <c r="CS208" s="43" t="n">
        <f aca="false">IF(CI208-CL208&lt;=0,"n/a",(CL208-CH208)/(CI208-CL208))</f>
        <v>0.338952322327304</v>
      </c>
      <c r="CT208" s="43" t="n">
        <f aca="false">Inputs_General!$C$23+Inputs_General!$C$24*$I208</f>
        <v>0.66</v>
      </c>
      <c r="CU208" s="44" t="n">
        <f aca="false">3.29*CT208</f>
        <v>2.1714</v>
      </c>
    </row>
    <row r="209" customFormat="false" ht="15" hidden="false" customHeight="false" outlineLevel="0" collapsed="false">
      <c r="A209" s="9" t="str">
        <f aca="false">B209&amp;"|"&amp;E209&amp;"|"&amp;F209</f>
        <v>D3V3|03/03/2026|Low</v>
      </c>
      <c r="B209" s="7" t="s">
        <v>351</v>
      </c>
      <c r="C209" s="9" t="s">
        <v>131</v>
      </c>
      <c r="D209" s="9" t="s">
        <v>150</v>
      </c>
      <c r="E209" s="9" t="s">
        <v>162</v>
      </c>
      <c r="F209" s="7" t="s">
        <v>279</v>
      </c>
      <c r="G209" s="9" t="s">
        <v>280</v>
      </c>
      <c r="H209" s="41" t="n">
        <f aca="false">INDEX(Severity_Classes!$C$4:$C$9,MATCH(F209,Severity_Classes!$A$4:$A$9,0))</f>
        <v>0.06</v>
      </c>
      <c r="I209" s="41" t="n">
        <f aca="false">INDEX(Severity_Classes!$D$4:$D$9,MATCH(F209,Severity_Classes!$A$4:$A$9,0))</f>
        <v>0.08</v>
      </c>
      <c r="J209" s="41" t="n">
        <f aca="false">INDEX(Severity_Classes!$E$4:$E$9,MATCH(F209,Severity_Classes!$A$4:$A$9,0))</f>
        <v>0.1</v>
      </c>
      <c r="K209" s="42" t="n">
        <f aca="false">MATCH(B209&amp;"|"&amp;E209,Context!$A$4:$A$51,0)</f>
        <v>35</v>
      </c>
      <c r="L209" s="42" t="n">
        <f aca="false">INDEX(Context!$H$4:$H$51,K209)</f>
        <v>66</v>
      </c>
      <c r="M209" s="42" t="n">
        <f aca="false">INDEX(Context!$I$4:$I$51,K209)</f>
        <v>26</v>
      </c>
      <c r="N209" s="9" t="str">
        <f aca="false">INDEX(Context!$L$4:$L$51,K209)</f>
        <v>F</v>
      </c>
      <c r="O209" s="9" t="str">
        <f aca="false">INDEX(Context!$M$4:$M$51,K209)</f>
        <v>5th fully expanded leaf from top</v>
      </c>
      <c r="P209" s="43" t="n">
        <f aca="false">INDEX(Context!$R$4:$R$51,K209)</f>
        <v>0.433928571428571</v>
      </c>
      <c r="Q209" s="43" t="n">
        <f aca="false">INDEX(Context!$U$4:$U$51,K209)</f>
        <v>1.73951545534029</v>
      </c>
      <c r="R209" s="43" t="n">
        <f aca="false">INDEX(Context!$AD$4:$AD$51,K209)</f>
        <v>0.85</v>
      </c>
      <c r="S209" s="9" t="str">
        <f aca="false">INDEX(Context!$AI$4:$AN$51,K209,MATCH(F209,Severity_Classes!$A$4:$A$9,0))</f>
        <v>Likely</v>
      </c>
      <c r="T209" s="44" t="n">
        <f aca="false">Parameters!$E$4*IF($N209="V",Parameters!$I$4,IF($N209="F",Parameters!$J$4,Parameters!$K$4))*(1-Parameters!$L$4*$P209)*IF($D209="V1",Parameters!$M$4,IF($D209="V2",Parameters!$N$4,Parameters!$O$4))</f>
        <v>83.2927660714286</v>
      </c>
      <c r="U209" s="44" t="n">
        <f aca="false">MIN(100,T209*(1+INDEX(Response_Table!$E$4:$E$21,MATCH($F209&amp;"|mid",Response_Table!$A$4:$A$21,0))*$R209*INDEX(Parameters!$X$4:$AA$4,1,MATCH($E209,Parameters!$X$3:$AA$3,0))))</f>
        <v>82.3073433976175</v>
      </c>
      <c r="V209" s="44" t="n">
        <f aca="false">MAX(0,MIN(T209*(1+INDEX(Response_Table!$E$4:$E$21,MATCH($F209&amp;"|low",Response_Table!$A$4:$A$21,0))*$R209*INDEX(Parameters!$X$4:$AA$4,1,MATCH($E209,Parameters!$X$3:$AA$3,0))),T209*(1+INDEX(Response_Table!$E$4:$E$21,MATCH($F209&amp;"|high",Response_Table!$A$4:$A$21,0))*$R209*INDEX(Parameters!$X$4:$AA$4,1,MATCH($E209,Parameters!$X$3:$AA$3,0))))*(1-Inputs_General!$C$22*Parameters!$F$4))</f>
        <v>76.5698798562237</v>
      </c>
      <c r="W209" s="44" t="n">
        <f aca="false">MIN(100,MAX(T209*(1+INDEX(Response_Table!$E$4:$E$21,MATCH($F209&amp;"|low",Response_Table!$A$4:$A$21,0))*$R209*INDEX(Parameters!$X$4:$AA$4,1,MATCH($E209,Parameters!$X$3:$AA$3,0))),T209*(1+INDEX(Response_Table!$E$4:$E$21,MATCH($F209&amp;"|high",Response_Table!$A$4:$A$21,0))*$R209*INDEX(Parameters!$X$4:$AA$4,1,MATCH($E209,Parameters!$X$3:$AA$3,0))))*(1+Inputs_General!$C$22*Parameters!$F$4))</f>
        <v>88.043848156757</v>
      </c>
      <c r="X209" s="45" t="n">
        <f aca="false">IF(T209=0,0,U209/T209-1)</f>
        <v>-0.0118308314189739</v>
      </c>
      <c r="Y209" s="44" t="n">
        <f aca="false">Parameters!$E$5*IF($N209="V",Parameters!$I$5,IF($N209="F",Parameters!$J$5,Parameters!$K$5))*(1-Parameters!$L$5*$P209)*IF($D209="V1",Parameters!$M$5,IF($D209="V2",Parameters!$N$5,Parameters!$O$5))</f>
        <v>66.88584</v>
      </c>
      <c r="Z209" s="44" t="n">
        <f aca="false">MIN(100,Y209*(1+INDEX(Response_Table!$F$4:$F$21,MATCH($F209&amp;"|mid",Response_Table!$A$4:$A$21,0))*$R209*INDEX(Parameters!$X$5:$AA$5,1,MATCH($E209,Parameters!$X$3:$AA$3,0))))</f>
        <v>64.2734964721013</v>
      </c>
      <c r="AA209" s="44" t="n">
        <f aca="false">MAX(0,MIN(Y209*(1+INDEX(Response_Table!$F$4:$F$21,MATCH($F209&amp;"|low",Response_Table!$A$4:$A$21,0))*$R209*INDEX(Parameters!$X$5:$AA$5,1,MATCH($E209,Parameters!$X$3:$AA$3,0))),Y209*(1+INDEX(Response_Table!$F$4:$F$21,MATCH($F209&amp;"|high",Response_Table!$A$4:$A$21,0))*$R209*INDEX(Parameters!$X$5:$AA$5,1,MATCH($E209,Parameters!$X$3:$AA$3,0))))*(1-Inputs_General!$C$22*Parameters!$F$5))</f>
        <v>56.026363086705</v>
      </c>
      <c r="AB209" s="44" t="n">
        <f aca="false">MIN(100,MAX(Y209*(1+INDEX(Response_Table!$F$4:$F$21,MATCH($F209&amp;"|low",Response_Table!$A$4:$A$21,0))*$R209*INDEX(Parameters!$X$5:$AA$5,1,MATCH($E209,Parameters!$X$3:$AA$3,0))),Y209*(1+INDEX(Response_Table!$F$4:$F$21,MATCH($F209&amp;"|high",Response_Table!$A$4:$A$21,0))*$R209*INDEX(Parameters!$X$5:$AA$5,1,MATCH($E209,Parameters!$X$3:$AA$3,0))))*(1+Inputs_General!$C$22*Parameters!$F$5))</f>
        <v>72.5903798013609</v>
      </c>
      <c r="AC209" s="45" t="n">
        <f aca="false">IF(Y209=0,0,Z209/Y209-1)</f>
        <v>-0.0390567499473534</v>
      </c>
      <c r="AD209" s="44" t="n">
        <f aca="false">Parameters!$E$6*IF($N209="V",Parameters!$I$6,IF($N209="F",Parameters!$J$6,Parameters!$K$6))*(1-Parameters!$L$6*$P209)*IF($D209="V1",Parameters!$M$6,IF($D209="V2",Parameters!$N$6,Parameters!$O$6))</f>
        <v>18.5509621428571</v>
      </c>
      <c r="AE209" s="44" t="n">
        <f aca="false">AD209*(1+INDEX(Response_Table!$G$4:$G$21,MATCH($F209&amp;"|mid",Response_Table!$A$4:$A$21,0))*$R209*INDEX(Parameters!$X$6:$AA$6,1,MATCH($E209,Parameters!$X$3:$AA$3,0)))</f>
        <v>15.0418821373977</v>
      </c>
      <c r="AF209" s="44" t="n">
        <f aca="false">MAX(0,MIN(AD209*(1+INDEX(Response_Table!$G$4:$G$21,MATCH($F209&amp;"|low",Response_Table!$A$4:$A$21,0))*$R209*INDEX(Parameters!$X$6:$AA$6,1,MATCH($E209,Parameters!$X$3:$AA$3,0))),AD209*(1+INDEX(Response_Table!$G$4:$G$21,MATCH($F209&amp;"|high",Response_Table!$A$4:$A$21,0))*$R209*INDEX(Parameters!$X$6:$AA$6,1,MATCH($E209,Parameters!$X$3:$AA$3,0))))*(1-Inputs_General!$C$22*Parameters!$F$6))</f>
        <v>11.5102888623805</v>
      </c>
      <c r="AG209" s="44" t="n">
        <f aca="false">MAX(AD209*(1+INDEX(Response_Table!$G$4:$G$21,MATCH($F209&amp;"|low",Response_Table!$A$4:$A$21,0))*$R209*INDEX(Parameters!$X$6:$AA$6,1,MATCH($E209,Parameters!$X$3:$AA$3,0))),AD209*(1+INDEX(Response_Table!$G$4:$G$21,MATCH($F209&amp;"|high",Response_Table!$A$4:$A$21,0))*$R209*INDEX(Parameters!$X$6:$AA$6,1,MATCH($E209,Parameters!$X$3:$AA$3,0))))*(1+Inputs_General!$C$22*Parameters!$F$6)</f>
        <v>18.9272561977413</v>
      </c>
      <c r="AH209" s="45" t="n">
        <f aca="false">IF(AD209=0,0,AE209/AD209-1)</f>
        <v>-0.189158922240083</v>
      </c>
      <c r="AI209" s="46" t="n">
        <f aca="false">Parameters!$E$7*IF($N209="V",Parameters!$I$7,IF($N209="F",Parameters!$J$7,Parameters!$K$7))*(1-Parameters!$L$7*$P209)*IF($D209="V1",Parameters!$M$7,IF($D209="V2",Parameters!$N$7,Parameters!$O$7))*POWER($Q209/Inputs_General!$C$26,-Inputs_General!$C$25)</f>
        <v>0.341191629407368</v>
      </c>
      <c r="AJ209" s="46" t="n">
        <f aca="false">AI209*(1+INDEX(Response_Table!$H$4:$H$21,MATCH($F209&amp;"|mid",Response_Table!$A$4:$A$21,0))*$R209*INDEX(Parameters!$X$7:$AA$7,1,MATCH($E209,Parameters!$X$3:$AA$3,0)))</f>
        <v>0.300969194173925</v>
      </c>
      <c r="AK209" s="46" t="n">
        <f aca="false">MAX(0,MIN(AI209*(1+INDEX(Response_Table!$H$4:$H$21,MATCH($F209&amp;"|low",Response_Table!$A$4:$A$21,0))*$R209*INDEX(Parameters!$X$7:$AA$7,1,MATCH($E209,Parameters!$X$3:$AA$3,0))),AI209*(1+INDEX(Response_Table!$H$4:$H$21,MATCH($F209&amp;"|high",Response_Table!$A$4:$A$21,0))*$R209*INDEX(Parameters!$X$7:$AA$7,1,MATCH($E209,Parameters!$X$3:$AA$3,0))))*(1-Inputs_General!$C$22*Parameters!$F$7))</f>
        <v>0.205773686709861</v>
      </c>
      <c r="AL209" s="46" t="n">
        <f aca="false">MAX(AI209*(1+INDEX(Response_Table!$H$4:$H$21,MATCH($F209&amp;"|low",Response_Table!$A$4:$A$21,0))*$R209*INDEX(Parameters!$X$7:$AA$7,1,MATCH($E209,Parameters!$X$3:$AA$3,0))),AI209*(1+INDEX(Response_Table!$H$4:$H$21,MATCH($F209&amp;"|high",Response_Table!$A$4:$A$21,0))*$R209*INDEX(Parameters!$X$7:$AA$7,1,MATCH($E209,Parameters!$X$3:$AA$3,0))))*(1+Inputs_General!$C$22*Parameters!$F$7)</f>
        <v>0.401970749117358</v>
      </c>
      <c r="AM209" s="45" t="n">
        <f aca="false">IF(AI209=0,0,AJ209/AI209-1)</f>
        <v>-0.117888106760729</v>
      </c>
      <c r="AN209" s="43" t="n">
        <f aca="false">AI209*$Q209/Inputs_General!$C$13*1000</f>
        <v>5.97691956280819</v>
      </c>
      <c r="AO209" s="43" t="n">
        <f aca="false">AJ209*$Q209/Inputs_General!$C$13*1000*(1+Inputs_General!$C$21*$I209)</f>
        <v>5.37775806791332</v>
      </c>
      <c r="AP209" s="43" t="n">
        <f aca="false">AK209*$Q209/Inputs_General!$C$13*1000*(1+Inputs_General!$C$21*$H209)</f>
        <v>3.65876843866229</v>
      </c>
      <c r="AQ209" s="43" t="n">
        <f aca="false">AL209*$Q209/Inputs_General!$C$13*1000*(1+Inputs_General!$C$21*$J209)</f>
        <v>7.21767561884661</v>
      </c>
      <c r="AR209" s="45" t="n">
        <f aca="false">IF(AN209=0,0,AO209/AN209-1)</f>
        <v>-0.100245868895944</v>
      </c>
      <c r="AS209" s="42" t="n">
        <f aca="false">Parameters!$E$9*IF($N209="V",Parameters!$I$9,IF($N209="F",Parameters!$J$9,Parameters!$K$9))*(1-Parameters!$L$9*$P209)*IF($D209="V1",Parameters!$M$9,IF($D209="V2",Parameters!$N$9,Parameters!$O$9))</f>
        <v>285</v>
      </c>
      <c r="AT209" s="42" t="n">
        <f aca="false">AS209*(1+INDEX(Response_Table!$I$4:$I$21,MATCH($F209&amp;"|mid",Response_Table!$A$4:$A$21,0))*$R209*INDEX(Parameters!$X$9:$AA$9,1,MATCH($E209,Parameters!$X$3:$AA$3,0)))</f>
        <v>304.90211873067</v>
      </c>
      <c r="AU209" s="42" t="n">
        <f aca="false">MAX(0,MIN(AS209*(1+INDEX(Response_Table!$I$4:$I$21,MATCH($F209&amp;"|low",Response_Table!$A$4:$A$21,0))*$R209*INDEX(Parameters!$X$9:$AA$9,1,MATCH($E209,Parameters!$X$3:$AA$3,0))),AS209*(1+INDEX(Response_Table!$I$4:$I$21,MATCH($F209&amp;"|high",Response_Table!$A$4:$A$21,0))*$R209*INDEX(Parameters!$X$9:$AA$9,1,MATCH($E209,Parameters!$X$3:$AA$3,0))))*(1-Inputs_General!$C$22*Parameters!$F$9))</f>
        <v>270.846797043545</v>
      </c>
      <c r="AV209" s="42" t="n">
        <f aca="false">MAX(AS209*(1+INDEX(Response_Table!$I$4:$I$21,MATCH($F209&amp;"|low",Response_Table!$A$4:$A$21,0))*$R209*INDEX(Parameters!$X$9:$AA$9,1,MATCH($E209,Parameters!$X$3:$AA$3,0))),AS209*(1+INDEX(Response_Table!$I$4:$I$21,MATCH($F209&amp;"|high",Response_Table!$A$4:$A$21,0))*$R209*INDEX(Parameters!$X$9:$AA$9,1,MATCH($E209,Parameters!$X$3:$AA$3,0))))*(1+Inputs_General!$C$22*Parameters!$F$9)</f>
        <v>339.453792381945</v>
      </c>
      <c r="AW209" s="45" t="n">
        <f aca="false">IF(AS209=0,0,AT209/AS209-1)</f>
        <v>0.0698319955462088</v>
      </c>
      <c r="AX209" s="43" t="n">
        <f aca="false">INDEX(Context!$AB$4:$AB$51,$K209)</f>
        <v>2.65490090255297</v>
      </c>
      <c r="AY209" s="43" t="n">
        <f aca="false">AX209*(1+INDEX(Response_Table!$J$4:$J$21,MATCH($F209&amp;"|mid",Response_Table!$A$4:$A$21,0))*$R209*INDEX(Parameters!$X$10:$AA$10,1,MATCH($E209,Parameters!$X$3:$AA$3,0)))</f>
        <v>2.47082205567664</v>
      </c>
      <c r="AZ209" s="43" t="n">
        <f aca="false">MAX(0,MIN(AX209*(1+INDEX(Response_Table!$J$4:$J$21,MATCH($F209&amp;"|low",Response_Table!$A$4:$A$21,0))*$R209*INDEX(Parameters!$X$10:$AA$10,1,MATCH($E209,Parameters!$X$3:$AA$3,0))),AX209*(1+INDEX(Response_Table!$J$4:$J$21,MATCH($F209&amp;"|high",Response_Table!$A$4:$A$21,0))*$R209*INDEX(Parameters!$X$10:$AA$10,1,MATCH($E209,Parameters!$X$3:$AA$3,0))))*(1-Inputs_General!$C$22*Parameters!$F$10))</f>
        <v>1.95053726012502</v>
      </c>
      <c r="BA209" s="43" t="n">
        <f aca="false">MAX(AX209*(1+INDEX(Response_Table!$J$4:$J$21,MATCH($F209&amp;"|low",Response_Table!$A$4:$A$21,0))*$R209*INDEX(Parameters!$X$10:$AA$10,1,MATCH($E209,Parameters!$X$3:$AA$3,0))),AX209*(1+INDEX(Response_Table!$J$4:$J$21,MATCH($F209&amp;"|high",Response_Table!$A$4:$A$21,0))*$R209*INDEX(Parameters!$X$10:$AA$10,1,MATCH($E209,Parameters!$X$3:$AA$3,0))))*(1+Inputs_General!$C$22*Parameters!$F$10)</f>
        <v>3.00960492102981</v>
      </c>
      <c r="BB209" s="45" t="n">
        <f aca="false">IF(AX209=0,0,AY209/AX209-1)</f>
        <v>-0.069335486947672</v>
      </c>
      <c r="BC209" s="46" t="n">
        <f aca="false">Parameters!$E$11*IF($N209="V",Parameters!$I$11,IF($N209="F",Parameters!$J$11,Parameters!$K$11))*(1-Parameters!$L$11*$P209)*IF($D209="V1",Parameters!$M$11,IF($D209="V2",Parameters!$N$11,Parameters!$O$11))</f>
        <v>1.25397901785714</v>
      </c>
      <c r="BD209" s="46" t="n">
        <f aca="false">BC209*(1+INDEX(Response_Table!$K$4:$K$21,MATCH($F209&amp;"|mid",Response_Table!$A$4:$A$21,0))*$R209*INDEX(Parameters!$X$11:$AA$11,1,MATCH($E209,Parameters!$X$3:$AA$3,0)))</f>
        <v>1.0974992870948</v>
      </c>
      <c r="BE209" s="46" t="n">
        <f aca="false">MAX(0,MIN(BC209*(1+INDEX(Response_Table!$K$4:$K$21,MATCH($F209&amp;"|low",Response_Table!$A$4:$A$21,0))*$R209*INDEX(Parameters!$X$11:$AA$11,1,MATCH($E209,Parameters!$X$3:$AA$3,0))),BC209*(1+INDEX(Response_Table!$K$4:$K$21,MATCH($F209&amp;"|high",Response_Table!$A$4:$A$21,0))*$R209*INDEX(Parameters!$X$11:$AA$11,1,MATCH($E209,Parameters!$X$3:$AA$3,0))))*(1-Inputs_General!$C$22*Parameters!$F$11))</f>
        <v>0.889179755941374</v>
      </c>
      <c r="BF209" s="46" t="n">
        <f aca="false">MAX(BC209*(1+INDEX(Response_Table!$K$4:$K$21,MATCH($F209&amp;"|low",Response_Table!$A$4:$A$21,0))*$R209*INDEX(Parameters!$X$11:$AA$11,1,MATCH($E209,Parameters!$X$3:$AA$3,0))),BC209*(1+INDEX(Response_Table!$K$4:$K$21,MATCH($F209&amp;"|high",Response_Table!$A$4:$A$21,0))*$R209*INDEX(Parameters!$X$11:$AA$11,1,MATCH($E209,Parameters!$X$3:$AA$3,0))))*(1+Inputs_General!$C$22*Parameters!$F$11)</f>
        <v>1.31931739547343</v>
      </c>
      <c r="BG209" s="45" t="n">
        <f aca="false">IF(BC209=0,0,BD209/BC209-1)</f>
        <v>-0.124786562242283</v>
      </c>
      <c r="BH209" s="46" t="n">
        <f aca="false">Parameters!$E$12*IF($N209="V",Parameters!$I$12,IF($N209="F",Parameters!$J$12,Parameters!$K$12))*(1-Parameters!$L$12*$P209)*IF($D209="V1",Parameters!$M$12,IF($D209="V2",Parameters!$N$12,Parameters!$O$12))</f>
        <v>0.451432446428571</v>
      </c>
      <c r="BI209" s="46" t="n">
        <f aca="false">BH209*(1+INDEX(Response_Table!$L$4:$L$21,MATCH($F209&amp;"|mid",Response_Table!$A$4:$A$21,0))*$R209*INDEX(Parameters!$X$12:$AA$12,1,MATCH($E209,Parameters!$X$3:$AA$3,0)))</f>
        <v>0.406401394056409</v>
      </c>
      <c r="BJ209" s="46" t="n">
        <f aca="false">MAX(0,MIN(BH209*(1+INDEX(Response_Table!$L$4:$L$21,MATCH($F209&amp;"|low",Response_Table!$A$4:$A$21,0))*$R209*INDEX(Parameters!$X$12:$AA$12,1,MATCH($E209,Parameters!$X$3:$AA$3,0))),BH209*(1+INDEX(Response_Table!$L$4:$L$21,MATCH($F209&amp;"|high",Response_Table!$A$4:$A$21,0))*$R209*INDEX(Parameters!$X$12:$AA$12,1,MATCH($E209,Parameters!$X$3:$AA$3,0))))*(1-Inputs_General!$C$22*Parameters!$F$12))</f>
        <v>0.318418318077866</v>
      </c>
      <c r="BK209" s="46" t="n">
        <f aca="false">MAX(BH209*(1+INDEX(Response_Table!$L$4:$L$21,MATCH($F209&amp;"|low",Response_Table!$A$4:$A$21,0))*$R209*INDEX(Parameters!$X$12:$AA$12,1,MATCH($E209,Parameters!$X$3:$AA$3,0))),BH209*(1+INDEX(Response_Table!$L$4:$L$21,MATCH($F209&amp;"|high",Response_Table!$A$4:$A$21,0))*$R209*INDEX(Parameters!$X$12:$AA$12,1,MATCH($E209,Parameters!$X$3:$AA$3,0))))*(1+Inputs_General!$C$22*Parameters!$F$12)</f>
        <v>0.49891718885675</v>
      </c>
      <c r="BL209" s="45" t="n">
        <f aca="false">IF(BH209=0,0,BI209/BH209-1)</f>
        <v>-0.0997514749513863</v>
      </c>
      <c r="BM209" s="46" t="n">
        <f aca="false">Parameters!$E$13*IF($N209="V",Parameters!$I$13,IF($N209="F",Parameters!$J$13,Parameters!$K$13))*(1-Parameters!$L$13*$P209)*IF($D209="V1",Parameters!$M$13,IF($D209="V2",Parameters!$N$13,Parameters!$O$13))</f>
        <v>0.304977482142857</v>
      </c>
      <c r="BN209" s="46" t="n">
        <f aca="false">BM209*(1+INDEX(Response_Table!$M$4:$M$21,MATCH($F209&amp;"|mid",Response_Table!$A$4:$A$21,0))*$R209*INDEX(Parameters!$X$13:$AA$13,1,MATCH($E209,Parameters!$X$3:$AA$3,0)))</f>
        <v>0.308182447902685</v>
      </c>
      <c r="BO209" s="46" t="n">
        <f aca="false">MAX(0,MIN(BM209*(1+INDEX(Response_Table!$M$4:$M$21,MATCH($F209&amp;"|low",Response_Table!$A$4:$A$21,0))*$R209*INDEX(Parameters!$X$13:$AA$13,1,MATCH($E209,Parameters!$X$3:$AA$3,0))),BM209*(1+INDEX(Response_Table!$M$4:$M$21,MATCH($F209&amp;"|high",Response_Table!$A$4:$A$21,0))*$R209*INDEX(Parameters!$X$13:$AA$13,1,MATCH($E209,Parameters!$X$3:$AA$3,0))))*(1-Inputs_General!$C$22*Parameters!$F$13))</f>
        <v>0.24401078758413</v>
      </c>
      <c r="BP209" s="46" t="n">
        <f aca="false">MAX(BM209*(1+INDEX(Response_Table!$M$4:$M$21,MATCH($F209&amp;"|low",Response_Table!$A$4:$A$21,0))*$R209*INDEX(Parameters!$X$13:$AA$13,1,MATCH($E209,Parameters!$X$3:$AA$3,0))),BM209*(1+INDEX(Response_Table!$M$4:$M$21,MATCH($F209&amp;"|high",Response_Table!$A$4:$A$21,0))*$R209*INDEX(Parameters!$X$13:$AA$13,1,MATCH($E209,Parameters!$X$3:$AA$3,0))))*(1+Inputs_General!$C$22*Parameters!$F$13)</f>
        <v>0.372511001333389</v>
      </c>
      <c r="BQ209" s="45" t="n">
        <f aca="false">IF(BM209=0,0,BN209/BM209-1)</f>
        <v>0.0105088603175196</v>
      </c>
      <c r="BR209" s="44" t="n">
        <f aca="false">Parameters!$E$14*IF($N209="V",Parameters!$I$14,IF($N209="F",Parameters!$J$14,Parameters!$K$14))*(1-Parameters!$L$14*$P209)*IF($D209="V1",Parameters!$M$14,IF($D209="V2",Parameters!$N$14,Parameters!$O$14))*INDEX(Context!$AC$4:$AC$51,$K209)</f>
        <v>15</v>
      </c>
      <c r="BS209" s="44" t="n">
        <f aca="false">BR209*(1+INDEX(Response_Table!$N$4:$N$21,MATCH($F209&amp;"|mid",Response_Table!$A$4:$A$21,0))*$R209*INDEX(Parameters!$X$14:$AA$14,1,MATCH($E209,Parameters!$X$3:$AA$3,0)))</f>
        <v>16.6322968628409</v>
      </c>
      <c r="BT209" s="44" t="n">
        <f aca="false">MAX(0,MIN(BR209*(1+INDEX(Response_Table!$N$4:$N$21,MATCH($F209&amp;"|low",Response_Table!$A$4:$A$21,0))*$R209*INDEX(Parameters!$X$14:$AA$14,1,MATCH($E209,Parameters!$X$3:$AA$3,0))),BR209*(1+INDEX(Response_Table!$N$4:$N$21,MATCH($F209&amp;"|high",Response_Table!$A$4:$A$21,0))*$R209*INDEX(Parameters!$X$14:$AA$14,1,MATCH($E209,Parameters!$X$3:$AA$3,0))))*(1-Inputs_General!$C$22*Parameters!$F$14))</f>
        <v>8.23578263008946</v>
      </c>
      <c r="BU209" s="44" t="n">
        <f aca="false">MAX(BR209*(1+INDEX(Response_Table!$N$4:$N$21,MATCH($F209&amp;"|low",Response_Table!$A$4:$A$21,0))*$R209*INDEX(Parameters!$X$14:$AA$14,1,MATCH($E209,Parameters!$X$3:$AA$3,0))),BR209*(1+INDEX(Response_Table!$N$4:$N$21,MATCH($F209&amp;"|high",Response_Table!$A$4:$A$21,0))*$R209*INDEX(Parameters!$X$14:$AA$14,1,MATCH($E209,Parameters!$X$3:$AA$3,0))))*(1+Inputs_General!$C$22*Parameters!$F$14)</f>
        <v>25.3637231037007</v>
      </c>
      <c r="BV209" s="45" t="n">
        <f aca="false">IF(BR209=0,0,BS209/BR209-1)</f>
        <v>0.108819790856058</v>
      </c>
      <c r="BW209" s="43" t="n">
        <f aca="false">Parameters!$E$15*IF($N209="V",Parameters!$I$15,IF($N209="F",Parameters!$J$15,Parameters!$K$15))*(1-Parameters!$L$15*$P209)*IF($D209="V1",Parameters!$M$15,IF($D209="V2",Parameters!$N$15,Parameters!$O$15))</f>
        <v>9.73964285714286</v>
      </c>
      <c r="BX209" s="43" t="n">
        <f aca="false">BW209*(1+INDEX(Response_Table!$O$4:$O$21,MATCH($F209&amp;"|mid",Response_Table!$A$4:$A$21,0))*$R209*INDEX(Parameters!$X$15:$AA$15,1,MATCH($E209,Parameters!$X$3:$AA$3,0)))</f>
        <v>9.47467638246111</v>
      </c>
      <c r="BY209" s="43" t="n">
        <f aca="false">MAX(0,MIN(BW209*(1+INDEX(Response_Table!$O$4:$O$21,MATCH($F209&amp;"|low",Response_Table!$A$4:$A$21,0))*$R209*INDEX(Parameters!$X$15:$AA$15,1,MATCH($E209,Parameters!$X$3:$AA$3,0))),BW209*(1+INDEX(Response_Table!$O$4:$O$21,MATCH($F209&amp;"|high",Response_Table!$A$4:$A$21,0))*$R209*INDEX(Parameters!$X$15:$AA$15,1,MATCH($E209,Parameters!$X$3:$AA$3,0))))*(1-Inputs_General!$C$22*Parameters!$F$15))</f>
        <v>7.55871806661208</v>
      </c>
      <c r="BZ209" s="43" t="n">
        <f aca="false">MAX(BW209*(1+INDEX(Response_Table!$O$4:$O$21,MATCH($F209&amp;"|low",Response_Table!$A$4:$A$21,0))*$R209*INDEX(Parameters!$X$15:$AA$15,1,MATCH($E209,Parameters!$X$3:$AA$3,0))),BW209*(1+INDEX(Response_Table!$O$4:$O$21,MATCH($F209&amp;"|high",Response_Table!$A$4:$A$21,0))*$R209*INDEX(Parameters!$X$15:$AA$15,1,MATCH($E209,Parameters!$X$3:$AA$3,0))))*(1+Inputs_General!$C$22*Parameters!$F$15)</f>
        <v>11.4173055945843</v>
      </c>
      <c r="CA209" s="45" t="n">
        <f aca="false">IF(BW209=0,0,BX209/BW209-1)</f>
        <v>-0.0272049477140145</v>
      </c>
      <c r="CB209" s="46" t="n">
        <f aca="false">BD209+BI209</f>
        <v>1.5039006811512</v>
      </c>
      <c r="CC209" s="43" t="n">
        <f aca="false">BD209/BI209</f>
        <v>2.700530320874</v>
      </c>
      <c r="CD209" s="46" t="n">
        <f aca="false">BN209/CB209</f>
        <v>0.20492207481865</v>
      </c>
      <c r="CE209" s="43" t="n">
        <f aca="false">AE209/AO209</f>
        <v>2.79705445046811</v>
      </c>
      <c r="CF209" s="44" t="n">
        <f aca="false">AE209/AJ209</f>
        <v>49.9781453669483</v>
      </c>
      <c r="CG209" s="44" t="n">
        <f aca="false">INDEX(Context!$V$4:$V$51,$K209)</f>
        <v>28.62</v>
      </c>
      <c r="CH209" s="44" t="n">
        <f aca="false">INDEX(Context!$Y$4:$Y$51,$K209)</f>
        <v>25.3060134606718</v>
      </c>
      <c r="CI209" s="44" t="n">
        <f aca="false">INDEX(Context!$Z$4:$Z$51,$K209)</f>
        <v>32.62</v>
      </c>
      <c r="CJ209" s="43" t="n">
        <f aca="false">INDEX(Context!$AA$4:$AA$51,$K209)</f>
        <v>0.221696428571429</v>
      </c>
      <c r="CK209" s="43" t="n">
        <f aca="false">MAX(0,MIN(1,1-(1-CJ209)*AO209/AN209))</f>
        <v>0.299718146354102</v>
      </c>
      <c r="CL209" s="44" t="n">
        <f aca="false">CH209+CK209*(CI209-CH209)</f>
        <v>27.4981479486981</v>
      </c>
      <c r="CM209" s="44" t="n">
        <f aca="false">CH209+MAX(0,MIN(1,1-(1-CJ209)*AQ209/AN209))*(CI209-CH209)</f>
        <v>25.7457847215939</v>
      </c>
      <c r="CN209" s="44" t="n">
        <f aca="false">CH209+MAX(0,MIN(1,1-(1-CJ209)*AP209/AN209))*(CI209-CH209)</f>
        <v>29.1353377306777</v>
      </c>
      <c r="CO209" s="44" t="n">
        <f aca="false">CL209-CG209</f>
        <v>-1.12185205130192</v>
      </c>
      <c r="CP209" s="44" t="n">
        <f aca="false">CL209-(CH209+CJ209*(CI209-CH209))</f>
        <v>0.570649793637742</v>
      </c>
      <c r="CQ209" s="46" t="n">
        <f aca="false">CL209/CG209</f>
        <v>0.960801815118731</v>
      </c>
      <c r="CR209" s="43" t="n">
        <f aca="false">IF(CL209-CH209&lt;=0,"n/a",(CI209-CL209)/(CL209-CH209))</f>
        <v>2.33646798555383</v>
      </c>
      <c r="CS209" s="43" t="n">
        <f aca="false">IF(CI209-CL209&lt;=0,"n/a",(CL209-CH209)/(CI209-CL209))</f>
        <v>0.427996448563776</v>
      </c>
      <c r="CT209" s="43" t="n">
        <f aca="false">Inputs_General!$C$23+Inputs_General!$C$24*$I209</f>
        <v>0.76</v>
      </c>
      <c r="CU209" s="44" t="n">
        <f aca="false">3.29*CT209</f>
        <v>2.5004</v>
      </c>
    </row>
    <row r="210" customFormat="false" ht="15" hidden="false" customHeight="false" outlineLevel="0" collapsed="false">
      <c r="A210" s="9" t="str">
        <f aca="false">B210&amp;"|"&amp;E210&amp;"|"&amp;F210</f>
        <v>D3V3|03/03/2026|Moderate</v>
      </c>
      <c r="B210" s="7" t="s">
        <v>351</v>
      </c>
      <c r="C210" s="9" t="s">
        <v>131</v>
      </c>
      <c r="D210" s="9" t="s">
        <v>150</v>
      </c>
      <c r="E210" s="9" t="s">
        <v>162</v>
      </c>
      <c r="F210" s="7" t="s">
        <v>281</v>
      </c>
      <c r="G210" s="9" t="s">
        <v>282</v>
      </c>
      <c r="H210" s="41" t="n">
        <f aca="false">INDEX(Severity_Classes!$C$4:$C$9,MATCH(F210,Severity_Classes!$A$4:$A$9,0))</f>
        <v>0.11</v>
      </c>
      <c r="I210" s="41" t="n">
        <f aca="false">INDEX(Severity_Classes!$D$4:$D$9,MATCH(F210,Severity_Classes!$A$4:$A$9,0))</f>
        <v>0.18</v>
      </c>
      <c r="J210" s="41" t="n">
        <f aca="false">INDEX(Severity_Classes!$E$4:$E$9,MATCH(F210,Severity_Classes!$A$4:$A$9,0))</f>
        <v>0.25</v>
      </c>
      <c r="K210" s="42" t="n">
        <f aca="false">MATCH(B210&amp;"|"&amp;E210,Context!$A$4:$A$51,0)</f>
        <v>35</v>
      </c>
      <c r="L210" s="42" t="n">
        <f aca="false">INDEX(Context!$H$4:$H$51,K210)</f>
        <v>66</v>
      </c>
      <c r="M210" s="42" t="n">
        <f aca="false">INDEX(Context!$I$4:$I$51,K210)</f>
        <v>26</v>
      </c>
      <c r="N210" s="9" t="str">
        <f aca="false">INDEX(Context!$L$4:$L$51,K210)</f>
        <v>F</v>
      </c>
      <c r="O210" s="9" t="str">
        <f aca="false">INDEX(Context!$M$4:$M$51,K210)</f>
        <v>5th fully expanded leaf from top</v>
      </c>
      <c r="P210" s="43" t="n">
        <f aca="false">INDEX(Context!$R$4:$R$51,K210)</f>
        <v>0.433928571428571</v>
      </c>
      <c r="Q210" s="43" t="n">
        <f aca="false">INDEX(Context!$U$4:$U$51,K210)</f>
        <v>1.73951545534029</v>
      </c>
      <c r="R210" s="43" t="n">
        <f aca="false">INDEX(Context!$AD$4:$AD$51,K210)</f>
        <v>0.85</v>
      </c>
      <c r="S210" s="9" t="str">
        <f aca="false">INDEX(Context!$AI$4:$AN$51,K210,MATCH(F210,Severity_Classes!$A$4:$A$9,0))</f>
        <v>Likely</v>
      </c>
      <c r="T210" s="44" t="n">
        <f aca="false">Parameters!$E$4*IF($N210="V",Parameters!$I$4,IF($N210="F",Parameters!$J$4,Parameters!$K$4))*(1-Parameters!$L$4*$P210)*IF($D210="V1",Parameters!$M$4,IF($D210="V2",Parameters!$N$4,Parameters!$O$4))</f>
        <v>83.2927660714286</v>
      </c>
      <c r="U210" s="44" t="n">
        <f aca="false">MIN(100,T210*(1+INDEX(Response_Table!$E$4:$E$21,MATCH($F210&amp;"|mid",Response_Table!$A$4:$A$21,0))*$R210*INDEX(Parameters!$X$4:$AA$4,1,MATCH($E210,Parameters!$X$3:$AA$3,0))))</f>
        <v>80.0721315265001</v>
      </c>
      <c r="V210" s="44" t="n">
        <f aca="false">MAX(0,MIN(T210*(1+INDEX(Response_Table!$E$4:$E$21,MATCH($F210&amp;"|low",Response_Table!$A$4:$A$21,0))*$R210*INDEX(Parameters!$X$4:$AA$4,1,MATCH($E210,Parameters!$X$3:$AA$3,0))),T210*(1+INDEX(Response_Table!$E$4:$E$21,MATCH($F210&amp;"|high",Response_Table!$A$4:$A$21,0))*$R210*INDEX(Parameters!$X$4:$AA$4,1,MATCH($E210,Parameters!$X$3:$AA$3,0))))*(1-Inputs_General!$C$22*Parameters!$F$4))</f>
        <v>72.5495797836797</v>
      </c>
      <c r="W210" s="44" t="n">
        <f aca="false">MIN(100,MAX(T210*(1+INDEX(Response_Table!$E$4:$E$21,MATCH($F210&amp;"|low",Response_Table!$A$4:$A$21,0))*$R210*INDEX(Parameters!$X$4:$AA$4,1,MATCH($E210,Parameters!$X$3:$AA$3,0))),T210*(1+INDEX(Response_Table!$E$4:$E$21,MATCH($F210&amp;"|high",Response_Table!$A$4:$A$21,0))*$R210*INDEX(Parameters!$X$4:$AA$4,1,MATCH($E210,Parameters!$X$3:$AA$3,0))))*(1+Inputs_General!$C$22*Parameters!$F$4))</f>
        <v>87.1539703864154</v>
      </c>
      <c r="X210" s="45" t="n">
        <f aca="false">IF(T210=0,0,U210/T210-1)</f>
        <v>-0.0386664376371718</v>
      </c>
      <c r="Y210" s="44" t="n">
        <f aca="false">Parameters!$E$5*IF($N210="V",Parameters!$I$5,IF($N210="F",Parameters!$J$5,Parameters!$K$5))*(1-Parameters!$L$5*$P210)*IF($D210="V1",Parameters!$M$5,IF($D210="V2",Parameters!$N$5,Parameters!$O$5))</f>
        <v>66.88584</v>
      </c>
      <c r="Z210" s="44" t="n">
        <f aca="false">MIN(100,Y210*(1+INDEX(Response_Table!$F$4:$F$21,MATCH($F210&amp;"|mid",Response_Table!$A$4:$A$21,0))*$R210*INDEX(Parameters!$X$5:$AA$5,1,MATCH($E210,Parameters!$X$3:$AA$3,0))))</f>
        <v>57.9519656694317</v>
      </c>
      <c r="AA210" s="44" t="n">
        <f aca="false">MAX(0,MIN(Y210*(1+INDEX(Response_Table!$F$4:$F$21,MATCH($F210&amp;"|low",Response_Table!$A$4:$A$21,0))*$R210*INDEX(Parameters!$X$5:$AA$5,1,MATCH($E210,Parameters!$X$3:$AA$3,0))),Y210*(1+INDEX(Response_Table!$F$4:$F$21,MATCH($F210&amp;"|high",Response_Table!$A$4:$A$21,0))*$R210*INDEX(Parameters!$X$5:$AA$5,1,MATCH($E210,Parameters!$X$3:$AA$3,0))))*(1-Inputs_General!$C$22*Parameters!$F$5))</f>
        <v>45.4282732096215</v>
      </c>
      <c r="AB210" s="44" t="n">
        <f aca="false">MIN(100,MAX(Y210*(1+INDEX(Response_Table!$F$4:$F$21,MATCH($F210&amp;"|low",Response_Table!$A$4:$A$21,0))*$R210*INDEX(Parameters!$X$5:$AA$5,1,MATCH($E210,Parameters!$X$3:$AA$3,0))),Y210*(1+INDEX(Response_Table!$F$4:$F$21,MATCH($F210&amp;"|high",Response_Table!$A$4:$A$21,0))*$R210*INDEX(Parameters!$X$5:$AA$5,1,MATCH($E210,Parameters!$X$3:$AA$3,0))))*(1+Inputs_General!$C$22*Parameters!$F$5))</f>
        <v>70.0144934611505</v>
      </c>
      <c r="AC210" s="45" t="n">
        <f aca="false">IF(Y210=0,0,Z210/Y210-1)</f>
        <v>-0.133568993535377</v>
      </c>
      <c r="AD210" s="44" t="n">
        <f aca="false">Parameters!$E$6*IF($N210="V",Parameters!$I$6,IF($N210="F",Parameters!$J$6,Parameters!$K$6))*(1-Parameters!$L$6*$P210)*IF($D210="V1",Parameters!$M$6,IF($D210="V2",Parameters!$N$6,Parameters!$O$6))</f>
        <v>18.5509621428571</v>
      </c>
      <c r="AE210" s="44" t="n">
        <f aca="false">AD210*(1+INDEX(Response_Table!$G$4:$G$21,MATCH($F210&amp;"|mid",Response_Table!$A$4:$A$21,0))*$R210*INDEX(Parameters!$X$6:$AA$6,1,MATCH($E210,Parameters!$X$3:$AA$3,0)))</f>
        <v>12.081276680936</v>
      </c>
      <c r="AF210" s="44" t="n">
        <f aca="false">MAX(0,MIN(AD210*(1+INDEX(Response_Table!$G$4:$G$21,MATCH($F210&amp;"|low",Response_Table!$A$4:$A$21,0))*$R210*INDEX(Parameters!$X$6:$AA$6,1,MATCH($E210,Parameters!$X$3:$AA$3,0))),AD210*(1+INDEX(Response_Table!$G$4:$G$21,MATCH($F210&amp;"|high",Response_Table!$A$4:$A$21,0))*$R210*INDEX(Parameters!$X$6:$AA$6,1,MATCH($E210,Parameters!$X$3:$AA$3,0))))*(1-Inputs_General!$C$22*Parameters!$F$6))</f>
        <v>8.55678872126758</v>
      </c>
      <c r="AG210" s="44" t="n">
        <f aca="false">MAX(AD210*(1+INDEX(Response_Table!$G$4:$G$21,MATCH($F210&amp;"|low",Response_Table!$A$4:$A$21,0))*$R210*INDEX(Parameters!$X$6:$AA$6,1,MATCH($E210,Parameters!$X$3:$AA$3,0))),AD210*(1+INDEX(Response_Table!$G$4:$G$21,MATCH($F210&amp;"|high",Response_Table!$A$4:$A$21,0))*$R210*INDEX(Parameters!$X$6:$AA$6,1,MATCH($E210,Parameters!$X$3:$AA$3,0))))*(1+Inputs_General!$C$22*Parameters!$F$6)</f>
        <v>16.7796339173206</v>
      </c>
      <c r="AH210" s="45" t="n">
        <f aca="false">IF(AD210=0,0,AE210/AD210-1)</f>
        <v>-0.348752016854945</v>
      </c>
      <c r="AI210" s="46" t="n">
        <f aca="false">Parameters!$E$7*IF($N210="V",Parameters!$I$7,IF($N210="F",Parameters!$J$7,Parameters!$K$7))*(1-Parameters!$L$7*$P210)*IF($D210="V1",Parameters!$M$7,IF($D210="V2",Parameters!$N$7,Parameters!$O$7))*POWER($Q210/Inputs_General!$C$26,-Inputs_General!$C$25)</f>
        <v>0.341191629407368</v>
      </c>
      <c r="AJ210" s="46" t="n">
        <f aca="false">AI210*(1+INDEX(Response_Table!$H$4:$H$21,MATCH($F210&amp;"|mid",Response_Table!$A$4:$A$21,0))*$R210*INDEX(Parameters!$X$7:$AA$7,1,MATCH($E210,Parameters!$X$3:$AA$3,0)))</f>
        <v>0.262536180393179</v>
      </c>
      <c r="AK210" s="46" t="n">
        <f aca="false">MAX(0,MIN(AI210*(1+INDEX(Response_Table!$H$4:$H$21,MATCH($F210&amp;"|low",Response_Table!$A$4:$A$21,0))*$R210*INDEX(Parameters!$X$7:$AA$7,1,MATCH($E210,Parameters!$X$3:$AA$3,0))),AI210*(1+INDEX(Response_Table!$H$4:$H$21,MATCH($F210&amp;"|high",Response_Table!$A$4:$A$21,0))*$R210*INDEX(Parameters!$X$7:$AA$7,1,MATCH($E210,Parameters!$X$3:$AA$3,0))))*(1-Inputs_General!$C$22*Parameters!$F$7))</f>
        <v>0.170152554268411</v>
      </c>
      <c r="AL210" s="46" t="n">
        <f aca="false">MAX(AI210*(1+INDEX(Response_Table!$H$4:$H$21,MATCH($F210&amp;"|low",Response_Table!$A$4:$A$21,0))*$R210*INDEX(Parameters!$X$7:$AA$7,1,MATCH($E210,Parameters!$X$3:$AA$3,0))),AI210*(1+INDEX(Response_Table!$H$4:$H$21,MATCH($F210&amp;"|high",Response_Table!$A$4:$A$21,0))*$R210*INDEX(Parameters!$X$7:$AA$7,1,MATCH($E210,Parameters!$X$3:$AA$3,0))))*(1+Inputs_General!$C$22*Parameters!$F$7)</f>
        <v>0.373544313842361</v>
      </c>
      <c r="AM210" s="45" t="n">
        <f aca="false">IF(AI210=0,0,AJ210/AI210-1)</f>
        <v>-0.230531590563371</v>
      </c>
      <c r="AN210" s="43" t="n">
        <f aca="false">AI210*$Q210/Inputs_General!$C$13*1000</f>
        <v>5.97691956280819</v>
      </c>
      <c r="AO210" s="43" t="n">
        <f aca="false">AJ210*$Q210/Inputs_General!$C$13*1000*(1+Inputs_General!$C$21*$I210)</f>
        <v>4.8060080748443</v>
      </c>
      <c r="AP210" s="43" t="n">
        <f aca="false">AK210*$Q210/Inputs_General!$C$13*1000*(1+Inputs_General!$C$21*$H210)</f>
        <v>3.06266395124073</v>
      </c>
      <c r="AQ210" s="43" t="n">
        <f aca="false">AL210*$Q210/Inputs_General!$C$13*1000*(1+Inputs_General!$C$21*$J210)</f>
        <v>6.95264591019361</v>
      </c>
      <c r="AR210" s="45" t="n">
        <f aca="false">IF(AN210=0,0,AO210/AN210-1)</f>
        <v>-0.195905512138722</v>
      </c>
      <c r="AS210" s="42" t="n">
        <f aca="false">Parameters!$E$9*IF($N210="V",Parameters!$I$9,IF($N210="F",Parameters!$J$9,Parameters!$K$9))*(1-Parameters!$L$9*$P210)*IF($D210="V1",Parameters!$M$9,IF($D210="V2",Parameters!$N$9,Parameters!$O$9))</f>
        <v>285</v>
      </c>
      <c r="AT210" s="42" t="n">
        <f aca="false">AS210*(1+INDEX(Response_Table!$I$4:$I$21,MATCH($F210&amp;"|mid",Response_Table!$A$4:$A$21,0))*$R210*INDEX(Parameters!$X$9:$AA$9,1,MATCH($E210,Parameters!$X$3:$AA$3,0)))</f>
        <v>322.300279798109</v>
      </c>
      <c r="AU210" s="42" t="n">
        <f aca="false">MAX(0,MIN(AS210*(1+INDEX(Response_Table!$I$4:$I$21,MATCH($F210&amp;"|low",Response_Table!$A$4:$A$21,0))*$R210*INDEX(Parameters!$X$9:$AA$9,1,MATCH($E210,Parameters!$X$3:$AA$3,0))),AS210*(1+INDEX(Response_Table!$I$4:$I$21,MATCH($F210&amp;"|high",Response_Table!$A$4:$A$21,0))*$R210*INDEX(Parameters!$X$9:$AA$9,1,MATCH($E210,Parameters!$X$3:$AA$3,0))))*(1-Inputs_General!$C$22*Parameters!$F$9))</f>
        <v>280.186818337032</v>
      </c>
      <c r="AV210" s="42" t="n">
        <f aca="false">MAX(AS210*(1+INDEX(Response_Table!$I$4:$I$21,MATCH($F210&amp;"|low",Response_Table!$A$4:$A$21,0))*$R210*INDEX(Parameters!$X$9:$AA$9,1,MATCH($E210,Parameters!$X$3:$AA$3,0))),AS210*(1+INDEX(Response_Table!$I$4:$I$21,MATCH($F210&amp;"|high",Response_Table!$A$4:$A$21,0))*$R210*INDEX(Parameters!$X$9:$AA$9,1,MATCH($E210,Parameters!$X$3:$AA$3,0))))*(1+Inputs_General!$C$22*Parameters!$F$9)</f>
        <v>363.603076604055</v>
      </c>
      <c r="AW210" s="45" t="n">
        <f aca="false">IF(AS210=0,0,AT210/AS210-1)</f>
        <v>0.130878174730207</v>
      </c>
      <c r="AX210" s="43" t="n">
        <f aca="false">INDEX(Context!$AB$4:$AB$51,$K210)</f>
        <v>2.65490090255297</v>
      </c>
      <c r="AY210" s="43" t="n">
        <f aca="false">AX210*(1+INDEX(Response_Table!$J$4:$J$21,MATCH($F210&amp;"|mid",Response_Table!$A$4:$A$21,0))*$R210*INDEX(Parameters!$X$10:$AA$10,1,MATCH($E210,Parameters!$X$3:$AA$3,0)))</f>
        <v>2.2869124372034</v>
      </c>
      <c r="AZ210" s="43" t="n">
        <f aca="false">MAX(0,MIN(AX210*(1+INDEX(Response_Table!$J$4:$J$21,MATCH($F210&amp;"|low",Response_Table!$A$4:$A$21,0))*$R210*INDEX(Parameters!$X$10:$AA$10,1,MATCH($E210,Parameters!$X$3:$AA$3,0))),AX210*(1+INDEX(Response_Table!$J$4:$J$21,MATCH($F210&amp;"|high",Response_Table!$A$4:$A$21,0))*$R210*INDEX(Parameters!$X$10:$AA$10,1,MATCH($E210,Parameters!$X$3:$AA$3,0))))*(1-Inputs_General!$C$22*Parameters!$F$10))</f>
        <v>1.75204295064774</v>
      </c>
      <c r="BA210" s="43" t="n">
        <f aca="false">MAX(AX210*(1+INDEX(Response_Table!$J$4:$J$21,MATCH($F210&amp;"|low",Response_Table!$A$4:$A$21,0))*$R210*INDEX(Parameters!$X$10:$AA$10,1,MATCH($E210,Parameters!$X$3:$AA$3,0))),AX210*(1+INDEX(Response_Table!$J$4:$J$21,MATCH($F210&amp;"|high",Response_Table!$A$4:$A$21,0))*$R210*INDEX(Parameters!$X$10:$AA$10,1,MATCH($E210,Parameters!$X$3:$AA$3,0))))*(1+Inputs_General!$C$22*Parameters!$F$10)</f>
        <v>2.88662784833149</v>
      </c>
      <c r="BB210" s="45" t="n">
        <f aca="false">IF(AX210=0,0,AY210/AX210-1)</f>
        <v>-0.138607232004672</v>
      </c>
      <c r="BC210" s="46" t="n">
        <f aca="false">Parameters!$E$11*IF($N210="V",Parameters!$I$11,IF($N210="F",Parameters!$J$11,Parameters!$K$11))*(1-Parameters!$L$11*$P210)*IF($D210="V1",Parameters!$M$11,IF($D210="V2",Parameters!$N$11,Parameters!$O$11))</f>
        <v>1.25397901785714</v>
      </c>
      <c r="BD210" s="46" t="n">
        <f aca="false">BC210*(1+INDEX(Response_Table!$K$4:$K$21,MATCH($F210&amp;"|mid",Response_Table!$A$4:$A$21,0))*$R210*INDEX(Parameters!$X$11:$AA$11,1,MATCH($E210,Parameters!$X$3:$AA$3,0)))</f>
        <v>0.950621054797429</v>
      </c>
      <c r="BE210" s="46" t="n">
        <f aca="false">MAX(0,MIN(BC210*(1+INDEX(Response_Table!$K$4:$K$21,MATCH($F210&amp;"|low",Response_Table!$A$4:$A$21,0))*$R210*INDEX(Parameters!$X$11:$AA$11,1,MATCH($E210,Parameters!$X$3:$AA$3,0))),BC210*(1+INDEX(Response_Table!$K$4:$K$21,MATCH($F210&amp;"|high",Response_Table!$A$4:$A$21,0))*$R210*INDEX(Parameters!$X$11:$AA$11,1,MATCH($E210,Parameters!$X$3:$AA$3,0))))*(1-Inputs_General!$C$22*Parameters!$F$11))</f>
        <v>0.728941361373812</v>
      </c>
      <c r="BF210" s="46" t="n">
        <f aca="false">MAX(BC210*(1+INDEX(Response_Table!$K$4:$K$21,MATCH($F210&amp;"|low",Response_Table!$A$4:$A$21,0))*$R210*INDEX(Parameters!$X$11:$AA$11,1,MATCH($E210,Parameters!$X$3:$AA$3,0))),BC210*(1+INDEX(Response_Table!$K$4:$K$21,MATCH($F210&amp;"|high",Response_Table!$A$4:$A$21,0))*$R210*INDEX(Parameters!$X$11:$AA$11,1,MATCH($E210,Parameters!$X$3:$AA$3,0))))*(1+Inputs_General!$C$22*Parameters!$F$11)</f>
        <v>1.22086708791479</v>
      </c>
      <c r="BG210" s="45" t="n">
        <f aca="false">IF(BC210=0,0,BD210/BC210-1)</f>
        <v>-0.241916299028756</v>
      </c>
      <c r="BH210" s="46" t="n">
        <f aca="false">Parameters!$E$12*IF($N210="V",Parameters!$I$12,IF($N210="F",Parameters!$J$12,Parameters!$K$12))*(1-Parameters!$L$12*$P210)*IF($D210="V1",Parameters!$M$12,IF($D210="V2",Parameters!$N$12,Parameters!$O$12))</f>
        <v>0.451432446428571</v>
      </c>
      <c r="BI210" s="46" t="n">
        <f aca="false">BH210*(1+INDEX(Response_Table!$L$4:$L$21,MATCH($F210&amp;"|mid",Response_Table!$A$4:$A$21,0))*$R210*INDEX(Parameters!$X$12:$AA$12,1,MATCH($E210,Parameters!$X$3:$AA$3,0)))</f>
        <v>0.363373689584109</v>
      </c>
      <c r="BJ210" s="46" t="n">
        <f aca="false">MAX(0,MIN(BH210*(1+INDEX(Response_Table!$L$4:$L$21,MATCH($F210&amp;"|low",Response_Table!$A$4:$A$21,0))*$R210*INDEX(Parameters!$X$12:$AA$12,1,MATCH($E210,Parameters!$X$3:$AA$3,0))),BH210*(1+INDEX(Response_Table!$L$4:$L$21,MATCH($F210&amp;"|high",Response_Table!$A$4:$A$21,0))*$R210*INDEX(Parameters!$X$12:$AA$12,1,MATCH($E210,Parameters!$X$3:$AA$3,0))))*(1-Inputs_General!$C$22*Parameters!$F$12))</f>
        <v>0.272946779656067</v>
      </c>
      <c r="BK210" s="46" t="n">
        <f aca="false">MAX(BH210*(1+INDEX(Response_Table!$L$4:$L$21,MATCH($F210&amp;"|low",Response_Table!$A$4:$A$21,0))*$R210*INDEX(Parameters!$X$12:$AA$12,1,MATCH($E210,Parameters!$X$3:$AA$3,0))),BH210*(1+INDEX(Response_Table!$L$4:$L$21,MATCH($F210&amp;"|high",Response_Table!$A$4:$A$21,0))*$R210*INDEX(Parameters!$X$12:$AA$12,1,MATCH($E210,Parameters!$X$3:$AA$3,0))))*(1+Inputs_General!$C$22*Parameters!$F$12)</f>
        <v>0.469515865366667</v>
      </c>
      <c r="BL210" s="45" t="n">
        <f aca="false">IF(BH210=0,0,BI210/BH210-1)</f>
        <v>-0.19506519201516</v>
      </c>
      <c r="BM210" s="46" t="n">
        <f aca="false">Parameters!$E$13*IF($N210="V",Parameters!$I$13,IF($N210="F",Parameters!$J$13,Parameters!$K$13))*(1-Parameters!$L$13*$P210)*IF($D210="V1",Parameters!$M$13,IF($D210="V2",Parameters!$N$13,Parameters!$O$13))</f>
        <v>0.304977482142857</v>
      </c>
      <c r="BN210" s="46" t="n">
        <f aca="false">BM210*(1+INDEX(Response_Table!$M$4:$M$21,MATCH($F210&amp;"|mid",Response_Table!$A$4:$A$21,0))*$R210*INDEX(Parameters!$X$13:$AA$13,1,MATCH($E210,Parameters!$X$3:$AA$3,0)))</f>
        <v>0.282678058491164</v>
      </c>
      <c r="BO210" s="46" t="n">
        <f aca="false">MAX(0,MIN(BM210*(1+INDEX(Response_Table!$M$4:$M$21,MATCH($F210&amp;"|low",Response_Table!$A$4:$A$21,0))*$R210*INDEX(Parameters!$X$13:$AA$13,1,MATCH($E210,Parameters!$X$3:$AA$3,0))),BM210*(1+INDEX(Response_Table!$M$4:$M$21,MATCH($F210&amp;"|high",Response_Table!$A$4:$A$21,0))*$R210*INDEX(Parameters!$X$13:$AA$13,1,MATCH($E210,Parameters!$X$3:$AA$3,0))))*(1-Inputs_General!$C$22*Parameters!$F$13))</f>
        <v>0.212469480134246</v>
      </c>
      <c r="BP210" s="46" t="n">
        <f aca="false">MAX(BM210*(1+INDEX(Response_Table!$M$4:$M$21,MATCH($F210&amp;"|low",Response_Table!$A$4:$A$21,0))*$R210*INDEX(Parameters!$X$13:$AA$13,1,MATCH($E210,Parameters!$X$3:$AA$3,0))),BM210*(1+INDEX(Response_Table!$M$4:$M$21,MATCH($F210&amp;"|high",Response_Table!$A$4:$A$21,0))*$R210*INDEX(Parameters!$X$13:$AA$13,1,MATCH($E210,Parameters!$X$3:$AA$3,0))))*(1+Inputs_General!$C$22*Parameters!$F$13)</f>
        <v>0.361176337560067</v>
      </c>
      <c r="BQ210" s="45" t="n">
        <f aca="false">IF(BM210=0,0,BN210/BM210-1)</f>
        <v>-0.0731182626829087</v>
      </c>
      <c r="BR210" s="44" t="n">
        <f aca="false">Parameters!$E$14*IF($N210="V",Parameters!$I$14,IF($N210="F",Parameters!$J$14,Parameters!$K$14))*(1-Parameters!$L$14*$P210)*IF($D210="V1",Parameters!$M$14,IF($D210="V2",Parameters!$N$14,Parameters!$O$14))*INDEX(Context!$AC$4:$AC$51,$K210)</f>
        <v>15</v>
      </c>
      <c r="BS210" s="44" t="n">
        <f aca="false">BR210*(1+INDEX(Response_Table!$N$4:$N$21,MATCH($F210&amp;"|mid",Response_Table!$A$4:$A$21,0))*$R210*INDEX(Parameters!$X$14:$AA$14,1,MATCH($E210,Parameters!$X$3:$AA$3,0)))</f>
        <v>18.191975869339</v>
      </c>
      <c r="BT210" s="44" t="n">
        <f aca="false">MAX(0,MIN(BR210*(1+INDEX(Response_Table!$N$4:$N$21,MATCH($F210&amp;"|low",Response_Table!$A$4:$A$21,0))*$R210*INDEX(Parameters!$X$14:$AA$14,1,MATCH($E210,Parameters!$X$3:$AA$3,0))),BR210*(1+INDEX(Response_Table!$N$4:$N$21,MATCH($F210&amp;"|high",Response_Table!$A$4:$A$21,0))*$R210*INDEX(Parameters!$X$14:$AA$14,1,MATCH($E210,Parameters!$X$3:$AA$3,0))))*(1-Inputs_General!$C$22*Parameters!$F$14))</f>
        <v>8.68659323697798</v>
      </c>
      <c r="BU210" s="44" t="n">
        <f aca="false">MAX(BR210*(1+INDEX(Response_Table!$N$4:$N$21,MATCH($F210&amp;"|low",Response_Table!$A$4:$A$21,0))*$R210*INDEX(Parameters!$X$14:$AA$14,1,MATCH($E210,Parameters!$X$3:$AA$3,0))),BR210*(1+INDEX(Response_Table!$N$4:$N$21,MATCH($F210&amp;"|high",Response_Table!$A$4:$A$21,0))*$R210*INDEX(Parameters!$X$14:$AA$14,1,MATCH($E210,Parameters!$X$3:$AA$3,0))))*(1+Inputs_General!$C$22*Parameters!$F$14)</f>
        <v>28.4308572341319</v>
      </c>
      <c r="BV210" s="45" t="n">
        <f aca="false">IF(BR210=0,0,BS210/BR210-1)</f>
        <v>0.212798391289265</v>
      </c>
      <c r="BW210" s="43" t="n">
        <f aca="false">Parameters!$E$15*IF($N210="V",Parameters!$I$15,IF($N210="F",Parameters!$J$15,Parameters!$K$15))*(1-Parameters!$L$15*$P210)*IF($D210="V1",Parameters!$M$15,IF($D210="V2",Parameters!$N$15,Parameters!$O$15))</f>
        <v>9.73964285714286</v>
      </c>
      <c r="BX210" s="43" t="n">
        <f aca="false">BW210*(1+INDEX(Response_Table!$O$4:$O$21,MATCH($F210&amp;"|mid",Response_Table!$A$4:$A$21,0))*$R210*INDEX(Parameters!$X$15:$AA$15,1,MATCH($E210,Parameters!$X$3:$AA$3,0)))</f>
        <v>9.22149777420986</v>
      </c>
      <c r="BY210" s="43" t="n">
        <f aca="false">MAX(0,MIN(BW210*(1+INDEX(Response_Table!$O$4:$O$21,MATCH($F210&amp;"|low",Response_Table!$A$4:$A$21,0))*$R210*INDEX(Parameters!$X$15:$AA$15,1,MATCH($E210,Parameters!$X$3:$AA$3,0))),BW210*(1+INDEX(Response_Table!$O$4:$O$21,MATCH($F210&amp;"|high",Response_Table!$A$4:$A$21,0))*$R210*INDEX(Parameters!$X$15:$AA$15,1,MATCH($E210,Parameters!$X$3:$AA$3,0))))*(1-Inputs_General!$C$22*Parameters!$F$15))</f>
        <v>7.29115973520991</v>
      </c>
      <c r="BZ210" s="43" t="n">
        <f aca="false">MAX(BW210*(1+INDEX(Response_Table!$O$4:$O$21,MATCH($F210&amp;"|low",Response_Table!$A$4:$A$21,0))*$R210*INDEX(Parameters!$X$15:$AA$15,1,MATCH($E210,Parameters!$X$3:$AA$3,0))),BW210*(1+INDEX(Response_Table!$O$4:$O$21,MATCH($F210&amp;"|high",Response_Table!$A$4:$A$21,0))*$R210*INDEX(Parameters!$X$15:$AA$15,1,MATCH($E210,Parameters!$X$3:$AA$3,0))))*(1+Inputs_General!$C$22*Parameters!$F$15)</f>
        <v>11.2443057505709</v>
      </c>
      <c r="CA210" s="45" t="n">
        <f aca="false">IF(BW210=0,0,BX210/BW210-1)</f>
        <v>-0.0531995978223163</v>
      </c>
      <c r="CB210" s="46" t="n">
        <f aca="false">BD210+BI210</f>
        <v>1.31399474438154</v>
      </c>
      <c r="CC210" s="43" t="n">
        <f aca="false">BD210/BI210</f>
        <v>2.6160976483615</v>
      </c>
      <c r="CD210" s="46" t="n">
        <f aca="false">BN210/CB210</f>
        <v>0.215128758847672</v>
      </c>
      <c r="CE210" s="43" t="n">
        <f aca="false">AE210/AO210</f>
        <v>2.51378618029629</v>
      </c>
      <c r="CF210" s="44" t="n">
        <f aca="false">AE210/AJ210</f>
        <v>46.0175685608088</v>
      </c>
      <c r="CG210" s="44" t="n">
        <f aca="false">INDEX(Context!$V$4:$V$51,$K210)</f>
        <v>28.62</v>
      </c>
      <c r="CH210" s="44" t="n">
        <f aca="false">INDEX(Context!$Y$4:$Y$51,$K210)</f>
        <v>25.3060134606718</v>
      </c>
      <c r="CI210" s="44" t="n">
        <f aca="false">INDEX(Context!$Z$4:$Z$51,$K210)</f>
        <v>32.62</v>
      </c>
      <c r="CJ210" s="43" t="n">
        <f aca="false">INDEX(Context!$AA$4:$AA$51,$K210)</f>
        <v>0.221696428571429</v>
      </c>
      <c r="CK210" s="43" t="n">
        <f aca="false">MAX(0,MIN(1,1-(1-CJ210)*AO210/AN210))</f>
        <v>0.37417038833154</v>
      </c>
      <c r="CL210" s="44" t="n">
        <f aca="false">CH210+CK210*(CI210-CH210)</f>
        <v>28.0426906443439</v>
      </c>
      <c r="CM210" s="44" t="n">
        <f aca="false">CH210+MAX(0,MIN(1,1-(1-CJ210)*AQ210/AN210))*(CI210-CH210)</f>
        <v>25.9982027254866</v>
      </c>
      <c r="CN210" s="44" t="n">
        <f aca="false">CH210+MAX(0,MIN(1,1-(1-CJ210)*AP210/AN210))*(CI210-CH210)</f>
        <v>29.7030759876118</v>
      </c>
      <c r="CO210" s="44" t="n">
        <f aca="false">CL210-CG210</f>
        <v>-0.577309355656134</v>
      </c>
      <c r="CP210" s="44" t="n">
        <f aca="false">CL210-(CH210+CJ210*(CI210-CH210))</f>
        <v>1.11519248928353</v>
      </c>
      <c r="CQ210" s="46" t="n">
        <f aca="false">CL210/CG210</f>
        <v>0.979828464162958</v>
      </c>
      <c r="CR210" s="43" t="n">
        <f aca="false">IF(CL210-CH210&lt;=0,"n/a",(CI210-CL210)/(CL210-CH210))</f>
        <v>1.67257920772163</v>
      </c>
      <c r="CS210" s="43" t="n">
        <f aca="false">IF(CI210-CL210&lt;=0,"n/a",(CL210-CH210)/(CI210-CL210))</f>
        <v>0.597879009486308</v>
      </c>
      <c r="CT210" s="43" t="n">
        <f aca="false">Inputs_General!$C$23+Inputs_General!$C$24*$I210</f>
        <v>0.96</v>
      </c>
      <c r="CU210" s="44" t="n">
        <f aca="false">3.29*CT210</f>
        <v>3.1584</v>
      </c>
    </row>
    <row r="211" customFormat="false" ht="15" hidden="false" customHeight="false" outlineLevel="0" collapsed="false">
      <c r="A211" s="9" t="str">
        <f aca="false">B211&amp;"|"&amp;E211&amp;"|"&amp;F211</f>
        <v>D3V3|03/03/2026|High</v>
      </c>
      <c r="B211" s="7" t="s">
        <v>351</v>
      </c>
      <c r="C211" s="9" t="s">
        <v>131</v>
      </c>
      <c r="D211" s="9" t="s">
        <v>150</v>
      </c>
      <c r="E211" s="9" t="s">
        <v>162</v>
      </c>
      <c r="F211" s="7" t="s">
        <v>283</v>
      </c>
      <c r="G211" s="9" t="s">
        <v>284</v>
      </c>
      <c r="H211" s="41" t="n">
        <f aca="false">INDEX(Severity_Classes!$C$4:$C$9,MATCH(F211,Severity_Classes!$A$4:$A$9,0))</f>
        <v>0.26</v>
      </c>
      <c r="I211" s="41" t="n">
        <f aca="false">INDEX(Severity_Classes!$D$4:$D$9,MATCH(F211,Severity_Classes!$A$4:$A$9,0))</f>
        <v>0.38</v>
      </c>
      <c r="J211" s="41" t="n">
        <f aca="false">INDEX(Severity_Classes!$E$4:$E$9,MATCH(F211,Severity_Classes!$A$4:$A$9,0))</f>
        <v>0.5</v>
      </c>
      <c r="K211" s="42" t="n">
        <f aca="false">MATCH(B211&amp;"|"&amp;E211,Context!$A$4:$A$51,0)</f>
        <v>35</v>
      </c>
      <c r="L211" s="42" t="n">
        <f aca="false">INDEX(Context!$H$4:$H$51,K211)</f>
        <v>66</v>
      </c>
      <c r="M211" s="42" t="n">
        <f aca="false">INDEX(Context!$I$4:$I$51,K211)</f>
        <v>26</v>
      </c>
      <c r="N211" s="9" t="str">
        <f aca="false">INDEX(Context!$L$4:$L$51,K211)</f>
        <v>F</v>
      </c>
      <c r="O211" s="9" t="str">
        <f aca="false">INDEX(Context!$M$4:$M$51,K211)</f>
        <v>5th fully expanded leaf from top</v>
      </c>
      <c r="P211" s="43" t="n">
        <f aca="false">INDEX(Context!$R$4:$R$51,K211)</f>
        <v>0.433928571428571</v>
      </c>
      <c r="Q211" s="43" t="n">
        <f aca="false">INDEX(Context!$U$4:$U$51,K211)</f>
        <v>1.73951545534029</v>
      </c>
      <c r="R211" s="43" t="n">
        <f aca="false">INDEX(Context!$AD$4:$AD$51,K211)</f>
        <v>0.85</v>
      </c>
      <c r="S211" s="9" t="str">
        <f aca="false">INDEX(Context!$AI$4:$AN$51,K211,MATCH(F211,Severity_Classes!$A$4:$A$9,0))</f>
        <v>Likely</v>
      </c>
      <c r="T211" s="44" t="n">
        <f aca="false">Parameters!$E$4*IF($N211="V",Parameters!$I$4,IF($N211="F",Parameters!$J$4,Parameters!$K$4))*(1-Parameters!$L$4*$P211)*IF($D211="V1",Parameters!$M$4,IF($D211="V2",Parameters!$N$4,Parameters!$O$4))</f>
        <v>83.2927660714286</v>
      </c>
      <c r="U211" s="44" t="n">
        <f aca="false">MIN(100,T211*(1+INDEX(Response_Table!$E$4:$E$21,MATCH($F211&amp;"|mid",Response_Table!$A$4:$A$21,0))*$R211*INDEX(Parameters!$X$4:$AA$4,1,MATCH($E211,Parameters!$X$3:$AA$3,0))))</f>
        <v>71.8555467770342</v>
      </c>
      <c r="V211" s="44" t="n">
        <f aca="false">MAX(0,MIN(T211*(1+INDEX(Response_Table!$E$4:$E$21,MATCH($F211&amp;"|low",Response_Table!$A$4:$A$21,0))*$R211*INDEX(Parameters!$X$4:$AA$4,1,MATCH($E211,Parameters!$X$3:$AA$3,0))),T211*(1+INDEX(Response_Table!$E$4:$E$21,MATCH($F211&amp;"|high",Response_Table!$A$4:$A$21,0))*$R211*INDEX(Parameters!$X$4:$AA$4,1,MATCH($E211,Parameters!$X$3:$AA$3,0))))*(1-Inputs_General!$C$22*Parameters!$F$4))</f>
        <v>62.6279711713533</v>
      </c>
      <c r="W211" s="44" t="n">
        <f aca="false">MIN(100,MAX(T211*(1+INDEX(Response_Table!$E$4:$E$21,MATCH($F211&amp;"|low",Response_Table!$A$4:$A$21,0))*$R211*INDEX(Parameters!$X$4:$AA$4,1,MATCH($E211,Parameters!$X$3:$AA$3,0))),T211*(1+INDEX(Response_Table!$E$4:$E$21,MATCH($F211&amp;"|high",Response_Table!$A$4:$A$21,0))*$R211*INDEX(Parameters!$X$4:$AA$4,1,MATCH($E211,Parameters!$X$3:$AA$3,0))))*(1+Inputs_General!$C$22*Parameters!$F$4))</f>
        <v>82.34291026055</v>
      </c>
      <c r="X211" s="45" t="n">
        <f aca="false">IF(T211=0,0,U211/T211-1)</f>
        <v>-0.137313476714008</v>
      </c>
      <c r="Y211" s="44" t="n">
        <f aca="false">Parameters!$E$5*IF($N211="V",Parameters!$I$5,IF($N211="F",Parameters!$J$5,Parameters!$K$5))*(1-Parameters!$L$5*$P211)*IF($D211="V1",Parameters!$M$5,IF($D211="V2",Parameters!$N$5,Parameters!$O$5))</f>
        <v>66.88584</v>
      </c>
      <c r="Z211" s="44" t="n">
        <f aca="false">MIN(100,Y211*(1+INDEX(Response_Table!$F$4:$F$21,MATCH($F211&amp;"|mid",Response_Table!$A$4:$A$21,0))*$R211*INDEX(Parameters!$X$5:$AA$5,1,MATCH($E211,Parameters!$X$3:$AA$3,0))))</f>
        <v>38.4427021414568</v>
      </c>
      <c r="AA211" s="44" t="n">
        <f aca="false">MAX(0,MIN(Y211*(1+INDEX(Response_Table!$F$4:$F$21,MATCH($F211&amp;"|low",Response_Table!$A$4:$A$21,0))*$R211*INDEX(Parameters!$X$5:$AA$5,1,MATCH($E211,Parameters!$X$3:$AA$3,0))),Y211*(1+INDEX(Response_Table!$F$4:$F$21,MATCH($F211&amp;"|high",Response_Table!$A$4:$A$21,0))*$R211*INDEX(Parameters!$X$5:$AA$5,1,MATCH($E211,Parameters!$X$3:$AA$3,0))))*(1-Inputs_General!$C$22*Parameters!$F$5))</f>
        <v>27.6957566039868</v>
      </c>
      <c r="AB211" s="44" t="n">
        <f aca="false">MIN(100,MAX(Y211*(1+INDEX(Response_Table!$F$4:$F$21,MATCH($F211&amp;"|low",Response_Table!$A$4:$A$21,0))*$R211*INDEX(Parameters!$X$5:$AA$5,1,MATCH($E211,Parameters!$X$3:$AA$3,0))),Y211*(1+INDEX(Response_Table!$F$4:$F$21,MATCH($F211&amp;"|high",Response_Table!$A$4:$A$21,0))*$R211*INDEX(Parameters!$X$5:$AA$5,1,MATCH($E211,Parameters!$X$3:$AA$3,0))))*(1+Inputs_General!$C$22*Parameters!$F$5))</f>
        <v>56.0933637961493</v>
      </c>
      <c r="AC211" s="45" t="n">
        <f aca="false">IF(Y211=0,0,Z211/Y211-1)</f>
        <v>-0.425249019202618</v>
      </c>
      <c r="AD211" s="44" t="n">
        <f aca="false">Parameters!$E$6*IF($N211="V",Parameters!$I$6,IF($N211="F",Parameters!$J$6,Parameters!$K$6))*(1-Parameters!$L$6*$P211)*IF($D211="V1",Parameters!$M$6,IF($D211="V2",Parameters!$N$6,Parameters!$O$6))</f>
        <v>18.5509621428571</v>
      </c>
      <c r="AE211" s="44" t="n">
        <f aca="false">AD211*(1+INDEX(Response_Table!$G$4:$G$21,MATCH($F211&amp;"|mid",Response_Table!$A$4:$A$21,0))*$R211*INDEX(Parameters!$X$6:$AA$6,1,MATCH($E211,Parameters!$X$3:$AA$3,0)))</f>
        <v>8.9465303869456</v>
      </c>
      <c r="AF211" s="44" t="n">
        <f aca="false">MAX(0,MIN(AD211*(1+INDEX(Response_Table!$G$4:$G$21,MATCH($F211&amp;"|low",Response_Table!$A$4:$A$21,0))*$R211*INDEX(Parameters!$X$6:$AA$6,1,MATCH($E211,Parameters!$X$3:$AA$3,0))),AD211*(1+INDEX(Response_Table!$G$4:$G$21,MATCH($F211&amp;"|high",Response_Table!$A$4:$A$21,0))*$R211*INDEX(Parameters!$X$6:$AA$6,1,MATCH($E211,Parameters!$X$3:$AA$3,0))))*(1-Inputs_General!$C$22*Parameters!$F$6))</f>
        <v>6.44897795311595</v>
      </c>
      <c r="AG211" s="44" t="n">
        <f aca="false">MAX(AD211*(1+INDEX(Response_Table!$G$4:$G$21,MATCH($F211&amp;"|low",Response_Table!$A$4:$A$21,0))*$R211*INDEX(Parameters!$X$6:$AA$6,1,MATCH($E211,Parameters!$X$3:$AA$3,0))),AD211*(1+INDEX(Response_Table!$G$4:$G$21,MATCH($F211&amp;"|high",Response_Table!$A$4:$A$21,0))*$R211*INDEX(Parameters!$X$6:$AA$6,1,MATCH($E211,Parameters!$X$3:$AA$3,0))))*(1+Inputs_General!$C$22*Parameters!$F$6)</f>
        <v>12.56297825742</v>
      </c>
      <c r="AH211" s="45" t="n">
        <f aca="false">IF(AD211=0,0,AE211/AD211-1)</f>
        <v>-0.51773227080891</v>
      </c>
      <c r="AI211" s="46" t="n">
        <f aca="false">Parameters!$E$7*IF($N211="V",Parameters!$I$7,IF($N211="F",Parameters!$J$7,Parameters!$K$7))*(1-Parameters!$L$7*$P211)*IF($D211="V1",Parameters!$M$7,IF($D211="V2",Parameters!$N$7,Parameters!$O$7))*POWER($Q211/Inputs_General!$C$26,-Inputs_General!$C$25)</f>
        <v>0.341191629407368</v>
      </c>
      <c r="AJ211" s="46" t="n">
        <f aca="false">AI211*(1+INDEX(Response_Table!$H$4:$H$21,MATCH($F211&amp;"|mid",Response_Table!$A$4:$A$21,0))*$R211*INDEX(Parameters!$X$7:$AA$7,1,MATCH($E211,Parameters!$X$3:$AA$3,0)))</f>
        <v>0.212971818335656</v>
      </c>
      <c r="AK211" s="46" t="n">
        <f aca="false">MAX(0,MIN(AI211*(1+INDEX(Response_Table!$H$4:$H$21,MATCH($F211&amp;"|low",Response_Table!$A$4:$A$21,0))*$R211*INDEX(Parameters!$X$7:$AA$7,1,MATCH($E211,Parameters!$X$3:$AA$3,0))),AI211*(1+INDEX(Response_Table!$H$4:$H$21,MATCH($F211&amp;"|high",Response_Table!$A$4:$A$21,0))*$R211*INDEX(Parameters!$X$7:$AA$7,1,MATCH($E211,Parameters!$X$3:$AA$3,0))))*(1-Inputs_General!$C$22*Parameters!$F$7))</f>
        <v>0.137081116799336</v>
      </c>
      <c r="AL211" s="46" t="n">
        <f aca="false">MAX(AI211*(1+INDEX(Response_Table!$H$4:$H$21,MATCH($F211&amp;"|low",Response_Table!$A$4:$A$21,0))*$R211*INDEX(Parameters!$X$7:$AA$7,1,MATCH($E211,Parameters!$X$3:$AA$3,0))),AI211*(1+INDEX(Response_Table!$H$4:$H$21,MATCH($F211&amp;"|high",Response_Table!$A$4:$A$21,0))*$R211*INDEX(Parameters!$X$7:$AA$7,1,MATCH($E211,Parameters!$X$3:$AA$3,0))))*(1+Inputs_General!$C$22*Parameters!$F$7)</f>
        <v>0.309893137677501</v>
      </c>
      <c r="AM211" s="45" t="n">
        <f aca="false">IF(AI211=0,0,AJ211/AI211-1)</f>
        <v>-0.375799990446492</v>
      </c>
      <c r="AN211" s="43" t="n">
        <f aca="false">AI211*$Q211/Inputs_General!$C$13*1000</f>
        <v>5.97691956280819</v>
      </c>
      <c r="AO211" s="43" t="n">
        <f aca="false">AJ211*$Q211/Inputs_General!$C$13*1000*(1+Inputs_General!$C$21*$I211)</f>
        <v>4.08521860678493</v>
      </c>
      <c r="AP211" s="43" t="n">
        <f aca="false">AK211*$Q211/Inputs_General!$C$13*1000*(1+Inputs_General!$C$21*$H211)</f>
        <v>2.55744489620097</v>
      </c>
      <c r="AQ211" s="43" t="n">
        <f aca="false">AL211*$Q211/Inputs_General!$C$13*1000*(1+Inputs_General!$C$21*$J211)</f>
        <v>6.10721943913038</v>
      </c>
      <c r="AR211" s="45" t="n">
        <f aca="false">IF(AN211=0,0,AO211/AN211-1)</f>
        <v>-0.316500989538909</v>
      </c>
      <c r="AS211" s="42" t="n">
        <f aca="false">Parameters!$E$9*IF($N211="V",Parameters!$I$9,IF($N211="F",Parameters!$J$9,Parameters!$K$9))*(1-Parameters!$L$9*$P211)*IF($D211="V1",Parameters!$M$9,IF($D211="V2",Parameters!$N$9,Parameters!$O$9))</f>
        <v>285</v>
      </c>
      <c r="AT211" s="42" t="n">
        <f aca="false">AS211*(1+INDEX(Response_Table!$I$4:$I$21,MATCH($F211&amp;"|mid",Response_Table!$A$4:$A$21,0))*$R211*INDEX(Parameters!$X$9:$AA$9,1,MATCH($E211,Parameters!$X$3:$AA$3,0)))</f>
        <v>341.780113615748</v>
      </c>
      <c r="AU211" s="42" t="n">
        <f aca="false">MAX(0,MIN(AS211*(1+INDEX(Response_Table!$I$4:$I$21,MATCH($F211&amp;"|low",Response_Table!$A$4:$A$21,0))*$R211*INDEX(Parameters!$X$9:$AA$9,1,MATCH($E211,Parameters!$X$3:$AA$3,0))),AS211*(1+INDEX(Response_Table!$I$4:$I$21,MATCH($F211&amp;"|high",Response_Table!$A$4:$A$21,0))*$R211*INDEX(Parameters!$X$9:$AA$9,1,MATCH($E211,Parameters!$X$3:$AA$3,0))))*(1-Inputs_General!$C$22*Parameters!$F$9))</f>
        <v>299.220496875066</v>
      </c>
      <c r="AV211" s="42" t="n">
        <f aca="false">MAX(AS211*(1+INDEX(Response_Table!$I$4:$I$21,MATCH($F211&amp;"|low",Response_Table!$A$4:$A$21,0))*$R211*INDEX(Parameters!$X$9:$AA$9,1,MATCH($E211,Parameters!$X$3:$AA$3,0))),AS211*(1+INDEX(Response_Table!$I$4:$I$21,MATCH($F211&amp;"|high",Response_Table!$A$4:$A$21,0))*$R211*INDEX(Parameters!$X$9:$AA$9,1,MATCH($E211,Parameters!$X$3:$AA$3,0))))*(1+Inputs_General!$C$22*Parameters!$F$9)</f>
        <v>382.171267759079</v>
      </c>
      <c r="AW211" s="45" t="n">
        <f aca="false">IF(AS211=0,0,AT211/AS211-1)</f>
        <v>0.199228468827185</v>
      </c>
      <c r="AX211" s="43" t="n">
        <f aca="false">INDEX(Context!$AB$4:$AB$51,$K211)</f>
        <v>2.65490090255297</v>
      </c>
      <c r="AY211" s="43" t="n">
        <f aca="false">AX211*(1+INDEX(Response_Table!$J$4:$J$21,MATCH($F211&amp;"|mid",Response_Table!$A$4:$A$21,0))*$R211*INDEX(Parameters!$X$10:$AA$10,1,MATCH($E211,Parameters!$X$3:$AA$3,0)))</f>
        <v>2.03213666010199</v>
      </c>
      <c r="AZ211" s="43" t="n">
        <f aca="false">MAX(0,MIN(AX211*(1+INDEX(Response_Table!$J$4:$J$21,MATCH($F211&amp;"|low",Response_Table!$A$4:$A$21,0))*$R211*INDEX(Parameters!$X$10:$AA$10,1,MATCH($E211,Parameters!$X$3:$AA$3,0))),AX211*(1+INDEX(Response_Table!$J$4:$J$21,MATCH($F211&amp;"|high",Response_Table!$A$4:$A$21,0))*$R211*INDEX(Parameters!$X$10:$AA$10,1,MATCH($E211,Parameters!$X$3:$AA$3,0))))*(1-Inputs_General!$C$22*Parameters!$F$10))</f>
        <v>1.54929635176742</v>
      </c>
      <c r="BA211" s="43" t="n">
        <f aca="false">MAX(AX211*(1+INDEX(Response_Table!$J$4:$J$21,MATCH($F211&amp;"|low",Response_Table!$A$4:$A$21,0))*$R211*INDEX(Parameters!$X$10:$AA$10,1,MATCH($E211,Parameters!$X$3:$AA$3,0))),AX211*(1+INDEX(Response_Table!$J$4:$J$21,MATCH($F211&amp;"|high",Response_Table!$A$4:$A$21,0))*$R211*INDEX(Parameters!$X$10:$AA$10,1,MATCH($E211,Parameters!$X$3:$AA$3,0))))*(1+Inputs_General!$C$22*Parameters!$F$10)</f>
        <v>2.59780549846635</v>
      </c>
      <c r="BB211" s="45" t="n">
        <f aca="false">IF(AX211=0,0,AY211/AX211-1)</f>
        <v>-0.234571558528653</v>
      </c>
      <c r="BC211" s="46" t="n">
        <f aca="false">Parameters!$E$11*IF($N211="V",Parameters!$I$11,IF($N211="F",Parameters!$J$11,Parameters!$K$11))*(1-Parameters!$L$11*$P211)*IF($D211="V1",Parameters!$M$11,IF($D211="V2",Parameters!$N$11,Parameters!$O$11))</f>
        <v>1.25397901785714</v>
      </c>
      <c r="BD211" s="46" t="n">
        <f aca="false">BC211*(1+INDEX(Response_Table!$K$4:$K$21,MATCH($F211&amp;"|mid",Response_Table!$A$4:$A$21,0))*$R211*INDEX(Parameters!$X$11:$AA$11,1,MATCH($E211,Parameters!$X$3:$AA$3,0)))</f>
        <v>0.766517788700374</v>
      </c>
      <c r="BE211" s="46" t="n">
        <f aca="false">MAX(0,MIN(BC211*(1+INDEX(Response_Table!$K$4:$K$21,MATCH($F211&amp;"|low",Response_Table!$A$4:$A$21,0))*$R211*INDEX(Parameters!$X$11:$AA$11,1,MATCH($E211,Parameters!$X$3:$AA$3,0))),BC211*(1+INDEX(Response_Table!$K$4:$K$21,MATCH($F211&amp;"|high",Response_Table!$A$4:$A$21,0))*$R211*INDEX(Parameters!$X$11:$AA$11,1,MATCH($E211,Parameters!$X$3:$AA$3,0))))*(1-Inputs_General!$C$22*Parameters!$F$11))</f>
        <v>0.585714110881613</v>
      </c>
      <c r="BF211" s="46" t="n">
        <f aca="false">MAX(BC211*(1+INDEX(Response_Table!$K$4:$K$21,MATCH($F211&amp;"|low",Response_Table!$A$4:$A$21,0))*$R211*INDEX(Parameters!$X$11:$AA$11,1,MATCH($E211,Parameters!$X$3:$AA$3,0))),BC211*(1+INDEX(Response_Table!$K$4:$K$21,MATCH($F211&amp;"|high",Response_Table!$A$4:$A$21,0))*$R211*INDEX(Parameters!$X$11:$AA$11,1,MATCH($E211,Parameters!$X$3:$AA$3,0))))*(1+Inputs_General!$C$22*Parameters!$F$11)</f>
        <v>1.00456425853807</v>
      </c>
      <c r="BG211" s="45" t="n">
        <f aca="false">IF(BC211=0,0,BD211/BC211-1)</f>
        <v>-0.388731567446611</v>
      </c>
      <c r="BH211" s="46" t="n">
        <f aca="false">Parameters!$E$12*IF($N211="V",Parameters!$I$12,IF($N211="F",Parameters!$J$12,Parameters!$K$12))*(1-Parameters!$L$12*$P211)*IF($D211="V1",Parameters!$M$12,IF($D211="V2",Parameters!$N$12,Parameters!$O$12))</f>
        <v>0.451432446428571</v>
      </c>
      <c r="BI211" s="46" t="n">
        <f aca="false">BH211*(1+INDEX(Response_Table!$L$4:$L$21,MATCH($F211&amp;"|mid",Response_Table!$A$4:$A$21,0))*$R211*INDEX(Parameters!$X$12:$AA$12,1,MATCH($E211,Parameters!$X$3:$AA$3,0)))</f>
        <v>0.307883877228108</v>
      </c>
      <c r="BJ211" s="46" t="n">
        <f aca="false">MAX(0,MIN(BH211*(1+INDEX(Response_Table!$L$4:$L$21,MATCH($F211&amp;"|low",Response_Table!$A$4:$A$21,0))*$R211*INDEX(Parameters!$X$12:$AA$12,1,MATCH($E211,Parameters!$X$3:$AA$3,0))),BH211*(1+INDEX(Response_Table!$L$4:$L$21,MATCH($F211&amp;"|high",Response_Table!$A$4:$A$21,0))*$R211*INDEX(Parameters!$X$12:$AA$12,1,MATCH($E211,Parameters!$X$3:$AA$3,0))))*(1-Inputs_General!$C$22*Parameters!$F$12))</f>
        <v>0.2307300101019</v>
      </c>
      <c r="BK211" s="46" t="n">
        <f aca="false">MAX(BH211*(1+INDEX(Response_Table!$L$4:$L$21,MATCH($F211&amp;"|low",Response_Table!$A$4:$A$21,0))*$R211*INDEX(Parameters!$X$12:$AA$12,1,MATCH($E211,Parameters!$X$3:$AA$3,0))),BH211*(1+INDEX(Response_Table!$L$4:$L$21,MATCH($F211&amp;"|high",Response_Table!$A$4:$A$21,0))*$R211*INDEX(Parameters!$X$12:$AA$12,1,MATCH($E211,Parameters!$X$3:$AA$3,0))))*(1+Inputs_General!$C$22*Parameters!$F$12)</f>
        <v>0.403681764015473</v>
      </c>
      <c r="BL211" s="45" t="n">
        <f aca="false">IF(BH211=0,0,BI211/BH211-1)</f>
        <v>-0.317984607300878</v>
      </c>
      <c r="BM211" s="46" t="n">
        <f aca="false">Parameters!$E$13*IF($N211="V",Parameters!$I$13,IF($N211="F",Parameters!$J$13,Parameters!$K$13))*(1-Parameters!$L$13*$P211)*IF($D211="V1",Parameters!$M$13,IF($D211="V2",Parameters!$N$13,Parameters!$O$13))</f>
        <v>0.304977482142857</v>
      </c>
      <c r="BN211" s="46" t="n">
        <f aca="false">BM211*(1+INDEX(Response_Table!$M$4:$M$21,MATCH($F211&amp;"|mid",Response_Table!$A$4:$A$21,0))*$R211*INDEX(Parameters!$X$13:$AA$13,1,MATCH($E211,Parameters!$X$3:$AA$3,0)))</f>
        <v>0.240438183251011</v>
      </c>
      <c r="BO211" s="46" t="n">
        <f aca="false">MAX(0,MIN(BM211*(1+INDEX(Response_Table!$M$4:$M$21,MATCH($F211&amp;"|low",Response_Table!$A$4:$A$21,0))*$R211*INDEX(Parameters!$X$13:$AA$13,1,MATCH($E211,Parameters!$X$3:$AA$3,0))),BM211*(1+INDEX(Response_Table!$M$4:$M$21,MATCH($F211&amp;"|high",Response_Table!$A$4:$A$21,0))*$R211*INDEX(Parameters!$X$13:$AA$13,1,MATCH($E211,Parameters!$X$3:$AA$3,0))))*(1-Inputs_General!$C$22*Parameters!$F$13))</f>
        <v>0.182026483187927</v>
      </c>
      <c r="BP211" s="46" t="n">
        <f aca="false">MAX(BM211*(1+INDEX(Response_Table!$M$4:$M$21,MATCH($F211&amp;"|low",Response_Table!$A$4:$A$21,0))*$R211*INDEX(Parameters!$X$13:$AA$13,1,MATCH($E211,Parameters!$X$3:$AA$3,0))),BM211*(1+INDEX(Response_Table!$M$4:$M$21,MATCH($F211&amp;"|high",Response_Table!$A$4:$A$21,0))*$R211*INDEX(Parameters!$X$13:$AA$13,1,MATCH($E211,Parameters!$X$3:$AA$3,0))))*(1+Inputs_General!$C$22*Parameters!$F$13)</f>
        <v>0.314229086457464</v>
      </c>
      <c r="BQ211" s="45" t="n">
        <f aca="false">IF(BM211=0,0,BN211/BM211-1)</f>
        <v>-0.211619882354511</v>
      </c>
      <c r="BR211" s="44" t="n">
        <f aca="false">Parameters!$E$14*IF($N211="V",Parameters!$I$14,IF($N211="F",Parameters!$J$14,Parameters!$K$14))*(1-Parameters!$L$14*$P211)*IF($D211="V1",Parameters!$M$14,IF($D211="V2",Parameters!$N$14,Parameters!$O$14))*INDEX(Context!$AC$4:$AC$51,$K211)</f>
        <v>15</v>
      </c>
      <c r="BS211" s="44" t="n">
        <f aca="false">BR211*(1+INDEX(Response_Table!$N$4:$N$21,MATCH($F211&amp;"|mid",Response_Table!$A$4:$A$21,0))*$R211*INDEX(Parameters!$X$14:$AA$14,1,MATCH($E211,Parameters!$X$3:$AA$3,0)))</f>
        <v>20.2033844831053</v>
      </c>
      <c r="BT211" s="44" t="n">
        <f aca="false">MAX(0,MIN(BR211*(1+INDEX(Response_Table!$N$4:$N$21,MATCH($F211&amp;"|low",Response_Table!$A$4:$A$21,0))*$R211*INDEX(Parameters!$X$14:$AA$14,1,MATCH($E211,Parameters!$X$3:$AA$3,0))),BR211*(1+INDEX(Response_Table!$N$4:$N$21,MATCH($F211&amp;"|high",Response_Table!$A$4:$A$21,0))*$R211*INDEX(Parameters!$X$14:$AA$14,1,MATCH($E211,Parameters!$X$3:$AA$3,0))))*(1-Inputs_General!$C$22*Parameters!$F$14))</f>
        <v>9.69602776784537</v>
      </c>
      <c r="BU211" s="44" t="n">
        <f aca="false">MAX(BR211*(1+INDEX(Response_Table!$N$4:$N$21,MATCH($F211&amp;"|low",Response_Table!$A$4:$A$21,0))*$R211*INDEX(Parameters!$X$14:$AA$14,1,MATCH($E211,Parameters!$X$3:$AA$3,0))),BR211*(1+INDEX(Response_Table!$N$4:$N$21,MATCH($F211&amp;"|high",Response_Table!$A$4:$A$21,0))*$R211*INDEX(Parameters!$X$14:$AA$14,1,MATCH($E211,Parameters!$X$3:$AA$3,0))))*(1+Inputs_General!$C$22*Parameters!$F$14)</f>
        <v>31.2784515595102</v>
      </c>
      <c r="BV211" s="45" t="n">
        <f aca="false">IF(BR211=0,0,BS211/BR211-1)</f>
        <v>0.346892298873685</v>
      </c>
      <c r="BW211" s="43" t="n">
        <f aca="false">Parameters!$E$15*IF($N211="V",Parameters!$I$15,IF($N211="F",Parameters!$J$15,Parameters!$K$15))*(1-Parameters!$L$15*$P211)*IF($D211="V1",Parameters!$M$15,IF($D211="V2",Parameters!$N$15,Parameters!$O$15))</f>
        <v>9.73964285714286</v>
      </c>
      <c r="BX211" s="43" t="n">
        <f aca="false">BW211*(1+INDEX(Response_Table!$O$4:$O$21,MATCH($F211&amp;"|mid",Response_Table!$A$4:$A$21,0))*$R211*INDEX(Parameters!$X$15:$AA$15,1,MATCH($E211,Parameters!$X$3:$AA$3,0)))</f>
        <v>8.89499108191212</v>
      </c>
      <c r="BY211" s="43" t="n">
        <f aca="false">MAX(0,MIN(BW211*(1+INDEX(Response_Table!$O$4:$O$21,MATCH($F211&amp;"|low",Response_Table!$A$4:$A$21,0))*$R211*INDEX(Parameters!$X$15:$AA$15,1,MATCH($E211,Parameters!$X$3:$AA$3,0))),BW211*(1+INDEX(Response_Table!$O$4:$O$21,MATCH($F211&amp;"|high",Response_Table!$A$4:$A$21,0))*$R211*INDEX(Parameters!$X$15:$AA$15,1,MATCH($E211,Parameters!$X$3:$AA$3,0))))*(1-Inputs_General!$C$22*Parameters!$F$15))</f>
        <v>7.0427527357738</v>
      </c>
      <c r="BZ211" s="43" t="n">
        <f aca="false">MAX(BW211*(1+INDEX(Response_Table!$O$4:$O$21,MATCH($F211&amp;"|low",Response_Table!$A$4:$A$21,0))*$R211*INDEX(Parameters!$X$15:$AA$15,1,MATCH($E211,Parameters!$X$3:$AA$3,0))),BW211*(1+INDEX(Response_Table!$O$4:$O$21,MATCH($F211&amp;"|high",Response_Table!$A$4:$A$21,0))*$R211*INDEX(Parameters!$X$15:$AA$15,1,MATCH($E211,Parameters!$X$3:$AA$3,0))))*(1+Inputs_General!$C$22*Parameters!$F$15)</f>
        <v>10.8569323975189</v>
      </c>
      <c r="CA211" s="45" t="n">
        <f aca="false">IF(BW211=0,0,BX211/BW211-1)</f>
        <v>-0.0867230747184212</v>
      </c>
      <c r="CB211" s="46" t="n">
        <f aca="false">BD211+BI211</f>
        <v>1.07440166592848</v>
      </c>
      <c r="CC211" s="43" t="n">
        <f aca="false">BD211/BI211</f>
        <v>2.48963276544835</v>
      </c>
      <c r="CD211" s="46" t="n">
        <f aca="false">BN211/CB211</f>
        <v>0.22378798439709</v>
      </c>
      <c r="CE211" s="43" t="n">
        <f aca="false">AE211/AO211</f>
        <v>2.18997592248473</v>
      </c>
      <c r="CF211" s="44" t="n">
        <f aca="false">AE211/AJ211</f>
        <v>42.0080480922849</v>
      </c>
      <c r="CG211" s="44" t="n">
        <f aca="false">INDEX(Context!$V$4:$V$51,$K211)</f>
        <v>28.62</v>
      </c>
      <c r="CH211" s="44" t="n">
        <f aca="false">INDEX(Context!$Y$4:$Y$51,$K211)</f>
        <v>25.3060134606718</v>
      </c>
      <c r="CI211" s="44" t="n">
        <f aca="false">INDEX(Context!$Z$4:$Z$51,$K211)</f>
        <v>32.62</v>
      </c>
      <c r="CJ211" s="43" t="n">
        <f aca="false">INDEX(Context!$AA$4:$AA$51,$K211)</f>
        <v>0.221696428571429</v>
      </c>
      <c r="CK211" s="43" t="n">
        <f aca="false">MAX(0,MIN(1,1-(1-CJ211)*AO211/AN211))</f>
        <v>0.468030279090238</v>
      </c>
      <c r="CL211" s="44" t="n">
        <f aca="false">CH211+CK211*(CI211-CH211)</f>
        <v>28.7291806219358</v>
      </c>
      <c r="CM211" s="44" t="n">
        <f aca="false">CH211+MAX(0,MIN(1,1-(1-CJ211)*AQ211/AN211))*(CI211-CH211)</f>
        <v>26.8033987291663</v>
      </c>
      <c r="CN211" s="44" t="n">
        <f aca="false">CH211+MAX(0,MIN(1,1-(1-CJ211)*AP211/AN211))*(CI211-CH211)</f>
        <v>30.1842536867076</v>
      </c>
      <c r="CO211" s="44" t="n">
        <f aca="false">CL211-CG211</f>
        <v>0.109180621935806</v>
      </c>
      <c r="CP211" s="44" t="n">
        <f aca="false">CL211-(CH211+CJ211*(CI211-CH211))</f>
        <v>1.80168246687547</v>
      </c>
      <c r="CQ211" s="46" t="n">
        <f aca="false">CL211/CG211</f>
        <v>1.00381483654563</v>
      </c>
      <c r="CR211" s="43" t="n">
        <f aca="false">IF(CL211-CH211&lt;=0,"n/a",(CI211-CL211)/(CL211-CH211))</f>
        <v>1.13661390016007</v>
      </c>
      <c r="CS211" s="43" t="n">
        <f aca="false">IF(CI211-CL211&lt;=0,"n/a",(CL211-CH211)/(CI211-CL211))</f>
        <v>0.879806238388577</v>
      </c>
      <c r="CT211" s="43" t="n">
        <f aca="false">Inputs_General!$C$23+Inputs_General!$C$24*$I211</f>
        <v>1.36</v>
      </c>
      <c r="CU211" s="44" t="n">
        <f aca="false">3.29*CT211</f>
        <v>4.4744</v>
      </c>
    </row>
    <row r="212" customFormat="false" ht="15" hidden="false" customHeight="false" outlineLevel="0" collapsed="false">
      <c r="A212" s="9" t="str">
        <f aca="false">B212&amp;"|"&amp;E212&amp;"|"&amp;F212</f>
        <v>D3V3|03/03/2026|Very high</v>
      </c>
      <c r="B212" s="7" t="s">
        <v>351</v>
      </c>
      <c r="C212" s="9" t="s">
        <v>131</v>
      </c>
      <c r="D212" s="9" t="s">
        <v>150</v>
      </c>
      <c r="E212" s="9" t="s">
        <v>162</v>
      </c>
      <c r="F212" s="7" t="s">
        <v>285</v>
      </c>
      <c r="G212" s="9" t="s">
        <v>286</v>
      </c>
      <c r="H212" s="41" t="n">
        <f aca="false">INDEX(Severity_Classes!$C$4:$C$9,MATCH(F212,Severity_Classes!$A$4:$A$9,0))</f>
        <v>0.51</v>
      </c>
      <c r="I212" s="41" t="n">
        <f aca="false">INDEX(Severity_Classes!$D$4:$D$9,MATCH(F212,Severity_Classes!$A$4:$A$9,0))</f>
        <v>0.65</v>
      </c>
      <c r="J212" s="41" t="n">
        <f aca="false">INDEX(Severity_Classes!$E$4:$E$9,MATCH(F212,Severity_Classes!$A$4:$A$9,0))</f>
        <v>0.85</v>
      </c>
      <c r="K212" s="42" t="n">
        <f aca="false">MATCH(B212&amp;"|"&amp;E212,Context!$A$4:$A$51,0)</f>
        <v>35</v>
      </c>
      <c r="L212" s="42" t="n">
        <f aca="false">INDEX(Context!$H$4:$H$51,K212)</f>
        <v>66</v>
      </c>
      <c r="M212" s="42" t="n">
        <f aca="false">INDEX(Context!$I$4:$I$51,K212)</f>
        <v>26</v>
      </c>
      <c r="N212" s="9" t="str">
        <f aca="false">INDEX(Context!$L$4:$L$51,K212)</f>
        <v>F</v>
      </c>
      <c r="O212" s="9" t="str">
        <f aca="false">INDEX(Context!$M$4:$M$51,K212)</f>
        <v>5th fully expanded leaf from top</v>
      </c>
      <c r="P212" s="43" t="n">
        <f aca="false">INDEX(Context!$R$4:$R$51,K212)</f>
        <v>0.433928571428571</v>
      </c>
      <c r="Q212" s="43" t="n">
        <f aca="false">INDEX(Context!$U$4:$U$51,K212)</f>
        <v>1.73951545534029</v>
      </c>
      <c r="R212" s="43" t="n">
        <f aca="false">INDEX(Context!$AD$4:$AD$51,K212)</f>
        <v>0.85</v>
      </c>
      <c r="S212" s="9" t="str">
        <f aca="false">INDEX(Context!$AI$4:$AN$51,K212,MATCH(F212,Severity_Classes!$A$4:$A$9,0))</f>
        <v>Possible</v>
      </c>
      <c r="T212" s="44" t="n">
        <f aca="false">Parameters!$E$4*IF($N212="V",Parameters!$I$4,IF($N212="F",Parameters!$J$4,Parameters!$K$4))*(1-Parameters!$L$4*$P212)*IF($D212="V1",Parameters!$M$4,IF($D212="V2",Parameters!$N$4,Parameters!$O$4))</f>
        <v>83.2927660714286</v>
      </c>
      <c r="U212" s="44" t="n">
        <f aca="false">MIN(100,T212*(1+INDEX(Response_Table!$E$4:$E$21,MATCH($F212&amp;"|mid",Response_Table!$A$4:$A$21,0))*$R212*INDEX(Parameters!$X$4:$AA$4,1,MATCH($E212,Parameters!$X$3:$AA$3,0))))</f>
        <v>63.7515005088741</v>
      </c>
      <c r="V212" s="44" t="n">
        <f aca="false">MAX(0,MIN(T212*(1+INDEX(Response_Table!$E$4:$E$21,MATCH($F212&amp;"|low",Response_Table!$A$4:$A$21,0))*$R212*INDEX(Parameters!$X$4:$AA$4,1,MATCH($E212,Parameters!$X$3:$AA$3,0))),T212*(1+INDEX(Response_Table!$E$4:$E$21,MATCH($F212&amp;"|high",Response_Table!$A$4:$A$21,0))*$R212*INDEX(Parameters!$X$4:$AA$4,1,MATCH($E212,Parameters!$X$3:$AA$3,0))))*(1-Inputs_General!$C$22*Parameters!$F$4))</f>
        <v>58.2893410195042</v>
      </c>
      <c r="W212" s="44" t="n">
        <f aca="false">MIN(100,MAX(T212*(1+INDEX(Response_Table!$E$4:$E$21,MATCH($F212&amp;"|low",Response_Table!$A$4:$A$21,0))*$R212*INDEX(Parameters!$X$4:$AA$4,1,MATCH($E212,Parameters!$X$3:$AA$3,0))),T212*(1+INDEX(Response_Table!$E$4:$E$21,MATCH($F212&amp;"|high",Response_Table!$A$4:$A$21,0))*$R212*INDEX(Parameters!$X$4:$AA$4,1,MATCH($E212,Parameters!$X$3:$AA$3,0))))*(1+Inputs_General!$C$22*Parameters!$F$4))</f>
        <v>71.114065927743</v>
      </c>
      <c r="X212" s="45" t="n">
        <f aca="false">IF(T212=0,0,U212/T212-1)</f>
        <v>-0.234609396280545</v>
      </c>
      <c r="Y212" s="44" t="n">
        <f aca="false">Parameters!$E$5*IF($N212="V",Parameters!$I$5,IF($N212="F",Parameters!$J$5,Parameters!$K$5))*(1-Parameters!$L$5*$P212)*IF($D212="V1",Parameters!$M$5,IF($D212="V2",Parameters!$N$5,Parameters!$O$5))</f>
        <v>66.88584</v>
      </c>
      <c r="Z212" s="44" t="n">
        <f aca="false">MIN(100,Y212*(1+INDEX(Response_Table!$F$4:$F$21,MATCH($F212&amp;"|mid",Response_Table!$A$4:$A$21,0))*$R212*INDEX(Parameters!$X$5:$AA$5,1,MATCH($E212,Parameters!$X$3:$AA$3,0))))</f>
        <v>28.1073389785052</v>
      </c>
      <c r="AA212" s="44" t="n">
        <f aca="false">MAX(0,MIN(Y212*(1+INDEX(Response_Table!$F$4:$F$21,MATCH($F212&amp;"|low",Response_Table!$A$4:$A$21,0))*$R212*INDEX(Parameters!$X$5:$AA$5,1,MATCH($E212,Parameters!$X$3:$AA$3,0))),Y212*(1+INDEX(Response_Table!$F$4:$F$21,MATCH($F212&amp;"|high",Response_Table!$A$4:$A$21,0))*$R212*INDEX(Parameters!$X$5:$AA$5,1,MATCH($E212,Parameters!$X$3:$AA$3,0))))*(1-Inputs_General!$C$22*Parameters!$F$5))</f>
        <v>24.0940683955445</v>
      </c>
      <c r="AB212" s="44" t="n">
        <f aca="false">MIN(100,MAX(Y212*(1+INDEX(Response_Table!$F$4:$F$21,MATCH($F212&amp;"|low",Response_Table!$A$4:$A$21,0))*$R212*INDEX(Parameters!$X$5:$AA$5,1,MATCH($E212,Parameters!$X$3:$AA$3,0))),Y212*(1+INDEX(Response_Table!$F$4:$F$21,MATCH($F212&amp;"|high",Response_Table!$A$4:$A$21,0))*$R212*INDEX(Parameters!$X$5:$AA$5,1,MATCH($E212,Parameters!$X$3:$AA$3,0))))*(1+Inputs_General!$C$22*Parameters!$F$5))</f>
        <v>34.4979634369581</v>
      </c>
      <c r="AC212" s="45" t="n">
        <f aca="false">IF(Y212=0,0,Z212/Y212-1)</f>
        <v>-0.579771458674883</v>
      </c>
      <c r="AD212" s="44" t="n">
        <f aca="false">Parameters!$E$6*IF($N212="V",Parameters!$I$6,IF($N212="F",Parameters!$J$6,Parameters!$K$6))*(1-Parameters!$L$6*$P212)*IF($D212="V1",Parameters!$M$6,IF($D212="V2",Parameters!$N$6,Parameters!$O$6))</f>
        <v>18.5509621428571</v>
      </c>
      <c r="AE212" s="44" t="n">
        <f aca="false">AD212*(1+INDEX(Response_Table!$G$4:$G$21,MATCH($F212&amp;"|mid",Response_Table!$A$4:$A$21,0))*$R212*INDEX(Parameters!$X$6:$AA$6,1,MATCH($E212,Parameters!$X$3:$AA$3,0)))</f>
        <v>7.40199778661453</v>
      </c>
      <c r="AF212" s="44" t="n">
        <f aca="false">MAX(0,MIN(AD212*(1+INDEX(Response_Table!$G$4:$G$21,MATCH($F212&amp;"|low",Response_Table!$A$4:$A$21,0))*$R212*INDEX(Parameters!$X$6:$AA$6,1,MATCH($E212,Parameters!$X$3:$AA$3,0))),AD212*(1+INDEX(Response_Table!$G$4:$G$21,MATCH($F212&amp;"|high",Response_Table!$A$4:$A$21,0))*$R212*INDEX(Parameters!$X$6:$AA$6,1,MATCH($E212,Parameters!$X$3:$AA$3,0))))*(1-Inputs_General!$C$22*Parameters!$F$6))</f>
        <v>5.62273104827375</v>
      </c>
      <c r="AG212" s="44" t="n">
        <f aca="false">MAX(AD212*(1+INDEX(Response_Table!$G$4:$G$21,MATCH($F212&amp;"|low",Response_Table!$A$4:$A$21,0))*$R212*INDEX(Parameters!$X$6:$AA$6,1,MATCH($E212,Parameters!$X$3:$AA$3,0))),AD212*(1+INDEX(Response_Table!$G$4:$G$21,MATCH($F212&amp;"|high",Response_Table!$A$4:$A$21,0))*$R212*INDEX(Parameters!$X$6:$AA$6,1,MATCH($E212,Parameters!$X$3:$AA$3,0))))*(1+Inputs_General!$C$22*Parameters!$F$6)</f>
        <v>9.55369713980431</v>
      </c>
      <c r="AH212" s="45" t="n">
        <f aca="false">IF(AD212=0,0,AE212/AD212-1)</f>
        <v>-0.600991165330765</v>
      </c>
      <c r="AI212" s="46" t="n">
        <f aca="false">Parameters!$E$7*IF($N212="V",Parameters!$I$7,IF($N212="F",Parameters!$J$7,Parameters!$K$7))*(1-Parameters!$L$7*$P212)*IF($D212="V1",Parameters!$M$7,IF($D212="V2",Parameters!$N$7,Parameters!$O$7))*POWER($Q212/Inputs_General!$C$26,-Inputs_General!$C$25)</f>
        <v>0.341191629407368</v>
      </c>
      <c r="AJ212" s="46" t="n">
        <f aca="false">AI212*(1+INDEX(Response_Table!$H$4:$H$21,MATCH($F212&amp;"|mid",Response_Table!$A$4:$A$21,0))*$R212*INDEX(Parameters!$X$7:$AA$7,1,MATCH($E212,Parameters!$X$3:$AA$3,0)))</f>
        <v>0.179503108234427</v>
      </c>
      <c r="AK212" s="46" t="n">
        <f aca="false">MAX(0,MIN(AI212*(1+INDEX(Response_Table!$H$4:$H$21,MATCH($F212&amp;"|low",Response_Table!$A$4:$A$21,0))*$R212*INDEX(Parameters!$X$7:$AA$7,1,MATCH($E212,Parameters!$X$3:$AA$3,0))),AI212*(1+INDEX(Response_Table!$H$4:$H$21,MATCH($F212&amp;"|high",Response_Table!$A$4:$A$21,0))*$R212*INDEX(Parameters!$X$7:$AA$7,1,MATCH($E212,Parameters!$X$3:$AA$3,0))))*(1-Inputs_General!$C$22*Parameters!$F$7))</f>
        <v>0.11783448048641</v>
      </c>
      <c r="AL212" s="46" t="n">
        <f aca="false">MAX(AI212*(1+INDEX(Response_Table!$H$4:$H$21,MATCH($F212&amp;"|low",Response_Table!$A$4:$A$21,0))*$R212*INDEX(Parameters!$X$7:$AA$7,1,MATCH($E212,Parameters!$X$3:$AA$3,0))),AI212*(1+INDEX(Response_Table!$H$4:$H$21,MATCH($F212&amp;"|high",Response_Table!$A$4:$A$21,0))*$R212*INDEX(Parameters!$X$7:$AA$7,1,MATCH($E212,Parameters!$X$3:$AA$3,0))))*(1+Inputs_General!$C$22*Parameters!$F$7)</f>
        <v>0.250797995325436</v>
      </c>
      <c r="AM212" s="45" t="n">
        <f aca="false">IF(AI212=0,0,AJ212/AI212-1)</f>
        <v>-0.473893575448451</v>
      </c>
      <c r="AN212" s="43" t="n">
        <f aca="false">AI212*$Q212/Inputs_General!$C$13*1000</f>
        <v>5.97691956280819</v>
      </c>
      <c r="AO212" s="43" t="n">
        <f aca="false">AJ212*$Q212/Inputs_General!$C$13*1000*(1+Inputs_General!$C$21*$I212)</f>
        <v>3.65547634543717</v>
      </c>
      <c r="AP212" s="43" t="n">
        <f aca="false">AK212*$Q212/Inputs_General!$C$13*1000*(1+Inputs_General!$C$21*$H212)</f>
        <v>2.32738368303437</v>
      </c>
      <c r="AQ212" s="43" t="n">
        <f aca="false">AL212*$Q212/Inputs_General!$C$13*1000*(1+Inputs_General!$C$21*$J212)</f>
        <v>5.32702642706255</v>
      </c>
      <c r="AR212" s="45" t="n">
        <f aca="false">IF(AN212=0,0,AO212/AN212-1)</f>
        <v>-0.388401281458825</v>
      </c>
      <c r="AS212" s="42" t="n">
        <f aca="false">Parameters!$E$9*IF($N212="V",Parameters!$I$9,IF($N212="F",Parameters!$J$9,Parameters!$K$9))*(1-Parameters!$L$9*$P212)*IF($D212="V1",Parameters!$M$9,IF($D212="V2",Parameters!$N$9,Parameters!$O$9))</f>
        <v>285</v>
      </c>
      <c r="AT212" s="42" t="n">
        <f aca="false">AS212*(1+INDEX(Response_Table!$I$4:$I$21,MATCH($F212&amp;"|mid",Response_Table!$A$4:$A$21,0))*$R212*INDEX(Parameters!$X$9:$AA$9,1,MATCH($E212,Parameters!$X$3:$AA$3,0)))</f>
        <v>352.277167703273</v>
      </c>
      <c r="AU212" s="42" t="n">
        <f aca="false">MAX(0,MIN(AS212*(1+INDEX(Response_Table!$I$4:$I$21,MATCH($F212&amp;"|low",Response_Table!$A$4:$A$21,0))*$R212*INDEX(Parameters!$X$9:$AA$9,1,MATCH($E212,Parameters!$X$3:$AA$3,0))),AS212*(1+INDEX(Response_Table!$I$4:$I$21,MATCH($F212&amp;"|high",Response_Table!$A$4:$A$21,0))*$R212*INDEX(Parameters!$X$9:$AA$9,1,MATCH($E212,Parameters!$X$3:$AA$3,0))))*(1-Inputs_General!$C$22*Parameters!$F$9))</f>
        <v>313.855339805687</v>
      </c>
      <c r="AV212" s="42" t="n">
        <f aca="false">MAX(AS212*(1+INDEX(Response_Table!$I$4:$I$21,MATCH($F212&amp;"|low",Response_Table!$A$4:$A$21,0))*$R212*INDEX(Parameters!$X$9:$AA$9,1,MATCH($E212,Parameters!$X$3:$AA$3,0))),AS212*(1+INDEX(Response_Table!$I$4:$I$21,MATCH($F212&amp;"|high",Response_Table!$A$4:$A$21,0))*$R212*INDEX(Parameters!$X$9:$AA$9,1,MATCH($E212,Parameters!$X$3:$AA$3,0))))*(1+Inputs_General!$C$22*Parameters!$F$9)</f>
        <v>390.312732889309</v>
      </c>
      <c r="AW212" s="45" t="n">
        <f aca="false">IF(AS212=0,0,AT212/AS212-1)</f>
        <v>0.236060237555345</v>
      </c>
      <c r="AX212" s="43" t="n">
        <f aca="false">INDEX(Context!$AB$4:$AB$51,$K212)</f>
        <v>2.65490090255297</v>
      </c>
      <c r="AY212" s="43" t="n">
        <f aca="false">AX212*(1+INDEX(Response_Table!$J$4:$J$21,MATCH($F212&amp;"|mid",Response_Table!$A$4:$A$21,0))*$R212*INDEX(Parameters!$X$10:$AA$10,1,MATCH($E212,Parameters!$X$3:$AA$3,0)))</f>
        <v>1.83936503379169</v>
      </c>
      <c r="AZ212" s="43" t="n">
        <f aca="false">MAX(0,MIN(AX212*(1+INDEX(Response_Table!$J$4:$J$21,MATCH($F212&amp;"|low",Response_Table!$A$4:$A$21,0))*$R212*INDEX(Parameters!$X$10:$AA$10,1,MATCH($E212,Parameters!$X$3:$AA$3,0))),AX212*(1+INDEX(Response_Table!$J$4:$J$21,MATCH($F212&amp;"|high",Response_Table!$A$4:$A$21,0))*$R212*INDEX(Parameters!$X$10:$AA$10,1,MATCH($E212,Parameters!$X$3:$AA$3,0))))*(1-Inputs_General!$C$22*Parameters!$F$10))</f>
        <v>1.41312613274588</v>
      </c>
      <c r="BA212" s="43" t="n">
        <f aca="false">MAX(AX212*(1+INDEX(Response_Table!$J$4:$J$21,MATCH($F212&amp;"|low",Response_Table!$A$4:$A$21,0))*$R212*INDEX(Parameters!$X$10:$AA$10,1,MATCH($E212,Parameters!$X$3:$AA$3,0))),AX212*(1+INDEX(Response_Table!$J$4:$J$21,MATCH($F212&amp;"|high",Response_Table!$A$4:$A$21,0))*$R212*INDEX(Parameters!$X$10:$AA$10,1,MATCH($E212,Parameters!$X$3:$AA$3,0))))*(1+Inputs_General!$C$22*Parameters!$F$10)</f>
        <v>2.30279578624849</v>
      </c>
      <c r="BB212" s="45" t="n">
        <f aca="false">IF(AX212=0,0,AY212/AX212-1)</f>
        <v>-0.307181284234396</v>
      </c>
      <c r="BC212" s="46" t="n">
        <f aca="false">Parameters!$E$11*IF($N212="V",Parameters!$I$11,IF($N212="F",Parameters!$J$11,Parameters!$K$11))*(1-Parameters!$L$11*$P212)*IF($D212="V1",Parameters!$M$11,IF($D212="V2",Parameters!$N$11,Parameters!$O$11))</f>
        <v>1.25397901785714</v>
      </c>
      <c r="BD212" s="46" t="n">
        <f aca="false">BC212*(1+INDEX(Response_Table!$K$4:$K$21,MATCH($F212&amp;"|mid",Response_Table!$A$4:$A$21,0))*$R212*INDEX(Parameters!$X$11:$AA$11,1,MATCH($E212,Parameters!$X$3:$AA$3,0)))</f>
        <v>0.64771018578946</v>
      </c>
      <c r="BE212" s="46" t="n">
        <f aca="false">MAX(0,MIN(BC212*(1+INDEX(Response_Table!$K$4:$K$21,MATCH($F212&amp;"|low",Response_Table!$A$4:$A$21,0))*$R212*INDEX(Parameters!$X$11:$AA$11,1,MATCH($E212,Parameters!$X$3:$AA$3,0))),BC212*(1+INDEX(Response_Table!$K$4:$K$21,MATCH($F212&amp;"|high",Response_Table!$A$4:$A$21,0))*$R212*INDEX(Parameters!$X$11:$AA$11,1,MATCH($E212,Parameters!$X$3:$AA$3,0))))*(1-Inputs_General!$C$22*Parameters!$F$11))</f>
        <v>0.506977374821822</v>
      </c>
      <c r="BF212" s="46" t="n">
        <f aca="false">MAX(BC212*(1+INDEX(Response_Table!$K$4:$K$21,MATCH($F212&amp;"|low",Response_Table!$A$4:$A$21,0))*$R212*INDEX(Parameters!$X$11:$AA$11,1,MATCH($E212,Parameters!$X$3:$AA$3,0))),BC212*(1+INDEX(Response_Table!$K$4:$K$21,MATCH($F212&amp;"|high",Response_Table!$A$4:$A$21,0))*$R212*INDEX(Parameters!$X$11:$AA$11,1,MATCH($E212,Parameters!$X$3:$AA$3,0))))*(1+Inputs_General!$C$22*Parameters!$F$11)</f>
        <v>0.811224456245876</v>
      </c>
      <c r="BG212" s="45" t="n">
        <f aca="false">IF(BC212=0,0,BD212/BC212-1)</f>
        <v>-0.483476057760283</v>
      </c>
      <c r="BH212" s="46" t="n">
        <f aca="false">Parameters!$E$12*IF($N212="V",Parameters!$I$12,IF($N212="F",Parameters!$J$12,Parameters!$K$12))*(1-Parameters!$L$12*$P212)*IF($D212="V1",Parameters!$M$12,IF($D212="V2",Parameters!$N$12,Parameters!$O$12))</f>
        <v>0.451432446428571</v>
      </c>
      <c r="BI212" s="46" t="n">
        <f aca="false">BH212*(1+INDEX(Response_Table!$L$4:$L$21,MATCH($F212&amp;"|mid",Response_Table!$A$4:$A$21,0))*$R212*INDEX(Parameters!$X$12:$AA$12,1,MATCH($E212,Parameters!$X$3:$AA$3,0)))</f>
        <v>0.270413962026552</v>
      </c>
      <c r="BJ212" s="46" t="n">
        <f aca="false">MAX(0,MIN(BH212*(1+INDEX(Response_Table!$L$4:$L$21,MATCH($F212&amp;"|low",Response_Table!$A$4:$A$21,0))*$R212*INDEX(Parameters!$X$12:$AA$12,1,MATCH($E212,Parameters!$X$3:$AA$3,0))),BH212*(1+INDEX(Response_Table!$L$4:$L$21,MATCH($F212&amp;"|high",Response_Table!$A$4:$A$21,0))*$R212*INDEX(Parameters!$X$12:$AA$12,1,MATCH($E212,Parameters!$X$3:$AA$3,0))))*(1-Inputs_General!$C$22*Parameters!$F$12))</f>
        <v>0.206161050537459</v>
      </c>
      <c r="BK212" s="46" t="n">
        <f aca="false">MAX(BH212*(1+INDEX(Response_Table!$L$4:$L$21,MATCH($F212&amp;"|low",Response_Table!$A$4:$A$21,0))*$R212*INDEX(Parameters!$X$12:$AA$12,1,MATCH($E212,Parameters!$X$3:$AA$3,0))),BH212*(1+INDEX(Response_Table!$L$4:$L$21,MATCH($F212&amp;"|high",Response_Table!$A$4:$A$21,0))*$R212*INDEX(Parameters!$X$12:$AA$12,1,MATCH($E212,Parameters!$X$3:$AA$3,0))))*(1+Inputs_General!$C$22*Parameters!$F$12)</f>
        <v>0.342559946236451</v>
      </c>
      <c r="BL212" s="45" t="n">
        <f aca="false">IF(BH212=0,0,BI212/BH212-1)</f>
        <v>-0.400986871533305</v>
      </c>
      <c r="BM212" s="46" t="n">
        <f aca="false">Parameters!$E$13*IF($N212="V",Parameters!$I$13,IF($N212="F",Parameters!$J$13,Parameters!$K$13))*(1-Parameters!$L$13*$P212)*IF($D212="V1",Parameters!$M$13,IF($D212="V2",Parameters!$N$13,Parameters!$O$13))</f>
        <v>0.304977482142857</v>
      </c>
      <c r="BN212" s="46" t="n">
        <f aca="false">BM212*(1+INDEX(Response_Table!$M$4:$M$21,MATCH($F212&amp;"|mid",Response_Table!$A$4:$A$21,0))*$R212*INDEX(Parameters!$X$13:$AA$13,1,MATCH($E212,Parameters!$X$3:$AA$3,0)))</f>
        <v>0.216726491405379</v>
      </c>
      <c r="BO212" s="46" t="n">
        <f aca="false">MAX(0,MIN(BM212*(1+INDEX(Response_Table!$M$4:$M$21,MATCH($F212&amp;"|low",Response_Table!$A$4:$A$21,0))*$R212*INDEX(Parameters!$X$13:$AA$13,1,MATCH($E212,Parameters!$X$3:$AA$3,0))),BM212*(1+INDEX(Response_Table!$M$4:$M$21,MATCH($F212&amp;"|high",Response_Table!$A$4:$A$21,0))*$R212*INDEX(Parameters!$X$13:$AA$13,1,MATCH($E212,Parameters!$X$3:$AA$3,0))))*(1-Inputs_General!$C$22*Parameters!$F$13))</f>
        <v>0.168147492434891</v>
      </c>
      <c r="BP212" s="46" t="n">
        <f aca="false">MAX(BM212*(1+INDEX(Response_Table!$M$4:$M$21,MATCH($F212&amp;"|low",Response_Table!$A$4:$A$21,0))*$R212*INDEX(Parameters!$X$13:$AA$13,1,MATCH($E212,Parameters!$X$3:$AA$3,0))),BM212*(1+INDEX(Response_Table!$M$4:$M$21,MATCH($F212&amp;"|high",Response_Table!$A$4:$A$21,0))*$R212*INDEX(Parameters!$X$13:$AA$13,1,MATCH($E212,Parameters!$X$3:$AA$3,0))))*(1+Inputs_General!$C$22*Parameters!$F$13)</f>
        <v>0.270527701956896</v>
      </c>
      <c r="BQ212" s="45" t="n">
        <f aca="false">IF(BM212=0,0,BN212/BM212-1)</f>
        <v>-0.289368874440834</v>
      </c>
      <c r="BR212" s="44" t="n">
        <f aca="false">Parameters!$E$14*IF($N212="V",Parameters!$I$14,IF($N212="F",Parameters!$J$14,Parameters!$K$14))*(1-Parameters!$L$14*$P212)*IF($D212="V1",Parameters!$M$14,IF($D212="V2",Parameters!$N$14,Parameters!$O$14))*INDEX(Context!$AC$4:$AC$51,$K212)</f>
        <v>15</v>
      </c>
      <c r="BS212" s="44" t="n">
        <f aca="false">BR212*(1+INDEX(Response_Table!$N$4:$N$21,MATCH($F212&amp;"|mid",Response_Table!$A$4:$A$21,0))*$R212*INDEX(Parameters!$X$14:$AA$14,1,MATCH($E212,Parameters!$X$3:$AA$3,0)))</f>
        <v>21.5616033523632</v>
      </c>
      <c r="BT212" s="44" t="n">
        <f aca="false">MAX(0,MIN(BR212*(1+INDEX(Response_Table!$N$4:$N$21,MATCH($F212&amp;"|low",Response_Table!$A$4:$A$21,0))*$R212*INDEX(Parameters!$X$14:$AA$14,1,MATCH($E212,Parameters!$X$3:$AA$3,0))),BR212*(1+INDEX(Response_Table!$N$4:$N$21,MATCH($F212&amp;"|high",Response_Table!$A$4:$A$21,0))*$R212*INDEX(Parameters!$X$14:$AA$14,1,MATCH($E212,Parameters!$X$3:$AA$3,0))))*(1-Inputs_General!$C$22*Parameters!$F$14))</f>
        <v>10.633208836459</v>
      </c>
      <c r="BU212" s="44" t="n">
        <f aca="false">MAX(BR212*(1+INDEX(Response_Table!$N$4:$N$21,MATCH($F212&amp;"|low",Response_Table!$A$4:$A$21,0))*$R212*INDEX(Parameters!$X$14:$AA$14,1,MATCH($E212,Parameters!$X$3:$AA$3,0))),BR212*(1+INDEX(Response_Table!$N$4:$N$21,MATCH($F212&amp;"|high",Response_Table!$A$4:$A$21,0))*$R212*INDEX(Parameters!$X$14:$AA$14,1,MATCH($E212,Parameters!$X$3:$AA$3,0))))*(1+Inputs_General!$C$22*Parameters!$F$14)</f>
        <v>32.9356704934787</v>
      </c>
      <c r="BV212" s="45" t="n">
        <f aca="false">IF(BR212=0,0,BS212/BR212-1)</f>
        <v>0.437440223490878</v>
      </c>
      <c r="BW212" s="43" t="n">
        <f aca="false">Parameters!$E$15*IF($N212="V",Parameters!$I$15,IF($N212="F",Parameters!$J$15,Parameters!$K$15))*(1-Parameters!$L$15*$P212)*IF($D212="V1",Parameters!$M$15,IF($D212="V2",Parameters!$N$15,Parameters!$O$15))</f>
        <v>9.73964285714286</v>
      </c>
      <c r="BX212" s="43" t="n">
        <f aca="false">BW212*(1+INDEX(Response_Table!$O$4:$O$21,MATCH($F212&amp;"|mid",Response_Table!$A$4:$A$21,0))*$R212*INDEX(Parameters!$X$15:$AA$15,1,MATCH($E212,Parameters!$X$3:$AA$3,0)))</f>
        <v>8.67451497010538</v>
      </c>
      <c r="BY212" s="43" t="n">
        <f aca="false">MAX(0,MIN(BW212*(1+INDEX(Response_Table!$O$4:$O$21,MATCH($F212&amp;"|low",Response_Table!$A$4:$A$21,0))*$R212*INDEX(Parameters!$X$15:$AA$15,1,MATCH($E212,Parameters!$X$3:$AA$3,0))),BW212*(1+INDEX(Response_Table!$O$4:$O$21,MATCH($F212&amp;"|high",Response_Table!$A$4:$A$21,0))*$R212*INDEX(Parameters!$X$15:$AA$15,1,MATCH($E212,Parameters!$X$3:$AA$3,0))))*(1-Inputs_General!$C$22*Parameters!$F$15))</f>
        <v>6.89818692486211</v>
      </c>
      <c r="BZ212" s="43" t="n">
        <f aca="false">MAX(BW212*(1+INDEX(Response_Table!$O$4:$O$21,MATCH($F212&amp;"|low",Response_Table!$A$4:$A$21,0))*$R212*INDEX(Parameters!$X$15:$AA$15,1,MATCH($E212,Parameters!$X$3:$AA$3,0))),BW212*(1+INDEX(Response_Table!$O$4:$O$21,MATCH($F212&amp;"|high",Response_Table!$A$4:$A$21,0))*$R212*INDEX(Parameters!$X$15:$AA$15,1,MATCH($E212,Parameters!$X$3:$AA$3,0))))*(1+Inputs_General!$C$22*Parameters!$F$15)</f>
        <v>10.4972865147356</v>
      </c>
      <c r="CA212" s="45" t="n">
        <f aca="false">IF(BW212=0,0,BX212/BW212-1)</f>
        <v>-0.10936005587272</v>
      </c>
      <c r="CB212" s="46" t="n">
        <f aca="false">BD212+BI212</f>
        <v>0.918124147816012</v>
      </c>
      <c r="CC212" s="43" t="n">
        <f aca="false">BD212/BI212</f>
        <v>2.3952542277601</v>
      </c>
      <c r="CD212" s="46" t="n">
        <f aca="false">BN212/CB212</f>
        <v>0.236053579378036</v>
      </c>
      <c r="CE212" s="43" t="n">
        <f aca="false">AE212/AO212</f>
        <v>2.02490649292638</v>
      </c>
      <c r="CF212" s="44" t="n">
        <f aca="false">AE212/AJ212</f>
        <v>41.2360424252246</v>
      </c>
      <c r="CG212" s="44" t="n">
        <f aca="false">INDEX(Context!$V$4:$V$51,$K212)</f>
        <v>28.62</v>
      </c>
      <c r="CH212" s="44" t="n">
        <f aca="false">INDEX(Context!$Y$4:$Y$51,$K212)</f>
        <v>25.3060134606718</v>
      </c>
      <c r="CI212" s="44" t="n">
        <f aca="false">INDEX(Context!$Z$4:$Z$51,$K212)</f>
        <v>32.62</v>
      </c>
      <c r="CJ212" s="43" t="n">
        <f aca="false">INDEX(Context!$AA$4:$AA$51,$K212)</f>
        <v>0.221696428571429</v>
      </c>
      <c r="CK212" s="43" t="n">
        <f aca="false">MAX(0,MIN(1,1-(1-CJ212)*AO212/AN212))</f>
        <v>0.523990533078266</v>
      </c>
      <c r="CL212" s="44" t="n">
        <f aca="false">CH212+CK212*(CI212-CH212)</f>
        <v>29.1384731663416</v>
      </c>
      <c r="CM212" s="44" t="n">
        <f aca="false">CH212+MAX(0,MIN(1,1-(1-CJ212)*AQ212/AN212))*(CI212-CH212)</f>
        <v>27.5464654734874</v>
      </c>
      <c r="CN212" s="44" t="n">
        <f aca="false">CH212+MAX(0,MIN(1,1-(1-CJ212)*AP212/AN212))*(CI212-CH212)</f>
        <v>30.4033672060778</v>
      </c>
      <c r="CO212" s="44" t="n">
        <f aca="false">CL212-CG212</f>
        <v>0.518473166341625</v>
      </c>
      <c r="CP212" s="44" t="n">
        <f aca="false">CL212-(CH212+CJ212*(CI212-CH212))</f>
        <v>2.21097501128129</v>
      </c>
      <c r="CQ212" s="46" t="n">
        <f aca="false">CL212/CG212</f>
        <v>1.01811576402312</v>
      </c>
      <c r="CR212" s="43" t="n">
        <f aca="false">IF(CL212-CH212&lt;=0,"n/a",(CI212-CL212)/(CL212-CH212))</f>
        <v>0.908431425517063</v>
      </c>
      <c r="CS212" s="43" t="n">
        <f aca="false">IF(CI212-CL212&lt;=0,"n/a",(CL212-CH212)/(CI212-CL212))</f>
        <v>1.10079855442123</v>
      </c>
      <c r="CT212" s="43" t="n">
        <f aca="false">Inputs_General!$C$23+Inputs_General!$C$24*$I212</f>
        <v>1.9</v>
      </c>
      <c r="CU212" s="44" t="n">
        <f aca="false">3.29*CT212</f>
        <v>6.251</v>
      </c>
    </row>
    <row r="213" customFormat="false" ht="15" hidden="false" customHeight="false" outlineLevel="0" collapsed="false">
      <c r="A213" s="33" t="str">
        <f aca="false">B213&amp;"|"&amp;E213&amp;"|"&amp;F213</f>
        <v>D3V3|13/03/2026|Healthy</v>
      </c>
      <c r="B213" s="34" t="s">
        <v>351</v>
      </c>
      <c r="C213" s="33" t="s">
        <v>131</v>
      </c>
      <c r="D213" s="33" t="s">
        <v>150</v>
      </c>
      <c r="E213" s="33" t="s">
        <v>164</v>
      </c>
      <c r="F213" s="34" t="s">
        <v>275</v>
      </c>
      <c r="G213" s="33" t="s">
        <v>276</v>
      </c>
      <c r="H213" s="35" t="n">
        <f aca="false">INDEX(Severity_Classes!$C$4:$C$9,MATCH(F213,Severity_Classes!$A$4:$A$9,0))</f>
        <v>0</v>
      </c>
      <c r="I213" s="35" t="n">
        <f aca="false">INDEX(Severity_Classes!$D$4:$D$9,MATCH(F213,Severity_Classes!$A$4:$A$9,0))</f>
        <v>0</v>
      </c>
      <c r="J213" s="35" t="n">
        <f aca="false">INDEX(Severity_Classes!$E$4:$E$9,MATCH(F213,Severity_Classes!$A$4:$A$9,0))</f>
        <v>0</v>
      </c>
      <c r="K213" s="36" t="n">
        <f aca="false">MATCH(B213&amp;"|"&amp;E213,Context!$A$4:$A$51,0)</f>
        <v>36</v>
      </c>
      <c r="L213" s="36" t="n">
        <f aca="false">INDEX(Context!$H$4:$H$51,K213)</f>
        <v>76</v>
      </c>
      <c r="M213" s="36" t="n">
        <f aca="false">INDEX(Context!$I$4:$I$51,K213)</f>
        <v>36</v>
      </c>
      <c r="N213" s="33" t="str">
        <f aca="false">INDEX(Context!$L$4:$L$51,K213)</f>
        <v>P</v>
      </c>
      <c r="O213" s="33" t="str">
        <f aca="false">INDEX(Context!$M$4:$M$51,K213)</f>
        <v>5th fully expanded leaf from top</v>
      </c>
      <c r="P213" s="37" t="n">
        <f aca="false">INDEX(Context!$R$4:$R$51,K213)</f>
        <v>0.953571428571428</v>
      </c>
      <c r="Q213" s="37" t="n">
        <f aca="false">INDEX(Context!$U$4:$U$51,K213)</f>
        <v>2.18945736698217</v>
      </c>
      <c r="R213" s="37" t="n">
        <f aca="false">INDEX(Context!$AD$4:$AD$51,K213)</f>
        <v>0.85</v>
      </c>
      <c r="S213" s="33" t="str">
        <f aca="false">INDEX(Context!$AI$4:$AN$51,K213,MATCH(F213,Severity_Classes!$A$4:$A$9,0))</f>
        <v>Reference: healthy (uninoculated) control plot</v>
      </c>
      <c r="T213" s="38" t="n">
        <f aca="false">Parameters!$E$4*IF($N213="V",Parameters!$I$4,IF($N213="F",Parameters!$J$4,Parameters!$K$4))*(1-Parameters!$L$4*$P213)*IF($D213="V1",Parameters!$M$4,IF($D213="V2",Parameters!$N$4,Parameters!$O$4))</f>
        <v>77.8046607142857</v>
      </c>
      <c r="U213" s="38" t="n">
        <f aca="false">MIN(100,T213*(1+INDEX(Response_Table!$E$4:$E$21,MATCH($F213&amp;"|mid",Response_Table!$A$4:$A$21,0))*$R213*INDEX(Parameters!$X$4:$AA$4,1,MATCH($E213,Parameters!$X$3:$AA$3,0))))</f>
        <v>77.8046607142857</v>
      </c>
      <c r="V213" s="38" t="n">
        <f aca="false">MAX(0,MIN(T213*(1+INDEX(Response_Table!$E$4:$E$21,MATCH($F213&amp;"|low",Response_Table!$A$4:$A$21,0))*$R213*INDEX(Parameters!$X$4:$AA$4,1,MATCH($E213,Parameters!$X$3:$AA$3,0))),T213*(1+INDEX(Response_Table!$E$4:$E$21,MATCH($F213&amp;"|high",Response_Table!$A$4:$A$21,0))*$R213*INDEX(Parameters!$X$4:$AA$4,1,MATCH($E213,Parameters!$X$3:$AA$3,0))))*(1-Inputs_General!$C$22*Parameters!$F$4))</f>
        <v>72.6851140392857</v>
      </c>
      <c r="W213" s="38" t="n">
        <f aca="false">MIN(100,MAX(T213*(1+INDEX(Response_Table!$E$4:$E$21,MATCH($F213&amp;"|low",Response_Table!$A$4:$A$21,0))*$R213*INDEX(Parameters!$X$4:$AA$4,1,MATCH($E213,Parameters!$X$3:$AA$3,0))),T213*(1+INDEX(Response_Table!$E$4:$E$21,MATCH($F213&amp;"|high",Response_Table!$A$4:$A$21,0))*$R213*INDEX(Parameters!$X$4:$AA$4,1,MATCH($E213,Parameters!$X$3:$AA$3,0))))*(1+Inputs_General!$C$22*Parameters!$F$4))</f>
        <v>82.9242073892857</v>
      </c>
      <c r="X213" s="39" t="n">
        <f aca="false">IF(T213=0,0,U213/T213-1)</f>
        <v>0</v>
      </c>
      <c r="Y213" s="38" t="n">
        <f aca="false">Parameters!$E$5*IF($N213="V",Parameters!$I$5,IF($N213="F",Parameters!$J$5,Parameters!$K$5))*(1-Parameters!$L$5*$P213)*IF($D213="V1",Parameters!$M$5,IF($D213="V2",Parameters!$N$5,Parameters!$O$5))</f>
        <v>58.6602514285714</v>
      </c>
      <c r="Z213" s="38" t="n">
        <f aca="false">MIN(100,Y213*(1+INDEX(Response_Table!$F$4:$F$21,MATCH($F213&amp;"|mid",Response_Table!$A$4:$A$21,0))*$R213*INDEX(Parameters!$X$5:$AA$5,1,MATCH($E213,Parameters!$X$3:$AA$3,0))))</f>
        <v>58.6602514285714</v>
      </c>
      <c r="AA213" s="38" t="n">
        <f aca="false">MAX(0,MIN(Y213*(1+INDEX(Response_Table!$F$4:$F$21,MATCH($F213&amp;"|low",Response_Table!$A$4:$A$21,0))*$R213*INDEX(Parameters!$X$5:$AA$5,1,MATCH($E213,Parameters!$X$3:$AA$3,0))),Y213*(1+INDEX(Response_Table!$F$4:$F$21,MATCH($F213&amp;"|high",Response_Table!$A$4:$A$21,0))*$R213*INDEX(Parameters!$X$5:$AA$5,1,MATCH($E213,Parameters!$X$3:$AA$3,0))))*(1-Inputs_General!$C$22*Parameters!$F$5))</f>
        <v>51.9055234765714</v>
      </c>
      <c r="AB213" s="38" t="n">
        <f aca="false">MIN(100,MAX(Y213*(1+INDEX(Response_Table!$F$4:$F$21,MATCH($F213&amp;"|low",Response_Table!$A$4:$A$21,0))*$R213*INDEX(Parameters!$X$5:$AA$5,1,MATCH($E213,Parameters!$X$3:$AA$3,0))),Y213*(1+INDEX(Response_Table!$F$4:$F$21,MATCH($F213&amp;"|high",Response_Table!$A$4:$A$21,0))*$R213*INDEX(Parameters!$X$5:$AA$5,1,MATCH($E213,Parameters!$X$3:$AA$3,0))))*(1+Inputs_General!$C$22*Parameters!$F$5))</f>
        <v>65.4149793805714</v>
      </c>
      <c r="AC213" s="39" t="n">
        <f aca="false">IF(Y213=0,0,Z213/Y213-1)</f>
        <v>0</v>
      </c>
      <c r="AD213" s="38" t="n">
        <f aca="false">Parameters!$E$6*IF($N213="V",Parameters!$I$6,IF($N213="F",Parameters!$J$6,Parameters!$K$6))*(1-Parameters!$L$6*$P213)*IF($D213="V1",Parameters!$M$6,IF($D213="V2",Parameters!$N$6,Parameters!$O$6))</f>
        <v>14.7310379285714</v>
      </c>
      <c r="AE213" s="38" t="n">
        <f aca="false">AD213*(1+INDEX(Response_Table!$G$4:$G$21,MATCH($F213&amp;"|mid",Response_Table!$A$4:$A$21,0))*$R213*INDEX(Parameters!$X$6:$AA$6,1,MATCH($E213,Parameters!$X$3:$AA$3,0)))</f>
        <v>14.7310379285714</v>
      </c>
      <c r="AF213" s="38" t="n">
        <f aca="false">MAX(0,MIN(AD213*(1+INDEX(Response_Table!$G$4:$G$21,MATCH($F213&amp;"|low",Response_Table!$A$4:$A$21,0))*$R213*INDEX(Parameters!$X$6:$AA$6,1,MATCH($E213,Parameters!$X$3:$AA$3,0))),AD213*(1+INDEX(Response_Table!$G$4:$G$21,MATCH($F213&amp;"|high",Response_Table!$A$4:$A$21,0))*$R213*INDEX(Parameters!$X$6:$AA$6,1,MATCH($E213,Parameters!$X$3:$AA$3,0))))*(1-Inputs_General!$C$22*Parameters!$F$6))</f>
        <v>11.8231310414714</v>
      </c>
      <c r="AG213" s="38" t="n">
        <f aca="false">MAX(AD213*(1+INDEX(Response_Table!$G$4:$G$21,MATCH($F213&amp;"|low",Response_Table!$A$4:$A$21,0))*$R213*INDEX(Parameters!$X$6:$AA$6,1,MATCH($E213,Parameters!$X$3:$AA$3,0))),AD213*(1+INDEX(Response_Table!$G$4:$G$21,MATCH($F213&amp;"|high",Response_Table!$A$4:$A$21,0))*$R213*INDEX(Parameters!$X$6:$AA$6,1,MATCH($E213,Parameters!$X$3:$AA$3,0))))*(1+Inputs_General!$C$22*Parameters!$F$6)</f>
        <v>17.6389448156714</v>
      </c>
      <c r="AH213" s="39" t="n">
        <f aca="false">IF(AD213=0,0,AE213/AD213-1)</f>
        <v>0</v>
      </c>
      <c r="AI213" s="40" t="n">
        <f aca="false">Parameters!$E$7*IF($N213="V",Parameters!$I$7,IF($N213="F",Parameters!$J$7,Parameters!$K$7))*(1-Parameters!$L$7*$P213)*IF($D213="V1",Parameters!$M$7,IF($D213="V2",Parameters!$N$7,Parameters!$O$7))*POWER($Q213/Inputs_General!$C$26,-Inputs_General!$C$25)</f>
        <v>0.258501574676089</v>
      </c>
      <c r="AJ213" s="40" t="n">
        <f aca="false">AI213*(1+INDEX(Response_Table!$H$4:$H$21,MATCH($F213&amp;"|mid",Response_Table!$A$4:$A$21,0))*$R213*INDEX(Parameters!$X$7:$AA$7,1,MATCH($E213,Parameters!$X$3:$AA$3,0)))</f>
        <v>0.258501574676089</v>
      </c>
      <c r="AK213" s="40" t="n">
        <f aca="false">MAX(0,MIN(AI213*(1+INDEX(Response_Table!$H$4:$H$21,MATCH($F213&amp;"|low",Response_Table!$A$4:$A$21,0))*$R213*INDEX(Parameters!$X$7:$AA$7,1,MATCH($E213,Parameters!$X$3:$AA$3,0))),AI213*(1+INDEX(Response_Table!$H$4:$H$21,MATCH($F213&amp;"|high",Response_Table!$A$4:$A$21,0))*$R213*INDEX(Parameters!$X$7:$AA$7,1,MATCH($E213,Parameters!$X$3:$AA$3,0))))*(1-Inputs_General!$C$22*Parameters!$F$7))</f>
        <v>0.181959258414499</v>
      </c>
      <c r="AL213" s="40" t="n">
        <f aca="false">MAX(AI213*(1+INDEX(Response_Table!$H$4:$H$21,MATCH($F213&amp;"|low",Response_Table!$A$4:$A$21,0))*$R213*INDEX(Parameters!$X$7:$AA$7,1,MATCH($E213,Parameters!$X$3:$AA$3,0))),AI213*(1+INDEX(Response_Table!$H$4:$H$21,MATCH($F213&amp;"|high",Response_Table!$A$4:$A$21,0))*$R213*INDEX(Parameters!$X$7:$AA$7,1,MATCH($E213,Parameters!$X$3:$AA$3,0))))*(1+Inputs_General!$C$22*Parameters!$F$7)</f>
        <v>0.335043890937679</v>
      </c>
      <c r="AM213" s="39" t="n">
        <f aca="false">IF(AI213=0,0,AJ213/AI213-1)</f>
        <v>0</v>
      </c>
      <c r="AN213" s="37" t="n">
        <f aca="false">AI213*$Q213/Inputs_General!$C$13*1000</f>
        <v>5.69967952720096</v>
      </c>
      <c r="AO213" s="37" t="n">
        <f aca="false">AJ213*$Q213/Inputs_General!$C$13*1000*(1+Inputs_General!$C$21*$I213)</f>
        <v>5.69967952720096</v>
      </c>
      <c r="AP213" s="37" t="n">
        <f aca="false">AK213*$Q213/Inputs_General!$C$13*1000*(1+Inputs_General!$C$21*$H213)</f>
        <v>4.01200441919675</v>
      </c>
      <c r="AQ213" s="37" t="n">
        <f aca="false">AL213*$Q213/Inputs_General!$C$13*1000*(1+Inputs_General!$C$21*$J213)</f>
        <v>7.38735463520516</v>
      </c>
      <c r="AR213" s="39" t="n">
        <f aca="false">IF(AN213=0,0,AO213/AN213-1)</f>
        <v>0</v>
      </c>
      <c r="AS213" s="36" t="n">
        <f aca="false">Parameters!$E$9*IF($N213="V",Parameters!$I$9,IF($N213="F",Parameters!$J$9,Parameters!$K$9))*(1-Parameters!$L$9*$P213)*IF($D213="V1",Parameters!$M$9,IF($D213="V2",Parameters!$N$9,Parameters!$O$9))</f>
        <v>293.55</v>
      </c>
      <c r="AT213" s="36" t="n">
        <f aca="false">AS213*(1+INDEX(Response_Table!$I$4:$I$21,MATCH($F213&amp;"|mid",Response_Table!$A$4:$A$21,0))*$R213*INDEX(Parameters!$X$9:$AA$9,1,MATCH($E213,Parameters!$X$3:$AA$3,0)))</f>
        <v>293.55</v>
      </c>
      <c r="AU213" s="36" t="n">
        <f aca="false">MAX(0,MIN(AS213*(1+INDEX(Response_Table!$I$4:$I$21,MATCH($F213&amp;"|low",Response_Table!$A$4:$A$21,0))*$R213*INDEX(Parameters!$X$9:$AA$9,1,MATCH($E213,Parameters!$X$3:$AA$3,0))),AS213*(1+INDEX(Response_Table!$I$4:$I$21,MATCH($F213&amp;"|high",Response_Table!$A$4:$A$21,0))*$R213*INDEX(Parameters!$X$9:$AA$9,1,MATCH($E213,Parameters!$X$3:$AA$3,0))))*(1-Inputs_General!$C$22*Parameters!$F$9))</f>
        <v>264.576615</v>
      </c>
      <c r="AV213" s="36" t="n">
        <f aca="false">MAX(AS213*(1+INDEX(Response_Table!$I$4:$I$21,MATCH($F213&amp;"|low",Response_Table!$A$4:$A$21,0))*$R213*INDEX(Parameters!$X$9:$AA$9,1,MATCH($E213,Parameters!$X$3:$AA$3,0))),AS213*(1+INDEX(Response_Table!$I$4:$I$21,MATCH($F213&amp;"|high",Response_Table!$A$4:$A$21,0))*$R213*INDEX(Parameters!$X$9:$AA$9,1,MATCH($E213,Parameters!$X$3:$AA$3,0))))*(1+Inputs_General!$C$22*Parameters!$F$9)</f>
        <v>322.523385</v>
      </c>
      <c r="AW213" s="39" t="n">
        <f aca="false">IF(AS213=0,0,AT213/AS213-1)</f>
        <v>0</v>
      </c>
      <c r="AX213" s="37" t="n">
        <f aca="false">INDEX(Context!$AB$4:$AB$51,$K213)</f>
        <v>2.86350044433308</v>
      </c>
      <c r="AY213" s="37" t="n">
        <f aca="false">AX213*(1+INDEX(Response_Table!$J$4:$J$21,MATCH($F213&amp;"|mid",Response_Table!$A$4:$A$21,0))*$R213*INDEX(Parameters!$X$10:$AA$10,1,MATCH($E213,Parameters!$X$3:$AA$3,0)))</f>
        <v>2.86350044433308</v>
      </c>
      <c r="AZ213" s="37" t="n">
        <f aca="false">MAX(0,MIN(AX213*(1+INDEX(Response_Table!$J$4:$J$21,MATCH($F213&amp;"|low",Response_Table!$A$4:$A$21,0))*$R213*INDEX(Parameters!$X$10:$AA$10,1,MATCH($E213,Parameters!$X$3:$AA$3,0))),AX213*(1+INDEX(Response_Table!$J$4:$J$21,MATCH($F213&amp;"|high",Response_Table!$A$4:$A$21,0))*$R213*INDEX(Parameters!$X$10:$AA$10,1,MATCH($E213,Parameters!$X$3:$AA$3,0))))*(1-Inputs_General!$C$22*Parameters!$F$10))</f>
        <v>2.29824545662173</v>
      </c>
      <c r="BA213" s="37" t="n">
        <f aca="false">MAX(AX213*(1+INDEX(Response_Table!$J$4:$J$21,MATCH($F213&amp;"|low",Response_Table!$A$4:$A$21,0))*$R213*INDEX(Parameters!$X$10:$AA$10,1,MATCH($E213,Parameters!$X$3:$AA$3,0))),AX213*(1+INDEX(Response_Table!$J$4:$J$21,MATCH($F213&amp;"|high",Response_Table!$A$4:$A$21,0))*$R213*INDEX(Parameters!$X$10:$AA$10,1,MATCH($E213,Parameters!$X$3:$AA$3,0))))*(1+Inputs_General!$C$22*Parameters!$F$10)</f>
        <v>3.42875543204443</v>
      </c>
      <c r="BB213" s="39" t="n">
        <f aca="false">IF(AX213=0,0,AY213/AX213-1)</f>
        <v>0</v>
      </c>
      <c r="BC213" s="40" t="n">
        <f aca="false">Parameters!$E$11*IF($N213="V",Parameters!$I$11,IF($N213="F",Parameters!$J$11,Parameters!$K$11))*(1-Parameters!$L$11*$P213)*IF($D213="V1",Parameters!$M$11,IF($D213="V2",Parameters!$N$11,Parameters!$O$11))</f>
        <v>1.03176111607143</v>
      </c>
      <c r="BD213" s="40" t="n">
        <f aca="false">BC213*(1+INDEX(Response_Table!$K$4:$K$21,MATCH($F213&amp;"|mid",Response_Table!$A$4:$A$21,0))*$R213*INDEX(Parameters!$X$11:$AA$11,1,MATCH($E213,Parameters!$X$3:$AA$3,0)))</f>
        <v>1.03176111607143</v>
      </c>
      <c r="BE213" s="40" t="n">
        <f aca="false">MAX(0,MIN(BC213*(1+INDEX(Response_Table!$K$4:$K$21,MATCH($F213&amp;"|low",Response_Table!$A$4:$A$21,0))*$R213*INDEX(Parameters!$X$11:$AA$11,1,MATCH($E213,Parameters!$X$3:$AA$3,0))),BC213*(1+INDEX(Response_Table!$K$4:$K$21,MATCH($F213&amp;"|high",Response_Table!$A$4:$A$21,0))*$R213*INDEX(Parameters!$X$11:$AA$11,1,MATCH($E213,Parameters!$X$3:$AA$3,0))))*(1-Inputs_General!$C$22*Parameters!$F$11))</f>
        <v>0.862036412477679</v>
      </c>
      <c r="BF213" s="40" t="n">
        <f aca="false">MAX(BC213*(1+INDEX(Response_Table!$K$4:$K$21,MATCH($F213&amp;"|low",Response_Table!$A$4:$A$21,0))*$R213*INDEX(Parameters!$X$11:$AA$11,1,MATCH($E213,Parameters!$X$3:$AA$3,0))),BC213*(1+INDEX(Response_Table!$K$4:$K$21,MATCH($F213&amp;"|high",Response_Table!$A$4:$A$21,0))*$R213*INDEX(Parameters!$X$11:$AA$11,1,MATCH($E213,Parameters!$X$3:$AA$3,0))))*(1+Inputs_General!$C$22*Parameters!$F$11)</f>
        <v>1.20148581966518</v>
      </c>
      <c r="BG213" s="39" t="n">
        <f aca="false">IF(BC213=0,0,BD213/BC213-1)</f>
        <v>0</v>
      </c>
      <c r="BH213" s="40" t="n">
        <f aca="false">Parameters!$E$12*IF($N213="V",Parameters!$I$12,IF($N213="F",Parameters!$J$12,Parameters!$K$12))*(1-Parameters!$L$12*$P213)*IF($D213="V1",Parameters!$M$12,IF($D213="V2",Parameters!$N$12,Parameters!$O$12))</f>
        <v>0.384543437142857</v>
      </c>
      <c r="BI213" s="40" t="n">
        <f aca="false">BH213*(1+INDEX(Response_Table!$L$4:$L$21,MATCH($F213&amp;"|mid",Response_Table!$A$4:$A$21,0))*$R213*INDEX(Parameters!$X$12:$AA$12,1,MATCH($E213,Parameters!$X$3:$AA$3,0)))</f>
        <v>0.384543437142857</v>
      </c>
      <c r="BJ213" s="40" t="n">
        <f aca="false">MAX(0,MIN(BH213*(1+INDEX(Response_Table!$L$4:$L$21,MATCH($F213&amp;"|low",Response_Table!$A$4:$A$21,0))*$R213*INDEX(Parameters!$X$12:$AA$12,1,MATCH($E213,Parameters!$X$3:$AA$3,0))),BH213*(1+INDEX(Response_Table!$L$4:$L$21,MATCH($F213&amp;"|high",Response_Table!$A$4:$A$21,0))*$R213*INDEX(Parameters!$X$12:$AA$12,1,MATCH($E213,Parameters!$X$3:$AA$3,0))))*(1-Inputs_General!$C$22*Parameters!$F$12))</f>
        <v>0.308634562650857</v>
      </c>
      <c r="BK213" s="40" t="n">
        <f aca="false">MAX(BH213*(1+INDEX(Response_Table!$L$4:$L$21,MATCH($F213&amp;"|low",Response_Table!$A$4:$A$21,0))*$R213*INDEX(Parameters!$X$12:$AA$12,1,MATCH($E213,Parameters!$X$3:$AA$3,0))),BH213*(1+INDEX(Response_Table!$L$4:$L$21,MATCH($F213&amp;"|high",Response_Table!$A$4:$A$21,0))*$R213*INDEX(Parameters!$X$12:$AA$12,1,MATCH($E213,Parameters!$X$3:$AA$3,0))))*(1+Inputs_General!$C$22*Parameters!$F$12)</f>
        <v>0.460452311634857</v>
      </c>
      <c r="BL213" s="39" t="n">
        <f aca="false">IF(BH213=0,0,BI213/BH213-1)</f>
        <v>0</v>
      </c>
      <c r="BM213" s="40" t="n">
        <f aca="false">Parameters!$E$13*IF($N213="V",Parameters!$I$13,IF($N213="F",Parameters!$J$13,Parameters!$K$13))*(1-Parameters!$L$13*$P213)*IF($D213="V1",Parameters!$M$13,IF($D213="V2",Parameters!$N$13,Parameters!$O$13))</f>
        <v>0.270144353571429</v>
      </c>
      <c r="BN213" s="40" t="n">
        <f aca="false">BM213*(1+INDEX(Response_Table!$M$4:$M$21,MATCH($F213&amp;"|mid",Response_Table!$A$4:$A$21,0))*$R213*INDEX(Parameters!$X$13:$AA$13,1,MATCH($E213,Parameters!$X$3:$AA$3,0)))</f>
        <v>0.270144353571429</v>
      </c>
      <c r="BO213" s="40" t="n">
        <f aca="false">MAX(0,MIN(BM213*(1+INDEX(Response_Table!$M$4:$M$21,MATCH($F213&amp;"|low",Response_Table!$A$4:$A$21,0))*$R213*INDEX(Parameters!$X$13:$AA$13,1,MATCH($E213,Parameters!$X$3:$AA$3,0))),BM213*(1+INDEX(Response_Table!$M$4:$M$21,MATCH($F213&amp;"|high",Response_Table!$A$4:$A$21,0))*$R213*INDEX(Parameters!$X$13:$AA$13,1,MATCH($E213,Parameters!$X$3:$AA$3,0))))*(1-Inputs_General!$C$22*Parameters!$F$13))</f>
        <v>0.216817858176429</v>
      </c>
      <c r="BP213" s="40" t="n">
        <f aca="false">MAX(BM213*(1+INDEX(Response_Table!$M$4:$M$21,MATCH($F213&amp;"|low",Response_Table!$A$4:$A$21,0))*$R213*INDEX(Parameters!$X$13:$AA$13,1,MATCH($E213,Parameters!$X$3:$AA$3,0))),BM213*(1+INDEX(Response_Table!$M$4:$M$21,MATCH($F213&amp;"|high",Response_Table!$A$4:$A$21,0))*$R213*INDEX(Parameters!$X$13:$AA$13,1,MATCH($E213,Parameters!$X$3:$AA$3,0))))*(1+Inputs_General!$C$22*Parameters!$F$13)</f>
        <v>0.323470848966429</v>
      </c>
      <c r="BQ213" s="39" t="n">
        <f aca="false">IF(BM213=0,0,BN213/BM213-1)</f>
        <v>0</v>
      </c>
      <c r="BR213" s="38" t="n">
        <f aca="false">Parameters!$E$14*IF($N213="V",Parameters!$I$14,IF($N213="F",Parameters!$J$14,Parameters!$K$14))*(1-Parameters!$L$14*$P213)*IF($D213="V1",Parameters!$M$14,IF($D213="V2",Parameters!$N$14,Parameters!$O$14))*INDEX(Context!$AC$4:$AC$51,$K213)</f>
        <v>17.25</v>
      </c>
      <c r="BS213" s="38" t="n">
        <f aca="false">BR213*(1+INDEX(Response_Table!$N$4:$N$21,MATCH($F213&amp;"|mid",Response_Table!$A$4:$A$21,0))*$R213*INDEX(Parameters!$X$14:$AA$14,1,MATCH($E213,Parameters!$X$3:$AA$3,0)))</f>
        <v>17.25</v>
      </c>
      <c r="BT213" s="38" t="n">
        <f aca="false">MAX(0,MIN(BR213*(1+INDEX(Response_Table!$N$4:$N$21,MATCH($F213&amp;"|low",Response_Table!$A$4:$A$21,0))*$R213*INDEX(Parameters!$X$14:$AA$14,1,MATCH($E213,Parameters!$X$3:$AA$3,0))),BR213*(1+INDEX(Response_Table!$N$4:$N$21,MATCH($F213&amp;"|high",Response_Table!$A$4:$A$21,0))*$R213*INDEX(Parameters!$X$14:$AA$14,1,MATCH($E213,Parameters!$X$3:$AA$3,0))))*(1-Inputs_General!$C$22*Parameters!$F$14))</f>
        <v>8.737125</v>
      </c>
      <c r="BU213" s="38" t="n">
        <f aca="false">MAX(BR213*(1+INDEX(Response_Table!$N$4:$N$21,MATCH($F213&amp;"|low",Response_Table!$A$4:$A$21,0))*$R213*INDEX(Parameters!$X$14:$AA$14,1,MATCH($E213,Parameters!$X$3:$AA$3,0))),BR213*(1+INDEX(Response_Table!$N$4:$N$21,MATCH($F213&amp;"|high",Response_Table!$A$4:$A$21,0))*$R213*INDEX(Parameters!$X$14:$AA$14,1,MATCH($E213,Parameters!$X$3:$AA$3,0))))*(1+Inputs_General!$C$22*Parameters!$F$14)</f>
        <v>25.762875</v>
      </c>
      <c r="BV213" s="39" t="n">
        <f aca="false">IF(BR213=0,0,BS213/BR213-1)</f>
        <v>0</v>
      </c>
      <c r="BW213" s="37" t="n">
        <f aca="false">Parameters!$E$15*IF($N213="V",Parameters!$I$15,IF($N213="F",Parameters!$J$15,Parameters!$K$15))*(1-Parameters!$L$15*$P213)*IF($D213="V1",Parameters!$M$15,IF($D213="V2",Parameters!$N$15,Parameters!$O$15))</f>
        <v>7.73084285714286</v>
      </c>
      <c r="BX213" s="37" t="n">
        <f aca="false">BW213*(1+INDEX(Response_Table!$O$4:$O$21,MATCH($F213&amp;"|mid",Response_Table!$A$4:$A$21,0))*$R213*INDEX(Parameters!$X$15:$AA$15,1,MATCH($E213,Parameters!$X$3:$AA$3,0)))</f>
        <v>7.73084285714286</v>
      </c>
      <c r="BY213" s="37" t="n">
        <f aca="false">MAX(0,MIN(BW213*(1+INDEX(Response_Table!$O$4:$O$21,MATCH($F213&amp;"|low",Response_Table!$A$4:$A$21,0))*$R213*INDEX(Parameters!$X$15:$AA$15,1,MATCH($E213,Parameters!$X$3:$AA$3,0))),BW213*(1+INDEX(Response_Table!$O$4:$O$21,MATCH($F213&amp;"|high",Response_Table!$A$4:$A$21,0))*$R213*INDEX(Parameters!$X$15:$AA$15,1,MATCH($E213,Parameters!$X$3:$AA$3,0))))*(1-Inputs_General!$C$22*Parameters!$F$15))</f>
        <v>6.20477447714286</v>
      </c>
      <c r="BZ213" s="37" t="n">
        <f aca="false">MAX(BW213*(1+INDEX(Response_Table!$O$4:$O$21,MATCH($F213&amp;"|low",Response_Table!$A$4:$A$21,0))*$R213*INDEX(Parameters!$X$15:$AA$15,1,MATCH($E213,Parameters!$X$3:$AA$3,0))),BW213*(1+INDEX(Response_Table!$O$4:$O$21,MATCH($F213&amp;"|high",Response_Table!$A$4:$A$21,0))*$R213*INDEX(Parameters!$X$15:$AA$15,1,MATCH($E213,Parameters!$X$3:$AA$3,0))))*(1+Inputs_General!$C$22*Parameters!$F$15)</f>
        <v>9.25691123714286</v>
      </c>
      <c r="CA213" s="39" t="n">
        <f aca="false">IF(BW213=0,0,BX213/BW213-1)</f>
        <v>0</v>
      </c>
      <c r="CB213" s="40" t="n">
        <f aca="false">BD213+BI213</f>
        <v>1.41630455321429</v>
      </c>
      <c r="CC213" s="37" t="n">
        <f aca="false">BD213/BI213</f>
        <v>2.68308080808081</v>
      </c>
      <c r="CD213" s="40" t="n">
        <f aca="false">BN213/CB213</f>
        <v>0.190738886603407</v>
      </c>
      <c r="CE213" s="37" t="n">
        <f aca="false">AE213/AO213</f>
        <v>2.58453793029407</v>
      </c>
      <c r="CF213" s="38" t="n">
        <f aca="false">AE213/AJ213</f>
        <v>56.9862599368298</v>
      </c>
      <c r="CG213" s="38" t="n">
        <f aca="false">INDEX(Context!$V$4:$V$51,$K213)</f>
        <v>32.7871428571429</v>
      </c>
      <c r="CH213" s="38" t="n">
        <f aca="false">INDEX(Context!$Y$4:$Y$51,$K213)</f>
        <v>28.36912210206</v>
      </c>
      <c r="CI213" s="38" t="n">
        <f aca="false">INDEX(Context!$Z$4:$Z$51,$K213)</f>
        <v>36.7871428571429</v>
      </c>
      <c r="CJ213" s="37" t="n">
        <f aca="false">INDEX(Context!$AA$4:$AA$51,$K213)</f>
        <v>0.347678571428571</v>
      </c>
      <c r="CK213" s="37" t="n">
        <f aca="false">MAX(0,MIN(1,1-(1-CJ213)*AO213/AN213))</f>
        <v>0.347678571428571</v>
      </c>
      <c r="CL213" s="38" t="n">
        <f aca="false">CH213+CK213*(CI213-CH213)</f>
        <v>31.2958875324433</v>
      </c>
      <c r="CM213" s="38" t="n">
        <f aca="false">CH213+MAX(0,MIN(1,1-(1-CJ213)*AQ213/AN213))*(CI213-CH213)</f>
        <v>29.6699268307998</v>
      </c>
      <c r="CN213" s="38" t="n">
        <f aca="false">CH213+MAX(0,MIN(1,1-(1-CJ213)*AP213/AN213))*(CI213-CH213)</f>
        <v>32.9218482340868</v>
      </c>
      <c r="CO213" s="38" t="n">
        <f aca="false">CL213-CG213</f>
        <v>-1.49125532469956</v>
      </c>
      <c r="CP213" s="38" t="n">
        <f aca="false">CL213-(CH213+CJ213*(CI213-CH213))</f>
        <v>0</v>
      </c>
      <c r="CQ213" s="40" t="n">
        <f aca="false">CL213/CG213</f>
        <v>0.954517069962542</v>
      </c>
      <c r="CR213" s="37" t="n">
        <f aca="false">IF(CL213-CH213&lt;=0,"n/a",(CI213-CL213)/(CL213-CH213))</f>
        <v>1.87621982537237</v>
      </c>
      <c r="CS213" s="37" t="n">
        <f aca="false">IF(CI213-CL213&lt;=0,"n/a",(CL213-CH213)/(CI213-CL213))</f>
        <v>0.53298658636737</v>
      </c>
      <c r="CT213" s="37" t="n">
        <f aca="false">Inputs_General!$C$23+Inputs_General!$C$24*$I213</f>
        <v>0.6</v>
      </c>
      <c r="CU213" s="38" t="n">
        <f aca="false">3.29*CT213</f>
        <v>1.974</v>
      </c>
    </row>
    <row r="214" customFormat="false" ht="15" hidden="false" customHeight="false" outlineLevel="0" collapsed="false">
      <c r="A214" s="9" t="str">
        <f aca="false">B214&amp;"|"&amp;E214&amp;"|"&amp;F214</f>
        <v>D3V3|13/03/2026|Very low</v>
      </c>
      <c r="B214" s="7" t="s">
        <v>351</v>
      </c>
      <c r="C214" s="9" t="s">
        <v>131</v>
      </c>
      <c r="D214" s="9" t="s">
        <v>150</v>
      </c>
      <c r="E214" s="9" t="s">
        <v>164</v>
      </c>
      <c r="F214" s="7" t="s">
        <v>277</v>
      </c>
      <c r="G214" s="9" t="s">
        <v>278</v>
      </c>
      <c r="H214" s="41" t="n">
        <f aca="false">INDEX(Severity_Classes!$C$4:$C$9,MATCH(F214,Severity_Classes!$A$4:$A$9,0))</f>
        <v>0.01</v>
      </c>
      <c r="I214" s="41" t="n">
        <f aca="false">INDEX(Severity_Classes!$D$4:$D$9,MATCH(F214,Severity_Classes!$A$4:$A$9,0))</f>
        <v>0.03</v>
      </c>
      <c r="J214" s="41" t="n">
        <f aca="false">INDEX(Severity_Classes!$E$4:$E$9,MATCH(F214,Severity_Classes!$A$4:$A$9,0))</f>
        <v>0.05</v>
      </c>
      <c r="K214" s="42" t="n">
        <f aca="false">MATCH(B214&amp;"|"&amp;E214,Context!$A$4:$A$51,0)</f>
        <v>36</v>
      </c>
      <c r="L214" s="42" t="n">
        <f aca="false">INDEX(Context!$H$4:$H$51,K214)</f>
        <v>76</v>
      </c>
      <c r="M214" s="42" t="n">
        <f aca="false">INDEX(Context!$I$4:$I$51,K214)</f>
        <v>36</v>
      </c>
      <c r="N214" s="9" t="str">
        <f aca="false">INDEX(Context!$L$4:$L$51,K214)</f>
        <v>P</v>
      </c>
      <c r="O214" s="9" t="str">
        <f aca="false">INDEX(Context!$M$4:$M$51,K214)</f>
        <v>5th fully expanded leaf from top</v>
      </c>
      <c r="P214" s="43" t="n">
        <f aca="false">INDEX(Context!$R$4:$R$51,K214)</f>
        <v>0.953571428571428</v>
      </c>
      <c r="Q214" s="43" t="n">
        <f aca="false">INDEX(Context!$U$4:$U$51,K214)</f>
        <v>2.18945736698217</v>
      </c>
      <c r="R214" s="43" t="n">
        <f aca="false">INDEX(Context!$AD$4:$AD$51,K214)</f>
        <v>0.85</v>
      </c>
      <c r="S214" s="9" t="str">
        <f aca="false">INDEX(Context!$AI$4:$AN$51,K214,MATCH(F214,Severity_Classes!$A$4:$A$9,0))</f>
        <v>Possible</v>
      </c>
      <c r="T214" s="44" t="n">
        <f aca="false">Parameters!$E$4*IF($N214="V",Parameters!$I$4,IF($N214="F",Parameters!$J$4,Parameters!$K$4))*(1-Parameters!$L$4*$P214)*IF($D214="V1",Parameters!$M$4,IF($D214="V2",Parameters!$N$4,Parameters!$O$4))</f>
        <v>77.8046607142857</v>
      </c>
      <c r="U214" s="44" t="n">
        <f aca="false">MIN(100,T214*(1+INDEX(Response_Table!$E$4:$E$21,MATCH($F214&amp;"|mid",Response_Table!$A$4:$A$21,0))*$R214*INDEX(Parameters!$X$4:$AA$4,1,MATCH($E214,Parameters!$X$3:$AA$3,0))))</f>
        <v>77.519534799563</v>
      </c>
      <c r="V214" s="44" t="n">
        <f aca="false">MAX(0,MIN(T214*(1+INDEX(Response_Table!$E$4:$E$21,MATCH($F214&amp;"|low",Response_Table!$A$4:$A$21,0))*$R214*INDEX(Parameters!$X$4:$AA$4,1,MATCH($E214,Parameters!$X$3:$AA$3,0))),T214*(1+INDEX(Response_Table!$E$4:$E$21,MATCH($F214&amp;"|high",Response_Table!$A$4:$A$21,0))*$R214*INDEX(Parameters!$X$4:$AA$4,1,MATCH($E214,Parameters!$X$3:$AA$3,0))))*(1-Inputs_General!$C$22*Parameters!$F$4))</f>
        <v>72.2060033262025</v>
      </c>
      <c r="W214" s="44" t="n">
        <f aca="false">MIN(100,MAX(T214*(1+INDEX(Response_Table!$E$4:$E$21,MATCH($F214&amp;"|low",Response_Table!$A$4:$A$21,0))*$R214*INDEX(Parameters!$X$4:$AA$4,1,MATCH($E214,Parameters!$X$3:$AA$3,0))),T214*(1+INDEX(Response_Table!$E$4:$E$21,MATCH($F214&amp;"|high",Response_Table!$A$4:$A$21,0))*$R214*INDEX(Parameters!$X$4:$AA$4,1,MATCH($E214,Parameters!$X$3:$AA$3,0))))*(1+Inputs_General!$C$22*Parameters!$F$4))</f>
        <v>82.8302894411452</v>
      </c>
      <c r="X214" s="45" t="n">
        <f aca="false">IF(T214=0,0,U214/T214-1)</f>
        <v>-0.00366463798061933</v>
      </c>
      <c r="Y214" s="44" t="n">
        <f aca="false">Parameters!$E$5*IF($N214="V",Parameters!$I$5,IF($N214="F",Parameters!$J$5,Parameters!$K$5))*(1-Parameters!$L$5*$P214)*IF($D214="V1",Parameters!$M$5,IF($D214="V2",Parameters!$N$5,Parameters!$O$5))</f>
        <v>58.6602514285714</v>
      </c>
      <c r="Z214" s="44" t="n">
        <f aca="false">MIN(100,Y214*(1+INDEX(Response_Table!$F$4:$F$21,MATCH($F214&amp;"|mid",Response_Table!$A$4:$A$21,0))*$R214*INDEX(Parameters!$X$5:$AA$5,1,MATCH($E214,Parameters!$X$3:$AA$3,0))))</f>
        <v>57.9740244756464</v>
      </c>
      <c r="AA214" s="44" t="n">
        <f aca="false">MAX(0,MIN(Y214*(1+INDEX(Response_Table!$F$4:$F$21,MATCH($F214&amp;"|low",Response_Table!$A$4:$A$21,0))*$R214*INDEX(Parameters!$X$5:$AA$5,1,MATCH($E214,Parameters!$X$3:$AA$3,0))),Y214*(1+INDEX(Response_Table!$F$4:$F$21,MATCH($F214&amp;"|high",Response_Table!$A$4:$A$21,0))*$R214*INDEX(Parameters!$X$5:$AA$5,1,MATCH($E214,Parameters!$X$3:$AA$3,0))))*(1-Inputs_General!$C$22*Parameters!$F$5))</f>
        <v>50.7982133751225</v>
      </c>
      <c r="AB214" s="44" t="n">
        <f aca="false">MIN(100,MAX(Y214*(1+INDEX(Response_Table!$F$4:$F$21,MATCH($F214&amp;"|low",Response_Table!$A$4:$A$21,0))*$R214*INDEX(Parameters!$X$5:$AA$5,1,MATCH($E214,Parameters!$X$3:$AA$3,0))),Y214*(1+INDEX(Response_Table!$F$4:$F$21,MATCH($F214&amp;"|high",Response_Table!$A$4:$A$21,0))*$R214*INDEX(Parameters!$X$5:$AA$5,1,MATCH($E214,Parameters!$X$3:$AA$3,0))))*(1+Inputs_General!$C$22*Parameters!$F$5))</f>
        <v>65.181731755569</v>
      </c>
      <c r="AC214" s="45" t="n">
        <f aca="false">IF(Y214=0,0,Z214/Y214-1)</f>
        <v>-0.0116983295538827</v>
      </c>
      <c r="AD214" s="44" t="n">
        <f aca="false">Parameters!$E$6*IF($N214="V",Parameters!$I$6,IF($N214="F",Parameters!$J$6,Parameters!$K$6))*(1-Parameters!$L$6*$P214)*IF($D214="V1",Parameters!$M$6,IF($D214="V2",Parameters!$N$6,Parameters!$O$6))</f>
        <v>14.7310379285714</v>
      </c>
      <c r="AE214" s="44" t="n">
        <f aca="false">AD214*(1+INDEX(Response_Table!$G$4:$G$21,MATCH($F214&amp;"|mid",Response_Table!$A$4:$A$21,0))*$R214*INDEX(Parameters!$X$6:$AA$6,1,MATCH($E214,Parameters!$X$3:$AA$3,0)))</f>
        <v>13.5697516776158</v>
      </c>
      <c r="AF214" s="44" t="n">
        <f aca="false">MAX(0,MIN(AD214*(1+INDEX(Response_Table!$G$4:$G$21,MATCH($F214&amp;"|low",Response_Table!$A$4:$A$21,0))*$R214*INDEX(Parameters!$X$6:$AA$6,1,MATCH($E214,Parameters!$X$3:$AA$3,0))),AD214*(1+INDEX(Response_Table!$G$4:$G$21,MATCH($F214&amp;"|high",Response_Table!$A$4:$A$21,0))*$R214*INDEX(Parameters!$X$6:$AA$6,1,MATCH($E214,Parameters!$X$3:$AA$3,0))))*(1-Inputs_General!$C$22*Parameters!$F$6))</f>
        <v>10.3346666336494</v>
      </c>
      <c r="AG214" s="44" t="n">
        <f aca="false">MAX(AD214*(1+INDEX(Response_Table!$G$4:$G$21,MATCH($F214&amp;"|low",Response_Table!$A$4:$A$21,0))*$R214*INDEX(Parameters!$X$6:$AA$6,1,MATCH($E214,Parameters!$X$3:$AA$3,0))),AD214*(1+INDEX(Response_Table!$G$4:$G$21,MATCH($F214&amp;"|high",Response_Table!$A$4:$A$21,0))*$R214*INDEX(Parameters!$X$6:$AA$6,1,MATCH($E214,Parameters!$X$3:$AA$3,0))))*(1+Inputs_General!$C$22*Parameters!$F$6)</f>
        <v>17.1548995006469</v>
      </c>
      <c r="AH214" s="45" t="n">
        <f aca="false">IF(AD214=0,0,AE214/AD214-1)</f>
        <v>-0.0788326156368996</v>
      </c>
      <c r="AI214" s="46" t="n">
        <f aca="false">Parameters!$E$7*IF($N214="V",Parameters!$I$7,IF($N214="F",Parameters!$J$7,Parameters!$K$7))*(1-Parameters!$L$7*$P214)*IF($D214="V1",Parameters!$M$7,IF($D214="V2",Parameters!$N$7,Parameters!$O$7))*POWER($Q214/Inputs_General!$C$26,-Inputs_General!$C$25)</f>
        <v>0.258501574676089</v>
      </c>
      <c r="AJ214" s="46" t="n">
        <f aca="false">AI214*(1+INDEX(Response_Table!$H$4:$H$21,MATCH($F214&amp;"|mid",Response_Table!$A$4:$A$21,0))*$R214*INDEX(Parameters!$X$7:$AA$7,1,MATCH($E214,Parameters!$X$3:$AA$3,0)))</f>
        <v>0.246209044089904</v>
      </c>
      <c r="AK214" s="46" t="n">
        <f aca="false">MAX(0,MIN(AI214*(1+INDEX(Response_Table!$H$4:$H$21,MATCH($F214&amp;"|low",Response_Table!$A$4:$A$21,0))*$R214*INDEX(Parameters!$X$7:$AA$7,1,MATCH($E214,Parameters!$X$3:$AA$3,0))),AI214*(1+INDEX(Response_Table!$H$4:$H$21,MATCH($F214&amp;"|high",Response_Table!$A$4:$A$21,0))*$R214*INDEX(Parameters!$X$7:$AA$7,1,MATCH($E214,Parameters!$X$3:$AA$3,0))))*(1-Inputs_General!$C$22*Parameters!$F$7))</f>
        <v>0.167955884409204</v>
      </c>
      <c r="AL214" s="46" t="n">
        <f aca="false">MAX(AI214*(1+INDEX(Response_Table!$H$4:$H$21,MATCH($F214&amp;"|low",Response_Table!$A$4:$A$21,0))*$R214*INDEX(Parameters!$X$7:$AA$7,1,MATCH($E214,Parameters!$X$3:$AA$3,0))),AI214*(1+INDEX(Response_Table!$H$4:$H$21,MATCH($F214&amp;"|high",Response_Table!$A$4:$A$21,0))*$R214*INDEX(Parameters!$X$7:$AA$7,1,MATCH($E214,Parameters!$X$3:$AA$3,0))))*(1+Inputs_General!$C$22*Parameters!$F$7)</f>
        <v>0.329573011940121</v>
      </c>
      <c r="AM214" s="45" t="n">
        <f aca="false">IF(AI214=0,0,AJ214/AI214-1)</f>
        <v>-0.0475530201376464</v>
      </c>
      <c r="AN214" s="43" t="n">
        <f aca="false">AI214*$Q214/Inputs_General!$C$13*1000</f>
        <v>5.69967952720096</v>
      </c>
      <c r="AO214" s="43" t="n">
        <f aca="false">AJ214*$Q214/Inputs_General!$C$13*1000*(1+Inputs_General!$C$21*$I214)</f>
        <v>5.46935737100483</v>
      </c>
      <c r="AP214" s="43" t="n">
        <f aca="false">AK214*$Q214/Inputs_General!$C$13*1000*(1+Inputs_General!$C$21*$H214)</f>
        <v>3.71250331388577</v>
      </c>
      <c r="AQ214" s="43" t="n">
        <f aca="false">AL214*$Q214/Inputs_General!$C$13*1000*(1+Inputs_General!$C$21*$J214)</f>
        <v>7.35756177933217</v>
      </c>
      <c r="AR214" s="45" t="n">
        <f aca="false">IF(AN214=0,0,AO214/AN214-1)</f>
        <v>-0.0404096677886787</v>
      </c>
      <c r="AS214" s="42" t="n">
        <f aca="false">Parameters!$E$9*IF($N214="V",Parameters!$I$9,IF($N214="F",Parameters!$J$9,Parameters!$K$9))*(1-Parameters!$L$9*$P214)*IF($D214="V1",Parameters!$M$9,IF($D214="V2",Parameters!$N$9,Parameters!$O$9))</f>
        <v>293.55</v>
      </c>
      <c r="AT214" s="42" t="n">
        <f aca="false">AS214*(1+INDEX(Response_Table!$I$4:$I$21,MATCH($F214&amp;"|mid",Response_Table!$A$4:$A$21,0))*$R214*INDEX(Parameters!$X$9:$AA$9,1,MATCH($E214,Parameters!$X$3:$AA$3,0)))</f>
        <v>302.014598979428</v>
      </c>
      <c r="AU214" s="42" t="n">
        <f aca="false">MAX(0,MIN(AS214*(1+INDEX(Response_Table!$I$4:$I$21,MATCH($F214&amp;"|low",Response_Table!$A$4:$A$21,0))*$R214*INDEX(Parameters!$X$9:$AA$9,1,MATCH($E214,Parameters!$X$3:$AA$3,0))),AS214*(1+INDEX(Response_Table!$I$4:$I$21,MATCH($F214&amp;"|high",Response_Table!$A$4:$A$21,0))*$R214*INDEX(Parameters!$X$9:$AA$9,1,MATCH($E214,Parameters!$X$3:$AA$3,0))))*(1-Inputs_General!$C$22*Parameters!$F$9))</f>
        <v>267.222035352639</v>
      </c>
      <c r="AV214" s="42" t="n">
        <f aca="false">MAX(AS214*(1+INDEX(Response_Table!$I$4:$I$21,MATCH($F214&amp;"|low",Response_Table!$A$4:$A$21,0))*$R214*INDEX(Parameters!$X$9:$AA$9,1,MATCH($E214,Parameters!$X$3:$AA$3,0))),AS214*(1+INDEX(Response_Table!$I$4:$I$21,MATCH($F214&amp;"|high",Response_Table!$A$4:$A$21,0))*$R214*INDEX(Parameters!$X$9:$AA$9,1,MATCH($E214,Parameters!$X$3:$AA$3,0))))*(1+Inputs_General!$C$22*Parameters!$F$9)</f>
        <v>337.431595633991</v>
      </c>
      <c r="AW214" s="45" t="n">
        <f aca="false">IF(AS214=0,0,AT214/AS214-1)</f>
        <v>0.0288352886371248</v>
      </c>
      <c r="AX214" s="43" t="n">
        <f aca="false">INDEX(Context!$AB$4:$AB$51,$K214)</f>
        <v>2.86350044433308</v>
      </c>
      <c r="AY214" s="43" t="n">
        <f aca="false">AX214*(1+INDEX(Response_Table!$J$4:$J$21,MATCH($F214&amp;"|mid",Response_Table!$A$4:$A$21,0))*$R214*INDEX(Parameters!$X$10:$AA$10,1,MATCH($E214,Parameters!$X$3:$AA$3,0)))</f>
        <v>2.784358685514</v>
      </c>
      <c r="AZ214" s="43" t="n">
        <f aca="false">MAX(0,MIN(AX214*(1+INDEX(Response_Table!$J$4:$J$21,MATCH($F214&amp;"|low",Response_Table!$A$4:$A$21,0))*$R214*INDEX(Parameters!$X$10:$AA$10,1,MATCH($E214,Parameters!$X$3:$AA$3,0))),AX214*(1+INDEX(Response_Table!$J$4:$J$21,MATCH($F214&amp;"|high",Response_Table!$A$4:$A$21,0))*$R214*INDEX(Parameters!$X$10:$AA$10,1,MATCH($E214,Parameters!$X$3:$AA$3,0))))*(1-Inputs_General!$C$22*Parameters!$F$10))</f>
        <v>2.1949509645082</v>
      </c>
      <c r="BA214" s="43" t="n">
        <f aca="false">MAX(AX214*(1+INDEX(Response_Table!$J$4:$J$21,MATCH($F214&amp;"|low",Response_Table!$A$4:$A$21,0))*$R214*INDEX(Parameters!$X$10:$AA$10,1,MATCH($E214,Parameters!$X$3:$AA$3,0))),AX214*(1+INDEX(Response_Table!$J$4:$J$21,MATCH($F214&amp;"|high",Response_Table!$A$4:$A$21,0))*$R214*INDEX(Parameters!$X$10:$AA$10,1,MATCH($E214,Parameters!$X$3:$AA$3,0))))*(1+Inputs_General!$C$22*Parameters!$F$10)</f>
        <v>3.39637440752611</v>
      </c>
      <c r="BB214" s="45" t="n">
        <f aca="false">IF(AX214=0,0,AY214/AX214-1)</f>
        <v>-0.0276381164793287</v>
      </c>
      <c r="BC214" s="46" t="n">
        <f aca="false">Parameters!$E$11*IF($N214="V",Parameters!$I$11,IF($N214="F",Parameters!$J$11,Parameters!$K$11))*(1-Parameters!$L$11*$P214)*IF($D214="V1",Parameters!$M$11,IF($D214="V2",Parameters!$N$11,Parameters!$O$11))</f>
        <v>1.03176111607143</v>
      </c>
      <c r="BD214" s="46" t="n">
        <f aca="false">BC214*(1+INDEX(Response_Table!$K$4:$K$21,MATCH($F214&amp;"|mid",Response_Table!$A$4:$A$21,0))*$R214*INDEX(Parameters!$X$11:$AA$11,1,MATCH($E214,Parameters!$X$3:$AA$3,0)))</f>
        <v>0.979581209981168</v>
      </c>
      <c r="BE214" s="46" t="n">
        <f aca="false">MAX(0,MIN(BC214*(1+INDEX(Response_Table!$K$4:$K$21,MATCH($F214&amp;"|low",Response_Table!$A$4:$A$21,0))*$R214*INDEX(Parameters!$X$11:$AA$11,1,MATCH($E214,Parameters!$X$3:$AA$3,0))),BC214*(1+INDEX(Response_Table!$K$4:$K$21,MATCH($F214&amp;"|high",Response_Table!$A$4:$A$21,0))*$R214*INDEX(Parameters!$X$11:$AA$11,1,MATCH($E214,Parameters!$X$3:$AA$3,0))))*(1-Inputs_General!$C$22*Parameters!$F$11))</f>
        <v>0.791616178136213</v>
      </c>
      <c r="BF214" s="46" t="n">
        <f aca="false">MAX(BC214*(1+INDEX(Response_Table!$K$4:$K$21,MATCH($F214&amp;"|low",Response_Table!$A$4:$A$21,0))*$R214*INDEX(Parameters!$X$11:$AA$11,1,MATCH($E214,Parameters!$X$3:$AA$3,0))),BC214*(1+INDEX(Response_Table!$K$4:$K$21,MATCH($F214&amp;"|high",Response_Table!$A$4:$A$21,0))*$R214*INDEX(Parameters!$X$11:$AA$11,1,MATCH($E214,Parameters!$X$3:$AA$3,0))))*(1+Inputs_General!$C$22*Parameters!$F$11)</f>
        <v>1.18057983015302</v>
      </c>
      <c r="BG214" s="45" t="n">
        <f aca="false">IF(BC214=0,0,BD214/BC214-1)</f>
        <v>-0.0505736311220398</v>
      </c>
      <c r="BH214" s="46" t="n">
        <f aca="false">Parameters!$E$12*IF($N214="V",Parameters!$I$12,IF($N214="F",Parameters!$J$12,Parameters!$K$12))*(1-Parameters!$L$12*$P214)*IF($D214="V1",Parameters!$M$12,IF($D214="V2",Parameters!$N$12,Parameters!$O$12))</f>
        <v>0.384543437142857</v>
      </c>
      <c r="BI214" s="46" t="n">
        <f aca="false">BH214*(1+INDEX(Response_Table!$L$4:$L$21,MATCH($F214&amp;"|mid",Response_Table!$A$4:$A$21,0))*$R214*INDEX(Parameters!$X$12:$AA$12,1,MATCH($E214,Parameters!$X$3:$AA$3,0)))</f>
        <v>0.369070497149565</v>
      </c>
      <c r="BJ214" s="46" t="n">
        <f aca="false">MAX(0,MIN(BH214*(1+INDEX(Response_Table!$L$4:$L$21,MATCH($F214&amp;"|low",Response_Table!$A$4:$A$21,0))*$R214*INDEX(Parameters!$X$12:$AA$12,1,MATCH($E214,Parameters!$X$3:$AA$3,0))),BH214*(1+INDEX(Response_Table!$L$4:$L$21,MATCH($F214&amp;"|high",Response_Table!$A$4:$A$21,0))*$R214*INDEX(Parameters!$X$12:$AA$12,1,MATCH($E214,Parameters!$X$3:$AA$3,0))))*(1-Inputs_General!$C$22*Parameters!$F$12))</f>
        <v>0.288536582077701</v>
      </c>
      <c r="BK214" s="46" t="n">
        <f aca="false">MAX(BH214*(1+INDEX(Response_Table!$L$4:$L$21,MATCH($F214&amp;"|low",Response_Table!$A$4:$A$21,0))*$R214*INDEX(Parameters!$X$12:$AA$12,1,MATCH($E214,Parameters!$X$3:$AA$3,0))),BH214*(1+INDEX(Response_Table!$L$4:$L$21,MATCH($F214&amp;"|high",Response_Table!$A$4:$A$21,0))*$R214*INDEX(Parameters!$X$12:$AA$12,1,MATCH($E214,Parameters!$X$3:$AA$3,0))))*(1+Inputs_General!$C$22*Parameters!$F$12)</f>
        <v>0.454090374164389</v>
      </c>
      <c r="BL214" s="45" t="n">
        <f aca="false">IF(BH214=0,0,BI214/BH214-1)</f>
        <v>-0.0402371708857007</v>
      </c>
      <c r="BM214" s="46" t="n">
        <f aca="false">Parameters!$E$13*IF($N214="V",Parameters!$I$13,IF($N214="F",Parameters!$J$13,Parameters!$K$13))*(1-Parameters!$L$13*$P214)*IF($D214="V1",Parameters!$M$13,IF($D214="V2",Parameters!$N$13,Parameters!$O$13))</f>
        <v>0.270144353571429</v>
      </c>
      <c r="BN214" s="46" t="n">
        <f aca="false">BM214*(1+INDEX(Response_Table!$M$4:$M$21,MATCH($F214&amp;"|mid",Response_Table!$A$4:$A$21,0))*$R214*INDEX(Parameters!$X$13:$AA$13,1,MATCH($E214,Parameters!$X$3:$AA$3,0)))</f>
        <v>0.276111112150472</v>
      </c>
      <c r="BO214" s="46" t="n">
        <f aca="false">MAX(0,MIN(BM214*(1+INDEX(Response_Table!$M$4:$M$21,MATCH($F214&amp;"|low",Response_Table!$A$4:$A$21,0))*$R214*INDEX(Parameters!$X$13:$AA$13,1,MATCH($E214,Parameters!$X$3:$AA$3,0))),BM214*(1+INDEX(Response_Table!$M$4:$M$21,MATCH($F214&amp;"|high",Response_Table!$A$4:$A$21,0))*$R214*INDEX(Parameters!$X$13:$AA$13,1,MATCH($E214,Parameters!$X$3:$AA$3,0))))*(1-Inputs_General!$C$22*Parameters!$F$13))</f>
        <v>0.219172089864602</v>
      </c>
      <c r="BP214" s="46" t="n">
        <f aca="false">MAX(BM214*(1+INDEX(Response_Table!$M$4:$M$21,MATCH($F214&amp;"|low",Response_Table!$A$4:$A$21,0))*$R214*INDEX(Parameters!$X$13:$AA$13,1,MATCH($E214,Parameters!$X$3:$AA$3,0))),BM214*(1+INDEX(Response_Table!$M$4:$M$21,MATCH($F214&amp;"|high",Response_Table!$A$4:$A$21,0))*$R214*INDEX(Parameters!$X$13:$AA$13,1,MATCH($E214,Parameters!$X$3:$AA$3,0))))*(1+Inputs_General!$C$22*Parameters!$F$13)</f>
        <v>0.330817313804167</v>
      </c>
      <c r="BQ214" s="45" t="n">
        <f aca="false">IF(BM214=0,0,BN214/BM214-1)</f>
        <v>0.0220872970327148</v>
      </c>
      <c r="BR214" s="44" t="n">
        <f aca="false">Parameters!$E$14*IF($N214="V",Parameters!$I$14,IF($N214="F",Parameters!$J$14,Parameters!$K$14))*(1-Parameters!$L$14*$P214)*IF($D214="V1",Parameters!$M$14,IF($D214="V2",Parameters!$N$14,Parameters!$O$14))*INDEX(Context!$AC$4:$AC$51,$K214)</f>
        <v>17.25</v>
      </c>
      <c r="BS214" s="44" t="n">
        <f aca="false">BR214*(1+INDEX(Response_Table!$N$4:$N$21,MATCH($F214&amp;"|mid",Response_Table!$A$4:$A$21,0))*$R214*INDEX(Parameters!$X$14:$AA$14,1,MATCH($E214,Parameters!$X$3:$AA$3,0)))</f>
        <v>18.0071903975764</v>
      </c>
      <c r="BT214" s="44" t="n">
        <f aca="false">MAX(0,MIN(BR214*(1+INDEX(Response_Table!$N$4:$N$21,MATCH($F214&amp;"|low",Response_Table!$A$4:$A$21,0))*$R214*INDEX(Parameters!$X$14:$AA$14,1,MATCH($E214,Parameters!$X$3:$AA$3,0))),BR214*(1+INDEX(Response_Table!$N$4:$N$21,MATCH($F214&amp;"|high",Response_Table!$A$4:$A$21,0))*$R214*INDEX(Parameters!$X$14:$AA$14,1,MATCH($E214,Parameters!$X$3:$AA$3,0))))*(1-Inputs_General!$C$22*Parameters!$F$14))</f>
        <v>8.86881774452445</v>
      </c>
      <c r="BU214" s="44" t="n">
        <f aca="false">MAX(BR214*(1+INDEX(Response_Table!$N$4:$N$21,MATCH($F214&amp;"|low",Response_Table!$A$4:$A$21,0))*$R214*INDEX(Parameters!$X$14:$AA$14,1,MATCH($E214,Parameters!$X$3:$AA$3,0))),BR214*(1+INDEX(Response_Table!$N$4:$N$21,MATCH($F214&amp;"|high",Response_Table!$A$4:$A$21,0))*$R214*INDEX(Parameters!$X$14:$AA$14,1,MATCH($E214,Parameters!$X$3:$AA$3,0))))*(1+Inputs_General!$C$22*Parameters!$F$14)</f>
        <v>27.5930421258477</v>
      </c>
      <c r="BV214" s="45" t="n">
        <f aca="false">IF(BR214=0,0,BS214/BR214-1)</f>
        <v>0.0438950955116737</v>
      </c>
      <c r="BW214" s="43" t="n">
        <f aca="false">Parameters!$E$15*IF($N214="V",Parameters!$I$15,IF($N214="F",Parameters!$J$15,Parameters!$K$15))*(1-Parameters!$L$15*$P214)*IF($D214="V1",Parameters!$M$15,IF($D214="V2",Parameters!$N$15,Parameters!$O$15))</f>
        <v>7.73084285714286</v>
      </c>
      <c r="BX214" s="43" t="n">
        <f aca="false">BW214*(1+INDEX(Response_Table!$O$4:$O$21,MATCH($F214&amp;"|mid",Response_Table!$A$4:$A$21,0))*$R214*INDEX(Parameters!$X$15:$AA$15,1,MATCH($E214,Parameters!$X$3:$AA$3,0)))</f>
        <v>7.64600633574285</v>
      </c>
      <c r="BY214" s="43" t="n">
        <f aca="false">MAX(0,MIN(BW214*(1+INDEX(Response_Table!$O$4:$O$21,MATCH($F214&amp;"|low",Response_Table!$A$4:$A$21,0))*$R214*INDEX(Parameters!$X$15:$AA$15,1,MATCH($E214,Parameters!$X$3:$AA$3,0))),BW214*(1+INDEX(Response_Table!$O$4:$O$21,MATCH($F214&amp;"|high",Response_Table!$A$4:$A$21,0))*$R214*INDEX(Parameters!$X$15:$AA$15,1,MATCH($E214,Parameters!$X$3:$AA$3,0))))*(1-Inputs_General!$C$22*Parameters!$F$15))</f>
        <v>6.09457933906757</v>
      </c>
      <c r="BZ214" s="43" t="n">
        <f aca="false">MAX(BW214*(1+INDEX(Response_Table!$O$4:$O$21,MATCH($F214&amp;"|low",Response_Table!$A$4:$A$21,0))*$R214*INDEX(Parameters!$X$15:$AA$15,1,MATCH($E214,Parameters!$X$3:$AA$3,0))),BW214*(1+INDEX(Response_Table!$O$4:$O$21,MATCH($F214&amp;"|high",Response_Table!$A$4:$A$21,0))*$R214*INDEX(Parameters!$X$15:$AA$15,1,MATCH($E214,Parameters!$X$3:$AA$3,0))))*(1+Inputs_General!$C$22*Parameters!$F$15)</f>
        <v>9.22202939538603</v>
      </c>
      <c r="CA214" s="45" t="n">
        <f aca="false">IF(BW214=0,0,BX214/BW214-1)</f>
        <v>-0.0109737738779184</v>
      </c>
      <c r="CB214" s="46" t="n">
        <f aca="false">BD214+BI214</f>
        <v>1.34865170713073</v>
      </c>
      <c r="CC214" s="43" t="n">
        <f aca="false">BD214/BI214</f>
        <v>2.65418454616868</v>
      </c>
      <c r="CD214" s="46" t="n">
        <f aca="false">BN214/CB214</f>
        <v>0.20473122207208</v>
      </c>
      <c r="CE214" s="43" t="n">
        <f aca="false">AE214/AO214</f>
        <v>2.48105047030831</v>
      </c>
      <c r="CF214" s="44" t="n">
        <f aca="false">AE214/AJ214</f>
        <v>55.1147571681435</v>
      </c>
      <c r="CG214" s="44" t="n">
        <f aca="false">INDEX(Context!$V$4:$V$51,$K214)</f>
        <v>32.7871428571429</v>
      </c>
      <c r="CH214" s="44" t="n">
        <f aca="false">INDEX(Context!$Y$4:$Y$51,$K214)</f>
        <v>28.36912210206</v>
      </c>
      <c r="CI214" s="44" t="n">
        <f aca="false">INDEX(Context!$Z$4:$Z$51,$K214)</f>
        <v>36.7871428571429</v>
      </c>
      <c r="CJ214" s="43" t="n">
        <f aca="false">INDEX(Context!$AA$4:$AA$51,$K214)</f>
        <v>0.347678571428571</v>
      </c>
      <c r="CK214" s="43" t="n">
        <f aca="false">MAX(0,MIN(1,1-(1-CJ214)*AO214/AN214))</f>
        <v>0.374038663648579</v>
      </c>
      <c r="CL214" s="44" t="n">
        <f aca="false">CH214+CK214*(CI214-CH214)</f>
        <v>31.5177873358572</v>
      </c>
      <c r="CM214" s="44" t="n">
        <f aca="false">CH214+MAX(0,MIN(1,1-(1-CJ214)*AQ214/AN214))*(CI214-CH214)</f>
        <v>29.6986302302926</v>
      </c>
      <c r="CN214" s="44" t="n">
        <f aca="false">CH214+MAX(0,MIN(1,1-(1-CJ214)*AP214/AN214))*(CI214-CH214)</f>
        <v>33.2103972711763</v>
      </c>
      <c r="CO214" s="44" t="n">
        <f aca="false">CL214-CG214</f>
        <v>-1.26935552128564</v>
      </c>
      <c r="CP214" s="44" t="n">
        <f aca="false">CL214-(CH214+CJ214*(CI214-CH214))</f>
        <v>0.221899803413923</v>
      </c>
      <c r="CQ214" s="46" t="n">
        <f aca="false">CL214/CG214</f>
        <v>0.961284960790382</v>
      </c>
      <c r="CR214" s="43" t="n">
        <f aca="false">IF(CL214-CH214&lt;=0,"n/a",(CI214-CL214)/(CL214-CH214))</f>
        <v>1.67352040627418</v>
      </c>
      <c r="CS214" s="43" t="n">
        <f aca="false">IF(CI214-CL214&lt;=0,"n/a",(CL214-CH214)/(CI214-CL214))</f>
        <v>0.597542758517262</v>
      </c>
      <c r="CT214" s="43" t="n">
        <f aca="false">Inputs_General!$C$23+Inputs_General!$C$24*$I214</f>
        <v>0.66</v>
      </c>
      <c r="CU214" s="44" t="n">
        <f aca="false">3.29*CT214</f>
        <v>2.1714</v>
      </c>
    </row>
    <row r="215" customFormat="false" ht="15" hidden="false" customHeight="false" outlineLevel="0" collapsed="false">
      <c r="A215" s="9" t="str">
        <f aca="false">B215&amp;"|"&amp;E215&amp;"|"&amp;F215</f>
        <v>D3V3|13/03/2026|Low</v>
      </c>
      <c r="B215" s="7" t="s">
        <v>351</v>
      </c>
      <c r="C215" s="9" t="s">
        <v>131</v>
      </c>
      <c r="D215" s="9" t="s">
        <v>150</v>
      </c>
      <c r="E215" s="9" t="s">
        <v>164</v>
      </c>
      <c r="F215" s="7" t="s">
        <v>279</v>
      </c>
      <c r="G215" s="9" t="s">
        <v>280</v>
      </c>
      <c r="H215" s="41" t="n">
        <f aca="false">INDEX(Severity_Classes!$C$4:$C$9,MATCH(F215,Severity_Classes!$A$4:$A$9,0))</f>
        <v>0.06</v>
      </c>
      <c r="I215" s="41" t="n">
        <f aca="false">INDEX(Severity_Classes!$D$4:$D$9,MATCH(F215,Severity_Classes!$A$4:$A$9,0))</f>
        <v>0.08</v>
      </c>
      <c r="J215" s="41" t="n">
        <f aca="false">INDEX(Severity_Classes!$E$4:$E$9,MATCH(F215,Severity_Classes!$A$4:$A$9,0))</f>
        <v>0.1</v>
      </c>
      <c r="K215" s="42" t="n">
        <f aca="false">MATCH(B215&amp;"|"&amp;E215,Context!$A$4:$A$51,0)</f>
        <v>36</v>
      </c>
      <c r="L215" s="42" t="n">
        <f aca="false">INDEX(Context!$H$4:$H$51,K215)</f>
        <v>76</v>
      </c>
      <c r="M215" s="42" t="n">
        <f aca="false">INDEX(Context!$I$4:$I$51,K215)</f>
        <v>36</v>
      </c>
      <c r="N215" s="9" t="str">
        <f aca="false">INDEX(Context!$L$4:$L$51,K215)</f>
        <v>P</v>
      </c>
      <c r="O215" s="9" t="str">
        <f aca="false">INDEX(Context!$M$4:$M$51,K215)</f>
        <v>5th fully expanded leaf from top</v>
      </c>
      <c r="P215" s="43" t="n">
        <f aca="false">INDEX(Context!$R$4:$R$51,K215)</f>
        <v>0.953571428571428</v>
      </c>
      <c r="Q215" s="43" t="n">
        <f aca="false">INDEX(Context!$U$4:$U$51,K215)</f>
        <v>2.18945736698217</v>
      </c>
      <c r="R215" s="43" t="n">
        <f aca="false">INDEX(Context!$AD$4:$AD$51,K215)</f>
        <v>0.85</v>
      </c>
      <c r="S215" s="9" t="str">
        <f aca="false">INDEX(Context!$AI$4:$AN$51,K215,MATCH(F215,Severity_Classes!$A$4:$A$9,0))</f>
        <v>Likely</v>
      </c>
      <c r="T215" s="44" t="n">
        <f aca="false">Parameters!$E$4*IF($N215="V",Parameters!$I$4,IF($N215="F",Parameters!$J$4,Parameters!$K$4))*(1-Parameters!$L$4*$P215)*IF($D215="V1",Parameters!$M$4,IF($D215="V2",Parameters!$N$4,Parameters!$O$4))</f>
        <v>77.8046607142857</v>
      </c>
      <c r="U215" s="44" t="n">
        <f aca="false">MIN(100,T215*(1+INDEX(Response_Table!$E$4:$E$21,MATCH($F215&amp;"|mid",Response_Table!$A$4:$A$21,0))*$R215*INDEX(Parameters!$X$4:$AA$4,1,MATCH($E215,Parameters!$X$3:$AA$3,0))))</f>
        <v>76.8841668897645</v>
      </c>
      <c r="V215" s="44" t="n">
        <f aca="false">MAX(0,MIN(T215*(1+INDEX(Response_Table!$E$4:$E$21,MATCH($F215&amp;"|low",Response_Table!$A$4:$A$21,0))*$R215*INDEX(Parameters!$X$4:$AA$4,1,MATCH($E215,Parameters!$X$3:$AA$3,0))),T215*(1+INDEX(Response_Table!$E$4:$E$21,MATCH($F215&amp;"|high",Response_Table!$A$4:$A$21,0))*$R215*INDEX(Parameters!$X$4:$AA$4,1,MATCH($E215,Parameters!$X$3:$AA$3,0))))*(1-Inputs_General!$C$22*Parameters!$F$4))</f>
        <v>71.524741032591</v>
      </c>
      <c r="W215" s="44" t="n">
        <f aca="false">MIN(100,MAX(T215*(1+INDEX(Response_Table!$E$4:$E$21,MATCH($F215&amp;"|low",Response_Table!$A$4:$A$21,0))*$R215*INDEX(Parameters!$X$4:$AA$4,1,MATCH($E215,Parameters!$X$3:$AA$3,0))),T215*(1+INDEX(Response_Table!$E$4:$E$21,MATCH($F215&amp;"|high",Response_Table!$A$4:$A$21,0))*$R215*INDEX(Parameters!$X$4:$AA$4,1,MATCH($E215,Parameters!$X$3:$AA$3,0))))*(1+Inputs_General!$C$22*Parameters!$F$4))</f>
        <v>82.2426971382136</v>
      </c>
      <c r="X215" s="45" t="n">
        <f aca="false">IF(T215=0,0,U215/T215-1)</f>
        <v>-0.0118308314189739</v>
      </c>
      <c r="Y215" s="44" t="n">
        <f aca="false">Parameters!$E$5*IF($N215="V",Parameters!$I$5,IF($N215="F",Parameters!$J$5,Parameters!$K$5))*(1-Parameters!$L$5*$P215)*IF($D215="V1",Parameters!$M$5,IF($D215="V2",Parameters!$N$5,Parameters!$O$5))</f>
        <v>58.6602514285714</v>
      </c>
      <c r="Z215" s="44" t="n">
        <f aca="false">MIN(100,Y215*(1+INDEX(Response_Table!$F$4:$F$21,MATCH($F215&amp;"|mid",Response_Table!$A$4:$A$21,0))*$R215*INDEX(Parameters!$X$5:$AA$5,1,MATCH($E215,Parameters!$X$3:$AA$3,0))))</f>
        <v>56.3691726566768</v>
      </c>
      <c r="AA215" s="44" t="n">
        <f aca="false">MAX(0,MIN(Y215*(1+INDEX(Response_Table!$F$4:$F$21,MATCH($F215&amp;"|low",Response_Table!$A$4:$A$21,0))*$R215*INDEX(Parameters!$X$5:$AA$5,1,MATCH($E215,Parameters!$X$3:$AA$3,0))),Y215*(1+INDEX(Response_Table!$F$4:$F$21,MATCH($F215&amp;"|high",Response_Table!$A$4:$A$21,0))*$R215*INDEX(Parameters!$X$5:$AA$5,1,MATCH($E215,Parameters!$X$3:$AA$3,0))))*(1-Inputs_General!$C$22*Parameters!$F$5))</f>
        <v>49.1362677854468</v>
      </c>
      <c r="AB215" s="44" t="n">
        <f aca="false">MIN(100,MAX(Y215*(1+INDEX(Response_Table!$F$4:$F$21,MATCH($F215&amp;"|low",Response_Table!$A$4:$A$21,0))*$R215*INDEX(Parameters!$X$5:$AA$5,1,MATCH($E215,Parameters!$X$3:$AA$3,0))),Y215*(1+INDEX(Response_Table!$F$4:$F$21,MATCH($F215&amp;"|high",Response_Table!$A$4:$A$21,0))*$R215*INDEX(Parameters!$X$5:$AA$5,1,MATCH($E215,Parameters!$X$3:$AA$3,0))))*(1+Inputs_General!$C$22*Parameters!$F$5))</f>
        <v>63.6632496570772</v>
      </c>
      <c r="AC215" s="45" t="n">
        <f aca="false">IF(Y215=0,0,Z215/Y215-1)</f>
        <v>-0.0390567499473533</v>
      </c>
      <c r="AD215" s="44" t="n">
        <f aca="false">Parameters!$E$6*IF($N215="V",Parameters!$I$6,IF($N215="F",Parameters!$J$6,Parameters!$K$6))*(1-Parameters!$L$6*$P215)*IF($D215="V1",Parameters!$M$6,IF($D215="V2",Parameters!$N$6,Parameters!$O$6))</f>
        <v>14.7310379285714</v>
      </c>
      <c r="AE215" s="44" t="n">
        <f aca="false">AD215*(1+INDEX(Response_Table!$G$4:$G$21,MATCH($F215&amp;"|mid",Response_Table!$A$4:$A$21,0))*$R215*INDEX(Parameters!$X$6:$AA$6,1,MATCH($E215,Parameters!$X$3:$AA$3,0)))</f>
        <v>11.9445306705251</v>
      </c>
      <c r="AF215" s="44" t="n">
        <f aca="false">MAX(0,MIN(AD215*(1+INDEX(Response_Table!$G$4:$G$21,MATCH($F215&amp;"|low",Response_Table!$A$4:$A$21,0))*$R215*INDEX(Parameters!$X$6:$AA$6,1,MATCH($E215,Parameters!$X$3:$AA$3,0))),AD215*(1+INDEX(Response_Table!$G$4:$G$21,MATCH($F215&amp;"|high",Response_Table!$A$4:$A$21,0))*$R215*INDEX(Parameters!$X$6:$AA$6,1,MATCH($E215,Parameters!$X$3:$AA$3,0))))*(1-Inputs_General!$C$22*Parameters!$F$6))</f>
        <v>9.14014596627413</v>
      </c>
      <c r="AG215" s="44" t="n">
        <f aca="false">MAX(AD215*(1+INDEX(Response_Table!$G$4:$G$21,MATCH($F215&amp;"|low",Response_Table!$A$4:$A$21,0))*$R215*INDEX(Parameters!$X$6:$AA$6,1,MATCH($E215,Parameters!$X$3:$AA$3,0))),AD215*(1+INDEX(Response_Table!$G$4:$G$21,MATCH($F215&amp;"|high",Response_Table!$A$4:$A$21,0))*$R215*INDEX(Parameters!$X$6:$AA$6,1,MATCH($E215,Parameters!$X$3:$AA$3,0))))*(1+Inputs_General!$C$22*Parameters!$F$6)</f>
        <v>15.0298473354425</v>
      </c>
      <c r="AH215" s="45" t="n">
        <f aca="false">IF(AD215=0,0,AE215/AD215-1)</f>
        <v>-0.189158922240083</v>
      </c>
      <c r="AI215" s="46" t="n">
        <f aca="false">Parameters!$E$7*IF($N215="V",Parameters!$I$7,IF($N215="F",Parameters!$J$7,Parameters!$K$7))*(1-Parameters!$L$7*$P215)*IF($D215="V1",Parameters!$M$7,IF($D215="V2",Parameters!$N$7,Parameters!$O$7))*POWER($Q215/Inputs_General!$C$26,-Inputs_General!$C$25)</f>
        <v>0.258501574676089</v>
      </c>
      <c r="AJ215" s="46" t="n">
        <f aca="false">AI215*(1+INDEX(Response_Table!$H$4:$H$21,MATCH($F215&amp;"|mid",Response_Table!$A$4:$A$21,0))*$R215*INDEX(Parameters!$X$7:$AA$7,1,MATCH($E215,Parameters!$X$3:$AA$3,0)))</f>
        <v>0.228027313442858</v>
      </c>
      <c r="AK215" s="46" t="n">
        <f aca="false">MAX(0,MIN(AI215*(1+INDEX(Response_Table!$H$4:$H$21,MATCH($F215&amp;"|low",Response_Table!$A$4:$A$21,0))*$R215*INDEX(Parameters!$X$7:$AA$7,1,MATCH($E215,Parameters!$X$3:$AA$3,0))),AI215*(1+INDEX(Response_Table!$H$4:$H$21,MATCH($F215&amp;"|high",Response_Table!$A$4:$A$21,0))*$R215*INDEX(Parameters!$X$7:$AA$7,1,MATCH($E215,Parameters!$X$3:$AA$3,0))))*(1-Inputs_General!$C$22*Parameters!$F$7))</f>
        <v>0.155903068705983</v>
      </c>
      <c r="AL215" s="46" t="n">
        <f aca="false">MAX(AI215*(1+INDEX(Response_Table!$H$4:$H$21,MATCH($F215&amp;"|low",Response_Table!$A$4:$A$21,0))*$R215*INDEX(Parameters!$X$7:$AA$7,1,MATCH($E215,Parameters!$X$3:$AA$3,0))),AI215*(1+INDEX(Response_Table!$H$4:$H$21,MATCH($F215&amp;"|high",Response_Table!$A$4:$A$21,0))*$R215*INDEX(Parameters!$X$7:$AA$7,1,MATCH($E215,Parameters!$X$3:$AA$3,0))))*(1+Inputs_General!$C$22*Parameters!$F$7)</f>
        <v>0.304550471537214</v>
      </c>
      <c r="AM215" s="45" t="n">
        <f aca="false">IF(AI215=0,0,AJ215/AI215-1)</f>
        <v>-0.117888106760729</v>
      </c>
      <c r="AN215" s="43" t="n">
        <f aca="false">AI215*$Q215/Inputs_General!$C$13*1000</f>
        <v>5.69967952720096</v>
      </c>
      <c r="AO215" s="43" t="n">
        <f aca="false">AJ215*$Q215/Inputs_General!$C$13*1000*(1+Inputs_General!$C$21*$I215)</f>
        <v>5.12831020056827</v>
      </c>
      <c r="AP215" s="43" t="n">
        <f aca="false">AK215*$Q215/Inputs_General!$C$13*1000*(1+Inputs_General!$C$21*$H215)</f>
        <v>3.48905608406993</v>
      </c>
      <c r="AQ215" s="43" t="n">
        <f aca="false">AL215*$Q215/Inputs_General!$C$13*1000*(1+Inputs_General!$C$21*$J215)</f>
        <v>6.88288298452339</v>
      </c>
      <c r="AR215" s="45" t="n">
        <f aca="false">IF(AN215=0,0,AO215/AN215-1)</f>
        <v>-0.100245868895944</v>
      </c>
      <c r="AS215" s="42" t="n">
        <f aca="false">Parameters!$E$9*IF($N215="V",Parameters!$I$9,IF($N215="F",Parameters!$J$9,Parameters!$K$9))*(1-Parameters!$L$9*$P215)*IF($D215="V1",Parameters!$M$9,IF($D215="V2",Parameters!$N$9,Parameters!$O$9))</f>
        <v>293.55</v>
      </c>
      <c r="AT215" s="42" t="n">
        <f aca="false">AS215*(1+INDEX(Response_Table!$I$4:$I$21,MATCH($F215&amp;"|mid",Response_Table!$A$4:$A$21,0))*$R215*INDEX(Parameters!$X$9:$AA$9,1,MATCH($E215,Parameters!$X$3:$AA$3,0)))</f>
        <v>314.04918229259</v>
      </c>
      <c r="AU215" s="42" t="n">
        <f aca="false">MAX(0,MIN(AS215*(1+INDEX(Response_Table!$I$4:$I$21,MATCH($F215&amp;"|low",Response_Table!$A$4:$A$21,0))*$R215*INDEX(Parameters!$X$9:$AA$9,1,MATCH($E215,Parameters!$X$3:$AA$3,0))),AS215*(1+INDEX(Response_Table!$I$4:$I$21,MATCH($F215&amp;"|high",Response_Table!$A$4:$A$21,0))*$R215*INDEX(Parameters!$X$9:$AA$9,1,MATCH($E215,Parameters!$X$3:$AA$3,0))))*(1-Inputs_General!$C$22*Parameters!$F$9))</f>
        <v>278.972200954852</v>
      </c>
      <c r="AV215" s="42" t="n">
        <f aca="false">MAX(AS215*(1+INDEX(Response_Table!$I$4:$I$21,MATCH($F215&amp;"|low",Response_Table!$A$4:$A$21,0))*$R215*INDEX(Parameters!$X$9:$AA$9,1,MATCH($E215,Parameters!$X$3:$AA$3,0))),AS215*(1+INDEX(Response_Table!$I$4:$I$21,MATCH($F215&amp;"|high",Response_Table!$A$4:$A$21,0))*$R215*INDEX(Parameters!$X$9:$AA$9,1,MATCH($E215,Parameters!$X$3:$AA$3,0))))*(1+Inputs_General!$C$22*Parameters!$F$9)</f>
        <v>349.637406153404</v>
      </c>
      <c r="AW215" s="45" t="n">
        <f aca="false">IF(AS215=0,0,AT215/AS215-1)</f>
        <v>0.0698319955462088</v>
      </c>
      <c r="AX215" s="43" t="n">
        <f aca="false">INDEX(Context!$AB$4:$AB$51,$K215)</f>
        <v>2.86350044433308</v>
      </c>
      <c r="AY215" s="43" t="n">
        <f aca="false">AX215*(1+INDEX(Response_Table!$J$4:$J$21,MATCH($F215&amp;"|mid",Response_Table!$A$4:$A$21,0))*$R215*INDEX(Parameters!$X$10:$AA$10,1,MATCH($E215,Parameters!$X$3:$AA$3,0)))</f>
        <v>2.66495824665037</v>
      </c>
      <c r="AZ215" s="43" t="n">
        <f aca="false">MAX(0,MIN(AX215*(1+INDEX(Response_Table!$J$4:$J$21,MATCH($F215&amp;"|low",Response_Table!$A$4:$A$21,0))*$R215*INDEX(Parameters!$X$10:$AA$10,1,MATCH($E215,Parameters!$X$3:$AA$3,0))),AX215*(1+INDEX(Response_Table!$J$4:$J$21,MATCH($F215&amp;"|high",Response_Table!$A$4:$A$21,0))*$R215*INDEX(Parameters!$X$10:$AA$10,1,MATCH($E215,Parameters!$X$3:$AA$3,0))))*(1-Inputs_General!$C$22*Parameters!$F$10))</f>
        <v>2.10379389516396</v>
      </c>
      <c r="BA215" s="43" t="n">
        <f aca="false">MAX(AX215*(1+INDEX(Response_Table!$J$4:$J$21,MATCH($F215&amp;"|low",Response_Table!$A$4:$A$21,0))*$R215*INDEX(Parameters!$X$10:$AA$10,1,MATCH($E215,Parameters!$X$3:$AA$3,0))),AX215*(1+INDEX(Response_Table!$J$4:$J$21,MATCH($F215&amp;"|high",Response_Table!$A$4:$A$21,0))*$R215*INDEX(Parameters!$X$10:$AA$10,1,MATCH($E215,Parameters!$X$3:$AA$3,0))))*(1+Inputs_General!$C$22*Parameters!$F$10)</f>
        <v>3.24607408899849</v>
      </c>
      <c r="BB215" s="45" t="n">
        <f aca="false">IF(AX215=0,0,AY215/AX215-1)</f>
        <v>-0.069335486947672</v>
      </c>
      <c r="BC215" s="46" t="n">
        <f aca="false">Parameters!$E$11*IF($N215="V",Parameters!$I$11,IF($N215="F",Parameters!$J$11,Parameters!$K$11))*(1-Parameters!$L$11*$P215)*IF($D215="V1",Parameters!$M$11,IF($D215="V2",Parameters!$N$11,Parameters!$O$11))</f>
        <v>1.03176111607143</v>
      </c>
      <c r="BD215" s="46" t="n">
        <f aca="false">BC215*(1+INDEX(Response_Table!$K$4:$K$21,MATCH($F215&amp;"|mid",Response_Table!$A$4:$A$21,0))*$R215*INDEX(Parameters!$X$11:$AA$11,1,MATCH($E215,Parameters!$X$3:$AA$3,0)))</f>
        <v>0.903011193341614</v>
      </c>
      <c r="BE215" s="46" t="n">
        <f aca="false">MAX(0,MIN(BC215*(1+INDEX(Response_Table!$K$4:$K$21,MATCH($F215&amp;"|low",Response_Table!$A$4:$A$21,0))*$R215*INDEX(Parameters!$X$11:$AA$11,1,MATCH($E215,Parameters!$X$3:$AA$3,0))),BC215*(1+INDEX(Response_Table!$K$4:$K$21,MATCH($F215&amp;"|high",Response_Table!$A$4:$A$21,0))*$R215*INDEX(Parameters!$X$11:$AA$11,1,MATCH($E215,Parameters!$X$3:$AA$3,0))))*(1-Inputs_General!$C$22*Parameters!$F$11))</f>
        <v>0.731608012824588</v>
      </c>
      <c r="BF215" s="46" t="n">
        <f aca="false">MAX(BC215*(1+INDEX(Response_Table!$K$4:$K$21,MATCH($F215&amp;"|low",Response_Table!$A$4:$A$21,0))*$R215*INDEX(Parameters!$X$11:$AA$11,1,MATCH($E215,Parameters!$X$3:$AA$3,0))),BC215*(1+INDEX(Response_Table!$K$4:$K$21,MATCH($F215&amp;"|high",Response_Table!$A$4:$A$21,0))*$R215*INDEX(Parameters!$X$11:$AA$11,1,MATCH($E215,Parameters!$X$3:$AA$3,0))))*(1+Inputs_General!$C$22*Parameters!$F$11)</f>
        <v>1.08552086519935</v>
      </c>
      <c r="BG215" s="45" t="n">
        <f aca="false">IF(BC215=0,0,BD215/BC215-1)</f>
        <v>-0.124786562242283</v>
      </c>
      <c r="BH215" s="46" t="n">
        <f aca="false">Parameters!$E$12*IF($N215="V",Parameters!$I$12,IF($N215="F",Parameters!$J$12,Parameters!$K$12))*(1-Parameters!$L$12*$P215)*IF($D215="V1",Parameters!$M$12,IF($D215="V2",Parameters!$N$12,Parameters!$O$12))</f>
        <v>0.384543437142857</v>
      </c>
      <c r="BI215" s="46" t="n">
        <f aca="false">BH215*(1+INDEX(Response_Table!$L$4:$L$21,MATCH($F215&amp;"|mid",Response_Table!$A$4:$A$21,0))*$R215*INDEX(Parameters!$X$12:$AA$12,1,MATCH($E215,Parameters!$X$3:$AA$3,0)))</f>
        <v>0.346184662104981</v>
      </c>
      <c r="BJ215" s="46" t="n">
        <f aca="false">MAX(0,MIN(BH215*(1+INDEX(Response_Table!$L$4:$L$21,MATCH($F215&amp;"|low",Response_Table!$A$4:$A$21,0))*$R215*INDEX(Parameters!$X$12:$AA$12,1,MATCH($E215,Parameters!$X$3:$AA$3,0))),BH215*(1+INDEX(Response_Table!$L$4:$L$21,MATCH($F215&amp;"|high",Response_Table!$A$4:$A$21,0))*$R215*INDEX(Parameters!$X$12:$AA$12,1,MATCH($E215,Parameters!$X$3:$AA$3,0))))*(1-Inputs_General!$C$22*Parameters!$F$12))</f>
        <v>0.271238089888349</v>
      </c>
      <c r="BK215" s="46" t="n">
        <f aca="false">MAX(BH215*(1+INDEX(Response_Table!$L$4:$L$21,MATCH($F215&amp;"|low",Response_Table!$A$4:$A$21,0))*$R215*INDEX(Parameters!$X$12:$AA$12,1,MATCH($E215,Parameters!$X$3:$AA$3,0))),BH215*(1+INDEX(Response_Table!$L$4:$L$21,MATCH($F215&amp;"|high",Response_Table!$A$4:$A$21,0))*$R215*INDEX(Parameters!$X$12:$AA$12,1,MATCH($E215,Parameters!$X$3:$AA$3,0))))*(1+Inputs_General!$C$22*Parameters!$F$12)</f>
        <v>0.424992337547858</v>
      </c>
      <c r="BL215" s="45" t="n">
        <f aca="false">IF(BH215=0,0,BI215/BH215-1)</f>
        <v>-0.0997514749513864</v>
      </c>
      <c r="BM215" s="46" t="n">
        <f aca="false">Parameters!$E$13*IF($N215="V",Parameters!$I$13,IF($N215="F",Parameters!$J$13,Parameters!$K$13))*(1-Parameters!$L$13*$P215)*IF($D215="V1",Parameters!$M$13,IF($D215="V2",Parameters!$N$13,Parameters!$O$13))</f>
        <v>0.270144353571429</v>
      </c>
      <c r="BN215" s="46" t="n">
        <f aca="false">BM215*(1+INDEX(Response_Table!$M$4:$M$21,MATCH($F215&amp;"|mid",Response_Table!$A$4:$A$21,0))*$R215*INDEX(Parameters!$X$13:$AA$13,1,MATCH($E215,Parameters!$X$3:$AA$3,0)))</f>
        <v>0.272983262848677</v>
      </c>
      <c r="BO215" s="46" t="n">
        <f aca="false">MAX(0,MIN(BM215*(1+INDEX(Response_Table!$M$4:$M$21,MATCH($F215&amp;"|low",Response_Table!$A$4:$A$21,0))*$R215*INDEX(Parameters!$X$13:$AA$13,1,MATCH($E215,Parameters!$X$3:$AA$3,0))),BM215*(1+INDEX(Response_Table!$M$4:$M$21,MATCH($F215&amp;"|high",Response_Table!$A$4:$A$21,0))*$R215*INDEX(Parameters!$X$13:$AA$13,1,MATCH($E215,Parameters!$X$3:$AA$3,0))))*(1-Inputs_General!$C$22*Parameters!$F$13))</f>
        <v>0.216140995109576</v>
      </c>
      <c r="BP215" s="46" t="n">
        <f aca="false">MAX(BM215*(1+INDEX(Response_Table!$M$4:$M$21,MATCH($F215&amp;"|low",Response_Table!$A$4:$A$21,0))*$R215*INDEX(Parameters!$X$13:$AA$13,1,MATCH($E215,Parameters!$X$3:$AA$3,0))),BM215*(1+INDEX(Response_Table!$M$4:$M$21,MATCH($F215&amp;"|high",Response_Table!$A$4:$A$21,0))*$R215*INDEX(Parameters!$X$13:$AA$13,1,MATCH($E215,Parameters!$X$3:$AA$3,0))))*(1+Inputs_General!$C$22*Parameters!$F$13)</f>
        <v>0.329964504088588</v>
      </c>
      <c r="BQ215" s="45" t="n">
        <f aca="false">IF(BM215=0,0,BN215/BM215-1)</f>
        <v>0.0105088603175196</v>
      </c>
      <c r="BR215" s="44" t="n">
        <f aca="false">Parameters!$E$14*IF($N215="V",Parameters!$I$14,IF($N215="F",Parameters!$J$14,Parameters!$K$14))*(1-Parameters!$L$14*$P215)*IF($D215="V1",Parameters!$M$14,IF($D215="V2",Parameters!$N$14,Parameters!$O$14))*INDEX(Context!$AC$4:$AC$51,$K215)</f>
        <v>17.25</v>
      </c>
      <c r="BS215" s="44" t="n">
        <f aca="false">BR215*(1+INDEX(Response_Table!$N$4:$N$21,MATCH($F215&amp;"|mid",Response_Table!$A$4:$A$21,0))*$R215*INDEX(Parameters!$X$14:$AA$14,1,MATCH($E215,Parameters!$X$3:$AA$3,0)))</f>
        <v>19.127141392267</v>
      </c>
      <c r="BT215" s="44" t="n">
        <f aca="false">MAX(0,MIN(BR215*(1+INDEX(Response_Table!$N$4:$N$21,MATCH($F215&amp;"|low",Response_Table!$A$4:$A$21,0))*$R215*INDEX(Parameters!$X$14:$AA$14,1,MATCH($E215,Parameters!$X$3:$AA$3,0))),BR215*(1+INDEX(Response_Table!$N$4:$N$21,MATCH($F215&amp;"|high",Response_Table!$A$4:$A$21,0))*$R215*INDEX(Parameters!$X$14:$AA$14,1,MATCH($E215,Parameters!$X$3:$AA$3,0))))*(1-Inputs_General!$C$22*Parameters!$F$14))</f>
        <v>9.47115002460288</v>
      </c>
      <c r="BU215" s="44" t="n">
        <f aca="false">MAX(BR215*(1+INDEX(Response_Table!$N$4:$N$21,MATCH($F215&amp;"|low",Response_Table!$A$4:$A$21,0))*$R215*INDEX(Parameters!$X$14:$AA$14,1,MATCH($E215,Parameters!$X$3:$AA$3,0))),BR215*(1+INDEX(Response_Table!$N$4:$N$21,MATCH($F215&amp;"|high",Response_Table!$A$4:$A$21,0))*$R215*INDEX(Parameters!$X$14:$AA$14,1,MATCH($E215,Parameters!$X$3:$AA$3,0))))*(1+Inputs_General!$C$22*Parameters!$F$14)</f>
        <v>29.1682815692558</v>
      </c>
      <c r="BV215" s="45" t="n">
        <f aca="false">IF(BR215=0,0,BS215/BR215-1)</f>
        <v>0.108819790856058</v>
      </c>
      <c r="BW215" s="43" t="n">
        <f aca="false">Parameters!$E$15*IF($N215="V",Parameters!$I$15,IF($N215="F",Parameters!$J$15,Parameters!$K$15))*(1-Parameters!$L$15*$P215)*IF($D215="V1",Parameters!$M$15,IF($D215="V2",Parameters!$N$15,Parameters!$O$15))</f>
        <v>7.73084285714286</v>
      </c>
      <c r="BX215" s="43" t="n">
        <f aca="false">BW215*(1+INDEX(Response_Table!$O$4:$O$21,MATCH($F215&amp;"|mid",Response_Table!$A$4:$A$21,0))*$R215*INDEX(Parameters!$X$15:$AA$15,1,MATCH($E215,Parameters!$X$3:$AA$3,0)))</f>
        <v>7.52052568142902</v>
      </c>
      <c r="BY215" s="43" t="n">
        <f aca="false">MAX(0,MIN(BW215*(1+INDEX(Response_Table!$O$4:$O$21,MATCH($F215&amp;"|low",Response_Table!$A$4:$A$21,0))*$R215*INDEX(Parameters!$X$15:$AA$15,1,MATCH($E215,Parameters!$X$3:$AA$3,0))),BW215*(1+INDEX(Response_Table!$O$4:$O$21,MATCH($F215&amp;"|high",Response_Table!$A$4:$A$21,0))*$R215*INDEX(Parameters!$X$15:$AA$15,1,MATCH($E215,Parameters!$X$3:$AA$3,0))))*(1-Inputs_General!$C$22*Parameters!$F$15))</f>
        <v>5.9997335047629</v>
      </c>
      <c r="BZ215" s="43" t="n">
        <f aca="false">MAX(BW215*(1+INDEX(Response_Table!$O$4:$O$21,MATCH($F215&amp;"|low",Response_Table!$A$4:$A$21,0))*$R215*INDEX(Parameters!$X$15:$AA$15,1,MATCH($E215,Parameters!$X$3:$AA$3,0))),BW215*(1+INDEX(Response_Table!$O$4:$O$21,MATCH($F215&amp;"|high",Response_Table!$A$4:$A$21,0))*$R215*INDEX(Parameters!$X$15:$AA$15,1,MATCH($E215,Parameters!$X$3:$AA$3,0))))*(1+Inputs_General!$C$22*Parameters!$F$15)</f>
        <v>9.06248788568026</v>
      </c>
      <c r="CA215" s="45" t="n">
        <f aca="false">IF(BW215=0,0,BX215/BW215-1)</f>
        <v>-0.0272049477140144</v>
      </c>
      <c r="CB215" s="46" t="n">
        <f aca="false">BD215+BI215</f>
        <v>1.2491958554466</v>
      </c>
      <c r="CC215" s="43" t="n">
        <f aca="false">BD215/BI215</f>
        <v>2.60846678720784</v>
      </c>
      <c r="CD215" s="46" t="n">
        <f aca="false">BN215/CB215</f>
        <v>0.21852719224007</v>
      </c>
      <c r="CE215" s="43" t="n">
        <f aca="false">AE215/AO215</f>
        <v>2.32913575883173</v>
      </c>
      <c r="CF215" s="44" t="n">
        <f aca="false">AE215/AJ215</f>
        <v>52.3820172688142</v>
      </c>
      <c r="CG215" s="44" t="n">
        <f aca="false">INDEX(Context!$V$4:$V$51,$K215)</f>
        <v>32.7871428571429</v>
      </c>
      <c r="CH215" s="44" t="n">
        <f aca="false">INDEX(Context!$Y$4:$Y$51,$K215)</f>
        <v>28.36912210206</v>
      </c>
      <c r="CI215" s="44" t="n">
        <f aca="false">INDEX(Context!$Z$4:$Z$51,$K215)</f>
        <v>36.7871428571429</v>
      </c>
      <c r="CJ215" s="43" t="n">
        <f aca="false">INDEX(Context!$AA$4:$AA$51,$K215)</f>
        <v>0.347678571428571</v>
      </c>
      <c r="CK215" s="43" t="n">
        <f aca="false">MAX(0,MIN(1,1-(1-CJ215)*AO215/AN215))</f>
        <v>0.413071099835158</v>
      </c>
      <c r="CL215" s="44" t="n">
        <f aca="false">CH215+CK215*(CI215-CH215)</f>
        <v>31.8463631937973</v>
      </c>
      <c r="CM215" s="44" t="n">
        <f aca="false">CH215+MAX(0,MIN(1,1-(1-CJ215)*AQ215/AN215))*(CI215-CH215)</f>
        <v>30.1559511107169</v>
      </c>
      <c r="CN215" s="44" t="n">
        <f aca="false">CH215+MAX(0,MIN(1,1-(1-CJ215)*AP215/AN215))*(CI215-CH215)</f>
        <v>33.4256735484933</v>
      </c>
      <c r="CO215" s="44" t="n">
        <f aca="false">CL215-CG215</f>
        <v>-0.940779663345573</v>
      </c>
      <c r="CP215" s="44" t="n">
        <f aca="false">CL215-(CH215+CJ215*(CI215-CH215))</f>
        <v>0.550475661353985</v>
      </c>
      <c r="CQ215" s="46" t="n">
        <f aca="false">CL215/CG215</f>
        <v>0.971306445717315</v>
      </c>
      <c r="CR215" s="43" t="n">
        <f aca="false">IF(CL215-CH215&lt;=0,"n/a",(CI215-CL215)/(CL215-CH215))</f>
        <v>1.42089073866234</v>
      </c>
      <c r="CS215" s="43" t="n">
        <f aca="false">IF(CI215-CL215&lt;=0,"n/a",(CL215-CH215)/(CI215-CL215))</f>
        <v>0.703783882032635</v>
      </c>
      <c r="CT215" s="43" t="n">
        <f aca="false">Inputs_General!$C$23+Inputs_General!$C$24*$I215</f>
        <v>0.76</v>
      </c>
      <c r="CU215" s="44" t="n">
        <f aca="false">3.29*CT215</f>
        <v>2.5004</v>
      </c>
    </row>
    <row r="216" customFormat="false" ht="15" hidden="false" customHeight="false" outlineLevel="0" collapsed="false">
      <c r="A216" s="9" t="str">
        <f aca="false">B216&amp;"|"&amp;E216&amp;"|"&amp;F216</f>
        <v>D3V3|13/03/2026|Moderate</v>
      </c>
      <c r="B216" s="7" t="s">
        <v>351</v>
      </c>
      <c r="C216" s="9" t="s">
        <v>131</v>
      </c>
      <c r="D216" s="9" t="s">
        <v>150</v>
      </c>
      <c r="E216" s="9" t="s">
        <v>164</v>
      </c>
      <c r="F216" s="7" t="s">
        <v>281</v>
      </c>
      <c r="G216" s="9" t="s">
        <v>282</v>
      </c>
      <c r="H216" s="41" t="n">
        <f aca="false">INDEX(Severity_Classes!$C$4:$C$9,MATCH(F216,Severity_Classes!$A$4:$A$9,0))</f>
        <v>0.11</v>
      </c>
      <c r="I216" s="41" t="n">
        <f aca="false">INDEX(Severity_Classes!$D$4:$D$9,MATCH(F216,Severity_Classes!$A$4:$A$9,0))</f>
        <v>0.18</v>
      </c>
      <c r="J216" s="41" t="n">
        <f aca="false">INDEX(Severity_Classes!$E$4:$E$9,MATCH(F216,Severity_Classes!$A$4:$A$9,0))</f>
        <v>0.25</v>
      </c>
      <c r="K216" s="42" t="n">
        <f aca="false">MATCH(B216&amp;"|"&amp;E216,Context!$A$4:$A$51,0)</f>
        <v>36</v>
      </c>
      <c r="L216" s="42" t="n">
        <f aca="false">INDEX(Context!$H$4:$H$51,K216)</f>
        <v>76</v>
      </c>
      <c r="M216" s="42" t="n">
        <f aca="false">INDEX(Context!$I$4:$I$51,K216)</f>
        <v>36</v>
      </c>
      <c r="N216" s="9" t="str">
        <f aca="false">INDEX(Context!$L$4:$L$51,K216)</f>
        <v>P</v>
      </c>
      <c r="O216" s="9" t="str">
        <f aca="false">INDEX(Context!$M$4:$M$51,K216)</f>
        <v>5th fully expanded leaf from top</v>
      </c>
      <c r="P216" s="43" t="n">
        <f aca="false">INDEX(Context!$R$4:$R$51,K216)</f>
        <v>0.953571428571428</v>
      </c>
      <c r="Q216" s="43" t="n">
        <f aca="false">INDEX(Context!$U$4:$U$51,K216)</f>
        <v>2.18945736698217</v>
      </c>
      <c r="R216" s="43" t="n">
        <f aca="false">INDEX(Context!$AD$4:$AD$51,K216)</f>
        <v>0.85</v>
      </c>
      <c r="S216" s="9" t="str">
        <f aca="false">INDEX(Context!$AI$4:$AN$51,K216,MATCH(F216,Severity_Classes!$A$4:$A$9,0))</f>
        <v>Likely</v>
      </c>
      <c r="T216" s="44" t="n">
        <f aca="false">Parameters!$E$4*IF($N216="V",Parameters!$I$4,IF($N216="F",Parameters!$J$4,Parameters!$K$4))*(1-Parameters!$L$4*$P216)*IF($D216="V1",Parameters!$M$4,IF($D216="V2",Parameters!$N$4,Parameters!$O$4))</f>
        <v>77.8046607142857</v>
      </c>
      <c r="U216" s="44" t="n">
        <f aca="false">MIN(100,T216*(1+INDEX(Response_Table!$E$4:$E$21,MATCH($F216&amp;"|mid",Response_Table!$A$4:$A$21,0))*$R216*INDEX(Parameters!$X$4:$AA$4,1,MATCH($E216,Parameters!$X$3:$AA$3,0))))</f>
        <v>74.7962316528955</v>
      </c>
      <c r="V216" s="44" t="n">
        <f aca="false">MAX(0,MIN(T216*(1+INDEX(Response_Table!$E$4:$E$21,MATCH($F216&amp;"|low",Response_Table!$A$4:$A$21,0))*$R216*INDEX(Parameters!$X$4:$AA$4,1,MATCH($E216,Parameters!$X$3:$AA$3,0))),T216*(1+INDEX(Response_Table!$E$4:$E$21,MATCH($F216&amp;"|high",Response_Table!$A$4:$A$21,0))*$R216*INDEX(Parameters!$X$4:$AA$4,1,MATCH($E216,Parameters!$X$3:$AA$3,0))))*(1-Inputs_General!$C$22*Parameters!$F$4))</f>
        <v>67.7693358771701</v>
      </c>
      <c r="W216" s="44" t="n">
        <f aca="false">MIN(100,MAX(T216*(1+INDEX(Response_Table!$E$4:$E$21,MATCH($F216&amp;"|low",Response_Table!$A$4:$A$21,0))*$R216*INDEX(Parameters!$X$4:$AA$4,1,MATCH($E216,Parameters!$X$3:$AA$3,0))),T216*(1+INDEX(Response_Table!$E$4:$E$21,MATCH($F216&amp;"|high",Response_Table!$A$4:$A$21,0))*$R216*INDEX(Parameters!$X$4:$AA$4,1,MATCH($E216,Parameters!$X$3:$AA$3,0))))*(1+Inputs_General!$C$22*Parameters!$F$4))</f>
        <v>81.4114528265618</v>
      </c>
      <c r="X216" s="45" t="n">
        <f aca="false">IF(T216=0,0,U216/T216-1)</f>
        <v>-0.0386664376371717</v>
      </c>
      <c r="Y216" s="44" t="n">
        <f aca="false">Parameters!$E$5*IF($N216="V",Parameters!$I$5,IF($N216="F",Parameters!$J$5,Parameters!$K$5))*(1-Parameters!$L$5*$P216)*IF($D216="V1",Parameters!$M$5,IF($D216="V2",Parameters!$N$5,Parameters!$O$5))</f>
        <v>58.6602514285714</v>
      </c>
      <c r="Z216" s="44" t="n">
        <f aca="false">MIN(100,Y216*(1+INDEX(Response_Table!$F$4:$F$21,MATCH($F216&amp;"|mid",Response_Table!$A$4:$A$21,0))*$R216*INDEX(Parameters!$X$5:$AA$5,1,MATCH($E216,Parameters!$X$3:$AA$3,0))))</f>
        <v>50.825060684725</v>
      </c>
      <c r="AA216" s="44" t="n">
        <f aca="false">MAX(0,MIN(Y216*(1+INDEX(Response_Table!$F$4:$F$21,MATCH($F216&amp;"|low",Response_Table!$A$4:$A$21,0))*$R216*INDEX(Parameters!$X$5:$AA$5,1,MATCH($E216,Parameters!$X$3:$AA$3,0))),Y216*(1+INDEX(Response_Table!$F$4:$F$21,MATCH($F216&amp;"|high",Response_Table!$A$4:$A$21,0))*$R216*INDEX(Parameters!$X$5:$AA$5,1,MATCH($E216,Parameters!$X$3:$AA$3,0))))*(1-Inputs_General!$C$22*Parameters!$F$5))</f>
        <v>39.8415259259992</v>
      </c>
      <c r="AB216" s="44" t="n">
        <f aca="false">MIN(100,MAX(Y216*(1+INDEX(Response_Table!$F$4:$F$21,MATCH($F216&amp;"|low",Response_Table!$A$4:$A$21,0))*$R216*INDEX(Parameters!$X$5:$AA$5,1,MATCH($E216,Parameters!$X$3:$AA$3,0))),Y216*(1+INDEX(Response_Table!$F$4:$F$21,MATCH($F216&amp;"|high",Response_Table!$A$4:$A$21,0))*$R216*INDEX(Parameters!$X$5:$AA$5,1,MATCH($E216,Parameters!$X$3:$AA$3,0))))*(1+Inputs_General!$C$22*Parameters!$F$5))</f>
        <v>61.4041445853885</v>
      </c>
      <c r="AC216" s="45" t="n">
        <f aca="false">IF(Y216=0,0,Z216/Y216-1)</f>
        <v>-0.133568993535377</v>
      </c>
      <c r="AD216" s="44" t="n">
        <f aca="false">Parameters!$E$6*IF($N216="V",Parameters!$I$6,IF($N216="F",Parameters!$J$6,Parameters!$K$6))*(1-Parameters!$L$6*$P216)*IF($D216="V1",Parameters!$M$6,IF($D216="V2",Parameters!$N$6,Parameters!$O$6))</f>
        <v>14.7310379285714</v>
      </c>
      <c r="AE216" s="44" t="n">
        <f aca="false">AD216*(1+INDEX(Response_Table!$G$4:$G$21,MATCH($F216&amp;"|mid",Response_Table!$A$4:$A$21,0))*$R216*INDEX(Parameters!$X$6:$AA$6,1,MATCH($E216,Parameters!$X$3:$AA$3,0)))</f>
        <v>9.59355874061546</v>
      </c>
      <c r="AF216" s="44" t="n">
        <f aca="false">MAX(0,MIN(AD216*(1+INDEX(Response_Table!$G$4:$G$21,MATCH($F216&amp;"|low",Response_Table!$A$4:$A$21,0))*$R216*INDEX(Parameters!$X$6:$AA$6,1,MATCH($E216,Parameters!$X$3:$AA$3,0))),AD216*(1+INDEX(Response_Table!$G$4:$G$21,MATCH($F216&amp;"|high",Response_Table!$A$4:$A$21,0))*$R216*INDEX(Parameters!$X$6:$AA$6,1,MATCH($E216,Parameters!$X$3:$AA$3,0))))*(1-Inputs_General!$C$22*Parameters!$F$6))</f>
        <v>6.79481625961375</v>
      </c>
      <c r="AG216" s="44" t="n">
        <f aca="false">MAX(AD216*(1+INDEX(Response_Table!$G$4:$G$21,MATCH($F216&amp;"|low",Response_Table!$A$4:$A$21,0))*$R216*INDEX(Parameters!$X$6:$AA$6,1,MATCH($E216,Parameters!$X$3:$AA$3,0))),AD216*(1+INDEX(Response_Table!$G$4:$G$21,MATCH($F216&amp;"|high",Response_Table!$A$4:$A$21,0))*$R216*INDEX(Parameters!$X$6:$AA$6,1,MATCH($E216,Parameters!$X$3:$AA$3,0))))*(1+Inputs_General!$C$22*Parameters!$F$6)</f>
        <v>13.3244530262151</v>
      </c>
      <c r="AH216" s="45" t="n">
        <f aca="false">IF(AD216=0,0,AE216/AD216-1)</f>
        <v>-0.348752016854945</v>
      </c>
      <c r="AI216" s="46" t="n">
        <f aca="false">Parameters!$E$7*IF($N216="V",Parameters!$I$7,IF($N216="F",Parameters!$J$7,Parameters!$K$7))*(1-Parameters!$L$7*$P216)*IF($D216="V1",Parameters!$M$7,IF($D216="V2",Parameters!$N$7,Parameters!$O$7))*POWER($Q216/Inputs_General!$C$26,-Inputs_General!$C$25)</f>
        <v>0.258501574676089</v>
      </c>
      <c r="AJ216" s="46" t="n">
        <f aca="false">AI216*(1+INDEX(Response_Table!$H$4:$H$21,MATCH($F216&amp;"|mid",Response_Table!$A$4:$A$21,0))*$R216*INDEX(Parameters!$X$7:$AA$7,1,MATCH($E216,Parameters!$X$3:$AA$3,0)))</f>
        <v>0.198908795502874</v>
      </c>
      <c r="AK216" s="46" t="n">
        <f aca="false">MAX(0,MIN(AI216*(1+INDEX(Response_Table!$H$4:$H$21,MATCH($F216&amp;"|low",Response_Table!$A$4:$A$21,0))*$R216*INDEX(Parameters!$X$7:$AA$7,1,MATCH($E216,Parameters!$X$3:$AA$3,0))),AI216*(1+INDEX(Response_Table!$H$4:$H$21,MATCH($F216&amp;"|high",Response_Table!$A$4:$A$21,0))*$R216*INDEX(Parameters!$X$7:$AA$7,1,MATCH($E216,Parameters!$X$3:$AA$3,0))))*(1-Inputs_General!$C$22*Parameters!$F$7))</f>
        <v>0.128914954009692</v>
      </c>
      <c r="AL216" s="46" t="n">
        <f aca="false">MAX(AI216*(1+INDEX(Response_Table!$H$4:$H$21,MATCH($F216&amp;"|low",Response_Table!$A$4:$A$21,0))*$R216*INDEX(Parameters!$X$7:$AA$7,1,MATCH($E216,Parameters!$X$3:$AA$3,0))),AI216*(1+INDEX(Response_Table!$H$4:$H$21,MATCH($F216&amp;"|high",Response_Table!$A$4:$A$21,0))*$R216*INDEX(Parameters!$X$7:$AA$7,1,MATCH($E216,Parameters!$X$3:$AA$3,0))))*(1+Inputs_General!$C$22*Parameters!$F$7)</f>
        <v>0.283013371422014</v>
      </c>
      <c r="AM216" s="45" t="n">
        <f aca="false">IF(AI216=0,0,AJ216/AI216-1)</f>
        <v>-0.230531590563371</v>
      </c>
      <c r="AN216" s="43" t="n">
        <f aca="false">AI216*$Q216/Inputs_General!$C$13*1000</f>
        <v>5.69967952720096</v>
      </c>
      <c r="AO216" s="43" t="n">
        <f aca="false">AJ216*$Q216/Inputs_General!$C$13*1000*(1+Inputs_General!$C$21*$I216)</f>
        <v>4.58308089039806</v>
      </c>
      <c r="AP216" s="43" t="n">
        <f aca="false">AK216*$Q216/Inputs_General!$C$13*1000*(1+Inputs_General!$C$21*$H216)</f>
        <v>2.92060196530093</v>
      </c>
      <c r="AQ216" s="43" t="n">
        <f aca="false">AL216*$Q216/Inputs_General!$C$13*1000*(1+Inputs_General!$C$21*$J216)</f>
        <v>6.6301467064732</v>
      </c>
      <c r="AR216" s="45" t="n">
        <f aca="false">IF(AN216=0,0,AO216/AN216-1)</f>
        <v>-0.195905512138722</v>
      </c>
      <c r="AS216" s="42" t="n">
        <f aca="false">Parameters!$E$9*IF($N216="V",Parameters!$I$9,IF($N216="F",Parameters!$J$9,Parameters!$K$9))*(1-Parameters!$L$9*$P216)*IF($D216="V1",Parameters!$M$9,IF($D216="V2",Parameters!$N$9,Parameters!$O$9))</f>
        <v>293.55</v>
      </c>
      <c r="AT216" s="42" t="n">
        <f aca="false">AS216*(1+INDEX(Response_Table!$I$4:$I$21,MATCH($F216&amp;"|mid",Response_Table!$A$4:$A$21,0))*$R216*INDEX(Parameters!$X$9:$AA$9,1,MATCH($E216,Parameters!$X$3:$AA$3,0)))</f>
        <v>331.969288192052</v>
      </c>
      <c r="AU216" s="42" t="n">
        <f aca="false">MAX(0,MIN(AS216*(1+INDEX(Response_Table!$I$4:$I$21,MATCH($F216&amp;"|low",Response_Table!$A$4:$A$21,0))*$R216*INDEX(Parameters!$X$9:$AA$9,1,MATCH($E216,Parameters!$X$3:$AA$3,0))),AS216*(1+INDEX(Response_Table!$I$4:$I$21,MATCH($F216&amp;"|high",Response_Table!$A$4:$A$21,0))*$R216*INDEX(Parameters!$X$9:$AA$9,1,MATCH($E216,Parameters!$X$3:$AA$3,0))))*(1-Inputs_General!$C$22*Parameters!$F$9))</f>
        <v>288.592422887142</v>
      </c>
      <c r="AV216" s="42" t="n">
        <f aca="false">MAX(AS216*(1+INDEX(Response_Table!$I$4:$I$21,MATCH($F216&amp;"|low",Response_Table!$A$4:$A$21,0))*$R216*INDEX(Parameters!$X$9:$AA$9,1,MATCH($E216,Parameters!$X$3:$AA$3,0))),AS216*(1+INDEX(Response_Table!$I$4:$I$21,MATCH($F216&amp;"|high",Response_Table!$A$4:$A$21,0))*$R216*INDEX(Parameters!$X$9:$AA$9,1,MATCH($E216,Parameters!$X$3:$AA$3,0))))*(1+Inputs_General!$C$22*Parameters!$F$9)</f>
        <v>374.511168902177</v>
      </c>
      <c r="AW216" s="45" t="n">
        <f aca="false">IF(AS216=0,0,AT216/AS216-1)</f>
        <v>0.130878174730207</v>
      </c>
      <c r="AX216" s="43" t="n">
        <f aca="false">INDEX(Context!$AB$4:$AB$51,$K216)</f>
        <v>2.86350044433308</v>
      </c>
      <c r="AY216" s="43" t="n">
        <f aca="false">AX216*(1+INDEX(Response_Table!$J$4:$J$21,MATCH($F216&amp;"|mid",Response_Table!$A$4:$A$21,0))*$R216*INDEX(Parameters!$X$10:$AA$10,1,MATCH($E216,Parameters!$X$3:$AA$3,0)))</f>
        <v>2.46659857389993</v>
      </c>
      <c r="AZ216" s="43" t="n">
        <f aca="false">MAX(0,MIN(AX216*(1+INDEX(Response_Table!$J$4:$J$21,MATCH($F216&amp;"|low",Response_Table!$A$4:$A$21,0))*$R216*INDEX(Parameters!$X$10:$AA$10,1,MATCH($E216,Parameters!$X$3:$AA$3,0))),AX216*(1+INDEX(Response_Table!$J$4:$J$21,MATCH($F216&amp;"|high",Response_Table!$A$4:$A$21,0))*$R216*INDEX(Parameters!$X$10:$AA$10,1,MATCH($E216,Parameters!$X$3:$AA$3,0))))*(1-Inputs_General!$C$22*Parameters!$F$10))</f>
        <v>1.88970359038489</v>
      </c>
      <c r="BA216" s="43" t="n">
        <f aca="false">MAX(AX216*(1+INDEX(Response_Table!$J$4:$J$21,MATCH($F216&amp;"|low",Response_Table!$A$4:$A$21,0))*$R216*INDEX(Parameters!$X$10:$AA$10,1,MATCH($E216,Parameters!$X$3:$AA$3,0))),AX216*(1+INDEX(Response_Table!$J$4:$J$21,MATCH($F216&amp;"|high",Response_Table!$A$4:$A$21,0))*$R216*INDEX(Parameters!$X$10:$AA$10,1,MATCH($E216,Parameters!$X$3:$AA$3,0))))*(1+Inputs_General!$C$22*Parameters!$F$10)</f>
        <v>3.11343452344039</v>
      </c>
      <c r="BB216" s="45" t="n">
        <f aca="false">IF(AX216=0,0,AY216/AX216-1)</f>
        <v>-0.138607232004672</v>
      </c>
      <c r="BC216" s="46" t="n">
        <f aca="false">Parameters!$E$11*IF($N216="V",Parameters!$I$11,IF($N216="F",Parameters!$J$11,Parameters!$K$11))*(1-Parameters!$L$11*$P216)*IF($D216="V1",Parameters!$M$11,IF($D216="V2",Parameters!$N$11,Parameters!$O$11))</f>
        <v>1.03176111607143</v>
      </c>
      <c r="BD216" s="46" t="n">
        <f aca="false">BC216*(1+INDEX(Response_Table!$K$4:$K$21,MATCH($F216&amp;"|mid",Response_Table!$A$4:$A$21,0))*$R216*INDEX(Parameters!$X$11:$AA$11,1,MATCH($E216,Parameters!$X$3:$AA$3,0)))</f>
        <v>0.782161285389651</v>
      </c>
      <c r="BE216" s="46" t="n">
        <f aca="false">MAX(0,MIN(BC216*(1+INDEX(Response_Table!$K$4:$K$21,MATCH($F216&amp;"|low",Response_Table!$A$4:$A$21,0))*$R216*INDEX(Parameters!$X$11:$AA$11,1,MATCH($E216,Parameters!$X$3:$AA$3,0))),BC216*(1+INDEX(Response_Table!$K$4:$K$21,MATCH($F216&amp;"|high",Response_Table!$A$4:$A$21,0))*$R216*INDEX(Parameters!$X$11:$AA$11,1,MATCH($E216,Parameters!$X$3:$AA$3,0))))*(1-Inputs_General!$C$22*Parameters!$F$11))</f>
        <v>0.599765499941843</v>
      </c>
      <c r="BF216" s="46" t="n">
        <f aca="false">MAX(BC216*(1+INDEX(Response_Table!$K$4:$K$21,MATCH($F216&amp;"|low",Response_Table!$A$4:$A$21,0))*$R216*INDEX(Parameters!$X$11:$AA$11,1,MATCH($E216,Parameters!$X$3:$AA$3,0))),BC216*(1+INDEX(Response_Table!$K$4:$K$21,MATCH($F216&amp;"|high",Response_Table!$A$4:$A$21,0))*$R216*INDEX(Parameters!$X$11:$AA$11,1,MATCH($E216,Parameters!$X$3:$AA$3,0))))*(1+Inputs_General!$C$22*Parameters!$F$11)</f>
        <v>1.00451695862852</v>
      </c>
      <c r="BG216" s="45" t="n">
        <f aca="false">IF(BC216=0,0,BD216/BC216-1)</f>
        <v>-0.241916299028756</v>
      </c>
      <c r="BH216" s="46" t="n">
        <f aca="false">Parameters!$E$12*IF($N216="V",Parameters!$I$12,IF($N216="F",Parameters!$J$12,Parameters!$K$12))*(1-Parameters!$L$12*$P216)*IF($D216="V1",Parameters!$M$12,IF($D216="V2",Parameters!$N$12,Parameters!$O$12))</f>
        <v>0.384543437142857</v>
      </c>
      <c r="BI216" s="46" t="n">
        <f aca="false">BH216*(1+INDEX(Response_Table!$L$4:$L$21,MATCH($F216&amp;"|mid",Response_Table!$A$4:$A$21,0))*$R216*INDEX(Parameters!$X$12:$AA$12,1,MATCH($E216,Parameters!$X$3:$AA$3,0)))</f>
        <v>0.309532397738416</v>
      </c>
      <c r="BJ216" s="46" t="n">
        <f aca="false">MAX(0,MIN(BH216*(1+INDEX(Response_Table!$L$4:$L$21,MATCH($F216&amp;"|low",Response_Table!$A$4:$A$21,0))*$R216*INDEX(Parameters!$X$12:$AA$12,1,MATCH($E216,Parameters!$X$3:$AA$3,0))),BH216*(1+INDEX(Response_Table!$L$4:$L$21,MATCH($F216&amp;"|high",Response_Table!$A$4:$A$21,0))*$R216*INDEX(Parameters!$X$12:$AA$12,1,MATCH($E216,Parameters!$X$3:$AA$3,0))))*(1-Inputs_General!$C$22*Parameters!$F$12))</f>
        <v>0.232504095876116</v>
      </c>
      <c r="BK216" s="46" t="n">
        <f aca="false">MAX(BH216*(1+INDEX(Response_Table!$L$4:$L$21,MATCH($F216&amp;"|low",Response_Table!$A$4:$A$21,0))*$R216*INDEX(Parameters!$X$12:$AA$12,1,MATCH($E216,Parameters!$X$3:$AA$3,0))),BH216*(1+INDEX(Response_Table!$L$4:$L$21,MATCH($F216&amp;"|high",Response_Table!$A$4:$A$21,0))*$R216*INDEX(Parameters!$X$12:$AA$12,1,MATCH($E216,Parameters!$X$3:$AA$3,0))))*(1+Inputs_General!$C$22*Parameters!$F$12)</f>
        <v>0.399947425333701</v>
      </c>
      <c r="BL216" s="45" t="n">
        <f aca="false">IF(BH216=0,0,BI216/BH216-1)</f>
        <v>-0.19506519201516</v>
      </c>
      <c r="BM216" s="46" t="n">
        <f aca="false">Parameters!$E$13*IF($N216="V",Parameters!$I$13,IF($N216="F",Parameters!$J$13,Parameters!$K$13))*(1-Parameters!$L$13*$P216)*IF($D216="V1",Parameters!$M$13,IF($D216="V2",Parameters!$N$13,Parameters!$O$13))</f>
        <v>0.270144353571429</v>
      </c>
      <c r="BN216" s="46" t="n">
        <f aca="false">BM216*(1+INDEX(Response_Table!$M$4:$M$21,MATCH($F216&amp;"|mid",Response_Table!$A$4:$A$21,0))*$R216*INDEX(Parameters!$X$13:$AA$13,1,MATCH($E216,Parameters!$X$3:$AA$3,0)))</f>
        <v>0.250391867764688</v>
      </c>
      <c r="BO216" s="46" t="n">
        <f aca="false">MAX(0,MIN(BM216*(1+INDEX(Response_Table!$M$4:$M$21,MATCH($F216&amp;"|low",Response_Table!$A$4:$A$21,0))*$R216*INDEX(Parameters!$X$13:$AA$13,1,MATCH($E216,Parameters!$X$3:$AA$3,0))),BM216*(1+INDEX(Response_Table!$M$4:$M$21,MATCH($F216&amp;"|high",Response_Table!$A$4:$A$21,0))*$R216*INDEX(Parameters!$X$13:$AA$13,1,MATCH($E216,Parameters!$X$3:$AA$3,0))))*(1-Inputs_General!$C$22*Parameters!$F$13))</f>
        <v>0.188202191064183</v>
      </c>
      <c r="BP216" s="46" t="n">
        <f aca="false">MAX(BM216*(1+INDEX(Response_Table!$M$4:$M$21,MATCH($F216&amp;"|low",Response_Table!$A$4:$A$21,0))*$R216*INDEX(Parameters!$X$13:$AA$13,1,MATCH($E216,Parameters!$X$3:$AA$3,0))),BM216*(1+INDEX(Response_Table!$M$4:$M$21,MATCH($F216&amp;"|high",Response_Table!$A$4:$A$21,0))*$R216*INDEX(Parameters!$X$13:$AA$13,1,MATCH($E216,Parameters!$X$3:$AA$3,0))))*(1+Inputs_General!$C$22*Parameters!$F$13)</f>
        <v>0.3199244336005</v>
      </c>
      <c r="BQ216" s="45" t="n">
        <f aca="false">IF(BM216=0,0,BN216/BM216-1)</f>
        <v>-0.0731182626829087</v>
      </c>
      <c r="BR216" s="44" t="n">
        <f aca="false">Parameters!$E$14*IF($N216="V",Parameters!$I$14,IF($N216="F",Parameters!$J$14,Parameters!$K$14))*(1-Parameters!$L$14*$P216)*IF($D216="V1",Parameters!$M$14,IF($D216="V2",Parameters!$N$14,Parameters!$O$14))*INDEX(Context!$AC$4:$AC$51,$K216)</f>
        <v>17.25</v>
      </c>
      <c r="BS216" s="44" t="n">
        <f aca="false">BR216*(1+INDEX(Response_Table!$N$4:$N$21,MATCH($F216&amp;"|mid",Response_Table!$A$4:$A$21,0))*$R216*INDEX(Parameters!$X$14:$AA$14,1,MATCH($E216,Parameters!$X$3:$AA$3,0)))</f>
        <v>20.9207722497398</v>
      </c>
      <c r="BT216" s="44" t="n">
        <f aca="false">MAX(0,MIN(BR216*(1+INDEX(Response_Table!$N$4:$N$21,MATCH($F216&amp;"|low",Response_Table!$A$4:$A$21,0))*$R216*INDEX(Parameters!$X$14:$AA$14,1,MATCH($E216,Parameters!$X$3:$AA$3,0))),BR216*(1+INDEX(Response_Table!$N$4:$N$21,MATCH($F216&amp;"|high",Response_Table!$A$4:$A$21,0))*$R216*INDEX(Parameters!$X$14:$AA$14,1,MATCH($E216,Parameters!$X$3:$AA$3,0))))*(1-Inputs_General!$C$22*Parameters!$F$14))</f>
        <v>9.98958222252468</v>
      </c>
      <c r="BU216" s="44" t="n">
        <f aca="false">MAX(BR216*(1+INDEX(Response_Table!$N$4:$N$21,MATCH($F216&amp;"|low",Response_Table!$A$4:$A$21,0))*$R216*INDEX(Parameters!$X$14:$AA$14,1,MATCH($E216,Parameters!$X$3:$AA$3,0))),BR216*(1+INDEX(Response_Table!$N$4:$N$21,MATCH($F216&amp;"|high",Response_Table!$A$4:$A$21,0))*$R216*INDEX(Parameters!$X$14:$AA$14,1,MATCH($E216,Parameters!$X$3:$AA$3,0))))*(1+Inputs_General!$C$22*Parameters!$F$14)</f>
        <v>32.6954858192517</v>
      </c>
      <c r="BV216" s="45" t="n">
        <f aca="false">IF(BR216=0,0,BS216/BR216-1)</f>
        <v>0.212798391289265</v>
      </c>
      <c r="BW216" s="43" t="n">
        <f aca="false">Parameters!$E$15*IF($N216="V",Parameters!$I$15,IF($N216="F",Parameters!$J$15,Parameters!$K$15))*(1-Parameters!$L$15*$P216)*IF($D216="V1",Parameters!$M$15,IF($D216="V2",Parameters!$N$15,Parameters!$O$15))</f>
        <v>7.73084285714286</v>
      </c>
      <c r="BX216" s="43" t="n">
        <f aca="false">BW216*(1+INDEX(Response_Table!$O$4:$O$21,MATCH($F216&amp;"|mid",Response_Table!$A$4:$A$21,0))*$R216*INDEX(Parameters!$X$15:$AA$15,1,MATCH($E216,Parameters!$X$3:$AA$3,0)))</f>
        <v>7.31956512631533</v>
      </c>
      <c r="BY216" s="43" t="n">
        <f aca="false">MAX(0,MIN(BW216*(1+INDEX(Response_Table!$O$4:$O$21,MATCH($F216&amp;"|low",Response_Table!$A$4:$A$21,0))*$R216*INDEX(Parameters!$X$15:$AA$15,1,MATCH($E216,Parameters!$X$3:$AA$3,0))),BW216*(1+INDEX(Response_Table!$O$4:$O$21,MATCH($F216&amp;"|high",Response_Table!$A$4:$A$21,0))*$R216*INDEX(Parameters!$X$15:$AA$15,1,MATCH($E216,Parameters!$X$3:$AA$3,0))))*(1-Inputs_General!$C$22*Parameters!$F$15))</f>
        <v>5.78735904242083</v>
      </c>
      <c r="BZ216" s="43" t="n">
        <f aca="false">MAX(BW216*(1+INDEX(Response_Table!$O$4:$O$21,MATCH($F216&amp;"|low",Response_Table!$A$4:$A$21,0))*$R216*INDEX(Parameters!$X$15:$AA$15,1,MATCH($E216,Parameters!$X$3:$AA$3,0))),BW216*(1+INDEX(Response_Table!$O$4:$O$21,MATCH($F216&amp;"|high",Response_Table!$A$4:$A$21,0))*$R216*INDEX(Parameters!$X$15:$AA$15,1,MATCH($E216,Parameters!$X$3:$AA$3,0))))*(1+Inputs_General!$C$22*Parameters!$F$15)</f>
        <v>8.92516923570562</v>
      </c>
      <c r="CA216" s="45" t="n">
        <f aca="false">IF(BW216=0,0,BX216/BW216-1)</f>
        <v>-0.0531995978223163</v>
      </c>
      <c r="CB216" s="46" t="n">
        <f aca="false">BD216+BI216</f>
        <v>1.09169368312807</v>
      </c>
      <c r="CC216" s="43" t="n">
        <f aca="false">BD216/BI216</f>
        <v>2.52691250125827</v>
      </c>
      <c r="CD216" s="46" t="n">
        <f aca="false">BN216/CB216</f>
        <v>0.229360920223732</v>
      </c>
      <c r="CE216" s="43" t="n">
        <f aca="false">AE216/AO216</f>
        <v>2.09325538214147</v>
      </c>
      <c r="CF216" s="44" t="n">
        <f aca="false">AE216/AJ216</f>
        <v>48.2309428115602</v>
      </c>
      <c r="CG216" s="44" t="n">
        <f aca="false">INDEX(Context!$V$4:$V$51,$K216)</f>
        <v>32.7871428571429</v>
      </c>
      <c r="CH216" s="44" t="n">
        <f aca="false">INDEX(Context!$Y$4:$Y$51,$K216)</f>
        <v>28.36912210206</v>
      </c>
      <c r="CI216" s="44" t="n">
        <f aca="false">INDEX(Context!$Z$4:$Z$51,$K216)</f>
        <v>36.7871428571429</v>
      </c>
      <c r="CJ216" s="43" t="n">
        <f aca="false">INDEX(Context!$AA$4:$AA$51,$K216)</f>
        <v>0.347678571428571</v>
      </c>
      <c r="CK216" s="43" t="n">
        <f aca="false">MAX(0,MIN(1,1-(1-CJ216)*AO216/AN216))</f>
        <v>0.47547193497192</v>
      </c>
      <c r="CL216" s="44" t="n">
        <f aca="false">CH216+CK216*(CI216-CH216)</f>
        <v>32.371654719113</v>
      </c>
      <c r="CM216" s="44" t="n">
        <f aca="false">CH216+MAX(0,MIN(1,1-(1-CJ216)*AQ216/AN216))*(CI216-CH216)</f>
        <v>30.3994454029774</v>
      </c>
      <c r="CN216" s="44" t="n">
        <f aca="false">CH216+MAX(0,MIN(1,1-(1-CJ216)*AP216/AN216))*(CI216-CH216)</f>
        <v>33.9733406044463</v>
      </c>
      <c r="CO216" s="44" t="n">
        <f aca="false">CL216-CG216</f>
        <v>-0.415488138029808</v>
      </c>
      <c r="CP216" s="44" t="n">
        <f aca="false">CL216-(CH216+CJ216*(CI216-CH216))</f>
        <v>1.07576718666975</v>
      </c>
      <c r="CQ216" s="46" t="n">
        <f aca="false">CL216/CG216</f>
        <v>0.987327711358073</v>
      </c>
      <c r="CR216" s="43" t="n">
        <f aca="false">IF(CL216-CH216&lt;=0,"n/a",(CI216-CL216)/(CL216-CH216))</f>
        <v>1.1031735554677</v>
      </c>
      <c r="CS216" s="43" t="n">
        <f aca="false">IF(CI216-CL216&lt;=0,"n/a",(CL216-CH216)/(CI216-CL216))</f>
        <v>0.906475681041902</v>
      </c>
      <c r="CT216" s="43" t="n">
        <f aca="false">Inputs_General!$C$23+Inputs_General!$C$24*$I216</f>
        <v>0.96</v>
      </c>
      <c r="CU216" s="44" t="n">
        <f aca="false">3.29*CT216</f>
        <v>3.1584</v>
      </c>
    </row>
    <row r="217" customFormat="false" ht="15" hidden="false" customHeight="false" outlineLevel="0" collapsed="false">
      <c r="A217" s="9" t="str">
        <f aca="false">B217&amp;"|"&amp;E217&amp;"|"&amp;F217</f>
        <v>D3V3|13/03/2026|High</v>
      </c>
      <c r="B217" s="7" t="s">
        <v>351</v>
      </c>
      <c r="C217" s="9" t="s">
        <v>131</v>
      </c>
      <c r="D217" s="9" t="s">
        <v>150</v>
      </c>
      <c r="E217" s="9" t="s">
        <v>164</v>
      </c>
      <c r="F217" s="7" t="s">
        <v>283</v>
      </c>
      <c r="G217" s="9" t="s">
        <v>284</v>
      </c>
      <c r="H217" s="41" t="n">
        <f aca="false">INDEX(Severity_Classes!$C$4:$C$9,MATCH(F217,Severity_Classes!$A$4:$A$9,0))</f>
        <v>0.26</v>
      </c>
      <c r="I217" s="41" t="n">
        <f aca="false">INDEX(Severity_Classes!$D$4:$D$9,MATCH(F217,Severity_Classes!$A$4:$A$9,0))</f>
        <v>0.38</v>
      </c>
      <c r="J217" s="41" t="n">
        <f aca="false">INDEX(Severity_Classes!$E$4:$E$9,MATCH(F217,Severity_Classes!$A$4:$A$9,0))</f>
        <v>0.5</v>
      </c>
      <c r="K217" s="42" t="n">
        <f aca="false">MATCH(B217&amp;"|"&amp;E217,Context!$A$4:$A$51,0)</f>
        <v>36</v>
      </c>
      <c r="L217" s="42" t="n">
        <f aca="false">INDEX(Context!$H$4:$H$51,K217)</f>
        <v>76</v>
      </c>
      <c r="M217" s="42" t="n">
        <f aca="false">INDEX(Context!$I$4:$I$51,K217)</f>
        <v>36</v>
      </c>
      <c r="N217" s="9" t="str">
        <f aca="false">INDEX(Context!$L$4:$L$51,K217)</f>
        <v>P</v>
      </c>
      <c r="O217" s="9" t="str">
        <f aca="false">INDEX(Context!$M$4:$M$51,K217)</f>
        <v>5th fully expanded leaf from top</v>
      </c>
      <c r="P217" s="43" t="n">
        <f aca="false">INDEX(Context!$R$4:$R$51,K217)</f>
        <v>0.953571428571428</v>
      </c>
      <c r="Q217" s="43" t="n">
        <f aca="false">INDEX(Context!$U$4:$U$51,K217)</f>
        <v>2.18945736698217</v>
      </c>
      <c r="R217" s="43" t="n">
        <f aca="false">INDEX(Context!$AD$4:$AD$51,K217)</f>
        <v>0.85</v>
      </c>
      <c r="S217" s="9" t="str">
        <f aca="false">INDEX(Context!$AI$4:$AN$51,K217,MATCH(F217,Severity_Classes!$A$4:$A$9,0))</f>
        <v>Likely</v>
      </c>
      <c r="T217" s="44" t="n">
        <f aca="false">Parameters!$E$4*IF($N217="V",Parameters!$I$4,IF($N217="F",Parameters!$J$4,Parameters!$K$4))*(1-Parameters!$L$4*$P217)*IF($D217="V1",Parameters!$M$4,IF($D217="V2",Parameters!$N$4,Parameters!$O$4))</f>
        <v>77.8046607142857</v>
      </c>
      <c r="U217" s="44" t="n">
        <f aca="false">MIN(100,T217*(1+INDEX(Response_Table!$E$4:$E$21,MATCH($F217&amp;"|mid",Response_Table!$A$4:$A$21,0))*$R217*INDEX(Parameters!$X$4:$AA$4,1,MATCH($E217,Parameters!$X$3:$AA$3,0))))</f>
        <v>67.1210322470534</v>
      </c>
      <c r="V217" s="44" t="n">
        <f aca="false">MAX(0,MIN(T217*(1+INDEX(Response_Table!$E$4:$E$21,MATCH($F217&amp;"|low",Response_Table!$A$4:$A$21,0))*$R217*INDEX(Parameters!$X$4:$AA$4,1,MATCH($E217,Parameters!$X$3:$AA$3,0))),T217*(1+INDEX(Response_Table!$E$4:$E$21,MATCH($F217&amp;"|high",Response_Table!$A$4:$A$21,0))*$R217*INDEX(Parameters!$X$4:$AA$4,1,MATCH($E217,Parameters!$X$3:$AA$3,0))))*(1-Inputs_General!$C$22*Parameters!$F$4))</f>
        <v>58.5014555049419</v>
      </c>
      <c r="W217" s="44" t="n">
        <f aca="false">MIN(100,MAX(T217*(1+INDEX(Response_Table!$E$4:$E$21,MATCH($F217&amp;"|low",Response_Table!$A$4:$A$21,0))*$R217*INDEX(Parameters!$X$4:$AA$4,1,MATCH($E217,Parameters!$X$3:$AA$3,0))),T217*(1+INDEX(Response_Table!$E$4:$E$21,MATCH($F217&amp;"|high",Response_Table!$A$4:$A$21,0))*$R217*INDEX(Parameters!$X$4:$AA$4,1,MATCH($E217,Parameters!$X$3:$AA$3,0))))*(1+Inputs_General!$C$22*Parameters!$F$4))</f>
        <v>76.9173902755837</v>
      </c>
      <c r="X217" s="45" t="n">
        <f aca="false">IF(T217=0,0,U217/T217-1)</f>
        <v>-0.137313476714008</v>
      </c>
      <c r="Y217" s="44" t="n">
        <f aca="false">Parameters!$E$5*IF($N217="V",Parameters!$I$5,IF($N217="F",Parameters!$J$5,Parameters!$K$5))*(1-Parameters!$L$5*$P217)*IF($D217="V1",Parameters!$M$5,IF($D217="V2",Parameters!$N$5,Parameters!$O$5))</f>
        <v>58.6602514285714</v>
      </c>
      <c r="Z217" s="44" t="n">
        <f aca="false">MIN(100,Y217*(1+INDEX(Response_Table!$F$4:$F$21,MATCH($F217&amp;"|mid",Response_Table!$A$4:$A$21,0))*$R217*INDEX(Parameters!$X$5:$AA$5,1,MATCH($E217,Parameters!$X$3:$AA$3,0))))</f>
        <v>33.7150370423924</v>
      </c>
      <c r="AA217" s="44" t="n">
        <f aca="false">MAX(0,MIN(Y217*(1+INDEX(Response_Table!$F$4:$F$21,MATCH($F217&amp;"|low",Response_Table!$A$4:$A$21,0))*$R217*INDEX(Parameters!$X$5:$AA$5,1,MATCH($E217,Parameters!$X$3:$AA$3,0))),Y217*(1+INDEX(Response_Table!$F$4:$F$21,MATCH($F217&amp;"|high",Response_Table!$A$4:$A$21,0))*$R217*INDEX(Parameters!$X$5:$AA$5,1,MATCH($E217,Parameters!$X$3:$AA$3,0))))*(1-Inputs_General!$C$22*Parameters!$F$5))</f>
        <v>24.2897457203854</v>
      </c>
      <c r="AB217" s="44" t="n">
        <f aca="false">MIN(100,MAX(Y217*(1+INDEX(Response_Table!$F$4:$F$21,MATCH($F217&amp;"|low",Response_Table!$A$4:$A$21,0))*$R217*INDEX(Parameters!$X$5:$AA$5,1,MATCH($E217,Parameters!$X$3:$AA$3,0))),Y217*(1+INDEX(Response_Table!$F$4:$F$21,MATCH($F217&amp;"|high",Response_Table!$A$4:$A$21,0))*$R217*INDEX(Parameters!$X$5:$AA$5,1,MATCH($E217,Parameters!$X$3:$AA$3,0))))*(1+Inputs_General!$C$22*Parameters!$F$5))</f>
        <v>49.1950287797304</v>
      </c>
      <c r="AC217" s="45" t="n">
        <f aca="false">IF(Y217=0,0,Z217/Y217-1)</f>
        <v>-0.425249019202618</v>
      </c>
      <c r="AD217" s="44" t="n">
        <f aca="false">Parameters!$E$6*IF($N217="V",Parameters!$I$6,IF($N217="F",Parameters!$J$6,Parameters!$K$6))*(1-Parameters!$L$6*$P217)*IF($D217="V1",Parameters!$M$6,IF($D217="V2",Parameters!$N$6,Parameters!$O$6))</f>
        <v>14.7310379285714</v>
      </c>
      <c r="AE217" s="44" t="n">
        <f aca="false">AD217*(1+INDEX(Response_Table!$G$4:$G$21,MATCH($F217&amp;"|mid",Response_Table!$A$4:$A$21,0))*$R217*INDEX(Parameters!$X$6:$AA$6,1,MATCH($E217,Parameters!$X$3:$AA$3,0)))</f>
        <v>7.10430421043997</v>
      </c>
      <c r="AF217" s="44" t="n">
        <f aca="false">MAX(0,MIN(AD217*(1+INDEX(Response_Table!$G$4:$G$21,MATCH($F217&amp;"|low",Response_Table!$A$4:$A$21,0))*$R217*INDEX(Parameters!$X$6:$AA$6,1,MATCH($E217,Parameters!$X$3:$AA$3,0))),AD217*(1+INDEX(Response_Table!$G$4:$G$21,MATCH($F217&amp;"|high",Response_Table!$A$4:$A$21,0))*$R217*INDEX(Parameters!$X$6:$AA$6,1,MATCH($E217,Parameters!$X$3:$AA$3,0))))*(1-Inputs_General!$C$22*Parameters!$F$6))</f>
        <v>5.12103566900172</v>
      </c>
      <c r="AG217" s="44" t="n">
        <f aca="false">MAX(AD217*(1+INDEX(Response_Table!$G$4:$G$21,MATCH($F217&amp;"|low",Response_Table!$A$4:$A$21,0))*$R217*INDEX(Parameters!$X$6:$AA$6,1,MATCH($E217,Parameters!$X$3:$AA$3,0))),AD217*(1+INDEX(Response_Table!$G$4:$G$21,MATCH($F217&amp;"|high",Response_Table!$A$4:$A$21,0))*$R217*INDEX(Parameters!$X$6:$AA$6,1,MATCH($E217,Parameters!$X$3:$AA$3,0))))*(1+Inputs_General!$C$22*Parameters!$F$6)</f>
        <v>9.97607066311271</v>
      </c>
      <c r="AH217" s="45" t="n">
        <f aca="false">IF(AD217=0,0,AE217/AD217-1)</f>
        <v>-0.51773227080891</v>
      </c>
      <c r="AI217" s="46" t="n">
        <f aca="false">Parameters!$E$7*IF($N217="V",Parameters!$I$7,IF($N217="F",Parameters!$J$7,Parameters!$K$7))*(1-Parameters!$L$7*$P217)*IF($D217="V1",Parameters!$M$7,IF($D217="V2",Parameters!$N$7,Parameters!$O$7))*POWER($Q217/Inputs_General!$C$26,-Inputs_General!$C$25)</f>
        <v>0.258501574676089</v>
      </c>
      <c r="AJ217" s="46" t="n">
        <f aca="false">AI217*(1+INDEX(Response_Table!$H$4:$H$21,MATCH($F217&amp;"|mid",Response_Table!$A$4:$A$21,0))*$R217*INDEX(Parameters!$X$7:$AA$7,1,MATCH($E217,Parameters!$X$3:$AA$3,0)))</f>
        <v>0.161356685382412</v>
      </c>
      <c r="AK217" s="46" t="n">
        <f aca="false">MAX(0,MIN(AI217*(1+INDEX(Response_Table!$H$4:$H$21,MATCH($F217&amp;"|low",Response_Table!$A$4:$A$21,0))*$R217*INDEX(Parameters!$X$7:$AA$7,1,MATCH($E217,Parameters!$X$3:$AA$3,0))),AI217*(1+INDEX(Response_Table!$H$4:$H$21,MATCH($F217&amp;"|high",Response_Table!$A$4:$A$21,0))*$R217*INDEX(Parameters!$X$7:$AA$7,1,MATCH($E217,Parameters!$X$3:$AA$3,0))))*(1-Inputs_General!$C$22*Parameters!$F$7))</f>
        <v>0.103858598795449</v>
      </c>
      <c r="AL217" s="46" t="n">
        <f aca="false">MAX(AI217*(1+INDEX(Response_Table!$H$4:$H$21,MATCH($F217&amp;"|low",Response_Table!$A$4:$A$21,0))*$R217*INDEX(Parameters!$X$7:$AA$7,1,MATCH($E217,Parameters!$X$3:$AA$3,0))),AI217*(1+INDEX(Response_Table!$H$4:$H$21,MATCH($F217&amp;"|high",Response_Table!$A$4:$A$21,0))*$R217*INDEX(Parameters!$X$7:$AA$7,1,MATCH($E217,Parameters!$X$3:$AA$3,0))))*(1+Inputs_General!$C$22*Parameters!$F$7)</f>
        <v>0.234788480040062</v>
      </c>
      <c r="AM217" s="45" t="n">
        <f aca="false">IF(AI217=0,0,AJ217/AI217-1)</f>
        <v>-0.375799990446492</v>
      </c>
      <c r="AN217" s="43" t="n">
        <f aca="false">AI217*$Q217/Inputs_General!$C$13*1000</f>
        <v>5.69967952720096</v>
      </c>
      <c r="AO217" s="43" t="n">
        <f aca="false">AJ217*$Q217/Inputs_General!$C$13*1000*(1+Inputs_General!$C$21*$I217)</f>
        <v>3.89572531678719</v>
      </c>
      <c r="AP217" s="43" t="n">
        <f aca="false">AK217*$Q217/Inputs_General!$C$13*1000*(1+Inputs_General!$C$21*$H217)</f>
        <v>2.43881754867931</v>
      </c>
      <c r="AQ217" s="43" t="n">
        <f aca="false">AL217*$Q217/Inputs_General!$C$13*1000*(1+Inputs_General!$C$21*$J217)</f>
        <v>5.82393543020687</v>
      </c>
      <c r="AR217" s="45" t="n">
        <f aca="false">IF(AN217=0,0,AO217/AN217-1)</f>
        <v>-0.316500989538909</v>
      </c>
      <c r="AS217" s="42" t="n">
        <f aca="false">Parameters!$E$9*IF($N217="V",Parameters!$I$9,IF($N217="F",Parameters!$J$9,Parameters!$K$9))*(1-Parameters!$L$9*$P217)*IF($D217="V1",Parameters!$M$9,IF($D217="V2",Parameters!$N$9,Parameters!$O$9))</f>
        <v>293.55</v>
      </c>
      <c r="AT217" s="42" t="n">
        <f aca="false">AS217*(1+INDEX(Response_Table!$I$4:$I$21,MATCH($F217&amp;"|mid",Response_Table!$A$4:$A$21,0))*$R217*INDEX(Parameters!$X$9:$AA$9,1,MATCH($E217,Parameters!$X$3:$AA$3,0)))</f>
        <v>352.03351702422</v>
      </c>
      <c r="AU217" s="42" t="n">
        <f aca="false">MAX(0,MIN(AS217*(1+INDEX(Response_Table!$I$4:$I$21,MATCH($F217&amp;"|low",Response_Table!$A$4:$A$21,0))*$R217*INDEX(Parameters!$X$9:$AA$9,1,MATCH($E217,Parameters!$X$3:$AA$3,0))),AS217*(1+INDEX(Response_Table!$I$4:$I$21,MATCH($F217&amp;"|high",Response_Table!$A$4:$A$21,0))*$R217*INDEX(Parameters!$X$9:$AA$9,1,MATCH($E217,Parameters!$X$3:$AA$3,0))))*(1-Inputs_General!$C$22*Parameters!$F$9))</f>
        <v>308.197111781318</v>
      </c>
      <c r="AV217" s="42" t="n">
        <f aca="false">MAX(AS217*(1+INDEX(Response_Table!$I$4:$I$21,MATCH($F217&amp;"|low",Response_Table!$A$4:$A$21,0))*$R217*INDEX(Parameters!$X$9:$AA$9,1,MATCH($E217,Parameters!$X$3:$AA$3,0))),AS217*(1+INDEX(Response_Table!$I$4:$I$21,MATCH($F217&amp;"|high",Response_Table!$A$4:$A$21,0))*$R217*INDEX(Parameters!$X$9:$AA$9,1,MATCH($E217,Parameters!$X$3:$AA$3,0))))*(1+Inputs_General!$C$22*Parameters!$F$9)</f>
        <v>393.636405791852</v>
      </c>
      <c r="AW217" s="45" t="n">
        <f aca="false">IF(AS217=0,0,AT217/AS217-1)</f>
        <v>0.199228468827185</v>
      </c>
      <c r="AX217" s="43" t="n">
        <f aca="false">INDEX(Context!$AB$4:$AB$51,$K217)</f>
        <v>2.86350044433308</v>
      </c>
      <c r="AY217" s="43" t="n">
        <f aca="false">AX217*(1+INDEX(Response_Table!$J$4:$J$21,MATCH($F217&amp;"|mid",Response_Table!$A$4:$A$21,0))*$R217*INDEX(Parameters!$X$10:$AA$10,1,MATCH($E217,Parameters!$X$3:$AA$3,0)))</f>
        <v>2.19180468225838</v>
      </c>
      <c r="AZ217" s="43" t="n">
        <f aca="false">MAX(0,MIN(AX217*(1+INDEX(Response_Table!$J$4:$J$21,MATCH($F217&amp;"|low",Response_Table!$A$4:$A$21,0))*$R217*INDEX(Parameters!$X$10:$AA$10,1,MATCH($E217,Parameters!$X$3:$AA$3,0))),AX217*(1+INDEX(Response_Table!$J$4:$J$21,MATCH($F217&amp;"|high",Response_Table!$A$4:$A$21,0))*$R217*INDEX(Parameters!$X$10:$AA$10,1,MATCH($E217,Parameters!$X$3:$AA$3,0))))*(1-Inputs_General!$C$22*Parameters!$F$10))</f>
        <v>1.67102688745315</v>
      </c>
      <c r="BA217" s="43" t="n">
        <f aca="false">MAX(AX217*(1+INDEX(Response_Table!$J$4:$J$21,MATCH($F217&amp;"|low",Response_Table!$A$4:$A$21,0))*$R217*INDEX(Parameters!$X$10:$AA$10,1,MATCH($E217,Parameters!$X$3:$AA$3,0))),AX217*(1+INDEX(Response_Table!$J$4:$J$21,MATCH($F217&amp;"|high",Response_Table!$A$4:$A$21,0))*$R217*INDEX(Parameters!$X$10:$AA$10,1,MATCH($E217,Parameters!$X$3:$AA$3,0))))*(1+Inputs_General!$C$22*Parameters!$F$10)</f>
        <v>2.80191896880072</v>
      </c>
      <c r="BB217" s="45" t="n">
        <f aca="false">IF(AX217=0,0,AY217/AX217-1)</f>
        <v>-0.234571558528653</v>
      </c>
      <c r="BC217" s="46" t="n">
        <f aca="false">Parameters!$E$11*IF($N217="V",Parameters!$I$11,IF($N217="F",Parameters!$J$11,Parameters!$K$11))*(1-Parameters!$L$11*$P217)*IF($D217="V1",Parameters!$M$11,IF($D217="V2",Parameters!$N$11,Parameters!$O$11))</f>
        <v>1.03176111607143</v>
      </c>
      <c r="BD217" s="46" t="n">
        <f aca="false">BC217*(1+INDEX(Response_Table!$K$4:$K$21,MATCH($F217&amp;"|mid",Response_Table!$A$4:$A$21,0))*$R217*INDEX(Parameters!$X$11:$AA$11,1,MATCH($E217,Parameters!$X$3:$AA$3,0)))</f>
        <v>0.630683000190517</v>
      </c>
      <c r="BE217" s="46" t="n">
        <f aca="false">MAX(0,MIN(BC217*(1+INDEX(Response_Table!$K$4:$K$21,MATCH($F217&amp;"|low",Response_Table!$A$4:$A$21,0))*$R217*INDEX(Parameters!$X$11:$AA$11,1,MATCH($E217,Parameters!$X$3:$AA$3,0))),BC217*(1+INDEX(Response_Table!$K$4:$K$21,MATCH($F217&amp;"|high",Response_Table!$A$4:$A$21,0))*$R217*INDEX(Parameters!$X$11:$AA$11,1,MATCH($E217,Parameters!$X$3:$AA$3,0))))*(1-Inputs_General!$C$22*Parameters!$F$11))</f>
        <v>0.481919582494037</v>
      </c>
      <c r="BF217" s="46" t="n">
        <f aca="false">MAX(BC217*(1+INDEX(Response_Table!$K$4:$K$21,MATCH($F217&amp;"|low",Response_Table!$A$4:$A$21,0))*$R217*INDEX(Parameters!$X$11:$AA$11,1,MATCH($E217,Parameters!$X$3:$AA$3,0))),BC217*(1+INDEX(Response_Table!$K$4:$K$21,MATCH($F217&amp;"|high",Response_Table!$A$4:$A$21,0))*$R217*INDEX(Parameters!$X$11:$AA$11,1,MATCH($E217,Parameters!$X$3:$AA$3,0))))*(1+Inputs_General!$C$22*Parameters!$F$11)</f>
        <v>0.82654520194913</v>
      </c>
      <c r="BG217" s="45" t="n">
        <f aca="false">IF(BC217=0,0,BD217/BC217-1)</f>
        <v>-0.388731567446611</v>
      </c>
      <c r="BH217" s="46" t="n">
        <f aca="false">Parameters!$E$12*IF($N217="V",Parameters!$I$12,IF($N217="F",Parameters!$J$12,Parameters!$K$12))*(1-Parameters!$L$12*$P217)*IF($D217="V1",Parameters!$M$12,IF($D217="V2",Parameters!$N$12,Parameters!$O$12))</f>
        <v>0.384543437142857</v>
      </c>
      <c r="BI217" s="46" t="n">
        <f aca="false">BH217*(1+INDEX(Response_Table!$L$4:$L$21,MATCH($F217&amp;"|mid",Response_Table!$A$4:$A$21,0))*$R217*INDEX(Parameters!$X$12:$AA$12,1,MATCH($E217,Parameters!$X$3:$AA$3,0)))</f>
        <v>0.262264543292856</v>
      </c>
      <c r="BJ217" s="46" t="n">
        <f aca="false">MAX(0,MIN(BH217*(1+INDEX(Response_Table!$L$4:$L$21,MATCH($F217&amp;"|low",Response_Table!$A$4:$A$21,0))*$R217*INDEX(Parameters!$X$12:$AA$12,1,MATCH($E217,Parameters!$X$3:$AA$3,0))),BH217*(1+INDEX(Response_Table!$L$4:$L$21,MATCH($F217&amp;"|high",Response_Table!$A$4:$A$21,0))*$R217*INDEX(Parameters!$X$12:$AA$12,1,MATCH($E217,Parameters!$X$3:$AA$3,0))))*(1-Inputs_General!$C$22*Parameters!$F$12))</f>
        <v>0.196542609727167</v>
      </c>
      <c r="BK217" s="46" t="n">
        <f aca="false">MAX(BH217*(1+INDEX(Response_Table!$L$4:$L$21,MATCH($F217&amp;"|low",Response_Table!$A$4:$A$21,0))*$R217*INDEX(Parameters!$X$12:$AA$12,1,MATCH($E217,Parameters!$X$3:$AA$3,0))),BH217*(1+INDEX(Response_Table!$L$4:$L$21,MATCH($F217&amp;"|high",Response_Table!$A$4:$A$21,0))*$R217*INDEX(Parameters!$X$12:$AA$12,1,MATCH($E217,Parameters!$X$3:$AA$3,0))))*(1+Inputs_General!$C$22*Parameters!$F$12)</f>
        <v>0.343868001235848</v>
      </c>
      <c r="BL217" s="45" t="n">
        <f aca="false">IF(BH217=0,0,BI217/BH217-1)</f>
        <v>-0.317984607300878</v>
      </c>
      <c r="BM217" s="46" t="n">
        <f aca="false">Parameters!$E$13*IF($N217="V",Parameters!$I$13,IF($N217="F",Parameters!$J$13,Parameters!$K$13))*(1-Parameters!$L$13*$P217)*IF($D217="V1",Parameters!$M$13,IF($D217="V2",Parameters!$N$13,Parameters!$O$13))</f>
        <v>0.270144353571429</v>
      </c>
      <c r="BN217" s="46" t="n">
        <f aca="false">BM217*(1+INDEX(Response_Table!$M$4:$M$21,MATCH($F217&amp;"|mid",Response_Table!$A$4:$A$21,0))*$R217*INDEX(Parameters!$X$13:$AA$13,1,MATCH($E217,Parameters!$X$3:$AA$3,0)))</f>
        <v>0.212976437249907</v>
      </c>
      <c r="BO217" s="46" t="n">
        <f aca="false">MAX(0,MIN(BM217*(1+INDEX(Response_Table!$M$4:$M$21,MATCH($F217&amp;"|low",Response_Table!$A$4:$A$21,0))*$R217*INDEX(Parameters!$X$13:$AA$13,1,MATCH($E217,Parameters!$X$3:$AA$3,0))),BM217*(1+INDEX(Response_Table!$M$4:$M$21,MATCH($F217&amp;"|high",Response_Table!$A$4:$A$21,0))*$R217*INDEX(Parameters!$X$13:$AA$13,1,MATCH($E217,Parameters!$X$3:$AA$3,0))))*(1-Inputs_General!$C$22*Parameters!$F$13))</f>
        <v>0.161236253536415</v>
      </c>
      <c r="BP217" s="46" t="n">
        <f aca="false">MAX(BM217*(1+INDEX(Response_Table!$M$4:$M$21,MATCH($F217&amp;"|low",Response_Table!$A$4:$A$21,0))*$R217*INDEX(Parameters!$X$13:$AA$13,1,MATCH($E217,Parameters!$X$3:$AA$3,0))),BM217*(1+INDEX(Response_Table!$M$4:$M$21,MATCH($F217&amp;"|high",Response_Table!$A$4:$A$21,0))*$R217*INDEX(Parameters!$X$13:$AA$13,1,MATCH($E217,Parameters!$X$3:$AA$3,0))))*(1+Inputs_General!$C$22*Parameters!$F$13)</f>
        <v>0.278339282093716</v>
      </c>
      <c r="BQ217" s="45" t="n">
        <f aca="false">IF(BM217=0,0,BN217/BM217-1)</f>
        <v>-0.211619882354511</v>
      </c>
      <c r="BR217" s="44" t="n">
        <f aca="false">Parameters!$E$14*IF($N217="V",Parameters!$I$14,IF($N217="F",Parameters!$J$14,Parameters!$K$14))*(1-Parameters!$L$14*$P217)*IF($D217="V1",Parameters!$M$14,IF($D217="V2",Parameters!$N$14,Parameters!$O$14))*INDEX(Context!$AC$4:$AC$51,$K217)</f>
        <v>17.25</v>
      </c>
      <c r="BS217" s="44" t="n">
        <f aca="false">BR217*(1+INDEX(Response_Table!$N$4:$N$21,MATCH($F217&amp;"|mid",Response_Table!$A$4:$A$21,0))*$R217*INDEX(Parameters!$X$14:$AA$14,1,MATCH($E217,Parameters!$X$3:$AA$3,0)))</f>
        <v>23.2338921555711</v>
      </c>
      <c r="BT217" s="44" t="n">
        <f aca="false">MAX(0,MIN(BR217*(1+INDEX(Response_Table!$N$4:$N$21,MATCH($F217&amp;"|low",Response_Table!$A$4:$A$21,0))*$R217*INDEX(Parameters!$X$14:$AA$14,1,MATCH($E217,Parameters!$X$3:$AA$3,0))),BR217*(1+INDEX(Response_Table!$N$4:$N$21,MATCH($F217&amp;"|high",Response_Table!$A$4:$A$21,0))*$R217*INDEX(Parameters!$X$14:$AA$14,1,MATCH($E217,Parameters!$X$3:$AA$3,0))))*(1-Inputs_General!$C$22*Parameters!$F$14))</f>
        <v>11.1504319330222</v>
      </c>
      <c r="BU217" s="44" t="n">
        <f aca="false">MAX(BR217*(1+INDEX(Response_Table!$N$4:$N$21,MATCH($F217&amp;"|low",Response_Table!$A$4:$A$21,0))*$R217*INDEX(Parameters!$X$14:$AA$14,1,MATCH($E217,Parameters!$X$3:$AA$3,0))),BR217*(1+INDEX(Response_Table!$N$4:$N$21,MATCH($F217&amp;"|high",Response_Table!$A$4:$A$21,0))*$R217*INDEX(Parameters!$X$14:$AA$14,1,MATCH($E217,Parameters!$X$3:$AA$3,0))))*(1+Inputs_General!$C$22*Parameters!$F$14)</f>
        <v>35.9702192934367</v>
      </c>
      <c r="BV217" s="45" t="n">
        <f aca="false">IF(BR217=0,0,BS217/BR217-1)</f>
        <v>0.346892298873685</v>
      </c>
      <c r="BW217" s="43" t="n">
        <f aca="false">Parameters!$E$15*IF($N217="V",Parameters!$I$15,IF($N217="F",Parameters!$J$15,Parameters!$K$15))*(1-Parameters!$L$15*$P217)*IF($D217="V1",Parameters!$M$15,IF($D217="V2",Parameters!$N$15,Parameters!$O$15))</f>
        <v>7.73084285714286</v>
      </c>
      <c r="BX217" s="43" t="n">
        <f aca="false">BW217*(1+INDEX(Response_Table!$O$4:$O$21,MATCH($F217&amp;"|mid",Response_Table!$A$4:$A$21,0))*$R217*INDEX(Parameters!$X$15:$AA$15,1,MATCH($E217,Parameters!$X$3:$AA$3,0)))</f>
        <v>7.06040039440648</v>
      </c>
      <c r="BY217" s="43" t="n">
        <f aca="false">MAX(0,MIN(BW217*(1+INDEX(Response_Table!$O$4:$O$21,MATCH($F217&amp;"|low",Response_Table!$A$4:$A$21,0))*$R217*INDEX(Parameters!$X$15:$AA$15,1,MATCH($E217,Parameters!$X$3:$AA$3,0))),BW217*(1+INDEX(Response_Table!$O$4:$O$21,MATCH($F217&amp;"|high",Response_Table!$A$4:$A$21,0))*$R217*INDEX(Parameters!$X$15:$AA$15,1,MATCH($E217,Parameters!$X$3:$AA$3,0))))*(1-Inputs_General!$C$22*Parameters!$F$15))</f>
        <v>5.59018595246029</v>
      </c>
      <c r="BZ217" s="43" t="n">
        <f aca="false">MAX(BW217*(1+INDEX(Response_Table!$O$4:$O$21,MATCH($F217&amp;"|low",Response_Table!$A$4:$A$21,0))*$R217*INDEX(Parameters!$X$15:$AA$15,1,MATCH($E217,Parameters!$X$3:$AA$3,0))),BW217*(1+INDEX(Response_Table!$O$4:$O$21,MATCH($F217&amp;"|high",Response_Table!$A$4:$A$21,0))*$R217*INDEX(Parameters!$X$15:$AA$15,1,MATCH($E217,Parameters!$X$3:$AA$3,0))))*(1+Inputs_General!$C$22*Parameters!$F$15)</f>
        <v>8.61769158345335</v>
      </c>
      <c r="CA217" s="45" t="n">
        <f aca="false">IF(BW217=0,0,BX217/BW217-1)</f>
        <v>-0.0867230747184212</v>
      </c>
      <c r="CB217" s="46" t="n">
        <f aca="false">BD217+BI217</f>
        <v>0.892947543483373</v>
      </c>
      <c r="CC217" s="43" t="n">
        <f aca="false">BD217/BI217</f>
        <v>2.4047589211717</v>
      </c>
      <c r="CD217" s="46" t="n">
        <f aca="false">BN217/CB217</f>
        <v>0.238509460946709</v>
      </c>
      <c r="CE217" s="43" t="n">
        <f aca="false">AE217/AO217</f>
        <v>1.82361527898966</v>
      </c>
      <c r="CF217" s="44" t="n">
        <f aca="false">AE217/AJ217</f>
        <v>44.0285705770599</v>
      </c>
      <c r="CG217" s="44" t="n">
        <f aca="false">INDEX(Context!$V$4:$V$51,$K217)</f>
        <v>32.7871428571429</v>
      </c>
      <c r="CH217" s="44" t="n">
        <f aca="false">INDEX(Context!$Y$4:$Y$51,$K217)</f>
        <v>28.36912210206</v>
      </c>
      <c r="CI217" s="44" t="n">
        <f aca="false">INDEX(Context!$Z$4:$Z$51,$K217)</f>
        <v>36.7871428571429</v>
      </c>
      <c r="CJ217" s="43" t="n">
        <f aca="false">INDEX(Context!$AA$4:$AA$51,$K217)</f>
        <v>0.347678571428571</v>
      </c>
      <c r="CK217" s="43" t="n">
        <f aca="false">MAX(0,MIN(1,1-(1-CJ217)*AO217/AN217))</f>
        <v>0.554138949068863</v>
      </c>
      <c r="CL217" s="44" t="n">
        <f aca="false">CH217+CK217*(CI217-CH217)</f>
        <v>33.0338752765215</v>
      </c>
      <c r="CM217" s="44" t="n">
        <f aca="false">CH217+MAX(0,MIN(1,1-(1-CJ217)*AQ217/AN217))*(CI217-CH217)</f>
        <v>31.1761753827075</v>
      </c>
      <c r="CN217" s="44" t="n">
        <f aca="false">CH217+MAX(0,MIN(1,1-(1-CJ217)*AP217/AN217))*(CI217-CH217)</f>
        <v>34.4375072703974</v>
      </c>
      <c r="CO217" s="44" t="n">
        <f aca="false">CL217-CG217</f>
        <v>0.246732419378652</v>
      </c>
      <c r="CP217" s="44" t="n">
        <f aca="false">CL217-(CH217+CJ217*(CI217-CH217))</f>
        <v>1.73798774407821</v>
      </c>
      <c r="CQ217" s="46" t="n">
        <f aca="false">CL217/CG217</f>
        <v>1.00752527966385</v>
      </c>
      <c r="CR217" s="43" t="n">
        <f aca="false">IF(CL217-CH217&lt;=0,"n/a",(CI217-CL217)/(CL217-CH217))</f>
        <v>0.804601538441452</v>
      </c>
      <c r="CS217" s="43" t="n">
        <f aca="false">IF(CI217-CL217&lt;=0,"n/a",(CL217-CH217)/(CI217-CL217))</f>
        <v>1.24285121544391</v>
      </c>
      <c r="CT217" s="43" t="n">
        <f aca="false">Inputs_General!$C$23+Inputs_General!$C$24*$I217</f>
        <v>1.36</v>
      </c>
      <c r="CU217" s="44" t="n">
        <f aca="false">3.29*CT217</f>
        <v>4.4744</v>
      </c>
    </row>
    <row r="218" customFormat="false" ht="15" hidden="false" customHeight="false" outlineLevel="0" collapsed="false">
      <c r="A218" s="9" t="str">
        <f aca="false">B218&amp;"|"&amp;E218&amp;"|"&amp;F218</f>
        <v>D3V3|13/03/2026|Very high</v>
      </c>
      <c r="B218" s="7" t="s">
        <v>351</v>
      </c>
      <c r="C218" s="9" t="s">
        <v>131</v>
      </c>
      <c r="D218" s="9" t="s">
        <v>150</v>
      </c>
      <c r="E218" s="9" t="s">
        <v>164</v>
      </c>
      <c r="F218" s="7" t="s">
        <v>285</v>
      </c>
      <c r="G218" s="9" t="s">
        <v>286</v>
      </c>
      <c r="H218" s="41" t="n">
        <f aca="false">INDEX(Severity_Classes!$C$4:$C$9,MATCH(F218,Severity_Classes!$A$4:$A$9,0))</f>
        <v>0.51</v>
      </c>
      <c r="I218" s="41" t="n">
        <f aca="false">INDEX(Severity_Classes!$D$4:$D$9,MATCH(F218,Severity_Classes!$A$4:$A$9,0))</f>
        <v>0.65</v>
      </c>
      <c r="J218" s="41" t="n">
        <f aca="false">INDEX(Severity_Classes!$E$4:$E$9,MATCH(F218,Severity_Classes!$A$4:$A$9,0))</f>
        <v>0.85</v>
      </c>
      <c r="K218" s="42" t="n">
        <f aca="false">MATCH(B218&amp;"|"&amp;E218,Context!$A$4:$A$51,0)</f>
        <v>36</v>
      </c>
      <c r="L218" s="42" t="n">
        <f aca="false">INDEX(Context!$H$4:$H$51,K218)</f>
        <v>76</v>
      </c>
      <c r="M218" s="42" t="n">
        <f aca="false">INDEX(Context!$I$4:$I$51,K218)</f>
        <v>36</v>
      </c>
      <c r="N218" s="9" t="str">
        <f aca="false">INDEX(Context!$L$4:$L$51,K218)</f>
        <v>P</v>
      </c>
      <c r="O218" s="9" t="str">
        <f aca="false">INDEX(Context!$M$4:$M$51,K218)</f>
        <v>5th fully expanded leaf from top</v>
      </c>
      <c r="P218" s="43" t="n">
        <f aca="false">INDEX(Context!$R$4:$R$51,K218)</f>
        <v>0.953571428571428</v>
      </c>
      <c r="Q218" s="43" t="n">
        <f aca="false">INDEX(Context!$U$4:$U$51,K218)</f>
        <v>2.18945736698217</v>
      </c>
      <c r="R218" s="43" t="n">
        <f aca="false">INDEX(Context!$AD$4:$AD$51,K218)</f>
        <v>0.85</v>
      </c>
      <c r="S218" s="9" t="str">
        <f aca="false">INDEX(Context!$AI$4:$AN$51,K218,MATCH(F218,Severity_Classes!$A$4:$A$9,0))</f>
        <v>Possible</v>
      </c>
      <c r="T218" s="44" t="n">
        <f aca="false">Parameters!$E$4*IF($N218="V",Parameters!$I$4,IF($N218="F",Parameters!$J$4,Parameters!$K$4))*(1-Parameters!$L$4*$P218)*IF($D218="V1",Parameters!$M$4,IF($D218="V2",Parameters!$N$4,Parameters!$O$4))</f>
        <v>77.8046607142857</v>
      </c>
      <c r="U218" s="44" t="n">
        <f aca="false">MIN(100,T218*(1+INDEX(Response_Table!$E$4:$E$21,MATCH($F218&amp;"|mid",Response_Table!$A$4:$A$21,0))*$R218*INDEX(Parameters!$X$4:$AA$4,1,MATCH($E218,Parameters!$X$3:$AA$3,0))))</f>
        <v>59.5509562362945</v>
      </c>
      <c r="V218" s="44" t="n">
        <f aca="false">MAX(0,MIN(T218*(1+INDEX(Response_Table!$E$4:$E$21,MATCH($F218&amp;"|low",Response_Table!$A$4:$A$21,0))*$R218*INDEX(Parameters!$X$4:$AA$4,1,MATCH($E218,Parameters!$X$3:$AA$3,0))),T218*(1+INDEX(Response_Table!$E$4:$E$21,MATCH($F218&amp;"|high",Response_Table!$A$4:$A$21,0))*$R218*INDEX(Parameters!$X$4:$AA$4,1,MATCH($E218,Parameters!$X$3:$AA$3,0))))*(1-Inputs_General!$C$22*Parameters!$F$4))</f>
        <v>54.4486948289438</v>
      </c>
      <c r="W218" s="44" t="n">
        <f aca="false">MIN(100,MAX(T218*(1+INDEX(Response_Table!$E$4:$E$21,MATCH($F218&amp;"|low",Response_Table!$A$4:$A$21,0))*$R218*INDEX(Parameters!$X$4:$AA$4,1,MATCH($E218,Parameters!$X$3:$AA$3,0))),T218*(1+INDEX(Response_Table!$E$4:$E$21,MATCH($F218&amp;"|high",Response_Table!$A$4:$A$21,0))*$R218*INDEX(Parameters!$X$4:$AA$4,1,MATCH($E218,Parameters!$X$3:$AA$3,0))))*(1+Inputs_General!$C$22*Parameters!$F$4))</f>
        <v>66.4284070813125</v>
      </c>
      <c r="X218" s="45" t="n">
        <f aca="false">IF(T218=0,0,U218/T218-1)</f>
        <v>-0.234609396280545</v>
      </c>
      <c r="Y218" s="44" t="n">
        <f aca="false">Parameters!$E$5*IF($N218="V",Parameters!$I$5,IF($N218="F",Parameters!$J$5,Parameters!$K$5))*(1-Parameters!$L$5*$P218)*IF($D218="V1",Parameters!$M$5,IF($D218="V2",Parameters!$N$5,Parameters!$O$5))</f>
        <v>58.6602514285714</v>
      </c>
      <c r="Z218" s="44" t="n">
        <f aca="false">MIN(100,Y218*(1+INDEX(Response_Table!$F$4:$F$21,MATCH($F218&amp;"|mid",Response_Table!$A$4:$A$21,0))*$R218*INDEX(Parameters!$X$5:$AA$5,1,MATCH($E218,Parameters!$X$3:$AA$3,0))))</f>
        <v>24.6507118915932</v>
      </c>
      <c r="AA218" s="44" t="n">
        <f aca="false">MAX(0,MIN(Y218*(1+INDEX(Response_Table!$F$4:$F$21,MATCH($F218&amp;"|low",Response_Table!$A$4:$A$21,0))*$R218*INDEX(Parameters!$X$5:$AA$5,1,MATCH($E218,Parameters!$X$3:$AA$3,0))),Y218*(1+INDEX(Response_Table!$F$4:$F$21,MATCH($F218&amp;"|high",Response_Table!$A$4:$A$21,0))*$R218*INDEX(Parameters!$X$5:$AA$5,1,MATCH($E218,Parameters!$X$3:$AA$3,0))))*(1-Inputs_General!$C$22*Parameters!$F$5))</f>
        <v>21.1309914029612</v>
      </c>
      <c r="AB218" s="44" t="n">
        <f aca="false">MIN(100,MAX(Y218*(1+INDEX(Response_Table!$F$4:$F$21,MATCH($F218&amp;"|low",Response_Table!$A$4:$A$21,0))*$R218*INDEX(Parameters!$X$5:$AA$5,1,MATCH($E218,Parameters!$X$3:$AA$3,0))),Y218*(1+INDEX(Response_Table!$F$4:$F$21,MATCH($F218&amp;"|high",Response_Table!$A$4:$A$21,0))*$R218*INDEX(Parameters!$X$5:$AA$5,1,MATCH($E218,Parameters!$X$3:$AA$3,0))))*(1+Inputs_General!$C$22*Parameters!$F$5))</f>
        <v>30.2554204146292</v>
      </c>
      <c r="AC218" s="45" t="n">
        <f aca="false">IF(Y218=0,0,Z218/Y218-1)</f>
        <v>-0.579771458674883</v>
      </c>
      <c r="AD218" s="44" t="n">
        <f aca="false">Parameters!$E$6*IF($N218="V",Parameters!$I$6,IF($N218="F",Parameters!$J$6,Parameters!$K$6))*(1-Parameters!$L$6*$P218)*IF($D218="V1",Parameters!$M$6,IF($D218="V2",Parameters!$N$6,Parameters!$O$6))</f>
        <v>14.7310379285714</v>
      </c>
      <c r="AE218" s="44" t="n">
        <f aca="false">AD218*(1+INDEX(Response_Table!$G$4:$G$21,MATCH($F218&amp;"|mid",Response_Table!$A$4:$A$21,0))*$R218*INDEX(Parameters!$X$6:$AA$6,1,MATCH($E218,Parameters!$X$3:$AA$3,0)))</f>
        <v>5.87781427734759</v>
      </c>
      <c r="AF218" s="44" t="n">
        <f aca="false">MAX(0,MIN(AD218*(1+INDEX(Response_Table!$G$4:$G$21,MATCH($F218&amp;"|low",Response_Table!$A$4:$A$21,0))*$R218*INDEX(Parameters!$X$6:$AA$6,1,MATCH($E218,Parameters!$X$3:$AA$3,0))),AD218*(1+INDEX(Response_Table!$G$4:$G$21,MATCH($F218&amp;"|high",Response_Table!$A$4:$A$21,0))*$R218*INDEX(Parameters!$X$6:$AA$6,1,MATCH($E218,Parameters!$X$3:$AA$3,0))))*(1-Inputs_General!$C$22*Parameters!$F$6))</f>
        <v>4.46492552226835</v>
      </c>
      <c r="AG218" s="44" t="n">
        <f aca="false">MAX(AD218*(1+INDEX(Response_Table!$G$4:$G$21,MATCH($F218&amp;"|low",Response_Table!$A$4:$A$21,0))*$R218*INDEX(Parameters!$X$6:$AA$6,1,MATCH($E218,Parameters!$X$3:$AA$3,0))),AD218*(1+INDEX(Response_Table!$G$4:$G$21,MATCH($F218&amp;"|high",Response_Table!$A$4:$A$21,0))*$R218*INDEX(Parameters!$X$6:$AA$6,1,MATCH($E218,Parameters!$X$3:$AA$3,0))))*(1+Inputs_General!$C$22*Parameters!$F$6)</f>
        <v>7.58644612827969</v>
      </c>
      <c r="AH218" s="45" t="n">
        <f aca="false">IF(AD218=0,0,AE218/AD218-1)</f>
        <v>-0.600991165330765</v>
      </c>
      <c r="AI218" s="46" t="n">
        <f aca="false">Parameters!$E$7*IF($N218="V",Parameters!$I$7,IF($N218="F",Parameters!$J$7,Parameters!$K$7))*(1-Parameters!$L$7*$P218)*IF($D218="V1",Parameters!$M$7,IF($D218="V2",Parameters!$N$7,Parameters!$O$7))*POWER($Q218/Inputs_General!$C$26,-Inputs_General!$C$25)</f>
        <v>0.258501574676089</v>
      </c>
      <c r="AJ218" s="46" t="n">
        <f aca="false">AI218*(1+INDEX(Response_Table!$H$4:$H$21,MATCH($F218&amp;"|mid",Response_Table!$A$4:$A$21,0))*$R218*INDEX(Parameters!$X$7:$AA$7,1,MATCH($E218,Parameters!$X$3:$AA$3,0)))</f>
        <v>0.135999339193782</v>
      </c>
      <c r="AK218" s="46" t="n">
        <f aca="false">MAX(0,MIN(AI218*(1+INDEX(Response_Table!$H$4:$H$21,MATCH($F218&amp;"|low",Response_Table!$A$4:$A$21,0))*$R218*INDEX(Parameters!$X$7:$AA$7,1,MATCH($E218,Parameters!$X$3:$AA$3,0))),AI218*(1+INDEX(Response_Table!$H$4:$H$21,MATCH($F218&amp;"|high",Response_Table!$A$4:$A$21,0))*$R218*INDEX(Parameters!$X$7:$AA$7,1,MATCH($E218,Parameters!$X$3:$AA$3,0))))*(1-Inputs_General!$C$22*Parameters!$F$7))</f>
        <v>0.0892765124683278</v>
      </c>
      <c r="AL218" s="46" t="n">
        <f aca="false">MAX(AI218*(1+INDEX(Response_Table!$H$4:$H$21,MATCH($F218&amp;"|low",Response_Table!$A$4:$A$21,0))*$R218*INDEX(Parameters!$X$7:$AA$7,1,MATCH($E218,Parameters!$X$3:$AA$3,0))),AI218*(1+INDEX(Response_Table!$H$4:$H$21,MATCH($F218&amp;"|high",Response_Table!$A$4:$A$21,0))*$R218*INDEX(Parameters!$X$7:$AA$7,1,MATCH($E218,Parameters!$X$3:$AA$3,0))))*(1+Inputs_General!$C$22*Parameters!$F$7)</f>
        <v>0.19001543745326</v>
      </c>
      <c r="AM218" s="45" t="n">
        <f aca="false">IF(AI218=0,0,AJ218/AI218-1)</f>
        <v>-0.473893575448451</v>
      </c>
      <c r="AN218" s="43" t="n">
        <f aca="false">AI218*$Q218/Inputs_General!$C$13*1000</f>
        <v>5.69967952720096</v>
      </c>
      <c r="AO218" s="43" t="n">
        <f aca="false">AJ218*$Q218/Inputs_General!$C$13*1000*(1+Inputs_General!$C$21*$I218)</f>
        <v>3.48591669493148</v>
      </c>
      <c r="AP218" s="43" t="n">
        <f aca="false">AK218*$Q218/Inputs_General!$C$13*1000*(1+Inputs_General!$C$21*$H218)</f>
        <v>2.21942774881514</v>
      </c>
      <c r="AQ218" s="43" t="n">
        <f aca="false">AL218*$Q218/Inputs_General!$C$13*1000*(1+Inputs_General!$C$21*$J218)</f>
        <v>5.0799317521552</v>
      </c>
      <c r="AR218" s="45" t="n">
        <f aca="false">IF(AN218=0,0,AO218/AN218-1)</f>
        <v>-0.388401281458824</v>
      </c>
      <c r="AS218" s="42" t="n">
        <f aca="false">Parameters!$E$9*IF($N218="V",Parameters!$I$9,IF($N218="F",Parameters!$J$9,Parameters!$K$9))*(1-Parameters!$L$9*$P218)*IF($D218="V1",Parameters!$M$9,IF($D218="V2",Parameters!$N$9,Parameters!$O$9))</f>
        <v>293.55</v>
      </c>
      <c r="AT218" s="42" t="n">
        <f aca="false">AS218*(1+INDEX(Response_Table!$I$4:$I$21,MATCH($F218&amp;"|mid",Response_Table!$A$4:$A$21,0))*$R218*INDEX(Parameters!$X$9:$AA$9,1,MATCH($E218,Parameters!$X$3:$AA$3,0)))</f>
        <v>362.845482734372</v>
      </c>
      <c r="AU218" s="42" t="n">
        <f aca="false">MAX(0,MIN(AS218*(1+INDEX(Response_Table!$I$4:$I$21,MATCH($F218&amp;"|low",Response_Table!$A$4:$A$21,0))*$R218*INDEX(Parameters!$X$9:$AA$9,1,MATCH($E218,Parameters!$X$3:$AA$3,0))),AS218*(1+INDEX(Response_Table!$I$4:$I$21,MATCH($F218&amp;"|high",Response_Table!$A$4:$A$21,0))*$R218*INDEX(Parameters!$X$9:$AA$9,1,MATCH($E218,Parameters!$X$3:$AA$3,0))))*(1-Inputs_General!$C$22*Parameters!$F$9))</f>
        <v>323.270999999858</v>
      </c>
      <c r="AV218" s="42" t="n">
        <f aca="false">MAX(AS218*(1+INDEX(Response_Table!$I$4:$I$21,MATCH($F218&amp;"|low",Response_Table!$A$4:$A$21,0))*$R218*INDEX(Parameters!$X$9:$AA$9,1,MATCH($E218,Parameters!$X$3:$AA$3,0))),AS218*(1+INDEX(Response_Table!$I$4:$I$21,MATCH($F218&amp;"|high",Response_Table!$A$4:$A$21,0))*$R218*INDEX(Parameters!$X$9:$AA$9,1,MATCH($E218,Parameters!$X$3:$AA$3,0))))*(1+Inputs_General!$C$22*Parameters!$F$9)</f>
        <v>402.022114875989</v>
      </c>
      <c r="AW218" s="45" t="n">
        <f aca="false">IF(AS218=0,0,AT218/AS218-1)</f>
        <v>0.236060237555345</v>
      </c>
      <c r="AX218" s="43" t="n">
        <f aca="false">INDEX(Context!$AB$4:$AB$51,$K218)</f>
        <v>2.86350044433308</v>
      </c>
      <c r="AY218" s="43" t="n">
        <f aca="false">AX218*(1+INDEX(Response_Table!$J$4:$J$21,MATCH($F218&amp;"|mid",Response_Table!$A$4:$A$21,0))*$R218*INDEX(Parameters!$X$10:$AA$10,1,MATCH($E218,Parameters!$X$3:$AA$3,0)))</f>
        <v>1.98388670043708</v>
      </c>
      <c r="AZ218" s="43" t="n">
        <f aca="false">MAX(0,MIN(AX218*(1+INDEX(Response_Table!$J$4:$J$21,MATCH($F218&amp;"|low",Response_Table!$A$4:$A$21,0))*$R218*INDEX(Parameters!$X$10:$AA$10,1,MATCH($E218,Parameters!$X$3:$AA$3,0))),AX218*(1+INDEX(Response_Table!$J$4:$J$21,MATCH($F218&amp;"|high",Response_Table!$A$4:$A$21,0))*$R218*INDEX(Parameters!$X$10:$AA$10,1,MATCH($E218,Parameters!$X$3:$AA$3,0))))*(1-Inputs_General!$C$22*Parameters!$F$10))</f>
        <v>1.52415757029778</v>
      </c>
      <c r="BA218" s="43" t="n">
        <f aca="false">MAX(AX218*(1+INDEX(Response_Table!$J$4:$J$21,MATCH($F218&amp;"|low",Response_Table!$A$4:$A$21,0))*$R218*INDEX(Parameters!$X$10:$AA$10,1,MATCH($E218,Parameters!$X$3:$AA$3,0))),AX218*(1+INDEX(Response_Table!$J$4:$J$21,MATCH($F218&amp;"|high",Response_Table!$A$4:$A$21,0))*$R218*INDEX(Parameters!$X$10:$AA$10,1,MATCH($E218,Parameters!$X$3:$AA$3,0))))*(1+Inputs_General!$C$22*Parameters!$F$10)</f>
        <v>2.48372990147769</v>
      </c>
      <c r="BB218" s="45" t="n">
        <f aca="false">IF(AX218=0,0,AY218/AX218-1)</f>
        <v>-0.307181284234396</v>
      </c>
      <c r="BC218" s="46" t="n">
        <f aca="false">Parameters!$E$11*IF($N218="V",Parameters!$I$11,IF($N218="F",Parameters!$J$11,Parameters!$K$11))*(1-Parameters!$L$11*$P218)*IF($D218="V1",Parameters!$M$11,IF($D218="V2",Parameters!$N$11,Parameters!$O$11))</f>
        <v>1.03176111607143</v>
      </c>
      <c r="BD218" s="46" t="n">
        <f aca="false">BC218*(1+INDEX(Response_Table!$K$4:$K$21,MATCH($F218&amp;"|mid",Response_Table!$A$4:$A$21,0))*$R218*INDEX(Parameters!$X$11:$AA$11,1,MATCH($E218,Parameters!$X$3:$AA$3,0)))</f>
        <v>0.532929319122865</v>
      </c>
      <c r="BE218" s="46" t="n">
        <f aca="false">MAX(0,MIN(BC218*(1+INDEX(Response_Table!$K$4:$K$21,MATCH($F218&amp;"|low",Response_Table!$A$4:$A$21,0))*$R218*INDEX(Parameters!$X$11:$AA$11,1,MATCH($E218,Parameters!$X$3:$AA$3,0))),BC218*(1+INDEX(Response_Table!$K$4:$K$21,MATCH($F218&amp;"|high",Response_Table!$A$4:$A$21,0))*$R218*INDEX(Parameters!$X$11:$AA$11,1,MATCH($E218,Parameters!$X$3:$AA$3,0))))*(1-Inputs_General!$C$22*Parameters!$F$11))</f>
        <v>0.417135801014429</v>
      </c>
      <c r="BF218" s="46" t="n">
        <f aca="false">MAX(BC218*(1+INDEX(Response_Table!$K$4:$K$21,MATCH($F218&amp;"|low",Response_Table!$A$4:$A$21,0))*$R218*INDEX(Parameters!$X$11:$AA$11,1,MATCH($E218,Parameters!$X$3:$AA$3,0))),BC218*(1+INDEX(Response_Table!$K$4:$K$21,MATCH($F218&amp;"|high",Response_Table!$A$4:$A$21,0))*$R218*INDEX(Parameters!$X$11:$AA$11,1,MATCH($E218,Parameters!$X$3:$AA$3,0))))*(1+Inputs_General!$C$22*Parameters!$F$11)</f>
        <v>0.66746718919665</v>
      </c>
      <c r="BG218" s="45" t="n">
        <f aca="false">IF(BC218=0,0,BD218/BC218-1)</f>
        <v>-0.483476057760283</v>
      </c>
      <c r="BH218" s="46" t="n">
        <f aca="false">Parameters!$E$12*IF($N218="V",Parameters!$I$12,IF($N218="F",Parameters!$J$12,Parameters!$K$12))*(1-Parameters!$L$12*$P218)*IF($D218="V1",Parameters!$M$12,IF($D218="V2",Parameters!$N$12,Parameters!$O$12))</f>
        <v>0.384543437142857</v>
      </c>
      <c r="BI218" s="46" t="n">
        <f aca="false">BH218*(1+INDEX(Response_Table!$L$4:$L$21,MATCH($F218&amp;"|mid",Response_Table!$A$4:$A$21,0))*$R218*INDEX(Parameters!$X$12:$AA$12,1,MATCH($E218,Parameters!$X$3:$AA$3,0)))</f>
        <v>0.230346567314279</v>
      </c>
      <c r="BJ218" s="46" t="n">
        <f aca="false">MAX(0,MIN(BH218*(1+INDEX(Response_Table!$L$4:$L$21,MATCH($F218&amp;"|low",Response_Table!$A$4:$A$21,0))*$R218*INDEX(Parameters!$X$12:$AA$12,1,MATCH($E218,Parameters!$X$3:$AA$3,0))),BH218*(1+INDEX(Response_Table!$L$4:$L$21,MATCH($F218&amp;"|high",Response_Table!$A$4:$A$21,0))*$R218*INDEX(Parameters!$X$12:$AA$12,1,MATCH($E218,Parameters!$X$3:$AA$3,0))))*(1-Inputs_General!$C$22*Parameters!$F$12))</f>
        <v>0.175614047253027</v>
      </c>
      <c r="BK218" s="46" t="n">
        <f aca="false">MAX(BH218*(1+INDEX(Response_Table!$L$4:$L$21,MATCH($F218&amp;"|low",Response_Table!$A$4:$A$21,0))*$R218*INDEX(Parameters!$X$12:$AA$12,1,MATCH($E218,Parameters!$X$3:$AA$3,0))),BH218*(1+INDEX(Response_Table!$L$4:$L$21,MATCH($F218&amp;"|high",Response_Table!$A$4:$A$21,0))*$R218*INDEX(Parameters!$X$12:$AA$12,1,MATCH($E218,Parameters!$X$3:$AA$3,0))))*(1+Inputs_General!$C$22*Parameters!$F$12)</f>
        <v>0.291802638900658</v>
      </c>
      <c r="BL218" s="45" t="n">
        <f aca="false">IF(BH218=0,0,BI218/BH218-1)</f>
        <v>-0.400986871533305</v>
      </c>
      <c r="BM218" s="46" t="n">
        <f aca="false">Parameters!$E$13*IF($N218="V",Parameters!$I$13,IF($N218="F",Parameters!$J$13,Parameters!$K$13))*(1-Parameters!$L$13*$P218)*IF($D218="V1",Parameters!$M$13,IF($D218="V2",Parameters!$N$13,Parameters!$O$13))</f>
        <v>0.270144353571429</v>
      </c>
      <c r="BN218" s="46" t="n">
        <f aca="false">BM218*(1+INDEX(Response_Table!$M$4:$M$21,MATCH($F218&amp;"|mid",Response_Table!$A$4:$A$21,0))*$R218*INDEX(Parameters!$X$13:$AA$13,1,MATCH($E218,Parameters!$X$3:$AA$3,0)))</f>
        <v>0.191972986041918</v>
      </c>
      <c r="BO218" s="46" t="n">
        <f aca="false">MAX(0,MIN(BM218*(1+INDEX(Response_Table!$M$4:$M$21,MATCH($F218&amp;"|low",Response_Table!$A$4:$A$21,0))*$R218*INDEX(Parameters!$X$13:$AA$13,1,MATCH($E218,Parameters!$X$3:$AA$3,0))),BM218*(1+INDEX(Response_Table!$M$4:$M$21,MATCH($F218&amp;"|high",Response_Table!$A$4:$A$21,0))*$R218*INDEX(Parameters!$X$13:$AA$13,1,MATCH($E218,Parameters!$X$3:$AA$3,0))))*(1-Inputs_General!$C$22*Parameters!$F$13))</f>
        <v>0.148942457421177</v>
      </c>
      <c r="BP218" s="46" t="n">
        <f aca="false">MAX(BM218*(1+INDEX(Response_Table!$M$4:$M$21,MATCH($F218&amp;"|low",Response_Table!$A$4:$A$21,0))*$R218*INDEX(Parameters!$X$13:$AA$13,1,MATCH($E218,Parameters!$X$3:$AA$3,0))),BM218*(1+INDEX(Response_Table!$M$4:$M$21,MATCH($F218&amp;"|high",Response_Table!$A$4:$A$21,0))*$R218*INDEX(Parameters!$X$13:$AA$13,1,MATCH($E218,Parameters!$X$3:$AA$3,0))))*(1+Inputs_General!$C$22*Parameters!$F$13)</f>
        <v>0.239629269199871</v>
      </c>
      <c r="BQ218" s="45" t="n">
        <f aca="false">IF(BM218=0,0,BN218/BM218-1)</f>
        <v>-0.289368874440834</v>
      </c>
      <c r="BR218" s="44" t="n">
        <f aca="false">Parameters!$E$14*IF($N218="V",Parameters!$I$14,IF($N218="F",Parameters!$J$14,Parameters!$K$14))*(1-Parameters!$L$14*$P218)*IF($D218="V1",Parameters!$M$14,IF($D218="V2",Parameters!$N$14,Parameters!$O$14))*INDEX(Context!$AC$4:$AC$51,$K218)</f>
        <v>17.25</v>
      </c>
      <c r="BS218" s="44" t="n">
        <f aca="false">BR218*(1+INDEX(Response_Table!$N$4:$N$21,MATCH($F218&amp;"|mid",Response_Table!$A$4:$A$21,0))*$R218*INDEX(Parameters!$X$14:$AA$14,1,MATCH($E218,Parameters!$X$3:$AA$3,0)))</f>
        <v>24.7958438552176</v>
      </c>
      <c r="BT218" s="44" t="n">
        <f aca="false">MAX(0,MIN(BR218*(1+INDEX(Response_Table!$N$4:$N$21,MATCH($F218&amp;"|low",Response_Table!$A$4:$A$21,0))*$R218*INDEX(Parameters!$X$14:$AA$14,1,MATCH($E218,Parameters!$X$3:$AA$3,0))),BR218*(1+INDEX(Response_Table!$N$4:$N$21,MATCH($F218&amp;"|high",Response_Table!$A$4:$A$21,0))*$R218*INDEX(Parameters!$X$14:$AA$14,1,MATCH($E218,Parameters!$X$3:$AA$3,0))))*(1-Inputs_General!$C$22*Parameters!$F$14))</f>
        <v>12.2281901619278</v>
      </c>
      <c r="BU218" s="44" t="n">
        <f aca="false">MAX(BR218*(1+INDEX(Response_Table!$N$4:$N$21,MATCH($F218&amp;"|low",Response_Table!$A$4:$A$21,0))*$R218*INDEX(Parameters!$X$14:$AA$14,1,MATCH($E218,Parameters!$X$3:$AA$3,0))),BR218*(1+INDEX(Response_Table!$N$4:$N$21,MATCH($F218&amp;"|high",Response_Table!$A$4:$A$21,0))*$R218*INDEX(Parameters!$X$14:$AA$14,1,MATCH($E218,Parameters!$X$3:$AA$3,0))))*(1+Inputs_General!$C$22*Parameters!$F$14)</f>
        <v>37.8760210675005</v>
      </c>
      <c r="BV218" s="45" t="n">
        <f aca="false">IF(BR218=0,0,BS218/BR218-1)</f>
        <v>0.437440223490878</v>
      </c>
      <c r="BW218" s="43" t="n">
        <f aca="false">Parameters!$E$15*IF($N218="V",Parameters!$I$15,IF($N218="F",Parameters!$J$15,Parameters!$K$15))*(1-Parameters!$L$15*$P218)*IF($D218="V1",Parameters!$M$15,IF($D218="V2",Parameters!$N$15,Parameters!$O$15))</f>
        <v>7.73084285714286</v>
      </c>
      <c r="BX218" s="43" t="n">
        <f aca="false">BW218*(1+INDEX(Response_Table!$O$4:$O$21,MATCH($F218&amp;"|mid",Response_Table!$A$4:$A$21,0))*$R218*INDEX(Parameters!$X$15:$AA$15,1,MATCH($E218,Parameters!$X$3:$AA$3,0)))</f>
        <v>6.8853974503425</v>
      </c>
      <c r="BY218" s="43" t="n">
        <f aca="false">MAX(0,MIN(BW218*(1+INDEX(Response_Table!$O$4:$O$21,MATCH($F218&amp;"|low",Response_Table!$A$4:$A$21,0))*$R218*INDEX(Parameters!$X$15:$AA$15,1,MATCH($E218,Parameters!$X$3:$AA$3,0))),BW218*(1+INDEX(Response_Table!$O$4:$O$21,MATCH($F218&amp;"|high",Response_Table!$A$4:$A$21,0))*$R218*INDEX(Parameters!$X$15:$AA$15,1,MATCH($E218,Parameters!$X$3:$AA$3,0))))*(1-Inputs_General!$C$22*Parameters!$F$15))</f>
        <v>5.47543682017008</v>
      </c>
      <c r="BZ218" s="43" t="n">
        <f aca="false">MAX(BW218*(1+INDEX(Response_Table!$O$4:$O$21,MATCH($F218&amp;"|low",Response_Table!$A$4:$A$21,0))*$R218*INDEX(Parameters!$X$15:$AA$15,1,MATCH($E218,Parameters!$X$3:$AA$3,0))),BW218*(1+INDEX(Response_Table!$O$4:$O$21,MATCH($F218&amp;"|high",Response_Table!$A$4:$A$21,0))*$R218*INDEX(Parameters!$X$15:$AA$15,1,MATCH($E218,Parameters!$X$3:$AA$3,0))))*(1+Inputs_General!$C$22*Parameters!$F$15)</f>
        <v>8.33222261453966</v>
      </c>
      <c r="CA218" s="45" t="n">
        <f aca="false">IF(BW218=0,0,BX218/BW218-1)</f>
        <v>-0.109360055872719</v>
      </c>
      <c r="CB218" s="46" t="n">
        <f aca="false">BD218+BI218</f>
        <v>0.763275886437143</v>
      </c>
      <c r="CC218" s="43" t="n">
        <f aca="false">BD218/BI218</f>
        <v>2.31359783363192</v>
      </c>
      <c r="CD218" s="46" t="n">
        <f aca="false">BN218/CB218</f>
        <v>0.251511923084612</v>
      </c>
      <c r="CE218" s="43" t="n">
        <f aca="false">AE218/AO218</f>
        <v>1.68616028199811</v>
      </c>
      <c r="CF218" s="44" t="n">
        <f aca="false">AE218/AJ218</f>
        <v>43.2194326251279</v>
      </c>
      <c r="CG218" s="44" t="n">
        <f aca="false">INDEX(Context!$V$4:$V$51,$K218)</f>
        <v>32.7871428571429</v>
      </c>
      <c r="CH218" s="44" t="n">
        <f aca="false">INDEX(Context!$Y$4:$Y$51,$K218)</f>
        <v>28.36912210206</v>
      </c>
      <c r="CI218" s="44" t="n">
        <f aca="false">INDEX(Context!$Z$4:$Z$51,$K218)</f>
        <v>36.7871428571429</v>
      </c>
      <c r="CJ218" s="43" t="n">
        <f aca="false">INDEX(Context!$AA$4:$AA$51,$K218)</f>
        <v>0.347678571428571</v>
      </c>
      <c r="CK218" s="43" t="n">
        <f aca="false">MAX(0,MIN(1,1-(1-CJ218)*AO218/AN218))</f>
        <v>0.601041050208765</v>
      </c>
      <c r="CL218" s="44" t="n">
        <f aca="false">CH218+CK218*(CI218-CH218)</f>
        <v>33.4286981373742</v>
      </c>
      <c r="CM218" s="44" t="n">
        <f aca="false">CH218+MAX(0,MIN(1,1-(1-CJ218)*AQ218/AN218))*(CI218-CH218)</f>
        <v>31.8929725533553</v>
      </c>
      <c r="CN218" s="44" t="n">
        <f aca="false">CH218+MAX(0,MIN(1,1-(1-CJ218)*AP218/AN218))*(CI218-CH218)</f>
        <v>34.6488744886663</v>
      </c>
      <c r="CO218" s="44" t="n">
        <f aca="false">CL218-CG218</f>
        <v>0.641555280231344</v>
      </c>
      <c r="CP218" s="44" t="n">
        <f aca="false">CL218-(CH218+CJ218*(CI218-CH218))</f>
        <v>2.1328106049309</v>
      </c>
      <c r="CQ218" s="46" t="n">
        <f aca="false">CL218/CG218</f>
        <v>1.01956728230412</v>
      </c>
      <c r="CR218" s="43" t="n">
        <f aca="false">IF(CL218-CH218&lt;=0,"n/a",(CI218-CL218)/(CL218-CH218))</f>
        <v>0.663779869366094</v>
      </c>
      <c r="CS218" s="43" t="n">
        <f aca="false">IF(CI218-CL218&lt;=0,"n/a",(CL218-CH218)/(CI218-CL218))</f>
        <v>1.50652354214206</v>
      </c>
      <c r="CT218" s="43" t="n">
        <f aca="false">Inputs_General!$C$23+Inputs_General!$C$24*$I218</f>
        <v>1.9</v>
      </c>
      <c r="CU218" s="44" t="n">
        <f aca="false">3.29*CT218</f>
        <v>6.251</v>
      </c>
    </row>
    <row r="219" customFormat="false" ht="15" hidden="false" customHeight="false" outlineLevel="0" collapsed="false">
      <c r="A219" s="33" t="str">
        <f aca="false">B219&amp;"|"&amp;E219&amp;"|"&amp;F219</f>
        <v>D4V1|11/02/2026|Healthy</v>
      </c>
      <c r="B219" s="34" t="s">
        <v>352</v>
      </c>
      <c r="C219" s="33" t="s">
        <v>133</v>
      </c>
      <c r="D219" s="33" t="s">
        <v>142</v>
      </c>
      <c r="E219" s="33" t="s">
        <v>158</v>
      </c>
      <c r="F219" s="34" t="s">
        <v>275</v>
      </c>
      <c r="G219" s="33" t="s">
        <v>276</v>
      </c>
      <c r="H219" s="35" t="n">
        <f aca="false">INDEX(Severity_Classes!$C$4:$C$9,MATCH(F219,Severity_Classes!$A$4:$A$9,0))</f>
        <v>0</v>
      </c>
      <c r="I219" s="35" t="n">
        <f aca="false">INDEX(Severity_Classes!$D$4:$D$9,MATCH(F219,Severity_Classes!$A$4:$A$9,0))</f>
        <v>0</v>
      </c>
      <c r="J219" s="35" t="n">
        <f aca="false">INDEX(Severity_Classes!$E$4:$E$9,MATCH(F219,Severity_Classes!$A$4:$A$9,0))</f>
        <v>0</v>
      </c>
      <c r="K219" s="36" t="n">
        <f aca="false">MATCH(B219&amp;"|"&amp;E219,Context!$A$4:$A$51,0)</f>
        <v>37</v>
      </c>
      <c r="L219" s="36" t="n">
        <f aca="false">INDEX(Context!$H$4:$H$51,K219)</f>
        <v>33</v>
      </c>
      <c r="M219" s="36" t="n">
        <f aca="false">INDEX(Context!$I$4:$I$51,K219)</f>
        <v>6</v>
      </c>
      <c r="N219" s="33" t="str">
        <f aca="false">INDEX(Context!$L$4:$L$51,K219)</f>
        <v>V</v>
      </c>
      <c r="O219" s="33" t="str">
        <f aca="false">INDEX(Context!$M$4:$M$51,K219)</f>
        <v>3rd fully expanded leaf from top</v>
      </c>
      <c r="P219" s="37" t="n">
        <f aca="false">INDEX(Context!$R$4:$R$51,K219)</f>
        <v>0</v>
      </c>
      <c r="Q219" s="37" t="n">
        <f aca="false">INDEX(Context!$U$4:$U$51,K219)</f>
        <v>0.937791824040773</v>
      </c>
      <c r="R219" s="37" t="n">
        <f aca="false">INDEX(Context!$AD$4:$AD$51,K219)</f>
        <v>1</v>
      </c>
      <c r="S219" s="33" t="str">
        <f aca="false">INDEX(Context!$AI$4:$AN$51,K219,MATCH(F219,Severity_Classes!$A$4:$A$9,0))</f>
        <v>Reference: healthy (uninoculated) control plot</v>
      </c>
      <c r="T219" s="38" t="n">
        <f aca="false">Parameters!$E$4*IF($N219="V",Parameters!$I$4,IF($N219="F",Parameters!$J$4,Parameters!$K$4))*(1-Parameters!$L$4*$P219)*IF($D219="V1",Parameters!$M$4,IF($D219="V2",Parameters!$N$4,Parameters!$O$4))</f>
        <v>86</v>
      </c>
      <c r="U219" s="38" t="n">
        <f aca="false">MIN(100,T219*(1+INDEX(Response_Table!$E$4:$E$21,MATCH($F219&amp;"|mid",Response_Table!$A$4:$A$21,0))*$R219*INDEX(Parameters!$X$4:$AA$4,1,MATCH($E219,Parameters!$X$3:$AA$3,0))))</f>
        <v>86</v>
      </c>
      <c r="V219" s="38" t="n">
        <f aca="false">MAX(0,MIN(T219*(1+INDEX(Response_Table!$E$4:$E$21,MATCH($F219&amp;"|low",Response_Table!$A$4:$A$21,0))*$R219*INDEX(Parameters!$X$4:$AA$4,1,MATCH($E219,Parameters!$X$3:$AA$3,0))),T219*(1+INDEX(Response_Table!$E$4:$E$21,MATCH($F219&amp;"|high",Response_Table!$A$4:$A$21,0))*$R219*INDEX(Parameters!$X$4:$AA$4,1,MATCH($E219,Parameters!$X$3:$AA$3,0))))*(1-Inputs_General!$C$22*Parameters!$F$4))</f>
        <v>80.3412</v>
      </c>
      <c r="W219" s="38" t="n">
        <f aca="false">MIN(100,MAX(T219*(1+INDEX(Response_Table!$E$4:$E$21,MATCH($F219&amp;"|low",Response_Table!$A$4:$A$21,0))*$R219*INDEX(Parameters!$X$4:$AA$4,1,MATCH($E219,Parameters!$X$3:$AA$3,0))),T219*(1+INDEX(Response_Table!$E$4:$E$21,MATCH($F219&amp;"|high",Response_Table!$A$4:$A$21,0))*$R219*INDEX(Parameters!$X$4:$AA$4,1,MATCH($E219,Parameters!$X$3:$AA$3,0))))*(1+Inputs_General!$C$22*Parameters!$F$4))</f>
        <v>91.6588</v>
      </c>
      <c r="X219" s="39" t="n">
        <f aca="false">IF(T219=0,0,U219/T219-1)</f>
        <v>0</v>
      </c>
      <c r="Y219" s="38" t="n">
        <f aca="false">Parameters!$E$5*IF($N219="V",Parameters!$I$5,IF($N219="F",Parameters!$J$5,Parameters!$K$5))*(1-Parameters!$L$5*$P219)*IF($D219="V1",Parameters!$M$5,IF($D219="V2",Parameters!$N$5,Parameters!$O$5))</f>
        <v>72</v>
      </c>
      <c r="Z219" s="38" t="n">
        <f aca="false">MIN(100,Y219*(1+INDEX(Response_Table!$F$4:$F$21,MATCH($F219&amp;"|mid",Response_Table!$A$4:$A$21,0))*$R219*INDEX(Parameters!$X$5:$AA$5,1,MATCH($E219,Parameters!$X$3:$AA$3,0))))</f>
        <v>72</v>
      </c>
      <c r="AA219" s="38" t="n">
        <f aca="false">MAX(0,MIN(Y219*(1+INDEX(Response_Table!$F$4:$F$21,MATCH($F219&amp;"|low",Response_Table!$A$4:$A$21,0))*$R219*INDEX(Parameters!$X$5:$AA$5,1,MATCH($E219,Parameters!$X$3:$AA$3,0))),Y219*(1+INDEX(Response_Table!$F$4:$F$21,MATCH($F219&amp;"|high",Response_Table!$A$4:$A$21,0))*$R219*INDEX(Parameters!$X$5:$AA$5,1,MATCH($E219,Parameters!$X$3:$AA$3,0))))*(1-Inputs_General!$C$22*Parameters!$F$5))</f>
        <v>63.7092</v>
      </c>
      <c r="AB219" s="38" t="n">
        <f aca="false">MIN(100,MAX(Y219*(1+INDEX(Response_Table!$F$4:$F$21,MATCH($F219&amp;"|low",Response_Table!$A$4:$A$21,0))*$R219*INDEX(Parameters!$X$5:$AA$5,1,MATCH($E219,Parameters!$X$3:$AA$3,0))),Y219*(1+INDEX(Response_Table!$F$4:$F$21,MATCH($F219&amp;"|high",Response_Table!$A$4:$A$21,0))*$R219*INDEX(Parameters!$X$5:$AA$5,1,MATCH($E219,Parameters!$X$3:$AA$3,0))))*(1+Inputs_General!$C$22*Parameters!$F$5))</f>
        <v>80.2908</v>
      </c>
      <c r="AC219" s="39" t="n">
        <f aca="false">IF(Y219=0,0,Z219/Y219-1)</f>
        <v>0</v>
      </c>
      <c r="AD219" s="38" t="n">
        <f aca="false">Parameters!$E$6*IF($N219="V",Parameters!$I$6,IF($N219="F",Parameters!$J$6,Parameters!$K$6))*(1-Parameters!$L$6*$P219)*IF($D219="V1",Parameters!$M$6,IF($D219="V2",Parameters!$N$6,Parameters!$O$6))</f>
        <v>19</v>
      </c>
      <c r="AE219" s="38" t="n">
        <f aca="false">AD219*(1+INDEX(Response_Table!$G$4:$G$21,MATCH($F219&amp;"|mid",Response_Table!$A$4:$A$21,0))*$R219*INDEX(Parameters!$X$6:$AA$6,1,MATCH($E219,Parameters!$X$3:$AA$3,0)))</f>
        <v>19</v>
      </c>
      <c r="AF219" s="38" t="n">
        <f aca="false">MAX(0,MIN(AD219*(1+INDEX(Response_Table!$G$4:$G$21,MATCH($F219&amp;"|low",Response_Table!$A$4:$A$21,0))*$R219*INDEX(Parameters!$X$6:$AA$6,1,MATCH($E219,Parameters!$X$3:$AA$3,0))),AD219*(1+INDEX(Response_Table!$G$4:$G$21,MATCH($F219&amp;"|high",Response_Table!$A$4:$A$21,0))*$R219*INDEX(Parameters!$X$6:$AA$6,1,MATCH($E219,Parameters!$X$3:$AA$3,0))))*(1-Inputs_General!$C$22*Parameters!$F$6))</f>
        <v>15.2494</v>
      </c>
      <c r="AG219" s="38" t="n">
        <f aca="false">MAX(AD219*(1+INDEX(Response_Table!$G$4:$G$21,MATCH($F219&amp;"|low",Response_Table!$A$4:$A$21,0))*$R219*INDEX(Parameters!$X$6:$AA$6,1,MATCH($E219,Parameters!$X$3:$AA$3,0))),AD219*(1+INDEX(Response_Table!$G$4:$G$21,MATCH($F219&amp;"|high",Response_Table!$A$4:$A$21,0))*$R219*INDEX(Parameters!$X$6:$AA$6,1,MATCH($E219,Parameters!$X$3:$AA$3,0))))*(1+Inputs_General!$C$22*Parameters!$F$6)</f>
        <v>22.7506</v>
      </c>
      <c r="AH219" s="39" t="n">
        <f aca="false">IF(AD219=0,0,AE219/AD219-1)</f>
        <v>0</v>
      </c>
      <c r="AI219" s="40" t="n">
        <f aca="false">Parameters!$E$7*IF($N219="V",Parameters!$I$7,IF($N219="F",Parameters!$J$7,Parameters!$K$7))*(1-Parameters!$L$7*$P219)*IF($D219="V1",Parameters!$M$7,IF($D219="V2",Parameters!$N$7,Parameters!$O$7))*POWER($Q219/Inputs_General!$C$26,-Inputs_General!$C$25)</f>
        <v>0.464685683730118</v>
      </c>
      <c r="AJ219" s="40" t="n">
        <f aca="false">AI219*(1+INDEX(Response_Table!$H$4:$H$21,MATCH($F219&amp;"|mid",Response_Table!$A$4:$A$21,0))*$R219*INDEX(Parameters!$X$7:$AA$7,1,MATCH($E219,Parameters!$X$3:$AA$3,0)))</f>
        <v>0.464685683730118</v>
      </c>
      <c r="AK219" s="40" t="n">
        <f aca="false">MAX(0,MIN(AI219*(1+INDEX(Response_Table!$H$4:$H$21,MATCH($F219&amp;"|low",Response_Table!$A$4:$A$21,0))*$R219*INDEX(Parameters!$X$7:$AA$7,1,MATCH($E219,Parameters!$X$3:$AA$3,0))),AI219*(1+INDEX(Response_Table!$H$4:$H$21,MATCH($F219&amp;"|high",Response_Table!$A$4:$A$21,0))*$R219*INDEX(Parameters!$X$7:$AA$7,1,MATCH($E219,Parameters!$X$3:$AA$3,0))))*(1-Inputs_General!$C$22*Parameters!$F$7))</f>
        <v>0.32709225277763</v>
      </c>
      <c r="AL219" s="40" t="n">
        <f aca="false">MAX(AI219*(1+INDEX(Response_Table!$H$4:$H$21,MATCH($F219&amp;"|low",Response_Table!$A$4:$A$21,0))*$R219*INDEX(Parameters!$X$7:$AA$7,1,MATCH($E219,Parameters!$X$3:$AA$3,0))),AI219*(1+INDEX(Response_Table!$H$4:$H$21,MATCH($F219&amp;"|high",Response_Table!$A$4:$A$21,0))*$R219*INDEX(Parameters!$X$7:$AA$7,1,MATCH($E219,Parameters!$X$3:$AA$3,0))))*(1+Inputs_General!$C$22*Parameters!$F$7)</f>
        <v>0.602279114682606</v>
      </c>
      <c r="AM219" s="39" t="n">
        <f aca="false">IF(AI219=0,0,AJ219/AI219-1)</f>
        <v>0</v>
      </c>
      <c r="AN219" s="37" t="n">
        <f aca="false">AI219*$Q219/Inputs_General!$C$13*1000</f>
        <v>4.38850387664553</v>
      </c>
      <c r="AO219" s="37" t="n">
        <f aca="false">AJ219*$Q219/Inputs_General!$C$13*1000*(1+Inputs_General!$C$21*$I219)</f>
        <v>4.38850387664553</v>
      </c>
      <c r="AP219" s="37" t="n">
        <f aca="false">AK219*$Q219/Inputs_General!$C$13*1000*(1+Inputs_General!$C$21*$H219)</f>
        <v>3.08906787877079</v>
      </c>
      <c r="AQ219" s="37" t="n">
        <f aca="false">AL219*$Q219/Inputs_General!$C$13*1000*(1+Inputs_General!$C$21*$J219)</f>
        <v>5.68793987452027</v>
      </c>
      <c r="AR219" s="39" t="n">
        <f aca="false">IF(AN219=0,0,AO219/AN219-1)</f>
        <v>0</v>
      </c>
      <c r="AS219" s="36" t="n">
        <f aca="false">Parameters!$E$9*IF($N219="V",Parameters!$I$9,IF($N219="F",Parameters!$J$9,Parameters!$K$9))*(1-Parameters!$L$9*$P219)*IF($D219="V1",Parameters!$M$9,IF($D219="V2",Parameters!$N$9,Parameters!$O$9))</f>
        <v>285</v>
      </c>
      <c r="AT219" s="36" t="n">
        <f aca="false">AS219*(1+INDEX(Response_Table!$I$4:$I$21,MATCH($F219&amp;"|mid",Response_Table!$A$4:$A$21,0))*$R219*INDEX(Parameters!$X$9:$AA$9,1,MATCH($E219,Parameters!$X$3:$AA$3,0)))</f>
        <v>285</v>
      </c>
      <c r="AU219" s="36" t="n">
        <f aca="false">MAX(0,MIN(AS219*(1+INDEX(Response_Table!$I$4:$I$21,MATCH($F219&amp;"|low",Response_Table!$A$4:$A$21,0))*$R219*INDEX(Parameters!$X$9:$AA$9,1,MATCH($E219,Parameters!$X$3:$AA$3,0))),AS219*(1+INDEX(Response_Table!$I$4:$I$21,MATCH($F219&amp;"|high",Response_Table!$A$4:$A$21,0))*$R219*INDEX(Parameters!$X$9:$AA$9,1,MATCH($E219,Parameters!$X$3:$AA$3,0))))*(1-Inputs_General!$C$22*Parameters!$F$9))</f>
        <v>256.8705</v>
      </c>
      <c r="AV219" s="36" t="n">
        <f aca="false">MAX(AS219*(1+INDEX(Response_Table!$I$4:$I$21,MATCH($F219&amp;"|low",Response_Table!$A$4:$A$21,0))*$R219*INDEX(Parameters!$X$9:$AA$9,1,MATCH($E219,Parameters!$X$3:$AA$3,0))),AS219*(1+INDEX(Response_Table!$I$4:$I$21,MATCH($F219&amp;"|high",Response_Table!$A$4:$A$21,0))*$R219*INDEX(Parameters!$X$9:$AA$9,1,MATCH($E219,Parameters!$X$3:$AA$3,0))))*(1+Inputs_General!$C$22*Parameters!$F$9)</f>
        <v>313.1295</v>
      </c>
      <c r="AW219" s="39" t="n">
        <f aca="false">IF(AS219=0,0,AT219/AS219-1)</f>
        <v>0</v>
      </c>
      <c r="AX219" s="37" t="n">
        <f aca="false">INDEX(Context!$AB$4:$AB$51,$K219)</f>
        <v>0.435390007029591</v>
      </c>
      <c r="AY219" s="37" t="n">
        <f aca="false">AX219*(1+INDEX(Response_Table!$J$4:$J$21,MATCH($F219&amp;"|mid",Response_Table!$A$4:$A$21,0))*$R219*INDEX(Parameters!$X$10:$AA$10,1,MATCH($E219,Parameters!$X$3:$AA$3,0)))</f>
        <v>0.435390007029591</v>
      </c>
      <c r="AZ219" s="37" t="n">
        <f aca="false">MAX(0,MIN(AX219*(1+INDEX(Response_Table!$J$4:$J$21,MATCH($F219&amp;"|low",Response_Table!$A$4:$A$21,0))*$R219*INDEX(Parameters!$X$10:$AA$10,1,MATCH($E219,Parameters!$X$3:$AA$3,0))),AX219*(1+INDEX(Response_Table!$J$4:$J$21,MATCH($F219&amp;"|high",Response_Table!$A$4:$A$21,0))*$R219*INDEX(Parameters!$X$10:$AA$10,1,MATCH($E219,Parameters!$X$3:$AA$3,0))))*(1-Inputs_General!$C$22*Parameters!$F$10))</f>
        <v>0.34944401964195</v>
      </c>
      <c r="BA219" s="37" t="n">
        <f aca="false">MAX(AX219*(1+INDEX(Response_Table!$J$4:$J$21,MATCH($F219&amp;"|low",Response_Table!$A$4:$A$21,0))*$R219*INDEX(Parameters!$X$10:$AA$10,1,MATCH($E219,Parameters!$X$3:$AA$3,0))),AX219*(1+INDEX(Response_Table!$J$4:$J$21,MATCH($F219&amp;"|high",Response_Table!$A$4:$A$21,0))*$R219*INDEX(Parameters!$X$10:$AA$10,1,MATCH($E219,Parameters!$X$3:$AA$3,0))))*(1+Inputs_General!$C$22*Parameters!$F$10)</f>
        <v>0.521335994417232</v>
      </c>
      <c r="BB219" s="39" t="n">
        <f aca="false">IF(AX219=0,0,AY219/AX219-1)</f>
        <v>0</v>
      </c>
      <c r="BC219" s="40" t="n">
        <f aca="false">Parameters!$E$11*IF($N219="V",Parameters!$I$11,IF($N219="F",Parameters!$J$11,Parameters!$K$11))*(1-Parameters!$L$11*$P219)*IF($D219="V1",Parameters!$M$11,IF($D219="V2",Parameters!$N$11,Parameters!$O$11))</f>
        <v>1.1875</v>
      </c>
      <c r="BD219" s="40" t="n">
        <f aca="false">BC219*(1+INDEX(Response_Table!$K$4:$K$21,MATCH($F219&amp;"|mid",Response_Table!$A$4:$A$21,0))*$R219*INDEX(Parameters!$X$11:$AA$11,1,MATCH($E219,Parameters!$X$3:$AA$3,0)))</f>
        <v>1.1875</v>
      </c>
      <c r="BE219" s="40" t="n">
        <f aca="false">MAX(0,MIN(BC219*(1+INDEX(Response_Table!$K$4:$K$21,MATCH($F219&amp;"|low",Response_Table!$A$4:$A$21,0))*$R219*INDEX(Parameters!$X$11:$AA$11,1,MATCH($E219,Parameters!$X$3:$AA$3,0))),BC219*(1+INDEX(Response_Table!$K$4:$K$21,MATCH($F219&amp;"|high",Response_Table!$A$4:$A$21,0))*$R219*INDEX(Parameters!$X$11:$AA$11,1,MATCH($E219,Parameters!$X$3:$AA$3,0))))*(1-Inputs_General!$C$22*Parameters!$F$11))</f>
        <v>0.99215625</v>
      </c>
      <c r="BF219" s="40" t="n">
        <f aca="false">MAX(BC219*(1+INDEX(Response_Table!$K$4:$K$21,MATCH($F219&amp;"|low",Response_Table!$A$4:$A$21,0))*$R219*INDEX(Parameters!$X$11:$AA$11,1,MATCH($E219,Parameters!$X$3:$AA$3,0))),BC219*(1+INDEX(Response_Table!$K$4:$K$21,MATCH($F219&amp;"|high",Response_Table!$A$4:$A$21,0))*$R219*INDEX(Parameters!$X$11:$AA$11,1,MATCH($E219,Parameters!$X$3:$AA$3,0))))*(1+Inputs_General!$C$22*Parameters!$F$11)</f>
        <v>1.38284375</v>
      </c>
      <c r="BG219" s="39" t="n">
        <f aca="false">IF(BC219=0,0,BD219/BC219-1)</f>
        <v>0</v>
      </c>
      <c r="BH219" s="40" t="n">
        <f aca="false">Parameters!$E$12*IF($N219="V",Parameters!$I$12,IF($N219="F",Parameters!$J$12,Parameters!$K$12))*(1-Parameters!$L$12*$P219)*IF($D219="V1",Parameters!$M$12,IF($D219="V2",Parameters!$N$12,Parameters!$O$12))</f>
        <v>0.4275</v>
      </c>
      <c r="BI219" s="40" t="n">
        <f aca="false">BH219*(1+INDEX(Response_Table!$L$4:$L$21,MATCH($F219&amp;"|mid",Response_Table!$A$4:$A$21,0))*$R219*INDEX(Parameters!$X$12:$AA$12,1,MATCH($E219,Parameters!$X$3:$AA$3,0)))</f>
        <v>0.4275</v>
      </c>
      <c r="BJ219" s="40" t="n">
        <f aca="false">MAX(0,MIN(BH219*(1+INDEX(Response_Table!$L$4:$L$21,MATCH($F219&amp;"|low",Response_Table!$A$4:$A$21,0))*$R219*INDEX(Parameters!$X$12:$AA$12,1,MATCH($E219,Parameters!$X$3:$AA$3,0))),BH219*(1+INDEX(Response_Table!$L$4:$L$21,MATCH($F219&amp;"|high",Response_Table!$A$4:$A$21,0))*$R219*INDEX(Parameters!$X$12:$AA$12,1,MATCH($E219,Parameters!$X$3:$AA$3,0))))*(1-Inputs_General!$C$22*Parameters!$F$12))</f>
        <v>0.3431115</v>
      </c>
      <c r="BK219" s="40" t="n">
        <f aca="false">MAX(BH219*(1+INDEX(Response_Table!$L$4:$L$21,MATCH($F219&amp;"|low",Response_Table!$A$4:$A$21,0))*$R219*INDEX(Parameters!$X$12:$AA$12,1,MATCH($E219,Parameters!$X$3:$AA$3,0))),BH219*(1+INDEX(Response_Table!$L$4:$L$21,MATCH($F219&amp;"|high",Response_Table!$A$4:$A$21,0))*$R219*INDEX(Parameters!$X$12:$AA$12,1,MATCH($E219,Parameters!$X$3:$AA$3,0))))*(1+Inputs_General!$C$22*Parameters!$F$12)</f>
        <v>0.5118885</v>
      </c>
      <c r="BL219" s="39" t="n">
        <f aca="false">IF(BH219=0,0,BI219/BH219-1)</f>
        <v>0</v>
      </c>
      <c r="BM219" s="40" t="n">
        <f aca="false">Parameters!$E$13*IF($N219="V",Parameters!$I$13,IF($N219="F",Parameters!$J$13,Parameters!$K$13))*(1-Parameters!$L$13*$P219)*IF($D219="V1",Parameters!$M$13,IF($D219="V2",Parameters!$N$13,Parameters!$O$13))</f>
        <v>0.285</v>
      </c>
      <c r="BN219" s="40" t="n">
        <f aca="false">BM219*(1+INDEX(Response_Table!$M$4:$M$21,MATCH($F219&amp;"|mid",Response_Table!$A$4:$A$21,0))*$R219*INDEX(Parameters!$X$13:$AA$13,1,MATCH($E219,Parameters!$X$3:$AA$3,0)))</f>
        <v>0.285</v>
      </c>
      <c r="BO219" s="40" t="n">
        <f aca="false">MAX(0,MIN(BM219*(1+INDEX(Response_Table!$M$4:$M$21,MATCH($F219&amp;"|low",Response_Table!$A$4:$A$21,0))*$R219*INDEX(Parameters!$X$13:$AA$13,1,MATCH($E219,Parameters!$X$3:$AA$3,0))),BM219*(1+INDEX(Response_Table!$M$4:$M$21,MATCH($F219&amp;"|high",Response_Table!$A$4:$A$21,0))*$R219*INDEX(Parameters!$X$13:$AA$13,1,MATCH($E219,Parameters!$X$3:$AA$3,0))))*(1-Inputs_General!$C$22*Parameters!$F$13))</f>
        <v>0.228741</v>
      </c>
      <c r="BP219" s="40" t="n">
        <f aca="false">MAX(BM219*(1+INDEX(Response_Table!$M$4:$M$21,MATCH($F219&amp;"|low",Response_Table!$A$4:$A$21,0))*$R219*INDEX(Parameters!$X$13:$AA$13,1,MATCH($E219,Parameters!$X$3:$AA$3,0))),BM219*(1+INDEX(Response_Table!$M$4:$M$21,MATCH($F219&amp;"|high",Response_Table!$A$4:$A$21,0))*$R219*INDEX(Parameters!$X$13:$AA$13,1,MATCH($E219,Parameters!$X$3:$AA$3,0))))*(1+Inputs_General!$C$22*Parameters!$F$13)</f>
        <v>0.341259</v>
      </c>
      <c r="BQ219" s="39" t="n">
        <f aca="false">IF(BM219=0,0,BN219/BM219-1)</f>
        <v>0</v>
      </c>
      <c r="BR219" s="38" t="n">
        <f aca="false">Parameters!$E$14*IF($N219="V",Parameters!$I$14,IF($N219="F",Parameters!$J$14,Parameters!$K$14))*(1-Parameters!$L$14*$P219)*IF($D219="V1",Parameters!$M$14,IF($D219="V2",Parameters!$N$14,Parameters!$O$14))*INDEX(Context!$AC$4:$AC$51,$K219)</f>
        <v>23.1</v>
      </c>
      <c r="BS219" s="38" t="n">
        <f aca="false">BR219*(1+INDEX(Response_Table!$N$4:$N$21,MATCH($F219&amp;"|mid",Response_Table!$A$4:$A$21,0))*$R219*INDEX(Parameters!$X$14:$AA$14,1,MATCH($E219,Parameters!$X$3:$AA$3,0)))</f>
        <v>23.1</v>
      </c>
      <c r="BT219" s="38" t="n">
        <f aca="false">MAX(0,MIN(BR219*(1+INDEX(Response_Table!$N$4:$N$21,MATCH($F219&amp;"|low",Response_Table!$A$4:$A$21,0))*$R219*INDEX(Parameters!$X$14:$AA$14,1,MATCH($E219,Parameters!$X$3:$AA$3,0))),BR219*(1+INDEX(Response_Table!$N$4:$N$21,MATCH($F219&amp;"|high",Response_Table!$A$4:$A$21,0))*$R219*INDEX(Parameters!$X$14:$AA$14,1,MATCH($E219,Parameters!$X$3:$AA$3,0))))*(1-Inputs_General!$C$22*Parameters!$F$14))</f>
        <v>11.70015</v>
      </c>
      <c r="BU219" s="38" t="n">
        <f aca="false">MAX(BR219*(1+INDEX(Response_Table!$N$4:$N$21,MATCH($F219&amp;"|low",Response_Table!$A$4:$A$21,0))*$R219*INDEX(Parameters!$X$14:$AA$14,1,MATCH($E219,Parameters!$X$3:$AA$3,0))),BR219*(1+INDEX(Response_Table!$N$4:$N$21,MATCH($F219&amp;"|high",Response_Table!$A$4:$A$21,0))*$R219*INDEX(Parameters!$X$14:$AA$14,1,MATCH($E219,Parameters!$X$3:$AA$3,0))))*(1+Inputs_General!$C$22*Parameters!$F$14)</f>
        <v>34.49985</v>
      </c>
      <c r="BV219" s="39" t="n">
        <f aca="false">IF(BR219=0,0,BS219/BR219-1)</f>
        <v>0</v>
      </c>
      <c r="BW219" s="37" t="n">
        <f aca="false">Parameters!$E$15*IF($N219="V",Parameters!$I$15,IF($N219="F",Parameters!$J$15,Parameters!$K$15))*(1-Parameters!$L$15*$P219)*IF($D219="V1",Parameters!$M$15,IF($D219="V2",Parameters!$N$15,Parameters!$O$15))</f>
        <v>11.232</v>
      </c>
      <c r="BX219" s="37" t="n">
        <f aca="false">BW219*(1+INDEX(Response_Table!$O$4:$O$21,MATCH($F219&amp;"|mid",Response_Table!$A$4:$A$21,0))*$R219*INDEX(Parameters!$X$15:$AA$15,1,MATCH($E219,Parameters!$X$3:$AA$3,0)))</f>
        <v>11.232</v>
      </c>
      <c r="BY219" s="37" t="n">
        <f aca="false">MAX(0,MIN(BW219*(1+INDEX(Response_Table!$O$4:$O$21,MATCH($F219&amp;"|low",Response_Table!$A$4:$A$21,0))*$R219*INDEX(Parameters!$X$15:$AA$15,1,MATCH($E219,Parameters!$X$3:$AA$3,0))),BW219*(1+INDEX(Response_Table!$O$4:$O$21,MATCH($F219&amp;"|high",Response_Table!$A$4:$A$21,0))*$R219*INDEX(Parameters!$X$15:$AA$15,1,MATCH($E219,Parameters!$X$3:$AA$3,0))))*(1-Inputs_General!$C$22*Parameters!$F$15))</f>
        <v>9.0148032</v>
      </c>
      <c r="BZ219" s="37" t="n">
        <f aca="false">MAX(BW219*(1+INDEX(Response_Table!$O$4:$O$21,MATCH($F219&amp;"|low",Response_Table!$A$4:$A$21,0))*$R219*INDEX(Parameters!$X$15:$AA$15,1,MATCH($E219,Parameters!$X$3:$AA$3,0))),BW219*(1+INDEX(Response_Table!$O$4:$O$21,MATCH($F219&amp;"|high",Response_Table!$A$4:$A$21,0))*$R219*INDEX(Parameters!$X$15:$AA$15,1,MATCH($E219,Parameters!$X$3:$AA$3,0))))*(1+Inputs_General!$C$22*Parameters!$F$15)</f>
        <v>13.4491968</v>
      </c>
      <c r="CA219" s="39" t="n">
        <f aca="false">IF(BW219=0,0,BX219/BW219-1)</f>
        <v>0</v>
      </c>
      <c r="CB219" s="40" t="n">
        <f aca="false">BD219+BI219</f>
        <v>1.615</v>
      </c>
      <c r="CC219" s="37" t="n">
        <f aca="false">BD219/BI219</f>
        <v>2.77777777777778</v>
      </c>
      <c r="CD219" s="40" t="n">
        <f aca="false">BN219/CB219</f>
        <v>0.176470588235294</v>
      </c>
      <c r="CE219" s="37" t="n">
        <f aca="false">AE219/AO219</f>
        <v>4.32949372589439</v>
      </c>
      <c r="CF219" s="38" t="n">
        <f aca="false">AE219/AJ219</f>
        <v>40.887853155887</v>
      </c>
      <c r="CG219" s="38" t="n">
        <f aca="false">INDEX(Context!$V$4:$V$51,$K219)</f>
        <v>22.6257142857143</v>
      </c>
      <c r="CH219" s="38" t="n">
        <f aca="false">INDEX(Context!$Y$4:$Y$51,$K219)</f>
        <v>21.3177449518561</v>
      </c>
      <c r="CI219" s="38" t="n">
        <f aca="false">INDEX(Context!$Z$4:$Z$51,$K219)</f>
        <v>26.6257142857143</v>
      </c>
      <c r="CJ219" s="37" t="n">
        <f aca="false">INDEX(Context!$AA$4:$AA$51,$K219)</f>
        <v>0.12</v>
      </c>
      <c r="CK219" s="37" t="n">
        <f aca="false">MAX(0,MIN(1,1-(1-CJ219)*AO219/AN219))</f>
        <v>0.12</v>
      </c>
      <c r="CL219" s="38" t="n">
        <f aca="false">CH219+CK219*(CI219-CH219)</f>
        <v>21.954701271919</v>
      </c>
      <c r="CM219" s="38" t="n">
        <f aca="false">CH219+MAX(0,MIN(1,1-(1-CJ219)*AQ219/AN219))*(CI219-CH219)</f>
        <v>21.3177449518561</v>
      </c>
      <c r="CN219" s="38" t="n">
        <f aca="false">CH219+MAX(0,MIN(1,1-(1-CJ219)*AP219/AN219))*(CI219-CH219)</f>
        <v>23.3377882253038</v>
      </c>
      <c r="CO219" s="38" t="n">
        <f aca="false">CL219-CG219</f>
        <v>-0.67101301379525</v>
      </c>
      <c r="CP219" s="38" t="n">
        <f aca="false">CL219-(CH219+CJ219*(CI219-CH219))</f>
        <v>0</v>
      </c>
      <c r="CQ219" s="40" t="n">
        <f aca="false">CL219/CG219</f>
        <v>0.970342902534621</v>
      </c>
      <c r="CR219" s="37" t="n">
        <f aca="false">IF(CL219-CH219&lt;=0,"n/a",(CI219-CL219)/(CL219-CH219))</f>
        <v>7.33333333333333</v>
      </c>
      <c r="CS219" s="37" t="n">
        <f aca="false">IF(CI219-CL219&lt;=0,"n/a",(CL219-CH219)/(CI219-CL219))</f>
        <v>0.136363636363636</v>
      </c>
      <c r="CT219" s="37" t="n">
        <f aca="false">Inputs_General!$C$23+Inputs_General!$C$24*$I219</f>
        <v>0.6</v>
      </c>
      <c r="CU219" s="38" t="n">
        <f aca="false">3.29*CT219</f>
        <v>1.974</v>
      </c>
    </row>
    <row r="220" customFormat="false" ht="15" hidden="false" customHeight="false" outlineLevel="0" collapsed="false">
      <c r="A220" s="9" t="str">
        <f aca="false">B220&amp;"|"&amp;E220&amp;"|"&amp;F220</f>
        <v>D4V1|11/02/2026|Very low</v>
      </c>
      <c r="B220" s="7" t="s">
        <v>352</v>
      </c>
      <c r="C220" s="9" t="s">
        <v>133</v>
      </c>
      <c r="D220" s="9" t="s">
        <v>142</v>
      </c>
      <c r="E220" s="9" t="s">
        <v>158</v>
      </c>
      <c r="F220" s="7" t="s">
        <v>277</v>
      </c>
      <c r="G220" s="9" t="s">
        <v>278</v>
      </c>
      <c r="H220" s="41" t="n">
        <f aca="false">INDEX(Severity_Classes!$C$4:$C$9,MATCH(F220,Severity_Classes!$A$4:$A$9,0))</f>
        <v>0.01</v>
      </c>
      <c r="I220" s="41" t="n">
        <f aca="false">INDEX(Severity_Classes!$D$4:$D$9,MATCH(F220,Severity_Classes!$A$4:$A$9,0))</f>
        <v>0.03</v>
      </c>
      <c r="J220" s="41" t="n">
        <f aca="false">INDEX(Severity_Classes!$E$4:$E$9,MATCH(F220,Severity_Classes!$A$4:$A$9,0))</f>
        <v>0.05</v>
      </c>
      <c r="K220" s="42" t="n">
        <f aca="false">MATCH(B220&amp;"|"&amp;E220,Context!$A$4:$A$51,0)</f>
        <v>37</v>
      </c>
      <c r="L220" s="42" t="n">
        <f aca="false">INDEX(Context!$H$4:$H$51,K220)</f>
        <v>33</v>
      </c>
      <c r="M220" s="42" t="n">
        <f aca="false">INDEX(Context!$I$4:$I$51,K220)</f>
        <v>6</v>
      </c>
      <c r="N220" s="9" t="str">
        <f aca="false">INDEX(Context!$L$4:$L$51,K220)</f>
        <v>V</v>
      </c>
      <c r="O220" s="9" t="str">
        <f aca="false">INDEX(Context!$M$4:$M$51,K220)</f>
        <v>3rd fully expanded leaf from top</v>
      </c>
      <c r="P220" s="43" t="n">
        <f aca="false">INDEX(Context!$R$4:$R$51,K220)</f>
        <v>0</v>
      </c>
      <c r="Q220" s="43" t="n">
        <f aca="false">INDEX(Context!$U$4:$U$51,K220)</f>
        <v>0.937791824040773</v>
      </c>
      <c r="R220" s="43" t="n">
        <f aca="false">INDEX(Context!$AD$4:$AD$51,K220)</f>
        <v>1</v>
      </c>
      <c r="S220" s="9" t="str">
        <f aca="false">INDEX(Context!$AI$4:$AN$51,K220,MATCH(F220,Severity_Classes!$A$4:$A$9,0))</f>
        <v>Likely</v>
      </c>
      <c r="T220" s="44" t="n">
        <f aca="false">Parameters!$E$4*IF($N220="V",Parameters!$I$4,IF($N220="F",Parameters!$J$4,Parameters!$K$4))*(1-Parameters!$L$4*$P220)*IF($D220="V1",Parameters!$M$4,IF($D220="V2",Parameters!$N$4,Parameters!$O$4))</f>
        <v>86</v>
      </c>
      <c r="U220" s="44" t="n">
        <f aca="false">MIN(100,T220*(1+INDEX(Response_Table!$E$4:$E$21,MATCH($F220&amp;"|mid",Response_Table!$A$4:$A$21,0))*$R220*INDEX(Parameters!$X$4:$AA$4,1,MATCH($E220,Parameters!$X$3:$AA$3,0))))</f>
        <v>85.8146124315687</v>
      </c>
      <c r="V220" s="44" t="n">
        <f aca="false">MAX(0,MIN(T220*(1+INDEX(Response_Table!$E$4:$E$21,MATCH($F220&amp;"|low",Response_Table!$A$4:$A$21,0))*$R220*INDEX(Parameters!$X$4:$AA$4,1,MATCH($E220,Parameters!$X$3:$AA$3,0))),T220*(1+INDEX(Response_Table!$E$4:$E$21,MATCH($F220&amp;"|high",Response_Table!$A$4:$A$21,0))*$R220*INDEX(Parameters!$X$4:$AA$4,1,MATCH($E220,Parameters!$X$3:$AA$3,0))))*(1-Inputs_General!$C$22*Parameters!$F$4))</f>
        <v>80.0296844010259</v>
      </c>
      <c r="W220" s="44" t="n">
        <f aca="false">MIN(100,MAX(T220*(1+INDEX(Response_Table!$E$4:$E$21,MATCH($F220&amp;"|low",Response_Table!$A$4:$A$21,0))*$R220*INDEX(Parameters!$X$4:$AA$4,1,MATCH($E220,Parameters!$X$3:$AA$3,0))),T220*(1+INDEX(Response_Table!$E$4:$E$21,MATCH($F220&amp;"|high",Response_Table!$A$4:$A$21,0))*$R220*INDEX(Parameters!$X$4:$AA$4,1,MATCH($E220,Parameters!$X$3:$AA$3,0))))*(1+Inputs_General!$C$22*Parameters!$F$4))</f>
        <v>91.5977349787627</v>
      </c>
      <c r="X220" s="45" t="n">
        <f aca="false">IF(T220=0,0,U220/T220-1)</f>
        <v>-0.00215566940036427</v>
      </c>
      <c r="Y220" s="44" t="n">
        <f aca="false">Parameters!$E$5*IF($N220="V",Parameters!$I$5,IF($N220="F",Parameters!$J$5,Parameters!$K$5))*(1-Parameters!$L$5*$P220)*IF($D220="V1",Parameters!$M$5,IF($D220="V2",Parameters!$N$5,Parameters!$O$5))</f>
        <v>72</v>
      </c>
      <c r="Z220" s="44" t="n">
        <f aca="false">MIN(100,Y220*(1+INDEX(Response_Table!$F$4:$F$21,MATCH($F220&amp;"|mid",Response_Table!$A$4:$A$21,0))*$R220*INDEX(Parameters!$X$5:$AA$5,1,MATCH($E220,Parameters!$X$3:$AA$3,0))))</f>
        <v>71.5045413365414</v>
      </c>
      <c r="AA220" s="44" t="n">
        <f aca="false">MAX(0,MIN(Y220*(1+INDEX(Response_Table!$F$4:$F$21,MATCH($F220&amp;"|low",Response_Table!$A$4:$A$21,0))*$R220*INDEX(Parameters!$X$5:$AA$5,1,MATCH($E220,Parameters!$X$3:$AA$3,0))),Y220*(1+INDEX(Response_Table!$F$4:$F$21,MATCH($F220&amp;"|high",Response_Table!$A$4:$A$21,0))*$R220*INDEX(Parameters!$X$5:$AA$5,1,MATCH($E220,Parameters!$X$3:$AA$3,0))))*(1-Inputs_General!$C$22*Parameters!$F$5))</f>
        <v>62.9097175830539</v>
      </c>
      <c r="AB220" s="44" t="n">
        <f aca="false">MIN(100,MAX(Y220*(1+INDEX(Response_Table!$F$4:$F$21,MATCH($F220&amp;"|low",Response_Table!$A$4:$A$21,0))*$R220*INDEX(Parameters!$X$5:$AA$5,1,MATCH($E220,Parameters!$X$3:$AA$3,0))),Y220*(1+INDEX(Response_Table!$F$4:$F$21,MATCH($F220&amp;"|high",Response_Table!$A$4:$A$21,0))*$R220*INDEX(Parameters!$X$5:$AA$5,1,MATCH($E220,Parameters!$X$3:$AA$3,0))))*(1+Inputs_General!$C$22*Parameters!$F$5))</f>
        <v>80.1223942618605</v>
      </c>
      <c r="AC220" s="45" t="n">
        <f aca="false">IF(Y220=0,0,Z220/Y220-1)</f>
        <v>-0.00688137032581337</v>
      </c>
      <c r="AD220" s="44" t="n">
        <f aca="false">Parameters!$E$6*IF($N220="V",Parameters!$I$6,IF($N220="F",Parameters!$J$6,Parameters!$K$6))*(1-Parameters!$L$6*$P220)*IF($D220="V1",Parameters!$M$6,IF($D220="V2",Parameters!$N$6,Parameters!$O$6))</f>
        <v>19</v>
      </c>
      <c r="AE220" s="44" t="n">
        <f aca="false">AD220*(1+INDEX(Response_Table!$G$4:$G$21,MATCH($F220&amp;"|mid",Response_Table!$A$4:$A$21,0))*$R220*INDEX(Parameters!$X$6:$AA$6,1,MATCH($E220,Parameters!$X$3:$AA$3,0)))</f>
        <v>17.5902873439049</v>
      </c>
      <c r="AF220" s="44" t="n">
        <f aca="false">MAX(0,MIN(AD220*(1+INDEX(Response_Table!$G$4:$G$21,MATCH($F220&amp;"|low",Response_Table!$A$4:$A$21,0))*$R220*INDEX(Parameters!$X$6:$AA$6,1,MATCH($E220,Parameters!$X$3:$AA$3,0))),AD220*(1+INDEX(Response_Table!$G$4:$G$21,MATCH($F220&amp;"|high",Response_Table!$A$4:$A$21,0))*$R220*INDEX(Parameters!$X$6:$AA$6,1,MATCH($E220,Parameters!$X$3:$AA$3,0))))*(1-Inputs_General!$C$22*Parameters!$F$6))</f>
        <v>13.4425180945894</v>
      </c>
      <c r="AG220" s="44" t="n">
        <f aca="false">MAX(AD220*(1+INDEX(Response_Table!$G$4:$G$21,MATCH($F220&amp;"|low",Response_Table!$A$4:$A$21,0))*$R220*INDEX(Parameters!$X$6:$AA$6,1,MATCH($E220,Parameters!$X$3:$AA$3,0))),AD220*(1+INDEX(Response_Table!$G$4:$G$21,MATCH($F220&amp;"|high",Response_Table!$A$4:$A$21,0))*$R220*INDEX(Parameters!$X$6:$AA$6,1,MATCH($E220,Parameters!$X$3:$AA$3,0))))*(1+Inputs_General!$C$22*Parameters!$F$6)</f>
        <v>22.1630060229318</v>
      </c>
      <c r="AH220" s="45" t="n">
        <f aca="false">IF(AD220=0,0,AE220/AD220-1)</f>
        <v>-0.074195402952376</v>
      </c>
      <c r="AI220" s="46" t="n">
        <f aca="false">Parameters!$E$7*IF($N220="V",Parameters!$I$7,IF($N220="F",Parameters!$J$7,Parameters!$K$7))*(1-Parameters!$L$7*$P220)*IF($D220="V1",Parameters!$M$7,IF($D220="V2",Parameters!$N$7,Parameters!$O$7))*POWER($Q220/Inputs_General!$C$26,-Inputs_General!$C$25)</f>
        <v>0.464685683730118</v>
      </c>
      <c r="AJ220" s="46" t="n">
        <f aca="false">AI220*(1+INDEX(Response_Table!$H$4:$H$21,MATCH($F220&amp;"|mid",Response_Table!$A$4:$A$21,0))*$R220*INDEX(Parameters!$X$7:$AA$7,1,MATCH($E220,Parameters!$X$3:$AA$3,0)))</f>
        <v>0.443888311799676</v>
      </c>
      <c r="AK220" s="46" t="n">
        <f aca="false">MAX(0,MIN(AI220*(1+INDEX(Response_Table!$H$4:$H$21,MATCH($F220&amp;"|low",Response_Table!$A$4:$A$21,0))*$R220*INDEX(Parameters!$X$7:$AA$7,1,MATCH($E220,Parameters!$X$3:$AA$3,0))),AI220*(1+INDEX(Response_Table!$H$4:$H$21,MATCH($F220&amp;"|high",Response_Table!$A$4:$A$21,0))*$R220*INDEX(Parameters!$X$7:$AA$7,1,MATCH($E220,Parameters!$X$3:$AA$3,0))))*(1-Inputs_General!$C$22*Parameters!$F$7))</f>
        <v>0.303400355049387</v>
      </c>
      <c r="AL220" s="46" t="n">
        <f aca="false">MAX(AI220*(1+INDEX(Response_Table!$H$4:$H$21,MATCH($F220&amp;"|low",Response_Table!$A$4:$A$21,0))*$R220*INDEX(Parameters!$X$7:$AA$7,1,MATCH($E220,Parameters!$X$3:$AA$3,0))),AI220*(1+INDEX(Response_Table!$H$4:$H$21,MATCH($F220&amp;"|high",Response_Table!$A$4:$A$21,0))*$R220*INDEX(Parameters!$X$7:$AA$7,1,MATCH($E220,Parameters!$X$3:$AA$3,0))))*(1+Inputs_General!$C$22*Parameters!$F$7)</f>
        <v>0.593023094980159</v>
      </c>
      <c r="AM220" s="45" t="n">
        <f aca="false">IF(AI220=0,0,AJ220/AI220-1)</f>
        <v>-0.0447557836589614</v>
      </c>
      <c r="AN220" s="43" t="n">
        <f aca="false">AI220*$Q220/Inputs_General!$C$13*1000</f>
        <v>4.38850387664553</v>
      </c>
      <c r="AO220" s="43" t="n">
        <f aca="false">AJ220*$Q220/Inputs_General!$C$13*1000*(1+Inputs_General!$C$21*$I220)</f>
        <v>4.22353364365504</v>
      </c>
      <c r="AP220" s="43" t="n">
        <f aca="false">AK220*$Q220/Inputs_General!$C$13*1000*(1+Inputs_General!$C$21*$H220)</f>
        <v>2.87248427298412</v>
      </c>
      <c r="AQ220" s="43" t="n">
        <f aca="false">AL220*$Q220/Inputs_General!$C$13*1000*(1+Inputs_General!$C$21*$J220)</f>
        <v>5.67053235210467</v>
      </c>
      <c r="AR220" s="45" t="n">
        <f aca="false">IF(AN220=0,0,AO220/AN220-1)</f>
        <v>-0.0375914520364035</v>
      </c>
      <c r="AS220" s="42" t="n">
        <f aca="false">Parameters!$E$9*IF($N220="V",Parameters!$I$9,IF($N220="F",Parameters!$J$9,Parameters!$K$9))*(1-Parameters!$L$9*$P220)*IF($D220="V1",Parameters!$M$9,IF($D220="V2",Parameters!$N$9,Parameters!$O$9))</f>
        <v>285</v>
      </c>
      <c r="AT220" s="42" t="n">
        <f aca="false">AS220*(1+INDEX(Response_Table!$I$4:$I$21,MATCH($F220&amp;"|mid",Response_Table!$A$4:$A$21,0))*$R220*INDEX(Parameters!$X$9:$AA$9,1,MATCH($E220,Parameters!$X$3:$AA$3,0)))</f>
        <v>292.734642128546</v>
      </c>
      <c r="AU220" s="42" t="n">
        <f aca="false">MAX(0,MIN(AS220*(1+INDEX(Response_Table!$I$4:$I$21,MATCH($F220&amp;"|low",Response_Table!$A$4:$A$21,0))*$R220*INDEX(Parameters!$X$9:$AA$9,1,MATCH($E220,Parameters!$X$3:$AA$3,0))),AS220*(1+INDEX(Response_Table!$I$4:$I$21,MATCH($F220&amp;"|high",Response_Table!$A$4:$A$21,0))*$R220*INDEX(Parameters!$X$9:$AA$9,1,MATCH($E220,Parameters!$X$3:$AA$3,0))))*(1-Inputs_General!$C$22*Parameters!$F$9))</f>
        <v>259.287788728854</v>
      </c>
      <c r="AV220" s="42" t="n">
        <f aca="false">MAX(AS220*(1+INDEX(Response_Table!$I$4:$I$21,MATCH($F220&amp;"|low",Response_Table!$A$4:$A$21,0))*$R220*INDEX(Parameters!$X$9:$AA$9,1,MATCH($E220,Parameters!$X$3:$AA$3,0))),AS220*(1+INDEX(Response_Table!$I$4:$I$21,MATCH($F220&amp;"|high",Response_Table!$A$4:$A$21,0))*$R220*INDEX(Parameters!$X$9:$AA$9,1,MATCH($E220,Parameters!$X$3:$AA$3,0))))*(1+Inputs_General!$C$22*Parameters!$F$9)</f>
        <v>326.752079676976</v>
      </c>
      <c r="AW220" s="45" t="n">
        <f aca="false">IF(AS220=0,0,AT220/AS220-1)</f>
        <v>0.0271390951878823</v>
      </c>
      <c r="AX220" s="43" t="n">
        <f aca="false">INDEX(Context!$AB$4:$AB$51,$K220)</f>
        <v>0.435390007029591</v>
      </c>
      <c r="AY220" s="43" t="n">
        <f aca="false">AX220*(1+INDEX(Response_Table!$J$4:$J$21,MATCH($F220&amp;"|mid",Response_Table!$A$4:$A$21,0))*$R220*INDEX(Parameters!$X$10:$AA$10,1,MATCH($E220,Parameters!$X$3:$AA$3,0)))</f>
        <v>0.428311560130638</v>
      </c>
      <c r="AZ220" s="43" t="n">
        <f aca="false">MAX(0,MIN(AX220*(1+INDEX(Response_Table!$J$4:$J$21,MATCH($F220&amp;"|low",Response_Table!$A$4:$A$21,0))*$R220*INDEX(Parameters!$X$10:$AA$10,1,MATCH($E220,Parameters!$X$3:$AA$3,0))),AX220*(1+INDEX(Response_Table!$J$4:$J$21,MATCH($F220&amp;"|high",Response_Table!$A$4:$A$21,0))*$R220*INDEX(Parameters!$X$10:$AA$10,1,MATCH($E220,Parameters!$X$3:$AA$3,0))))*(1-Inputs_General!$C$22*Parameters!$F$10))</f>
        <v>0.340205349838675</v>
      </c>
      <c r="BA220" s="43" t="n">
        <f aca="false">MAX(AX220*(1+INDEX(Response_Table!$J$4:$J$21,MATCH($F220&amp;"|low",Response_Table!$A$4:$A$21,0))*$R220*INDEX(Parameters!$X$10:$AA$10,1,MATCH($E220,Parameters!$X$3:$AA$3,0))),AX220*(1+INDEX(Response_Table!$J$4:$J$21,MATCH($F220&amp;"|high",Response_Table!$A$4:$A$21,0))*$R220*INDEX(Parameters!$X$10:$AA$10,1,MATCH($E220,Parameters!$X$3:$AA$3,0))))*(1+Inputs_General!$C$22*Parameters!$F$10)</f>
        <v>0.518439832315116</v>
      </c>
      <c r="BB220" s="45" t="n">
        <f aca="false">IF(AX220=0,0,AY220/AX220-1)</f>
        <v>-0.0162577155760756</v>
      </c>
      <c r="BC220" s="46" t="n">
        <f aca="false">Parameters!$E$11*IF($N220="V",Parameters!$I$11,IF($N220="F",Parameters!$J$11,Parameters!$K$11))*(1-Parameters!$L$11*$P220)*IF($D220="V1",Parameters!$M$11,IF($D220="V2",Parameters!$N$11,Parameters!$O$11))</f>
        <v>1.1875</v>
      </c>
      <c r="BD220" s="46" t="n">
        <f aca="false">BC220*(1+INDEX(Response_Table!$K$4:$K$21,MATCH($F220&amp;"|mid",Response_Table!$A$4:$A$21,0))*$R220*INDEX(Parameters!$X$11:$AA$11,1,MATCH($E220,Parameters!$X$3:$AA$3,0)))</f>
        <v>1.15217283120152</v>
      </c>
      <c r="BE220" s="46" t="n">
        <f aca="false">MAX(0,MIN(BC220*(1+INDEX(Response_Table!$K$4:$K$21,MATCH($F220&amp;"|low",Response_Table!$A$4:$A$21,0))*$R220*INDEX(Parameters!$X$11:$AA$11,1,MATCH($E220,Parameters!$X$3:$AA$3,0))),BC220*(1+INDEX(Response_Table!$K$4:$K$21,MATCH($F220&amp;"|high",Response_Table!$A$4:$A$21,0))*$R220*INDEX(Parameters!$X$11:$AA$11,1,MATCH($E220,Parameters!$X$3:$AA$3,0))))*(1-Inputs_General!$C$22*Parameters!$F$11))</f>
        <v>0.94447989923949</v>
      </c>
      <c r="BF220" s="46" t="n">
        <f aca="false">MAX(BC220*(1+INDEX(Response_Table!$K$4:$K$21,MATCH($F220&amp;"|low",Response_Table!$A$4:$A$21,0))*$R220*INDEX(Parameters!$X$11:$AA$11,1,MATCH($E220,Parameters!$X$3:$AA$3,0))),BC220*(1+INDEX(Response_Table!$K$4:$K$21,MATCH($F220&amp;"|high",Response_Table!$A$4:$A$21,0))*$R220*INDEX(Parameters!$X$11:$AA$11,1,MATCH($E220,Parameters!$X$3:$AA$3,0))))*(1+Inputs_General!$C$22*Parameters!$F$11)</f>
        <v>1.36868984525518</v>
      </c>
      <c r="BG220" s="45" t="n">
        <f aca="false">IF(BC220=0,0,BD220/BC220-1)</f>
        <v>-0.0297491947776706</v>
      </c>
      <c r="BH220" s="46" t="n">
        <f aca="false">Parameters!$E$12*IF($N220="V",Parameters!$I$12,IF($N220="F",Parameters!$J$12,Parameters!$K$12))*(1-Parameters!$L$12*$P220)*IF($D220="V1",Parameters!$M$12,IF($D220="V2",Parameters!$N$12,Parameters!$O$12))</f>
        <v>0.4275</v>
      </c>
      <c r="BI220" s="46" t="n">
        <f aca="false">BH220*(1+INDEX(Response_Table!$L$4:$L$21,MATCH($F220&amp;"|mid",Response_Table!$A$4:$A$21,0))*$R220*INDEX(Parameters!$X$12:$AA$12,1,MATCH($E220,Parameters!$X$3:$AA$3,0)))</f>
        <v>0.417381534968449</v>
      </c>
      <c r="BJ220" s="46" t="n">
        <f aca="false">MAX(0,MIN(BH220*(1+INDEX(Response_Table!$L$4:$L$21,MATCH($F220&amp;"|low",Response_Table!$A$4:$A$21,0))*$R220*INDEX(Parameters!$X$12:$AA$12,1,MATCH($E220,Parameters!$X$3:$AA$3,0))),BH220*(1+INDEX(Response_Table!$L$4:$L$21,MATCH($F220&amp;"|high",Response_Table!$A$4:$A$21,0))*$R220*INDEX(Parameters!$X$12:$AA$12,1,MATCH($E220,Parameters!$X$3:$AA$3,0))))*(1-Inputs_General!$C$22*Parameters!$F$12))</f>
        <v>0.329968508834621</v>
      </c>
      <c r="BK220" s="46" t="n">
        <f aca="false">MAX(BH220*(1+INDEX(Response_Table!$L$4:$L$21,MATCH($F220&amp;"|low",Response_Table!$A$4:$A$21,0))*$R220*INDEX(Parameters!$X$12:$AA$12,1,MATCH($E220,Parameters!$X$3:$AA$3,0))),BH220*(1+INDEX(Response_Table!$L$4:$L$21,MATCH($F220&amp;"|high",Response_Table!$A$4:$A$21,0))*$R220*INDEX(Parameters!$X$12:$AA$12,1,MATCH($E220,Parameters!$X$3:$AA$3,0))))*(1+Inputs_General!$C$22*Parameters!$F$12)</f>
        <v>0.507728137337458</v>
      </c>
      <c r="BL220" s="45" t="n">
        <f aca="false">IF(BH220=0,0,BI220/BH220-1)</f>
        <v>-0.0236689240504122</v>
      </c>
      <c r="BM220" s="46" t="n">
        <f aca="false">Parameters!$E$13*IF($N220="V",Parameters!$I$13,IF($N220="F",Parameters!$J$13,Parameters!$K$13))*(1-Parameters!$L$13*$P220)*IF($D220="V1",Parameters!$M$13,IF($D220="V2",Parameters!$N$13,Parameters!$O$13))</f>
        <v>0.285</v>
      </c>
      <c r="BN220" s="46" t="n">
        <f aca="false">BM220*(1+INDEX(Response_Table!$M$4:$M$21,MATCH($F220&amp;"|mid",Response_Table!$A$4:$A$21,0))*$R220*INDEX(Parameters!$X$13:$AA$13,1,MATCH($E220,Parameters!$X$3:$AA$3,0)))</f>
        <v>0.288702870384896</v>
      </c>
      <c r="BO220" s="46" t="n">
        <f aca="false">MAX(0,MIN(BM220*(1+INDEX(Response_Table!$M$4:$M$21,MATCH($F220&amp;"|low",Response_Table!$A$4:$A$21,0))*$R220*INDEX(Parameters!$X$13:$AA$13,1,MATCH($E220,Parameters!$X$3:$AA$3,0))),BM220*(1+INDEX(Response_Table!$M$4:$M$21,MATCH($F220&amp;"|high",Response_Table!$A$4:$A$21,0))*$R220*INDEX(Parameters!$X$13:$AA$13,1,MATCH($E220,Parameters!$X$3:$AA$3,0))))*(1-Inputs_General!$C$22*Parameters!$F$13))</f>
        <v>0.23020199673413</v>
      </c>
      <c r="BP220" s="46" t="n">
        <f aca="false">MAX(BM220*(1+INDEX(Response_Table!$M$4:$M$21,MATCH($F220&amp;"|low",Response_Table!$A$4:$A$21,0))*$R220*INDEX(Parameters!$X$13:$AA$13,1,MATCH($E220,Parameters!$X$3:$AA$3,0))),BM220*(1+INDEX(Response_Table!$M$4:$M$21,MATCH($F220&amp;"|high",Response_Table!$A$4:$A$21,0))*$R220*INDEX(Parameters!$X$13:$AA$13,1,MATCH($E220,Parameters!$X$3:$AA$3,0))))*(1+Inputs_General!$C$22*Parameters!$F$13)</f>
        <v>0.345818092968314</v>
      </c>
      <c r="BQ220" s="45" t="n">
        <f aca="false">IF(BM220=0,0,BN220/BM220-1)</f>
        <v>0.0129925276663028</v>
      </c>
      <c r="BR220" s="44" t="n">
        <f aca="false">Parameters!$E$14*IF($N220="V",Parameters!$I$14,IF($N220="F",Parameters!$J$14,Parameters!$K$14))*(1-Parameters!$L$14*$P220)*IF($D220="V1",Parameters!$M$14,IF($D220="V2",Parameters!$N$14,Parameters!$O$14))*INDEX(Context!$AC$4:$AC$51,$K220)</f>
        <v>23.1</v>
      </c>
      <c r="BS220" s="44" t="n">
        <f aca="false">BR220*(1+INDEX(Response_Table!$N$4:$N$21,MATCH($F220&amp;"|mid",Response_Table!$A$4:$A$21,0))*$R220*INDEX(Parameters!$X$14:$AA$14,1,MATCH($E220,Parameters!$X$3:$AA$3,0)))</f>
        <v>23.6964568860704</v>
      </c>
      <c r="BT220" s="44" t="n">
        <f aca="false">MAX(0,MIN(BR220*(1+INDEX(Response_Table!$N$4:$N$21,MATCH($F220&amp;"|low",Response_Table!$A$4:$A$21,0))*$R220*INDEX(Parameters!$X$14:$AA$14,1,MATCH($E220,Parameters!$X$3:$AA$3,0))),BR220*(1+INDEX(Response_Table!$N$4:$N$21,MATCH($F220&amp;"|high",Response_Table!$A$4:$A$21,0))*$R220*INDEX(Parameters!$X$14:$AA$14,1,MATCH($E220,Parameters!$X$3:$AA$3,0))))*(1-Inputs_General!$C$22*Parameters!$F$14))</f>
        <v>11.8038875071957</v>
      </c>
      <c r="BU220" s="44" t="n">
        <f aca="false">MAX(BR220*(1+INDEX(Response_Table!$N$4:$N$21,MATCH($F220&amp;"|low",Response_Table!$A$4:$A$21,0))*$R220*INDEX(Parameters!$X$14:$AA$14,1,MATCH($E220,Parameters!$X$3:$AA$3,0))),BR220*(1+INDEX(Response_Table!$N$4:$N$21,MATCH($F220&amp;"|high",Response_Table!$A$4:$A$21,0))*$R220*INDEX(Parameters!$X$14:$AA$14,1,MATCH($E220,Parameters!$X$3:$AA$3,0))))*(1+Inputs_General!$C$22*Parameters!$F$14)</f>
        <v>35.9415161758596</v>
      </c>
      <c r="BV220" s="45" t="n">
        <f aca="false">IF(BR220=0,0,BS220/BR220-1)</f>
        <v>0.0258206444186315</v>
      </c>
      <c r="BW220" s="43" t="n">
        <f aca="false">Parameters!$E$15*IF($N220="V",Parameters!$I$15,IF($N220="F",Parameters!$J$15,Parameters!$K$15))*(1-Parameters!$L$15*$P220)*IF($D220="V1",Parameters!$M$15,IF($D220="V2",Parameters!$N$15,Parameters!$O$15))</f>
        <v>11.232</v>
      </c>
      <c r="BX220" s="43" t="n">
        <f aca="false">BW220*(1+INDEX(Response_Table!$O$4:$O$21,MATCH($F220&amp;"|mid",Response_Table!$A$4:$A$21,0))*$R220*INDEX(Parameters!$X$15:$AA$15,1,MATCH($E220,Parameters!$X$3:$AA$3,0)))</f>
        <v>11.1594956304725</v>
      </c>
      <c r="BY220" s="43" t="n">
        <f aca="false">MAX(0,MIN(BW220*(1+INDEX(Response_Table!$O$4:$O$21,MATCH($F220&amp;"|low",Response_Table!$A$4:$A$21,0))*$R220*INDEX(Parameters!$X$15:$AA$15,1,MATCH($E220,Parameters!$X$3:$AA$3,0))),BW220*(1+INDEX(Response_Table!$O$4:$O$21,MATCH($F220&amp;"|high",Response_Table!$A$4:$A$21,0))*$R220*INDEX(Parameters!$X$15:$AA$15,1,MATCH($E220,Parameters!$X$3:$AA$3,0))))*(1-Inputs_General!$C$22*Parameters!$F$15))</f>
        <v>8.92062643651066</v>
      </c>
      <c r="BZ220" s="43" t="n">
        <f aca="false">MAX(BW220*(1+INDEX(Response_Table!$O$4:$O$21,MATCH($F220&amp;"|low",Response_Table!$A$4:$A$21,0))*$R220*INDEX(Parameters!$X$15:$AA$15,1,MATCH($E220,Parameters!$X$3:$AA$3,0))),BW220*(1+INDEX(Response_Table!$O$4:$O$21,MATCH($F220&amp;"|high",Response_Table!$A$4:$A$21,0))*$R220*INDEX(Parameters!$X$15:$AA$15,1,MATCH($E220,Parameters!$X$3:$AA$3,0))))*(1+Inputs_General!$C$22*Parameters!$F$15)</f>
        <v>13.4193855123281</v>
      </c>
      <c r="CA220" s="45" t="n">
        <f aca="false">IF(BW220=0,0,BX220/BW220-1)</f>
        <v>-0.00645516110465794</v>
      </c>
      <c r="CB220" s="46" t="n">
        <f aca="false">BD220+BI220</f>
        <v>1.56955436616997</v>
      </c>
      <c r="CC220" s="43" t="n">
        <f aca="false">BD220/BI220</f>
        <v>2.7604786859788</v>
      </c>
      <c r="CD220" s="46" t="n">
        <f aca="false">BN220/CB220</f>
        <v>0.183939388534461</v>
      </c>
      <c r="CE220" s="43" t="n">
        <f aca="false">AE220/AO220</f>
        <v>4.16482709219815</v>
      </c>
      <c r="CF220" s="44" t="n">
        <f aca="false">AE220/AJ220</f>
        <v>39.6277326442496</v>
      </c>
      <c r="CG220" s="44" t="n">
        <f aca="false">INDEX(Context!$V$4:$V$51,$K220)</f>
        <v>22.6257142857143</v>
      </c>
      <c r="CH220" s="44" t="n">
        <f aca="false">INDEX(Context!$Y$4:$Y$51,$K220)</f>
        <v>21.3177449518561</v>
      </c>
      <c r="CI220" s="44" t="n">
        <f aca="false">INDEX(Context!$Z$4:$Z$51,$K220)</f>
        <v>26.6257142857143</v>
      </c>
      <c r="CJ220" s="43" t="n">
        <f aca="false">INDEX(Context!$AA$4:$AA$51,$K220)</f>
        <v>0.12</v>
      </c>
      <c r="CK220" s="43" t="n">
        <f aca="false">MAX(0,MIN(1,1-(1-CJ220)*AO220/AN220))</f>
        <v>0.153080477792035</v>
      </c>
      <c r="CL220" s="44" t="n">
        <f aca="false">CH220+CK220*(CI220-CH220)</f>
        <v>22.1302914335885</v>
      </c>
      <c r="CM220" s="44" t="n">
        <f aca="false">CH220+MAX(0,MIN(1,1-(1-CJ220)*AQ220/AN220))*(CI220-CH220)</f>
        <v>21.3177449518561</v>
      </c>
      <c r="CN220" s="44" t="n">
        <f aca="false">CH220+MAX(0,MIN(1,1-(1-CJ220)*AP220/AN220))*(CI220-CH220)</f>
        <v>23.5683143612355</v>
      </c>
      <c r="CO220" s="44" t="n">
        <f aca="false">CL220-CG220</f>
        <v>-0.495422852125749</v>
      </c>
      <c r="CP220" s="44" t="n">
        <f aca="false">CL220-(CH220+CJ220*(CI220-CH220))</f>
        <v>0.175590161669501</v>
      </c>
      <c r="CQ220" s="46" t="n">
        <f aca="false">CL220/CG220</f>
        <v>0.978103548649575</v>
      </c>
      <c r="CR220" s="43" t="n">
        <f aca="false">IF(CL220-CH220&lt;=0,"n/a",(CI220-CL220)/(CL220-CH220))</f>
        <v>5.53251162018538</v>
      </c>
      <c r="CS220" s="43" t="n">
        <f aca="false">IF(CI220-CL220&lt;=0,"n/a",(CL220-CH220)/(CI220-CL220))</f>
        <v>0.180749733331151</v>
      </c>
      <c r="CT220" s="43" t="n">
        <f aca="false">Inputs_General!$C$23+Inputs_General!$C$24*$I220</f>
        <v>0.66</v>
      </c>
      <c r="CU220" s="44" t="n">
        <f aca="false">3.29*CT220</f>
        <v>2.1714</v>
      </c>
    </row>
    <row r="221" customFormat="false" ht="15" hidden="false" customHeight="false" outlineLevel="0" collapsed="false">
      <c r="A221" s="9" t="str">
        <f aca="false">B221&amp;"|"&amp;E221&amp;"|"&amp;F221</f>
        <v>D4V1|11/02/2026|Low</v>
      </c>
      <c r="B221" s="7" t="s">
        <v>352</v>
      </c>
      <c r="C221" s="9" t="s">
        <v>133</v>
      </c>
      <c r="D221" s="9" t="s">
        <v>142</v>
      </c>
      <c r="E221" s="9" t="s">
        <v>158</v>
      </c>
      <c r="F221" s="7" t="s">
        <v>279</v>
      </c>
      <c r="G221" s="9" t="s">
        <v>280</v>
      </c>
      <c r="H221" s="41" t="n">
        <f aca="false">INDEX(Severity_Classes!$C$4:$C$9,MATCH(F221,Severity_Classes!$A$4:$A$9,0))</f>
        <v>0.06</v>
      </c>
      <c r="I221" s="41" t="n">
        <f aca="false">INDEX(Severity_Classes!$D$4:$D$9,MATCH(F221,Severity_Classes!$A$4:$A$9,0))</f>
        <v>0.08</v>
      </c>
      <c r="J221" s="41" t="n">
        <f aca="false">INDEX(Severity_Classes!$E$4:$E$9,MATCH(F221,Severity_Classes!$A$4:$A$9,0))</f>
        <v>0.1</v>
      </c>
      <c r="K221" s="42" t="n">
        <f aca="false">MATCH(B221&amp;"|"&amp;E221,Context!$A$4:$A$51,0)</f>
        <v>37</v>
      </c>
      <c r="L221" s="42" t="n">
        <f aca="false">INDEX(Context!$H$4:$H$51,K221)</f>
        <v>33</v>
      </c>
      <c r="M221" s="42" t="n">
        <f aca="false">INDEX(Context!$I$4:$I$51,K221)</f>
        <v>6</v>
      </c>
      <c r="N221" s="9" t="str">
        <f aca="false">INDEX(Context!$L$4:$L$51,K221)</f>
        <v>V</v>
      </c>
      <c r="O221" s="9" t="str">
        <f aca="false">INDEX(Context!$M$4:$M$51,K221)</f>
        <v>3rd fully expanded leaf from top</v>
      </c>
      <c r="P221" s="43" t="n">
        <f aca="false">INDEX(Context!$R$4:$R$51,K221)</f>
        <v>0</v>
      </c>
      <c r="Q221" s="43" t="n">
        <f aca="false">INDEX(Context!$U$4:$U$51,K221)</f>
        <v>0.937791824040773</v>
      </c>
      <c r="R221" s="43" t="n">
        <f aca="false">INDEX(Context!$AD$4:$AD$51,K221)</f>
        <v>1</v>
      </c>
      <c r="S221" s="9" t="str">
        <f aca="false">INDEX(Context!$AI$4:$AN$51,K221,MATCH(F221,Severity_Classes!$A$4:$A$9,0))</f>
        <v>Likely</v>
      </c>
      <c r="T221" s="44" t="n">
        <f aca="false">Parameters!$E$4*IF($N221="V",Parameters!$I$4,IF($N221="F",Parameters!$J$4,Parameters!$K$4))*(1-Parameters!$L$4*$P221)*IF($D221="V1",Parameters!$M$4,IF($D221="V2",Parameters!$N$4,Parameters!$O$4))</f>
        <v>86</v>
      </c>
      <c r="U221" s="44" t="n">
        <f aca="false">MIN(100,T221*(1+INDEX(Response_Table!$E$4:$E$21,MATCH($F221&amp;"|mid",Response_Table!$A$4:$A$21,0))*$R221*INDEX(Parameters!$X$4:$AA$4,1,MATCH($E221,Parameters!$X$3:$AA$3,0))))</f>
        <v>85.4014991164519</v>
      </c>
      <c r="V221" s="44" t="n">
        <f aca="false">MAX(0,MIN(T221*(1+INDEX(Response_Table!$E$4:$E$21,MATCH($F221&amp;"|low",Response_Table!$A$4:$A$21,0))*$R221*INDEX(Parameters!$X$4:$AA$4,1,MATCH($E221,Parameters!$X$3:$AA$3,0))),T221*(1+INDEX(Response_Table!$E$4:$E$21,MATCH($F221&amp;"|high",Response_Table!$A$4:$A$21,0))*$R221*INDEX(Parameters!$X$4:$AA$4,1,MATCH($E221,Parameters!$X$3:$AA$3,0))))*(1-Inputs_General!$C$22*Parameters!$F$4))</f>
        <v>79.5867307670169</v>
      </c>
      <c r="W221" s="44" t="n">
        <f aca="false">MIN(100,MAX(T221*(1+INDEX(Response_Table!$E$4:$E$21,MATCH($F221&amp;"|low",Response_Table!$A$4:$A$21,0))*$R221*INDEX(Parameters!$X$4:$AA$4,1,MATCH($E221,Parameters!$X$3:$AA$3,0))),T221*(1+INDEX(Response_Table!$E$4:$E$21,MATCH($F221&amp;"|high",Response_Table!$A$4:$A$21,0))*$R221*INDEX(Parameters!$X$4:$AA$4,1,MATCH($E221,Parameters!$X$3:$AA$3,0))))*(1+Inputs_General!$C$22*Parameters!$F$4))</f>
        <v>91.2156851451818</v>
      </c>
      <c r="X221" s="45" t="n">
        <f aca="false">IF(T221=0,0,U221/T221-1)</f>
        <v>-0.00695931259939653</v>
      </c>
      <c r="Y221" s="44" t="n">
        <f aca="false">Parameters!$E$5*IF($N221="V",Parameters!$I$5,IF($N221="F",Parameters!$J$5,Parameters!$K$5))*(1-Parameters!$L$5*$P221)*IF($D221="V1",Parameters!$M$5,IF($D221="V2",Parameters!$N$5,Parameters!$O$5))</f>
        <v>72</v>
      </c>
      <c r="Z221" s="44" t="n">
        <f aca="false">MIN(100,Y221*(1+INDEX(Response_Table!$F$4:$F$21,MATCH($F221&amp;"|mid",Response_Table!$A$4:$A$21,0))*$R221*INDEX(Parameters!$X$5:$AA$5,1,MATCH($E221,Parameters!$X$3:$AA$3,0))))</f>
        <v>70.3458317669356</v>
      </c>
      <c r="AA221" s="44" t="n">
        <f aca="false">MAX(0,MIN(Y221*(1+INDEX(Response_Table!$F$4:$F$21,MATCH($F221&amp;"|low",Response_Table!$A$4:$A$21,0))*$R221*INDEX(Parameters!$X$5:$AA$5,1,MATCH($E221,Parameters!$X$3:$AA$3,0))),Y221*(1+INDEX(Response_Table!$F$4:$F$21,MATCH($F221&amp;"|high",Response_Table!$A$4:$A$21,0))*$R221*INDEX(Parameters!$X$5:$AA$5,1,MATCH($E221,Parameters!$X$3:$AA$3,0))))*(1-Inputs_General!$C$22*Parameters!$F$5))</f>
        <v>61.7097860777528</v>
      </c>
      <c r="AB221" s="44" t="n">
        <f aca="false">MIN(100,MAX(Y221*(1+INDEX(Response_Table!$F$4:$F$21,MATCH($F221&amp;"|low",Response_Table!$A$4:$A$21,0))*$R221*INDEX(Parameters!$X$5:$AA$5,1,MATCH($E221,Parameters!$X$3:$AA$3,0))),Y221*(1+INDEX(Response_Table!$F$4:$F$21,MATCH($F221&amp;"|high",Response_Table!$A$4:$A$21,0))*$R221*INDEX(Parameters!$X$5:$AA$5,1,MATCH($E221,Parameters!$X$3:$AA$3,0))))*(1+Inputs_General!$C$22*Parameters!$F$5))</f>
        <v>79.0260439832863</v>
      </c>
      <c r="AC221" s="45" t="n">
        <f aca="false">IF(Y221=0,0,Z221/Y221-1)</f>
        <v>-0.0229745587925607</v>
      </c>
      <c r="AD221" s="44" t="n">
        <f aca="false">Parameters!$E$6*IF($N221="V",Parameters!$I$6,IF($N221="F",Parameters!$J$6,Parameters!$K$6))*(1-Parameters!$L$6*$P221)*IF($D221="V1",Parameters!$M$6,IF($D221="V2",Parameters!$N$6,Parameters!$O$6))</f>
        <v>19</v>
      </c>
      <c r="AE221" s="44" t="n">
        <f aca="false">AD221*(1+INDEX(Response_Table!$G$4:$G$21,MATCH($F221&amp;"|mid",Response_Table!$A$4:$A$21,0))*$R221*INDEX(Parameters!$X$6:$AA$6,1,MATCH($E221,Parameters!$X$3:$AA$3,0)))</f>
        <v>15.6173933905303</v>
      </c>
      <c r="AF221" s="44" t="n">
        <f aca="false">MAX(0,MIN(AD221*(1+INDEX(Response_Table!$G$4:$G$21,MATCH($F221&amp;"|low",Response_Table!$A$4:$A$21,0))*$R221*INDEX(Parameters!$X$6:$AA$6,1,MATCH($E221,Parameters!$X$3:$AA$3,0))),AD221*(1+INDEX(Response_Table!$G$4:$G$21,MATCH($F221&amp;"|high",Response_Table!$A$4:$A$21,0))*$R221*INDEX(Parameters!$X$6:$AA$6,1,MATCH($E221,Parameters!$X$3:$AA$3,0))))*(1-Inputs_General!$C$22*Parameters!$F$6))</f>
        <v>11.9924613997992</v>
      </c>
      <c r="AG221" s="44" t="n">
        <f aca="false">MAX(AD221*(1+INDEX(Response_Table!$G$4:$G$21,MATCH($F221&amp;"|low",Response_Table!$A$4:$A$21,0))*$R221*INDEX(Parameters!$X$6:$AA$6,1,MATCH($E221,Parameters!$X$3:$AA$3,0))),AD221*(1+INDEX(Response_Table!$G$4:$G$21,MATCH($F221&amp;"|high",Response_Table!$A$4:$A$21,0))*$R221*INDEX(Parameters!$X$6:$AA$6,1,MATCH($E221,Parameters!$X$3:$AA$3,0))))*(1+Inputs_General!$C$22*Parameters!$F$6)</f>
        <v>19.5833552867883</v>
      </c>
      <c r="AH221" s="45" t="n">
        <f aca="false">IF(AD221=0,0,AE221/AD221-1)</f>
        <v>-0.178031926814195</v>
      </c>
      <c r="AI221" s="46" t="n">
        <f aca="false">Parameters!$E$7*IF($N221="V",Parameters!$I$7,IF($N221="F",Parameters!$J$7,Parameters!$K$7))*(1-Parameters!$L$7*$P221)*IF($D221="V1",Parameters!$M$7,IF($D221="V2",Parameters!$N$7,Parameters!$O$7))*POWER($Q221/Inputs_General!$C$26,-Inputs_General!$C$25)</f>
        <v>0.464685683730118</v>
      </c>
      <c r="AJ221" s="46" t="n">
        <f aca="false">AI221*(1+INDEX(Response_Table!$H$4:$H$21,MATCH($F221&amp;"|mid",Response_Table!$A$4:$A$21,0))*$R221*INDEX(Parameters!$X$7:$AA$7,1,MATCH($E221,Parameters!$X$3:$AA$3,0)))</f>
        <v>0.41312717503011</v>
      </c>
      <c r="AK221" s="46" t="n">
        <f aca="false">MAX(0,MIN(AI221*(1+INDEX(Response_Table!$H$4:$H$21,MATCH($F221&amp;"|low",Response_Table!$A$4:$A$21,0))*$R221*INDEX(Parameters!$X$7:$AA$7,1,MATCH($E221,Parameters!$X$3:$AA$3,0))),AI221*(1+INDEX(Response_Table!$H$4:$H$21,MATCH($F221&amp;"|high",Response_Table!$A$4:$A$21,0))*$R221*INDEX(Parameters!$X$7:$AA$7,1,MATCH($E221,Parameters!$X$3:$AA$3,0))))*(1-Inputs_General!$C$22*Parameters!$F$7))</f>
        <v>0.283008549698042</v>
      </c>
      <c r="AL221" s="46" t="n">
        <f aca="false">MAX(AI221*(1+INDEX(Response_Table!$H$4:$H$21,MATCH($F221&amp;"|low",Response_Table!$A$4:$A$21,0))*$R221*INDEX(Parameters!$X$7:$AA$7,1,MATCH($E221,Parameters!$X$3:$AA$3,0))),AI221*(1+INDEX(Response_Table!$H$4:$H$21,MATCH($F221&amp;"|high",Response_Table!$A$4:$A$21,0))*$R221*INDEX(Parameters!$X$7:$AA$7,1,MATCH($E221,Parameters!$X$3:$AA$3,0))))*(1+Inputs_General!$C$22*Parameters!$F$7)</f>
        <v>0.550688192841408</v>
      </c>
      <c r="AM221" s="45" t="n">
        <f aca="false">IF(AI221=0,0,AJ221/AI221-1)</f>
        <v>-0.110953512245392</v>
      </c>
      <c r="AN221" s="43" t="n">
        <f aca="false">AI221*$Q221/Inputs_General!$C$13*1000</f>
        <v>4.38850387664553</v>
      </c>
      <c r="AO221" s="43" t="n">
        <f aca="false">AJ221*$Q221/Inputs_General!$C$13*1000*(1+Inputs_General!$C$21*$I221)</f>
        <v>3.97961563718977</v>
      </c>
      <c r="AP221" s="43" t="n">
        <f aca="false">AK221*$Q221/Inputs_General!$C$13*1000*(1+Inputs_General!$C$21*$H221)</f>
        <v>2.71283132528768</v>
      </c>
      <c r="AQ221" s="43" t="n">
        <f aca="false">AL221*$Q221/Inputs_General!$C$13*1000*(1+Inputs_General!$C$21*$J221)</f>
        <v>5.33073169147555</v>
      </c>
      <c r="AR221" s="45" t="n">
        <f aca="false">IF(AN221=0,0,AO221/AN221-1)</f>
        <v>-0.0931725824902999</v>
      </c>
      <c r="AS221" s="42" t="n">
        <f aca="false">Parameters!$E$9*IF($N221="V",Parameters!$I$9,IF($N221="F",Parameters!$J$9,Parameters!$K$9))*(1-Parameters!$L$9*$P221)*IF($D221="V1",Parameters!$M$9,IF($D221="V2",Parameters!$N$9,Parameters!$O$9))</f>
        <v>285</v>
      </c>
      <c r="AT221" s="42" t="n">
        <f aca="false">AS221*(1+INDEX(Response_Table!$I$4:$I$21,MATCH($F221&amp;"|mid",Response_Table!$A$4:$A$21,0))*$R221*INDEX(Parameters!$X$9:$AA$9,1,MATCH($E221,Parameters!$X$3:$AA$3,0)))</f>
        <v>303.73140586416</v>
      </c>
      <c r="AU221" s="42" t="n">
        <f aca="false">MAX(0,MIN(AS221*(1+INDEX(Response_Table!$I$4:$I$21,MATCH($F221&amp;"|low",Response_Table!$A$4:$A$21,0))*$R221*INDEX(Parameters!$X$9:$AA$9,1,MATCH($E221,Parameters!$X$3:$AA$3,0))),AS221*(1+INDEX(Response_Table!$I$4:$I$21,MATCH($F221&amp;"|high",Response_Table!$A$4:$A$21,0))*$R221*INDEX(Parameters!$X$9:$AA$9,1,MATCH($E221,Parameters!$X$3:$AA$3,0))))*(1-Inputs_General!$C$22*Parameters!$F$9))</f>
        <v>270.024661923337</v>
      </c>
      <c r="AV221" s="42" t="n">
        <f aca="false">MAX(AS221*(1+INDEX(Response_Table!$I$4:$I$21,MATCH($F221&amp;"|low",Response_Table!$A$4:$A$21,0))*$R221*INDEX(Parameters!$X$9:$AA$9,1,MATCH($E221,Parameters!$X$3:$AA$3,0))),AS221*(1+INDEX(Response_Table!$I$4:$I$21,MATCH($F221&amp;"|high",Response_Table!$A$4:$A$21,0))*$R221*INDEX(Parameters!$X$9:$AA$9,1,MATCH($E221,Parameters!$X$3:$AA$3,0))))*(1+Inputs_General!$C$22*Parameters!$F$9)</f>
        <v>337.905304594772</v>
      </c>
      <c r="AW221" s="45" t="n">
        <f aca="false">IF(AS221=0,0,AT221/AS221-1)</f>
        <v>0.0657242311023141</v>
      </c>
      <c r="AX221" s="43" t="n">
        <f aca="false">INDEX(Context!$AB$4:$AB$51,$K221)</f>
        <v>0.435390007029591</v>
      </c>
      <c r="AY221" s="43" t="n">
        <f aca="false">AX221*(1+INDEX(Response_Table!$J$4:$J$21,MATCH($F221&amp;"|mid",Response_Table!$A$4:$A$21,0))*$R221*INDEX(Parameters!$X$10:$AA$10,1,MATCH($E221,Parameters!$X$3:$AA$3,0)))</f>
        <v>0.417632372823975</v>
      </c>
      <c r="AZ221" s="43" t="n">
        <f aca="false">MAX(0,MIN(AX221*(1+INDEX(Response_Table!$J$4:$J$21,MATCH($F221&amp;"|low",Response_Table!$A$4:$A$21,0))*$R221*INDEX(Parameters!$X$10:$AA$10,1,MATCH($E221,Parameters!$X$3:$AA$3,0))),AX221*(1+INDEX(Response_Table!$J$4:$J$21,MATCH($F221&amp;"|high",Response_Table!$A$4:$A$21,0))*$R221*INDEX(Parameters!$X$10:$AA$10,1,MATCH($E221,Parameters!$X$3:$AA$3,0))))*(1-Inputs_General!$C$22*Parameters!$F$10))</f>
        <v>0.332052252353284</v>
      </c>
      <c r="BA221" s="43" t="n">
        <f aca="false">MAX(AX221*(1+INDEX(Response_Table!$J$4:$J$21,MATCH($F221&amp;"|low",Response_Table!$A$4:$A$21,0))*$R221*INDEX(Parameters!$X$10:$AA$10,1,MATCH($E221,Parameters!$X$3:$AA$3,0))),AX221*(1+INDEX(Response_Table!$J$4:$J$21,MATCH($F221&amp;"|high",Response_Table!$A$4:$A$21,0))*$R221*INDEX(Parameters!$X$10:$AA$10,1,MATCH($E221,Parameters!$X$3:$AA$3,0))))*(1+Inputs_General!$C$22*Parameters!$F$10)</f>
        <v>0.504996956651645</v>
      </c>
      <c r="BB221" s="45" t="n">
        <f aca="false">IF(AX221=0,0,AY221/AX221-1)</f>
        <v>-0.0407855805574541</v>
      </c>
      <c r="BC221" s="46" t="n">
        <f aca="false">Parameters!$E$11*IF($N221="V",Parameters!$I$11,IF($N221="F",Parameters!$J$11,Parameters!$K$11))*(1-Parameters!$L$11*$P221)*IF($D221="V1",Parameters!$M$11,IF($D221="V2",Parameters!$N$11,Parameters!$O$11))</f>
        <v>1.1875</v>
      </c>
      <c r="BD221" s="46" t="n">
        <f aca="false">BC221*(1+INDEX(Response_Table!$K$4:$K$21,MATCH($F221&amp;"|mid",Response_Table!$A$4:$A$21,0))*$R221*INDEX(Parameters!$X$11:$AA$11,1,MATCH($E221,Parameters!$X$3:$AA$3,0)))</f>
        <v>1.10033291608076</v>
      </c>
      <c r="BE221" s="46" t="n">
        <f aca="false">MAX(0,MIN(BC221*(1+INDEX(Response_Table!$K$4:$K$21,MATCH($F221&amp;"|low",Response_Table!$A$4:$A$21,0))*$R221*INDEX(Parameters!$X$11:$AA$11,1,MATCH($E221,Parameters!$X$3:$AA$3,0))),BC221*(1+INDEX(Response_Table!$K$4:$K$21,MATCH($F221&amp;"|high",Response_Table!$A$4:$A$21,0))*$R221*INDEX(Parameters!$X$11:$AA$11,1,MATCH($E221,Parameters!$X$3:$AA$3,0))))*(1-Inputs_General!$C$22*Parameters!$F$11))</f>
        <v>0.903852793058347</v>
      </c>
      <c r="BF221" s="46" t="n">
        <f aca="false">MAX(BC221*(1+INDEX(Response_Table!$K$4:$K$21,MATCH($F221&amp;"|low",Response_Table!$A$4:$A$21,0))*$R221*INDEX(Parameters!$X$11:$AA$11,1,MATCH($E221,Parameters!$X$3:$AA$3,0))),BC221*(1+INDEX(Response_Table!$K$4:$K$21,MATCH($F221&amp;"|high",Response_Table!$A$4:$A$21,0))*$R221*INDEX(Parameters!$X$11:$AA$11,1,MATCH($E221,Parameters!$X$3:$AA$3,0))))*(1+Inputs_General!$C$22*Parameters!$F$11)</f>
        <v>1.30433242585088</v>
      </c>
      <c r="BG221" s="45" t="n">
        <f aca="false">IF(BC221=0,0,BD221/BC221-1)</f>
        <v>-0.0734038601425194</v>
      </c>
      <c r="BH221" s="46" t="n">
        <f aca="false">Parameters!$E$12*IF($N221="V",Parameters!$I$12,IF($N221="F",Parameters!$J$12,Parameters!$K$12))*(1-Parameters!$L$12*$P221)*IF($D221="V1",Parameters!$M$12,IF($D221="V2",Parameters!$N$12,Parameters!$O$12))</f>
        <v>0.4275</v>
      </c>
      <c r="BI221" s="46" t="n">
        <f aca="false">BH221*(1+INDEX(Response_Table!$L$4:$L$21,MATCH($F221&amp;"|mid",Response_Table!$A$4:$A$21,0))*$R221*INDEX(Parameters!$X$12:$AA$12,1,MATCH($E221,Parameters!$X$3:$AA$3,0)))</f>
        <v>0.402415437916637</v>
      </c>
      <c r="BJ221" s="46" t="n">
        <f aca="false">MAX(0,MIN(BH221*(1+INDEX(Response_Table!$L$4:$L$21,MATCH($F221&amp;"|low",Response_Table!$A$4:$A$21,0))*$R221*INDEX(Parameters!$X$12:$AA$12,1,MATCH($E221,Parameters!$X$3:$AA$3,0))),BH221*(1+INDEX(Response_Table!$L$4:$L$21,MATCH($F221&amp;"|high",Response_Table!$A$4:$A$21,0))*$R221*INDEX(Parameters!$X$12:$AA$12,1,MATCH($E221,Parameters!$X$3:$AA$3,0))))*(1-Inputs_General!$C$22*Parameters!$F$12))</f>
        <v>0.318656231504495</v>
      </c>
      <c r="BK221" s="46" t="n">
        <f aca="false">MAX(BH221*(1+INDEX(Response_Table!$L$4:$L$21,MATCH($F221&amp;"|low",Response_Table!$A$4:$A$21,0))*$R221*INDEX(Parameters!$X$12:$AA$12,1,MATCH($E221,Parameters!$X$3:$AA$3,0))),BH221*(1+INDEX(Response_Table!$L$4:$L$21,MATCH($F221&amp;"|high",Response_Table!$A$4:$A$21,0))*$R221*INDEX(Parameters!$X$12:$AA$12,1,MATCH($E221,Parameters!$X$3:$AA$3,0))))*(1+Inputs_General!$C$22*Parameters!$F$12)</f>
        <v>0.48869959679385</v>
      </c>
      <c r="BL221" s="45" t="n">
        <f aca="false">IF(BH221=0,0,BI221/BH221-1)</f>
        <v>-0.0586773382066979</v>
      </c>
      <c r="BM221" s="46" t="n">
        <f aca="false">Parameters!$E$13*IF($N221="V",Parameters!$I$13,IF($N221="F",Parameters!$J$13,Parameters!$K$13))*(1-Parameters!$L$13*$P221)*IF($D221="V1",Parameters!$M$13,IF($D221="V2",Parameters!$N$13,Parameters!$O$13))</f>
        <v>0.285</v>
      </c>
      <c r="BN221" s="46" t="n">
        <f aca="false">BM221*(1+INDEX(Response_Table!$M$4:$M$21,MATCH($F221&amp;"|mid",Response_Table!$A$4:$A$21,0))*$R221*INDEX(Parameters!$X$13:$AA$13,1,MATCH($E221,Parameters!$X$3:$AA$3,0)))</f>
        <v>0.286761779523819</v>
      </c>
      <c r="BO221" s="46" t="n">
        <f aca="false">MAX(0,MIN(BM221*(1+INDEX(Response_Table!$M$4:$M$21,MATCH($F221&amp;"|low",Response_Table!$A$4:$A$21,0))*$R221*INDEX(Parameters!$X$13:$AA$13,1,MATCH($E221,Parameters!$X$3:$AA$3,0))),BM221*(1+INDEX(Response_Table!$M$4:$M$21,MATCH($F221&amp;"|high",Response_Table!$A$4:$A$21,0))*$R221*INDEX(Parameters!$X$13:$AA$13,1,MATCH($E221,Parameters!$X$3:$AA$3,0))))*(1-Inputs_General!$C$22*Parameters!$F$13))</f>
        <v>0.228320950123391</v>
      </c>
      <c r="BP221" s="46" t="n">
        <f aca="false">MAX(BM221*(1+INDEX(Response_Table!$M$4:$M$21,MATCH($F221&amp;"|low",Response_Table!$A$4:$A$21,0))*$R221*INDEX(Parameters!$X$13:$AA$13,1,MATCH($E221,Parameters!$X$3:$AA$3,0))),BM221*(1+INDEX(Response_Table!$M$4:$M$21,MATCH($F221&amp;"|high",Response_Table!$A$4:$A$21,0))*$R221*INDEX(Parameters!$X$13:$AA$13,1,MATCH($E221,Parameters!$X$3:$AA$3,0))))*(1+Inputs_General!$C$22*Parameters!$F$13)</f>
        <v>0.345288853549971</v>
      </c>
      <c r="BQ221" s="45" t="n">
        <f aca="false">IF(BM221=0,0,BN221/BM221-1)</f>
        <v>0.0061816825397174</v>
      </c>
      <c r="BR221" s="44" t="n">
        <f aca="false">Parameters!$E$14*IF($N221="V",Parameters!$I$14,IF($N221="F",Parameters!$J$14,Parameters!$K$14))*(1-Parameters!$L$14*$P221)*IF($D221="V1",Parameters!$M$14,IF($D221="V2",Parameters!$N$14,Parameters!$O$14))*INDEX(Context!$AC$4:$AC$51,$K221)</f>
        <v>23.1</v>
      </c>
      <c r="BS221" s="44" t="n">
        <f aca="false">BR221*(1+INDEX(Response_Table!$N$4:$N$21,MATCH($F221&amp;"|mid",Response_Table!$A$4:$A$21,0))*$R221*INDEX(Parameters!$X$14:$AA$14,1,MATCH($E221,Parameters!$X$3:$AA$3,0)))</f>
        <v>24.5786689228088</v>
      </c>
      <c r="BT221" s="44" t="n">
        <f aca="false">MAX(0,MIN(BR221*(1+INDEX(Response_Table!$N$4:$N$21,MATCH($F221&amp;"|low",Response_Table!$A$4:$A$21,0))*$R221*INDEX(Parameters!$X$14:$AA$14,1,MATCH($E221,Parameters!$X$3:$AA$3,0))),BR221*(1+INDEX(Response_Table!$N$4:$N$21,MATCH($F221&amp;"|high",Response_Table!$A$4:$A$21,0))*$R221*INDEX(Parameters!$X$14:$AA$14,1,MATCH($E221,Parameters!$X$3:$AA$3,0))))*(1-Inputs_General!$C$22*Parameters!$F$14))</f>
        <v>12.2783589707869</v>
      </c>
      <c r="BU221" s="44" t="n">
        <f aca="false">MAX(BR221*(1+INDEX(Response_Table!$N$4:$N$21,MATCH($F221&amp;"|low",Response_Table!$A$4:$A$21,0))*$R221*INDEX(Parameters!$X$14:$AA$14,1,MATCH($E221,Parameters!$X$3:$AA$3,0))),BR221*(1+INDEX(Response_Table!$N$4:$N$21,MATCH($F221&amp;"|high",Response_Table!$A$4:$A$21,0))*$R221*INDEX(Parameters!$X$14:$AA$14,1,MATCH($E221,Parameters!$X$3:$AA$3,0))))*(1+Inputs_General!$C$22*Parameters!$F$14)</f>
        <v>37.1823697527641</v>
      </c>
      <c r="BV221" s="45" t="n">
        <f aca="false">IF(BR221=0,0,BS221/BR221-1)</f>
        <v>0.064011641680034</v>
      </c>
      <c r="BW221" s="43" t="n">
        <f aca="false">Parameters!$E$15*IF($N221="V",Parameters!$I$15,IF($N221="F",Parameters!$J$15,Parameters!$K$15))*(1-Parameters!$L$15*$P221)*IF($D221="V1",Parameters!$M$15,IF($D221="V2",Parameters!$N$15,Parameters!$O$15))</f>
        <v>11.232</v>
      </c>
      <c r="BX221" s="43" t="n">
        <f aca="false">BW221*(1+INDEX(Response_Table!$O$4:$O$21,MATCH($F221&amp;"|mid",Response_Table!$A$4:$A$21,0))*$R221*INDEX(Parameters!$X$15:$AA$15,1,MATCH($E221,Parameters!$X$3:$AA$3,0)))</f>
        <v>11.0522553101625</v>
      </c>
      <c r="BY221" s="43" t="n">
        <f aca="false">MAX(0,MIN(BW221*(1+INDEX(Response_Table!$O$4:$O$21,MATCH($F221&amp;"|low",Response_Table!$A$4:$A$21,0))*$R221*INDEX(Parameters!$X$15:$AA$15,1,MATCH($E221,Parameters!$X$3:$AA$3,0))),BW221*(1+INDEX(Response_Table!$O$4:$O$21,MATCH($F221&amp;"|high",Response_Table!$A$4:$A$21,0))*$R221*INDEX(Parameters!$X$15:$AA$15,1,MATCH($E221,Parameters!$X$3:$AA$3,0))))*(1-Inputs_General!$C$22*Parameters!$F$15))</f>
        <v>8.83956774498149</v>
      </c>
      <c r="BZ221" s="43" t="n">
        <f aca="false">MAX(BW221*(1+INDEX(Response_Table!$O$4:$O$21,MATCH($F221&amp;"|low",Response_Table!$A$4:$A$21,0))*$R221*INDEX(Parameters!$X$15:$AA$15,1,MATCH($E221,Parameters!$X$3:$AA$3,0))),BW221*(1+INDEX(Response_Table!$O$4:$O$21,MATCH($F221&amp;"|high",Response_Table!$A$4:$A$21,0))*$R221*INDEX(Parameters!$X$15:$AA$15,1,MATCH($E221,Parameters!$X$3:$AA$3,0))))*(1+Inputs_General!$C$22*Parameters!$F$15)</f>
        <v>13.2830355490836</v>
      </c>
      <c r="CA221" s="45" t="n">
        <f aca="false">IF(BW221=0,0,BX221/BW221-1)</f>
        <v>-0.0160029104200083</v>
      </c>
      <c r="CB221" s="46" t="n">
        <f aca="false">BD221+BI221</f>
        <v>1.5027483539974</v>
      </c>
      <c r="CC221" s="43" t="n">
        <f aca="false">BD221/BI221</f>
        <v>2.73432083465123</v>
      </c>
      <c r="CD221" s="46" t="n">
        <f aca="false">BN221/CB221</f>
        <v>0.190824883461703</v>
      </c>
      <c r="CE221" s="43" t="n">
        <f aca="false">AE221/AO221</f>
        <v>3.92434717679384</v>
      </c>
      <c r="CF221" s="44" t="n">
        <f aca="false">AE221/AJ221</f>
        <v>37.8028712088283</v>
      </c>
      <c r="CG221" s="44" t="n">
        <f aca="false">INDEX(Context!$V$4:$V$51,$K221)</f>
        <v>22.6257142857143</v>
      </c>
      <c r="CH221" s="44" t="n">
        <f aca="false">INDEX(Context!$Y$4:$Y$51,$K221)</f>
        <v>21.3177449518561</v>
      </c>
      <c r="CI221" s="44" t="n">
        <f aca="false">INDEX(Context!$Z$4:$Z$51,$K221)</f>
        <v>26.6257142857143</v>
      </c>
      <c r="CJ221" s="43" t="n">
        <f aca="false">INDEX(Context!$AA$4:$AA$51,$K221)</f>
        <v>0.12</v>
      </c>
      <c r="CK221" s="43" t="n">
        <f aca="false">MAX(0,MIN(1,1-(1-CJ221)*AO221/AN221))</f>
        <v>0.201991872591464</v>
      </c>
      <c r="CL221" s="44" t="n">
        <f aca="false">CH221+CK221*(CI221-CH221)</f>
        <v>22.3899116172601</v>
      </c>
      <c r="CM221" s="44" t="n">
        <f aca="false">CH221+MAX(0,MIN(1,1-(1-CJ221)*AQ221/AN221))*(CI221-CH221)</f>
        <v>21.3177449518561</v>
      </c>
      <c r="CN221" s="44" t="n">
        <f aca="false">CH221+MAX(0,MIN(1,1-(1-CJ221)*AP221/AN221))*(CI221-CH221)</f>
        <v>23.7382449383393</v>
      </c>
      <c r="CO221" s="44" t="n">
        <f aca="false">CL221-CG221</f>
        <v>-0.235802668454149</v>
      </c>
      <c r="CP221" s="44" t="n">
        <f aca="false">CL221-(CH221+CJ221*(CI221-CH221))</f>
        <v>0.435210345341101</v>
      </c>
      <c r="CQ221" s="46" t="n">
        <f aca="false">CL221/CG221</f>
        <v>0.98957811163544</v>
      </c>
      <c r="CR221" s="43" t="n">
        <f aca="false">IF(CL221-CH221&lt;=0,"n/a",(CI221-CL221)/(CL221-CH221))</f>
        <v>3.95069423918129</v>
      </c>
      <c r="CS221" s="43" t="n">
        <f aca="false">IF(CI221-CL221&lt;=0,"n/a",(CL221-CH221)/(CI221-CL221))</f>
        <v>0.253120069400064</v>
      </c>
      <c r="CT221" s="43" t="n">
        <f aca="false">Inputs_General!$C$23+Inputs_General!$C$24*$I221</f>
        <v>0.76</v>
      </c>
      <c r="CU221" s="44" t="n">
        <f aca="false">3.29*CT221</f>
        <v>2.5004</v>
      </c>
    </row>
    <row r="222" customFormat="false" ht="15" hidden="false" customHeight="false" outlineLevel="0" collapsed="false">
      <c r="A222" s="9" t="str">
        <f aca="false">B222&amp;"|"&amp;E222&amp;"|"&amp;F222</f>
        <v>D4V1|11/02/2026|Moderate</v>
      </c>
      <c r="B222" s="7" t="s">
        <v>352</v>
      </c>
      <c r="C222" s="9" t="s">
        <v>133</v>
      </c>
      <c r="D222" s="9" t="s">
        <v>142</v>
      </c>
      <c r="E222" s="9" t="s">
        <v>158</v>
      </c>
      <c r="F222" s="7" t="s">
        <v>281</v>
      </c>
      <c r="G222" s="9" t="s">
        <v>282</v>
      </c>
      <c r="H222" s="41" t="n">
        <f aca="false">INDEX(Severity_Classes!$C$4:$C$9,MATCH(F222,Severity_Classes!$A$4:$A$9,0))</f>
        <v>0.11</v>
      </c>
      <c r="I222" s="41" t="n">
        <f aca="false">INDEX(Severity_Classes!$D$4:$D$9,MATCH(F222,Severity_Classes!$A$4:$A$9,0))</f>
        <v>0.18</v>
      </c>
      <c r="J222" s="41" t="n">
        <f aca="false">INDEX(Severity_Classes!$E$4:$E$9,MATCH(F222,Severity_Classes!$A$4:$A$9,0))</f>
        <v>0.25</v>
      </c>
      <c r="K222" s="42" t="n">
        <f aca="false">MATCH(B222&amp;"|"&amp;E222,Context!$A$4:$A$51,0)</f>
        <v>37</v>
      </c>
      <c r="L222" s="42" t="n">
        <f aca="false">INDEX(Context!$H$4:$H$51,K222)</f>
        <v>33</v>
      </c>
      <c r="M222" s="42" t="n">
        <f aca="false">INDEX(Context!$I$4:$I$51,K222)</f>
        <v>6</v>
      </c>
      <c r="N222" s="9" t="str">
        <f aca="false">INDEX(Context!$L$4:$L$51,K222)</f>
        <v>V</v>
      </c>
      <c r="O222" s="9" t="str">
        <f aca="false">INDEX(Context!$M$4:$M$51,K222)</f>
        <v>3rd fully expanded leaf from top</v>
      </c>
      <c r="P222" s="43" t="n">
        <f aca="false">INDEX(Context!$R$4:$R$51,K222)</f>
        <v>0</v>
      </c>
      <c r="Q222" s="43" t="n">
        <f aca="false">INDEX(Context!$U$4:$U$51,K222)</f>
        <v>0.937791824040773</v>
      </c>
      <c r="R222" s="43" t="n">
        <f aca="false">INDEX(Context!$AD$4:$AD$51,K222)</f>
        <v>1</v>
      </c>
      <c r="S222" s="9" t="str">
        <f aca="false">INDEX(Context!$AI$4:$AN$51,K222,MATCH(F222,Severity_Classes!$A$4:$A$9,0))</f>
        <v>Unlikely (only via pre-inoculation natural infection)</v>
      </c>
      <c r="T222" s="44" t="n">
        <f aca="false">Parameters!$E$4*IF($N222="V",Parameters!$I$4,IF($N222="F",Parameters!$J$4,Parameters!$K$4))*(1-Parameters!$L$4*$P222)*IF($D222="V1",Parameters!$M$4,IF($D222="V2",Parameters!$N$4,Parameters!$O$4))</f>
        <v>86</v>
      </c>
      <c r="U222" s="44" t="n">
        <f aca="false">MIN(100,T222*(1+INDEX(Response_Table!$E$4:$E$21,MATCH($F222&amp;"|mid",Response_Table!$A$4:$A$21,0))*$R222*INDEX(Parameters!$X$4:$AA$4,1,MATCH($E222,Parameters!$X$3:$AA$3,0))))</f>
        <v>84.0439331548254</v>
      </c>
      <c r="V222" s="44" t="n">
        <f aca="false">MAX(0,MIN(T222*(1+INDEX(Response_Table!$E$4:$E$21,MATCH($F222&amp;"|low",Response_Table!$A$4:$A$21,0))*$R222*INDEX(Parameters!$X$4:$AA$4,1,MATCH($E222,Parameters!$X$3:$AA$3,0))),T222*(1+INDEX(Response_Table!$E$4:$E$21,MATCH($F222&amp;"|high",Response_Table!$A$4:$A$21,0))*$R222*INDEX(Parameters!$X$4:$AA$4,1,MATCH($E222,Parameters!$X$3:$AA$3,0))))*(1-Inputs_General!$C$22*Parameters!$F$4))</f>
        <v>77.1449834747202</v>
      </c>
      <c r="W222" s="44" t="n">
        <f aca="false">MIN(100,MAX(T222*(1+INDEX(Response_Table!$E$4:$E$21,MATCH($F222&amp;"|low",Response_Table!$A$4:$A$21,0))*$R222*INDEX(Parameters!$X$4:$AA$4,1,MATCH($E222,Parameters!$X$3:$AA$3,0))),T222*(1+INDEX(Response_Table!$E$4:$E$21,MATCH($F222&amp;"|high",Response_Table!$A$4:$A$21,0))*$R222*INDEX(Parameters!$X$4:$AA$4,1,MATCH($E222,Parameters!$X$3:$AA$3,0))))*(1+Inputs_General!$C$22*Parameters!$F$4))</f>
        <v>90.6752138875645</v>
      </c>
      <c r="X222" s="45" t="n">
        <f aca="false">IF(T222=0,0,U222/T222-1)</f>
        <v>-0.0227449633159834</v>
      </c>
      <c r="Y222" s="44" t="n">
        <f aca="false">Parameters!$E$5*IF($N222="V",Parameters!$I$5,IF($N222="F",Parameters!$J$5,Parameters!$K$5))*(1-Parameters!$L$5*$P222)*IF($D222="V1",Parameters!$M$5,IF($D222="V2",Parameters!$N$5,Parameters!$O$5))</f>
        <v>72</v>
      </c>
      <c r="Z222" s="44" t="n">
        <f aca="false">MIN(100,Y222*(1+INDEX(Response_Table!$F$4:$F$21,MATCH($F222&amp;"|mid",Response_Table!$A$4:$A$21,0))*$R222*INDEX(Parameters!$X$5:$AA$5,1,MATCH($E222,Parameters!$X$3:$AA$3,0))))</f>
        <v>66.3429602737958</v>
      </c>
      <c r="AA222" s="44" t="n">
        <f aca="false">MAX(0,MIN(Y222*(1+INDEX(Response_Table!$F$4:$F$21,MATCH($F222&amp;"|low",Response_Table!$A$4:$A$21,0))*$R222*INDEX(Parameters!$X$5:$AA$5,1,MATCH($E222,Parameters!$X$3:$AA$3,0))),Y222*(1+INDEX(Response_Table!$F$4:$F$21,MATCH($F222&amp;"|high",Response_Table!$A$4:$A$21,0))*$R222*INDEX(Parameters!$X$5:$AA$5,1,MATCH($E222,Parameters!$X$3:$AA$3,0))))*(1-Inputs_General!$C$22*Parameters!$F$5))</f>
        <v>54.9989444833725</v>
      </c>
      <c r="AB222" s="44" t="n">
        <f aca="false">MIN(100,MAX(Y222*(1+INDEX(Response_Table!$F$4:$F$21,MATCH($F222&amp;"|low",Response_Table!$A$4:$A$21,0))*$R222*INDEX(Parameters!$X$5:$AA$5,1,MATCH($E222,Parameters!$X$3:$AA$3,0))),Y222*(1+INDEX(Response_Table!$F$4:$F$21,MATCH($F222&amp;"|high",Response_Table!$A$4:$A$21,0))*$R222*INDEX(Parameters!$X$5:$AA$5,1,MATCH($E222,Parameters!$X$3:$AA$3,0))))*(1+Inputs_General!$C$22*Parameters!$F$5))</f>
        <v>77.3949608923929</v>
      </c>
      <c r="AC222" s="45" t="n">
        <f aca="false">IF(Y222=0,0,Z222/Y222-1)</f>
        <v>-0.0785699961972806</v>
      </c>
      <c r="AD222" s="44" t="n">
        <f aca="false">Parameters!$E$6*IF($N222="V",Parameters!$I$6,IF($N222="F",Parameters!$J$6,Parameters!$K$6))*(1-Parameters!$L$6*$P222)*IF($D222="V1",Parameters!$M$6,IF($D222="V2",Parameters!$N$6,Parameters!$O$6))</f>
        <v>19</v>
      </c>
      <c r="AE222" s="44" t="n">
        <f aca="false">AD222*(1+INDEX(Response_Table!$G$4:$G$21,MATCH($F222&amp;"|mid",Response_Table!$A$4:$A$21,0))*$R222*INDEX(Parameters!$X$6:$AA$6,1,MATCH($E222,Parameters!$X$3:$AA$3,0)))</f>
        <v>12.7634933456528</v>
      </c>
      <c r="AF222" s="44" t="n">
        <f aca="false">MAX(0,MIN(AD222*(1+INDEX(Response_Table!$G$4:$G$21,MATCH($F222&amp;"|low",Response_Table!$A$4:$A$21,0))*$R222*INDEX(Parameters!$X$6:$AA$6,1,MATCH($E222,Parameters!$X$3:$AA$3,0))),AD222*(1+INDEX(Response_Table!$G$4:$G$21,MATCH($F222&amp;"|high",Response_Table!$A$4:$A$21,0))*$R222*INDEX(Parameters!$X$6:$AA$6,1,MATCH($E222,Parameters!$X$3:$AA$3,0))))*(1-Inputs_General!$C$22*Parameters!$F$6))</f>
        <v>9.1454105822473</v>
      </c>
      <c r="AG222" s="44" t="n">
        <f aca="false">MAX(AD222*(1+INDEX(Response_Table!$G$4:$G$21,MATCH($F222&amp;"|low",Response_Table!$A$4:$A$21,0))*$R222*INDEX(Parameters!$X$6:$AA$6,1,MATCH($E222,Parameters!$X$3:$AA$3,0))),AD222*(1+INDEX(Response_Table!$G$4:$G$21,MATCH($F222&amp;"|high",Response_Table!$A$4:$A$21,0))*$R222*INDEX(Parameters!$X$6:$AA$6,1,MATCH($E222,Parameters!$X$3:$AA$3,0))))*(1+Inputs_General!$C$22*Parameters!$F$6)</f>
        <v>17.5131370788554</v>
      </c>
      <c r="AH222" s="45" t="n">
        <f aca="false">IF(AD222=0,0,AE222/AD222-1)</f>
        <v>-0.328237192334065</v>
      </c>
      <c r="AI222" s="46" t="n">
        <f aca="false">Parameters!$E$7*IF($N222="V",Parameters!$I$7,IF($N222="F",Parameters!$J$7,Parameters!$K$7))*(1-Parameters!$L$7*$P222)*IF($D222="V1",Parameters!$M$7,IF($D222="V2",Parameters!$N$7,Parameters!$O$7))*POWER($Q222/Inputs_General!$C$26,-Inputs_General!$C$25)</f>
        <v>0.464685683730118</v>
      </c>
      <c r="AJ222" s="46" t="n">
        <f aca="false">AI222*(1+INDEX(Response_Table!$H$4:$H$21,MATCH($F222&amp;"|mid",Response_Table!$A$4:$A$21,0))*$R222*INDEX(Parameters!$X$7:$AA$7,1,MATCH($E222,Parameters!$X$3:$AA$3,0)))</f>
        <v>0.363862408640865</v>
      </c>
      <c r="AK222" s="46" t="n">
        <f aca="false">MAX(0,MIN(AI222*(1+INDEX(Response_Table!$H$4:$H$21,MATCH($F222&amp;"|low",Response_Table!$A$4:$A$21,0))*$R222*INDEX(Parameters!$X$7:$AA$7,1,MATCH($E222,Parameters!$X$3:$AA$3,0))),AI222*(1+INDEX(Response_Table!$H$4:$H$21,MATCH($F222&amp;"|high",Response_Table!$A$4:$A$21,0))*$R222*INDEX(Parameters!$X$7:$AA$7,1,MATCH($E222,Parameters!$X$3:$AA$3,0))))*(1-Inputs_General!$C$22*Parameters!$F$7))</f>
        <v>0.23734815006715</v>
      </c>
      <c r="AL222" s="46" t="n">
        <f aca="false">MAX(AI222*(1+INDEX(Response_Table!$H$4:$H$21,MATCH($F222&amp;"|low",Response_Table!$A$4:$A$21,0))*$R222*INDEX(Parameters!$X$7:$AA$7,1,MATCH($E222,Parameters!$X$3:$AA$3,0))),AI222*(1+INDEX(Response_Table!$H$4:$H$21,MATCH($F222&amp;"|high",Response_Table!$A$4:$A$21,0))*$R222*INDEX(Parameters!$X$7:$AA$7,1,MATCH($E222,Parameters!$X$3:$AA$3,0))))*(1+Inputs_General!$C$22*Parameters!$F$7)</f>
        <v>0.514250204889412</v>
      </c>
      <c r="AM222" s="45" t="n">
        <f aca="false">IF(AI222=0,0,AJ222/AI222-1)</f>
        <v>-0.216970908765525</v>
      </c>
      <c r="AN222" s="43" t="n">
        <f aca="false">AI222*$Q222/Inputs_General!$C$13*1000</f>
        <v>4.38850387664553</v>
      </c>
      <c r="AO222" s="43" t="n">
        <f aca="false">AJ222*$Q222/Inputs_General!$C$13*1000*(1+Inputs_General!$C$21*$I222)</f>
        <v>3.59096088151711</v>
      </c>
      <c r="AP222" s="43" t="n">
        <f aca="false">AK222*$Q222/Inputs_General!$C$13*1000*(1+Inputs_General!$C$21*$H222)</f>
        <v>2.3031640617849</v>
      </c>
      <c r="AQ222" s="43" t="n">
        <f aca="false">AL222*$Q222/Inputs_General!$C$13*1000*(1+Inputs_General!$C$21*$J222)</f>
        <v>5.16012955700019</v>
      </c>
      <c r="AR222" s="45" t="n">
        <f aca="false">IF(AN222=0,0,AO222/AN222-1)</f>
        <v>-0.181734599659974</v>
      </c>
      <c r="AS222" s="42" t="n">
        <f aca="false">Parameters!$E$9*IF($N222="V",Parameters!$I$9,IF($N222="F",Parameters!$J$9,Parameters!$K$9))*(1-Parameters!$L$9*$P222)*IF($D222="V1",Parameters!$M$9,IF($D222="V2",Parameters!$N$9,Parameters!$O$9))</f>
        <v>285</v>
      </c>
      <c r="AT222" s="42" t="n">
        <f aca="false">AS222*(1+INDEX(Response_Table!$I$4:$I$21,MATCH($F222&amp;"|mid",Response_Table!$A$4:$A$21,0))*$R222*INDEX(Parameters!$X$9:$AA$9,1,MATCH($E222,Parameters!$X$3:$AA$3,0)))</f>
        <v>320.106145692338</v>
      </c>
      <c r="AU222" s="42" t="n">
        <f aca="false">MAX(0,MIN(AS222*(1+INDEX(Response_Table!$I$4:$I$21,MATCH($F222&amp;"|low",Response_Table!$A$4:$A$21,0))*$R222*INDEX(Parameters!$X$9:$AA$9,1,MATCH($E222,Parameters!$X$3:$AA$3,0))),AS222*(1+INDEX(Response_Table!$I$4:$I$21,MATCH($F222&amp;"|high",Response_Table!$A$4:$A$21,0))*$R222*INDEX(Parameters!$X$9:$AA$9,1,MATCH($E222,Parameters!$X$3:$AA$3,0))))*(1-Inputs_General!$C$22*Parameters!$F$9))</f>
        <v>278.815270199559</v>
      </c>
      <c r="AV222" s="42" t="n">
        <f aca="false">MAX(AS222*(1+INDEX(Response_Table!$I$4:$I$21,MATCH($F222&amp;"|low",Response_Table!$A$4:$A$21,0))*$R222*INDEX(Parameters!$X$9:$AA$9,1,MATCH($E222,Parameters!$X$3:$AA$3,0))),AS222*(1+INDEX(Response_Table!$I$4:$I$21,MATCH($F222&amp;"|high",Response_Table!$A$4:$A$21,0))*$R222*INDEX(Parameters!$X$9:$AA$9,1,MATCH($E222,Parameters!$X$3:$AA$3,0))))*(1+Inputs_General!$C$22*Parameters!$F$9)</f>
        <v>360.63404268617</v>
      </c>
      <c r="AW222" s="45" t="n">
        <f aca="false">IF(AS222=0,0,AT222/AS222-1)</f>
        <v>0.123179458569607</v>
      </c>
      <c r="AX222" s="43" t="n">
        <f aca="false">INDEX(Context!$AB$4:$AB$51,$K222)</f>
        <v>0.435390007029591</v>
      </c>
      <c r="AY222" s="43" t="n">
        <f aca="false">AX222*(1+INDEX(Response_Table!$J$4:$J$21,MATCH($F222&amp;"|mid",Response_Table!$A$4:$A$21,0))*$R222*INDEX(Parameters!$X$10:$AA$10,1,MATCH($E222,Parameters!$X$3:$AA$3,0)))</f>
        <v>0.399891063666728</v>
      </c>
      <c r="AZ222" s="43" t="n">
        <f aca="false">MAX(0,MIN(AX222*(1+INDEX(Response_Table!$J$4:$J$21,MATCH($F222&amp;"|low",Response_Table!$A$4:$A$21,0))*$R222*INDEX(Parameters!$X$10:$AA$10,1,MATCH($E222,Parameters!$X$3:$AA$3,0))),AX222*(1+INDEX(Response_Table!$J$4:$J$21,MATCH($F222&amp;"|high",Response_Table!$A$4:$A$21,0))*$R222*INDEX(Parameters!$X$10:$AA$10,1,MATCH($E222,Parameters!$X$3:$AA$3,0))))*(1-Inputs_General!$C$22*Parameters!$F$10))</f>
        <v>0.312903993879229</v>
      </c>
      <c r="BA222" s="43" t="n">
        <f aca="false">MAX(AX222*(1+INDEX(Response_Table!$J$4:$J$21,MATCH($F222&amp;"|low",Response_Table!$A$4:$A$21,0))*$R222*INDEX(Parameters!$X$10:$AA$10,1,MATCH($E222,Parameters!$X$3:$AA$3,0))),AX222*(1+INDEX(Response_Table!$J$4:$J$21,MATCH($F222&amp;"|high",Response_Table!$A$4:$A$21,0))*$R222*INDEX(Parameters!$X$10:$AA$10,1,MATCH($E222,Parameters!$X$3:$AA$3,0))))*(1+Inputs_General!$C$22*Parameters!$F$10)</f>
        <v>0.493133660516802</v>
      </c>
      <c r="BB222" s="45" t="n">
        <f aca="false">IF(AX222=0,0,AY222/AX222-1)</f>
        <v>-0.0815336658851009</v>
      </c>
      <c r="BC222" s="46" t="n">
        <f aca="false">Parameters!$E$11*IF($N222="V",Parameters!$I$11,IF($N222="F",Parameters!$J$11,Parameters!$K$11))*(1-Parameters!$L$11*$P222)*IF($D222="V1",Parameters!$M$11,IF($D222="V2",Parameters!$N$11,Parameters!$O$11))</f>
        <v>1.1875</v>
      </c>
      <c r="BD222" s="46" t="n">
        <f aca="false">BC222*(1+INDEX(Response_Table!$K$4:$K$21,MATCH($F222&amp;"|mid",Response_Table!$A$4:$A$21,0))*$R222*INDEX(Parameters!$X$11:$AA$11,1,MATCH($E222,Parameters!$X$3:$AA$3,0)))</f>
        <v>1.01851434994315</v>
      </c>
      <c r="BE222" s="46" t="n">
        <f aca="false">MAX(0,MIN(BC222*(1+INDEX(Response_Table!$K$4:$K$21,MATCH($F222&amp;"|low",Response_Table!$A$4:$A$21,0))*$R222*INDEX(Parameters!$X$11:$AA$11,1,MATCH($E222,Parameters!$X$3:$AA$3,0))),BC222*(1+INDEX(Response_Table!$K$4:$K$21,MATCH($F222&amp;"|high",Response_Table!$A$4:$A$21,0))*$R222*INDEX(Parameters!$X$11:$AA$11,1,MATCH($E222,Parameters!$X$3:$AA$3,0))))*(1-Inputs_General!$C$22*Parameters!$F$11))</f>
        <v>0.814591944267851</v>
      </c>
      <c r="BF222" s="46" t="n">
        <f aca="false">MAX(BC222*(1+INDEX(Response_Table!$K$4:$K$21,MATCH($F222&amp;"|low",Response_Table!$A$4:$A$21,0))*$R222*INDEX(Parameters!$X$11:$AA$11,1,MATCH($E222,Parameters!$X$3:$AA$3,0))),BC222*(1+INDEX(Response_Table!$K$4:$K$21,MATCH($F222&amp;"|high",Response_Table!$A$4:$A$21,0))*$R222*INDEX(Parameters!$X$11:$AA$11,1,MATCH($E222,Parameters!$X$3:$AA$3,0))))*(1+Inputs_General!$C$22*Parameters!$F$11)</f>
        <v>1.24949065063162</v>
      </c>
      <c r="BG222" s="45" t="n">
        <f aca="false">IF(BC222=0,0,BD222/BC222-1)</f>
        <v>-0.142303705311033</v>
      </c>
      <c r="BH222" s="46" t="n">
        <f aca="false">Parameters!$E$12*IF($N222="V",Parameters!$I$12,IF($N222="F",Parameters!$J$12,Parameters!$K$12))*(1-Parameters!$L$12*$P222)*IF($D222="V1",Parameters!$M$12,IF($D222="V2",Parameters!$N$12,Parameters!$O$12))</f>
        <v>0.4275</v>
      </c>
      <c r="BI222" s="46" t="n">
        <f aca="false">BH222*(1+INDEX(Response_Table!$L$4:$L$21,MATCH($F222&amp;"|mid",Response_Table!$A$4:$A$21,0))*$R222*INDEX(Parameters!$X$12:$AA$12,1,MATCH($E222,Parameters!$X$3:$AA$3,0)))</f>
        <v>0.378446841419717</v>
      </c>
      <c r="BJ222" s="46" t="n">
        <f aca="false">MAX(0,MIN(BH222*(1+INDEX(Response_Table!$L$4:$L$21,MATCH($F222&amp;"|low",Response_Table!$A$4:$A$21,0))*$R222*INDEX(Parameters!$X$12:$AA$12,1,MATCH($E222,Parameters!$X$3:$AA$3,0))),BH222*(1+INDEX(Response_Table!$L$4:$L$21,MATCH($F222&amp;"|high",Response_Table!$A$4:$A$21,0))*$R222*INDEX(Parameters!$X$12:$AA$12,1,MATCH($E222,Parameters!$X$3:$AA$3,0))))*(1-Inputs_General!$C$22*Parameters!$F$12))</f>
        <v>0.29332629652672</v>
      </c>
      <c r="BK222" s="46" t="n">
        <f aca="false">MAX(BH222*(1+INDEX(Response_Table!$L$4:$L$21,MATCH($F222&amp;"|low",Response_Table!$A$4:$A$21,0))*$R222*INDEX(Parameters!$X$12:$AA$12,1,MATCH($E222,Parameters!$X$3:$AA$3,0))),BH222*(1+INDEX(Response_Table!$L$4:$L$21,MATCH($F222&amp;"|high",Response_Table!$A$4:$A$21,0))*$R222*INDEX(Parameters!$X$12:$AA$12,1,MATCH($E222,Parameters!$X$3:$AA$3,0))))*(1+Inputs_General!$C$22*Parameters!$F$12)</f>
        <v>0.472321580168239</v>
      </c>
      <c r="BL222" s="45" t="n">
        <f aca="false">IF(BH222=0,0,BI222/BH222-1)</f>
        <v>-0.114744230597153</v>
      </c>
      <c r="BM222" s="46" t="n">
        <f aca="false">Parameters!$E$13*IF($N222="V",Parameters!$I$13,IF($N222="F",Parameters!$J$13,Parameters!$K$13))*(1-Parameters!$L$13*$P222)*IF($D222="V1",Parameters!$M$13,IF($D222="V2",Parameters!$N$13,Parameters!$O$13))</f>
        <v>0.285</v>
      </c>
      <c r="BN222" s="46" t="n">
        <f aca="false">BM222*(1+INDEX(Response_Table!$M$4:$M$21,MATCH($F222&amp;"|mid",Response_Table!$A$4:$A$21,0))*$R222*INDEX(Parameters!$X$13:$AA$13,1,MATCH($E222,Parameters!$X$3:$AA$3,0)))</f>
        <v>0.272741938314924</v>
      </c>
      <c r="BO222" s="46" t="n">
        <f aca="false">MAX(0,MIN(BM222*(1+INDEX(Response_Table!$M$4:$M$21,MATCH($F222&amp;"|low",Response_Table!$A$4:$A$21,0))*$R222*INDEX(Parameters!$X$13:$AA$13,1,MATCH($E222,Parameters!$X$3:$AA$3,0))),BM222*(1+INDEX(Response_Table!$M$4:$M$21,MATCH($F222&amp;"|high",Response_Table!$A$4:$A$21,0))*$R222*INDEX(Parameters!$X$13:$AA$13,1,MATCH($E222,Parameters!$X$3:$AA$3,0))))*(1-Inputs_General!$C$22*Parameters!$F$13))</f>
        <v>0.21098259652342</v>
      </c>
      <c r="BP222" s="46" t="n">
        <f aca="false">MAX(BM222*(1+INDEX(Response_Table!$M$4:$M$21,MATCH($F222&amp;"|low",Response_Table!$A$4:$A$21,0))*$R222*INDEX(Parameters!$X$13:$AA$13,1,MATCH($E222,Parameters!$X$3:$AA$3,0))),BM222*(1+INDEX(Response_Table!$M$4:$M$21,MATCH($F222&amp;"|high",Response_Table!$A$4:$A$21,0))*$R222*INDEX(Parameters!$X$13:$AA$13,1,MATCH($E222,Parameters!$X$3:$AA$3,0))))*(1+Inputs_General!$C$22*Parameters!$F$13)</f>
        <v>0.339058154053733</v>
      </c>
      <c r="BQ222" s="45" t="n">
        <f aca="false">IF(BM222=0,0,BN222/BM222-1)</f>
        <v>-0.0430107427546522</v>
      </c>
      <c r="BR222" s="44" t="n">
        <f aca="false">Parameters!$E$14*IF($N222="V",Parameters!$I$14,IF($N222="F",Parameters!$J$14,Parameters!$K$14))*(1-Parameters!$L$14*$P222)*IF($D222="V1",Parameters!$M$14,IF($D222="V2",Parameters!$N$14,Parameters!$O$14))*INDEX(Context!$AC$4:$AC$51,$K222)</f>
        <v>23.1</v>
      </c>
      <c r="BS222" s="44" t="n">
        <f aca="false">BR222*(1+INDEX(Response_Table!$N$4:$N$21,MATCH($F222&amp;"|mid",Response_Table!$A$4:$A$21,0))*$R222*INDEX(Parameters!$X$14:$AA$14,1,MATCH($E222,Parameters!$X$3:$AA$3,0)))</f>
        <v>25.9915546110482</v>
      </c>
      <c r="BT222" s="44" t="n">
        <f aca="false">MAX(0,MIN(BR222*(1+INDEX(Response_Table!$N$4:$N$21,MATCH($F222&amp;"|low",Response_Table!$A$4:$A$21,0))*$R222*INDEX(Parameters!$X$14:$AA$14,1,MATCH($E222,Parameters!$X$3:$AA$3,0))),BR222*(1+INDEX(Response_Table!$N$4:$N$21,MATCH($F222&amp;"|high",Response_Table!$A$4:$A$21,0))*$R222*INDEX(Parameters!$X$14:$AA$14,1,MATCH($E222,Parameters!$X$3:$AA$3,0))))*(1-Inputs_General!$C$22*Parameters!$F$14))</f>
        <v>12.6867403440859</v>
      </c>
      <c r="BU222" s="44" t="n">
        <f aca="false">MAX(BR222*(1+INDEX(Response_Table!$N$4:$N$21,MATCH($F222&amp;"|low",Response_Table!$A$4:$A$21,0))*$R222*INDEX(Parameters!$X$14:$AA$14,1,MATCH($E222,Parameters!$X$3:$AA$3,0))),BR222*(1+INDEX(Response_Table!$N$4:$N$21,MATCH($F222&amp;"|high",Response_Table!$A$4:$A$21,0))*$R222*INDEX(Parameters!$X$14:$AA$14,1,MATCH($E222,Parameters!$X$3:$AA$3,0))))*(1+Inputs_General!$C$22*Parameters!$F$14)</f>
        <v>39.9608324356254</v>
      </c>
      <c r="BV222" s="45" t="n">
        <f aca="false">IF(BR222=0,0,BS222/BR222-1)</f>
        <v>0.125175524287803</v>
      </c>
      <c r="BW222" s="43" t="n">
        <f aca="false">Parameters!$E$15*IF($N222="V",Parameters!$I$15,IF($N222="F",Parameters!$J$15,Parameters!$K$15))*(1-Parameters!$L$15*$P222)*IF($D222="V1",Parameters!$M$15,IF($D222="V2",Parameters!$N$15,Parameters!$O$15))</f>
        <v>11.232</v>
      </c>
      <c r="BX222" s="43" t="n">
        <f aca="false">BW222*(1+INDEX(Response_Table!$O$4:$O$21,MATCH($F222&amp;"|mid",Response_Table!$A$4:$A$21,0))*$R222*INDEX(Parameters!$X$15:$AA$15,1,MATCH($E222,Parameters!$X$3:$AA$3,0)))</f>
        <v>10.8805071277999</v>
      </c>
      <c r="BY222" s="43" t="n">
        <f aca="false">MAX(0,MIN(BW222*(1+INDEX(Response_Table!$O$4:$O$21,MATCH($F222&amp;"|low",Response_Table!$A$4:$A$21,0))*$R222*INDEX(Parameters!$X$15:$AA$15,1,MATCH($E222,Parameters!$X$3:$AA$3,0))),BW222*(1+INDEX(Response_Table!$O$4:$O$21,MATCH($F222&amp;"|high",Response_Table!$A$4:$A$21,0))*$R222*INDEX(Parameters!$X$15:$AA$15,1,MATCH($E222,Parameters!$X$3:$AA$3,0))))*(1-Inputs_General!$C$22*Parameters!$F$15))</f>
        <v>8.6580648233417</v>
      </c>
      <c r="BZ222" s="43" t="n">
        <f aca="false">MAX(BW222*(1+INDEX(Response_Table!$O$4:$O$21,MATCH($F222&amp;"|low",Response_Table!$A$4:$A$21,0))*$R222*INDEX(Parameters!$X$15:$AA$15,1,MATCH($E222,Parameters!$X$3:$AA$3,0))),BW222*(1+INDEX(Response_Table!$O$4:$O$21,MATCH($F222&amp;"|high",Response_Table!$A$4:$A$21,0))*$R222*INDEX(Parameters!$X$15:$AA$15,1,MATCH($E222,Parameters!$X$3:$AA$3,0))))*(1+Inputs_General!$C$22*Parameters!$F$15)</f>
        <v>13.1656780481338</v>
      </c>
      <c r="CA222" s="45" t="n">
        <f aca="false">IF(BW222=0,0,BX222/BW222-1)</f>
        <v>-0.0312938810719508</v>
      </c>
      <c r="CB222" s="46" t="n">
        <f aca="false">BD222+BI222</f>
        <v>1.39696119136287</v>
      </c>
      <c r="CC222" s="43" t="n">
        <f aca="false">BD222/BI222</f>
        <v>2.69130096613374</v>
      </c>
      <c r="CD222" s="46" t="n">
        <f aca="false">BN222/CB222</f>
        <v>0.195239452607011</v>
      </c>
      <c r="CE222" s="43" t="n">
        <f aca="false">AE222/AO222</f>
        <v>3.55433928878124</v>
      </c>
      <c r="CF222" s="44" t="n">
        <f aca="false">AE222/AJ222</f>
        <v>35.0778015055972</v>
      </c>
      <c r="CG222" s="44" t="n">
        <f aca="false">INDEX(Context!$V$4:$V$51,$K222)</f>
        <v>22.6257142857143</v>
      </c>
      <c r="CH222" s="44" t="n">
        <f aca="false">INDEX(Context!$Y$4:$Y$51,$K222)</f>
        <v>21.3177449518561</v>
      </c>
      <c r="CI222" s="44" t="n">
        <f aca="false">INDEX(Context!$Z$4:$Z$51,$K222)</f>
        <v>26.6257142857143</v>
      </c>
      <c r="CJ222" s="43" t="n">
        <f aca="false">INDEX(Context!$AA$4:$AA$51,$K222)</f>
        <v>0.12</v>
      </c>
      <c r="CK222" s="43" t="n">
        <f aca="false">MAX(0,MIN(1,1-(1-CJ222)*AO222/AN222))</f>
        <v>0.279926447700777</v>
      </c>
      <c r="CL222" s="44" t="n">
        <f aca="false">CH222+CK222*(CI222-CH222)</f>
        <v>22.8035859519876</v>
      </c>
      <c r="CM222" s="44" t="n">
        <f aca="false">CH222+MAX(0,MIN(1,1-(1-CJ222)*AQ222/AN222))*(CI222-CH222)</f>
        <v>21.3177449518561</v>
      </c>
      <c r="CN222" s="44" t="n">
        <f aca="false">CH222+MAX(0,MIN(1,1-(1-CJ222)*AP222/AN222))*(CI222-CH222)</f>
        <v>24.1742844572585</v>
      </c>
      <c r="CO222" s="44" t="n">
        <f aca="false">CL222-CG222</f>
        <v>0.177871666273358</v>
      </c>
      <c r="CP222" s="44" t="n">
        <f aca="false">CL222-(CH222+CJ222*(CI222-CH222))</f>
        <v>0.848884680068608</v>
      </c>
      <c r="CQ222" s="46" t="n">
        <f aca="false">CL222/CG222</f>
        <v>1.00786148291396</v>
      </c>
      <c r="CR222" s="43" t="n">
        <f aca="false">IF(CL222-CH222&lt;=0,"n/a",(CI222-CL222)/(CL222-CH222))</f>
        <v>2.57236698501934</v>
      </c>
      <c r="CS222" s="43" t="n">
        <f aca="false">IF(CI222-CL222&lt;=0,"n/a",(CL222-CH222)/(CI222-CL222))</f>
        <v>0.38874702008838</v>
      </c>
      <c r="CT222" s="43" t="n">
        <f aca="false">Inputs_General!$C$23+Inputs_General!$C$24*$I222</f>
        <v>0.96</v>
      </c>
      <c r="CU222" s="44" t="n">
        <f aca="false">3.29*CT222</f>
        <v>3.1584</v>
      </c>
    </row>
    <row r="223" customFormat="false" ht="15" hidden="false" customHeight="false" outlineLevel="0" collapsed="false">
      <c r="A223" s="9" t="str">
        <f aca="false">B223&amp;"|"&amp;E223&amp;"|"&amp;F223</f>
        <v>D4V1|11/02/2026|High</v>
      </c>
      <c r="B223" s="7" t="s">
        <v>352</v>
      </c>
      <c r="C223" s="9" t="s">
        <v>133</v>
      </c>
      <c r="D223" s="9" t="s">
        <v>142</v>
      </c>
      <c r="E223" s="9" t="s">
        <v>158</v>
      </c>
      <c r="F223" s="7" t="s">
        <v>283</v>
      </c>
      <c r="G223" s="9" t="s">
        <v>284</v>
      </c>
      <c r="H223" s="41" t="n">
        <f aca="false">INDEX(Severity_Classes!$C$4:$C$9,MATCH(F223,Severity_Classes!$A$4:$A$9,0))</f>
        <v>0.26</v>
      </c>
      <c r="I223" s="41" t="n">
        <f aca="false">INDEX(Severity_Classes!$D$4:$D$9,MATCH(F223,Severity_Classes!$A$4:$A$9,0))</f>
        <v>0.38</v>
      </c>
      <c r="J223" s="41" t="n">
        <f aca="false">INDEX(Severity_Classes!$E$4:$E$9,MATCH(F223,Severity_Classes!$A$4:$A$9,0))</f>
        <v>0.5</v>
      </c>
      <c r="K223" s="42" t="n">
        <f aca="false">MATCH(B223&amp;"|"&amp;E223,Context!$A$4:$A$51,0)</f>
        <v>37</v>
      </c>
      <c r="L223" s="42" t="n">
        <f aca="false">INDEX(Context!$H$4:$H$51,K223)</f>
        <v>33</v>
      </c>
      <c r="M223" s="42" t="n">
        <f aca="false">INDEX(Context!$I$4:$I$51,K223)</f>
        <v>6</v>
      </c>
      <c r="N223" s="9" t="str">
        <f aca="false">INDEX(Context!$L$4:$L$51,K223)</f>
        <v>V</v>
      </c>
      <c r="O223" s="9" t="str">
        <f aca="false">INDEX(Context!$M$4:$M$51,K223)</f>
        <v>3rd fully expanded leaf from top</v>
      </c>
      <c r="P223" s="43" t="n">
        <f aca="false">INDEX(Context!$R$4:$R$51,K223)</f>
        <v>0</v>
      </c>
      <c r="Q223" s="43" t="n">
        <f aca="false">INDEX(Context!$U$4:$U$51,K223)</f>
        <v>0.937791824040773</v>
      </c>
      <c r="R223" s="43" t="n">
        <f aca="false">INDEX(Context!$AD$4:$AD$51,K223)</f>
        <v>1</v>
      </c>
      <c r="S223" s="9" t="str">
        <f aca="false">INDEX(Context!$AI$4:$AN$51,K223,MATCH(F223,Severity_Classes!$A$4:$A$9,0))</f>
        <v>Unlikely (only via pre-inoculation natural infection)</v>
      </c>
      <c r="T223" s="44" t="n">
        <f aca="false">Parameters!$E$4*IF($N223="V",Parameters!$I$4,IF($N223="F",Parameters!$J$4,Parameters!$K$4))*(1-Parameters!$L$4*$P223)*IF($D223="V1",Parameters!$M$4,IF($D223="V2",Parameters!$N$4,Parameters!$O$4))</f>
        <v>86</v>
      </c>
      <c r="U223" s="44" t="n">
        <f aca="false">MIN(100,T223*(1+INDEX(Response_Table!$E$4:$E$21,MATCH($F223&amp;"|mid",Response_Table!$A$4:$A$21,0))*$R223*INDEX(Parameters!$X$4:$AA$4,1,MATCH($E223,Parameters!$X$3:$AA$3,0))))</f>
        <v>79.0535535309384</v>
      </c>
      <c r="V223" s="44" t="n">
        <f aca="false">MAX(0,MIN(T223*(1+INDEX(Response_Table!$E$4:$E$21,MATCH($F223&amp;"|low",Response_Table!$A$4:$A$21,0))*$R223*INDEX(Parameters!$X$4:$AA$4,1,MATCH($E223,Parameters!$X$3:$AA$3,0))),T223*(1+INDEX(Response_Table!$E$4:$E$21,MATCH($F223&amp;"|high",Response_Table!$A$4:$A$21,0))*$R223*INDEX(Parameters!$X$4:$AA$4,1,MATCH($E223,Parameters!$X$3:$AA$3,0))))*(1-Inputs_General!$C$22*Parameters!$F$4))</f>
        <v>71.1190499555225</v>
      </c>
      <c r="W223" s="44" t="n">
        <f aca="false">MIN(100,MAX(T223*(1+INDEX(Response_Table!$E$4:$E$21,MATCH($F223&amp;"|low",Response_Table!$A$4:$A$21,0))*$R223*INDEX(Parameters!$X$4:$AA$4,1,MATCH($E223,Parameters!$X$3:$AA$3,0))),T223*(1+INDEX(Response_Table!$E$4:$E$21,MATCH($F223&amp;"|high",Response_Table!$A$4:$A$21,0))*$R223*INDEX(Parameters!$X$4:$AA$4,1,MATCH($E223,Parameters!$X$3:$AA$3,0))))*(1+Inputs_General!$C$22*Parameters!$F$4))</f>
        <v>87.7531949279262</v>
      </c>
      <c r="X223" s="45" t="n">
        <f aca="false">IF(T223=0,0,U223/T223-1)</f>
        <v>-0.080772633361181</v>
      </c>
      <c r="Y223" s="44" t="n">
        <f aca="false">Parameters!$E$5*IF($N223="V",Parameters!$I$5,IF($N223="F",Parameters!$J$5,Parameters!$K$5))*(1-Parameters!$L$5*$P223)*IF($D223="V1",Parameters!$M$5,IF($D223="V2",Parameters!$N$5,Parameters!$O$5))</f>
        <v>72</v>
      </c>
      <c r="Z223" s="44" t="n">
        <f aca="false">MIN(100,Y223*(1+INDEX(Response_Table!$F$4:$F$21,MATCH($F223&amp;"|mid",Response_Table!$A$4:$A$21,0))*$R223*INDEX(Parameters!$X$5:$AA$5,1,MATCH($E223,Parameters!$X$3:$AA$3,0))))</f>
        <v>53.9894533043597</v>
      </c>
      <c r="AA223" s="44" t="n">
        <f aca="false">MAX(0,MIN(Y223*(1+INDEX(Response_Table!$F$4:$F$21,MATCH($F223&amp;"|low",Response_Table!$A$4:$A$21,0))*$R223*INDEX(Parameters!$X$5:$AA$5,1,MATCH($E223,Parameters!$X$3:$AA$3,0))),Y223*(1+INDEX(Response_Table!$F$4:$F$21,MATCH($F223&amp;"|high",Response_Table!$A$4:$A$21,0))*$R223*INDEX(Parameters!$X$5:$AA$5,1,MATCH($E223,Parameters!$X$3:$AA$3,0))))*(1-Inputs_General!$C$22*Parameters!$F$5))</f>
        <v>43.7704956411476</v>
      </c>
      <c r="AB223" s="44" t="n">
        <f aca="false">MIN(100,MAX(Y223*(1+INDEX(Response_Table!$F$4:$F$21,MATCH($F223&amp;"|low",Response_Table!$A$4:$A$21,0))*$R223*INDEX(Parameters!$X$5:$AA$5,1,MATCH($E223,Parameters!$X$3:$AA$3,0))),Y223*(1+INDEX(Response_Table!$F$4:$F$21,MATCH($F223&amp;"|high",Response_Table!$A$4:$A$21,0))*$R223*INDEX(Parameters!$X$5:$AA$5,1,MATCH($E223,Parameters!$X$3:$AA$3,0))))*(1+Inputs_General!$C$22*Parameters!$F$5))</f>
        <v>68.579929402741</v>
      </c>
      <c r="AC223" s="45" t="n">
        <f aca="false">IF(Y223=0,0,Z223/Y223-1)</f>
        <v>-0.250146481883893</v>
      </c>
      <c r="AD223" s="44" t="n">
        <f aca="false">Parameters!$E$6*IF($N223="V",Parameters!$I$6,IF($N223="F",Parameters!$J$6,Parameters!$K$6))*(1-Parameters!$L$6*$P223)*IF($D223="V1",Parameters!$M$6,IF($D223="V2",Parameters!$N$6,Parameters!$O$6))</f>
        <v>19</v>
      </c>
      <c r="AE223" s="44" t="n">
        <f aca="false">AD223*(1+INDEX(Response_Table!$G$4:$G$21,MATCH($F223&amp;"|mid",Response_Table!$A$4:$A$21,0))*$R223*INDEX(Parameters!$X$6:$AA$6,1,MATCH($E223,Parameters!$X$3:$AA$3,0)))</f>
        <v>9.74172880435832</v>
      </c>
      <c r="AF223" s="44" t="n">
        <f aca="false">MAX(0,MIN(AD223*(1+INDEX(Response_Table!$G$4:$G$21,MATCH($F223&amp;"|low",Response_Table!$A$4:$A$21,0))*$R223*INDEX(Parameters!$X$6:$AA$6,1,MATCH($E223,Parameters!$X$3:$AA$3,0))),AD223*(1+INDEX(Response_Table!$G$4:$G$21,MATCH($F223&amp;"|high",Response_Table!$A$4:$A$21,0))*$R223*INDEX(Parameters!$X$6:$AA$6,1,MATCH($E223,Parameters!$X$3:$AA$3,0))))*(1-Inputs_General!$C$22*Parameters!$F$6))</f>
        <v>7.11356900987835</v>
      </c>
      <c r="AG223" s="44" t="n">
        <f aca="false">MAX(AD223*(1+INDEX(Response_Table!$G$4:$G$21,MATCH($F223&amp;"|low",Response_Table!$A$4:$A$21,0))*$R223*INDEX(Parameters!$X$6:$AA$6,1,MATCH($E223,Parameters!$X$3:$AA$3,0))),AD223*(1+INDEX(Response_Table!$G$4:$G$21,MATCH($F223&amp;"|high",Response_Table!$A$4:$A$21,0))*$R223*INDEX(Parameters!$X$6:$AA$6,1,MATCH($E223,Parameters!$X$3:$AA$3,0))))*(1+Inputs_General!$C$22*Parameters!$F$6)</f>
        <v>13.4484570821478</v>
      </c>
      <c r="AH223" s="45" t="n">
        <f aca="false">IF(AD223=0,0,AE223/AD223-1)</f>
        <v>-0.487277431349562</v>
      </c>
      <c r="AI223" s="46" t="n">
        <f aca="false">Parameters!$E$7*IF($N223="V",Parameters!$I$7,IF($N223="F",Parameters!$J$7,Parameters!$K$7))*(1-Parameters!$L$7*$P223)*IF($D223="V1",Parameters!$M$7,IF($D223="V2",Parameters!$N$7,Parameters!$O$7))*POWER($Q223/Inputs_General!$C$26,-Inputs_General!$C$25)</f>
        <v>0.464685683730118</v>
      </c>
      <c r="AJ223" s="46" t="n">
        <f aca="false">AI223*(1+INDEX(Response_Table!$H$4:$H$21,MATCH($F223&amp;"|mid",Response_Table!$A$4:$A$21,0))*$R223*INDEX(Parameters!$X$7:$AA$7,1,MATCH($E223,Parameters!$X$3:$AA$3,0)))</f>
        <v>0.300329095018212</v>
      </c>
      <c r="AK223" s="46" t="n">
        <f aca="false">MAX(0,MIN(AI223*(1+INDEX(Response_Table!$H$4:$H$21,MATCH($F223&amp;"|low",Response_Table!$A$4:$A$21,0))*$R223*INDEX(Parameters!$X$7:$AA$7,1,MATCH($E223,Parameters!$X$3:$AA$3,0))),AI223*(1+INDEX(Response_Table!$H$4:$H$21,MATCH($F223&amp;"|high",Response_Table!$A$4:$A$21,0))*$R223*INDEX(Parameters!$X$7:$AA$7,1,MATCH($E223,Parameters!$X$3:$AA$3,0))))*(1-Inputs_General!$C$22*Parameters!$F$7))</f>
        <v>0.194956037640966</v>
      </c>
      <c r="AL223" s="46" t="n">
        <f aca="false">MAX(AI223*(1+INDEX(Response_Table!$H$4:$H$21,MATCH($F223&amp;"|low",Response_Table!$A$4:$A$21,0))*$R223*INDEX(Parameters!$X$7:$AA$7,1,MATCH($E223,Parameters!$X$3:$AA$3,0))),AI223*(1+INDEX(Response_Table!$H$4:$H$21,MATCH($F223&amp;"|high",Response_Table!$A$4:$A$21,0))*$R223*INDEX(Parameters!$X$7:$AA$7,1,MATCH($E223,Parameters!$X$3:$AA$3,0))))*(1+Inputs_General!$C$22*Parameters!$F$7)</f>
        <v>0.43265992570778</v>
      </c>
      <c r="AM223" s="45" t="n">
        <f aca="false">IF(AI223=0,0,AJ223/AI223-1)</f>
        <v>-0.353694108655522</v>
      </c>
      <c r="AN223" s="43" t="n">
        <f aca="false">AI223*$Q223/Inputs_General!$C$13*1000</f>
        <v>4.38850387664553</v>
      </c>
      <c r="AO223" s="43" t="n">
        <f aca="false">AJ223*$Q223/Inputs_General!$C$13*1000*(1+Inputs_General!$C$21*$I223)</f>
        <v>3.10576592108217</v>
      </c>
      <c r="AP223" s="43" t="n">
        <f aca="false">AK223*$Q223/Inputs_General!$C$13*1000*(1+Inputs_General!$C$21*$H223)</f>
        <v>1.96084601940225</v>
      </c>
      <c r="AQ223" s="43" t="n">
        <f aca="false">AL223*$Q223/Inputs_General!$C$13*1000*(1+Inputs_General!$C$21*$J223)</f>
        <v>4.59680824303826</v>
      </c>
      <c r="AR223" s="45" t="n">
        <f aca="false">IF(AN223=0,0,AO223/AN223-1)</f>
        <v>-0.292295048977797</v>
      </c>
      <c r="AS223" s="42" t="n">
        <f aca="false">Parameters!$E$9*IF($N223="V",Parameters!$I$9,IF($N223="F",Parameters!$J$9,Parameters!$K$9))*(1-Parameters!$L$9*$P223)*IF($D223="V1",Parameters!$M$9,IF($D223="V2",Parameters!$N$9,Parameters!$O$9))</f>
        <v>285</v>
      </c>
      <c r="AT223" s="42" t="n">
        <f aca="false">AS223*(1+INDEX(Response_Table!$I$4:$I$21,MATCH($F223&amp;"|mid",Response_Table!$A$4:$A$21,0))*$R223*INDEX(Parameters!$X$9:$AA$9,1,MATCH($E223,Parameters!$X$3:$AA$3,0)))</f>
        <v>338.440106932469</v>
      </c>
      <c r="AU223" s="42" t="n">
        <f aca="false">MAX(0,MIN(AS223*(1+INDEX(Response_Table!$I$4:$I$21,MATCH($F223&amp;"|low",Response_Table!$A$4:$A$21,0))*$R223*INDEX(Parameters!$X$9:$AA$9,1,MATCH($E223,Parameters!$X$3:$AA$3,0))),AS223*(1+INDEX(Response_Table!$I$4:$I$21,MATCH($F223&amp;"|high",Response_Table!$A$4:$A$21,0))*$R223*INDEX(Parameters!$X$9:$AA$9,1,MATCH($E223,Parameters!$X$3:$AA$3,0))))*(1-Inputs_General!$C$22*Parameters!$F$9))</f>
        <v>296.729320588298</v>
      </c>
      <c r="AV223" s="42" t="n">
        <f aca="false">MAX(AS223*(1+INDEX(Response_Table!$I$4:$I$21,MATCH($F223&amp;"|low",Response_Table!$A$4:$A$21,0))*$R223*INDEX(Parameters!$X$9:$AA$9,1,MATCH($E223,Parameters!$X$3:$AA$3,0))),AS223*(1+INDEX(Response_Table!$I$4:$I$21,MATCH($F223&amp;"|high",Response_Table!$A$4:$A$21,0))*$R223*INDEX(Parameters!$X$9:$AA$9,1,MATCH($E223,Parameters!$X$3:$AA$3,0))))*(1+Inputs_General!$C$22*Parameters!$F$9)</f>
        <v>378.109987302663</v>
      </c>
      <c r="AW223" s="45" t="n">
        <f aca="false">IF(AS223=0,0,AT223/AS223-1)</f>
        <v>0.187509147131469</v>
      </c>
      <c r="AX223" s="43" t="n">
        <f aca="false">INDEX(Context!$AB$4:$AB$51,$K223)</f>
        <v>0.435390007029591</v>
      </c>
      <c r="AY223" s="43" t="n">
        <f aca="false">AX223*(1+INDEX(Response_Table!$J$4:$J$21,MATCH($F223&amp;"|mid",Response_Table!$A$4:$A$21,0))*$R223*INDEX(Parameters!$X$10:$AA$10,1,MATCH($E223,Parameters!$X$3:$AA$3,0)))</f>
        <v>0.375313470255042</v>
      </c>
      <c r="AZ223" s="43" t="n">
        <f aca="false">MAX(0,MIN(AX223*(1+INDEX(Response_Table!$J$4:$J$21,MATCH($F223&amp;"|low",Response_Table!$A$4:$A$21,0))*$R223*INDEX(Parameters!$X$10:$AA$10,1,MATCH($E223,Parameters!$X$3:$AA$3,0))),AX223*(1+INDEX(Response_Table!$J$4:$J$21,MATCH($F223&amp;"|high",Response_Table!$A$4:$A$21,0))*$R223*INDEX(Parameters!$X$10:$AA$10,1,MATCH($E223,Parameters!$X$3:$AA$3,0))))*(1-Inputs_General!$C$22*Parameters!$F$10))</f>
        <v>0.293345527491354</v>
      </c>
      <c r="BA223" s="43" t="n">
        <f aca="false">MAX(AX223*(1+INDEX(Response_Table!$J$4:$J$21,MATCH($F223&amp;"|low",Response_Table!$A$4:$A$21,0))*$R223*INDEX(Parameters!$X$10:$AA$10,1,MATCH($E223,Parameters!$X$3:$AA$3,0))),AX223*(1+INDEX(Response_Table!$J$4:$J$21,MATCH($F223&amp;"|high",Response_Table!$A$4:$A$21,0))*$R223*INDEX(Parameters!$X$10:$AA$10,1,MATCH($E223,Parameters!$X$3:$AA$3,0))))*(1+Inputs_General!$C$22*Parameters!$F$10)</f>
        <v>0.465271677859134</v>
      </c>
      <c r="BB223" s="45" t="n">
        <f aca="false">IF(AX223=0,0,AY223/AX223-1)</f>
        <v>-0.137983269722737</v>
      </c>
      <c r="BC223" s="46" t="n">
        <f aca="false">Parameters!$E$11*IF($N223="V",Parameters!$I$11,IF($N223="F",Parameters!$J$11,Parameters!$K$11))*(1-Parameters!$L$11*$P223)*IF($D223="V1",Parameters!$M$11,IF($D223="V2",Parameters!$N$11,Parameters!$O$11))</f>
        <v>1.1875</v>
      </c>
      <c r="BD223" s="46" t="n">
        <f aca="false">BC223*(1+INDEX(Response_Table!$K$4:$K$21,MATCH($F223&amp;"|mid",Response_Table!$A$4:$A$21,0))*$R223*INDEX(Parameters!$X$11:$AA$11,1,MATCH($E223,Parameters!$X$3:$AA$3,0)))</f>
        <v>0.915959566857147</v>
      </c>
      <c r="BE223" s="46" t="n">
        <f aca="false">MAX(0,MIN(BC223*(1+INDEX(Response_Table!$K$4:$K$21,MATCH($F223&amp;"|low",Response_Table!$A$4:$A$21,0))*$R223*INDEX(Parameters!$X$11:$AA$11,1,MATCH($E223,Parameters!$X$3:$AA$3,0))),BC223*(1+INDEX(Response_Table!$K$4:$K$21,MATCH($F223&amp;"|high",Response_Table!$A$4:$A$21,0))*$R223*INDEX(Parameters!$X$11:$AA$11,1,MATCH($E223,Parameters!$X$3:$AA$3,0))))*(1-Inputs_General!$C$22*Parameters!$F$11))</f>
        <v>0.734807158709031</v>
      </c>
      <c r="BF223" s="46" t="n">
        <f aca="false">MAX(BC223*(1+INDEX(Response_Table!$K$4:$K$21,MATCH($F223&amp;"|low",Response_Table!$A$4:$A$21,0))*$R223*INDEX(Parameters!$X$11:$AA$11,1,MATCH($E223,Parameters!$X$3:$AA$3,0))),BC223*(1+INDEX(Response_Table!$K$4:$K$21,MATCH($F223&amp;"|high",Response_Table!$A$4:$A$21,0))*$R223*INDEX(Parameters!$X$11:$AA$11,1,MATCH($E223,Parameters!$X$3:$AA$3,0))))*(1+Inputs_General!$C$22*Parameters!$F$11)</f>
        <v>1.12899909055292</v>
      </c>
      <c r="BG223" s="45" t="n">
        <f aca="false">IF(BC223=0,0,BD223/BC223-1)</f>
        <v>-0.228665627909771</v>
      </c>
      <c r="BH223" s="46" t="n">
        <f aca="false">Parameters!$E$12*IF($N223="V",Parameters!$I$12,IF($N223="F",Parameters!$J$12,Parameters!$K$12))*(1-Parameters!$L$12*$P223)*IF($D223="V1",Parameters!$M$12,IF($D223="V2",Parameters!$N$12,Parameters!$O$12))</f>
        <v>0.4275</v>
      </c>
      <c r="BI223" s="46" t="n">
        <f aca="false">BH223*(1+INDEX(Response_Table!$L$4:$L$21,MATCH($F223&amp;"|mid",Response_Table!$A$4:$A$21,0))*$R223*INDEX(Parameters!$X$12:$AA$12,1,MATCH($E223,Parameters!$X$3:$AA$3,0)))</f>
        <v>0.347536223752279</v>
      </c>
      <c r="BJ223" s="46" t="n">
        <f aca="false">MAX(0,MIN(BH223*(1+INDEX(Response_Table!$L$4:$L$21,MATCH($F223&amp;"|low",Response_Table!$A$4:$A$21,0))*$R223*INDEX(Parameters!$X$12:$AA$12,1,MATCH($E223,Parameters!$X$3:$AA$3,0))),BH223*(1+INDEX(Response_Table!$L$4:$L$21,MATCH($F223&amp;"|high",Response_Table!$A$4:$A$21,0))*$R223*INDEX(Parameters!$X$12:$AA$12,1,MATCH($E223,Parameters!$X$3:$AA$3,0))))*(1-Inputs_General!$C$22*Parameters!$F$12))</f>
        <v>0.269809431584536</v>
      </c>
      <c r="BK223" s="46" t="n">
        <f aca="false">MAX(BH223*(1+INDEX(Response_Table!$L$4:$L$21,MATCH($F223&amp;"|low",Response_Table!$A$4:$A$21,0))*$R223*INDEX(Parameters!$X$12:$AA$12,1,MATCH($E223,Parameters!$X$3:$AA$3,0))),BH223*(1+INDEX(Response_Table!$L$4:$L$21,MATCH($F223&amp;"|high",Response_Table!$A$4:$A$21,0))*$R223*INDEX(Parameters!$X$12:$AA$12,1,MATCH($E223,Parameters!$X$3:$AA$3,0))))*(1+Inputs_General!$C$22*Parameters!$F$12)</f>
        <v>0.435648673017454</v>
      </c>
      <c r="BL223" s="45" t="n">
        <f aca="false">IF(BH223=0,0,BI223/BH223-1)</f>
        <v>-0.187049769000516</v>
      </c>
      <c r="BM223" s="46" t="n">
        <f aca="false">Parameters!$E$13*IF($N223="V",Parameters!$I$13,IF($N223="F",Parameters!$J$13,Parameters!$K$13))*(1-Parameters!$L$13*$P223)*IF($D223="V1",Parameters!$M$13,IF($D223="V2",Parameters!$N$13,Parameters!$O$13))</f>
        <v>0.285</v>
      </c>
      <c r="BN223" s="46" t="n">
        <f aca="false">BM223*(1+INDEX(Response_Table!$M$4:$M$21,MATCH($F223&amp;"|mid",Response_Table!$A$4:$A$21,0))*$R223*INDEX(Parameters!$X$13:$AA$13,1,MATCH($E223,Parameters!$X$3:$AA$3,0)))</f>
        <v>0.249522549134685</v>
      </c>
      <c r="BO223" s="46" t="n">
        <f aca="false">MAX(0,MIN(BM223*(1+INDEX(Response_Table!$M$4:$M$21,MATCH($F223&amp;"|low",Response_Table!$A$4:$A$21,0))*$R223*INDEX(Parameters!$X$13:$AA$13,1,MATCH($E223,Parameters!$X$3:$AA$3,0))),BM223*(1+INDEX(Response_Table!$M$4:$M$21,MATCH($F223&amp;"|high",Response_Table!$A$4:$A$21,0))*$R223*INDEX(Parameters!$X$13:$AA$13,1,MATCH($E223,Parameters!$X$3:$AA$3,0))))*(1-Inputs_General!$C$22*Parameters!$F$13))</f>
        <v>0.194247987581264</v>
      </c>
      <c r="BP223" s="46" t="n">
        <f aca="false">MAX(BM223*(1+INDEX(Response_Table!$M$4:$M$21,MATCH($F223&amp;"|low",Response_Table!$A$4:$A$21,0))*$R223*INDEX(Parameters!$X$13:$AA$13,1,MATCH($E223,Parameters!$X$3:$AA$3,0))),BM223*(1+INDEX(Response_Table!$M$4:$M$21,MATCH($F223&amp;"|high",Response_Table!$A$4:$A$21,0))*$R223*INDEX(Parameters!$X$13:$AA$13,1,MATCH($E223,Parameters!$X$3:$AA$3,0))))*(1+Inputs_General!$C$22*Parameters!$F$13)</f>
        <v>0.313251105900866</v>
      </c>
      <c r="BQ223" s="45" t="n">
        <f aca="false">IF(BM223=0,0,BN223/BM223-1)</f>
        <v>-0.124482283737948</v>
      </c>
      <c r="BR223" s="44" t="n">
        <f aca="false">Parameters!$E$14*IF($N223="V",Parameters!$I$14,IF($N223="F",Parameters!$J$14,Parameters!$K$14))*(1-Parameters!$L$14*$P223)*IF($D223="V1",Parameters!$M$14,IF($D223="V2",Parameters!$N$14,Parameters!$O$14))*INDEX(Context!$AC$4:$AC$51,$K223)</f>
        <v>23.1</v>
      </c>
      <c r="BS223" s="44" t="n">
        <f aca="false">BR223*(1+INDEX(Response_Table!$N$4:$N$21,MATCH($F223&amp;"|mid",Response_Table!$A$4:$A$21,0))*$R223*INDEX(Parameters!$X$14:$AA$14,1,MATCH($E223,Parameters!$X$3:$AA$3,0)))</f>
        <v>27.813654178813</v>
      </c>
      <c r="BT223" s="44" t="n">
        <f aca="false">MAX(0,MIN(BR223*(1+INDEX(Response_Table!$N$4:$N$21,MATCH($F223&amp;"|low",Response_Table!$A$4:$A$21,0))*$R223*INDEX(Parameters!$X$14:$AA$14,1,MATCH($E223,Parameters!$X$3:$AA$3,0))),BR223*(1+INDEX(Response_Table!$N$4:$N$21,MATCH($F223&amp;"|high",Response_Table!$A$4:$A$21,0))*$R223*INDEX(Parameters!$X$14:$AA$14,1,MATCH($E223,Parameters!$X$3:$AA$3,0))))*(1-Inputs_General!$C$22*Parameters!$F$14))</f>
        <v>13.6011692720482</v>
      </c>
      <c r="BU223" s="44" t="n">
        <f aca="false">MAX(BR223*(1+INDEX(Response_Table!$N$4:$N$21,MATCH($F223&amp;"|low",Response_Table!$A$4:$A$21,0))*$R223*INDEX(Parameters!$X$14:$AA$14,1,MATCH($E223,Parameters!$X$3:$AA$3,0))),BR223*(1+INDEX(Response_Table!$N$4:$N$21,MATCH($F223&amp;"|high",Response_Table!$A$4:$A$21,0))*$R223*INDEX(Parameters!$X$14:$AA$14,1,MATCH($E223,Parameters!$X$3:$AA$3,0))))*(1+Inputs_General!$C$22*Parameters!$F$14)</f>
        <v>42.540417883321</v>
      </c>
      <c r="BV223" s="45" t="n">
        <f aca="false">IF(BR223=0,0,BS223/BR223-1)</f>
        <v>0.204054293455109</v>
      </c>
      <c r="BW223" s="43" t="n">
        <f aca="false">Parameters!$E$15*IF($N223="V",Parameters!$I$15,IF($N223="F",Parameters!$J$15,Parameters!$K$15))*(1-Parameters!$L$15*$P223)*IF($D223="V1",Parameters!$M$15,IF($D223="V2",Parameters!$N$15,Parameters!$O$15))</f>
        <v>11.232</v>
      </c>
      <c r="BX223" s="43" t="n">
        <f aca="false">BW223*(1+INDEX(Response_Table!$O$4:$O$21,MATCH($F223&amp;"|mid",Response_Table!$A$4:$A$21,0))*$R223*INDEX(Parameters!$X$15:$AA$15,1,MATCH($E223,Parameters!$X$3:$AA$3,0)))</f>
        <v>10.6590155439781</v>
      </c>
      <c r="BY223" s="43" t="n">
        <f aca="false">MAX(0,MIN(BW223*(1+INDEX(Response_Table!$O$4:$O$21,MATCH($F223&amp;"|low",Response_Table!$A$4:$A$21,0))*$R223*INDEX(Parameters!$X$15:$AA$15,1,MATCH($E223,Parameters!$X$3:$AA$3,0))),BW223*(1+INDEX(Response_Table!$O$4:$O$21,MATCH($F223&amp;"|high",Response_Table!$A$4:$A$21,0))*$R223*INDEX(Parameters!$X$15:$AA$15,1,MATCH($E223,Parameters!$X$3:$AA$3,0))))*(1-Inputs_General!$C$22*Parameters!$F$15))</f>
        <v>8.48955354612919</v>
      </c>
      <c r="BZ223" s="43" t="n">
        <f aca="false">MAX(BW223*(1+INDEX(Response_Table!$O$4:$O$21,MATCH($F223&amp;"|low",Response_Table!$A$4:$A$21,0))*$R223*INDEX(Parameters!$X$15:$AA$15,1,MATCH($E223,Parameters!$X$3:$AA$3,0))),BW223*(1+INDEX(Response_Table!$O$4:$O$21,MATCH($F223&amp;"|high",Response_Table!$A$4:$A$21,0))*$R223*INDEX(Parameters!$X$15:$AA$15,1,MATCH($E223,Parameters!$X$3:$AA$3,0))))*(1+Inputs_General!$C$22*Parameters!$F$15)</f>
        <v>12.902896489526</v>
      </c>
      <c r="CA223" s="45" t="n">
        <f aca="false">IF(BW223=0,0,BX223/BW223-1)</f>
        <v>-0.0510135733637772</v>
      </c>
      <c r="CB223" s="46" t="n">
        <f aca="false">BD223+BI223</f>
        <v>1.26349579060943</v>
      </c>
      <c r="CC223" s="43" t="n">
        <f aca="false">BD223/BI223</f>
        <v>2.63558013310876</v>
      </c>
      <c r="CD223" s="46" t="n">
        <f aca="false">BN223/CB223</f>
        <v>0.197485857087289</v>
      </c>
      <c r="CE223" s="43" t="n">
        <f aca="false">AE223/AO223</f>
        <v>3.13665905670184</v>
      </c>
      <c r="CF223" s="44" t="n">
        <f aca="false">AE223/AJ223</f>
        <v>32.4368466657138</v>
      </c>
      <c r="CG223" s="44" t="n">
        <f aca="false">INDEX(Context!$V$4:$V$51,$K223)</f>
        <v>22.6257142857143</v>
      </c>
      <c r="CH223" s="44" t="n">
        <f aca="false">INDEX(Context!$Y$4:$Y$51,$K223)</f>
        <v>21.3177449518561</v>
      </c>
      <c r="CI223" s="44" t="n">
        <f aca="false">INDEX(Context!$Z$4:$Z$51,$K223)</f>
        <v>26.6257142857143</v>
      </c>
      <c r="CJ223" s="43" t="n">
        <f aca="false">INDEX(Context!$AA$4:$AA$51,$K223)</f>
        <v>0.12</v>
      </c>
      <c r="CK223" s="43" t="n">
        <f aca="false">MAX(0,MIN(1,1-(1-CJ223)*AO223/AN223))</f>
        <v>0.377219643100461</v>
      </c>
      <c r="CL223" s="44" t="n">
        <f aca="false">CH223+CK223*(CI223-CH223)</f>
        <v>23.3200152495622</v>
      </c>
      <c r="CM223" s="44" t="n">
        <f aca="false">CH223+MAX(0,MIN(1,1-(1-CJ223)*AQ223/AN223))*(CI223-CH223)</f>
        <v>21.7329873499082</v>
      </c>
      <c r="CN223" s="44" t="n">
        <f aca="false">CH223+MAX(0,MIN(1,1-(1-CJ223)*AP223/AN223))*(CI223-CH223)</f>
        <v>24.5386391612239</v>
      </c>
      <c r="CO223" s="44" t="n">
        <f aca="false">CL223-CG223</f>
        <v>0.694300963847958</v>
      </c>
      <c r="CP223" s="44" t="n">
        <f aca="false">CL223-(CH223+CJ223*(CI223-CH223))</f>
        <v>1.36531397764321</v>
      </c>
      <c r="CQ223" s="46" t="n">
        <f aca="false">CL223/CG223</f>
        <v>1.03068636663048</v>
      </c>
      <c r="CR223" s="43" t="n">
        <f aca="false">IF(CL223-CH223&lt;=0,"n/a",(CI223-CL223)/(CL223-CH223))</f>
        <v>1.65097541522693</v>
      </c>
      <c r="CS223" s="43" t="n">
        <f aca="false">IF(CI223-CL223&lt;=0,"n/a",(CL223-CH223)/(CI223-CL223))</f>
        <v>0.60570253849755</v>
      </c>
      <c r="CT223" s="43" t="n">
        <f aca="false">Inputs_General!$C$23+Inputs_General!$C$24*$I223</f>
        <v>1.36</v>
      </c>
      <c r="CU223" s="44" t="n">
        <f aca="false">3.29*CT223</f>
        <v>4.4744</v>
      </c>
    </row>
    <row r="224" customFormat="false" ht="15" hidden="false" customHeight="false" outlineLevel="0" collapsed="false">
      <c r="A224" s="9" t="str">
        <f aca="false">B224&amp;"|"&amp;E224&amp;"|"&amp;F224</f>
        <v>D4V1|11/02/2026|Very high</v>
      </c>
      <c r="B224" s="7" t="s">
        <v>352</v>
      </c>
      <c r="C224" s="9" t="s">
        <v>133</v>
      </c>
      <c r="D224" s="9" t="s">
        <v>142</v>
      </c>
      <c r="E224" s="9" t="s">
        <v>158</v>
      </c>
      <c r="F224" s="7" t="s">
        <v>285</v>
      </c>
      <c r="G224" s="9" t="s">
        <v>286</v>
      </c>
      <c r="H224" s="41" t="n">
        <f aca="false">INDEX(Severity_Classes!$C$4:$C$9,MATCH(F224,Severity_Classes!$A$4:$A$9,0))</f>
        <v>0.51</v>
      </c>
      <c r="I224" s="41" t="n">
        <f aca="false">INDEX(Severity_Classes!$D$4:$D$9,MATCH(F224,Severity_Classes!$A$4:$A$9,0))</f>
        <v>0.65</v>
      </c>
      <c r="J224" s="41" t="n">
        <f aca="false">INDEX(Severity_Classes!$E$4:$E$9,MATCH(F224,Severity_Classes!$A$4:$A$9,0))</f>
        <v>0.85</v>
      </c>
      <c r="K224" s="42" t="n">
        <f aca="false">MATCH(B224&amp;"|"&amp;E224,Context!$A$4:$A$51,0)</f>
        <v>37</v>
      </c>
      <c r="L224" s="42" t="n">
        <f aca="false">INDEX(Context!$H$4:$H$51,K224)</f>
        <v>33</v>
      </c>
      <c r="M224" s="42" t="n">
        <f aca="false">INDEX(Context!$I$4:$I$51,K224)</f>
        <v>6</v>
      </c>
      <c r="N224" s="9" t="str">
        <f aca="false">INDEX(Context!$L$4:$L$51,K224)</f>
        <v>V</v>
      </c>
      <c r="O224" s="9" t="str">
        <f aca="false">INDEX(Context!$M$4:$M$51,K224)</f>
        <v>3rd fully expanded leaf from top</v>
      </c>
      <c r="P224" s="43" t="n">
        <f aca="false">INDEX(Context!$R$4:$R$51,K224)</f>
        <v>0</v>
      </c>
      <c r="Q224" s="43" t="n">
        <f aca="false">INDEX(Context!$U$4:$U$51,K224)</f>
        <v>0.937791824040773</v>
      </c>
      <c r="R224" s="43" t="n">
        <f aca="false">INDEX(Context!$AD$4:$AD$51,K224)</f>
        <v>1</v>
      </c>
      <c r="S224" s="9" t="str">
        <f aca="false">INDEX(Context!$AI$4:$AN$51,K224,MATCH(F224,Severity_Classes!$A$4:$A$9,0))</f>
        <v>Unlikely (only via pre-inoculation natural infection)</v>
      </c>
      <c r="T224" s="44" t="n">
        <f aca="false">Parameters!$E$4*IF($N224="V",Parameters!$I$4,IF($N224="F",Parameters!$J$4,Parameters!$K$4))*(1-Parameters!$L$4*$P224)*IF($D224="V1",Parameters!$M$4,IF($D224="V2",Parameters!$N$4,Parameters!$O$4))</f>
        <v>86</v>
      </c>
      <c r="U224" s="44" t="n">
        <f aca="false">MIN(100,T224*(1+INDEX(Response_Table!$E$4:$E$21,MATCH($F224&amp;"|mid",Response_Table!$A$4:$A$21,0))*$R224*INDEX(Parameters!$X$4:$AA$4,1,MATCH($E224,Parameters!$X$3:$AA$3,0))))</f>
        <v>74.1315246587489</v>
      </c>
      <c r="V224" s="44" t="n">
        <f aca="false">MAX(0,MIN(T224*(1+INDEX(Response_Table!$E$4:$E$21,MATCH($F224&amp;"|low",Response_Table!$A$4:$A$21,0))*$R224*INDEX(Parameters!$X$4:$AA$4,1,MATCH($E224,Parameters!$X$3:$AA$3,0))),T224*(1+INDEX(Response_Table!$E$4:$E$21,MATCH($F224&amp;"|high",Response_Table!$A$4:$A$21,0))*$R224*INDEX(Parameters!$X$4:$AA$4,1,MATCH($E224,Parameters!$X$3:$AA$3,0))))*(1-Inputs_General!$C$22*Parameters!$F$4))</f>
        <v>68.4839634608841</v>
      </c>
      <c r="W224" s="44" t="n">
        <f aca="false">MIN(100,MAX(T224*(1+INDEX(Response_Table!$E$4:$E$21,MATCH($F224&amp;"|low",Response_Table!$A$4:$A$21,0))*$R224*INDEX(Parameters!$X$4:$AA$4,1,MATCH($E224,Parameters!$X$3:$AA$3,0))),T224*(1+INDEX(Response_Table!$E$4:$E$21,MATCH($F224&amp;"|high",Response_Table!$A$4:$A$21,0))*$R224*INDEX(Parameters!$X$4:$AA$4,1,MATCH($E224,Parameters!$X$3:$AA$3,0))))*(1+Inputs_General!$C$22*Parameters!$F$4))</f>
        <v>80.9333059269784</v>
      </c>
      <c r="X224" s="45" t="n">
        <f aca="false">IF(T224=0,0,U224/T224-1)</f>
        <v>-0.13800552722385</v>
      </c>
      <c r="Y224" s="44" t="n">
        <f aca="false">Parameters!$E$5*IF($N224="V",Parameters!$I$5,IF($N224="F",Parameters!$J$5,Parameters!$K$5))*(1-Parameters!$L$5*$P224)*IF($D224="V1",Parameters!$M$5,IF($D224="V2",Parameters!$N$5,Parameters!$O$5))</f>
        <v>72</v>
      </c>
      <c r="Z224" s="44" t="n">
        <f aca="false">MIN(100,Y224*(1+INDEX(Response_Table!$F$4:$F$21,MATCH($F224&amp;"|mid",Response_Table!$A$4:$A$21,0))*$R224*INDEX(Parameters!$X$5:$AA$5,1,MATCH($E224,Parameters!$X$3:$AA$3,0))))</f>
        <v>47.4449735149462</v>
      </c>
      <c r="AA224" s="44" t="n">
        <f aca="false">MAX(0,MIN(Y224*(1+INDEX(Response_Table!$F$4:$F$21,MATCH($F224&amp;"|low",Response_Table!$A$4:$A$21,0))*$R224*INDEX(Parameters!$X$5:$AA$5,1,MATCH($E224,Parameters!$X$3:$AA$3,0))),Y224*(1+INDEX(Response_Table!$F$4:$F$21,MATCH($F224&amp;"|high",Response_Table!$A$4:$A$21,0))*$R224*INDEX(Parameters!$X$5:$AA$5,1,MATCH($E224,Parameters!$X$3:$AA$3,0))))*(1-Inputs_General!$C$22*Parameters!$F$5))</f>
        <v>41.4898621194913</v>
      </c>
      <c r="AB224" s="44" t="n">
        <f aca="false">MIN(100,MAX(Y224*(1+INDEX(Response_Table!$F$4:$F$21,MATCH($F224&amp;"|low",Response_Table!$A$4:$A$21,0))*$R224*INDEX(Parameters!$X$5:$AA$5,1,MATCH($E224,Parameters!$X$3:$AA$3,0))),Y224*(1+INDEX(Response_Table!$F$4:$F$21,MATCH($F224&amp;"|high",Response_Table!$A$4:$A$21,0))*$R224*INDEX(Parameters!$X$5:$AA$5,1,MATCH($E224,Parameters!$X$3:$AA$3,0))))*(1+Inputs_General!$C$22*Parameters!$F$5))</f>
        <v>54.9054547890536</v>
      </c>
      <c r="AC224" s="45" t="n">
        <f aca="false">IF(Y224=0,0,Z224/Y224-1)</f>
        <v>-0.341042034514637</v>
      </c>
      <c r="AD224" s="44" t="n">
        <f aca="false">Parameters!$E$6*IF($N224="V",Parameters!$I$6,IF($N224="F",Parameters!$J$6,Parameters!$K$6))*(1-Parameters!$L$6*$P224)*IF($D224="V1",Parameters!$M$6,IF($D224="V2",Parameters!$N$6,Parameters!$O$6))</f>
        <v>19</v>
      </c>
      <c r="AE224" s="44" t="n">
        <f aca="false">AD224*(1+INDEX(Response_Table!$G$4:$G$21,MATCH($F224&amp;"|mid",Response_Table!$A$4:$A$21,0))*$R224*INDEX(Parameters!$X$6:$AA$6,1,MATCH($E224,Parameters!$X$3:$AA$3,0)))</f>
        <v>8.25286386702633</v>
      </c>
      <c r="AF224" s="44" t="n">
        <f aca="false">MAX(0,MIN(AD224*(1+INDEX(Response_Table!$G$4:$G$21,MATCH($F224&amp;"|low",Response_Table!$A$4:$A$21,0))*$R224*INDEX(Parameters!$X$6:$AA$6,1,MATCH($E224,Parameters!$X$3:$AA$3,0))),AD224*(1+INDEX(Response_Table!$G$4:$G$21,MATCH($F224&amp;"|high",Response_Table!$A$4:$A$21,0))*$R224*INDEX(Parameters!$X$6:$AA$6,1,MATCH($E224,Parameters!$X$3:$AA$3,0))))*(1-Inputs_General!$C$22*Parameters!$F$6))</f>
        <v>6.31710149217431</v>
      </c>
      <c r="AG224" s="44" t="n">
        <f aca="false">MAX(AD224*(1+INDEX(Response_Table!$G$4:$G$21,MATCH($F224&amp;"|low",Response_Table!$A$4:$A$21,0))*$R224*INDEX(Parameters!$X$6:$AA$6,1,MATCH($E224,Parameters!$X$3:$AA$3,0))),AD224*(1+INDEX(Response_Table!$G$4:$G$21,MATCH($F224&amp;"|high",Response_Table!$A$4:$A$21,0))*$R224*INDEX(Parameters!$X$6:$AA$6,1,MATCH($E224,Parameters!$X$3:$AA$3,0))))*(1+Inputs_General!$C$22*Parameters!$F$6)</f>
        <v>10.547635732289</v>
      </c>
      <c r="AH224" s="45" t="n">
        <f aca="false">IF(AD224=0,0,AE224/AD224-1)</f>
        <v>-0.56563874384072</v>
      </c>
      <c r="AI224" s="46" t="n">
        <f aca="false">Parameters!$E$7*IF($N224="V",Parameters!$I$7,IF($N224="F",Parameters!$J$7,Parameters!$K$7))*(1-Parameters!$L$7*$P224)*IF($D224="V1",Parameters!$M$7,IF($D224="V2",Parameters!$N$7,Parameters!$O$7))*POWER($Q224/Inputs_General!$C$26,-Inputs_General!$C$25)</f>
        <v>0.464685683730118</v>
      </c>
      <c r="AJ224" s="46" t="n">
        <f aca="false">AI224*(1+INDEX(Response_Table!$H$4:$H$21,MATCH($F224&amp;"|mid",Response_Table!$A$4:$A$21,0))*$R224*INDEX(Parameters!$X$7:$AA$7,1,MATCH($E224,Parameters!$X$3:$AA$3,0)))</f>
        <v>0.257427744791225</v>
      </c>
      <c r="AK224" s="46" t="n">
        <f aca="false">MAX(0,MIN(AI224*(1+INDEX(Response_Table!$H$4:$H$21,MATCH($F224&amp;"|low",Response_Table!$A$4:$A$21,0))*$R224*INDEX(Parameters!$X$7:$AA$7,1,MATCH($E224,Parameters!$X$3:$AA$3,0))),AI224*(1+INDEX(Response_Table!$H$4:$H$21,MATCH($F224&amp;"|high",Response_Table!$A$4:$A$21,0))*$R224*INDEX(Parameters!$X$7:$AA$7,1,MATCH($E224,Parameters!$X$3:$AA$3,0))))*(1-Inputs_General!$C$22*Parameters!$F$7))</f>
        <v>0.170285033510395</v>
      </c>
      <c r="AL224" s="46" t="n">
        <f aca="false">MAX(AI224*(1+INDEX(Response_Table!$H$4:$H$21,MATCH($F224&amp;"|low",Response_Table!$A$4:$A$21,0))*$R224*INDEX(Parameters!$X$7:$AA$7,1,MATCH($E224,Parameters!$X$3:$AA$3,0))),AI224*(1+INDEX(Response_Table!$H$4:$H$21,MATCH($F224&amp;"|high",Response_Table!$A$4:$A$21,0))*$R224*INDEX(Parameters!$X$7:$AA$7,1,MATCH($E224,Parameters!$X$3:$AA$3,0))))*(1+Inputs_General!$C$22*Parameters!$F$7)</f>
        <v>0.356909728251963</v>
      </c>
      <c r="AM224" s="45" t="n">
        <f aca="false">IF(AI224=0,0,AJ224/AI224-1)</f>
        <v>-0.446017482775013</v>
      </c>
      <c r="AN224" s="43" t="n">
        <f aca="false">AI224*$Q224/Inputs_General!$C$13*1000</f>
        <v>4.38850387664553</v>
      </c>
      <c r="AO224" s="43" t="n">
        <f aca="false">AJ224*$Q224/Inputs_General!$C$13*1000*(1+Inputs_General!$C$21*$I224)</f>
        <v>2.82621701840651</v>
      </c>
      <c r="AP224" s="43" t="n">
        <f aca="false">AK224*$Q224/Inputs_General!$C$13*1000*(1+Inputs_General!$C$21*$H224)</f>
        <v>1.81321884175059</v>
      </c>
      <c r="AQ224" s="43" t="n">
        <f aca="false">AL224*$Q224/Inputs_General!$C$13*1000*(1+Inputs_General!$C$21*$J224)</f>
        <v>4.08693119742001</v>
      </c>
      <c r="AR224" s="45" t="n">
        <f aca="false">IF(AN224=0,0,AO224/AN224-1)</f>
        <v>-0.355995323725952</v>
      </c>
      <c r="AS224" s="42" t="n">
        <f aca="false">Parameters!$E$9*IF($N224="V",Parameters!$I$9,IF($N224="F",Parameters!$J$9,Parameters!$K$9))*(1-Parameters!$L$9*$P224)*IF($D224="V1",Parameters!$M$9,IF($D224="V2",Parameters!$N$9,Parameters!$O$9))</f>
        <v>285</v>
      </c>
      <c r="AT224" s="42" t="n">
        <f aca="false">AS224*(1+INDEX(Response_Table!$I$4:$I$21,MATCH($F224&amp;"|mid",Response_Table!$A$4:$A$21,0))*$R224*INDEX(Parameters!$X$9:$AA$9,1,MATCH($E224,Parameters!$X$3:$AA$3,0)))</f>
        <v>348.31968725014</v>
      </c>
      <c r="AU224" s="42" t="n">
        <f aca="false">MAX(0,MIN(AS224*(1+INDEX(Response_Table!$I$4:$I$21,MATCH($F224&amp;"|low",Response_Table!$A$4:$A$21,0))*$R224*INDEX(Parameters!$X$9:$AA$9,1,MATCH($E224,Parameters!$X$3:$AA$3,0))),AS224*(1+INDEX(Response_Table!$I$4:$I$21,MATCH($F224&amp;"|high",Response_Table!$A$4:$A$21,0))*$R224*INDEX(Parameters!$X$9:$AA$9,1,MATCH($E224,Parameters!$X$3:$AA$3,0))))*(1-Inputs_General!$C$22*Parameters!$F$9))</f>
        <v>310.503290405353</v>
      </c>
      <c r="AV224" s="42" t="n">
        <f aca="false">MAX(AS224*(1+INDEX(Response_Table!$I$4:$I$21,MATCH($F224&amp;"|low",Response_Table!$A$4:$A$21,0))*$R224*INDEX(Parameters!$X$9:$AA$9,1,MATCH($E224,Parameters!$X$3:$AA$3,0))),AS224*(1+INDEX(Response_Table!$I$4:$I$21,MATCH($F224&amp;"|high",Response_Table!$A$4:$A$21,0))*$R224*INDEX(Parameters!$X$9:$AA$9,1,MATCH($E224,Parameters!$X$3:$AA$3,0))))*(1+Inputs_General!$C$22*Parameters!$F$9)</f>
        <v>385.77254271935</v>
      </c>
      <c r="AW224" s="45" t="n">
        <f aca="false">IF(AS224=0,0,AT224/AS224-1)</f>
        <v>0.22217434122856</v>
      </c>
      <c r="AX224" s="43" t="n">
        <f aca="false">INDEX(Context!$AB$4:$AB$51,$K224)</f>
        <v>0.435390007029591</v>
      </c>
      <c r="AY224" s="43" t="n">
        <f aca="false">AX224*(1+INDEX(Response_Table!$J$4:$J$21,MATCH($F224&amp;"|mid",Response_Table!$A$4:$A$21,0))*$R224*INDEX(Parameters!$X$10:$AA$10,1,MATCH($E224,Parameters!$X$3:$AA$3,0)))</f>
        <v>0.356717264969489</v>
      </c>
      <c r="AZ224" s="43" t="n">
        <f aca="false">MAX(0,MIN(AX224*(1+INDEX(Response_Table!$J$4:$J$21,MATCH($F224&amp;"|low",Response_Table!$A$4:$A$21,0))*$R224*INDEX(Parameters!$X$10:$AA$10,1,MATCH($E224,Parameters!$X$3:$AA$3,0))),AX224*(1+INDEX(Response_Table!$J$4:$J$21,MATCH($F224&amp;"|high",Response_Table!$A$4:$A$21,0))*$R224*INDEX(Parameters!$X$10:$AA$10,1,MATCH($E224,Parameters!$X$3:$AA$3,0))))*(1-Inputs_General!$C$22*Parameters!$F$10))</f>
        <v>0.280209520937012</v>
      </c>
      <c r="BA224" s="43" t="n">
        <f aca="false">MAX(AX224*(1+INDEX(Response_Table!$J$4:$J$21,MATCH($F224&amp;"|low",Response_Table!$A$4:$A$21,0))*$R224*INDEX(Parameters!$X$10:$AA$10,1,MATCH($E224,Parameters!$X$3:$AA$3,0))),AX224*(1+INDEX(Response_Table!$J$4:$J$21,MATCH($F224&amp;"|high",Response_Table!$A$4:$A$21,0))*$R224*INDEX(Parameters!$X$10:$AA$10,1,MATCH($E224,Parameters!$X$3:$AA$3,0))))*(1+Inputs_General!$C$22*Parameters!$F$10)</f>
        <v>0.436812815553307</v>
      </c>
      <c r="BB224" s="45" t="n">
        <f aca="false">IF(AX224=0,0,AY224/AX224-1)</f>
        <v>-0.180694873079056</v>
      </c>
      <c r="BC224" s="46" t="n">
        <f aca="false">Parameters!$E$11*IF($N224="V",Parameters!$I$11,IF($N224="F",Parameters!$J$11,Parameters!$K$11))*(1-Parameters!$L$11*$P224)*IF($D224="V1",Parameters!$M$11,IF($D224="V2",Parameters!$N$11,Parameters!$O$11))</f>
        <v>1.1875</v>
      </c>
      <c r="BD224" s="46" t="n">
        <f aca="false">BC224*(1+INDEX(Response_Table!$K$4:$K$21,MATCH($F224&amp;"|mid",Response_Table!$A$4:$A$21,0))*$R224*INDEX(Parameters!$X$11:$AA$11,1,MATCH($E224,Parameters!$X$3:$AA$3,0)))</f>
        <v>0.84977775377039</v>
      </c>
      <c r="BE224" s="46" t="n">
        <f aca="false">MAX(0,MIN(BC224*(1+INDEX(Response_Table!$K$4:$K$21,MATCH($F224&amp;"|low",Response_Table!$A$4:$A$21,0))*$R224*INDEX(Parameters!$X$11:$AA$11,1,MATCH($E224,Parameters!$X$3:$AA$3,0))),BC224*(1+INDEX(Response_Table!$K$4:$K$21,MATCH($F224&amp;"|high",Response_Table!$A$4:$A$21,0))*$R224*INDEX(Parameters!$X$11:$AA$11,1,MATCH($E224,Parameters!$X$3:$AA$3,0))))*(1-Inputs_General!$C$22*Parameters!$F$11))</f>
        <v>0.690946834779446</v>
      </c>
      <c r="BF224" s="46" t="n">
        <f aca="false">MAX(BC224*(1+INDEX(Response_Table!$K$4:$K$21,MATCH($F224&amp;"|low",Response_Table!$A$4:$A$21,0))*$R224*INDEX(Parameters!$X$11:$AA$11,1,MATCH($E224,Parameters!$X$3:$AA$3,0))),BC224*(1+INDEX(Response_Table!$K$4:$K$21,MATCH($F224&amp;"|high",Response_Table!$A$4:$A$21,0))*$R224*INDEX(Parameters!$X$11:$AA$11,1,MATCH($E224,Parameters!$X$3:$AA$3,0))))*(1+Inputs_General!$C$22*Parameters!$F$11)</f>
        <v>1.02129909203409</v>
      </c>
      <c r="BG224" s="45" t="n">
        <f aca="false">IF(BC224=0,0,BD224/BC224-1)</f>
        <v>-0.284397681035461</v>
      </c>
      <c r="BH224" s="46" t="n">
        <f aca="false">Parameters!$E$12*IF($N224="V",Parameters!$I$12,IF($N224="F",Parameters!$J$12,Parameters!$K$12))*(1-Parameters!$L$12*$P224)*IF($D224="V1",Parameters!$M$12,IF($D224="V2",Parameters!$N$12,Parameters!$O$12))</f>
        <v>0.4275</v>
      </c>
      <c r="BI224" s="46" t="n">
        <f aca="false">BH224*(1+INDEX(Response_Table!$L$4:$L$21,MATCH($F224&amp;"|mid",Response_Table!$A$4:$A$21,0))*$R224*INDEX(Parameters!$X$12:$AA$12,1,MATCH($E224,Parameters!$X$3:$AA$3,0)))</f>
        <v>0.32666359554089</v>
      </c>
      <c r="BJ224" s="46" t="n">
        <f aca="false">MAX(0,MIN(BH224*(1+INDEX(Response_Table!$L$4:$L$21,MATCH($F224&amp;"|low",Response_Table!$A$4:$A$21,0))*$R224*INDEX(Parameters!$X$12:$AA$12,1,MATCH($E224,Parameters!$X$3:$AA$3,0))),BH224*(1+INDEX(Response_Table!$L$4:$L$21,MATCH($F224&amp;"|high",Response_Table!$A$4:$A$21,0))*$R224*INDEX(Parameters!$X$12:$AA$12,1,MATCH($E224,Parameters!$X$3:$AA$3,0))))*(1-Inputs_General!$C$22*Parameters!$F$12))</f>
        <v>0.256123284824642</v>
      </c>
      <c r="BK224" s="46" t="n">
        <f aca="false">MAX(BH224*(1+INDEX(Response_Table!$L$4:$L$21,MATCH($F224&amp;"|low",Response_Table!$A$4:$A$21,0))*$R224*INDEX(Parameters!$X$12:$AA$12,1,MATCH($E224,Parameters!$X$3:$AA$3,0))),BH224*(1+INDEX(Response_Table!$L$4:$L$21,MATCH($F224&amp;"|high",Response_Table!$A$4:$A$21,0))*$R224*INDEX(Parameters!$X$12:$AA$12,1,MATCH($E224,Parameters!$X$3:$AA$3,0))))*(1+Inputs_General!$C$22*Parameters!$F$12)</f>
        <v>0.401600744933195</v>
      </c>
      <c r="BL224" s="45" t="n">
        <f aca="false">IF(BH224=0,0,BI224/BH224-1)</f>
        <v>-0.235874630313709</v>
      </c>
      <c r="BM224" s="46" t="n">
        <f aca="false">Parameters!$E$13*IF($N224="V",Parameters!$I$13,IF($N224="F",Parameters!$J$13,Parameters!$K$13))*(1-Parameters!$L$13*$P224)*IF($D224="V1",Parameters!$M$13,IF($D224="V2",Parameters!$N$13,Parameters!$O$13))</f>
        <v>0.285</v>
      </c>
      <c r="BN224" s="46" t="n">
        <f aca="false">BM224*(1+INDEX(Response_Table!$M$4:$M$21,MATCH($F224&amp;"|mid",Response_Table!$A$4:$A$21,0))*$R224*INDEX(Parameters!$X$13:$AA$13,1,MATCH($E224,Parameters!$X$3:$AA$3,0)))</f>
        <v>0.236488159284919</v>
      </c>
      <c r="BO224" s="46" t="n">
        <f aca="false">MAX(0,MIN(BM224*(1+INDEX(Response_Table!$M$4:$M$21,MATCH($F224&amp;"|low",Response_Table!$A$4:$A$21,0))*$R224*INDEX(Parameters!$X$13:$AA$13,1,MATCH($E224,Parameters!$X$3:$AA$3,0))),BM224*(1+INDEX(Response_Table!$M$4:$M$21,MATCH($F224&amp;"|high",Response_Table!$A$4:$A$21,0))*$R224*INDEX(Parameters!$X$13:$AA$13,1,MATCH($E224,Parameters!$X$3:$AA$3,0))))*(1-Inputs_General!$C$22*Parameters!$F$13))</f>
        <v>0.186618663728117</v>
      </c>
      <c r="BP224" s="46" t="n">
        <f aca="false">MAX(BM224*(1+INDEX(Response_Table!$M$4:$M$21,MATCH($F224&amp;"|low",Response_Table!$A$4:$A$21,0))*$R224*INDEX(Parameters!$X$13:$AA$13,1,MATCH($E224,Parameters!$X$3:$AA$3,0))),BM224*(1+INDEX(Response_Table!$M$4:$M$21,MATCH($F224&amp;"|high",Response_Table!$A$4:$A$21,0))*$R224*INDEX(Parameters!$X$13:$AA$13,1,MATCH($E224,Parameters!$X$3:$AA$3,0))))*(1+Inputs_General!$C$22*Parameters!$F$13)</f>
        <v>0.289228320590426</v>
      </c>
      <c r="BQ224" s="45" t="n">
        <f aca="false">IF(BM224=0,0,BN224/BM224-1)</f>
        <v>-0.170216984965196</v>
      </c>
      <c r="BR224" s="44" t="n">
        <f aca="false">Parameters!$E$14*IF($N224="V",Parameters!$I$14,IF($N224="F",Parameters!$J$14,Parameters!$K$14))*(1-Parameters!$L$14*$P224)*IF($D224="V1",Parameters!$M$14,IF($D224="V2",Parameters!$N$14,Parameters!$O$14))*INDEX(Context!$AC$4:$AC$51,$K224)</f>
        <v>23.1</v>
      </c>
      <c r="BS224" s="44" t="n">
        <f aca="false">BR224*(1+INDEX(Response_Table!$N$4:$N$21,MATCH($F224&amp;"|mid",Response_Table!$A$4:$A$21,0))*$R224*INDEX(Parameters!$X$14:$AA$14,1,MATCH($E224,Parameters!$X$3:$AA$3,0)))</f>
        <v>29.0440406839055</v>
      </c>
      <c r="BT224" s="44" t="n">
        <f aca="false">MAX(0,MIN(BR224*(1+INDEX(Response_Table!$N$4:$N$21,MATCH($F224&amp;"|low",Response_Table!$A$4:$A$21,0))*$R224*INDEX(Parameters!$X$14:$AA$14,1,MATCH($E224,Parameters!$X$3:$AA$3,0))),BR224*(1+INDEX(Response_Table!$N$4:$N$21,MATCH($F224&amp;"|high",Response_Table!$A$4:$A$21,0))*$R224*INDEX(Parameters!$X$14:$AA$14,1,MATCH($E224,Parameters!$X$3:$AA$3,0))))*(1-Inputs_General!$C$22*Parameters!$F$14))</f>
        <v>14.4501450636158</v>
      </c>
      <c r="BU224" s="44" t="n">
        <f aca="false">MAX(BR224*(1+INDEX(Response_Table!$N$4:$N$21,MATCH($F224&amp;"|low",Response_Table!$A$4:$A$21,0))*$R224*INDEX(Parameters!$X$14:$AA$14,1,MATCH($E224,Parameters!$X$3:$AA$3,0))),BR224*(1+INDEX(Response_Table!$N$4:$N$21,MATCH($F224&amp;"|high",Response_Table!$A$4:$A$21,0))*$R224*INDEX(Parameters!$X$14:$AA$14,1,MATCH($E224,Parameters!$X$3:$AA$3,0))))*(1+Inputs_General!$C$22*Parameters!$F$14)</f>
        <v>44.041663270563</v>
      </c>
      <c r="BV224" s="45" t="n">
        <f aca="false">IF(BR224=0,0,BS224/BR224-1)</f>
        <v>0.257317778524046</v>
      </c>
      <c r="BW224" s="43" t="n">
        <f aca="false">Parameters!$E$15*IF($N224="V",Parameters!$I$15,IF($N224="F",Parameters!$J$15,Parameters!$K$15))*(1-Parameters!$L$15*$P224)*IF($D224="V1",Parameters!$M$15,IF($D224="V2",Parameters!$N$15,Parameters!$O$15))</f>
        <v>11.232</v>
      </c>
      <c r="BX224" s="43" t="n">
        <f aca="false">BW224*(1+INDEX(Response_Table!$O$4:$O$21,MATCH($F224&amp;"|mid",Response_Table!$A$4:$A$21,0))*$R224*INDEX(Parameters!$X$15:$AA$15,1,MATCH($E224,Parameters!$X$3:$AA$3,0)))</f>
        <v>10.5094516779045</v>
      </c>
      <c r="BY224" s="43" t="n">
        <f aca="false">MAX(0,MIN(BW224*(1+INDEX(Response_Table!$O$4:$O$21,MATCH($F224&amp;"|low",Response_Table!$A$4:$A$21,0))*$R224*INDEX(Parameters!$X$15:$AA$15,1,MATCH($E224,Parameters!$X$3:$AA$3,0))),BW224*(1+INDEX(Response_Table!$O$4:$O$21,MATCH($F224&amp;"|high",Response_Table!$A$4:$A$21,0))*$R224*INDEX(Parameters!$X$15:$AA$15,1,MATCH($E224,Parameters!$X$3:$AA$3,0))))*(1-Inputs_General!$C$22*Parameters!$F$15))</f>
        <v>8.39148477393964</v>
      </c>
      <c r="BZ224" s="43" t="n">
        <f aca="false">MAX(BW224*(1+INDEX(Response_Table!$O$4:$O$21,MATCH($F224&amp;"|low",Response_Table!$A$4:$A$21,0))*$R224*INDEX(Parameters!$X$15:$AA$15,1,MATCH($E224,Parameters!$X$3:$AA$3,0))),BW224*(1+INDEX(Response_Table!$O$4:$O$21,MATCH($F224&amp;"|high",Response_Table!$A$4:$A$21,0))*$R224*INDEX(Parameters!$X$15:$AA$15,1,MATCH($E224,Parameters!$X$3:$AA$3,0))))*(1+Inputs_General!$C$22*Parameters!$F$15)</f>
        <v>12.6589243502964</v>
      </c>
      <c r="CA224" s="45" t="n">
        <f aca="false">IF(BW224=0,0,BX224/BW224-1)</f>
        <v>-0.0643294446310114</v>
      </c>
      <c r="CB224" s="46" t="n">
        <f aca="false">BD224+BI224</f>
        <v>1.17644134931128</v>
      </c>
      <c r="CC224" s="43" t="n">
        <f aca="false">BD224/BI224</f>
        <v>2.60138492740009</v>
      </c>
      <c r="CD224" s="46" t="n">
        <f aca="false">BN224/CB224</f>
        <v>0.201019931357705</v>
      </c>
      <c r="CE224" s="43" t="n">
        <f aca="false">AE224/AO224</f>
        <v>2.92010974857108</v>
      </c>
      <c r="CF224" s="44" t="n">
        <f aca="false">AE224/AJ224</f>
        <v>32.0589525954921</v>
      </c>
      <c r="CG224" s="44" t="n">
        <f aca="false">INDEX(Context!$V$4:$V$51,$K224)</f>
        <v>22.6257142857143</v>
      </c>
      <c r="CH224" s="44" t="n">
        <f aca="false">INDEX(Context!$Y$4:$Y$51,$K224)</f>
        <v>21.3177449518561</v>
      </c>
      <c r="CI224" s="44" t="n">
        <f aca="false">INDEX(Context!$Z$4:$Z$51,$K224)</f>
        <v>26.6257142857143</v>
      </c>
      <c r="CJ224" s="43" t="n">
        <f aca="false">INDEX(Context!$AA$4:$AA$51,$K224)</f>
        <v>0.12</v>
      </c>
      <c r="CK224" s="43" t="n">
        <f aca="false">MAX(0,MIN(1,1-(1-CJ224)*AO224/AN224))</f>
        <v>0.433275884878838</v>
      </c>
      <c r="CL224" s="44" t="n">
        <f aca="false">CH224+CK224*(CI224-CH224)</f>
        <v>23.6175600618932</v>
      </c>
      <c r="CM224" s="44" t="n">
        <f aca="false">CH224+MAX(0,MIN(1,1-(1-CJ224)*AQ224/AN224))*(CI224-CH224)</f>
        <v>22.2756876374009</v>
      </c>
      <c r="CN224" s="44" t="n">
        <f aca="false">CH224+MAX(0,MIN(1,1-(1-CJ224)*AP224/AN224))*(CI224-CH224)</f>
        <v>24.6957698115283</v>
      </c>
      <c r="CO224" s="44" t="n">
        <f aca="false">CL224-CG224</f>
        <v>0.991845776178927</v>
      </c>
      <c r="CP224" s="44" t="n">
        <f aca="false">CL224-(CH224+CJ224*(CI224-CH224))</f>
        <v>1.66285878997418</v>
      </c>
      <c r="CQ224" s="46" t="n">
        <f aca="false">CL224/CG224</f>
        <v>1.04383710337955</v>
      </c>
      <c r="CR224" s="43" t="n">
        <f aca="false">IF(CL224-CH224&lt;=0,"n/a",(CI224-CL224)/(CL224-CH224))</f>
        <v>1.30799828677204</v>
      </c>
      <c r="CS224" s="43" t="n">
        <f aca="false">IF(CI224-CL224&lt;=0,"n/a",(CL224-CH224)/(CI224-CL224))</f>
        <v>0.764526995266836</v>
      </c>
      <c r="CT224" s="43" t="n">
        <f aca="false">Inputs_General!$C$23+Inputs_General!$C$24*$I224</f>
        <v>1.9</v>
      </c>
      <c r="CU224" s="44" t="n">
        <f aca="false">3.29*CT224</f>
        <v>6.251</v>
      </c>
    </row>
    <row r="225" customFormat="false" ht="15" hidden="false" customHeight="false" outlineLevel="0" collapsed="false">
      <c r="A225" s="33" t="str">
        <f aca="false">B225&amp;"|"&amp;E225&amp;"|"&amp;F225</f>
        <v>D4V1|24/02/2026|Healthy</v>
      </c>
      <c r="B225" s="34" t="s">
        <v>352</v>
      </c>
      <c r="C225" s="33" t="s">
        <v>133</v>
      </c>
      <c r="D225" s="33" t="s">
        <v>142</v>
      </c>
      <c r="E225" s="33" t="s">
        <v>160</v>
      </c>
      <c r="F225" s="34" t="s">
        <v>275</v>
      </c>
      <c r="G225" s="33" t="s">
        <v>276</v>
      </c>
      <c r="H225" s="35" t="n">
        <f aca="false">INDEX(Severity_Classes!$C$4:$C$9,MATCH(F225,Severity_Classes!$A$4:$A$9,0))</f>
        <v>0</v>
      </c>
      <c r="I225" s="35" t="n">
        <f aca="false">INDEX(Severity_Classes!$D$4:$D$9,MATCH(F225,Severity_Classes!$A$4:$A$9,0))</f>
        <v>0</v>
      </c>
      <c r="J225" s="35" t="n">
        <f aca="false">INDEX(Severity_Classes!$E$4:$E$9,MATCH(F225,Severity_Classes!$A$4:$A$9,0))</f>
        <v>0</v>
      </c>
      <c r="K225" s="36" t="n">
        <f aca="false">MATCH(B225&amp;"|"&amp;E225,Context!$A$4:$A$51,0)</f>
        <v>38</v>
      </c>
      <c r="L225" s="36" t="n">
        <f aca="false">INDEX(Context!$H$4:$H$51,K225)</f>
        <v>46</v>
      </c>
      <c r="M225" s="36" t="n">
        <f aca="false">INDEX(Context!$I$4:$I$51,K225)</f>
        <v>19</v>
      </c>
      <c r="N225" s="33" t="str">
        <f aca="false">INDEX(Context!$L$4:$L$51,K225)</f>
        <v>V</v>
      </c>
      <c r="O225" s="33" t="str">
        <f aca="false">INDEX(Context!$M$4:$M$51,K225)</f>
        <v>3rd fully expanded leaf from top</v>
      </c>
      <c r="P225" s="37" t="n">
        <f aca="false">INDEX(Context!$R$4:$R$51,K225)</f>
        <v>0.0232142857142859</v>
      </c>
      <c r="Q225" s="37" t="n">
        <f aca="false">INDEX(Context!$U$4:$U$51,K225)</f>
        <v>1.19492600027053</v>
      </c>
      <c r="R225" s="37" t="n">
        <f aca="false">INDEX(Context!$AD$4:$AD$51,K225)</f>
        <v>1</v>
      </c>
      <c r="S225" s="33" t="str">
        <f aca="false">INDEX(Context!$AI$4:$AN$51,K225,MATCH(F225,Severity_Classes!$A$4:$A$9,0))</f>
        <v>Reference: healthy (uninoculated) control plot</v>
      </c>
      <c r="T225" s="38" t="n">
        <f aca="false">Parameters!$E$4*IF($N225="V",Parameters!$I$4,IF($N225="F",Parameters!$J$4,Parameters!$K$4))*(1-Parameters!$L$4*$P225)*IF($D225="V1",Parameters!$M$4,IF($D225="V2",Parameters!$N$4,Parameters!$O$4))</f>
        <v>85.9001785714286</v>
      </c>
      <c r="U225" s="38" t="n">
        <f aca="false">MIN(100,T225*(1+INDEX(Response_Table!$E$4:$E$21,MATCH($F225&amp;"|mid",Response_Table!$A$4:$A$21,0))*$R225*INDEX(Parameters!$X$4:$AA$4,1,MATCH($E225,Parameters!$X$3:$AA$3,0))))</f>
        <v>85.9001785714286</v>
      </c>
      <c r="V225" s="38" t="n">
        <f aca="false">MAX(0,MIN(T225*(1+INDEX(Response_Table!$E$4:$E$21,MATCH($F225&amp;"|low",Response_Table!$A$4:$A$21,0))*$R225*INDEX(Parameters!$X$4:$AA$4,1,MATCH($E225,Parameters!$X$3:$AA$3,0))),T225*(1+INDEX(Response_Table!$E$4:$E$21,MATCH($F225&amp;"|high",Response_Table!$A$4:$A$21,0))*$R225*INDEX(Parameters!$X$4:$AA$4,1,MATCH($E225,Parameters!$X$3:$AA$3,0))))*(1-Inputs_General!$C$22*Parameters!$F$4))</f>
        <v>80.2479468214286</v>
      </c>
      <c r="W225" s="38" t="n">
        <f aca="false">MIN(100,MAX(T225*(1+INDEX(Response_Table!$E$4:$E$21,MATCH($F225&amp;"|low",Response_Table!$A$4:$A$21,0))*$R225*INDEX(Parameters!$X$4:$AA$4,1,MATCH($E225,Parameters!$X$3:$AA$3,0))),T225*(1+INDEX(Response_Table!$E$4:$E$21,MATCH($F225&amp;"|high",Response_Table!$A$4:$A$21,0))*$R225*INDEX(Parameters!$X$4:$AA$4,1,MATCH($E225,Parameters!$X$3:$AA$3,0))))*(1+Inputs_General!$C$22*Parameters!$F$4))</f>
        <v>91.5524103214286</v>
      </c>
      <c r="X225" s="39" t="n">
        <f aca="false">IF(T225=0,0,U225/T225-1)</f>
        <v>0</v>
      </c>
      <c r="Y225" s="38" t="n">
        <f aca="false">Parameters!$E$5*IF($N225="V",Parameters!$I$5,IF($N225="F",Parameters!$J$5,Parameters!$K$5))*(1-Parameters!$L$5*$P225)*IF($D225="V1",Parameters!$M$5,IF($D225="V2",Parameters!$N$5,Parameters!$O$5))</f>
        <v>71.7994285714286</v>
      </c>
      <c r="Z225" s="38" t="n">
        <f aca="false">MIN(100,Y225*(1+INDEX(Response_Table!$F$4:$F$21,MATCH($F225&amp;"|mid",Response_Table!$A$4:$A$21,0))*$R225*INDEX(Parameters!$X$5:$AA$5,1,MATCH($E225,Parameters!$X$3:$AA$3,0))))</f>
        <v>71.7994285714286</v>
      </c>
      <c r="AA225" s="38" t="n">
        <f aca="false">MAX(0,MIN(Y225*(1+INDEX(Response_Table!$F$4:$F$21,MATCH($F225&amp;"|low",Response_Table!$A$4:$A$21,0))*$R225*INDEX(Parameters!$X$5:$AA$5,1,MATCH($E225,Parameters!$X$3:$AA$3,0))),Y225*(1+INDEX(Response_Table!$F$4:$F$21,MATCH($F225&amp;"|high",Response_Table!$A$4:$A$21,0))*$R225*INDEX(Parameters!$X$5:$AA$5,1,MATCH($E225,Parameters!$X$3:$AA$3,0))))*(1-Inputs_General!$C$22*Parameters!$F$5))</f>
        <v>63.5317243714286</v>
      </c>
      <c r="AB225" s="38" t="n">
        <f aca="false">MIN(100,MAX(Y225*(1+INDEX(Response_Table!$F$4:$F$21,MATCH($F225&amp;"|low",Response_Table!$A$4:$A$21,0))*$R225*INDEX(Parameters!$X$5:$AA$5,1,MATCH($E225,Parameters!$X$3:$AA$3,0))),Y225*(1+INDEX(Response_Table!$F$4:$F$21,MATCH($F225&amp;"|high",Response_Table!$A$4:$A$21,0))*$R225*INDEX(Parameters!$X$5:$AA$5,1,MATCH($E225,Parameters!$X$3:$AA$3,0))))*(1+Inputs_General!$C$22*Parameters!$F$5))</f>
        <v>80.0671327714286</v>
      </c>
      <c r="AC225" s="39" t="n">
        <f aca="false">IF(Y225=0,0,Z225/Y225-1)</f>
        <v>0</v>
      </c>
      <c r="AD225" s="38" t="n">
        <f aca="false">Parameters!$E$6*IF($N225="V",Parameters!$I$6,IF($N225="F",Parameters!$J$6,Parameters!$K$6))*(1-Parameters!$L$6*$P225)*IF($D225="V1",Parameters!$M$6,IF($D225="V2",Parameters!$N$6,Parameters!$O$6))</f>
        <v>18.9470714285714</v>
      </c>
      <c r="AE225" s="38" t="n">
        <f aca="false">AD225*(1+INDEX(Response_Table!$G$4:$G$21,MATCH($F225&amp;"|mid",Response_Table!$A$4:$A$21,0))*$R225*INDEX(Parameters!$X$6:$AA$6,1,MATCH($E225,Parameters!$X$3:$AA$3,0)))</f>
        <v>18.9470714285714</v>
      </c>
      <c r="AF225" s="38" t="n">
        <f aca="false">MAX(0,MIN(AD225*(1+INDEX(Response_Table!$G$4:$G$21,MATCH($F225&amp;"|low",Response_Table!$A$4:$A$21,0))*$R225*INDEX(Parameters!$X$6:$AA$6,1,MATCH($E225,Parameters!$X$3:$AA$3,0))),AD225*(1+INDEX(Response_Table!$G$4:$G$21,MATCH($F225&amp;"|high",Response_Table!$A$4:$A$21,0))*$R225*INDEX(Parameters!$X$6:$AA$6,1,MATCH($E225,Parameters!$X$3:$AA$3,0))))*(1-Inputs_General!$C$22*Parameters!$F$6))</f>
        <v>15.2069195285714</v>
      </c>
      <c r="AG225" s="38" t="n">
        <f aca="false">MAX(AD225*(1+INDEX(Response_Table!$G$4:$G$21,MATCH($F225&amp;"|low",Response_Table!$A$4:$A$21,0))*$R225*INDEX(Parameters!$X$6:$AA$6,1,MATCH($E225,Parameters!$X$3:$AA$3,0))),AD225*(1+INDEX(Response_Table!$G$4:$G$21,MATCH($F225&amp;"|high",Response_Table!$A$4:$A$21,0))*$R225*INDEX(Parameters!$X$6:$AA$6,1,MATCH($E225,Parameters!$X$3:$AA$3,0))))*(1+Inputs_General!$C$22*Parameters!$F$6)</f>
        <v>22.6872233285714</v>
      </c>
      <c r="AH225" s="39" t="n">
        <f aca="false">IF(AD225=0,0,AE225/AD225-1)</f>
        <v>0</v>
      </c>
      <c r="AI225" s="40" t="n">
        <f aca="false">Parameters!$E$7*IF($N225="V",Parameters!$I$7,IF($N225="F",Parameters!$J$7,Parameters!$K$7))*(1-Parameters!$L$7*$P225)*IF($D225="V1",Parameters!$M$7,IF($D225="V2",Parameters!$N$7,Parameters!$O$7))*POWER($Q225/Inputs_General!$C$26,-Inputs_General!$C$25)</f>
        <v>0.411663164578586</v>
      </c>
      <c r="AJ225" s="40" t="n">
        <f aca="false">AI225*(1+INDEX(Response_Table!$H$4:$H$21,MATCH($F225&amp;"|mid",Response_Table!$A$4:$A$21,0))*$R225*INDEX(Parameters!$X$7:$AA$7,1,MATCH($E225,Parameters!$X$3:$AA$3,0)))</f>
        <v>0.411663164578586</v>
      </c>
      <c r="AK225" s="40" t="n">
        <f aca="false">MAX(0,MIN(AI225*(1+INDEX(Response_Table!$H$4:$H$21,MATCH($F225&amp;"|low",Response_Table!$A$4:$A$21,0))*$R225*INDEX(Parameters!$X$7:$AA$7,1,MATCH($E225,Parameters!$X$3:$AA$3,0))),AI225*(1+INDEX(Response_Table!$H$4:$H$21,MATCH($F225&amp;"|high",Response_Table!$A$4:$A$21,0))*$R225*INDEX(Parameters!$X$7:$AA$7,1,MATCH($E225,Parameters!$X$3:$AA$3,0))))*(1-Inputs_General!$C$22*Parameters!$F$7))</f>
        <v>0.289769701546867</v>
      </c>
      <c r="AL225" s="40" t="n">
        <f aca="false">MAX(AI225*(1+INDEX(Response_Table!$H$4:$H$21,MATCH($F225&amp;"|low",Response_Table!$A$4:$A$21,0))*$R225*INDEX(Parameters!$X$7:$AA$7,1,MATCH($E225,Parameters!$X$3:$AA$3,0))),AI225*(1+INDEX(Response_Table!$H$4:$H$21,MATCH($F225&amp;"|high",Response_Table!$A$4:$A$21,0))*$R225*INDEX(Parameters!$X$7:$AA$7,1,MATCH($E225,Parameters!$X$3:$AA$3,0))))*(1+Inputs_General!$C$22*Parameters!$F$7)</f>
        <v>0.533556627610306</v>
      </c>
      <c r="AM225" s="39" t="n">
        <f aca="false">IF(AI225=0,0,AJ225/AI225-1)</f>
        <v>0</v>
      </c>
      <c r="AN225" s="37" t="n">
        <f aca="false">AI225*$Q225/Inputs_General!$C$13*1000</f>
        <v>4.95374641196979</v>
      </c>
      <c r="AO225" s="37" t="n">
        <f aca="false">AJ225*$Q225/Inputs_General!$C$13*1000*(1+Inputs_General!$C$21*$I225)</f>
        <v>4.95374641196979</v>
      </c>
      <c r="AP225" s="37" t="n">
        <f aca="false">AK225*$Q225/Inputs_General!$C$13*1000*(1+Inputs_General!$C$21*$H225)</f>
        <v>3.48694209938553</v>
      </c>
      <c r="AQ225" s="37" t="n">
        <f aca="false">AL225*$Q225/Inputs_General!$C$13*1000*(1+Inputs_General!$C$21*$J225)</f>
        <v>6.42055072455404</v>
      </c>
      <c r="AR225" s="39" t="n">
        <f aca="false">IF(AN225=0,0,AO225/AN225-1)</f>
        <v>0</v>
      </c>
      <c r="AS225" s="36" t="n">
        <f aca="false">Parameters!$E$9*IF($N225="V",Parameters!$I$9,IF($N225="F",Parameters!$J$9,Parameters!$K$9))*(1-Parameters!$L$9*$P225)*IF($D225="V1",Parameters!$M$9,IF($D225="V2",Parameters!$N$9,Parameters!$O$9))</f>
        <v>285</v>
      </c>
      <c r="AT225" s="36" t="n">
        <f aca="false">AS225*(1+INDEX(Response_Table!$I$4:$I$21,MATCH($F225&amp;"|mid",Response_Table!$A$4:$A$21,0))*$R225*INDEX(Parameters!$X$9:$AA$9,1,MATCH($E225,Parameters!$X$3:$AA$3,0)))</f>
        <v>285</v>
      </c>
      <c r="AU225" s="36" t="n">
        <f aca="false">MAX(0,MIN(AS225*(1+INDEX(Response_Table!$I$4:$I$21,MATCH($F225&amp;"|low",Response_Table!$A$4:$A$21,0))*$R225*INDEX(Parameters!$X$9:$AA$9,1,MATCH($E225,Parameters!$X$3:$AA$3,0))),AS225*(1+INDEX(Response_Table!$I$4:$I$21,MATCH($F225&amp;"|high",Response_Table!$A$4:$A$21,0))*$R225*INDEX(Parameters!$X$9:$AA$9,1,MATCH($E225,Parameters!$X$3:$AA$3,0))))*(1-Inputs_General!$C$22*Parameters!$F$9))</f>
        <v>256.8705</v>
      </c>
      <c r="AV225" s="36" t="n">
        <f aca="false">MAX(AS225*(1+INDEX(Response_Table!$I$4:$I$21,MATCH($F225&amp;"|low",Response_Table!$A$4:$A$21,0))*$R225*INDEX(Parameters!$X$9:$AA$9,1,MATCH($E225,Parameters!$X$3:$AA$3,0))),AS225*(1+INDEX(Response_Table!$I$4:$I$21,MATCH($F225&amp;"|high",Response_Table!$A$4:$A$21,0))*$R225*INDEX(Parameters!$X$9:$AA$9,1,MATCH($E225,Parameters!$X$3:$AA$3,0))))*(1+Inputs_General!$C$22*Parameters!$F$9)</f>
        <v>313.1295</v>
      </c>
      <c r="AW225" s="39" t="n">
        <f aca="false">IF(AS225=0,0,AT225/AS225-1)</f>
        <v>0</v>
      </c>
      <c r="AX225" s="37" t="n">
        <f aca="false">INDEX(Context!$AB$4:$AB$51,$K225)</f>
        <v>1.33809111737271</v>
      </c>
      <c r="AY225" s="37" t="n">
        <f aca="false">AX225*(1+INDEX(Response_Table!$J$4:$J$21,MATCH($F225&amp;"|mid",Response_Table!$A$4:$A$21,0))*$R225*INDEX(Parameters!$X$10:$AA$10,1,MATCH($E225,Parameters!$X$3:$AA$3,0)))</f>
        <v>1.33809111737271</v>
      </c>
      <c r="AZ225" s="37" t="n">
        <f aca="false">MAX(0,MIN(AX225*(1+INDEX(Response_Table!$J$4:$J$21,MATCH($F225&amp;"|low",Response_Table!$A$4:$A$21,0))*$R225*INDEX(Parameters!$X$10:$AA$10,1,MATCH($E225,Parameters!$X$3:$AA$3,0))),AX225*(1+INDEX(Response_Table!$J$4:$J$21,MATCH($F225&amp;"|high",Response_Table!$A$4:$A$21,0))*$R225*INDEX(Parameters!$X$10:$AA$10,1,MATCH($E225,Parameters!$X$3:$AA$3,0))))*(1-Inputs_General!$C$22*Parameters!$F$10))</f>
        <v>1.07395193080334</v>
      </c>
      <c r="BA225" s="37" t="n">
        <f aca="false">MAX(AX225*(1+INDEX(Response_Table!$J$4:$J$21,MATCH($F225&amp;"|low",Response_Table!$A$4:$A$21,0))*$R225*INDEX(Parameters!$X$10:$AA$10,1,MATCH($E225,Parameters!$X$3:$AA$3,0))),AX225*(1+INDEX(Response_Table!$J$4:$J$21,MATCH($F225&amp;"|high",Response_Table!$A$4:$A$21,0))*$R225*INDEX(Parameters!$X$10:$AA$10,1,MATCH($E225,Parameters!$X$3:$AA$3,0))))*(1+Inputs_General!$C$22*Parameters!$F$10)</f>
        <v>1.60223030394208</v>
      </c>
      <c r="BB225" s="39" t="n">
        <f aca="false">IF(AX225=0,0,AY225/AX225-1)</f>
        <v>0</v>
      </c>
      <c r="BC225" s="40" t="n">
        <f aca="false">Parameters!$E$11*IF($N225="V",Parameters!$I$11,IF($N225="F",Parameters!$J$11,Parameters!$K$11))*(1-Parameters!$L$11*$P225)*IF($D225="V1",Parameters!$M$11,IF($D225="V2",Parameters!$N$11,Parameters!$O$11))</f>
        <v>1.18584598214286</v>
      </c>
      <c r="BD225" s="40" t="n">
        <f aca="false">BC225*(1+INDEX(Response_Table!$K$4:$K$21,MATCH($F225&amp;"|mid",Response_Table!$A$4:$A$21,0))*$R225*INDEX(Parameters!$X$11:$AA$11,1,MATCH($E225,Parameters!$X$3:$AA$3,0)))</f>
        <v>1.18584598214286</v>
      </c>
      <c r="BE225" s="40" t="n">
        <f aca="false">MAX(0,MIN(BC225*(1+INDEX(Response_Table!$K$4:$K$21,MATCH($F225&amp;"|low",Response_Table!$A$4:$A$21,0))*$R225*INDEX(Parameters!$X$11:$AA$11,1,MATCH($E225,Parameters!$X$3:$AA$3,0))),BC225*(1+INDEX(Response_Table!$K$4:$K$21,MATCH($F225&amp;"|high",Response_Table!$A$4:$A$21,0))*$R225*INDEX(Parameters!$X$11:$AA$11,1,MATCH($E225,Parameters!$X$3:$AA$3,0))))*(1-Inputs_General!$C$22*Parameters!$F$11))</f>
        <v>0.990774318080357</v>
      </c>
      <c r="BF225" s="40" t="n">
        <f aca="false">MAX(BC225*(1+INDEX(Response_Table!$K$4:$K$21,MATCH($F225&amp;"|low",Response_Table!$A$4:$A$21,0))*$R225*INDEX(Parameters!$X$11:$AA$11,1,MATCH($E225,Parameters!$X$3:$AA$3,0))),BC225*(1+INDEX(Response_Table!$K$4:$K$21,MATCH($F225&amp;"|high",Response_Table!$A$4:$A$21,0))*$R225*INDEX(Parameters!$X$11:$AA$11,1,MATCH($E225,Parameters!$X$3:$AA$3,0))))*(1+Inputs_General!$C$22*Parameters!$F$11)</f>
        <v>1.38091764620536</v>
      </c>
      <c r="BG225" s="39" t="n">
        <f aca="false">IF(BC225=0,0,BD225/BC225-1)</f>
        <v>0</v>
      </c>
      <c r="BH225" s="40" t="n">
        <f aca="false">Parameters!$E$12*IF($N225="V",Parameters!$I$12,IF($N225="F",Parameters!$J$12,Parameters!$K$12))*(1-Parameters!$L$12*$P225)*IF($D225="V1",Parameters!$M$12,IF($D225="V2",Parameters!$N$12,Parameters!$O$12))</f>
        <v>0.426904553571429</v>
      </c>
      <c r="BI225" s="40" t="n">
        <f aca="false">BH225*(1+INDEX(Response_Table!$L$4:$L$21,MATCH($F225&amp;"|mid",Response_Table!$A$4:$A$21,0))*$R225*INDEX(Parameters!$X$12:$AA$12,1,MATCH($E225,Parameters!$X$3:$AA$3,0)))</f>
        <v>0.426904553571429</v>
      </c>
      <c r="BJ225" s="40" t="n">
        <f aca="false">MAX(0,MIN(BH225*(1+INDEX(Response_Table!$L$4:$L$21,MATCH($F225&amp;"|low",Response_Table!$A$4:$A$21,0))*$R225*INDEX(Parameters!$X$12:$AA$12,1,MATCH($E225,Parameters!$X$3:$AA$3,0))),BH225*(1+INDEX(Response_Table!$L$4:$L$21,MATCH($F225&amp;"|high",Response_Table!$A$4:$A$21,0))*$R225*INDEX(Parameters!$X$12:$AA$12,1,MATCH($E225,Parameters!$X$3:$AA$3,0))))*(1-Inputs_General!$C$22*Parameters!$F$12))</f>
        <v>0.342633594696429</v>
      </c>
      <c r="BK225" s="40" t="n">
        <f aca="false">MAX(BH225*(1+INDEX(Response_Table!$L$4:$L$21,MATCH($F225&amp;"|low",Response_Table!$A$4:$A$21,0))*$R225*INDEX(Parameters!$X$12:$AA$12,1,MATCH($E225,Parameters!$X$3:$AA$3,0))),BH225*(1+INDEX(Response_Table!$L$4:$L$21,MATCH($F225&amp;"|high",Response_Table!$A$4:$A$21,0))*$R225*INDEX(Parameters!$X$12:$AA$12,1,MATCH($E225,Parameters!$X$3:$AA$3,0))))*(1+Inputs_General!$C$22*Parameters!$F$12)</f>
        <v>0.511175512446429</v>
      </c>
      <c r="BL225" s="39" t="n">
        <f aca="false">IF(BH225=0,0,BI225/BH225-1)</f>
        <v>0</v>
      </c>
      <c r="BM225" s="40" t="n">
        <f aca="false">Parameters!$E$13*IF($N225="V",Parameters!$I$13,IF($N225="F",Parameters!$J$13,Parameters!$K$13))*(1-Parameters!$L$13*$P225)*IF($D225="V1",Parameters!$M$13,IF($D225="V2",Parameters!$N$13,Parameters!$O$13))</f>
        <v>0.284801517857143</v>
      </c>
      <c r="BN225" s="40" t="n">
        <f aca="false">BM225*(1+INDEX(Response_Table!$M$4:$M$21,MATCH($F225&amp;"|mid",Response_Table!$A$4:$A$21,0))*$R225*INDEX(Parameters!$X$13:$AA$13,1,MATCH($E225,Parameters!$X$3:$AA$3,0)))</f>
        <v>0.284801517857143</v>
      </c>
      <c r="BO225" s="40" t="n">
        <f aca="false">MAX(0,MIN(BM225*(1+INDEX(Response_Table!$M$4:$M$21,MATCH($F225&amp;"|low",Response_Table!$A$4:$A$21,0))*$R225*INDEX(Parameters!$X$13:$AA$13,1,MATCH($E225,Parameters!$X$3:$AA$3,0))),BM225*(1+INDEX(Response_Table!$M$4:$M$21,MATCH($F225&amp;"|high",Response_Table!$A$4:$A$21,0))*$R225*INDEX(Parameters!$X$13:$AA$13,1,MATCH($E225,Parameters!$X$3:$AA$3,0))))*(1-Inputs_General!$C$22*Parameters!$F$13))</f>
        <v>0.228581698232143</v>
      </c>
      <c r="BP225" s="40" t="n">
        <f aca="false">MAX(BM225*(1+INDEX(Response_Table!$M$4:$M$21,MATCH($F225&amp;"|low",Response_Table!$A$4:$A$21,0))*$R225*INDEX(Parameters!$X$13:$AA$13,1,MATCH($E225,Parameters!$X$3:$AA$3,0))),BM225*(1+INDEX(Response_Table!$M$4:$M$21,MATCH($F225&amp;"|high",Response_Table!$A$4:$A$21,0))*$R225*INDEX(Parameters!$X$13:$AA$13,1,MATCH($E225,Parameters!$X$3:$AA$3,0))))*(1+Inputs_General!$C$22*Parameters!$F$13)</f>
        <v>0.341021337482143</v>
      </c>
      <c r="BQ225" s="39" t="n">
        <f aca="false">IF(BM225=0,0,BN225/BM225-1)</f>
        <v>0</v>
      </c>
      <c r="BR225" s="38" t="n">
        <f aca="false">Parameters!$E$14*IF($N225="V",Parameters!$I$14,IF($N225="F",Parameters!$J$14,Parameters!$K$14))*(1-Parameters!$L$14*$P225)*IF($D225="V1",Parameters!$M$14,IF($D225="V2",Parameters!$N$14,Parameters!$O$14))*INDEX(Context!$AC$4:$AC$51,$K225)</f>
        <v>18.975</v>
      </c>
      <c r="BS225" s="38" t="n">
        <f aca="false">BR225*(1+INDEX(Response_Table!$N$4:$N$21,MATCH($F225&amp;"|mid",Response_Table!$A$4:$A$21,0))*$R225*INDEX(Parameters!$X$14:$AA$14,1,MATCH($E225,Parameters!$X$3:$AA$3,0)))</f>
        <v>18.975</v>
      </c>
      <c r="BT225" s="38" t="n">
        <f aca="false">MAX(0,MIN(BR225*(1+INDEX(Response_Table!$N$4:$N$21,MATCH($F225&amp;"|low",Response_Table!$A$4:$A$21,0))*$R225*INDEX(Parameters!$X$14:$AA$14,1,MATCH($E225,Parameters!$X$3:$AA$3,0))),BR225*(1+INDEX(Response_Table!$N$4:$N$21,MATCH($F225&amp;"|high",Response_Table!$A$4:$A$21,0))*$R225*INDEX(Parameters!$X$14:$AA$14,1,MATCH($E225,Parameters!$X$3:$AA$3,0))))*(1-Inputs_General!$C$22*Parameters!$F$14))</f>
        <v>9.6108375</v>
      </c>
      <c r="BU225" s="38" t="n">
        <f aca="false">MAX(BR225*(1+INDEX(Response_Table!$N$4:$N$21,MATCH($F225&amp;"|low",Response_Table!$A$4:$A$21,0))*$R225*INDEX(Parameters!$X$14:$AA$14,1,MATCH($E225,Parameters!$X$3:$AA$3,0))),BR225*(1+INDEX(Response_Table!$N$4:$N$21,MATCH($F225&amp;"|high",Response_Table!$A$4:$A$21,0))*$R225*INDEX(Parameters!$X$14:$AA$14,1,MATCH($E225,Parameters!$X$3:$AA$3,0))))*(1+Inputs_General!$C$22*Parameters!$F$14)</f>
        <v>28.3391625</v>
      </c>
      <c r="BV225" s="39" t="n">
        <f aca="false">IF(BR225=0,0,BS225/BR225-1)</f>
        <v>0</v>
      </c>
      <c r="BW225" s="37" t="n">
        <f aca="false">Parameters!$E$15*IF($N225="V",Parameters!$I$15,IF($N225="F",Parameters!$J$15,Parameters!$K$15))*(1-Parameters!$L$15*$P225)*IF($D225="V1",Parameters!$M$15,IF($D225="V2",Parameters!$N$15,Parameters!$O$15))</f>
        <v>11.2163554285714</v>
      </c>
      <c r="BX225" s="37" t="n">
        <f aca="false">BW225*(1+INDEX(Response_Table!$O$4:$O$21,MATCH($F225&amp;"|mid",Response_Table!$A$4:$A$21,0))*$R225*INDEX(Parameters!$X$15:$AA$15,1,MATCH($E225,Parameters!$X$3:$AA$3,0)))</f>
        <v>11.2163554285714</v>
      </c>
      <c r="BY225" s="37" t="n">
        <f aca="false">MAX(0,MIN(BW225*(1+INDEX(Response_Table!$O$4:$O$21,MATCH($F225&amp;"|low",Response_Table!$A$4:$A$21,0))*$R225*INDEX(Parameters!$X$15:$AA$15,1,MATCH($E225,Parameters!$X$3:$AA$3,0))),BW225*(1+INDEX(Response_Table!$O$4:$O$21,MATCH($F225&amp;"|high",Response_Table!$A$4:$A$21,0))*$R225*INDEX(Parameters!$X$15:$AA$15,1,MATCH($E225,Parameters!$X$3:$AA$3,0))))*(1-Inputs_General!$C$22*Parameters!$F$15))</f>
        <v>9.00224686697143</v>
      </c>
      <c r="BZ225" s="37" t="n">
        <f aca="false">MAX(BW225*(1+INDEX(Response_Table!$O$4:$O$21,MATCH($F225&amp;"|low",Response_Table!$A$4:$A$21,0))*$R225*INDEX(Parameters!$X$15:$AA$15,1,MATCH($E225,Parameters!$X$3:$AA$3,0))),BW225*(1+INDEX(Response_Table!$O$4:$O$21,MATCH($F225&amp;"|high",Response_Table!$A$4:$A$21,0))*$R225*INDEX(Parameters!$X$15:$AA$15,1,MATCH($E225,Parameters!$X$3:$AA$3,0))))*(1+Inputs_General!$C$22*Parameters!$F$15)</f>
        <v>13.4304639901714</v>
      </c>
      <c r="CA225" s="39" t="n">
        <f aca="false">IF(BW225=0,0,BX225/BW225-1)</f>
        <v>0</v>
      </c>
      <c r="CB225" s="40" t="n">
        <f aca="false">BD225+BI225</f>
        <v>1.61275053571429</v>
      </c>
      <c r="CC225" s="37" t="n">
        <f aca="false">BD225/BI225</f>
        <v>2.77777777777778</v>
      </c>
      <c r="CD225" s="40" t="n">
        <f aca="false">BN225/CB225</f>
        <v>0.176593658814694</v>
      </c>
      <c r="CE225" s="37" t="n">
        <f aca="false">AE225/AO225</f>
        <v>3.82479639708432</v>
      </c>
      <c r="CF225" s="38" t="n">
        <f aca="false">AE225/AJ225</f>
        <v>46.0256662700615</v>
      </c>
      <c r="CG225" s="38" t="n">
        <f aca="false">INDEX(Context!$V$4:$V$51,$K225)</f>
        <v>25.5785714285714</v>
      </c>
      <c r="CH225" s="38" t="n">
        <f aca="false">INDEX(Context!$Y$4:$Y$51,$K225)</f>
        <v>23.620522619794</v>
      </c>
      <c r="CI225" s="38" t="n">
        <f aca="false">INDEX(Context!$Z$4:$Z$51,$K225)</f>
        <v>29.5785714285714</v>
      </c>
      <c r="CJ225" s="37" t="n">
        <f aca="false">INDEX(Context!$AA$4:$AA$51,$K225)</f>
        <v>0.121160714285714</v>
      </c>
      <c r="CK225" s="37" t="n">
        <f aca="false">MAX(0,MIN(1,1-(1-CJ225)*AO225/AN225))</f>
        <v>0.121160714285714</v>
      </c>
      <c r="CL225" s="38" t="n">
        <f aca="false">CH225+CK225*(CI225-CH225)</f>
        <v>24.3424040692146</v>
      </c>
      <c r="CM225" s="38" t="n">
        <f aca="false">CH225+MAX(0,MIN(1,1-(1-CJ225)*AQ225/AN225))*(CI225-CH225)</f>
        <v>23.620522619794</v>
      </c>
      <c r="CN225" s="38" t="n">
        <f aca="false">CH225+MAX(0,MIN(1,1-(1-CJ225)*AP225/AN225))*(CI225-CH225)</f>
        <v>25.8928332243202</v>
      </c>
      <c r="CO225" s="38" t="n">
        <f aca="false">CL225-CG225</f>
        <v>-1.2361673593568</v>
      </c>
      <c r="CP225" s="38" t="n">
        <f aca="false">CL225-(CH225+CJ225*(CI225-CH225))</f>
        <v>0</v>
      </c>
      <c r="CQ225" s="40" t="n">
        <f aca="false">CL225/CG225</f>
        <v>0.951671759198561</v>
      </c>
      <c r="CR225" s="37" t="n">
        <f aca="false">IF(CL225-CH225&lt;=0,"n/a",(CI225-CL225)/(CL225-CH225))</f>
        <v>7.25350036845984</v>
      </c>
      <c r="CS225" s="37" t="n">
        <f aca="false">IF(CI225-CL225&lt;=0,"n/a",(CL225-CH225)/(CI225-CL225))</f>
        <v>0.137864472213756</v>
      </c>
      <c r="CT225" s="37" t="n">
        <f aca="false">Inputs_General!$C$23+Inputs_General!$C$24*$I225</f>
        <v>0.6</v>
      </c>
      <c r="CU225" s="38" t="n">
        <f aca="false">3.29*CT225</f>
        <v>1.974</v>
      </c>
    </row>
    <row r="226" customFormat="false" ht="15" hidden="false" customHeight="false" outlineLevel="0" collapsed="false">
      <c r="A226" s="9" t="str">
        <f aca="false">B226&amp;"|"&amp;E226&amp;"|"&amp;F226</f>
        <v>D4V1|24/02/2026|Very low</v>
      </c>
      <c r="B226" s="7" t="s">
        <v>352</v>
      </c>
      <c r="C226" s="9" t="s">
        <v>133</v>
      </c>
      <c r="D226" s="9" t="s">
        <v>142</v>
      </c>
      <c r="E226" s="9" t="s">
        <v>160</v>
      </c>
      <c r="F226" s="7" t="s">
        <v>277</v>
      </c>
      <c r="G226" s="9" t="s">
        <v>278</v>
      </c>
      <c r="H226" s="41" t="n">
        <f aca="false">INDEX(Severity_Classes!$C$4:$C$9,MATCH(F226,Severity_Classes!$A$4:$A$9,0))</f>
        <v>0.01</v>
      </c>
      <c r="I226" s="41" t="n">
        <f aca="false">INDEX(Severity_Classes!$D$4:$D$9,MATCH(F226,Severity_Classes!$A$4:$A$9,0))</f>
        <v>0.03</v>
      </c>
      <c r="J226" s="41" t="n">
        <f aca="false">INDEX(Severity_Classes!$E$4:$E$9,MATCH(F226,Severity_Classes!$A$4:$A$9,0))</f>
        <v>0.05</v>
      </c>
      <c r="K226" s="42" t="n">
        <f aca="false">MATCH(B226&amp;"|"&amp;E226,Context!$A$4:$A$51,0)</f>
        <v>38</v>
      </c>
      <c r="L226" s="42" t="n">
        <f aca="false">INDEX(Context!$H$4:$H$51,K226)</f>
        <v>46</v>
      </c>
      <c r="M226" s="42" t="n">
        <f aca="false">INDEX(Context!$I$4:$I$51,K226)</f>
        <v>19</v>
      </c>
      <c r="N226" s="9" t="str">
        <f aca="false">INDEX(Context!$L$4:$L$51,K226)</f>
        <v>V</v>
      </c>
      <c r="O226" s="9" t="str">
        <f aca="false">INDEX(Context!$M$4:$M$51,K226)</f>
        <v>3rd fully expanded leaf from top</v>
      </c>
      <c r="P226" s="43" t="n">
        <f aca="false">INDEX(Context!$R$4:$R$51,K226)</f>
        <v>0.0232142857142859</v>
      </c>
      <c r="Q226" s="43" t="n">
        <f aca="false">INDEX(Context!$U$4:$U$51,K226)</f>
        <v>1.19492600027053</v>
      </c>
      <c r="R226" s="43" t="n">
        <f aca="false">INDEX(Context!$AD$4:$AD$51,K226)</f>
        <v>1</v>
      </c>
      <c r="S226" s="9" t="str">
        <f aca="false">INDEX(Context!$AI$4:$AN$51,K226,MATCH(F226,Severity_Classes!$A$4:$A$9,0))</f>
        <v>Likely</v>
      </c>
      <c r="T226" s="44" t="n">
        <f aca="false">Parameters!$E$4*IF($N226="V",Parameters!$I$4,IF($N226="F",Parameters!$J$4,Parameters!$K$4))*(1-Parameters!$L$4*$P226)*IF($D226="V1",Parameters!$M$4,IF($D226="V2",Parameters!$N$4,Parameters!$O$4))</f>
        <v>85.9001785714286</v>
      </c>
      <c r="U226" s="44" t="n">
        <f aca="false">MIN(100,T226*(1+INDEX(Response_Table!$E$4:$E$21,MATCH($F226&amp;"|mid",Response_Table!$A$4:$A$21,0))*$R226*INDEX(Parameters!$X$4:$AA$4,1,MATCH($E226,Parameters!$X$3:$AA$3,0))))</f>
        <v>85.5298337985641</v>
      </c>
      <c r="V226" s="44" t="n">
        <f aca="false">MAX(0,MIN(T226*(1+INDEX(Response_Table!$E$4:$E$21,MATCH($F226&amp;"|low",Response_Table!$A$4:$A$21,0))*$R226*INDEX(Parameters!$X$4:$AA$4,1,MATCH($E226,Parameters!$X$3:$AA$3,0))),T226*(1+INDEX(Response_Table!$E$4:$E$21,MATCH($F226&amp;"|high",Response_Table!$A$4:$A$21,0))*$R226*INDEX(Parameters!$X$4:$AA$4,1,MATCH($E226,Parameters!$X$3:$AA$3,0))))*(1-Inputs_General!$C$22*Parameters!$F$4))</f>
        <v>79.6256387846923</v>
      </c>
      <c r="W226" s="44" t="n">
        <f aca="false">MIN(100,MAX(T226*(1+INDEX(Response_Table!$E$4:$E$21,MATCH($F226&amp;"|low",Response_Table!$A$4:$A$21,0))*$R226*INDEX(Parameters!$X$4:$AA$4,1,MATCH($E226,Parameters!$X$3:$AA$3,0))),T226*(1+INDEX(Response_Table!$E$4:$E$21,MATCH($F226&amp;"|high",Response_Table!$A$4:$A$21,0))*$R226*INDEX(Parameters!$X$4:$AA$4,1,MATCH($E226,Parameters!$X$3:$AA$3,0))))*(1+Inputs_General!$C$22*Parameters!$F$4))</f>
        <v>91.430422037039</v>
      </c>
      <c r="X226" s="45" t="n">
        <f aca="false">IF(T226=0,0,U226/T226-1)</f>
        <v>-0.00431133880072854</v>
      </c>
      <c r="Y226" s="44" t="n">
        <f aca="false">Parameters!$E$5*IF($N226="V",Parameters!$I$5,IF($N226="F",Parameters!$J$5,Parameters!$K$5))*(1-Parameters!$L$5*$P226)*IF($D226="V1",Parameters!$M$5,IF($D226="V2",Parameters!$N$5,Parameters!$O$5))</f>
        <v>71.7994285714286</v>
      </c>
      <c r="Z226" s="44" t="n">
        <f aca="false">MIN(100,Y226*(1+INDEX(Response_Table!$F$4:$F$21,MATCH($F226&amp;"|mid",Response_Table!$A$4:$A$21,0))*$R226*INDEX(Parameters!$X$5:$AA$5,1,MATCH($E226,Parameters!$X$3:$AA$3,0))))</f>
        <v>70.811271657065</v>
      </c>
      <c r="AA226" s="44" t="n">
        <f aca="false">MAX(0,MIN(Y226*(1+INDEX(Response_Table!$F$4:$F$21,MATCH($F226&amp;"|low",Response_Table!$A$4:$A$21,0))*$R226*INDEX(Parameters!$X$5:$AA$5,1,MATCH($E226,Parameters!$X$3:$AA$3,0))),Y226*(1+INDEX(Response_Table!$F$4:$F$21,MATCH($F226&amp;"|high",Response_Table!$A$4:$A$21,0))*$R226*INDEX(Parameters!$X$5:$AA$5,1,MATCH($E226,Parameters!$X$3:$AA$3,0))))*(1-Inputs_General!$C$22*Parameters!$F$5))</f>
        <v>61.9372137967165</v>
      </c>
      <c r="AB226" s="44" t="n">
        <f aca="false">MIN(100,MAX(Y226*(1+INDEX(Response_Table!$F$4:$F$21,MATCH($F226&amp;"|low",Response_Table!$A$4:$A$21,0))*$R226*INDEX(Parameters!$X$5:$AA$5,1,MATCH($E226,Parameters!$X$3:$AA$3,0))),Y226*(1+INDEX(Response_Table!$F$4:$F$21,MATCH($F226&amp;"|high",Response_Table!$A$4:$A$21,0))*$R226*INDEX(Parameters!$X$5:$AA$5,1,MATCH($E226,Parameters!$X$3:$AA$3,0))))*(1+Inputs_General!$C$22*Parameters!$F$5))</f>
        <v>79.7312595556905</v>
      </c>
      <c r="AC226" s="45" t="n">
        <f aca="false">IF(Y226=0,0,Z226/Y226-1)</f>
        <v>-0.0137627406516267</v>
      </c>
      <c r="AD226" s="44" t="n">
        <f aca="false">Parameters!$E$6*IF($N226="V",Parameters!$I$6,IF($N226="F",Parameters!$J$6,Parameters!$K$6))*(1-Parameters!$L$6*$P226)*IF($D226="V1",Parameters!$M$6,IF($D226="V2",Parameters!$N$6,Parameters!$O$6))</f>
        <v>18.9470714285714</v>
      </c>
      <c r="AE226" s="44" t="n">
        <f aca="false">AD226*(1+INDEX(Response_Table!$G$4:$G$21,MATCH($F226&amp;"|mid",Response_Table!$A$4:$A$21,0))*$R226*INDEX(Parameters!$X$6:$AA$6,1,MATCH($E226,Parameters!$X$3:$AA$3,0)))</f>
        <v>17.1898394293085</v>
      </c>
      <c r="AF226" s="44" t="n">
        <f aca="false">MAX(0,MIN(AD226*(1+INDEX(Response_Table!$G$4:$G$21,MATCH($F226&amp;"|low",Response_Table!$A$4:$A$21,0))*$R226*INDEX(Parameters!$X$6:$AA$6,1,MATCH($E226,Parameters!$X$3:$AA$3,0))),AD226*(1+INDEX(Response_Table!$G$4:$G$21,MATCH($F226&amp;"|high",Response_Table!$A$4:$A$21,0))*$R226*INDEX(Parameters!$X$6:$AA$6,1,MATCH($E226,Parameters!$X$3:$AA$3,0))))*(1-Inputs_General!$C$22*Parameters!$F$6))</f>
        <v>12.9546089677288</v>
      </c>
      <c r="AG226" s="44" t="n">
        <f aca="false">MAX(AD226*(1+INDEX(Response_Table!$G$4:$G$21,MATCH($F226&amp;"|low",Response_Table!$A$4:$A$21,0))*$R226*INDEX(Parameters!$X$6:$AA$6,1,MATCH($E226,Parameters!$X$3:$AA$3,0))),AD226*(1+INDEX(Response_Table!$G$4:$G$21,MATCH($F226&amp;"|high",Response_Table!$A$4:$A$21,0))*$R226*INDEX(Parameters!$X$6:$AA$6,1,MATCH($E226,Parameters!$X$3:$AA$3,0))))*(1+Inputs_General!$C$22*Parameters!$F$6)</f>
        <v>21.9547769434063</v>
      </c>
      <c r="AH226" s="45" t="n">
        <f aca="false">IF(AD226=0,0,AE226/AD226-1)</f>
        <v>-0.0927442536904702</v>
      </c>
      <c r="AI226" s="46" t="n">
        <f aca="false">Parameters!$E$7*IF($N226="V",Parameters!$I$7,IF($N226="F",Parameters!$J$7,Parameters!$K$7))*(1-Parameters!$L$7*$P226)*IF($D226="V1",Parameters!$M$7,IF($D226="V2",Parameters!$N$7,Parameters!$O$7))*POWER($Q226/Inputs_General!$C$26,-Inputs_General!$C$25)</f>
        <v>0.411663164578586</v>
      </c>
      <c r="AJ226" s="46" t="n">
        <f aca="false">AI226*(1+INDEX(Response_Table!$H$4:$H$21,MATCH($F226&amp;"|mid",Response_Table!$A$4:$A$21,0))*$R226*INDEX(Parameters!$X$7:$AA$7,1,MATCH($E226,Parameters!$X$3:$AA$3,0)))</f>
        <v>0.388632780160783</v>
      </c>
      <c r="AK226" s="46" t="n">
        <f aca="false">MAX(0,MIN(AI226*(1+INDEX(Response_Table!$H$4:$H$21,MATCH($F226&amp;"|low",Response_Table!$A$4:$A$21,0))*$R226*INDEX(Parameters!$X$7:$AA$7,1,MATCH($E226,Parameters!$X$3:$AA$3,0))),AI226*(1+INDEX(Response_Table!$H$4:$H$21,MATCH($F226&amp;"|high",Response_Table!$A$4:$A$21,0))*$R226*INDEX(Parameters!$X$7:$AA$7,1,MATCH($E226,Parameters!$X$3:$AA$3,0))))*(1-Inputs_General!$C$22*Parameters!$F$7))</f>
        <v>0.263534006282406</v>
      </c>
      <c r="AL226" s="46" t="n">
        <f aca="false">MAX(AI226*(1+INDEX(Response_Table!$H$4:$H$21,MATCH($F226&amp;"|low",Response_Table!$A$4:$A$21,0))*$R226*INDEX(Parameters!$X$7:$AA$7,1,MATCH($E226,Parameters!$X$3:$AA$3,0))),AI226*(1+INDEX(Response_Table!$H$4:$H$21,MATCH($F226&amp;"|high",Response_Table!$A$4:$A$21,0))*$R226*INDEX(Parameters!$X$7:$AA$7,1,MATCH($E226,Parameters!$X$3:$AA$3,0))))*(1+Inputs_General!$C$22*Parameters!$F$7)</f>
        <v>0.523306789667364</v>
      </c>
      <c r="AM226" s="45" t="n">
        <f aca="false">IF(AI226=0,0,AJ226/AI226-1)</f>
        <v>-0.0559447295737017</v>
      </c>
      <c r="AN226" s="43" t="n">
        <f aca="false">AI226*$Q226/Inputs_General!$C$13*1000</f>
        <v>4.95374641196979</v>
      </c>
      <c r="AO226" s="43" t="n">
        <f aca="false">AJ226*$Q226/Inputs_General!$C$13*1000*(1+Inputs_General!$C$21*$I226)</f>
        <v>4.71168498663976</v>
      </c>
      <c r="AP226" s="43" t="n">
        <f aca="false">AK226*$Q226/Inputs_General!$C$13*1000*(1+Inputs_General!$C$21*$H226)</f>
        <v>3.17916309317684</v>
      </c>
      <c r="AQ226" s="43" t="n">
        <f aca="false">AL226*$Q226/Inputs_General!$C$13*1000*(1+Inputs_General!$C$21*$J226)</f>
        <v>6.37592447336637</v>
      </c>
      <c r="AR226" s="45" t="n">
        <f aca="false">IF(AN226=0,0,AO226/AN226-1)</f>
        <v>-0.0488643150455043</v>
      </c>
      <c r="AS226" s="42" t="n">
        <f aca="false">Parameters!$E$9*IF($N226="V",Parameters!$I$9,IF($N226="F",Parameters!$J$9,Parameters!$K$9))*(1-Parameters!$L$9*$P226)*IF($D226="V1",Parameters!$M$9,IF($D226="V2",Parameters!$N$9,Parameters!$O$9))</f>
        <v>285</v>
      </c>
      <c r="AT226" s="42" t="n">
        <f aca="false">AS226*(1+INDEX(Response_Table!$I$4:$I$21,MATCH($F226&amp;"|mid",Response_Table!$A$4:$A$21,0))*$R226*INDEX(Parameters!$X$9:$AA$9,1,MATCH($E226,Parameters!$X$3:$AA$3,0)))</f>
        <v>294.668302660683</v>
      </c>
      <c r="AU226" s="42" t="n">
        <f aca="false">MAX(0,MIN(AS226*(1+INDEX(Response_Table!$I$4:$I$21,MATCH($F226&amp;"|low",Response_Table!$A$4:$A$21,0))*$R226*INDEX(Parameters!$X$9:$AA$9,1,MATCH($E226,Parameters!$X$3:$AA$3,0))),AS226*(1+INDEX(Response_Table!$I$4:$I$21,MATCH($F226&amp;"|high",Response_Table!$A$4:$A$21,0))*$R226*INDEX(Parameters!$X$9:$AA$9,1,MATCH($E226,Parameters!$X$3:$AA$3,0))))*(1-Inputs_General!$C$22*Parameters!$F$9))</f>
        <v>259.892110911067</v>
      </c>
      <c r="AV226" s="42" t="n">
        <f aca="false">MAX(AS226*(1+INDEX(Response_Table!$I$4:$I$21,MATCH($F226&amp;"|low",Response_Table!$A$4:$A$21,0))*$R226*INDEX(Parameters!$X$9:$AA$9,1,MATCH($E226,Parameters!$X$3:$AA$3,0))),AS226*(1+INDEX(Response_Table!$I$4:$I$21,MATCH($F226&amp;"|high",Response_Table!$A$4:$A$21,0))*$R226*INDEX(Parameters!$X$9:$AA$9,1,MATCH($E226,Parameters!$X$3:$AA$3,0))))*(1+Inputs_General!$C$22*Parameters!$F$9)</f>
        <v>330.15772459622</v>
      </c>
      <c r="AW226" s="45" t="n">
        <f aca="false">IF(AS226=0,0,AT226/AS226-1)</f>
        <v>0.0339238689848527</v>
      </c>
      <c r="AX226" s="43" t="n">
        <f aca="false">INDEX(Context!$AB$4:$AB$51,$K226)</f>
        <v>1.33809111737271</v>
      </c>
      <c r="AY226" s="43" t="n">
        <f aca="false">AX226*(1+INDEX(Response_Table!$J$4:$J$21,MATCH($F226&amp;"|mid",Response_Table!$A$4:$A$21,0))*$R226*INDEX(Parameters!$X$10:$AA$10,1,MATCH($E226,Parameters!$X$3:$AA$3,0)))</f>
        <v>1.29458250777047</v>
      </c>
      <c r="AZ226" s="43" t="n">
        <f aca="false">MAX(0,MIN(AX226*(1+INDEX(Response_Table!$J$4:$J$21,MATCH($F226&amp;"|low",Response_Table!$A$4:$A$21,0))*$R226*INDEX(Parameters!$X$10:$AA$10,1,MATCH($E226,Parameters!$X$3:$AA$3,0))),AX226*(1+INDEX(Response_Table!$J$4:$J$21,MATCH($F226&amp;"|high",Response_Table!$A$4:$A$21,0))*$R226*INDEX(Parameters!$X$10:$AA$10,1,MATCH($E226,Parameters!$X$3:$AA$3,0))))*(1-Inputs_General!$C$22*Parameters!$F$10))</f>
        <v>1.01716522554825</v>
      </c>
      <c r="BA226" s="43" t="n">
        <f aca="false">MAX(AX226*(1+INDEX(Response_Table!$J$4:$J$21,MATCH($F226&amp;"|low",Response_Table!$A$4:$A$21,0))*$R226*INDEX(Parameters!$X$10:$AA$10,1,MATCH($E226,Parameters!$X$3:$AA$3,0))),AX226*(1+INDEX(Response_Table!$J$4:$J$21,MATCH($F226&amp;"|high",Response_Table!$A$4:$A$21,0))*$R226*INDEX(Parameters!$X$10:$AA$10,1,MATCH($E226,Parameters!$X$3:$AA$3,0))))*(1+Inputs_General!$C$22*Parameters!$F$10)</f>
        <v>1.58442866072224</v>
      </c>
      <c r="BB226" s="45" t="n">
        <f aca="false">IF(AX226=0,0,AY226/AX226-1)</f>
        <v>-0.0325154311521513</v>
      </c>
      <c r="BC226" s="46" t="n">
        <f aca="false">Parameters!$E$11*IF($N226="V",Parameters!$I$11,IF($N226="F",Parameters!$J$11,Parameters!$K$11))*(1-Parameters!$L$11*$P226)*IF($D226="V1",Parameters!$M$11,IF($D226="V2",Parameters!$N$11,Parameters!$O$11))</f>
        <v>1.18584598214286</v>
      </c>
      <c r="BD226" s="46" t="n">
        <f aca="false">BC226*(1+INDEX(Response_Table!$K$4:$K$21,MATCH($F226&amp;"|mid",Response_Table!$A$4:$A$21,0))*$R226*INDEX(Parameters!$X$11:$AA$11,1,MATCH($E226,Parameters!$X$3:$AA$3,0)))</f>
        <v>1.11529005594469</v>
      </c>
      <c r="BE226" s="46" t="n">
        <f aca="false">MAX(0,MIN(BC226*(1+INDEX(Response_Table!$K$4:$K$21,MATCH($F226&amp;"|low",Response_Table!$A$4:$A$21,0))*$R226*INDEX(Parameters!$X$11:$AA$11,1,MATCH($E226,Parameters!$X$3:$AA$3,0))),BC226*(1+INDEX(Response_Table!$K$4:$K$21,MATCH($F226&amp;"|high",Response_Table!$A$4:$A$21,0))*$R226*INDEX(Parameters!$X$11:$AA$11,1,MATCH($E226,Parameters!$X$3:$AA$3,0))))*(1-Inputs_General!$C$22*Parameters!$F$11))</f>
        <v>0.895554429250742</v>
      </c>
      <c r="BF226" s="46" t="n">
        <f aca="false">MAX(BC226*(1+INDEX(Response_Table!$K$4:$K$21,MATCH($F226&amp;"|low",Response_Table!$A$4:$A$21,0))*$R226*INDEX(Parameters!$X$11:$AA$11,1,MATCH($E226,Parameters!$X$3:$AA$3,0))),BC226*(1+INDEX(Response_Table!$K$4:$K$21,MATCH($F226&amp;"|high",Response_Table!$A$4:$A$21,0))*$R226*INDEX(Parameters!$X$11:$AA$11,1,MATCH($E226,Parameters!$X$3:$AA$3,0))))*(1+Inputs_General!$C$22*Parameters!$F$11)</f>
        <v>1.35264926545036</v>
      </c>
      <c r="BG226" s="45" t="n">
        <f aca="false">IF(BC226=0,0,BD226/BC226-1)</f>
        <v>-0.059498389555341</v>
      </c>
      <c r="BH226" s="46" t="n">
        <f aca="false">Parameters!$E$12*IF($N226="V",Parameters!$I$12,IF($N226="F",Parameters!$J$12,Parameters!$K$12))*(1-Parameters!$L$12*$P226)*IF($D226="V1",Parameters!$M$12,IF($D226="V2",Parameters!$N$12,Parameters!$O$12))</f>
        <v>0.426904553571429</v>
      </c>
      <c r="BI226" s="46" t="n">
        <f aca="false">BH226*(1+INDEX(Response_Table!$L$4:$L$21,MATCH($F226&amp;"|mid",Response_Table!$A$4:$A$21,0))*$R226*INDEX(Parameters!$X$12:$AA$12,1,MATCH($E226,Parameters!$X$3:$AA$3,0)))</f>
        <v>0.406695810660914</v>
      </c>
      <c r="BJ226" s="46" t="n">
        <f aca="false">MAX(0,MIN(BH226*(1+INDEX(Response_Table!$L$4:$L$21,MATCH($F226&amp;"|low",Response_Table!$A$4:$A$21,0))*$R226*INDEX(Parameters!$X$12:$AA$12,1,MATCH($E226,Parameters!$X$3:$AA$3,0))),BH226*(1+INDEX(Response_Table!$L$4:$L$21,MATCH($F226&amp;"|high",Response_Table!$A$4:$A$21,0))*$R226*INDEX(Parameters!$X$12:$AA$12,1,MATCH($E226,Parameters!$X$3:$AA$3,0))))*(1-Inputs_General!$C$22*Parameters!$F$12))</f>
        <v>0.316384224983916</v>
      </c>
      <c r="BK226" s="46" t="n">
        <f aca="false">MAX(BH226*(1+INDEX(Response_Table!$L$4:$L$21,MATCH($F226&amp;"|low",Response_Table!$A$4:$A$21,0))*$R226*INDEX(Parameters!$X$12:$AA$12,1,MATCH($E226,Parameters!$X$3:$AA$3,0))),BH226*(1+INDEX(Response_Table!$L$4:$L$21,MATCH($F226&amp;"|high",Response_Table!$A$4:$A$21,0))*$R226*INDEX(Parameters!$X$12:$AA$12,1,MATCH($E226,Parameters!$X$3:$AA$3,0))))*(1+Inputs_General!$C$22*Parameters!$F$12)</f>
        <v>0.502866376703046</v>
      </c>
      <c r="BL226" s="45" t="n">
        <f aca="false">IF(BH226=0,0,BI226/BH226-1)</f>
        <v>-0.0473378481008245</v>
      </c>
      <c r="BM226" s="46" t="n">
        <f aca="false">Parameters!$E$13*IF($N226="V",Parameters!$I$13,IF($N226="F",Parameters!$J$13,Parameters!$K$13))*(1-Parameters!$L$13*$P226)*IF($D226="V1",Parameters!$M$13,IF($D226="V2",Parameters!$N$13,Parameters!$O$13))</f>
        <v>0.284801517857143</v>
      </c>
      <c r="BN226" s="46" t="n">
        <f aca="false">BM226*(1+INDEX(Response_Table!$M$4:$M$21,MATCH($F226&amp;"|mid",Response_Table!$A$4:$A$21,0))*$R226*INDEX(Parameters!$X$13:$AA$13,1,MATCH($E226,Parameters!$X$3:$AA$3,0)))</f>
        <v>0.292202101057471</v>
      </c>
      <c r="BO226" s="46" t="n">
        <f aca="false">MAX(0,MIN(BM226*(1+INDEX(Response_Table!$M$4:$M$21,MATCH($F226&amp;"|low",Response_Table!$A$4:$A$21,0))*$R226*INDEX(Parameters!$X$13:$AA$13,1,MATCH($E226,Parameters!$X$3:$AA$3,0))),BM226*(1+INDEX(Response_Table!$M$4:$M$21,MATCH($F226&amp;"|high",Response_Table!$A$4:$A$21,0))*$R226*INDEX(Parameters!$X$13:$AA$13,1,MATCH($E226,Parameters!$X$3:$AA$3,0))))*(1-Inputs_General!$C$22*Parameters!$F$13))</f>
        <v>0.231501656740665</v>
      </c>
      <c r="BP226" s="46" t="n">
        <f aca="false">MAX(BM226*(1+INDEX(Response_Table!$M$4:$M$21,MATCH($F226&amp;"|low",Response_Table!$A$4:$A$21,0))*$R226*INDEX(Parameters!$X$13:$AA$13,1,MATCH($E226,Parameters!$X$3:$AA$3,0))),BM226*(1+INDEX(Response_Table!$M$4:$M$21,MATCH($F226&amp;"|high",Response_Table!$A$4:$A$21,0))*$R226*INDEX(Parameters!$X$13:$AA$13,1,MATCH($E226,Parameters!$X$3:$AA$3,0))))*(1+Inputs_General!$C$22*Parameters!$F$13)</f>
        <v>0.350133173253565</v>
      </c>
      <c r="BQ226" s="45" t="n">
        <f aca="false">IF(BM226=0,0,BN226/BM226-1)</f>
        <v>0.0259850553326055</v>
      </c>
      <c r="BR226" s="44" t="n">
        <f aca="false">Parameters!$E$14*IF($N226="V",Parameters!$I$14,IF($N226="F",Parameters!$J$14,Parameters!$K$14))*(1-Parameters!$L$14*$P226)*IF($D226="V1",Parameters!$M$14,IF($D226="V2",Parameters!$N$14,Parameters!$O$14))*INDEX(Context!$AC$4:$AC$51,$K226)</f>
        <v>18.975</v>
      </c>
      <c r="BS226" s="44" t="n">
        <f aca="false">BR226*(1+INDEX(Response_Table!$N$4:$N$21,MATCH($F226&amp;"|mid",Response_Table!$A$4:$A$21,0))*$R226*INDEX(Parameters!$X$14:$AA$14,1,MATCH($E226,Parameters!$X$3:$AA$3,0)))</f>
        <v>19.9548934556871</v>
      </c>
      <c r="BT226" s="44" t="n">
        <f aca="false">MAX(0,MIN(BR226*(1+INDEX(Response_Table!$N$4:$N$21,MATCH($F226&amp;"|low",Response_Table!$A$4:$A$21,0))*$R226*INDEX(Parameters!$X$14:$AA$14,1,MATCH($E226,Parameters!$X$3:$AA$3,0))),BR226*(1+INDEX(Response_Table!$N$4:$N$21,MATCH($F226&amp;"|high",Response_Table!$A$4:$A$21,0))*$R226*INDEX(Parameters!$X$14:$AA$14,1,MATCH($E226,Parameters!$X$3:$AA$3,0))))*(1-Inputs_General!$C$22*Parameters!$F$14))</f>
        <v>9.78126340467869</v>
      </c>
      <c r="BU226" s="44" t="n">
        <f aca="false">MAX(BR226*(1+INDEX(Response_Table!$N$4:$N$21,MATCH($F226&amp;"|low",Response_Table!$A$4:$A$21,0))*$R226*INDEX(Parameters!$X$14:$AA$14,1,MATCH($E226,Parameters!$X$3:$AA$3,0))),BR226*(1+INDEX(Response_Table!$N$4:$N$21,MATCH($F226&amp;"|high",Response_Table!$A$4:$A$21,0))*$R226*INDEX(Parameters!$X$14:$AA$14,1,MATCH($E226,Parameters!$X$3:$AA$3,0))))*(1+Inputs_General!$C$22*Parameters!$F$14)</f>
        <v>30.7076140746265</v>
      </c>
      <c r="BV226" s="45" t="n">
        <f aca="false">IF(BR226=0,0,BS226/BR226-1)</f>
        <v>0.051641288837263</v>
      </c>
      <c r="BW226" s="43" t="n">
        <f aca="false">Parameters!$E$15*IF($N226="V",Parameters!$I$15,IF($N226="F",Parameters!$J$15,Parameters!$K$15))*(1-Parameters!$L$15*$P226)*IF($D226="V1",Parameters!$M$15,IF($D226="V2",Parameters!$N$15,Parameters!$O$15))</f>
        <v>11.2163554285714</v>
      </c>
      <c r="BX226" s="43" t="n">
        <f aca="false">BW226*(1+INDEX(Response_Table!$O$4:$O$21,MATCH($F226&amp;"|mid",Response_Table!$A$4:$A$21,0))*$R226*INDEX(Parameters!$X$15:$AA$15,1,MATCH($E226,Parameters!$X$3:$AA$3,0)))</f>
        <v>11.0715486659744</v>
      </c>
      <c r="BY226" s="43" t="n">
        <f aca="false">MAX(0,MIN(BW226*(1+INDEX(Response_Table!$O$4:$O$21,MATCH($F226&amp;"|low",Response_Table!$A$4:$A$21,0))*$R226*INDEX(Parameters!$X$15:$AA$15,1,MATCH($E226,Parameters!$X$3:$AA$3,0))),BW226*(1+INDEX(Response_Table!$O$4:$O$21,MATCH($F226&amp;"|high",Response_Table!$A$4:$A$21,0))*$R226*INDEX(Parameters!$X$15:$AA$15,1,MATCH($E226,Parameters!$X$3:$AA$3,0))))*(1-Inputs_General!$C$22*Parameters!$F$15))</f>
        <v>8.81415568954818</v>
      </c>
      <c r="BZ226" s="43" t="n">
        <f aca="false">MAX(BW226*(1+INDEX(Response_Table!$O$4:$O$21,MATCH($F226&amp;"|low",Response_Table!$A$4:$A$21,0))*$R226*INDEX(Parameters!$X$15:$AA$15,1,MATCH($E226,Parameters!$X$3:$AA$3,0))),BW226*(1+INDEX(Response_Table!$O$4:$O$21,MATCH($F226&amp;"|high",Response_Table!$A$4:$A$21,0))*$R226*INDEX(Parameters!$X$15:$AA$15,1,MATCH($E226,Parameters!$X$3:$AA$3,0))))*(1+Inputs_General!$C$22*Parameters!$F$15)</f>
        <v>13.3709244605576</v>
      </c>
      <c r="CA226" s="45" t="n">
        <f aca="false">IF(BW226=0,0,BX226/BW226-1)</f>
        <v>-0.0129103222093158</v>
      </c>
      <c r="CB226" s="46" t="n">
        <f aca="false">BD226+BI226</f>
        <v>1.5219858666056</v>
      </c>
      <c r="CC226" s="43" t="n">
        <f aca="false">BD226/BI226</f>
        <v>2.74232000111397</v>
      </c>
      <c r="CD226" s="46" t="n">
        <f aca="false">BN226/CB226</f>
        <v>0.191987394540761</v>
      </c>
      <c r="CE226" s="43" t="n">
        <f aca="false">AE226/AO226</f>
        <v>3.64834225506401</v>
      </c>
      <c r="CF226" s="44" t="n">
        <f aca="false">AE226/AJ226</f>
        <v>44.2315736263854</v>
      </c>
      <c r="CG226" s="44" t="n">
        <f aca="false">INDEX(Context!$V$4:$V$51,$K226)</f>
        <v>25.5785714285714</v>
      </c>
      <c r="CH226" s="44" t="n">
        <f aca="false">INDEX(Context!$Y$4:$Y$51,$K226)</f>
        <v>23.620522619794</v>
      </c>
      <c r="CI226" s="44" t="n">
        <f aca="false">INDEX(Context!$Z$4:$Z$51,$K226)</f>
        <v>29.5785714285714</v>
      </c>
      <c r="CJ226" s="43" t="n">
        <f aca="false">INDEX(Context!$AA$4:$AA$51,$K226)</f>
        <v>0.121160714285714</v>
      </c>
      <c r="CK226" s="43" t="n">
        <f aca="false">MAX(0,MIN(1,1-(1-CJ226)*AO226/AN226))</f>
        <v>0.164104594017223</v>
      </c>
      <c r="CL226" s="44" t="n">
        <f aca="false">CH226+CK226*(CI226-CH226)</f>
        <v>24.5982658006932</v>
      </c>
      <c r="CM226" s="44" t="n">
        <f aca="false">CH226+MAX(0,MIN(1,1-(1-CJ226)*AQ226/AN226))*(CI226-CH226)</f>
        <v>23.620522619794</v>
      </c>
      <c r="CN226" s="44" t="n">
        <f aca="false">CH226+MAX(0,MIN(1,1-(1-CJ226)*AP226/AN226))*(CI226-CH226)</f>
        <v>26.2181592002949</v>
      </c>
      <c r="CO226" s="44" t="n">
        <f aca="false">CL226-CG226</f>
        <v>-0.980305627878206</v>
      </c>
      <c r="CP226" s="44" t="n">
        <f aca="false">CL226-(CH226+CJ226*(CI226-CH226))</f>
        <v>0.255861731478596</v>
      </c>
      <c r="CQ226" s="46" t="n">
        <f aca="false">CL226/CG226</f>
        <v>0.961674731107805</v>
      </c>
      <c r="CR226" s="43" t="n">
        <f aca="false">IF(CL226-CH226&lt;=0,"n/a",(CI226-CL226)/(CL226-CH226))</f>
        <v>5.09367462250965</v>
      </c>
      <c r="CS226" s="43" t="n">
        <f aca="false">IF(CI226-CL226&lt;=0,"n/a",(CL226-CH226)/(CI226-CL226))</f>
        <v>0.196321923583588</v>
      </c>
      <c r="CT226" s="43" t="n">
        <f aca="false">Inputs_General!$C$23+Inputs_General!$C$24*$I226</f>
        <v>0.66</v>
      </c>
      <c r="CU226" s="44" t="n">
        <f aca="false">3.29*CT226</f>
        <v>2.1714</v>
      </c>
    </row>
    <row r="227" customFormat="false" ht="15" hidden="false" customHeight="false" outlineLevel="0" collapsed="false">
      <c r="A227" s="9" t="str">
        <f aca="false">B227&amp;"|"&amp;E227&amp;"|"&amp;F227</f>
        <v>D4V1|24/02/2026|Low</v>
      </c>
      <c r="B227" s="7" t="s">
        <v>352</v>
      </c>
      <c r="C227" s="9" t="s">
        <v>133</v>
      </c>
      <c r="D227" s="9" t="s">
        <v>142</v>
      </c>
      <c r="E227" s="9" t="s">
        <v>160</v>
      </c>
      <c r="F227" s="7" t="s">
        <v>279</v>
      </c>
      <c r="G227" s="9" t="s">
        <v>280</v>
      </c>
      <c r="H227" s="41" t="n">
        <f aca="false">INDEX(Severity_Classes!$C$4:$C$9,MATCH(F227,Severity_Classes!$A$4:$A$9,0))</f>
        <v>0.06</v>
      </c>
      <c r="I227" s="41" t="n">
        <f aca="false">INDEX(Severity_Classes!$D$4:$D$9,MATCH(F227,Severity_Classes!$A$4:$A$9,0))</f>
        <v>0.08</v>
      </c>
      <c r="J227" s="41" t="n">
        <f aca="false">INDEX(Severity_Classes!$E$4:$E$9,MATCH(F227,Severity_Classes!$A$4:$A$9,0))</f>
        <v>0.1</v>
      </c>
      <c r="K227" s="42" t="n">
        <f aca="false">MATCH(B227&amp;"|"&amp;E227,Context!$A$4:$A$51,0)</f>
        <v>38</v>
      </c>
      <c r="L227" s="42" t="n">
        <f aca="false">INDEX(Context!$H$4:$H$51,K227)</f>
        <v>46</v>
      </c>
      <c r="M227" s="42" t="n">
        <f aca="false">INDEX(Context!$I$4:$I$51,K227)</f>
        <v>19</v>
      </c>
      <c r="N227" s="9" t="str">
        <f aca="false">INDEX(Context!$L$4:$L$51,K227)</f>
        <v>V</v>
      </c>
      <c r="O227" s="9" t="str">
        <f aca="false">INDEX(Context!$M$4:$M$51,K227)</f>
        <v>3rd fully expanded leaf from top</v>
      </c>
      <c r="P227" s="43" t="n">
        <f aca="false">INDEX(Context!$R$4:$R$51,K227)</f>
        <v>0.0232142857142859</v>
      </c>
      <c r="Q227" s="43" t="n">
        <f aca="false">INDEX(Context!$U$4:$U$51,K227)</f>
        <v>1.19492600027053</v>
      </c>
      <c r="R227" s="43" t="n">
        <f aca="false">INDEX(Context!$AD$4:$AD$51,K227)</f>
        <v>1</v>
      </c>
      <c r="S227" s="9" t="str">
        <f aca="false">INDEX(Context!$AI$4:$AN$51,K227,MATCH(F227,Severity_Classes!$A$4:$A$9,0))</f>
        <v>Likely</v>
      </c>
      <c r="T227" s="44" t="n">
        <f aca="false">Parameters!$E$4*IF($N227="V",Parameters!$I$4,IF($N227="F",Parameters!$J$4,Parameters!$K$4))*(1-Parameters!$L$4*$P227)*IF($D227="V1",Parameters!$M$4,IF($D227="V2",Parameters!$N$4,Parameters!$O$4))</f>
        <v>85.9001785714286</v>
      </c>
      <c r="U227" s="44" t="n">
        <f aca="false">MIN(100,T227*(1+INDEX(Response_Table!$E$4:$E$21,MATCH($F227&amp;"|mid",Response_Table!$A$4:$A$21,0))*$R227*INDEX(Parameters!$X$4:$AA$4,1,MATCH($E227,Parameters!$X$3:$AA$3,0))))</f>
        <v>84.7045661813835</v>
      </c>
      <c r="V227" s="44" t="n">
        <f aca="false">MAX(0,MIN(T227*(1+INDEX(Response_Table!$E$4:$E$21,MATCH($F227&amp;"|low",Response_Table!$A$4:$A$21,0))*$R227*INDEX(Parameters!$X$4:$AA$4,1,MATCH($E227,Parameters!$X$3:$AA$3,0))),T227*(1+INDEX(Response_Table!$E$4:$E$21,MATCH($F227&amp;"|high",Response_Table!$A$4:$A$21,0))*$R227*INDEX(Parameters!$X$4:$AA$4,1,MATCH($E227,Parameters!$X$3:$AA$3,0))))*(1-Inputs_General!$C$22*Parameters!$F$4))</f>
        <v>78.7407598018961</v>
      </c>
      <c r="W227" s="44" t="n">
        <f aca="false">MIN(100,MAX(T227*(1+INDEX(Response_Table!$E$4:$E$21,MATCH($F227&amp;"|low",Response_Table!$A$4:$A$21,0))*$R227*INDEX(Parameters!$X$4:$AA$4,1,MATCH($E227,Parameters!$X$3:$AA$3,0))),T227*(1+INDEX(Response_Table!$E$4:$E$21,MATCH($F227&amp;"|high",Response_Table!$A$4:$A$21,0))*$R227*INDEX(Parameters!$X$4:$AA$4,1,MATCH($E227,Parameters!$X$3:$AA$3,0))))*(1+Inputs_General!$C$22*Parameters!$F$4))</f>
        <v>90.6672092712765</v>
      </c>
      <c r="X227" s="45" t="n">
        <f aca="false">IF(T227=0,0,U227/T227-1)</f>
        <v>-0.0139186251987927</v>
      </c>
      <c r="Y227" s="44" t="n">
        <f aca="false">Parameters!$E$5*IF($N227="V",Parameters!$I$5,IF($N227="F",Parameters!$J$5,Parameters!$K$5))*(1-Parameters!$L$5*$P227)*IF($D227="V1",Parameters!$M$5,IF($D227="V2",Parameters!$N$5,Parameters!$O$5))</f>
        <v>71.7994285714286</v>
      </c>
      <c r="Z227" s="44" t="n">
        <f aca="false">MIN(100,Y227*(1+INDEX(Response_Table!$F$4:$F$21,MATCH($F227&amp;"|mid",Response_Table!$A$4:$A$21,0))*$R227*INDEX(Parameters!$X$5:$AA$5,1,MATCH($E227,Parameters!$X$3:$AA$3,0))))</f>
        <v>68.5003081854555</v>
      </c>
      <c r="AA227" s="44" t="n">
        <f aca="false">MAX(0,MIN(Y227*(1+INDEX(Response_Table!$F$4:$F$21,MATCH($F227&amp;"|low",Response_Table!$A$4:$A$21,0))*$R227*INDEX(Parameters!$X$5:$AA$5,1,MATCH($E227,Parameters!$X$3:$AA$3,0))),Y227*(1+INDEX(Response_Table!$F$4:$F$21,MATCH($F227&amp;"|high",Response_Table!$A$4:$A$21,0))*$R227*INDEX(Parameters!$X$5:$AA$5,1,MATCH($E227,Parameters!$X$3:$AA$3,0))))*(1-Inputs_General!$C$22*Parameters!$F$5))</f>
        <v>59.5440361187866</v>
      </c>
      <c r="AB227" s="44" t="n">
        <f aca="false">MIN(100,MAX(Y227*(1+INDEX(Response_Table!$F$4:$F$21,MATCH($F227&amp;"|low",Response_Table!$A$4:$A$21,0))*$R227*INDEX(Parameters!$X$5:$AA$5,1,MATCH($E227,Parameters!$X$3:$AA$3,0))),Y227*(1+INDEX(Response_Table!$F$4:$F$21,MATCH($F227&amp;"|high",Response_Table!$A$4:$A$21,0))*$R227*INDEX(Parameters!$X$5:$AA$5,1,MATCH($E227,Parameters!$X$3:$AA$3,0))))*(1+Inputs_General!$C$22*Parameters!$F$5))</f>
        <v>77.5446672358086</v>
      </c>
      <c r="AC227" s="45" t="n">
        <f aca="false">IF(Y227=0,0,Z227/Y227-1)</f>
        <v>-0.0459491175851214</v>
      </c>
      <c r="AD227" s="44" t="n">
        <f aca="false">Parameters!$E$6*IF($N227="V",Parameters!$I$6,IF($N227="F",Parameters!$J$6,Parameters!$K$6))*(1-Parameters!$L$6*$P227)*IF($D227="V1",Parameters!$M$6,IF($D227="V2",Parameters!$N$6,Parameters!$O$6))</f>
        <v>18.9470714285714</v>
      </c>
      <c r="AE227" s="44" t="n">
        <f aca="false">AD227*(1+INDEX(Response_Table!$G$4:$G$21,MATCH($F227&amp;"|mid",Response_Table!$A$4:$A$21,0))*$R227*INDEX(Parameters!$X$6:$AA$6,1,MATCH($E227,Parameters!$X$3:$AA$3,0)))</f>
        <v>14.730591886178</v>
      </c>
      <c r="AF227" s="44" t="n">
        <f aca="false">MAX(0,MIN(AD227*(1+INDEX(Response_Table!$G$4:$G$21,MATCH($F227&amp;"|low",Response_Table!$A$4:$A$21,0))*$R227*INDEX(Parameters!$X$6:$AA$6,1,MATCH($E227,Parameters!$X$3:$AA$3,0))),AD227*(1+INDEX(Response_Table!$G$4:$G$21,MATCH($F227&amp;"|high",Response_Table!$A$4:$A$21,0))*$R227*INDEX(Parameters!$X$6:$AA$6,1,MATCH($E227,Parameters!$X$3:$AA$3,0))))*(1-Inputs_General!$C$22*Parameters!$F$6))</f>
        <v>11.1470874038032</v>
      </c>
      <c r="AG227" s="44" t="n">
        <f aca="false">MAX(AD227*(1+INDEX(Response_Table!$G$4:$G$21,MATCH($F227&amp;"|low",Response_Table!$A$4:$A$21,0))*$R227*INDEX(Parameters!$X$6:$AA$6,1,MATCH($E227,Parameters!$X$3:$AA$3,0))),AD227*(1+INDEX(Response_Table!$G$4:$G$21,MATCH($F227&amp;"|high",Response_Table!$A$4:$A$21,0))*$R227*INDEX(Parameters!$X$6:$AA$6,1,MATCH($E227,Parameters!$X$3:$AA$3,0))))*(1+Inputs_General!$C$22*Parameters!$F$6)</f>
        <v>18.7391962356118</v>
      </c>
      <c r="AH227" s="45" t="n">
        <f aca="false">IF(AD227=0,0,AE227/AD227-1)</f>
        <v>-0.222539908517744</v>
      </c>
      <c r="AI227" s="46" t="n">
        <f aca="false">Parameters!$E$7*IF($N227="V",Parameters!$I$7,IF($N227="F",Parameters!$J$7,Parameters!$K$7))*(1-Parameters!$L$7*$P227)*IF($D227="V1",Parameters!$M$7,IF($D227="V2",Parameters!$N$7,Parameters!$O$7))*POWER($Q227/Inputs_General!$C$26,-Inputs_General!$C$25)</f>
        <v>0.411663164578586</v>
      </c>
      <c r="AJ227" s="46" t="n">
        <f aca="false">AI227*(1+INDEX(Response_Table!$H$4:$H$21,MATCH($F227&amp;"|mid",Response_Table!$A$4:$A$21,0))*$R227*INDEX(Parameters!$X$7:$AA$7,1,MATCH($E227,Parameters!$X$3:$AA$3,0)))</f>
        <v>0.354568822113528</v>
      </c>
      <c r="AK227" s="46" t="n">
        <f aca="false">MAX(0,MIN(AI227*(1+INDEX(Response_Table!$H$4:$H$21,MATCH($F227&amp;"|low",Response_Table!$A$4:$A$21,0))*$R227*INDEX(Parameters!$X$7:$AA$7,1,MATCH($E227,Parameters!$X$3:$AA$3,0))),AI227*(1+INDEX(Response_Table!$H$4:$H$21,MATCH($F227&amp;"|high",Response_Table!$A$4:$A$21,0))*$R227*INDEX(Parameters!$X$7:$AA$7,1,MATCH($E227,Parameters!$X$3:$AA$3,0))))*(1-Inputs_General!$C$22*Parameters!$F$7))</f>
        <v>0.240952734101228</v>
      </c>
      <c r="AL227" s="46" t="n">
        <f aca="false">MAX(AI227*(1+INDEX(Response_Table!$H$4:$H$21,MATCH($F227&amp;"|low",Response_Table!$A$4:$A$21,0))*$R227*INDEX(Parameters!$X$7:$AA$7,1,MATCH($E227,Parameters!$X$3:$AA$3,0))),AI227*(1+INDEX(Response_Table!$H$4:$H$21,MATCH($F227&amp;"|high",Response_Table!$A$4:$A$21,0))*$R227*INDEX(Parameters!$X$7:$AA$7,1,MATCH($E227,Parameters!$X$3:$AA$3,0))))*(1+Inputs_General!$C$22*Parameters!$F$7)</f>
        <v>0.476426391807172</v>
      </c>
      <c r="AM227" s="45" t="n">
        <f aca="false">IF(AI227=0,0,AJ227/AI227-1)</f>
        <v>-0.13869189030674</v>
      </c>
      <c r="AN227" s="43" t="n">
        <f aca="false">AI227*$Q227/Inputs_General!$C$13*1000</f>
        <v>4.95374641196979</v>
      </c>
      <c r="AO227" s="43" t="n">
        <f aca="false">AJ227*$Q227/Inputs_General!$C$13*1000*(1+Inputs_General!$C$21*$I227)</f>
        <v>4.35203599715333</v>
      </c>
      <c r="AP227" s="43" t="n">
        <f aca="false">AK227*$Q227/Inputs_General!$C$13*1000*(1+Inputs_General!$C$21*$H227)</f>
        <v>2.94299594275968</v>
      </c>
      <c r="AQ227" s="43" t="n">
        <f aca="false">AL227*$Q227/Inputs_General!$C$13*1000*(1+Inputs_General!$C$21*$J227)</f>
        <v>5.87640120700001</v>
      </c>
      <c r="AR227" s="45" t="n">
        <f aca="false">IF(AN227=0,0,AO227/AN227-1)</f>
        <v>-0.121465728112875</v>
      </c>
      <c r="AS227" s="42" t="n">
        <f aca="false">Parameters!$E$9*IF($N227="V",Parameters!$I$9,IF($N227="F",Parameters!$J$9,Parameters!$K$9))*(1-Parameters!$L$9*$P227)*IF($D227="V1",Parameters!$M$9,IF($D227="V2",Parameters!$N$9,Parameters!$O$9))</f>
        <v>285</v>
      </c>
      <c r="AT227" s="42" t="n">
        <f aca="false">AS227*(1+INDEX(Response_Table!$I$4:$I$21,MATCH($F227&amp;"|mid",Response_Table!$A$4:$A$21,0))*$R227*INDEX(Parameters!$X$9:$AA$9,1,MATCH($E227,Parameters!$X$3:$AA$3,0)))</f>
        <v>308.414257330199</v>
      </c>
      <c r="AU227" s="42" t="n">
        <f aca="false">MAX(0,MIN(AS227*(1+INDEX(Response_Table!$I$4:$I$21,MATCH($F227&amp;"|low",Response_Table!$A$4:$A$21,0))*$R227*INDEX(Parameters!$X$9:$AA$9,1,MATCH($E227,Parameters!$X$3:$AA$3,0))),AS227*(1+INDEX(Response_Table!$I$4:$I$21,MATCH($F227&amp;"|high",Response_Table!$A$4:$A$21,0))*$R227*INDEX(Parameters!$X$9:$AA$9,1,MATCH($E227,Parameters!$X$3:$AA$3,0))))*(1-Inputs_General!$C$22*Parameters!$F$9))</f>
        <v>273.313202404171</v>
      </c>
      <c r="AV227" s="42" t="n">
        <f aca="false">MAX(AS227*(1+INDEX(Response_Table!$I$4:$I$21,MATCH($F227&amp;"|low",Response_Table!$A$4:$A$21,0))*$R227*INDEX(Parameters!$X$9:$AA$9,1,MATCH($E227,Parameters!$X$3:$AA$3,0))),AS227*(1+INDEX(Response_Table!$I$4:$I$21,MATCH($F227&amp;"|high",Response_Table!$A$4:$A$21,0))*$R227*INDEX(Parameters!$X$9:$AA$9,1,MATCH($E227,Parameters!$X$3:$AA$3,0))))*(1+Inputs_General!$C$22*Parameters!$F$9)</f>
        <v>344.099255743465</v>
      </c>
      <c r="AW227" s="45" t="n">
        <f aca="false">IF(AS227=0,0,AT227/AS227-1)</f>
        <v>0.0821552888778927</v>
      </c>
      <c r="AX227" s="43" t="n">
        <f aca="false">INDEX(Context!$AB$4:$AB$51,$K227)</f>
        <v>1.33809111737271</v>
      </c>
      <c r="AY227" s="43" t="n">
        <f aca="false">AX227*(1+INDEX(Response_Table!$J$4:$J$21,MATCH($F227&amp;"|mid",Response_Table!$A$4:$A$21,0))*$R227*INDEX(Parameters!$X$10:$AA$10,1,MATCH($E227,Parameters!$X$3:$AA$3,0)))</f>
        <v>1.22894147125107</v>
      </c>
      <c r="AZ227" s="43" t="n">
        <f aca="false">MAX(0,MIN(AX227*(1+INDEX(Response_Table!$J$4:$J$21,MATCH($F227&amp;"|low",Response_Table!$A$4:$A$21,0))*$R227*INDEX(Parameters!$X$10:$AA$10,1,MATCH($E227,Parameters!$X$3:$AA$3,0))),AX227*(1+INDEX(Response_Table!$J$4:$J$21,MATCH($F227&amp;"|high",Response_Table!$A$4:$A$21,0))*$R227*INDEX(Parameters!$X$10:$AA$10,1,MATCH($E227,Parameters!$X$3:$AA$3,0))))*(1-Inputs_General!$C$22*Parameters!$F$10))</f>
        <v>0.967051134052644</v>
      </c>
      <c r="BA227" s="43" t="n">
        <f aca="false">MAX(AX227*(1+INDEX(Response_Table!$J$4:$J$21,MATCH($F227&amp;"|low",Response_Table!$A$4:$A$21,0))*$R227*INDEX(Parameters!$X$10:$AA$10,1,MATCH($E227,Parameters!$X$3:$AA$3,0))),AX227*(1+INDEX(Response_Table!$J$4:$J$21,MATCH($F227&amp;"|high",Response_Table!$A$4:$A$21,0))*$R227*INDEX(Parameters!$X$10:$AA$10,1,MATCH($E227,Parameters!$X$3:$AA$3,0))))*(1+Inputs_General!$C$22*Parameters!$F$10)</f>
        <v>1.50180024837095</v>
      </c>
      <c r="BB227" s="45" t="n">
        <f aca="false">IF(AX227=0,0,AY227/AX227-1)</f>
        <v>-0.0815711611149081</v>
      </c>
      <c r="BC227" s="46" t="n">
        <f aca="false">Parameters!$E$11*IF($N227="V",Parameters!$I$11,IF($N227="F",Parameters!$J$11,Parameters!$K$11))*(1-Parameters!$L$11*$P227)*IF($D227="V1",Parameters!$M$11,IF($D227="V2",Parameters!$N$11,Parameters!$O$11))</f>
        <v>1.18584598214286</v>
      </c>
      <c r="BD227" s="46" t="n">
        <f aca="false">BC227*(1+INDEX(Response_Table!$K$4:$K$21,MATCH($F227&amp;"|mid",Response_Table!$A$4:$A$21,0))*$R227*INDEX(Parameters!$X$11:$AA$11,1,MATCH($E227,Parameters!$X$3:$AA$3,0)))</f>
        <v>1.01175463689529</v>
      </c>
      <c r="BE227" s="46" t="n">
        <f aca="false">MAX(0,MIN(BC227*(1+INDEX(Response_Table!$K$4:$K$21,MATCH($F227&amp;"|low",Response_Table!$A$4:$A$21,0))*$R227*INDEX(Parameters!$X$11:$AA$11,1,MATCH($E227,Parameters!$X$3:$AA$3,0))),BC227*(1+INDEX(Response_Table!$K$4:$K$21,MATCH($F227&amp;"|high",Response_Table!$A$4:$A$21,0))*$R227*INDEX(Parameters!$X$11:$AA$11,1,MATCH($E227,Parameters!$X$3:$AA$3,0))))*(1-Inputs_General!$C$22*Parameters!$F$11))</f>
        <v>0.814413392398531</v>
      </c>
      <c r="BF227" s="46" t="n">
        <f aca="false">MAX(BC227*(1+INDEX(Response_Table!$K$4:$K$21,MATCH($F227&amp;"|low",Response_Table!$A$4:$A$21,0))*$R227*INDEX(Parameters!$X$11:$AA$11,1,MATCH($E227,Parameters!$X$3:$AA$3,0))),BC227*(1+INDEX(Response_Table!$K$4:$K$21,MATCH($F227&amp;"|high",Response_Table!$A$4:$A$21,0))*$R227*INDEX(Parameters!$X$11:$AA$11,1,MATCH($E227,Parameters!$X$3:$AA$3,0))))*(1+Inputs_General!$C$22*Parameters!$F$11)</f>
        <v>1.2241137080244</v>
      </c>
      <c r="BG227" s="45" t="n">
        <f aca="false">IF(BC227=0,0,BD227/BC227-1)</f>
        <v>-0.146807720285039</v>
      </c>
      <c r="BH227" s="46" t="n">
        <f aca="false">Parameters!$E$12*IF($N227="V",Parameters!$I$12,IF($N227="F",Parameters!$J$12,Parameters!$K$12))*(1-Parameters!$L$12*$P227)*IF($D227="V1",Parameters!$M$12,IF($D227="V2",Parameters!$N$12,Parameters!$O$12))</f>
        <v>0.426904553571429</v>
      </c>
      <c r="BI227" s="46" t="n">
        <f aca="false">BH227*(1+INDEX(Response_Table!$L$4:$L$21,MATCH($F227&amp;"|mid",Response_Table!$A$4:$A$21,0))*$R227*INDEX(Parameters!$X$12:$AA$12,1,MATCH($E227,Parameters!$X$3:$AA$3,0)))</f>
        <v>0.376805307827648</v>
      </c>
      <c r="BJ227" s="46" t="n">
        <f aca="false">MAX(0,MIN(BH227*(1+INDEX(Response_Table!$L$4:$L$21,MATCH($F227&amp;"|low",Response_Table!$A$4:$A$21,0))*$R227*INDEX(Parameters!$X$12:$AA$12,1,MATCH($E227,Parameters!$X$3:$AA$3,0))),BH227*(1+INDEX(Response_Table!$L$4:$L$21,MATCH($F227&amp;"|high",Response_Table!$A$4:$A$21,0))*$R227*INDEX(Parameters!$X$12:$AA$12,1,MATCH($E227,Parameters!$X$3:$AA$3,0))))*(1-Inputs_General!$C$22*Parameters!$F$12))</f>
        <v>0.293791183096227</v>
      </c>
      <c r="BK227" s="46" t="n">
        <f aca="false">MAX(BH227*(1+INDEX(Response_Table!$L$4:$L$21,MATCH($F227&amp;"|low",Response_Table!$A$4:$A$21,0))*$R227*INDEX(Parameters!$X$12:$AA$12,1,MATCH($E227,Parameters!$X$3:$AA$3,0))),BH227*(1+INDEX(Response_Table!$L$4:$L$21,MATCH($F227&amp;"|high",Response_Table!$A$4:$A$21,0))*$R227*INDEX(Parameters!$X$12:$AA$12,1,MATCH($E227,Parameters!$X$3:$AA$3,0))))*(1+Inputs_General!$C$22*Parameters!$F$12)</f>
        <v>0.464862303693059</v>
      </c>
      <c r="BL227" s="45" t="n">
        <f aca="false">IF(BH227=0,0,BI227/BH227-1)</f>
        <v>-0.117354676413396</v>
      </c>
      <c r="BM227" s="46" t="n">
        <f aca="false">Parameters!$E$13*IF($N227="V",Parameters!$I$13,IF($N227="F",Parameters!$J$13,Parameters!$K$13))*(1-Parameters!$L$13*$P227)*IF($D227="V1",Parameters!$M$13,IF($D227="V2",Parameters!$N$13,Parameters!$O$13))</f>
        <v>0.284801517857143</v>
      </c>
      <c r="BN227" s="46" t="n">
        <f aca="false">BM227*(1+INDEX(Response_Table!$M$4:$M$21,MATCH($F227&amp;"|mid",Response_Table!$A$4:$A$21,0))*$R227*INDEX(Parameters!$X$13:$AA$13,1,MATCH($E227,Parameters!$X$3:$AA$3,0)))</f>
        <v>0.288322622997588</v>
      </c>
      <c r="BO227" s="46" t="n">
        <f aca="false">MAX(0,MIN(BM227*(1+INDEX(Response_Table!$M$4:$M$21,MATCH($F227&amp;"|low",Response_Table!$A$4:$A$21,0))*$R227*INDEX(Parameters!$X$13:$AA$13,1,MATCH($E227,Parameters!$X$3:$AA$3,0))),BM227*(1+INDEX(Response_Table!$M$4:$M$21,MATCH($F227&amp;"|high",Response_Table!$A$4:$A$21,0))*$R227*INDEX(Parameters!$X$13:$AA$13,1,MATCH($E227,Parameters!$X$3:$AA$3,0))))*(1-Inputs_General!$C$22*Parameters!$F$13))</f>
        <v>0.227742183548397</v>
      </c>
      <c r="BP227" s="46" t="n">
        <f aca="false">MAX(BM227*(1+INDEX(Response_Table!$M$4:$M$21,MATCH($F227&amp;"|low",Response_Table!$A$4:$A$21,0))*$R227*INDEX(Parameters!$X$13:$AA$13,1,MATCH($E227,Parameters!$X$3:$AA$3,0))),BM227*(1+INDEX(Response_Table!$M$4:$M$21,MATCH($F227&amp;"|high",Response_Table!$A$4:$A$21,0))*$R227*INDEX(Parameters!$X$13:$AA$13,1,MATCH($E227,Parameters!$X$3:$AA$3,0))))*(1+Inputs_General!$C$22*Parameters!$F$13)</f>
        <v>0.349075431571783</v>
      </c>
      <c r="BQ227" s="45" t="n">
        <f aca="false">IF(BM227=0,0,BN227/BM227-1)</f>
        <v>0.012363365079435</v>
      </c>
      <c r="BR227" s="44" t="n">
        <f aca="false">Parameters!$E$14*IF($N227="V",Parameters!$I$14,IF($N227="F",Parameters!$J$14,Parameters!$K$14))*(1-Parameters!$L$14*$P227)*IF($D227="V1",Parameters!$M$14,IF($D227="V2",Parameters!$N$14,Parameters!$O$14))*INDEX(Context!$AC$4:$AC$51,$K227)</f>
        <v>18.975</v>
      </c>
      <c r="BS227" s="44" t="n">
        <f aca="false">BR227*(1+INDEX(Response_Table!$N$4:$N$21,MATCH($F227&amp;"|mid",Response_Table!$A$4:$A$21,0))*$R227*INDEX(Parameters!$X$14:$AA$14,1,MATCH($E227,Parameters!$X$3:$AA$3,0)))</f>
        <v>21.4042418017573</v>
      </c>
      <c r="BT227" s="44" t="n">
        <f aca="false">MAX(0,MIN(BR227*(1+INDEX(Response_Table!$N$4:$N$21,MATCH($F227&amp;"|low",Response_Table!$A$4:$A$21,0))*$R227*INDEX(Parameters!$X$14:$AA$14,1,MATCH($E227,Parameters!$X$3:$AA$3,0))),BR227*(1+INDEX(Response_Table!$N$4:$N$21,MATCH($F227&amp;"|high",Response_Table!$A$4:$A$21,0))*$R227*INDEX(Parameters!$X$14:$AA$14,1,MATCH($E227,Parameters!$X$3:$AA$3,0))))*(1-Inputs_General!$C$22*Parameters!$F$14))</f>
        <v>10.5607522377214</v>
      </c>
      <c r="BU227" s="44" t="n">
        <f aca="false">MAX(BR227*(1+INDEX(Response_Table!$N$4:$N$21,MATCH($F227&amp;"|low",Response_Table!$A$4:$A$21,0))*$R227*INDEX(Parameters!$X$14:$AA$14,1,MATCH($E227,Parameters!$X$3:$AA$3,0))),BR227*(1+INDEX(Response_Table!$N$4:$N$21,MATCH($F227&amp;"|high",Response_Table!$A$4:$A$21,0))*$R227*INDEX(Parameters!$X$14:$AA$14,1,MATCH($E227,Parameters!$X$3:$AA$3,0))))*(1+Inputs_General!$C$22*Parameters!$F$14)</f>
        <v>32.746159236684</v>
      </c>
      <c r="BV227" s="45" t="n">
        <f aca="false">IF(BR227=0,0,BS227/BR227-1)</f>
        <v>0.128023283360068</v>
      </c>
      <c r="BW227" s="43" t="n">
        <f aca="false">Parameters!$E$15*IF($N227="V",Parameters!$I$15,IF($N227="F",Parameters!$J$15,Parameters!$K$15))*(1-Parameters!$L$15*$P227)*IF($D227="V1",Parameters!$M$15,IF($D227="V2",Parameters!$N$15,Parameters!$O$15))</f>
        <v>11.2163554285714</v>
      </c>
      <c r="BX227" s="43" t="n">
        <f aca="false">BW227*(1+INDEX(Response_Table!$O$4:$O$21,MATCH($F227&amp;"|mid",Response_Table!$A$4:$A$21,0))*$R227*INDEX(Parameters!$X$15:$AA$15,1,MATCH($E227,Parameters!$X$3:$AA$3,0)))</f>
        <v>10.8573667662466</v>
      </c>
      <c r="BY227" s="43" t="n">
        <f aca="false">MAX(0,MIN(BW227*(1+INDEX(Response_Table!$O$4:$O$21,MATCH($F227&amp;"|low",Response_Table!$A$4:$A$21,0))*$R227*INDEX(Parameters!$X$15:$AA$15,1,MATCH($E227,Parameters!$X$3:$AA$3,0))),BW227*(1+INDEX(Response_Table!$O$4:$O$21,MATCH($F227&amp;"|high",Response_Table!$A$4:$A$21,0))*$R227*INDEX(Parameters!$X$15:$AA$15,1,MATCH($E227,Parameters!$X$3:$AA$3,0))))*(1-Inputs_General!$C$22*Parameters!$F$15))</f>
        <v>8.65226411284482</v>
      </c>
      <c r="BZ227" s="43" t="n">
        <f aca="false">MAX(BW227*(1+INDEX(Response_Table!$O$4:$O$21,MATCH($F227&amp;"|low",Response_Table!$A$4:$A$21,0))*$R227*INDEX(Parameters!$X$15:$AA$15,1,MATCH($E227,Parameters!$X$3:$AA$3,0))),BW227*(1+INDEX(Response_Table!$O$4:$O$21,MATCH($F227&amp;"|high",Response_Table!$A$4:$A$21,0))*$R227*INDEX(Parameters!$X$15:$AA$15,1,MATCH($E227,Parameters!$X$3:$AA$3,0))))*(1+Inputs_General!$C$22*Parameters!$F$15)</f>
        <v>13.098604366109</v>
      </c>
      <c r="CA227" s="45" t="n">
        <f aca="false">IF(BW227=0,0,BX227/BW227-1)</f>
        <v>-0.0320058208400171</v>
      </c>
      <c r="CB227" s="46" t="n">
        <f aca="false">BD227+BI227</f>
        <v>1.38855994472294</v>
      </c>
      <c r="CC227" s="43" t="n">
        <f aca="false">BD227/BI227</f>
        <v>2.68508594724486</v>
      </c>
      <c r="CD227" s="46" t="n">
        <f aca="false">BN227/CB227</f>
        <v>0.207641466321511</v>
      </c>
      <c r="CE227" s="43" t="n">
        <f aca="false">AE227/AO227</f>
        <v>3.3847587418425</v>
      </c>
      <c r="CF227" s="44" t="n">
        <f aca="false">AE227/AJ227</f>
        <v>41.5450850934137</v>
      </c>
      <c r="CG227" s="44" t="n">
        <f aca="false">INDEX(Context!$V$4:$V$51,$K227)</f>
        <v>25.5785714285714</v>
      </c>
      <c r="CH227" s="44" t="n">
        <f aca="false">INDEX(Context!$Y$4:$Y$51,$K227)</f>
        <v>23.620522619794</v>
      </c>
      <c r="CI227" s="44" t="n">
        <f aca="false">INDEX(Context!$Z$4:$Z$51,$K227)</f>
        <v>29.5785714285714</v>
      </c>
      <c r="CJ227" s="43" t="n">
        <f aca="false">INDEX(Context!$AA$4:$AA$51,$K227)</f>
        <v>0.121160714285714</v>
      </c>
      <c r="CK227" s="43" t="n">
        <f aca="false">MAX(0,MIN(1,1-(1-CJ227)*AO227/AN227))</f>
        <v>0.227909568019199</v>
      </c>
      <c r="CL227" s="44" t="n">
        <f aca="false">CH227+CK227*(CI227-CH227)</f>
        <v>24.9784189500398</v>
      </c>
      <c r="CM227" s="44" t="n">
        <f aca="false">CH227+MAX(0,MIN(1,1-(1-CJ227)*AQ227/AN227))*(CI227-CH227)</f>
        <v>23.620522619794</v>
      </c>
      <c r="CN227" s="44" t="n">
        <f aca="false">CH227+MAX(0,MIN(1,1-(1-CJ227)*AP227/AN227))*(CI227-CH227)</f>
        <v>26.4677906148902</v>
      </c>
      <c r="CO227" s="44" t="n">
        <f aca="false">CL227-CG227</f>
        <v>-0.600152478531658</v>
      </c>
      <c r="CP227" s="44" t="n">
        <f aca="false">CL227-(CH227+CJ227*(CI227-CH227))</f>
        <v>0.636014880825144</v>
      </c>
      <c r="CQ227" s="46" t="n">
        <f aca="false">CL227/CG227</f>
        <v>0.976536903939003</v>
      </c>
      <c r="CR227" s="43" t="n">
        <f aca="false">IF(CL227-CH227&lt;=0,"n/a",(CI227-CL227)/(CL227-CH227))</f>
        <v>3.38770521435836</v>
      </c>
      <c r="CS227" s="43" t="n">
        <f aca="false">IF(CI227-CL227&lt;=0,"n/a",(CL227-CH227)/(CI227-CL227))</f>
        <v>0.295185069752122</v>
      </c>
      <c r="CT227" s="43" t="n">
        <f aca="false">Inputs_General!$C$23+Inputs_General!$C$24*$I227</f>
        <v>0.76</v>
      </c>
      <c r="CU227" s="44" t="n">
        <f aca="false">3.29*CT227</f>
        <v>2.5004</v>
      </c>
    </row>
    <row r="228" customFormat="false" ht="15" hidden="false" customHeight="false" outlineLevel="0" collapsed="false">
      <c r="A228" s="9" t="str">
        <f aca="false">B228&amp;"|"&amp;E228&amp;"|"&amp;F228</f>
        <v>D4V1|24/02/2026|Moderate</v>
      </c>
      <c r="B228" s="7" t="s">
        <v>352</v>
      </c>
      <c r="C228" s="9" t="s">
        <v>133</v>
      </c>
      <c r="D228" s="9" t="s">
        <v>142</v>
      </c>
      <c r="E228" s="9" t="s">
        <v>160</v>
      </c>
      <c r="F228" s="7" t="s">
        <v>281</v>
      </c>
      <c r="G228" s="9" t="s">
        <v>282</v>
      </c>
      <c r="H228" s="41" t="n">
        <f aca="false">INDEX(Severity_Classes!$C$4:$C$9,MATCH(F228,Severity_Classes!$A$4:$A$9,0))</f>
        <v>0.11</v>
      </c>
      <c r="I228" s="41" t="n">
        <f aca="false">INDEX(Severity_Classes!$D$4:$D$9,MATCH(F228,Severity_Classes!$A$4:$A$9,0))</f>
        <v>0.18</v>
      </c>
      <c r="J228" s="41" t="n">
        <f aca="false">INDEX(Severity_Classes!$E$4:$E$9,MATCH(F228,Severity_Classes!$A$4:$A$9,0))</f>
        <v>0.25</v>
      </c>
      <c r="K228" s="42" t="n">
        <f aca="false">MATCH(B228&amp;"|"&amp;E228,Context!$A$4:$A$51,0)</f>
        <v>38</v>
      </c>
      <c r="L228" s="42" t="n">
        <f aca="false">INDEX(Context!$H$4:$H$51,K228)</f>
        <v>46</v>
      </c>
      <c r="M228" s="42" t="n">
        <f aca="false">INDEX(Context!$I$4:$I$51,K228)</f>
        <v>19</v>
      </c>
      <c r="N228" s="9" t="str">
        <f aca="false">INDEX(Context!$L$4:$L$51,K228)</f>
        <v>V</v>
      </c>
      <c r="O228" s="9" t="str">
        <f aca="false">INDEX(Context!$M$4:$M$51,K228)</f>
        <v>3rd fully expanded leaf from top</v>
      </c>
      <c r="P228" s="43" t="n">
        <f aca="false">INDEX(Context!$R$4:$R$51,K228)</f>
        <v>0.0232142857142859</v>
      </c>
      <c r="Q228" s="43" t="n">
        <f aca="false">INDEX(Context!$U$4:$U$51,K228)</f>
        <v>1.19492600027053</v>
      </c>
      <c r="R228" s="43" t="n">
        <f aca="false">INDEX(Context!$AD$4:$AD$51,K228)</f>
        <v>1</v>
      </c>
      <c r="S228" s="9" t="str">
        <f aca="false">INDEX(Context!$AI$4:$AN$51,K228,MATCH(F228,Severity_Classes!$A$4:$A$9,0))</f>
        <v>Likely</v>
      </c>
      <c r="T228" s="44" t="n">
        <f aca="false">Parameters!$E$4*IF($N228="V",Parameters!$I$4,IF($N228="F",Parameters!$J$4,Parameters!$K$4))*(1-Parameters!$L$4*$P228)*IF($D228="V1",Parameters!$M$4,IF($D228="V2",Parameters!$N$4,Parameters!$O$4))</f>
        <v>85.9001785714286</v>
      </c>
      <c r="U228" s="44" t="n">
        <f aca="false">MIN(100,T228*(1+INDEX(Response_Table!$E$4:$E$21,MATCH($F228&amp;"|mid",Response_Table!$A$4:$A$21,0))*$R228*INDEX(Parameters!$X$4:$AA$4,1,MATCH($E228,Parameters!$X$3:$AA$3,0))))</f>
        <v>81.9925857505414</v>
      </c>
      <c r="V228" s="44" t="n">
        <f aca="false">MAX(0,MIN(T228*(1+INDEX(Response_Table!$E$4:$E$21,MATCH($F228&amp;"|low",Response_Table!$A$4:$A$21,0))*$R228*INDEX(Parameters!$X$4:$AA$4,1,MATCH($E228,Parameters!$X$3:$AA$3,0))),T228*(1+INDEX(Response_Table!$E$4:$E$21,MATCH($F228&amp;"|high",Response_Table!$A$4:$A$21,0))*$R228*INDEX(Parameters!$X$4:$AA$4,1,MATCH($E228,Parameters!$X$3:$AA$3,0))))*(1-Inputs_General!$C$22*Parameters!$F$4))</f>
        <v>73.8629335592311</v>
      </c>
      <c r="W228" s="44" t="n">
        <f aca="false">MIN(100,MAX(T228*(1+INDEX(Response_Table!$E$4:$E$21,MATCH($F228&amp;"|low",Response_Table!$A$4:$A$21,0))*$R228*INDEX(Parameters!$X$4:$AA$4,1,MATCH($E228,Parameters!$X$3:$AA$3,0))),T228*(1+INDEX(Response_Table!$E$4:$E$21,MATCH($F228&amp;"|high",Response_Table!$A$4:$A$21,0))*$R228*INDEX(Parameters!$X$4:$AA$4,1,MATCH($E228,Parameters!$X$3:$AA$3,0))))*(1+Inputs_General!$C$22*Parameters!$F$4))</f>
        <v>89.5875214214615</v>
      </c>
      <c r="X228" s="45" t="n">
        <f aca="false">IF(T228=0,0,U228/T228-1)</f>
        <v>-0.0454899266319668</v>
      </c>
      <c r="Y228" s="44" t="n">
        <f aca="false">Parameters!$E$5*IF($N228="V",Parameters!$I$5,IF($N228="F",Parameters!$J$5,Parameters!$K$5))*(1-Parameters!$L$5*$P228)*IF($D228="V1",Parameters!$M$5,IF($D228="V2",Parameters!$N$5,Parameters!$O$5))</f>
        <v>71.7994285714286</v>
      </c>
      <c r="Z228" s="44" t="n">
        <f aca="false">MIN(100,Y228*(1+INDEX(Response_Table!$F$4:$F$21,MATCH($F228&amp;"|mid",Response_Table!$A$4:$A$21,0))*$R228*INDEX(Parameters!$X$5:$AA$5,1,MATCH($E228,Parameters!$X$3:$AA$3,0))))</f>
        <v>60.5168669117805</v>
      </c>
      <c r="AA228" s="44" t="n">
        <f aca="false">MAX(0,MIN(Y228*(1+INDEX(Response_Table!$F$4:$F$21,MATCH($F228&amp;"|low",Response_Table!$A$4:$A$21,0))*$R228*INDEX(Parameters!$X$5:$AA$5,1,MATCH($E228,Parameters!$X$3:$AA$3,0))),Y228*(1+INDEX(Response_Table!$F$4:$F$21,MATCH($F228&amp;"|high",Response_Table!$A$4:$A$21,0))*$R228*INDEX(Parameters!$X$5:$AA$5,1,MATCH($E228,Parameters!$X$3:$AA$3,0))))*(1-Inputs_General!$C$22*Parameters!$F$5))</f>
        <v>46.1597419046234</v>
      </c>
      <c r="AB228" s="44" t="n">
        <f aca="false">MIN(100,MAX(Y228*(1+INDEX(Response_Table!$F$4:$F$21,MATCH($F228&amp;"|low",Response_Table!$A$4:$A$21,0))*$R228*INDEX(Parameters!$X$5:$AA$5,1,MATCH($E228,Parameters!$X$3:$AA$3,0))),Y228*(1+INDEX(Response_Table!$F$4:$F$21,MATCH($F228&amp;"|high",Response_Table!$A$4:$A$21,0))*$R228*INDEX(Parameters!$X$5:$AA$5,1,MATCH($E228,Parameters!$X$3:$AA$3,0))))*(1+Inputs_General!$C$22*Parameters!$F$5))</f>
        <v>74.2915885169567</v>
      </c>
      <c r="AC228" s="45" t="n">
        <f aca="false">IF(Y228=0,0,Z228/Y228-1)</f>
        <v>-0.157139992394561</v>
      </c>
      <c r="AD228" s="44" t="n">
        <f aca="false">Parameters!$E$6*IF($N228="V",Parameters!$I$6,IF($N228="F",Parameters!$J$6,Parameters!$K$6))*(1-Parameters!$L$6*$P228)*IF($D228="V1",Parameters!$M$6,IF($D228="V2",Parameters!$N$6,Parameters!$O$6))</f>
        <v>18.9470714285714</v>
      </c>
      <c r="AE228" s="44" t="n">
        <f aca="false">AD228*(1+INDEX(Response_Table!$G$4:$G$21,MATCH($F228&amp;"|mid",Response_Table!$A$4:$A$21,0))*$R228*INDEX(Parameters!$X$6:$AA$6,1,MATCH($E228,Parameters!$X$3:$AA$3,0)))</f>
        <v>11.1731545177373</v>
      </c>
      <c r="AF228" s="44" t="n">
        <f aca="false">MAX(0,MIN(AD228*(1+INDEX(Response_Table!$G$4:$G$21,MATCH($F228&amp;"|low",Response_Table!$A$4:$A$21,0))*$R228*INDEX(Parameters!$X$6:$AA$6,1,MATCH($E228,Parameters!$X$3:$AA$3,0))),AD228*(1+INDEX(Response_Table!$G$4:$G$21,MATCH($F228&amp;"|high",Response_Table!$A$4:$A$21,0))*$R228*INDEX(Parameters!$X$6:$AA$6,1,MATCH($E228,Parameters!$X$3:$AA$3,0))))*(1-Inputs_General!$C$22*Parameters!$F$6))</f>
        <v>7.59818771953165</v>
      </c>
      <c r="AG228" s="44" t="n">
        <f aca="false">MAX(AD228*(1+INDEX(Response_Table!$G$4:$G$21,MATCH($F228&amp;"|low",Response_Table!$A$4:$A$21,0))*$R228*INDEX(Parameters!$X$6:$AA$6,1,MATCH($E228,Parameters!$X$3:$AA$3,0))),AD228*(1+INDEX(Response_Table!$G$4:$G$21,MATCH($F228&amp;"|high",Response_Table!$A$4:$A$21,0))*$R228*INDEX(Parameters!$X$6:$AA$6,1,MATCH($E228,Parameters!$X$3:$AA$3,0))))*(1+Inputs_General!$C$22*Parameters!$F$6)</f>
        <v>16.1586322712411</v>
      </c>
      <c r="AH228" s="45" t="n">
        <f aca="false">IF(AD228=0,0,AE228/AD228-1)</f>
        <v>-0.410296490417582</v>
      </c>
      <c r="AI228" s="46" t="n">
        <f aca="false">Parameters!$E$7*IF($N228="V",Parameters!$I$7,IF($N228="F",Parameters!$J$7,Parameters!$K$7))*(1-Parameters!$L$7*$P228)*IF($D228="V1",Parameters!$M$7,IF($D228="V2",Parameters!$N$7,Parameters!$O$7))*POWER($Q228/Inputs_General!$C$26,-Inputs_General!$C$25)</f>
        <v>0.411663164578586</v>
      </c>
      <c r="AJ228" s="46" t="n">
        <f aca="false">AI228*(1+INDEX(Response_Table!$H$4:$H$21,MATCH($F228&amp;"|mid",Response_Table!$A$4:$A$21,0))*$R228*INDEX(Parameters!$X$7:$AA$7,1,MATCH($E228,Parameters!$X$3:$AA$3,0)))</f>
        <v>0.300014500923701</v>
      </c>
      <c r="AK228" s="46" t="n">
        <f aca="false">MAX(0,MIN(AI228*(1+INDEX(Response_Table!$H$4:$H$21,MATCH($F228&amp;"|low",Response_Table!$A$4:$A$21,0))*$R228*INDEX(Parameters!$X$7:$AA$7,1,MATCH($E228,Parameters!$X$3:$AA$3,0))),AI228*(1+INDEX(Response_Table!$H$4:$H$21,MATCH($F228&amp;"|high",Response_Table!$A$4:$A$21,0))*$R228*INDEX(Parameters!$X$7:$AA$7,1,MATCH($E228,Parameters!$X$3:$AA$3,0))))*(1-Inputs_General!$C$22*Parameters!$F$7))</f>
        <v>0.190389780296919</v>
      </c>
      <c r="AL228" s="46" t="n">
        <f aca="false">MAX(AI228*(1+INDEX(Response_Table!$H$4:$H$21,MATCH($F228&amp;"|low",Response_Table!$A$4:$A$21,0))*$R228*INDEX(Parameters!$X$7:$AA$7,1,MATCH($E228,Parameters!$X$3:$AA$3,0))),AI228*(1+INDEX(Response_Table!$H$4:$H$21,MATCH($F228&amp;"|high",Response_Table!$A$4:$A$21,0))*$R228*INDEX(Parameters!$X$7:$AA$7,1,MATCH($E228,Parameters!$X$3:$AA$3,0))))*(1+Inputs_General!$C$22*Parameters!$F$7)</f>
        <v>0.436076059430924</v>
      </c>
      <c r="AM228" s="45" t="n">
        <f aca="false">IF(AI228=0,0,AJ228/AI228-1)</f>
        <v>-0.271213635956907</v>
      </c>
      <c r="AN228" s="43" t="n">
        <f aca="false">AI228*$Q228/Inputs_General!$C$13*1000</f>
        <v>4.95374641196979</v>
      </c>
      <c r="AO228" s="43" t="n">
        <f aca="false">AJ228*$Q228/Inputs_General!$C$13*1000*(1+Inputs_General!$C$21*$I228)</f>
        <v>3.77268286358967</v>
      </c>
      <c r="AP228" s="43" t="n">
        <f aca="false">AK228*$Q228/Inputs_General!$C$13*1000*(1+Inputs_General!$C$21*$H228)</f>
        <v>2.3540583622941</v>
      </c>
      <c r="AQ228" s="43" t="n">
        <f aca="false">AL228*$Q228/Inputs_General!$C$13*1000*(1+Inputs_General!$C$21*$J228)</f>
        <v>5.57548877496348</v>
      </c>
      <c r="AR228" s="45" t="n">
        <f aca="false">IF(AN228=0,0,AO228/AN228-1)</f>
        <v>-0.238418249574968</v>
      </c>
      <c r="AS228" s="42" t="n">
        <f aca="false">Parameters!$E$9*IF($N228="V",Parameters!$I$9,IF($N228="F",Parameters!$J$9,Parameters!$K$9))*(1-Parameters!$L$9*$P228)*IF($D228="V1",Parameters!$M$9,IF($D228="V2",Parameters!$N$9,Parameters!$O$9))</f>
        <v>285</v>
      </c>
      <c r="AT228" s="42" t="n">
        <f aca="false">AS228*(1+INDEX(Response_Table!$I$4:$I$21,MATCH($F228&amp;"|mid",Response_Table!$A$4:$A$21,0))*$R228*INDEX(Parameters!$X$9:$AA$9,1,MATCH($E228,Parameters!$X$3:$AA$3,0)))</f>
        <v>328.882682115422</v>
      </c>
      <c r="AU228" s="42" t="n">
        <f aca="false">MAX(0,MIN(AS228*(1+INDEX(Response_Table!$I$4:$I$21,MATCH($F228&amp;"|low",Response_Table!$A$4:$A$21,0))*$R228*INDEX(Parameters!$X$9:$AA$9,1,MATCH($E228,Parameters!$X$3:$AA$3,0))),AS228*(1+INDEX(Response_Table!$I$4:$I$21,MATCH($F228&amp;"|high",Response_Table!$A$4:$A$21,0))*$R228*INDEX(Parameters!$X$9:$AA$9,1,MATCH($E228,Parameters!$X$3:$AA$3,0))))*(1-Inputs_General!$C$22*Parameters!$F$9))</f>
        <v>284.301462749449</v>
      </c>
      <c r="AV228" s="42" t="n">
        <f aca="false">MAX(AS228*(1+INDEX(Response_Table!$I$4:$I$21,MATCH($F228&amp;"|low",Response_Table!$A$4:$A$21,0))*$R228*INDEX(Parameters!$X$9:$AA$9,1,MATCH($E228,Parameters!$X$3:$AA$3,0))),AS228*(1+INDEX(Response_Table!$I$4:$I$21,MATCH($F228&amp;"|high",Response_Table!$A$4:$A$21,0))*$R228*INDEX(Parameters!$X$9:$AA$9,1,MATCH($E228,Parameters!$X$3:$AA$3,0))))*(1+Inputs_General!$C$22*Parameters!$F$9)</f>
        <v>372.510178357712</v>
      </c>
      <c r="AW228" s="45" t="n">
        <f aca="false">IF(AS228=0,0,AT228/AS228-1)</f>
        <v>0.153974323212009</v>
      </c>
      <c r="AX228" s="43" t="n">
        <f aca="false">INDEX(Context!$AB$4:$AB$51,$K228)</f>
        <v>1.33809111737271</v>
      </c>
      <c r="AY228" s="43" t="n">
        <f aca="false">AX228*(1+INDEX(Response_Table!$J$4:$J$21,MATCH($F228&amp;"|mid",Response_Table!$A$4:$A$21,0))*$R228*INDEX(Parameters!$X$10:$AA$10,1,MATCH($E228,Parameters!$X$3:$AA$3,0)))</f>
        <v>1.11989216919733</v>
      </c>
      <c r="AZ228" s="43" t="n">
        <f aca="false">MAX(0,MIN(AX228*(1+INDEX(Response_Table!$J$4:$J$21,MATCH($F228&amp;"|low",Response_Table!$A$4:$A$21,0))*$R228*INDEX(Parameters!$X$10:$AA$10,1,MATCH($E228,Parameters!$X$3:$AA$3,0))),AX228*(1+INDEX(Response_Table!$J$4:$J$21,MATCH($F228&amp;"|high",Response_Table!$A$4:$A$21,0))*$R228*INDEX(Parameters!$X$10:$AA$10,1,MATCH($E228,Parameters!$X$3:$AA$3,0))))*(1-Inputs_General!$C$22*Parameters!$F$10))</f>
        <v>0.84935383203097</v>
      </c>
      <c r="BA228" s="43" t="n">
        <f aca="false">MAX(AX228*(1+INDEX(Response_Table!$J$4:$J$21,MATCH($F228&amp;"|low",Response_Table!$A$4:$A$21,0))*$R228*INDEX(Parameters!$X$10:$AA$10,1,MATCH($E228,Parameters!$X$3:$AA$3,0))),AX228*(1+INDEX(Response_Table!$J$4:$J$21,MATCH($F228&amp;"|high",Response_Table!$A$4:$A$21,0))*$R228*INDEX(Parameters!$X$10:$AA$10,1,MATCH($E228,Parameters!$X$3:$AA$3,0))))*(1+Inputs_General!$C$22*Parameters!$F$10)</f>
        <v>1.42888093040545</v>
      </c>
      <c r="BB228" s="45" t="n">
        <f aca="false">IF(AX228=0,0,AY228/AX228-1)</f>
        <v>-0.163067331770202</v>
      </c>
      <c r="BC228" s="46" t="n">
        <f aca="false">Parameters!$E$11*IF($N228="V",Parameters!$I$11,IF($N228="F",Parameters!$J$11,Parameters!$K$11))*(1-Parameters!$L$11*$P228)*IF($D228="V1",Parameters!$M$11,IF($D228="V2",Parameters!$N$11,Parameters!$O$11))</f>
        <v>1.18584598214286</v>
      </c>
      <c r="BD228" s="46" t="n">
        <f aca="false">BC228*(1+INDEX(Response_Table!$K$4:$K$21,MATCH($F228&amp;"|mid",Response_Table!$A$4:$A$21,0))*$R228*INDEX(Parameters!$X$11:$AA$11,1,MATCH($E228,Parameters!$X$3:$AA$3,0)))</f>
        <v>0.848345427768599</v>
      </c>
      <c r="BE228" s="46" t="n">
        <f aca="false">MAX(0,MIN(BC228*(1+INDEX(Response_Table!$K$4:$K$21,MATCH($F228&amp;"|low",Response_Table!$A$4:$A$21,0))*$R228*INDEX(Parameters!$X$11:$AA$11,1,MATCH($E228,Parameters!$X$3:$AA$3,0))),BC228*(1+INDEX(Response_Table!$K$4:$K$21,MATCH($F228&amp;"|high",Response_Table!$A$4:$A$21,0))*$R228*INDEX(Parameters!$X$11:$AA$11,1,MATCH($E228,Parameters!$X$3:$AA$3,0))))*(1-Inputs_General!$C$22*Parameters!$F$11))</f>
        <v>0.636140350039171</v>
      </c>
      <c r="BF228" s="46" t="n">
        <f aca="false">MAX(BC228*(1+INDEX(Response_Table!$K$4:$K$21,MATCH($F228&amp;"|low",Response_Table!$A$4:$A$21,0))*$R228*INDEX(Parameters!$X$11:$AA$11,1,MATCH($E228,Parameters!$X$3:$AA$3,0))),BC228*(1+INDEX(Response_Table!$K$4:$K$21,MATCH($F228&amp;"|high",Response_Table!$A$4:$A$21,0))*$R228*INDEX(Parameters!$X$11:$AA$11,1,MATCH($E228,Parameters!$X$3:$AA$3,0))))*(1+Inputs_General!$C$22*Parameters!$F$11)</f>
        <v>1.11458293110256</v>
      </c>
      <c r="BG228" s="45" t="n">
        <f aca="false">IF(BC228=0,0,BD228/BC228-1)</f>
        <v>-0.284607410622065</v>
      </c>
      <c r="BH228" s="46" t="n">
        <f aca="false">Parameters!$E$12*IF($N228="V",Parameters!$I$12,IF($N228="F",Parameters!$J$12,Parameters!$K$12))*(1-Parameters!$L$12*$P228)*IF($D228="V1",Parameters!$M$12,IF($D228="V2",Parameters!$N$12,Parameters!$O$12))</f>
        <v>0.426904553571429</v>
      </c>
      <c r="BI228" s="46" t="n">
        <f aca="false">BH228*(1+INDEX(Response_Table!$L$4:$L$21,MATCH($F228&amp;"|mid",Response_Table!$A$4:$A$21,0))*$R228*INDEX(Parameters!$X$12:$AA$12,1,MATCH($E228,Parameters!$X$3:$AA$3,0)))</f>
        <v>0.328934884495479</v>
      </c>
      <c r="BJ228" s="46" t="n">
        <f aca="false">MAX(0,MIN(BH228*(1+INDEX(Response_Table!$L$4:$L$21,MATCH($F228&amp;"|low",Response_Table!$A$4:$A$21,0))*$R228*INDEX(Parameters!$X$12:$AA$12,1,MATCH($E228,Parameters!$X$3:$AA$3,0))),BH228*(1+INDEX(Response_Table!$L$4:$L$21,MATCH($F228&amp;"|high",Response_Table!$A$4:$A$21,0))*$R228*INDEX(Parameters!$X$12:$AA$12,1,MATCH($E228,Parameters!$X$3:$AA$3,0))))*(1-Inputs_General!$C$22*Parameters!$F$12))</f>
        <v>0.243201875102401</v>
      </c>
      <c r="BK228" s="46" t="n">
        <f aca="false">MAX(BH228*(1+INDEX(Response_Table!$L$4:$L$21,MATCH($F228&amp;"|low",Response_Table!$A$4:$A$21,0))*$R228*INDEX(Parameters!$X$12:$AA$12,1,MATCH($E228,Parameters!$X$3:$AA$3,0))),BH228*(1+INDEX(Response_Table!$L$4:$L$21,MATCH($F228&amp;"|high",Response_Table!$A$4:$A$21,0))*$R228*INDEX(Parameters!$X$12:$AA$12,1,MATCH($E228,Parameters!$X$3:$AA$3,0))))*(1+Inputs_General!$C$22*Parameters!$F$12)</f>
        <v>0.432151894916723</v>
      </c>
      <c r="BL228" s="45" t="n">
        <f aca="false">IF(BH228=0,0,BI228/BH228-1)</f>
        <v>-0.229488461194306</v>
      </c>
      <c r="BM228" s="46" t="n">
        <f aca="false">Parameters!$E$13*IF($N228="V",Parameters!$I$13,IF($N228="F",Parameters!$J$13,Parameters!$K$13))*(1-Parameters!$L$13*$P228)*IF($D228="V1",Parameters!$M$13,IF($D228="V2",Parameters!$N$13,Parameters!$O$13))</f>
        <v>0.284801517857143</v>
      </c>
      <c r="BN228" s="46" t="n">
        <f aca="false">BM228*(1+INDEX(Response_Table!$M$4:$M$21,MATCH($F228&amp;"|mid",Response_Table!$A$4:$A$21,0))*$R228*INDEX(Parameters!$X$13:$AA$13,1,MATCH($E228,Parameters!$X$3:$AA$3,0)))</f>
        <v>0.260302468215767</v>
      </c>
      <c r="BO228" s="46" t="n">
        <f aca="false">MAX(0,MIN(BM228*(1+INDEX(Response_Table!$M$4:$M$21,MATCH($F228&amp;"|low",Response_Table!$A$4:$A$21,0))*$R228*INDEX(Parameters!$X$13:$AA$13,1,MATCH($E228,Parameters!$X$3:$AA$3,0))),BM228*(1+INDEX(Response_Table!$M$4:$M$21,MATCH($F228&amp;"|high",Response_Table!$A$4:$A$21,0))*$R228*INDEX(Parameters!$X$13:$AA$13,1,MATCH($E228,Parameters!$X$3:$AA$3,0))))*(1-Inputs_General!$C$22*Parameters!$F$13))</f>
        <v>0.193089626198112</v>
      </c>
      <c r="BP228" s="46" t="n">
        <f aca="false">MAX(BM228*(1+INDEX(Response_Table!$M$4:$M$21,MATCH($F228&amp;"|low",Response_Table!$A$4:$A$21,0))*$R228*INDEX(Parameters!$X$13:$AA$13,1,MATCH($E228,Parameters!$X$3:$AA$3,0))),BM228*(1+INDEX(Response_Table!$M$4:$M$21,MATCH($F228&amp;"|high",Response_Table!$A$4:$A$21,0))*$R228*INDEX(Parameters!$X$13:$AA$13,1,MATCH($E228,Parameters!$X$3:$AA$3,0))))*(1+Inputs_General!$C$22*Parameters!$F$13)</f>
        <v>0.336622711053606</v>
      </c>
      <c r="BQ228" s="45" t="n">
        <f aca="false">IF(BM228=0,0,BN228/BM228-1)</f>
        <v>-0.0860214855093042</v>
      </c>
      <c r="BR228" s="44" t="n">
        <f aca="false">Parameters!$E$14*IF($N228="V",Parameters!$I$14,IF($N228="F",Parameters!$J$14,Parameters!$K$14))*(1-Parameters!$L$14*$P228)*IF($D228="V1",Parameters!$M$14,IF($D228="V2",Parameters!$N$14,Parameters!$O$14))*INDEX(Context!$AC$4:$AC$51,$K228)</f>
        <v>18.975</v>
      </c>
      <c r="BS228" s="44" t="n">
        <f aca="false">BR228*(1+INDEX(Response_Table!$N$4:$N$21,MATCH($F228&amp;"|mid",Response_Table!$A$4:$A$21,0))*$R228*INDEX(Parameters!$X$14:$AA$14,1,MATCH($E228,Parameters!$X$3:$AA$3,0)))</f>
        <v>23.7254111467221</v>
      </c>
      <c r="BT228" s="44" t="n">
        <f aca="false">MAX(0,MIN(BR228*(1+INDEX(Response_Table!$N$4:$N$21,MATCH($F228&amp;"|low",Response_Table!$A$4:$A$21,0))*$R228*INDEX(Parameters!$X$14:$AA$14,1,MATCH($E228,Parameters!$X$3:$AA$3,0))),BR228*(1+INDEX(Response_Table!$N$4:$N$21,MATCH($F228&amp;"|high",Response_Table!$A$4:$A$21,0))*$R228*INDEX(Parameters!$X$14:$AA$14,1,MATCH($E228,Parameters!$X$3:$AA$3,0))))*(1-Inputs_General!$C$22*Parameters!$F$14))</f>
        <v>11.2316644938555</v>
      </c>
      <c r="BU228" s="44" t="n">
        <f aca="false">MAX(BR228*(1+INDEX(Response_Table!$N$4:$N$21,MATCH($F228&amp;"|low",Response_Table!$A$4:$A$21,0))*$R228*INDEX(Parameters!$X$14:$AA$14,1,MATCH($E228,Parameters!$X$3:$AA$3,0))),BR228*(1+INDEX(Response_Table!$N$4:$N$21,MATCH($F228&amp;"|high",Response_Table!$A$4:$A$21,0))*$R228*INDEX(Parameters!$X$14:$AA$14,1,MATCH($E228,Parameters!$X$3:$AA$3,0))))*(1+Inputs_General!$C$22*Parameters!$F$14)</f>
        <v>37.3107765013845</v>
      </c>
      <c r="BV228" s="45" t="n">
        <f aca="false">IF(BR228=0,0,BS228/BR228-1)</f>
        <v>0.250351048575606</v>
      </c>
      <c r="BW228" s="43" t="n">
        <f aca="false">Parameters!$E$15*IF($N228="V",Parameters!$I$15,IF($N228="F",Parameters!$J$15,Parameters!$K$15))*(1-Parameters!$L$15*$P228)*IF($D228="V1",Parameters!$M$15,IF($D228="V2",Parameters!$N$15,Parameters!$O$15))</f>
        <v>11.2163554285714</v>
      </c>
      <c r="BX228" s="43" t="n">
        <f aca="false">BW228*(1+INDEX(Response_Table!$O$4:$O$21,MATCH($F228&amp;"|mid",Response_Table!$A$4:$A$21,0))*$R228*INDEX(Parameters!$X$15:$AA$15,1,MATCH($E228,Parameters!$X$3:$AA$3,0)))</f>
        <v>10.5143488428865</v>
      </c>
      <c r="BY228" s="43" t="n">
        <f aca="false">MAX(0,MIN(BW228*(1+INDEX(Response_Table!$O$4:$O$21,MATCH($F228&amp;"|low",Response_Table!$A$4:$A$21,0))*$R228*INDEX(Parameters!$X$15:$AA$15,1,MATCH($E228,Parameters!$X$3:$AA$3,0))),BW228*(1+INDEX(Response_Table!$O$4:$O$21,MATCH($F228&amp;"|high",Response_Table!$A$4:$A$21,0))*$R228*INDEX(Parameters!$X$15:$AA$15,1,MATCH($E228,Parameters!$X$3:$AA$3,0))))*(1-Inputs_General!$C$22*Parameters!$F$15))</f>
        <v>8.28976388484695</v>
      </c>
      <c r="BZ228" s="43" t="n">
        <f aca="false">MAX(BW228*(1+INDEX(Response_Table!$O$4:$O$21,MATCH($F228&amp;"|low",Response_Table!$A$4:$A$21,0))*$R228*INDEX(Parameters!$X$15:$AA$15,1,MATCH($E228,Parameters!$X$3:$AA$3,0))),BW228*(1+INDEX(Response_Table!$O$4:$O$21,MATCH($F228&amp;"|high",Response_Table!$A$4:$A$21,0))*$R228*INDEX(Parameters!$X$15:$AA$15,1,MATCH($E228,Parameters!$X$3:$AA$3,0))))*(1+Inputs_General!$C$22*Parameters!$F$15)</f>
        <v>12.8642162886763</v>
      </c>
      <c r="CA228" s="45" t="n">
        <f aca="false">IF(BW228=0,0,BX228/BW228-1)</f>
        <v>-0.0625877621439015</v>
      </c>
      <c r="CB228" s="46" t="n">
        <f aca="false">BD228+BI228</f>
        <v>1.17728031226408</v>
      </c>
      <c r="CC228" s="43" t="n">
        <f aca="false">BD228/BI228</f>
        <v>2.57906797897034</v>
      </c>
      <c r="CD228" s="46" t="n">
        <f aca="false">BN228/CB228</f>
        <v>0.221104919112397</v>
      </c>
      <c r="CE228" s="43" t="n">
        <f aca="false">AE228/AO228</f>
        <v>2.96159389000595</v>
      </c>
      <c r="CF228" s="44" t="n">
        <f aca="false">AE228/AJ228</f>
        <v>37.2420482454575</v>
      </c>
      <c r="CG228" s="44" t="n">
        <f aca="false">INDEX(Context!$V$4:$V$51,$K228)</f>
        <v>25.5785714285714</v>
      </c>
      <c r="CH228" s="44" t="n">
        <f aca="false">INDEX(Context!$Y$4:$Y$51,$K228)</f>
        <v>23.620522619794</v>
      </c>
      <c r="CI228" s="44" t="n">
        <f aca="false">INDEX(Context!$Z$4:$Z$51,$K228)</f>
        <v>29.5785714285714</v>
      </c>
      <c r="CJ228" s="43" t="n">
        <f aca="false">INDEX(Context!$AA$4:$AA$51,$K228)</f>
        <v>0.121160714285714</v>
      </c>
      <c r="CK228" s="43" t="n">
        <f aca="false">MAX(0,MIN(1,1-(1-CJ228)*AO228/AN228))</f>
        <v>0.330692038443429</v>
      </c>
      <c r="CL228" s="44" t="n">
        <f aca="false">CH228+CK228*(CI228-CH228)</f>
        <v>25.5908019255141</v>
      </c>
      <c r="CM228" s="44" t="n">
        <f aca="false">CH228+MAX(0,MIN(1,1-(1-CJ228)*AQ228/AN228))*(CI228-CH228)</f>
        <v>23.6852151870444</v>
      </c>
      <c r="CN228" s="44" t="n">
        <f aca="false">CH228+MAX(0,MIN(1,1-(1-CJ228)*AP228/AN228))*(CI228-CH228)</f>
        <v>27.0903044618003</v>
      </c>
      <c r="CO228" s="44" t="n">
        <f aca="false">CL228-CG228</f>
        <v>0.0122304969426281</v>
      </c>
      <c r="CP228" s="44" t="n">
        <f aca="false">CL228-(CH228+CJ228*(CI228-CH228))</f>
        <v>1.24839785629943</v>
      </c>
      <c r="CQ228" s="46" t="n">
        <f aca="false">CL228/CG228</f>
        <v>1.00047815402736</v>
      </c>
      <c r="CR228" s="43" t="n">
        <f aca="false">IF(CL228-CH228&lt;=0,"n/a",(CI228-CL228)/(CL228-CH228))</f>
        <v>2.02396152234874</v>
      </c>
      <c r="CS228" s="43" t="n">
        <f aca="false">IF(CI228-CL228&lt;=0,"n/a",(CL228-CH228)/(CI228-CL228))</f>
        <v>0.494080539060611</v>
      </c>
      <c r="CT228" s="43" t="n">
        <f aca="false">Inputs_General!$C$23+Inputs_General!$C$24*$I228</f>
        <v>0.96</v>
      </c>
      <c r="CU228" s="44" t="n">
        <f aca="false">3.29*CT228</f>
        <v>3.1584</v>
      </c>
    </row>
    <row r="229" customFormat="false" ht="15" hidden="false" customHeight="false" outlineLevel="0" collapsed="false">
      <c r="A229" s="9" t="str">
        <f aca="false">B229&amp;"|"&amp;E229&amp;"|"&amp;F229</f>
        <v>D4V1|24/02/2026|High</v>
      </c>
      <c r="B229" s="7" t="s">
        <v>352</v>
      </c>
      <c r="C229" s="9" t="s">
        <v>133</v>
      </c>
      <c r="D229" s="9" t="s">
        <v>142</v>
      </c>
      <c r="E229" s="9" t="s">
        <v>160</v>
      </c>
      <c r="F229" s="7" t="s">
        <v>283</v>
      </c>
      <c r="G229" s="9" t="s">
        <v>284</v>
      </c>
      <c r="H229" s="41" t="n">
        <f aca="false">INDEX(Severity_Classes!$C$4:$C$9,MATCH(F229,Severity_Classes!$A$4:$A$9,0))</f>
        <v>0.26</v>
      </c>
      <c r="I229" s="41" t="n">
        <f aca="false">INDEX(Severity_Classes!$D$4:$D$9,MATCH(F229,Severity_Classes!$A$4:$A$9,0))</f>
        <v>0.38</v>
      </c>
      <c r="J229" s="41" t="n">
        <f aca="false">INDEX(Severity_Classes!$E$4:$E$9,MATCH(F229,Severity_Classes!$A$4:$A$9,0))</f>
        <v>0.5</v>
      </c>
      <c r="K229" s="42" t="n">
        <f aca="false">MATCH(B229&amp;"|"&amp;E229,Context!$A$4:$A$51,0)</f>
        <v>38</v>
      </c>
      <c r="L229" s="42" t="n">
        <f aca="false">INDEX(Context!$H$4:$H$51,K229)</f>
        <v>46</v>
      </c>
      <c r="M229" s="42" t="n">
        <f aca="false">INDEX(Context!$I$4:$I$51,K229)</f>
        <v>19</v>
      </c>
      <c r="N229" s="9" t="str">
        <f aca="false">INDEX(Context!$L$4:$L$51,K229)</f>
        <v>V</v>
      </c>
      <c r="O229" s="9" t="str">
        <f aca="false">INDEX(Context!$M$4:$M$51,K229)</f>
        <v>3rd fully expanded leaf from top</v>
      </c>
      <c r="P229" s="43" t="n">
        <f aca="false">INDEX(Context!$R$4:$R$51,K229)</f>
        <v>0.0232142857142859</v>
      </c>
      <c r="Q229" s="43" t="n">
        <f aca="false">INDEX(Context!$U$4:$U$51,K229)</f>
        <v>1.19492600027053</v>
      </c>
      <c r="R229" s="43" t="n">
        <f aca="false">INDEX(Context!$AD$4:$AD$51,K229)</f>
        <v>1</v>
      </c>
      <c r="S229" s="9" t="str">
        <f aca="false">INDEX(Context!$AI$4:$AN$51,K229,MATCH(F229,Severity_Classes!$A$4:$A$9,0))</f>
        <v>Possible</v>
      </c>
      <c r="T229" s="44" t="n">
        <f aca="false">Parameters!$E$4*IF($N229="V",Parameters!$I$4,IF($N229="F",Parameters!$J$4,Parameters!$K$4))*(1-Parameters!$L$4*$P229)*IF($D229="V1",Parameters!$M$4,IF($D229="V2",Parameters!$N$4,Parameters!$O$4))</f>
        <v>85.9001785714286</v>
      </c>
      <c r="U229" s="44" t="n">
        <f aca="false">MIN(100,T229*(1+INDEX(Response_Table!$E$4:$E$21,MATCH($F229&amp;"|mid",Response_Table!$A$4:$A$21,0))*$R229*INDEX(Parameters!$X$4:$AA$4,1,MATCH($E229,Parameters!$X$3:$AA$3,0))))</f>
        <v>72.0234113126086</v>
      </c>
      <c r="V229" s="44" t="n">
        <f aca="false">MAX(0,MIN(T229*(1+INDEX(Response_Table!$E$4:$E$21,MATCH($F229&amp;"|low",Response_Table!$A$4:$A$21,0))*$R229*INDEX(Parameters!$X$4:$AA$4,1,MATCH($E229,Parameters!$X$3:$AA$3,0))),T229*(1+INDEX(Response_Table!$E$4:$E$21,MATCH($F229&amp;"|high",Response_Table!$A$4:$A$21,0))*$R229*INDEX(Parameters!$X$4:$AA$4,1,MATCH($E229,Parameters!$X$3:$AA$3,0))))*(1-Inputs_General!$C$22*Parameters!$F$4))</f>
        <v>61.8250552950769</v>
      </c>
      <c r="W229" s="44" t="n">
        <f aca="false">MIN(100,MAX(T229*(1+INDEX(Response_Table!$E$4:$E$21,MATCH($F229&amp;"|low",Response_Table!$A$4:$A$21,0))*$R229*INDEX(Parameters!$X$4:$AA$4,1,MATCH($E229,Parameters!$X$3:$AA$3,0))),T229*(1+INDEX(Response_Table!$E$4:$E$21,MATCH($F229&amp;"|high",Response_Table!$A$4:$A$21,0))*$R229*INDEX(Parameters!$X$4:$AA$4,1,MATCH($E229,Parameters!$X$3:$AA$3,0))))*(1+Inputs_General!$C$22*Parameters!$F$4))</f>
        <v>83.7502667604841</v>
      </c>
      <c r="X229" s="45" t="n">
        <f aca="false">IF(T229=0,0,U229/T229-1)</f>
        <v>-0.161545266722362</v>
      </c>
      <c r="Y229" s="44" t="n">
        <f aca="false">Parameters!$E$5*IF($N229="V",Parameters!$I$5,IF($N229="F",Parameters!$J$5,Parameters!$K$5))*(1-Parameters!$L$5*$P229)*IF($D229="V1",Parameters!$M$5,IF($D229="V2",Parameters!$N$5,Parameters!$O$5))</f>
        <v>71.7994285714286</v>
      </c>
      <c r="Z229" s="44" t="n">
        <f aca="false">MIN(100,Y229*(1+INDEX(Response_Table!$F$4:$F$21,MATCH($F229&amp;"|mid",Response_Table!$A$4:$A$21,0))*$R229*INDEX(Parameters!$X$5:$AA$5,1,MATCH($E229,Parameters!$X$3:$AA$3,0))))</f>
        <v>35.8786796545951</v>
      </c>
      <c r="AA229" s="44" t="n">
        <f aca="false">MAX(0,MIN(Y229*(1+INDEX(Response_Table!$F$4:$F$21,MATCH($F229&amp;"|low",Response_Table!$A$4:$A$21,0))*$R229*INDEX(Parameters!$X$5:$AA$5,1,MATCH($E229,Parameters!$X$3:$AA$3,0))),Y229*(1+INDEX(Response_Table!$F$4:$F$21,MATCH($F229&amp;"|high",Response_Table!$A$4:$A$21,0))*$R229*INDEX(Parameters!$X$5:$AA$5,1,MATCH($E229,Parameters!$X$3:$AA$3,0))))*(1-Inputs_General!$C$22*Parameters!$F$5))</f>
        <v>23.765402720866</v>
      </c>
      <c r="AB229" s="44" t="n">
        <f aca="false">MIN(100,MAX(Y229*(1+INDEX(Response_Table!$F$4:$F$21,MATCH($F229&amp;"|low",Response_Table!$A$4:$A$21,0))*$R229*INDEX(Parameters!$X$5:$AA$5,1,MATCH($E229,Parameters!$X$3:$AA$3,0))),Y229*(1+INDEX(Response_Table!$F$4:$F$21,MATCH($F229&amp;"|high",Response_Table!$A$4:$A$21,0))*$R229*INDEX(Parameters!$X$5:$AA$5,1,MATCH($E229,Parameters!$X$3:$AA$3,0))))*(1+Inputs_General!$C$22*Parameters!$F$5))</f>
        <v>56.7106378559524</v>
      </c>
      <c r="AC229" s="45" t="n">
        <f aca="false">IF(Y229=0,0,Z229/Y229-1)</f>
        <v>-0.500292963767786</v>
      </c>
      <c r="AD229" s="44" t="n">
        <f aca="false">Parameters!$E$6*IF($N229="V",Parameters!$I$6,IF($N229="F",Parameters!$J$6,Parameters!$K$6))*(1-Parameters!$L$6*$P229)*IF($D229="V1",Parameters!$M$6,IF($D229="V2",Parameters!$N$6,Parameters!$O$6))</f>
        <v>18.9470714285714</v>
      </c>
      <c r="AE229" s="44" t="n">
        <f aca="false">AD229*(1+INDEX(Response_Table!$G$4:$G$21,MATCH($F229&amp;"|mid",Response_Table!$A$4:$A$21,0))*$R229*INDEX(Parameters!$X$6:$AA$6,1,MATCH($E229,Parameters!$X$3:$AA$3,0)))</f>
        <v>7.40647105693273</v>
      </c>
      <c r="AF229" s="44" t="n">
        <f aca="false">MAX(0,MIN(AD229*(1+INDEX(Response_Table!$G$4:$G$21,MATCH($F229&amp;"|low",Response_Table!$A$4:$A$21,0))*$R229*INDEX(Parameters!$X$6:$AA$6,1,MATCH($E229,Parameters!$X$3:$AA$3,0))),AD229*(1+INDEX(Response_Table!$G$4:$G$21,MATCH($F229&amp;"|high",Response_Table!$A$4:$A$21,0))*$R229*INDEX(Parameters!$X$6:$AA$6,1,MATCH($E229,Parameters!$X$3:$AA$3,0))))*(1-Inputs_General!$C$22*Parameters!$F$6))</f>
        <v>5.06546091668854</v>
      </c>
      <c r="AG229" s="44" t="n">
        <f aca="false">MAX(AD229*(1+INDEX(Response_Table!$G$4:$G$21,MATCH($F229&amp;"|low",Response_Table!$A$4:$A$21,0))*$R229*INDEX(Parameters!$X$6:$AA$6,1,MATCH($E229,Parameters!$X$3:$AA$3,0))),AD229*(1+INDEX(Response_Table!$G$4:$G$21,MATCH($F229&amp;"|high",Response_Table!$A$4:$A$21,0))*$R229*INDEX(Parameters!$X$6:$AA$6,1,MATCH($E229,Parameters!$X$3:$AA$3,0))))*(1+Inputs_General!$C$22*Parameters!$F$6)</f>
        <v>11.0919360717736</v>
      </c>
      <c r="AH229" s="45" t="n">
        <f aca="false">IF(AD229=0,0,AE229/AD229-1)</f>
        <v>-0.609096789186953</v>
      </c>
      <c r="AI229" s="46" t="n">
        <f aca="false">Parameters!$E$7*IF($N229="V",Parameters!$I$7,IF($N229="F",Parameters!$J$7,Parameters!$K$7))*(1-Parameters!$L$7*$P229)*IF($D229="V1",Parameters!$M$7,IF($D229="V2",Parameters!$N$7,Parameters!$O$7))*POWER($Q229/Inputs_General!$C$26,-Inputs_General!$C$25)</f>
        <v>0.411663164578586</v>
      </c>
      <c r="AJ229" s="46" t="n">
        <f aca="false">AI229*(1+INDEX(Response_Table!$H$4:$H$21,MATCH($F229&amp;"|mid",Response_Table!$A$4:$A$21,0))*$R229*INDEX(Parameters!$X$7:$AA$7,1,MATCH($E229,Parameters!$X$3:$AA$3,0)))</f>
        <v>0.229659619501168</v>
      </c>
      <c r="AK229" s="46" t="n">
        <f aca="false">MAX(0,MIN(AI229*(1+INDEX(Response_Table!$H$4:$H$21,MATCH($F229&amp;"|low",Response_Table!$A$4:$A$21,0))*$R229*INDEX(Parameters!$X$7:$AA$7,1,MATCH($E229,Parameters!$X$3:$AA$3,0))),AI229*(1+INDEX(Response_Table!$H$4:$H$21,MATCH($F229&amp;"|high",Response_Table!$A$4:$A$21,0))*$R229*INDEX(Parameters!$X$7:$AA$7,1,MATCH($E229,Parameters!$X$3:$AA$3,0))))*(1-Inputs_General!$C$22*Parameters!$F$7))</f>
        <v>0.143446029484408</v>
      </c>
      <c r="AL229" s="46" t="n">
        <f aca="false">MAX(AI229*(1+INDEX(Response_Table!$H$4:$H$21,MATCH($F229&amp;"|low",Response_Table!$A$4:$A$21,0))*$R229*INDEX(Parameters!$X$7:$AA$7,1,MATCH($E229,Parameters!$X$3:$AA$3,0))),AI229*(1+INDEX(Response_Table!$H$4:$H$21,MATCH($F229&amp;"|high",Response_Table!$A$4:$A$21,0))*$R229*INDEX(Parameters!$X$7:$AA$7,1,MATCH($E229,Parameters!$X$3:$AA$3,0))))*(1+Inputs_General!$C$22*Parameters!$F$7)</f>
        <v>0.345725437218006</v>
      </c>
      <c r="AM229" s="45" t="n">
        <f aca="false">IF(AI229=0,0,AJ229/AI229-1)</f>
        <v>-0.442117635819403</v>
      </c>
      <c r="AN229" s="43" t="n">
        <f aca="false">AI229*$Q229/Inputs_General!$C$13*1000</f>
        <v>4.95374641196979</v>
      </c>
      <c r="AO229" s="43" t="n">
        <f aca="false">AJ229*$Q229/Inputs_General!$C$13*1000*(1+Inputs_General!$C$21*$I229)</f>
        <v>3.02615049704764</v>
      </c>
      <c r="AP229" s="43" t="n">
        <f aca="false">AK229*$Q229/Inputs_General!$C$13*1000*(1+Inputs_General!$C$21*$H229)</f>
        <v>1.83835720678565</v>
      </c>
      <c r="AQ229" s="43" t="n">
        <f aca="false">AL229*$Q229/Inputs_General!$C$13*1000*(1+Inputs_General!$C$21*$J229)</f>
        <v>4.68032077666193</v>
      </c>
      <c r="AR229" s="45" t="n">
        <f aca="false">IF(AN229=0,0,AO229/AN229-1)</f>
        <v>-0.389118811222246</v>
      </c>
      <c r="AS229" s="42" t="n">
        <f aca="false">Parameters!$E$9*IF($N229="V",Parameters!$I$9,IF($N229="F",Parameters!$J$9,Parameters!$K$9))*(1-Parameters!$L$9*$P229)*IF($D229="V1",Parameters!$M$9,IF($D229="V2",Parameters!$N$9,Parameters!$O$9))</f>
        <v>285</v>
      </c>
      <c r="AT229" s="42" t="n">
        <f aca="false">AS229*(1+INDEX(Response_Table!$I$4:$I$21,MATCH($F229&amp;"|mid",Response_Table!$A$4:$A$21,0))*$R229*INDEX(Parameters!$X$9:$AA$9,1,MATCH($E229,Parameters!$X$3:$AA$3,0)))</f>
        <v>351.800133665586</v>
      </c>
      <c r="AU229" s="42" t="n">
        <f aca="false">MAX(0,MIN(AS229*(1+INDEX(Response_Table!$I$4:$I$21,MATCH($F229&amp;"|low",Response_Table!$A$4:$A$21,0))*$R229*INDEX(Parameters!$X$9:$AA$9,1,MATCH($E229,Parameters!$X$3:$AA$3,0))),AS229*(1+INDEX(Response_Table!$I$4:$I$21,MATCH($F229&amp;"|high",Response_Table!$A$4:$A$21,0))*$R229*INDEX(Parameters!$X$9:$AA$9,1,MATCH($E229,Parameters!$X$3:$AA$3,0))))*(1-Inputs_General!$C$22*Parameters!$F$9))</f>
        <v>306.694025735372</v>
      </c>
      <c r="AV229" s="42" t="n">
        <f aca="false">MAX(AS229*(1+INDEX(Response_Table!$I$4:$I$21,MATCH($F229&amp;"|low",Response_Table!$A$4:$A$21,0))*$R229*INDEX(Parameters!$X$9:$AA$9,1,MATCH($E229,Parameters!$X$3:$AA$3,0))),AS229*(1+INDEX(Response_Table!$I$4:$I$21,MATCH($F229&amp;"|high",Response_Table!$A$4:$A$21,0))*$R229*INDEX(Parameters!$X$9:$AA$9,1,MATCH($E229,Parameters!$X$3:$AA$3,0))))*(1+Inputs_General!$C$22*Parameters!$F$9)</f>
        <v>394.355109128328</v>
      </c>
      <c r="AW229" s="45" t="n">
        <f aca="false">IF(AS229=0,0,AT229/AS229-1)</f>
        <v>0.234386433914336</v>
      </c>
      <c r="AX229" s="43" t="n">
        <f aca="false">INDEX(Context!$AB$4:$AB$51,$K229)</f>
        <v>1.33809111737271</v>
      </c>
      <c r="AY229" s="43" t="n">
        <f aca="false">AX229*(1+INDEX(Response_Table!$J$4:$J$21,MATCH($F229&amp;"|mid",Response_Table!$A$4:$A$21,0))*$R229*INDEX(Parameters!$X$10:$AA$10,1,MATCH($E229,Parameters!$X$3:$AA$3,0)))</f>
        <v>0.968822742248635</v>
      </c>
      <c r="AZ229" s="43" t="n">
        <f aca="false">MAX(0,MIN(AX229*(1+INDEX(Response_Table!$J$4:$J$21,MATCH($F229&amp;"|low",Response_Table!$A$4:$A$21,0))*$R229*INDEX(Parameters!$X$10:$AA$10,1,MATCH($E229,Parameters!$X$3:$AA$3,0))),AX229*(1+INDEX(Response_Table!$J$4:$J$21,MATCH($F229&amp;"|high",Response_Table!$A$4:$A$21,0))*$R229*INDEX(Parameters!$X$10:$AA$10,1,MATCH($E229,Parameters!$X$3:$AA$3,0))))*(1-Inputs_General!$C$22*Parameters!$F$10))</f>
        <v>0.729135132839424</v>
      </c>
      <c r="BA229" s="43" t="n">
        <f aca="false">MAX(AX229*(1+INDEX(Response_Table!$J$4:$J$21,MATCH($F229&amp;"|low",Response_Table!$A$4:$A$21,0))*$R229*INDEX(Parameters!$X$10:$AA$10,1,MATCH($E229,Parameters!$X$3:$AA$3,0))),AX229*(1+INDEX(Response_Table!$J$4:$J$21,MATCH($F229&amp;"|high",Response_Table!$A$4:$A$21,0))*$R229*INDEX(Parameters!$X$10:$AA$10,1,MATCH($E229,Parameters!$X$3:$AA$3,0))))*(1+Inputs_General!$C$22*Parameters!$F$10)</f>
        <v>1.25762357077531</v>
      </c>
      <c r="BB229" s="45" t="n">
        <f aca="false">IF(AX229=0,0,AY229/AX229-1)</f>
        <v>-0.275966539445474</v>
      </c>
      <c r="BC229" s="46" t="n">
        <f aca="false">Parameters!$E$11*IF($N229="V",Parameters!$I$11,IF($N229="F",Parameters!$J$11,Parameters!$K$11))*(1-Parameters!$L$11*$P229)*IF($D229="V1",Parameters!$M$11,IF($D229="V2",Parameters!$N$11,Parameters!$O$11))</f>
        <v>1.18584598214286</v>
      </c>
      <c r="BD229" s="46" t="n">
        <f aca="false">BC229*(1+INDEX(Response_Table!$K$4:$K$21,MATCH($F229&amp;"|mid",Response_Table!$A$4:$A$21,0))*$R229*INDEX(Parameters!$X$11:$AA$11,1,MATCH($E229,Parameters!$X$3:$AA$3,0)))</f>
        <v>0.643521549920905</v>
      </c>
      <c r="BE229" s="46" t="n">
        <f aca="false">MAX(0,MIN(BC229*(1+INDEX(Response_Table!$K$4:$K$21,MATCH($F229&amp;"|low",Response_Table!$A$4:$A$21,0))*$R229*INDEX(Parameters!$X$11:$AA$11,1,MATCH($E229,Parameters!$X$3:$AA$3,0))),BC229*(1+INDEX(Response_Table!$K$4:$K$21,MATCH($F229&amp;"|high",Response_Table!$A$4:$A$21,0))*$R229*INDEX(Parameters!$X$11:$AA$11,1,MATCH($E229,Parameters!$X$3:$AA$3,0))))*(1-Inputs_General!$C$22*Parameters!$F$11))</f>
        <v>0.476793036538445</v>
      </c>
      <c r="BF229" s="46" t="n">
        <f aca="false">MAX(BC229*(1+INDEX(Response_Table!$K$4:$K$21,MATCH($F229&amp;"|low",Response_Table!$A$4:$A$21,0))*$R229*INDEX(Parameters!$X$11:$AA$11,1,MATCH($E229,Parameters!$X$3:$AA$3,0))),BC229*(1+INDEX(Response_Table!$K$4:$K$21,MATCH($F229&amp;"|high",Response_Table!$A$4:$A$21,0))*$R229*INDEX(Parameters!$X$11:$AA$11,1,MATCH($E229,Parameters!$X$3:$AA$3,0))))*(1+Inputs_General!$C$22*Parameters!$F$11)</f>
        <v>0.873935466005378</v>
      </c>
      <c r="BG229" s="45" t="n">
        <f aca="false">IF(BC229=0,0,BD229/BC229-1)</f>
        <v>-0.457331255819543</v>
      </c>
      <c r="BH229" s="46" t="n">
        <f aca="false">Parameters!$E$12*IF($N229="V",Parameters!$I$12,IF($N229="F",Parameters!$J$12,Parameters!$K$12))*(1-Parameters!$L$12*$P229)*IF($D229="V1",Parameters!$M$12,IF($D229="V2",Parameters!$N$12,Parameters!$O$12))</f>
        <v>0.426904553571429</v>
      </c>
      <c r="BI229" s="46" t="n">
        <f aca="false">BH229*(1+INDEX(Response_Table!$L$4:$L$21,MATCH($F229&amp;"|mid",Response_Table!$A$4:$A$21,0))*$R229*INDEX(Parameters!$X$12:$AA$12,1,MATCH($E229,Parameters!$X$3:$AA$3,0)))</f>
        <v>0.26719975730982</v>
      </c>
      <c r="BJ229" s="46" t="n">
        <f aca="false">MAX(0,MIN(BH229*(1+INDEX(Response_Table!$L$4:$L$21,MATCH($F229&amp;"|low",Response_Table!$A$4:$A$21,0))*$R229*INDEX(Parameters!$X$12:$AA$12,1,MATCH($E229,Parameters!$X$3:$AA$3,0))),BH229*(1+INDEX(Response_Table!$L$4:$L$21,MATCH($F229&amp;"|high",Response_Table!$A$4:$A$21,0))*$R229*INDEX(Parameters!$X$12:$AA$12,1,MATCH($E229,Parameters!$X$3:$AA$3,0))))*(1-Inputs_General!$C$22*Parameters!$F$12))</f>
        <v>0.196233656484658</v>
      </c>
      <c r="BK229" s="46" t="n">
        <f aca="false">MAX(BH229*(1+INDEX(Response_Table!$L$4:$L$21,MATCH($F229&amp;"|low",Response_Table!$A$4:$A$21,0))*$R229*INDEX(Parameters!$X$12:$AA$12,1,MATCH($E229,Parameters!$X$3:$AA$3,0))),BH229*(1+INDEX(Response_Table!$L$4:$L$21,MATCH($F229&amp;"|high",Response_Table!$A$4:$A$21,0))*$R229*INDEX(Parameters!$X$12:$AA$12,1,MATCH($E229,Parameters!$X$3:$AA$3,0))))*(1+Inputs_General!$C$22*Parameters!$F$12)</f>
        <v>0.358908240856502</v>
      </c>
      <c r="BL229" s="45" t="n">
        <f aca="false">IF(BH229=0,0,BI229/BH229-1)</f>
        <v>-0.374099538001033</v>
      </c>
      <c r="BM229" s="46" t="n">
        <f aca="false">Parameters!$E$13*IF($N229="V",Parameters!$I$13,IF($N229="F",Parameters!$J$13,Parameters!$K$13))*(1-Parameters!$L$13*$P229)*IF($D229="V1",Parameters!$M$13,IF($D229="V2",Parameters!$N$13,Parameters!$O$13))</f>
        <v>0.284801517857143</v>
      </c>
      <c r="BN229" s="46" t="n">
        <f aca="false">BM229*(1+INDEX(Response_Table!$M$4:$M$21,MATCH($F229&amp;"|mid",Response_Table!$A$4:$A$21,0))*$R229*INDEX(Parameters!$X$13:$AA$13,1,MATCH($E229,Parameters!$X$3:$AA$3,0)))</f>
        <v>0.213896031147361</v>
      </c>
      <c r="BO229" s="46" t="n">
        <f aca="false">MAX(0,MIN(BM229*(1+INDEX(Response_Table!$M$4:$M$21,MATCH($F229&amp;"|low",Response_Table!$A$4:$A$21,0))*$R229*INDEX(Parameters!$X$13:$AA$13,1,MATCH($E229,Parameters!$X$3:$AA$3,0))),BM229*(1+INDEX(Response_Table!$M$4:$M$21,MATCH($F229&amp;"|high",Response_Table!$A$4:$A$21,0))*$R229*INDEX(Parameters!$X$13:$AA$13,1,MATCH($E229,Parameters!$X$3:$AA$3,0))))*(1-Inputs_General!$C$22*Parameters!$F$13))</f>
        <v>0.159643717233398</v>
      </c>
      <c r="BP229" s="46" t="n">
        <f aca="false">MAX(BM229*(1+INDEX(Response_Table!$M$4:$M$21,MATCH($F229&amp;"|low",Response_Table!$A$4:$A$21,0))*$R229*INDEX(Parameters!$X$13:$AA$13,1,MATCH($E229,Parameters!$X$3:$AA$3,0))),BM229*(1+INDEX(Response_Table!$M$4:$M$21,MATCH($F229&amp;"|high",Response_Table!$A$4:$A$21,0))*$R229*INDEX(Parameters!$X$13:$AA$13,1,MATCH($E229,Parameters!$X$3:$AA$3,0))))*(1+Inputs_General!$C$22*Parameters!$F$13)</f>
        <v>0.285044560279227</v>
      </c>
      <c r="BQ229" s="45" t="n">
        <f aca="false">IF(BM229=0,0,BN229/BM229-1)</f>
        <v>-0.248964567475896</v>
      </c>
      <c r="BR229" s="44" t="n">
        <f aca="false">Parameters!$E$14*IF($N229="V",Parameters!$I$14,IF($N229="F",Parameters!$J$14,Parameters!$K$14))*(1-Parameters!$L$14*$P229)*IF($D229="V1",Parameters!$M$14,IF($D229="V2",Parameters!$N$14,Parameters!$O$14))*INDEX(Context!$AC$4:$AC$51,$K229)</f>
        <v>18.975</v>
      </c>
      <c r="BS229" s="44" t="n">
        <f aca="false">BR229*(1+INDEX(Response_Table!$N$4:$N$21,MATCH($F229&amp;"|mid",Response_Table!$A$4:$A$21,0))*$R229*INDEX(Parameters!$X$14:$AA$14,1,MATCH($E229,Parameters!$X$3:$AA$3,0)))</f>
        <v>26.7188604366214</v>
      </c>
      <c r="BT229" s="44" t="n">
        <f aca="false">MAX(0,MIN(BR229*(1+INDEX(Response_Table!$N$4:$N$21,MATCH($F229&amp;"|low",Response_Table!$A$4:$A$21,0))*$R229*INDEX(Parameters!$X$14:$AA$14,1,MATCH($E229,Parameters!$X$3:$AA$3,0))),BR229*(1+INDEX(Response_Table!$N$4:$N$21,MATCH($F229&amp;"|high",Response_Table!$A$4:$A$21,0))*$R229*INDEX(Parameters!$X$14:$AA$14,1,MATCH($E229,Parameters!$X$3:$AA$3,0))))*(1-Inputs_General!$C$22*Parameters!$F$14))</f>
        <v>12.7339405897934</v>
      </c>
      <c r="BU229" s="44" t="n">
        <f aca="false">MAX(BR229*(1+INDEX(Response_Table!$N$4:$N$21,MATCH($F229&amp;"|low",Response_Table!$A$4:$A$21,0))*$R229*INDEX(Parameters!$X$14:$AA$14,1,MATCH($E229,Parameters!$X$3:$AA$3,0))),BR229*(1+INDEX(Response_Table!$N$4:$N$21,MATCH($F229&amp;"|high",Response_Table!$A$4:$A$21,0))*$R229*INDEX(Parameters!$X$14:$AA$14,1,MATCH($E229,Parameters!$X$3:$AA$3,0))))*(1+Inputs_General!$C$22*Parameters!$F$14)</f>
        <v>41.5486668797416</v>
      </c>
      <c r="BV229" s="45" t="n">
        <f aca="false">IF(BR229=0,0,BS229/BR229-1)</f>
        <v>0.408108586910218</v>
      </c>
      <c r="BW229" s="43" t="n">
        <f aca="false">Parameters!$E$15*IF($N229="V",Parameters!$I$15,IF($N229="F",Parameters!$J$15,Parameters!$K$15))*(1-Parameters!$L$15*$P229)*IF($D229="V1",Parameters!$M$15,IF($D229="V2",Parameters!$N$15,Parameters!$O$15))</f>
        <v>11.2163554285714</v>
      </c>
      <c r="BX229" s="43" t="n">
        <f aca="false">BW229*(1+INDEX(Response_Table!$O$4:$O$21,MATCH($F229&amp;"|mid",Response_Table!$A$4:$A$21,0))*$R229*INDEX(Parameters!$X$15:$AA$15,1,MATCH($E229,Parameters!$X$3:$AA$3,0)))</f>
        <v>10.0719826875122</v>
      </c>
      <c r="BY229" s="43" t="n">
        <f aca="false">MAX(0,MIN(BW229*(1+INDEX(Response_Table!$O$4:$O$21,MATCH($F229&amp;"|low",Response_Table!$A$4:$A$21,0))*$R229*INDEX(Parameters!$X$15:$AA$15,1,MATCH($E229,Parameters!$X$3:$AA$3,0))),BW229*(1+INDEX(Response_Table!$O$4:$O$21,MATCH($F229&amp;"|high",Response_Table!$A$4:$A$21,0))*$R229*INDEX(Parameters!$X$15:$AA$15,1,MATCH($E229,Parameters!$X$3:$AA$3,0))))*(1-Inputs_General!$C$22*Parameters!$F$15))</f>
        <v>7.95321075469417</v>
      </c>
      <c r="BZ229" s="43" t="n">
        <f aca="false">MAX(BW229*(1+INDEX(Response_Table!$O$4:$O$21,MATCH($F229&amp;"|low",Response_Table!$A$4:$A$21,0))*$R229*INDEX(Parameters!$X$15:$AA$15,1,MATCH($E229,Parameters!$X$3:$AA$3,0))),BW229*(1+INDEX(Response_Table!$O$4:$O$21,MATCH($F229&amp;"|high",Response_Table!$A$4:$A$21,0))*$R229*INDEX(Parameters!$X$15:$AA$15,1,MATCH($E229,Parameters!$X$3:$AA$3,0))))*(1+Inputs_General!$C$22*Parameters!$F$15)</f>
        <v>12.3393852058027</v>
      </c>
      <c r="CA229" s="45" t="n">
        <f aca="false">IF(BW229=0,0,BX229/BW229-1)</f>
        <v>-0.102027146727554</v>
      </c>
      <c r="CB229" s="46" t="n">
        <f aca="false">BD229+BI229</f>
        <v>0.910721307230725</v>
      </c>
      <c r="CC229" s="43" t="n">
        <f aca="false">BD229/BI229</f>
        <v>2.40839122160855</v>
      </c>
      <c r="CD229" s="46" t="n">
        <f aca="false">BN229/CB229</f>
        <v>0.234864419498172</v>
      </c>
      <c r="CE229" s="43" t="n">
        <f aca="false">AE229/AO229</f>
        <v>2.44748933146537</v>
      </c>
      <c r="CF229" s="44" t="n">
        <f aca="false">AE229/AJ229</f>
        <v>32.2497750062459</v>
      </c>
      <c r="CG229" s="44" t="n">
        <f aca="false">INDEX(Context!$V$4:$V$51,$K229)</f>
        <v>25.5785714285714</v>
      </c>
      <c r="CH229" s="44" t="n">
        <f aca="false">INDEX(Context!$Y$4:$Y$51,$K229)</f>
        <v>23.620522619794</v>
      </c>
      <c r="CI229" s="44" t="n">
        <f aca="false">INDEX(Context!$Z$4:$Z$51,$K229)</f>
        <v>29.5785714285714</v>
      </c>
      <c r="CJ229" s="43" t="n">
        <f aca="false">INDEX(Context!$AA$4:$AA$51,$K229)</f>
        <v>0.121160714285714</v>
      </c>
      <c r="CK229" s="43" t="n">
        <f aca="false">MAX(0,MIN(1,1-(1-CJ229)*AO229/AN229))</f>
        <v>0.463133612398265</v>
      </c>
      <c r="CL229" s="44" t="n">
        <f aca="false">CH229+CK229*(CI229-CH229)</f>
        <v>26.3798952874483</v>
      </c>
      <c r="CM229" s="44" t="n">
        <f aca="false">CH229+MAX(0,MIN(1,1-(1-CJ229)*AQ229/AN229))*(CI229-CH229)</f>
        <v>24.6314181340749</v>
      </c>
      <c r="CN229" s="44" t="n">
        <f aca="false">CH229+MAX(0,MIN(1,1-(1-CJ229)*AP229/AN229))*(CI229-CH229)</f>
        <v>27.6354065588982</v>
      </c>
      <c r="CO229" s="44" t="n">
        <f aca="false">CL229-CG229</f>
        <v>0.801323858876842</v>
      </c>
      <c r="CP229" s="44" t="n">
        <f aca="false">CL229-(CH229+CJ229*(CI229-CH229))</f>
        <v>2.03749121823364</v>
      </c>
      <c r="CQ229" s="46" t="n">
        <f aca="false">CL229/CG229</f>
        <v>1.03132793639842</v>
      </c>
      <c r="CR229" s="43" t="n">
        <f aca="false">IF(CL229-CH229&lt;=0,"n/a",(CI229-CL229)/(CL229-CH229))</f>
        <v>1.15920411136142</v>
      </c>
      <c r="CS229" s="43" t="n">
        <f aca="false">IF(CI229-CL229&lt;=0,"n/a",(CL229-CH229)/(CI229-CL229))</f>
        <v>0.862660846523012</v>
      </c>
      <c r="CT229" s="43" t="n">
        <f aca="false">Inputs_General!$C$23+Inputs_General!$C$24*$I229</f>
        <v>1.36</v>
      </c>
      <c r="CU229" s="44" t="n">
        <f aca="false">3.29*CT229</f>
        <v>4.4744</v>
      </c>
    </row>
    <row r="230" customFormat="false" ht="15" hidden="false" customHeight="false" outlineLevel="0" collapsed="false">
      <c r="A230" s="9" t="str">
        <f aca="false">B230&amp;"|"&amp;E230&amp;"|"&amp;F230</f>
        <v>D4V1|24/02/2026|Very high</v>
      </c>
      <c r="B230" s="7" t="s">
        <v>352</v>
      </c>
      <c r="C230" s="9" t="s">
        <v>133</v>
      </c>
      <c r="D230" s="9" t="s">
        <v>142</v>
      </c>
      <c r="E230" s="9" t="s">
        <v>160</v>
      </c>
      <c r="F230" s="7" t="s">
        <v>285</v>
      </c>
      <c r="G230" s="9" t="s">
        <v>286</v>
      </c>
      <c r="H230" s="41" t="n">
        <f aca="false">INDEX(Severity_Classes!$C$4:$C$9,MATCH(F230,Severity_Classes!$A$4:$A$9,0))</f>
        <v>0.51</v>
      </c>
      <c r="I230" s="41" t="n">
        <f aca="false">INDEX(Severity_Classes!$D$4:$D$9,MATCH(F230,Severity_Classes!$A$4:$A$9,0))</f>
        <v>0.65</v>
      </c>
      <c r="J230" s="41" t="n">
        <f aca="false">INDEX(Severity_Classes!$E$4:$E$9,MATCH(F230,Severity_Classes!$A$4:$A$9,0))</f>
        <v>0.85</v>
      </c>
      <c r="K230" s="42" t="n">
        <f aca="false">MATCH(B230&amp;"|"&amp;E230,Context!$A$4:$A$51,0)</f>
        <v>38</v>
      </c>
      <c r="L230" s="42" t="n">
        <f aca="false">INDEX(Context!$H$4:$H$51,K230)</f>
        <v>46</v>
      </c>
      <c r="M230" s="42" t="n">
        <f aca="false">INDEX(Context!$I$4:$I$51,K230)</f>
        <v>19</v>
      </c>
      <c r="N230" s="9" t="str">
        <f aca="false">INDEX(Context!$L$4:$L$51,K230)</f>
        <v>V</v>
      </c>
      <c r="O230" s="9" t="str">
        <f aca="false">INDEX(Context!$M$4:$M$51,K230)</f>
        <v>3rd fully expanded leaf from top</v>
      </c>
      <c r="P230" s="43" t="n">
        <f aca="false">INDEX(Context!$R$4:$R$51,K230)</f>
        <v>0.0232142857142859</v>
      </c>
      <c r="Q230" s="43" t="n">
        <f aca="false">INDEX(Context!$U$4:$U$51,K230)</f>
        <v>1.19492600027053</v>
      </c>
      <c r="R230" s="43" t="n">
        <f aca="false">INDEX(Context!$AD$4:$AD$51,K230)</f>
        <v>1</v>
      </c>
      <c r="S230" s="9" t="str">
        <f aca="false">INDEX(Context!$AI$4:$AN$51,K230,MATCH(F230,Severity_Classes!$A$4:$A$9,0))</f>
        <v>Unlikely</v>
      </c>
      <c r="T230" s="44" t="n">
        <f aca="false">Parameters!$E$4*IF($N230="V",Parameters!$I$4,IF($N230="F",Parameters!$J$4,Parameters!$K$4))*(1-Parameters!$L$4*$P230)*IF($D230="V1",Parameters!$M$4,IF($D230="V2",Parameters!$N$4,Parameters!$O$4))</f>
        <v>85.9001785714286</v>
      </c>
      <c r="U230" s="44" t="n">
        <f aca="false">MIN(100,T230*(1+INDEX(Response_Table!$E$4:$E$21,MATCH($F230&amp;"|mid",Response_Table!$A$4:$A$21,0))*$R230*INDEX(Parameters!$X$4:$AA$4,1,MATCH($E230,Parameters!$X$3:$AA$3,0))))</f>
        <v>62.1907797066829</v>
      </c>
      <c r="V230" s="44" t="n">
        <f aca="false">MAX(0,MIN(T230*(1+INDEX(Response_Table!$E$4:$E$21,MATCH($F230&amp;"|low",Response_Table!$A$4:$A$21,0))*$R230*INDEX(Parameters!$X$4:$AA$4,1,MATCH($E230,Parameters!$X$3:$AA$3,0))),T230*(1+INDEX(Response_Table!$E$4:$E$21,MATCH($F230&amp;"|high",Response_Table!$A$4:$A$21,0))*$R230*INDEX(Parameters!$X$4:$AA$4,1,MATCH($E230,Parameters!$X$3:$AA$3,0))))*(1-Inputs_General!$C$22*Parameters!$F$4))</f>
        <v>56.5609994708769</v>
      </c>
      <c r="W230" s="44" t="n">
        <f aca="false">MIN(100,MAX(T230*(1+INDEX(Response_Table!$E$4:$E$21,MATCH($F230&amp;"|low",Response_Table!$A$4:$A$21,0))*$R230*INDEX(Parameters!$X$4:$AA$4,1,MATCH($E230,Parameters!$X$3:$AA$3,0))),T230*(1+INDEX(Response_Table!$E$4:$E$21,MATCH($F230&amp;"|high",Response_Table!$A$4:$A$21,0))*$R230*INDEX(Parameters!$X$4:$AA$4,1,MATCH($E230,Parameters!$X$3:$AA$3,0))))*(1+Inputs_General!$C$22*Parameters!$F$4))</f>
        <v>70.1263206437692</v>
      </c>
      <c r="X230" s="45" t="n">
        <f aca="false">IF(T230=0,0,U230/T230-1)</f>
        <v>-0.276011054447699</v>
      </c>
      <c r="Y230" s="44" t="n">
        <f aca="false">Parameters!$E$5*IF($N230="V",Parameters!$I$5,IF($N230="F",Parameters!$J$5,Parameters!$K$5))*(1-Parameters!$L$5*$P230)*IF($D230="V1",Parameters!$M$5,IF($D230="V2",Parameters!$N$5,Parameters!$O$5))</f>
        <v>71.7994285714286</v>
      </c>
      <c r="Z230" s="44" t="n">
        <f aca="false">MIN(100,Y230*(1+INDEX(Response_Table!$F$4:$F$21,MATCH($F230&amp;"|mid",Response_Table!$A$4:$A$21,0))*$R230*INDEX(Parameters!$X$5:$AA$5,1,MATCH($E230,Parameters!$X$3:$AA$3,0))))</f>
        <v>22.8261821774519</v>
      </c>
      <c r="AA230" s="44" t="n">
        <f aca="false">MAX(0,MIN(Y230*(1+INDEX(Response_Table!$F$4:$F$21,MATCH($F230&amp;"|low",Response_Table!$A$4:$A$21,0))*$R230*INDEX(Parameters!$X$5:$AA$5,1,MATCH($E230,Parameters!$X$3:$AA$3,0))),Y230*(1+INDEX(Response_Table!$F$4:$F$21,MATCH($F230&amp;"|high",Response_Table!$A$4:$A$21,0))*$R230*INDEX(Parameters!$X$5:$AA$5,1,MATCH($E230,Parameters!$X$3:$AA$3,0))))*(1-Inputs_General!$C$22*Parameters!$F$5))</f>
        <v>19.2168420643169</v>
      </c>
      <c r="AB230" s="44" t="n">
        <f aca="false">MIN(100,MAX(Y230*(1+INDEX(Response_Table!$F$4:$F$21,MATCH($F230&amp;"|low",Response_Table!$A$4:$A$21,0))*$R230*INDEX(Parameters!$X$5:$AA$5,1,MATCH($E230,Parameters!$X$3:$AA$3,0))),Y230*(1+INDEX(Response_Table!$F$4:$F$21,MATCH($F230&amp;"|high",Response_Table!$A$4:$A$21,0))*$R230*INDEX(Parameters!$X$5:$AA$5,1,MATCH($E230,Parameters!$X$3:$AA$3,0))))*(1+Inputs_General!$C$22*Parameters!$F$5))</f>
        <v>29.4378749871396</v>
      </c>
      <c r="AC230" s="45" t="n">
        <f aca="false">IF(Y230=0,0,Z230/Y230-1)</f>
        <v>-0.682084069029274</v>
      </c>
      <c r="AD230" s="44" t="n">
        <f aca="false">Parameters!$E$6*IF($N230="V",Parameters!$I$6,IF($N230="F",Parameters!$J$6,Parameters!$K$6))*(1-Parameters!$L$6*$P230)*IF($D230="V1",Parameters!$M$6,IF($D230="V2",Parameters!$N$6,Parameters!$O$6))</f>
        <v>18.9470714285714</v>
      </c>
      <c r="AE230" s="44" t="n">
        <f aca="false">AD230*(1+INDEX(Response_Table!$G$4:$G$21,MATCH($F230&amp;"|mid",Response_Table!$A$4:$A$21,0))*$R230*INDEX(Parameters!$X$6:$AA$6,1,MATCH($E230,Parameters!$X$3:$AA$3,0)))</f>
        <v>5.55057432567452</v>
      </c>
      <c r="AF230" s="44" t="n">
        <f aca="false">MAX(0,MIN(AD230*(1+INDEX(Response_Table!$G$4:$G$21,MATCH($F230&amp;"|low",Response_Table!$A$4:$A$21,0))*$R230*INDEX(Parameters!$X$6:$AA$6,1,MATCH($E230,Parameters!$X$3:$AA$3,0))),AD230*(1+INDEX(Response_Table!$G$4:$G$21,MATCH($F230&amp;"|high",Response_Table!$A$4:$A$21,0))*$R230*INDEX(Parameters!$X$6:$AA$6,1,MATCH($E230,Parameters!$X$3:$AA$3,0))))*(1-Inputs_General!$C$22*Parameters!$F$6))</f>
        <v>4.07264993323621</v>
      </c>
      <c r="AG230" s="44" t="n">
        <f aca="false">MAX(AD230*(1+INDEX(Response_Table!$G$4:$G$21,MATCH($F230&amp;"|low",Response_Table!$A$4:$A$21,0))*$R230*INDEX(Parameters!$X$6:$AA$6,1,MATCH($E230,Parameters!$X$3:$AA$3,0))),AD230*(1+INDEX(Response_Table!$G$4:$G$21,MATCH($F230&amp;"|high",Response_Table!$A$4:$A$21,0))*$R230*INDEX(Parameters!$X$6:$AA$6,1,MATCH($E230,Parameters!$X$3:$AA$3,0))))*(1+Inputs_General!$C$22*Parameters!$F$6)</f>
        <v>7.47601045879349</v>
      </c>
      <c r="AH230" s="45" t="n">
        <f aca="false">IF(AD230=0,0,AE230/AD230-1)</f>
        <v>-0.707048429800899</v>
      </c>
      <c r="AI230" s="46" t="n">
        <f aca="false">Parameters!$E$7*IF($N230="V",Parameters!$I$7,IF($N230="F",Parameters!$J$7,Parameters!$K$7))*(1-Parameters!$L$7*$P230)*IF($D230="V1",Parameters!$M$7,IF($D230="V2",Parameters!$N$7,Parameters!$O$7))*POWER($Q230/Inputs_General!$C$26,-Inputs_General!$C$25)</f>
        <v>0.411663164578586</v>
      </c>
      <c r="AJ230" s="46" t="n">
        <f aca="false">AI230*(1+INDEX(Response_Table!$H$4:$H$21,MATCH($F230&amp;"|mid",Response_Table!$A$4:$A$21,0))*$R230*INDEX(Parameters!$X$7:$AA$7,1,MATCH($E230,Parameters!$X$3:$AA$3,0)))</f>
        <v>0.182151954057915</v>
      </c>
      <c r="AK230" s="46" t="n">
        <f aca="false">MAX(0,MIN(AI230*(1+INDEX(Response_Table!$H$4:$H$21,MATCH($F230&amp;"|low",Response_Table!$A$4:$A$21,0))*$R230*INDEX(Parameters!$X$7:$AA$7,1,MATCH($E230,Parameters!$X$3:$AA$3,0))),AI230*(1+INDEX(Response_Table!$H$4:$H$21,MATCH($F230&amp;"|high",Response_Table!$A$4:$A$21,0))*$R230*INDEX(Parameters!$X$7:$AA$7,1,MATCH($E230,Parameters!$X$3:$AA$3,0))))*(1-Inputs_General!$C$22*Parameters!$F$7))</f>
        <v>0.116126101226137</v>
      </c>
      <c r="AL230" s="46" t="n">
        <f aca="false">MAX(AI230*(1+INDEX(Response_Table!$H$4:$H$21,MATCH($F230&amp;"|low",Response_Table!$A$4:$A$21,0))*$R230*INDEX(Parameters!$X$7:$AA$7,1,MATCH($E230,Parameters!$X$3:$AA$3,0))),AI230*(1+INDEX(Response_Table!$H$4:$H$21,MATCH($F230&amp;"|high",Response_Table!$A$4:$A$21,0))*$R230*INDEX(Parameters!$X$7:$AA$7,1,MATCH($E230,Parameters!$X$3:$AA$3,0))))*(1+Inputs_General!$C$22*Parameters!$F$7)</f>
        <v>0.261841945930416</v>
      </c>
      <c r="AM230" s="45" t="n">
        <f aca="false">IF(AI230=0,0,AJ230/AI230-1)</f>
        <v>-0.557521853468766</v>
      </c>
      <c r="AN230" s="43" t="n">
        <f aca="false">AI230*$Q230/Inputs_General!$C$13*1000</f>
        <v>4.95374641196979</v>
      </c>
      <c r="AO230" s="43" t="n">
        <f aca="false">AJ230*$Q230/Inputs_General!$C$13*1000*(1+Inputs_General!$C$21*$I230)</f>
        <v>2.54811226700169</v>
      </c>
      <c r="AP230" s="43" t="n">
        <f aca="false">AK230*$Q230/Inputs_General!$C$13*1000*(1+Inputs_General!$C$21*$H230)</f>
        <v>1.57557165274387</v>
      </c>
      <c r="AQ230" s="43" t="n">
        <f aca="false">AL230*$Q230/Inputs_General!$C$13*1000*(1+Inputs_General!$C$21*$J230)</f>
        <v>3.82043424822601</v>
      </c>
      <c r="AR230" s="45" t="n">
        <f aca="false">IF(AN230=0,0,AO230/AN230-1)</f>
        <v>-0.485619154657441</v>
      </c>
      <c r="AS230" s="42" t="n">
        <f aca="false">Parameters!$E$9*IF($N230="V",Parameters!$I$9,IF($N230="F",Parameters!$J$9,Parameters!$K$9))*(1-Parameters!$L$9*$P230)*IF($D230="V1",Parameters!$M$9,IF($D230="V2",Parameters!$N$9,Parameters!$O$9))</f>
        <v>285</v>
      </c>
      <c r="AT230" s="42" t="n">
        <f aca="false">AS230*(1+INDEX(Response_Table!$I$4:$I$21,MATCH($F230&amp;"|mid",Response_Table!$A$4:$A$21,0))*$R230*INDEX(Parameters!$X$9:$AA$9,1,MATCH($E230,Parameters!$X$3:$AA$3,0)))</f>
        <v>364.149609062674</v>
      </c>
      <c r="AU230" s="42" t="n">
        <f aca="false">MAX(0,MIN(AS230*(1+INDEX(Response_Table!$I$4:$I$21,MATCH($F230&amp;"|low",Response_Table!$A$4:$A$21,0))*$R230*INDEX(Parameters!$X$9:$AA$9,1,MATCH($E230,Parameters!$X$3:$AA$3,0))),AS230*(1+INDEX(Response_Table!$I$4:$I$21,MATCH($F230&amp;"|high",Response_Table!$A$4:$A$21,0))*$R230*INDEX(Parameters!$X$9:$AA$9,1,MATCH($E230,Parameters!$X$3:$AA$3,0))))*(1-Inputs_General!$C$22*Parameters!$F$9))</f>
        <v>323.911488006691</v>
      </c>
      <c r="AV230" s="42" t="n">
        <f aca="false">MAX(AS230*(1+INDEX(Response_Table!$I$4:$I$21,MATCH($F230&amp;"|low",Response_Table!$A$4:$A$21,0))*$R230*INDEX(Parameters!$X$9:$AA$9,1,MATCH($E230,Parameters!$X$3:$AA$3,0))),AS230*(1+INDEX(Response_Table!$I$4:$I$21,MATCH($F230&amp;"|high",Response_Table!$A$4:$A$21,0))*$R230*INDEX(Parameters!$X$9:$AA$9,1,MATCH($E230,Parameters!$X$3:$AA$3,0))))*(1+Inputs_General!$C$22*Parameters!$F$9)</f>
        <v>403.933303399187</v>
      </c>
      <c r="AW230" s="45" t="n">
        <f aca="false">IF(AS230=0,0,AT230/AS230-1)</f>
        <v>0.2777179265357</v>
      </c>
      <c r="AX230" s="43" t="n">
        <f aca="false">INDEX(Context!$AB$4:$AB$51,$K230)</f>
        <v>1.33809111737271</v>
      </c>
      <c r="AY230" s="43" t="n">
        <f aca="false">AX230*(1+INDEX(Response_Table!$J$4:$J$21,MATCH($F230&amp;"|mid",Response_Table!$A$4:$A$21,0))*$R230*INDEX(Parameters!$X$10:$AA$10,1,MATCH($E230,Parameters!$X$3:$AA$3,0)))</f>
        <v>0.854518708128961</v>
      </c>
      <c r="AZ230" s="43" t="n">
        <f aca="false">MAX(0,MIN(AX230*(1+INDEX(Response_Table!$J$4:$J$21,MATCH($F230&amp;"|low",Response_Table!$A$4:$A$21,0))*$R230*INDEX(Parameters!$X$10:$AA$10,1,MATCH($E230,Parameters!$X$3:$AA$3,0))),AX230*(1+INDEX(Response_Table!$J$4:$J$21,MATCH($F230&amp;"|high",Response_Table!$A$4:$A$21,0))*$R230*INDEX(Parameters!$X$10:$AA$10,1,MATCH($E230,Parameters!$X$3:$AA$3,0))))*(1-Inputs_General!$C$22*Parameters!$F$10))</f>
        <v>0.648392932034063</v>
      </c>
      <c r="BA230" s="43" t="n">
        <f aca="false">MAX(AX230*(1+INDEX(Response_Table!$J$4:$J$21,MATCH($F230&amp;"|low",Response_Table!$A$4:$A$21,0))*$R230*INDEX(Parameters!$X$10:$AA$10,1,MATCH($E230,Parameters!$X$3:$AA$3,0))),AX230*(1+INDEX(Response_Table!$J$4:$J$21,MATCH($F230&amp;"|high",Response_Table!$A$4:$A$21,0))*$R230*INDEX(Parameters!$X$10:$AA$10,1,MATCH($E230,Parameters!$X$3:$AA$3,0))))*(1+Inputs_General!$C$22*Parameters!$F$10)</f>
        <v>1.08269741148304</v>
      </c>
      <c r="BB230" s="45" t="n">
        <f aca="false">IF(AX230=0,0,AY230/AX230-1)</f>
        <v>-0.361389746158113</v>
      </c>
      <c r="BC230" s="46" t="n">
        <f aca="false">Parameters!$E$11*IF($N230="V",Parameters!$I$11,IF($N230="F",Parameters!$J$11,Parameters!$K$11))*(1-Parameters!$L$11*$P230)*IF($D230="V1",Parameters!$M$11,IF($D230="V2",Parameters!$N$11,Parameters!$O$11))</f>
        <v>1.18584598214286</v>
      </c>
      <c r="BD230" s="46" t="n">
        <f aca="false">BC230*(1+INDEX(Response_Table!$K$4:$K$21,MATCH($F230&amp;"|mid",Response_Table!$A$4:$A$21,0))*$R230*INDEX(Parameters!$X$11:$AA$11,1,MATCH($E230,Parameters!$X$3:$AA$3,0)))</f>
        <v>0.511342287369563</v>
      </c>
      <c r="BE230" s="46" t="n">
        <f aca="false">MAX(0,MIN(BC230*(1+INDEX(Response_Table!$K$4:$K$21,MATCH($F230&amp;"|low",Response_Table!$A$4:$A$21,0))*$R230*INDEX(Parameters!$X$11:$AA$11,1,MATCH($E230,Parameters!$X$3:$AA$3,0))),BC230*(1+INDEX(Response_Table!$K$4:$K$21,MATCH($F230&amp;"|high",Response_Table!$A$4:$A$21,0))*$R230*INDEX(Parameters!$X$11:$AA$11,1,MATCH($E230,Parameters!$X$3:$AA$3,0))))*(1-Inputs_General!$C$22*Parameters!$F$11))</f>
        <v>0.38919457101022</v>
      </c>
      <c r="BF230" s="46" t="n">
        <f aca="false">MAX(BC230*(1+INDEX(Response_Table!$K$4:$K$21,MATCH($F230&amp;"|low",Response_Table!$A$4:$A$21,0))*$R230*INDEX(Parameters!$X$11:$AA$11,1,MATCH($E230,Parameters!$X$3:$AA$3,0))),BC230*(1+INDEX(Response_Table!$K$4:$K$21,MATCH($F230&amp;"|high",Response_Table!$A$4:$A$21,0))*$R230*INDEX(Parameters!$X$11:$AA$11,1,MATCH($E230,Parameters!$X$3:$AA$3,0))))*(1+Inputs_General!$C$22*Parameters!$F$11)</f>
        <v>0.658835490392147</v>
      </c>
      <c r="BG230" s="45" t="n">
        <f aca="false">IF(BC230=0,0,BD230/BC230-1)</f>
        <v>-0.568795362070921</v>
      </c>
      <c r="BH230" s="46" t="n">
        <f aca="false">Parameters!$E$12*IF($N230="V",Parameters!$I$12,IF($N230="F",Parameters!$J$12,Parameters!$K$12))*(1-Parameters!$L$12*$P230)*IF($D230="V1",Parameters!$M$12,IF($D230="V2",Parameters!$N$12,Parameters!$O$12))</f>
        <v>0.426904553571429</v>
      </c>
      <c r="BI230" s="46" t="n">
        <f aca="false">BH230*(1+INDEX(Response_Table!$L$4:$L$21,MATCH($F230&amp;"|mid",Response_Table!$A$4:$A$21,0))*$R230*INDEX(Parameters!$X$12:$AA$12,1,MATCH($E230,Parameters!$X$3:$AA$3,0)))</f>
        <v>0.225512646065629</v>
      </c>
      <c r="BJ230" s="46" t="n">
        <f aca="false">MAX(0,MIN(BH230*(1+INDEX(Response_Table!$L$4:$L$21,MATCH($F230&amp;"|low",Response_Table!$A$4:$A$21,0))*$R230*INDEX(Parameters!$X$12:$AA$12,1,MATCH($E230,Parameters!$X$3:$AA$3,0))),BH230*(1+INDEX(Response_Table!$L$4:$L$21,MATCH($F230&amp;"|high",Response_Table!$A$4:$A$21,0))*$R230*INDEX(Parameters!$X$12:$AA$12,1,MATCH($E230,Parameters!$X$3:$AA$3,0))))*(1-Inputs_General!$C$22*Parameters!$F$12))</f>
        <v>0.168899488659416</v>
      </c>
      <c r="BK230" s="46" t="n">
        <f aca="false">MAX(BH230*(1+INDEX(Response_Table!$L$4:$L$21,MATCH($F230&amp;"|low",Response_Table!$A$4:$A$21,0))*$R230*INDEX(Parameters!$X$12:$AA$12,1,MATCH($E230,Parameters!$X$3:$AA$3,0))),BH230*(1+INDEX(Response_Table!$L$4:$L$21,MATCH($F230&amp;"|high",Response_Table!$A$4:$A$21,0))*$R230*INDEX(Parameters!$X$12:$AA$12,1,MATCH($E230,Parameters!$X$3:$AA$3,0))))*(1+Inputs_General!$C$22*Parameters!$F$12)</f>
        <v>0.290907232487647</v>
      </c>
      <c r="BL230" s="45" t="n">
        <f aca="false">IF(BH230=0,0,BI230/BH230-1)</f>
        <v>-0.471749260627418</v>
      </c>
      <c r="BM230" s="46" t="n">
        <f aca="false">Parameters!$E$13*IF($N230="V",Parameters!$I$13,IF($N230="F",Parameters!$J$13,Parameters!$K$13))*(1-Parameters!$L$13*$P230)*IF($D230="V1",Parameters!$M$13,IF($D230="V2",Parameters!$N$13,Parameters!$O$13))</f>
        <v>0.284801517857143</v>
      </c>
      <c r="BN230" s="46" t="n">
        <f aca="false">BM230*(1+INDEX(Response_Table!$M$4:$M$21,MATCH($F230&amp;"|mid",Response_Table!$A$4:$A$21,0))*$R230*INDEX(Parameters!$X$13:$AA$13,1,MATCH($E230,Parameters!$X$3:$AA$3,0)))</f>
        <v>0.187845406490834</v>
      </c>
      <c r="BO230" s="46" t="n">
        <f aca="false">MAX(0,MIN(BM230*(1+INDEX(Response_Table!$M$4:$M$21,MATCH($F230&amp;"|low",Response_Table!$A$4:$A$21,0))*$R230*INDEX(Parameters!$X$13:$AA$13,1,MATCH($E230,Parameters!$X$3:$AA$3,0))),BM230*(1+INDEX(Response_Table!$M$4:$M$21,MATCH($F230&amp;"|high",Response_Table!$A$4:$A$21,0))*$R230*INDEX(Parameters!$X$13:$AA$13,1,MATCH($E230,Parameters!$X$3:$AA$3,0))))*(1-Inputs_General!$C$22*Parameters!$F$13))</f>
        <v>0.144395696085326</v>
      </c>
      <c r="BP230" s="46" t="n">
        <f aca="false">MAX(BM230*(1+INDEX(Response_Table!$M$4:$M$21,MATCH($F230&amp;"|low",Response_Table!$A$4:$A$21,0))*$R230*INDEX(Parameters!$X$13:$AA$13,1,MATCH($E230,Parameters!$X$3:$AA$3,0))),BM230*(1+INDEX(Response_Table!$M$4:$M$21,MATCH($F230&amp;"|high",Response_Table!$A$4:$A$21,0))*$R230*INDEX(Parameters!$X$13:$AA$13,1,MATCH($E230,Parameters!$X$3:$AA$3,0))))*(1+Inputs_General!$C$22*Parameters!$F$13)</f>
        <v>0.237032449966458</v>
      </c>
      <c r="BQ230" s="45" t="n">
        <f aca="false">IF(BM230=0,0,BN230/BM230-1)</f>
        <v>-0.340433969930393</v>
      </c>
      <c r="BR230" s="44" t="n">
        <f aca="false">Parameters!$E$14*IF($N230="V",Parameters!$I$14,IF($N230="F",Parameters!$J$14,Parameters!$K$14))*(1-Parameters!$L$14*$P230)*IF($D230="V1",Parameters!$M$14,IF($D230="V2",Parameters!$N$14,Parameters!$O$14))*INDEX(Context!$AC$4:$AC$51,$K230)</f>
        <v>18.975</v>
      </c>
      <c r="BS230" s="44" t="n">
        <f aca="false">BR230*(1+INDEX(Response_Table!$N$4:$N$21,MATCH($F230&amp;"|mid",Response_Table!$A$4:$A$21,0))*$R230*INDEX(Parameters!$X$14:$AA$14,1,MATCH($E230,Parameters!$X$3:$AA$3,0)))</f>
        <v>28.7402096949875</v>
      </c>
      <c r="BT230" s="44" t="n">
        <f aca="false">MAX(0,MIN(BR230*(1+INDEX(Response_Table!$N$4:$N$21,MATCH($F230&amp;"|low",Response_Table!$A$4:$A$21,0))*$R230*INDEX(Parameters!$X$14:$AA$14,1,MATCH($E230,Parameters!$X$3:$AA$3,0))),BR230*(1+INDEX(Response_Table!$N$4:$N$21,MATCH($F230&amp;"|high",Response_Table!$A$4:$A$21,0))*$R230*INDEX(Parameters!$X$14:$AA$14,1,MATCH($E230,Parameters!$X$3:$AA$3,0))))*(1-Inputs_General!$C$22*Parameters!$F$14))</f>
        <v>14.1286865330831</v>
      </c>
      <c r="BU230" s="44" t="n">
        <f aca="false">MAX(BR230*(1+INDEX(Response_Table!$N$4:$N$21,MATCH($F230&amp;"|low",Response_Table!$A$4:$A$21,0))*$R230*INDEX(Parameters!$X$14:$AA$14,1,MATCH($E230,Parameters!$X$3:$AA$3,0))),BR230*(1+INDEX(Response_Table!$N$4:$N$21,MATCH($F230&amp;"|high",Response_Table!$A$4:$A$21,0))*$R230*INDEX(Parameters!$X$14:$AA$14,1,MATCH($E230,Parameters!$X$3:$AA$3,0))))*(1+Inputs_General!$C$22*Parameters!$F$14)</f>
        <v>44.0149985873536</v>
      </c>
      <c r="BV230" s="45" t="n">
        <f aca="false">IF(BR230=0,0,BS230/BR230-1)</f>
        <v>0.514635557048092</v>
      </c>
      <c r="BW230" s="43" t="n">
        <f aca="false">Parameters!$E$15*IF($N230="V",Parameters!$I$15,IF($N230="F",Parameters!$J$15,Parameters!$K$15))*(1-Parameters!$L$15*$P230)*IF($D230="V1",Parameters!$M$15,IF($D230="V2",Parameters!$N$15,Parameters!$O$15))</f>
        <v>11.2163554285714</v>
      </c>
      <c r="BX230" s="43" t="n">
        <f aca="false">BW230*(1+INDEX(Response_Table!$O$4:$O$21,MATCH($F230&amp;"|mid",Response_Table!$A$4:$A$21,0))*$R230*INDEX(Parameters!$X$15:$AA$15,1,MATCH($E230,Parameters!$X$3:$AA$3,0)))</f>
        <v>9.77327159756337</v>
      </c>
      <c r="BY230" s="43" t="n">
        <f aca="false">MAX(0,MIN(BW230*(1+INDEX(Response_Table!$O$4:$O$21,MATCH($F230&amp;"|low",Response_Table!$A$4:$A$21,0))*$R230*INDEX(Parameters!$X$15:$AA$15,1,MATCH($E230,Parameters!$X$3:$AA$3,0))),BW230*(1+INDEX(Response_Table!$O$4:$O$21,MATCH($F230&amp;"|high",Response_Table!$A$4:$A$21,0))*$R230*INDEX(Parameters!$X$15:$AA$15,1,MATCH($E230,Parameters!$X$3:$AA$3,0))))*(1-Inputs_General!$C$22*Parameters!$F$15))</f>
        <v>7.75734640189473</v>
      </c>
      <c r="BZ230" s="43" t="n">
        <f aca="false">MAX(BW230*(1+INDEX(Response_Table!$O$4:$O$21,MATCH($F230&amp;"|low",Response_Table!$A$4:$A$21,0))*$R230*INDEX(Parameters!$X$15:$AA$15,1,MATCH($E230,Parameters!$X$3:$AA$3,0))),BW230*(1+INDEX(Response_Table!$O$4:$O$21,MATCH($F230&amp;"|high",Response_Table!$A$4:$A$21,0))*$R230*INDEX(Parameters!$X$15:$AA$15,1,MATCH($E230,Parameters!$X$3:$AA$3,0))))*(1+Inputs_General!$C$22*Parameters!$F$15)</f>
        <v>11.852120564017</v>
      </c>
      <c r="CA230" s="45" t="n">
        <f aca="false">IF(BW230=0,0,BX230/BW230-1)</f>
        <v>-0.128658889262023</v>
      </c>
      <c r="CB230" s="46" t="n">
        <f aca="false">BD230+BI230</f>
        <v>0.736854933435193</v>
      </c>
      <c r="CC230" s="43" t="n">
        <f aca="false">BD230/BI230</f>
        <v>2.26746613234608</v>
      </c>
      <c r="CD230" s="46" t="n">
        <f aca="false">BN230/CB230</f>
        <v>0.254928613445126</v>
      </c>
      <c r="CE230" s="43" t="n">
        <f aca="false">AE230/AO230</f>
        <v>2.17830838835283</v>
      </c>
      <c r="CF230" s="44" t="n">
        <f aca="false">AE230/AJ230</f>
        <v>30.4722194959803</v>
      </c>
      <c r="CG230" s="44" t="n">
        <f aca="false">INDEX(Context!$V$4:$V$51,$K230)</f>
        <v>25.5785714285714</v>
      </c>
      <c r="CH230" s="44" t="n">
        <f aca="false">INDEX(Context!$Y$4:$Y$51,$K230)</f>
        <v>23.620522619794</v>
      </c>
      <c r="CI230" s="44" t="n">
        <f aca="false">INDEX(Context!$Z$4:$Z$51,$K230)</f>
        <v>29.5785714285714</v>
      </c>
      <c r="CJ230" s="43" t="n">
        <f aca="false">INDEX(Context!$AA$4:$AA$51,$K230)</f>
        <v>0.121160714285714</v>
      </c>
      <c r="CK230" s="43" t="n">
        <f aca="false">MAX(0,MIN(1,1-(1-CJ230)*AO230/AN230))</f>
        <v>0.547941905294035</v>
      </c>
      <c r="CL230" s="44" t="n">
        <f aca="false">CH230+CK230*(CI230-CH230)</f>
        <v>26.8851872359104</v>
      </c>
      <c r="CM230" s="44" t="n">
        <f aca="false">CH230+MAX(0,MIN(1,1-(1-CJ230)*AQ230/AN230))*(CI230-CH230)</f>
        <v>25.5403281586307</v>
      </c>
      <c r="CN230" s="44" t="n">
        <f aca="false">CH230+MAX(0,MIN(1,1-(1-CJ230)*AP230/AN230))*(CI230-CH230)</f>
        <v>27.9131739345675</v>
      </c>
      <c r="CO230" s="44" t="n">
        <f aca="false">CL230-CG230</f>
        <v>1.30661580733893</v>
      </c>
      <c r="CP230" s="44" t="n">
        <f aca="false">CL230-(CH230+CJ230*(CI230-CH230))</f>
        <v>2.54278316669573</v>
      </c>
      <c r="CQ230" s="46" t="n">
        <f aca="false">CL230/CG230</f>
        <v>1.05108243871194</v>
      </c>
      <c r="CR230" s="43" t="n">
        <f aca="false">IF(CL230-CH230&lt;=0,"n/a",(CI230-CL230)/(CL230-CH230))</f>
        <v>0.825010991746257</v>
      </c>
      <c r="CS230" s="43" t="n">
        <f aca="false">IF(CI230-CL230&lt;=0,"n/a",(CL230-CH230)/(CI230-CL230))</f>
        <v>1.21210506284692</v>
      </c>
      <c r="CT230" s="43" t="n">
        <f aca="false">Inputs_General!$C$23+Inputs_General!$C$24*$I230</f>
        <v>1.9</v>
      </c>
      <c r="CU230" s="44" t="n">
        <f aca="false">3.29*CT230</f>
        <v>6.251</v>
      </c>
    </row>
    <row r="231" customFormat="false" ht="15" hidden="false" customHeight="false" outlineLevel="0" collapsed="false">
      <c r="A231" s="33" t="str">
        <f aca="false">B231&amp;"|"&amp;E231&amp;"|"&amp;F231</f>
        <v>D4V1|03/03/2026|Healthy</v>
      </c>
      <c r="B231" s="34" t="s">
        <v>352</v>
      </c>
      <c r="C231" s="33" t="s">
        <v>133</v>
      </c>
      <c r="D231" s="33" t="s">
        <v>142</v>
      </c>
      <c r="E231" s="33" t="s">
        <v>162</v>
      </c>
      <c r="F231" s="34" t="s">
        <v>275</v>
      </c>
      <c r="G231" s="33" t="s">
        <v>276</v>
      </c>
      <c r="H231" s="35" t="n">
        <f aca="false">INDEX(Severity_Classes!$C$4:$C$9,MATCH(F231,Severity_Classes!$A$4:$A$9,0))</f>
        <v>0</v>
      </c>
      <c r="I231" s="35" t="n">
        <f aca="false">INDEX(Severity_Classes!$D$4:$D$9,MATCH(F231,Severity_Classes!$A$4:$A$9,0))</f>
        <v>0</v>
      </c>
      <c r="J231" s="35" t="n">
        <f aca="false">INDEX(Severity_Classes!$E$4:$E$9,MATCH(F231,Severity_Classes!$A$4:$A$9,0))</f>
        <v>0</v>
      </c>
      <c r="K231" s="36" t="n">
        <f aca="false">MATCH(B231&amp;"|"&amp;E231,Context!$A$4:$A$51,0)</f>
        <v>39</v>
      </c>
      <c r="L231" s="36" t="n">
        <f aca="false">INDEX(Context!$H$4:$H$51,K231)</f>
        <v>53</v>
      </c>
      <c r="M231" s="36" t="n">
        <f aca="false">INDEX(Context!$I$4:$I$51,K231)</f>
        <v>26</v>
      </c>
      <c r="N231" s="33" t="str">
        <f aca="false">INDEX(Context!$L$4:$L$51,K231)</f>
        <v>F</v>
      </c>
      <c r="O231" s="33" t="str">
        <f aca="false">INDEX(Context!$M$4:$M$51,K231)</f>
        <v>5th fully expanded leaf from top</v>
      </c>
      <c r="P231" s="37" t="n">
        <f aca="false">INDEX(Context!$R$4:$R$51,K231)</f>
        <v>0.433928571428571</v>
      </c>
      <c r="Q231" s="37" t="n">
        <f aca="false">INDEX(Context!$U$4:$U$51,K231)</f>
        <v>1.73951545534029</v>
      </c>
      <c r="R231" s="37" t="n">
        <f aca="false">INDEX(Context!$AD$4:$AD$51,K231)</f>
        <v>1</v>
      </c>
      <c r="S231" s="33" t="str">
        <f aca="false">INDEX(Context!$AI$4:$AN$51,K231,MATCH(F231,Severity_Classes!$A$4:$A$9,0))</f>
        <v>Reference: healthy (uninoculated) control plot</v>
      </c>
      <c r="T231" s="38" t="n">
        <f aca="false">Parameters!$E$4*IF($N231="V",Parameters!$I$4,IF($N231="F",Parameters!$J$4,Parameters!$K$4))*(1-Parameters!$L$4*$P231)*IF($D231="V1",Parameters!$M$4,IF($D231="V2",Parameters!$N$4,Parameters!$O$4))</f>
        <v>83.2927660714286</v>
      </c>
      <c r="U231" s="38" t="n">
        <f aca="false">MIN(100,T231*(1+INDEX(Response_Table!$E$4:$E$21,MATCH($F231&amp;"|mid",Response_Table!$A$4:$A$21,0))*$R231*INDEX(Parameters!$X$4:$AA$4,1,MATCH($E231,Parameters!$X$3:$AA$3,0))))</f>
        <v>83.2927660714286</v>
      </c>
      <c r="V231" s="38" t="n">
        <f aca="false">MAX(0,MIN(T231*(1+INDEX(Response_Table!$E$4:$E$21,MATCH($F231&amp;"|low",Response_Table!$A$4:$A$21,0))*$R231*INDEX(Parameters!$X$4:$AA$4,1,MATCH($E231,Parameters!$X$3:$AA$3,0))),T231*(1+INDEX(Response_Table!$E$4:$E$21,MATCH($F231&amp;"|high",Response_Table!$A$4:$A$21,0))*$R231*INDEX(Parameters!$X$4:$AA$4,1,MATCH($E231,Parameters!$X$3:$AA$3,0))))*(1-Inputs_General!$C$22*Parameters!$F$4))</f>
        <v>77.8121020639286</v>
      </c>
      <c r="W231" s="38" t="n">
        <f aca="false">MIN(100,MAX(T231*(1+INDEX(Response_Table!$E$4:$E$21,MATCH($F231&amp;"|low",Response_Table!$A$4:$A$21,0))*$R231*INDEX(Parameters!$X$4:$AA$4,1,MATCH($E231,Parameters!$X$3:$AA$3,0))),T231*(1+INDEX(Response_Table!$E$4:$E$21,MATCH($F231&amp;"|high",Response_Table!$A$4:$A$21,0))*$R231*INDEX(Parameters!$X$4:$AA$4,1,MATCH($E231,Parameters!$X$3:$AA$3,0))))*(1+Inputs_General!$C$22*Parameters!$F$4))</f>
        <v>88.7734300789286</v>
      </c>
      <c r="X231" s="39" t="n">
        <f aca="false">IF(T231=0,0,U231/T231-1)</f>
        <v>0</v>
      </c>
      <c r="Y231" s="38" t="n">
        <f aca="false">Parameters!$E$5*IF($N231="V",Parameters!$I$5,IF($N231="F",Parameters!$J$5,Parameters!$K$5))*(1-Parameters!$L$5*$P231)*IF($D231="V1",Parameters!$M$5,IF($D231="V2",Parameters!$N$5,Parameters!$O$5))</f>
        <v>66.88584</v>
      </c>
      <c r="Z231" s="38" t="n">
        <f aca="false">MIN(100,Y231*(1+INDEX(Response_Table!$F$4:$F$21,MATCH($F231&amp;"|mid",Response_Table!$A$4:$A$21,0))*$R231*INDEX(Parameters!$X$5:$AA$5,1,MATCH($E231,Parameters!$X$3:$AA$3,0))))</f>
        <v>66.88584</v>
      </c>
      <c r="AA231" s="38" t="n">
        <f aca="false">MAX(0,MIN(Y231*(1+INDEX(Response_Table!$F$4:$F$21,MATCH($F231&amp;"|low",Response_Table!$A$4:$A$21,0))*$R231*INDEX(Parameters!$X$5:$AA$5,1,MATCH($E231,Parameters!$X$3:$AA$3,0))),Y231*(1+INDEX(Response_Table!$F$4:$F$21,MATCH($F231&amp;"|high",Response_Table!$A$4:$A$21,0))*$R231*INDEX(Parameters!$X$5:$AA$5,1,MATCH($E231,Parameters!$X$3:$AA$3,0))))*(1-Inputs_General!$C$22*Parameters!$F$5))</f>
        <v>59.183935524</v>
      </c>
      <c r="AB231" s="38" t="n">
        <f aca="false">MIN(100,MAX(Y231*(1+INDEX(Response_Table!$F$4:$F$21,MATCH($F231&amp;"|low",Response_Table!$A$4:$A$21,0))*$R231*INDEX(Parameters!$X$5:$AA$5,1,MATCH($E231,Parameters!$X$3:$AA$3,0))),Y231*(1+INDEX(Response_Table!$F$4:$F$21,MATCH($F231&amp;"|high",Response_Table!$A$4:$A$21,0))*$R231*INDEX(Parameters!$X$5:$AA$5,1,MATCH($E231,Parameters!$X$3:$AA$3,0))))*(1+Inputs_General!$C$22*Parameters!$F$5))</f>
        <v>74.587744476</v>
      </c>
      <c r="AC231" s="39" t="n">
        <f aca="false">IF(Y231=0,0,Z231/Y231-1)</f>
        <v>0</v>
      </c>
      <c r="AD231" s="38" t="n">
        <f aca="false">Parameters!$E$6*IF($N231="V",Parameters!$I$6,IF($N231="F",Parameters!$J$6,Parameters!$K$6))*(1-Parameters!$L$6*$P231)*IF($D231="V1",Parameters!$M$6,IF($D231="V2",Parameters!$N$6,Parameters!$O$6))</f>
        <v>18.0106428571429</v>
      </c>
      <c r="AE231" s="38" t="n">
        <f aca="false">AD231*(1+INDEX(Response_Table!$G$4:$G$21,MATCH($F231&amp;"|mid",Response_Table!$A$4:$A$21,0))*$R231*INDEX(Parameters!$X$6:$AA$6,1,MATCH($E231,Parameters!$X$3:$AA$3,0)))</f>
        <v>18.0106428571429</v>
      </c>
      <c r="AF231" s="38" t="n">
        <f aca="false">MAX(0,MIN(AD231*(1+INDEX(Response_Table!$G$4:$G$21,MATCH($F231&amp;"|low",Response_Table!$A$4:$A$21,0))*$R231*INDEX(Parameters!$X$6:$AA$6,1,MATCH($E231,Parameters!$X$3:$AA$3,0))),AD231*(1+INDEX(Response_Table!$G$4:$G$21,MATCH($F231&amp;"|high",Response_Table!$A$4:$A$21,0))*$R231*INDEX(Parameters!$X$6:$AA$6,1,MATCH($E231,Parameters!$X$3:$AA$3,0))))*(1-Inputs_General!$C$22*Parameters!$F$6))</f>
        <v>14.4553419571429</v>
      </c>
      <c r="AG231" s="38" t="n">
        <f aca="false">MAX(AD231*(1+INDEX(Response_Table!$G$4:$G$21,MATCH($F231&amp;"|low",Response_Table!$A$4:$A$21,0))*$R231*INDEX(Parameters!$X$6:$AA$6,1,MATCH($E231,Parameters!$X$3:$AA$3,0))),AD231*(1+INDEX(Response_Table!$G$4:$G$21,MATCH($F231&amp;"|high",Response_Table!$A$4:$A$21,0))*$R231*INDEX(Parameters!$X$6:$AA$6,1,MATCH($E231,Parameters!$X$3:$AA$3,0))))*(1+Inputs_General!$C$22*Parameters!$F$6)</f>
        <v>21.5659437571429</v>
      </c>
      <c r="AH231" s="39" t="n">
        <f aca="false">IF(AD231=0,0,AE231/AD231-1)</f>
        <v>0</v>
      </c>
      <c r="AI231" s="40" t="n">
        <f aca="false">Parameters!$E$7*IF($N231="V",Parameters!$I$7,IF($N231="F",Parameters!$J$7,Parameters!$K$7))*(1-Parameters!$L$7*$P231)*IF($D231="V1",Parameters!$M$7,IF($D231="V2",Parameters!$N$7,Parameters!$O$7))*POWER($Q231/Inputs_General!$C$26,-Inputs_General!$C$25)</f>
        <v>0.341191629407368</v>
      </c>
      <c r="AJ231" s="40" t="n">
        <f aca="false">AI231*(1+INDEX(Response_Table!$H$4:$H$21,MATCH($F231&amp;"|mid",Response_Table!$A$4:$A$21,0))*$R231*INDEX(Parameters!$X$7:$AA$7,1,MATCH($E231,Parameters!$X$3:$AA$3,0)))</f>
        <v>0.341191629407368</v>
      </c>
      <c r="AK231" s="40" t="n">
        <f aca="false">MAX(0,MIN(AI231*(1+INDEX(Response_Table!$H$4:$H$21,MATCH($F231&amp;"|low",Response_Table!$A$4:$A$21,0))*$R231*INDEX(Parameters!$X$7:$AA$7,1,MATCH($E231,Parameters!$X$3:$AA$3,0))),AI231*(1+INDEX(Response_Table!$H$4:$H$21,MATCH($F231&amp;"|high",Response_Table!$A$4:$A$21,0))*$R231*INDEX(Parameters!$X$7:$AA$7,1,MATCH($E231,Parameters!$X$3:$AA$3,0))))*(1-Inputs_General!$C$22*Parameters!$F$7))</f>
        <v>0.240164787939846</v>
      </c>
      <c r="AL231" s="40" t="n">
        <f aca="false">MAX(AI231*(1+INDEX(Response_Table!$H$4:$H$21,MATCH($F231&amp;"|low",Response_Table!$A$4:$A$21,0))*$R231*INDEX(Parameters!$X$7:$AA$7,1,MATCH($E231,Parameters!$X$3:$AA$3,0))),AI231*(1+INDEX(Response_Table!$H$4:$H$21,MATCH($F231&amp;"|high",Response_Table!$A$4:$A$21,0))*$R231*INDEX(Parameters!$X$7:$AA$7,1,MATCH($E231,Parameters!$X$3:$AA$3,0))))*(1+Inputs_General!$C$22*Parameters!$F$7)</f>
        <v>0.44221847087489</v>
      </c>
      <c r="AM231" s="39" t="n">
        <f aca="false">IF(AI231=0,0,AJ231/AI231-1)</f>
        <v>0</v>
      </c>
      <c r="AN231" s="37" t="n">
        <f aca="false">AI231*$Q231/Inputs_General!$C$13*1000</f>
        <v>5.97691956280819</v>
      </c>
      <c r="AO231" s="37" t="n">
        <f aca="false">AJ231*$Q231/Inputs_General!$C$13*1000*(1+Inputs_General!$C$21*$I231)</f>
        <v>5.97691956280819</v>
      </c>
      <c r="AP231" s="37" t="n">
        <f aca="false">AK231*$Q231/Inputs_General!$C$13*1000*(1+Inputs_General!$C$21*$H231)</f>
        <v>4.20715368026068</v>
      </c>
      <c r="AQ231" s="37" t="n">
        <f aca="false">AL231*$Q231/Inputs_General!$C$13*1000*(1+Inputs_General!$C$21*$J231)</f>
        <v>7.74668544535569</v>
      </c>
      <c r="AR231" s="39" t="n">
        <f aca="false">IF(AN231=0,0,AO231/AN231-1)</f>
        <v>0</v>
      </c>
      <c r="AS231" s="36" t="n">
        <f aca="false">Parameters!$E$9*IF($N231="V",Parameters!$I$9,IF($N231="F",Parameters!$J$9,Parameters!$K$9))*(1-Parameters!$L$9*$P231)*IF($D231="V1",Parameters!$M$9,IF($D231="V2",Parameters!$N$9,Parameters!$O$9))</f>
        <v>285</v>
      </c>
      <c r="AT231" s="36" t="n">
        <f aca="false">AS231*(1+INDEX(Response_Table!$I$4:$I$21,MATCH($F231&amp;"|mid",Response_Table!$A$4:$A$21,0))*$R231*INDEX(Parameters!$X$9:$AA$9,1,MATCH($E231,Parameters!$X$3:$AA$3,0)))</f>
        <v>285</v>
      </c>
      <c r="AU231" s="36" t="n">
        <f aca="false">MAX(0,MIN(AS231*(1+INDEX(Response_Table!$I$4:$I$21,MATCH($F231&amp;"|low",Response_Table!$A$4:$A$21,0))*$R231*INDEX(Parameters!$X$9:$AA$9,1,MATCH($E231,Parameters!$X$3:$AA$3,0))),AS231*(1+INDEX(Response_Table!$I$4:$I$21,MATCH($F231&amp;"|high",Response_Table!$A$4:$A$21,0))*$R231*INDEX(Parameters!$X$9:$AA$9,1,MATCH($E231,Parameters!$X$3:$AA$3,0))))*(1-Inputs_General!$C$22*Parameters!$F$9))</f>
        <v>256.8705</v>
      </c>
      <c r="AV231" s="36" t="n">
        <f aca="false">MAX(AS231*(1+INDEX(Response_Table!$I$4:$I$21,MATCH($F231&amp;"|low",Response_Table!$A$4:$A$21,0))*$R231*INDEX(Parameters!$X$9:$AA$9,1,MATCH($E231,Parameters!$X$3:$AA$3,0))),AS231*(1+INDEX(Response_Table!$I$4:$I$21,MATCH($F231&amp;"|high",Response_Table!$A$4:$A$21,0))*$R231*INDEX(Parameters!$X$9:$AA$9,1,MATCH($E231,Parameters!$X$3:$AA$3,0))))*(1+Inputs_General!$C$22*Parameters!$F$9)</f>
        <v>313.1295</v>
      </c>
      <c r="AW231" s="39" t="n">
        <f aca="false">IF(AS231=0,0,AT231/AS231-1)</f>
        <v>0</v>
      </c>
      <c r="AX231" s="37" t="n">
        <f aca="false">INDEX(Context!$AB$4:$AB$51,$K231)</f>
        <v>1.90140657748441</v>
      </c>
      <c r="AY231" s="37" t="n">
        <f aca="false">AX231*(1+INDEX(Response_Table!$J$4:$J$21,MATCH($F231&amp;"|mid",Response_Table!$A$4:$A$21,0))*$R231*INDEX(Parameters!$X$10:$AA$10,1,MATCH($E231,Parameters!$X$3:$AA$3,0)))</f>
        <v>1.90140657748441</v>
      </c>
      <c r="AZ231" s="37" t="n">
        <f aca="false">MAX(0,MIN(AX231*(1+INDEX(Response_Table!$J$4:$J$21,MATCH($F231&amp;"|low",Response_Table!$A$4:$A$21,0))*$R231*INDEX(Parameters!$X$10:$AA$10,1,MATCH($E231,Parameters!$X$3:$AA$3,0))),AX231*(1+INDEX(Response_Table!$J$4:$J$21,MATCH($F231&amp;"|high",Response_Table!$A$4:$A$21,0))*$R231*INDEX(Parameters!$X$10:$AA$10,1,MATCH($E231,Parameters!$X$3:$AA$3,0))))*(1-Inputs_General!$C$22*Parameters!$F$10))</f>
        <v>1.52606891908899</v>
      </c>
      <c r="BA231" s="37" t="n">
        <f aca="false">MAX(AX231*(1+INDEX(Response_Table!$J$4:$J$21,MATCH($F231&amp;"|low",Response_Table!$A$4:$A$21,0))*$R231*INDEX(Parameters!$X$10:$AA$10,1,MATCH($E231,Parameters!$X$3:$AA$3,0))),AX231*(1+INDEX(Response_Table!$J$4:$J$21,MATCH($F231&amp;"|high",Response_Table!$A$4:$A$21,0))*$R231*INDEX(Parameters!$X$10:$AA$10,1,MATCH($E231,Parameters!$X$3:$AA$3,0))))*(1+Inputs_General!$C$22*Parameters!$F$10)</f>
        <v>2.27674423587984</v>
      </c>
      <c r="BB231" s="39" t="n">
        <f aca="false">IF(AX231=0,0,AY231/AX231-1)</f>
        <v>0</v>
      </c>
      <c r="BC231" s="40" t="n">
        <f aca="false">Parameters!$E$11*IF($N231="V",Parameters!$I$11,IF($N231="F",Parameters!$J$11,Parameters!$K$11))*(1-Parameters!$L$11*$P231)*IF($D231="V1",Parameters!$M$11,IF($D231="V2",Parameters!$N$11,Parameters!$O$11))</f>
        <v>1.21745535714286</v>
      </c>
      <c r="BD231" s="40" t="n">
        <f aca="false">BC231*(1+INDEX(Response_Table!$K$4:$K$21,MATCH($F231&amp;"|mid",Response_Table!$A$4:$A$21,0))*$R231*INDEX(Parameters!$X$11:$AA$11,1,MATCH($E231,Parameters!$X$3:$AA$3,0)))</f>
        <v>1.21745535714286</v>
      </c>
      <c r="BE231" s="40" t="n">
        <f aca="false">MAX(0,MIN(BC231*(1+INDEX(Response_Table!$K$4:$K$21,MATCH($F231&amp;"|low",Response_Table!$A$4:$A$21,0))*$R231*INDEX(Parameters!$X$11:$AA$11,1,MATCH($E231,Parameters!$X$3:$AA$3,0))),BC231*(1+INDEX(Response_Table!$K$4:$K$21,MATCH($F231&amp;"|high",Response_Table!$A$4:$A$21,0))*$R231*INDEX(Parameters!$X$11:$AA$11,1,MATCH($E231,Parameters!$X$3:$AA$3,0))))*(1-Inputs_General!$C$22*Parameters!$F$11))</f>
        <v>1.01718395089286</v>
      </c>
      <c r="BF231" s="40" t="n">
        <f aca="false">MAX(BC231*(1+INDEX(Response_Table!$K$4:$K$21,MATCH($F231&amp;"|low",Response_Table!$A$4:$A$21,0))*$R231*INDEX(Parameters!$X$11:$AA$11,1,MATCH($E231,Parameters!$X$3:$AA$3,0))),BC231*(1+INDEX(Response_Table!$K$4:$K$21,MATCH($F231&amp;"|high",Response_Table!$A$4:$A$21,0))*$R231*INDEX(Parameters!$X$11:$AA$11,1,MATCH($E231,Parameters!$X$3:$AA$3,0))))*(1+Inputs_General!$C$22*Parameters!$F$11)</f>
        <v>1.41772676339286</v>
      </c>
      <c r="BG231" s="39" t="n">
        <f aca="false">IF(BC231=0,0,BD231/BC231-1)</f>
        <v>0</v>
      </c>
      <c r="BH231" s="40" t="n">
        <f aca="false">Parameters!$E$12*IF($N231="V",Parameters!$I$12,IF($N231="F",Parameters!$J$12,Parameters!$K$12))*(1-Parameters!$L$12*$P231)*IF($D231="V1",Parameters!$M$12,IF($D231="V2",Parameters!$N$12,Parameters!$O$12))</f>
        <v>0.438283928571429</v>
      </c>
      <c r="BI231" s="40" t="n">
        <f aca="false">BH231*(1+INDEX(Response_Table!$L$4:$L$21,MATCH($F231&amp;"|mid",Response_Table!$A$4:$A$21,0))*$R231*INDEX(Parameters!$X$12:$AA$12,1,MATCH($E231,Parameters!$X$3:$AA$3,0)))</f>
        <v>0.438283928571429</v>
      </c>
      <c r="BJ231" s="40" t="n">
        <f aca="false">MAX(0,MIN(BH231*(1+INDEX(Response_Table!$L$4:$L$21,MATCH($F231&amp;"|low",Response_Table!$A$4:$A$21,0))*$R231*INDEX(Parameters!$X$12:$AA$12,1,MATCH($E231,Parameters!$X$3:$AA$3,0))),BH231*(1+INDEX(Response_Table!$L$4:$L$21,MATCH($F231&amp;"|high",Response_Table!$A$4:$A$21,0))*$R231*INDEX(Parameters!$X$12:$AA$12,1,MATCH($E231,Parameters!$X$3:$AA$3,0))))*(1-Inputs_General!$C$22*Parameters!$F$12))</f>
        <v>0.351766681071429</v>
      </c>
      <c r="BK231" s="40" t="n">
        <f aca="false">MAX(BH231*(1+INDEX(Response_Table!$L$4:$L$21,MATCH($F231&amp;"|low",Response_Table!$A$4:$A$21,0))*$R231*INDEX(Parameters!$X$12:$AA$12,1,MATCH($E231,Parameters!$X$3:$AA$3,0))),BH231*(1+INDEX(Response_Table!$L$4:$L$21,MATCH($F231&amp;"|high",Response_Table!$A$4:$A$21,0))*$R231*INDEX(Parameters!$X$12:$AA$12,1,MATCH($E231,Parameters!$X$3:$AA$3,0))))*(1+Inputs_General!$C$22*Parameters!$F$12)</f>
        <v>0.524801176071429</v>
      </c>
      <c r="BL231" s="39" t="n">
        <f aca="false">IF(BH231=0,0,BI231/BH231-1)</f>
        <v>0</v>
      </c>
      <c r="BM231" s="40" t="n">
        <f aca="false">Parameters!$E$13*IF($N231="V",Parameters!$I$13,IF($N231="F",Parameters!$J$13,Parameters!$K$13))*(1-Parameters!$L$13*$P231)*IF($D231="V1",Parameters!$M$13,IF($D231="V2",Parameters!$N$13,Parameters!$O$13))</f>
        <v>0.296094642857143</v>
      </c>
      <c r="BN231" s="40" t="n">
        <f aca="false">BM231*(1+INDEX(Response_Table!$M$4:$M$21,MATCH($F231&amp;"|mid",Response_Table!$A$4:$A$21,0))*$R231*INDEX(Parameters!$X$13:$AA$13,1,MATCH($E231,Parameters!$X$3:$AA$3,0)))</f>
        <v>0.296094642857143</v>
      </c>
      <c r="BO231" s="40" t="n">
        <f aca="false">MAX(0,MIN(BM231*(1+INDEX(Response_Table!$M$4:$M$21,MATCH($F231&amp;"|low",Response_Table!$A$4:$A$21,0))*$R231*INDEX(Parameters!$X$13:$AA$13,1,MATCH($E231,Parameters!$X$3:$AA$3,0))),BM231*(1+INDEX(Response_Table!$M$4:$M$21,MATCH($F231&amp;"|high",Response_Table!$A$4:$A$21,0))*$R231*INDEX(Parameters!$X$13:$AA$13,1,MATCH($E231,Parameters!$X$3:$AA$3,0))))*(1-Inputs_General!$C$22*Parameters!$F$13))</f>
        <v>0.237645560357143</v>
      </c>
      <c r="BP231" s="40" t="n">
        <f aca="false">MAX(BM231*(1+INDEX(Response_Table!$M$4:$M$21,MATCH($F231&amp;"|low",Response_Table!$A$4:$A$21,0))*$R231*INDEX(Parameters!$X$13:$AA$13,1,MATCH($E231,Parameters!$X$3:$AA$3,0))),BM231*(1+INDEX(Response_Table!$M$4:$M$21,MATCH($F231&amp;"|high",Response_Table!$A$4:$A$21,0))*$R231*INDEX(Parameters!$X$13:$AA$13,1,MATCH($E231,Parameters!$X$3:$AA$3,0))))*(1+Inputs_General!$C$22*Parameters!$F$13)</f>
        <v>0.354543725357143</v>
      </c>
      <c r="BQ231" s="39" t="n">
        <f aca="false">IF(BM231=0,0,BN231/BM231-1)</f>
        <v>0</v>
      </c>
      <c r="BR231" s="38" t="n">
        <f aca="false">Parameters!$E$14*IF($N231="V",Parameters!$I$14,IF($N231="F",Parameters!$J$14,Parameters!$K$14))*(1-Parameters!$L$14*$P231)*IF($D231="V1",Parameters!$M$14,IF($D231="V2",Parameters!$N$14,Parameters!$O$14))*INDEX(Context!$AC$4:$AC$51,$K231)</f>
        <v>15</v>
      </c>
      <c r="BS231" s="38" t="n">
        <f aca="false">BR231*(1+INDEX(Response_Table!$N$4:$N$21,MATCH($F231&amp;"|mid",Response_Table!$A$4:$A$21,0))*$R231*INDEX(Parameters!$X$14:$AA$14,1,MATCH($E231,Parameters!$X$3:$AA$3,0)))</f>
        <v>15</v>
      </c>
      <c r="BT231" s="38" t="n">
        <f aca="false">MAX(0,MIN(BR231*(1+INDEX(Response_Table!$N$4:$N$21,MATCH($F231&amp;"|low",Response_Table!$A$4:$A$21,0))*$R231*INDEX(Parameters!$X$14:$AA$14,1,MATCH($E231,Parameters!$X$3:$AA$3,0))),BR231*(1+INDEX(Response_Table!$N$4:$N$21,MATCH($F231&amp;"|high",Response_Table!$A$4:$A$21,0))*$R231*INDEX(Parameters!$X$14:$AA$14,1,MATCH($E231,Parameters!$X$3:$AA$3,0))))*(1-Inputs_General!$C$22*Parameters!$F$14))</f>
        <v>7.5975</v>
      </c>
      <c r="BU231" s="38" t="n">
        <f aca="false">MAX(BR231*(1+INDEX(Response_Table!$N$4:$N$21,MATCH($F231&amp;"|low",Response_Table!$A$4:$A$21,0))*$R231*INDEX(Parameters!$X$14:$AA$14,1,MATCH($E231,Parameters!$X$3:$AA$3,0))),BR231*(1+INDEX(Response_Table!$N$4:$N$21,MATCH($F231&amp;"|high",Response_Table!$A$4:$A$21,0))*$R231*INDEX(Parameters!$X$14:$AA$14,1,MATCH($E231,Parameters!$X$3:$AA$3,0))))*(1+Inputs_General!$C$22*Parameters!$F$14)</f>
        <v>22.4025</v>
      </c>
      <c r="BV231" s="39" t="n">
        <f aca="false">IF(BR231=0,0,BS231/BR231-1)</f>
        <v>0</v>
      </c>
      <c r="BW231" s="37" t="n">
        <f aca="false">Parameters!$E$15*IF($N231="V",Parameters!$I$15,IF($N231="F",Parameters!$J$15,Parameters!$K$15))*(1-Parameters!$L$15*$P231)*IF($D231="V1",Parameters!$M$15,IF($D231="V2",Parameters!$N$15,Parameters!$O$15))</f>
        <v>10.1292285714286</v>
      </c>
      <c r="BX231" s="37" t="n">
        <f aca="false">BW231*(1+INDEX(Response_Table!$O$4:$O$21,MATCH($F231&amp;"|mid",Response_Table!$A$4:$A$21,0))*$R231*INDEX(Parameters!$X$15:$AA$15,1,MATCH($E231,Parameters!$X$3:$AA$3,0)))</f>
        <v>10.1292285714286</v>
      </c>
      <c r="BY231" s="37" t="n">
        <f aca="false">MAX(0,MIN(BW231*(1+INDEX(Response_Table!$O$4:$O$21,MATCH($F231&amp;"|low",Response_Table!$A$4:$A$21,0))*$R231*INDEX(Parameters!$X$15:$AA$15,1,MATCH($E231,Parameters!$X$3:$AA$3,0))),BW231*(1+INDEX(Response_Table!$O$4:$O$21,MATCH($F231&amp;"|high",Response_Table!$A$4:$A$21,0))*$R231*INDEX(Parameters!$X$15:$AA$15,1,MATCH($E231,Parameters!$X$3:$AA$3,0))))*(1-Inputs_General!$C$22*Parameters!$F$15))</f>
        <v>8.12971885142857</v>
      </c>
      <c r="BZ231" s="37" t="n">
        <f aca="false">MAX(BW231*(1+INDEX(Response_Table!$O$4:$O$21,MATCH($F231&amp;"|low",Response_Table!$A$4:$A$21,0))*$R231*INDEX(Parameters!$X$15:$AA$15,1,MATCH($E231,Parameters!$X$3:$AA$3,0))),BW231*(1+INDEX(Response_Table!$O$4:$O$21,MATCH($F231&amp;"|high",Response_Table!$A$4:$A$21,0))*$R231*INDEX(Parameters!$X$15:$AA$15,1,MATCH($E231,Parameters!$X$3:$AA$3,0))))*(1+Inputs_General!$C$22*Parameters!$F$15)</f>
        <v>12.1287382914286</v>
      </c>
      <c r="CA231" s="39" t="n">
        <f aca="false">IF(BW231=0,0,BX231/BW231-1)</f>
        <v>0</v>
      </c>
      <c r="CB231" s="40" t="n">
        <f aca="false">BD231+BI231</f>
        <v>1.65573928571429</v>
      </c>
      <c r="CC231" s="37" t="n">
        <f aca="false">BD231/BI231</f>
        <v>2.77777777777778</v>
      </c>
      <c r="CD231" s="40" t="n">
        <f aca="false">BN231/CB231</f>
        <v>0.178829267030049</v>
      </c>
      <c r="CE231" s="37" t="n">
        <f aca="false">AE231/AO231</f>
        <v>3.01336544149186</v>
      </c>
      <c r="CF231" s="38" t="n">
        <f aca="false">AE231/AJ231</f>
        <v>52.7874698697222</v>
      </c>
      <c r="CG231" s="38" t="n">
        <f aca="false">INDEX(Context!$V$4:$V$51,$K231)</f>
        <v>28.62</v>
      </c>
      <c r="CH231" s="38" t="n">
        <f aca="false">INDEX(Context!$Y$4:$Y$51,$K231)</f>
        <v>25.3060134606718</v>
      </c>
      <c r="CI231" s="38" t="n">
        <f aca="false">INDEX(Context!$Z$4:$Z$51,$K231)</f>
        <v>32.62</v>
      </c>
      <c r="CJ231" s="37" t="n">
        <f aca="false">INDEX(Context!$AA$4:$AA$51,$K231)</f>
        <v>0.221696428571429</v>
      </c>
      <c r="CK231" s="37" t="n">
        <f aca="false">MAX(0,MIN(1,1-(1-CJ231)*AO231/AN231))</f>
        <v>0.221696428571429</v>
      </c>
      <c r="CL231" s="38" t="n">
        <f aca="false">CH231+CK231*(CI231-CH231)</f>
        <v>26.9274981550603</v>
      </c>
      <c r="CM231" s="38" t="n">
        <f aca="false">CH231+MAX(0,MIN(1,1-(1-CJ231)*AQ231/AN231))*(CI231-CH231)</f>
        <v>25.3060134606718</v>
      </c>
      <c r="CN231" s="38" t="n">
        <f aca="false">CH231+MAX(0,MIN(1,1-(1-CJ231)*AP231/AN231))*(CI231-CH231)</f>
        <v>28.613047951347</v>
      </c>
      <c r="CO231" s="38" t="n">
        <f aca="false">CL231-CG231</f>
        <v>-1.69250184493966</v>
      </c>
      <c r="CP231" s="38" t="n">
        <f aca="false">CL231-(CH231+CJ231*(CI231-CH231))</f>
        <v>0</v>
      </c>
      <c r="CQ231" s="40" t="n">
        <f aca="false">CL231/CG231</f>
        <v>0.940862968380864</v>
      </c>
      <c r="CR231" s="37" t="n">
        <f aca="false">IF(CL231-CH231&lt;=0,"n/a",(CI231-CL231)/(CL231-CH231))</f>
        <v>3.5106725734998</v>
      </c>
      <c r="CS231" s="37" t="n">
        <f aca="false">IF(CI231-CL231&lt;=0,"n/a",(CL231-CH231)/(CI231-CL231))</f>
        <v>0.284845703797178</v>
      </c>
      <c r="CT231" s="37" t="n">
        <f aca="false">Inputs_General!$C$23+Inputs_General!$C$24*$I231</f>
        <v>0.6</v>
      </c>
      <c r="CU231" s="38" t="n">
        <f aca="false">3.29*CT231</f>
        <v>1.974</v>
      </c>
    </row>
    <row r="232" customFormat="false" ht="15" hidden="false" customHeight="false" outlineLevel="0" collapsed="false">
      <c r="A232" s="9" t="str">
        <f aca="false">B232&amp;"|"&amp;E232&amp;"|"&amp;F232</f>
        <v>D4V1|03/03/2026|Very low</v>
      </c>
      <c r="B232" s="7" t="s">
        <v>352</v>
      </c>
      <c r="C232" s="9" t="s">
        <v>133</v>
      </c>
      <c r="D232" s="9" t="s">
        <v>142</v>
      </c>
      <c r="E232" s="9" t="s">
        <v>162</v>
      </c>
      <c r="F232" s="7" t="s">
        <v>277</v>
      </c>
      <c r="G232" s="9" t="s">
        <v>278</v>
      </c>
      <c r="H232" s="41" t="n">
        <f aca="false">INDEX(Severity_Classes!$C$4:$C$9,MATCH(F232,Severity_Classes!$A$4:$A$9,0))</f>
        <v>0.01</v>
      </c>
      <c r="I232" s="41" t="n">
        <f aca="false">INDEX(Severity_Classes!$D$4:$D$9,MATCH(F232,Severity_Classes!$A$4:$A$9,0))</f>
        <v>0.03</v>
      </c>
      <c r="J232" s="41" t="n">
        <f aca="false">INDEX(Severity_Classes!$E$4:$E$9,MATCH(F232,Severity_Classes!$A$4:$A$9,0))</f>
        <v>0.05</v>
      </c>
      <c r="K232" s="42" t="n">
        <f aca="false">MATCH(B232&amp;"|"&amp;E232,Context!$A$4:$A$51,0)</f>
        <v>39</v>
      </c>
      <c r="L232" s="42" t="n">
        <f aca="false">INDEX(Context!$H$4:$H$51,K232)</f>
        <v>53</v>
      </c>
      <c r="M232" s="42" t="n">
        <f aca="false">INDEX(Context!$I$4:$I$51,K232)</f>
        <v>26</v>
      </c>
      <c r="N232" s="9" t="str">
        <f aca="false">INDEX(Context!$L$4:$L$51,K232)</f>
        <v>F</v>
      </c>
      <c r="O232" s="9" t="str">
        <f aca="false">INDEX(Context!$M$4:$M$51,K232)</f>
        <v>5th fully expanded leaf from top</v>
      </c>
      <c r="P232" s="43" t="n">
        <f aca="false">INDEX(Context!$R$4:$R$51,K232)</f>
        <v>0.433928571428571</v>
      </c>
      <c r="Q232" s="43" t="n">
        <f aca="false">INDEX(Context!$U$4:$U$51,K232)</f>
        <v>1.73951545534029</v>
      </c>
      <c r="R232" s="43" t="n">
        <f aca="false">INDEX(Context!$AD$4:$AD$51,K232)</f>
        <v>1</v>
      </c>
      <c r="S232" s="9" t="str">
        <f aca="false">INDEX(Context!$AI$4:$AN$51,K232,MATCH(F232,Severity_Classes!$A$4:$A$9,0))</f>
        <v>Possible</v>
      </c>
      <c r="T232" s="44" t="n">
        <f aca="false">Parameters!$E$4*IF($N232="V",Parameters!$I$4,IF($N232="F",Parameters!$J$4,Parameters!$K$4))*(1-Parameters!$L$4*$P232)*IF($D232="V1",Parameters!$M$4,IF($D232="V2",Parameters!$N$4,Parameters!$O$4))</f>
        <v>83.2927660714286</v>
      </c>
      <c r="U232" s="44" t="n">
        <f aca="false">MIN(100,T232*(1+INDEX(Response_Table!$E$4:$E$21,MATCH($F232&amp;"|mid",Response_Table!$A$4:$A$21,0))*$R232*INDEX(Parameters!$X$4:$AA$4,1,MATCH($E232,Parameters!$X$3:$AA$3,0))))</f>
        <v>82.9336627372448</v>
      </c>
      <c r="V232" s="44" t="n">
        <f aca="false">MAX(0,MIN(T232*(1+INDEX(Response_Table!$E$4:$E$21,MATCH($F232&amp;"|low",Response_Table!$A$4:$A$21,0))*$R232*INDEX(Parameters!$X$4:$AA$4,1,MATCH($E232,Parameters!$X$3:$AA$3,0))),T232*(1+INDEX(Response_Table!$E$4:$E$21,MATCH($F232&amp;"|high",Response_Table!$A$4:$A$21,0))*$R232*INDEX(Parameters!$X$4:$AA$4,1,MATCH($E232,Parameters!$X$3:$AA$3,0))))*(1-Inputs_General!$C$22*Parameters!$F$4))</f>
        <v>77.2086835543251</v>
      </c>
      <c r="W232" s="44" t="n">
        <f aca="false">MIN(100,MAX(T232*(1+INDEX(Response_Table!$E$4:$E$21,MATCH($F232&amp;"|low",Response_Table!$A$4:$A$21,0))*$R232*INDEX(Parameters!$X$4:$AA$4,1,MATCH($E232,Parameters!$X$3:$AA$3,0))),T232*(1+INDEX(Response_Table!$E$4:$E$21,MATCH($F232&amp;"|high",Response_Table!$A$4:$A$21,0))*$R232*INDEX(Parameters!$X$4:$AA$4,1,MATCH($E232,Parameters!$X$3:$AA$3,0))))*(1+Inputs_General!$C$22*Parameters!$F$4))</f>
        <v>88.6551446247643</v>
      </c>
      <c r="X232" s="45" t="n">
        <f aca="false">IF(T232=0,0,U232/T232-1)</f>
        <v>-0.00431133880072854</v>
      </c>
      <c r="Y232" s="44" t="n">
        <f aca="false">Parameters!$E$5*IF($N232="V",Parameters!$I$5,IF($N232="F",Parameters!$J$5,Parameters!$K$5))*(1-Parameters!$L$5*$P232)*IF($D232="V1",Parameters!$M$5,IF($D232="V2",Parameters!$N$5,Parameters!$O$5))</f>
        <v>66.88584</v>
      </c>
      <c r="Z232" s="44" t="n">
        <f aca="false">MIN(100,Y232*(1+INDEX(Response_Table!$F$4:$F$21,MATCH($F232&amp;"|mid",Response_Table!$A$4:$A$21,0))*$R232*INDEX(Parameters!$X$5:$AA$5,1,MATCH($E232,Parameters!$X$3:$AA$3,0))))</f>
        <v>65.9653075308138</v>
      </c>
      <c r="AA232" s="44" t="n">
        <f aca="false">MAX(0,MIN(Y232*(1+INDEX(Response_Table!$F$4:$F$21,MATCH($F232&amp;"|low",Response_Table!$A$4:$A$21,0))*$R232*INDEX(Parameters!$X$5:$AA$5,1,MATCH($E232,Parameters!$X$3:$AA$3,0))),Y232*(1+INDEX(Response_Table!$F$4:$F$21,MATCH($F232&amp;"|high",Response_Table!$A$4:$A$21,0))*$R232*INDEX(Parameters!$X$5:$AA$5,1,MATCH($E232,Parameters!$X$3:$AA$3,0))))*(1-Inputs_General!$C$22*Parameters!$F$5))</f>
        <v>57.6985451622592</v>
      </c>
      <c r="AB232" s="44" t="n">
        <f aca="false">MIN(100,MAX(Y232*(1+INDEX(Response_Table!$F$4:$F$21,MATCH($F232&amp;"|low",Response_Table!$A$4:$A$21,0))*$R232*INDEX(Parameters!$X$5:$AA$5,1,MATCH($E232,Parameters!$X$3:$AA$3,0))),Y232*(1+INDEX(Response_Table!$F$4:$F$21,MATCH($F232&amp;"|high",Response_Table!$A$4:$A$21,0))*$R232*INDEX(Parameters!$X$5:$AA$5,1,MATCH($E232,Parameters!$X$3:$AA$3,0))))*(1+Inputs_General!$C$22*Parameters!$F$5))</f>
        <v>74.274856718881</v>
      </c>
      <c r="AC232" s="45" t="n">
        <f aca="false">IF(Y232=0,0,Z232/Y232-1)</f>
        <v>-0.0137627406516267</v>
      </c>
      <c r="AD232" s="44" t="n">
        <f aca="false">Parameters!$E$6*IF($N232="V",Parameters!$I$6,IF($N232="F",Parameters!$J$6,Parameters!$K$6))*(1-Parameters!$L$6*$P232)*IF($D232="V1",Parameters!$M$6,IF($D232="V2",Parameters!$N$6,Parameters!$O$6))</f>
        <v>18.0106428571429</v>
      </c>
      <c r="AE232" s="44" t="n">
        <f aca="false">AD232*(1+INDEX(Response_Table!$G$4:$G$21,MATCH($F232&amp;"|mid",Response_Table!$A$4:$A$21,0))*$R232*INDEX(Parameters!$X$6:$AA$6,1,MATCH($E232,Parameters!$X$3:$AA$3,0)))</f>
        <v>16.3402592268716</v>
      </c>
      <c r="AF232" s="44" t="n">
        <f aca="false">MAX(0,MIN(AD232*(1+INDEX(Response_Table!$G$4:$G$21,MATCH($F232&amp;"|low",Response_Table!$A$4:$A$21,0))*$R232*INDEX(Parameters!$X$6:$AA$6,1,MATCH($E232,Parameters!$X$3:$AA$3,0))),AD232*(1+INDEX(Response_Table!$G$4:$G$21,MATCH($F232&amp;"|high",Response_Table!$A$4:$A$21,0))*$R232*INDEX(Parameters!$X$6:$AA$6,1,MATCH($E232,Parameters!$X$3:$AA$3,0))))*(1-Inputs_General!$C$22*Parameters!$F$6))</f>
        <v>12.3143482279729</v>
      </c>
      <c r="AG232" s="44" t="n">
        <f aca="false">MAX(AD232*(1+INDEX(Response_Table!$G$4:$G$21,MATCH($F232&amp;"|low",Response_Table!$A$4:$A$21,0))*$R232*INDEX(Parameters!$X$6:$AA$6,1,MATCH($E232,Parameters!$X$3:$AA$3,0))),AD232*(1+INDEX(Response_Table!$G$4:$G$21,MATCH($F232&amp;"|high",Response_Table!$A$4:$A$21,0))*$R232*INDEX(Parameters!$X$6:$AA$6,1,MATCH($E232,Parameters!$X$3:$AA$3,0))))*(1+Inputs_General!$C$22*Parameters!$F$6)</f>
        <v>20.869697358065</v>
      </c>
      <c r="AH232" s="45" t="n">
        <f aca="false">IF(AD232=0,0,AE232/AD232-1)</f>
        <v>-0.0927442536904701</v>
      </c>
      <c r="AI232" s="46" t="n">
        <f aca="false">Parameters!$E$7*IF($N232="V",Parameters!$I$7,IF($N232="F",Parameters!$J$7,Parameters!$K$7))*(1-Parameters!$L$7*$P232)*IF($D232="V1",Parameters!$M$7,IF($D232="V2",Parameters!$N$7,Parameters!$O$7))*POWER($Q232/Inputs_General!$C$26,-Inputs_General!$C$25)</f>
        <v>0.341191629407368</v>
      </c>
      <c r="AJ232" s="46" t="n">
        <f aca="false">AI232*(1+INDEX(Response_Table!$H$4:$H$21,MATCH($F232&amp;"|mid",Response_Table!$A$4:$A$21,0))*$R232*INDEX(Parameters!$X$7:$AA$7,1,MATCH($E232,Parameters!$X$3:$AA$3,0)))</f>
        <v>0.322103755967362</v>
      </c>
      <c r="AK232" s="46" t="n">
        <f aca="false">MAX(0,MIN(AI232*(1+INDEX(Response_Table!$H$4:$H$21,MATCH($F232&amp;"|low",Response_Table!$A$4:$A$21,0))*$R232*INDEX(Parameters!$X$7:$AA$7,1,MATCH($E232,Parameters!$X$3:$AA$3,0))),AI232*(1+INDEX(Response_Table!$H$4:$H$21,MATCH($F232&amp;"|high",Response_Table!$A$4:$A$21,0))*$R232*INDEX(Parameters!$X$7:$AA$7,1,MATCH($E232,Parameters!$X$3:$AA$3,0))))*(1-Inputs_General!$C$22*Parameters!$F$7))</f>
        <v>0.218420312392514</v>
      </c>
      <c r="AL232" s="46" t="n">
        <f aca="false">MAX(AI232*(1+INDEX(Response_Table!$H$4:$H$21,MATCH($F232&amp;"|low",Response_Table!$A$4:$A$21,0))*$R232*INDEX(Parameters!$X$7:$AA$7,1,MATCH($E232,Parameters!$X$3:$AA$3,0))),AI232*(1+INDEX(Response_Table!$H$4:$H$21,MATCH($F232&amp;"|high",Response_Table!$A$4:$A$21,0))*$R232*INDEX(Parameters!$X$7:$AA$7,1,MATCH($E232,Parameters!$X$3:$AA$3,0))))*(1+Inputs_General!$C$22*Parameters!$F$7)</f>
        <v>0.433723275749783</v>
      </c>
      <c r="AM232" s="45" t="n">
        <f aca="false">IF(AI232=0,0,AJ232/AI232-1)</f>
        <v>-0.0559447295737017</v>
      </c>
      <c r="AN232" s="43" t="n">
        <f aca="false">AI232*$Q232/Inputs_General!$C$13*1000</f>
        <v>5.97691956280819</v>
      </c>
      <c r="AO232" s="43" t="n">
        <f aca="false">AJ232*$Q232/Inputs_General!$C$13*1000*(1+Inputs_General!$C$21*$I232)</f>
        <v>5.68486148228949</v>
      </c>
      <c r="AP232" s="43" t="n">
        <f aca="false">AK232*$Q232/Inputs_General!$C$13*1000*(1+Inputs_General!$C$21*$H232)</f>
        <v>3.83580435991893</v>
      </c>
      <c r="AQ232" s="43" t="n">
        <f aca="false">AL232*$Q232/Inputs_General!$C$13*1000*(1+Inputs_General!$C$21*$J232)</f>
        <v>7.69284185071915</v>
      </c>
      <c r="AR232" s="45" t="n">
        <f aca="false">IF(AN232=0,0,AO232/AN232-1)</f>
        <v>-0.0488643150455044</v>
      </c>
      <c r="AS232" s="42" t="n">
        <f aca="false">Parameters!$E$9*IF($N232="V",Parameters!$I$9,IF($N232="F",Parameters!$J$9,Parameters!$K$9))*(1-Parameters!$L$9*$P232)*IF($D232="V1",Parameters!$M$9,IF($D232="V2",Parameters!$N$9,Parameters!$O$9))</f>
        <v>285</v>
      </c>
      <c r="AT232" s="42" t="n">
        <f aca="false">AS232*(1+INDEX(Response_Table!$I$4:$I$21,MATCH($F232&amp;"|mid",Response_Table!$A$4:$A$21,0))*$R232*INDEX(Parameters!$X$9:$AA$9,1,MATCH($E232,Parameters!$X$3:$AA$3,0)))</f>
        <v>294.668302660683</v>
      </c>
      <c r="AU232" s="42" t="n">
        <f aca="false">MAX(0,MIN(AS232*(1+INDEX(Response_Table!$I$4:$I$21,MATCH($F232&amp;"|low",Response_Table!$A$4:$A$21,0))*$R232*INDEX(Parameters!$X$9:$AA$9,1,MATCH($E232,Parameters!$X$3:$AA$3,0))),AS232*(1+INDEX(Response_Table!$I$4:$I$21,MATCH($F232&amp;"|high",Response_Table!$A$4:$A$21,0))*$R232*INDEX(Parameters!$X$9:$AA$9,1,MATCH($E232,Parameters!$X$3:$AA$3,0))))*(1-Inputs_General!$C$22*Parameters!$F$9))</f>
        <v>259.892110911067</v>
      </c>
      <c r="AV232" s="42" t="n">
        <f aca="false">MAX(AS232*(1+INDEX(Response_Table!$I$4:$I$21,MATCH($F232&amp;"|low",Response_Table!$A$4:$A$21,0))*$R232*INDEX(Parameters!$X$9:$AA$9,1,MATCH($E232,Parameters!$X$3:$AA$3,0))),AS232*(1+INDEX(Response_Table!$I$4:$I$21,MATCH($F232&amp;"|high",Response_Table!$A$4:$A$21,0))*$R232*INDEX(Parameters!$X$9:$AA$9,1,MATCH($E232,Parameters!$X$3:$AA$3,0))))*(1+Inputs_General!$C$22*Parameters!$F$9)</f>
        <v>330.15772459622</v>
      </c>
      <c r="AW232" s="45" t="n">
        <f aca="false">IF(AS232=0,0,AT232/AS232-1)</f>
        <v>0.0339238689848527</v>
      </c>
      <c r="AX232" s="43" t="n">
        <f aca="false">INDEX(Context!$AB$4:$AB$51,$K232)</f>
        <v>1.90140657748441</v>
      </c>
      <c r="AY232" s="43" t="n">
        <f aca="false">AX232*(1+INDEX(Response_Table!$J$4:$J$21,MATCH($F232&amp;"|mid",Response_Table!$A$4:$A$21,0))*$R232*INDEX(Parameters!$X$10:$AA$10,1,MATCH($E232,Parameters!$X$3:$AA$3,0)))</f>
        <v>1.83958152282197</v>
      </c>
      <c r="AZ232" s="43" t="n">
        <f aca="false">MAX(0,MIN(AX232*(1+INDEX(Response_Table!$J$4:$J$21,MATCH($F232&amp;"|low",Response_Table!$A$4:$A$21,0))*$R232*INDEX(Parameters!$X$10:$AA$10,1,MATCH($E232,Parameters!$X$3:$AA$3,0))),AX232*(1+INDEX(Response_Table!$J$4:$J$21,MATCH($F232&amp;"|high",Response_Table!$A$4:$A$21,0))*$R232*INDEX(Parameters!$X$10:$AA$10,1,MATCH($E232,Parameters!$X$3:$AA$3,0))))*(1-Inputs_General!$C$22*Parameters!$F$10))</f>
        <v>1.44537589790094</v>
      </c>
      <c r="BA232" s="43" t="n">
        <f aca="false">MAX(AX232*(1+INDEX(Response_Table!$J$4:$J$21,MATCH($F232&amp;"|low",Response_Table!$A$4:$A$21,0))*$R232*INDEX(Parameters!$X$10:$AA$10,1,MATCH($E232,Parameters!$X$3:$AA$3,0))),AX232*(1+INDEX(Response_Table!$J$4:$J$21,MATCH($F232&amp;"|high",Response_Table!$A$4:$A$21,0))*$R232*INDEX(Parameters!$X$10:$AA$10,1,MATCH($E232,Parameters!$X$3:$AA$3,0))))*(1+Inputs_General!$C$22*Parameters!$F$10)</f>
        <v>2.25144837891705</v>
      </c>
      <c r="BB232" s="45" t="n">
        <f aca="false">IF(AX232=0,0,AY232/AX232-1)</f>
        <v>-0.0325154311521512</v>
      </c>
      <c r="BC232" s="46" t="n">
        <f aca="false">Parameters!$E$11*IF($N232="V",Parameters!$I$11,IF($N232="F",Parameters!$J$11,Parameters!$K$11))*(1-Parameters!$L$11*$P232)*IF($D232="V1",Parameters!$M$11,IF($D232="V2",Parameters!$N$11,Parameters!$O$11))</f>
        <v>1.21745535714286</v>
      </c>
      <c r="BD232" s="46" t="n">
        <f aca="false">BC232*(1+INDEX(Response_Table!$K$4:$K$21,MATCH($F232&amp;"|mid",Response_Table!$A$4:$A$21,0))*$R232*INDEX(Parameters!$X$11:$AA$11,1,MATCH($E232,Parameters!$X$3:$AA$3,0)))</f>
        <v>1.14501872403733</v>
      </c>
      <c r="BE232" s="46" t="n">
        <f aca="false">MAX(0,MIN(BC232*(1+INDEX(Response_Table!$K$4:$K$21,MATCH($F232&amp;"|low",Response_Table!$A$4:$A$21,0))*$R232*INDEX(Parameters!$X$11:$AA$11,1,MATCH($E232,Parameters!$X$3:$AA$3,0))),BC232*(1+INDEX(Response_Table!$K$4:$K$21,MATCH($F232&amp;"|high",Response_Table!$A$4:$A$21,0))*$R232*INDEX(Parameters!$X$11:$AA$11,1,MATCH($E232,Parameters!$X$3:$AA$3,0))))*(1-Inputs_General!$C$22*Parameters!$F$11))</f>
        <v>0.919425923705649</v>
      </c>
      <c r="BF232" s="46" t="n">
        <f aca="false">MAX(BC232*(1+INDEX(Response_Table!$K$4:$K$21,MATCH($F232&amp;"|low",Response_Table!$A$4:$A$21,0))*$R232*INDEX(Parameters!$X$11:$AA$11,1,MATCH($E232,Parameters!$X$3:$AA$3,0))),BC232*(1+INDEX(Response_Table!$K$4:$K$21,MATCH($F232&amp;"|high",Response_Table!$A$4:$A$21,0))*$R232*INDEX(Parameters!$X$11:$AA$11,1,MATCH($E232,Parameters!$X$3:$AA$3,0))))*(1+Inputs_General!$C$22*Parameters!$F$11)</f>
        <v>1.38870487344578</v>
      </c>
      <c r="BG232" s="45" t="n">
        <f aca="false">IF(BC232=0,0,BD232/BC232-1)</f>
        <v>-0.0594983895553409</v>
      </c>
      <c r="BH232" s="46" t="n">
        <f aca="false">Parameters!$E$12*IF($N232="V",Parameters!$I$12,IF($N232="F",Parameters!$J$12,Parameters!$K$12))*(1-Parameters!$L$12*$P232)*IF($D232="V1",Parameters!$M$12,IF($D232="V2",Parameters!$N$12,Parameters!$O$12))</f>
        <v>0.438283928571429</v>
      </c>
      <c r="BI232" s="46" t="n">
        <f aca="false">BH232*(1+INDEX(Response_Table!$L$4:$L$21,MATCH($F232&amp;"|mid",Response_Table!$A$4:$A$21,0))*$R232*INDEX(Parameters!$X$12:$AA$12,1,MATCH($E232,Parameters!$X$3:$AA$3,0)))</f>
        <v>0.417536510535682</v>
      </c>
      <c r="BJ232" s="46" t="n">
        <f aca="false">MAX(0,MIN(BH232*(1+INDEX(Response_Table!$L$4:$L$21,MATCH($F232&amp;"|low",Response_Table!$A$4:$A$21,0))*$R232*INDEX(Parameters!$X$12:$AA$12,1,MATCH($E232,Parameters!$X$3:$AA$3,0))),BH232*(1+INDEX(Response_Table!$L$4:$L$21,MATCH($F232&amp;"|high",Response_Table!$A$4:$A$21,0))*$R232*INDEX(Parameters!$X$12:$AA$12,1,MATCH($E232,Parameters!$X$3:$AA$3,0))))*(1-Inputs_General!$C$22*Parameters!$F$12))</f>
        <v>0.324817620013454</v>
      </c>
      <c r="BK232" s="46" t="n">
        <f aca="false">MAX(BH232*(1+INDEX(Response_Table!$L$4:$L$21,MATCH($F232&amp;"|low",Response_Table!$A$4:$A$21,0))*$R232*INDEX(Parameters!$X$12:$AA$12,1,MATCH($E232,Parameters!$X$3:$AA$3,0))),BH232*(1+INDEX(Response_Table!$L$4:$L$21,MATCH($F232&amp;"|high",Response_Table!$A$4:$A$21,0))*$R232*INDEX(Parameters!$X$12:$AA$12,1,MATCH($E232,Parameters!$X$3:$AA$3,0))))*(1+Inputs_General!$C$22*Parameters!$F$12)</f>
        <v>0.51627055575788</v>
      </c>
      <c r="BL232" s="45" t="n">
        <f aca="false">IF(BH232=0,0,BI232/BH232-1)</f>
        <v>-0.0473378481008245</v>
      </c>
      <c r="BM232" s="46" t="n">
        <f aca="false">Parameters!$E$13*IF($N232="V",Parameters!$I$13,IF($N232="F",Parameters!$J$13,Parameters!$K$13))*(1-Parameters!$L$13*$P232)*IF($D232="V1",Parameters!$M$13,IF($D232="V2",Parameters!$N$13,Parameters!$O$13))</f>
        <v>0.296094642857143</v>
      </c>
      <c r="BN232" s="46" t="n">
        <f aca="false">BM232*(1+INDEX(Response_Table!$M$4:$M$21,MATCH($F232&amp;"|mid",Response_Table!$A$4:$A$21,0))*$R232*INDEX(Parameters!$X$13:$AA$13,1,MATCH($E232,Parameters!$X$3:$AA$3,0)))</f>
        <v>0.303788678535474</v>
      </c>
      <c r="BO232" s="46" t="n">
        <f aca="false">MAX(0,MIN(BM232*(1+INDEX(Response_Table!$M$4:$M$21,MATCH($F232&amp;"|low",Response_Table!$A$4:$A$21,0))*$R232*INDEX(Parameters!$X$13:$AA$13,1,MATCH($E232,Parameters!$X$3:$AA$3,0))),BM232*(1+INDEX(Response_Table!$M$4:$M$21,MATCH($F232&amp;"|high",Response_Table!$A$4:$A$21,0))*$R232*INDEX(Parameters!$X$13:$AA$13,1,MATCH($E232,Parameters!$X$3:$AA$3,0))))*(1-Inputs_General!$C$22*Parameters!$F$13))</f>
        <v>0.240681302856845</v>
      </c>
      <c r="BP232" s="46" t="n">
        <f aca="false">MAX(BM232*(1+INDEX(Response_Table!$M$4:$M$21,MATCH($F232&amp;"|low",Response_Table!$A$4:$A$21,0))*$R232*INDEX(Parameters!$X$13:$AA$13,1,MATCH($E232,Parameters!$X$3:$AA$3,0))),BM232*(1+INDEX(Response_Table!$M$4:$M$21,MATCH($F232&amp;"|high",Response_Table!$A$4:$A$21,0))*$R232*INDEX(Parameters!$X$13:$AA$13,1,MATCH($E232,Parameters!$X$3:$AA$3,0))))*(1+Inputs_General!$C$22*Parameters!$F$13)</f>
        <v>0.364016869246304</v>
      </c>
      <c r="BQ232" s="45" t="n">
        <f aca="false">IF(BM232=0,0,BN232/BM232-1)</f>
        <v>0.0259850553326055</v>
      </c>
      <c r="BR232" s="44" t="n">
        <f aca="false">Parameters!$E$14*IF($N232="V",Parameters!$I$14,IF($N232="F",Parameters!$J$14,Parameters!$K$14))*(1-Parameters!$L$14*$P232)*IF($D232="V1",Parameters!$M$14,IF($D232="V2",Parameters!$N$14,Parameters!$O$14))*INDEX(Context!$AC$4:$AC$51,$K232)</f>
        <v>15</v>
      </c>
      <c r="BS232" s="44" t="n">
        <f aca="false">BR232*(1+INDEX(Response_Table!$N$4:$N$21,MATCH($F232&amp;"|mid",Response_Table!$A$4:$A$21,0))*$R232*INDEX(Parameters!$X$14:$AA$14,1,MATCH($E232,Parameters!$X$3:$AA$3,0)))</f>
        <v>15.7746193325589</v>
      </c>
      <c r="BT232" s="44" t="n">
        <f aca="false">MAX(0,MIN(BR232*(1+INDEX(Response_Table!$N$4:$N$21,MATCH($F232&amp;"|low",Response_Table!$A$4:$A$21,0))*$R232*INDEX(Parameters!$X$14:$AA$14,1,MATCH($E232,Parameters!$X$3:$AA$3,0))),BR232*(1+INDEX(Response_Table!$N$4:$N$21,MATCH($F232&amp;"|high",Response_Table!$A$4:$A$21,0))*$R232*INDEX(Parameters!$X$14:$AA$14,1,MATCH($E232,Parameters!$X$3:$AA$3,0))))*(1-Inputs_General!$C$22*Parameters!$F$14))</f>
        <v>7.73222403531913</v>
      </c>
      <c r="BU232" s="44" t="n">
        <f aca="false">MAX(BR232*(1+INDEX(Response_Table!$N$4:$N$21,MATCH($F232&amp;"|low",Response_Table!$A$4:$A$21,0))*$R232*INDEX(Parameters!$X$14:$AA$14,1,MATCH($E232,Parameters!$X$3:$AA$3,0))),BR232*(1+INDEX(Response_Table!$N$4:$N$21,MATCH($F232&amp;"|high",Response_Table!$A$4:$A$21,0))*$R232*INDEX(Parameters!$X$14:$AA$14,1,MATCH($E232,Parameters!$X$3:$AA$3,0))))*(1+Inputs_General!$C$22*Parameters!$F$14)</f>
        <v>24.2747937348826</v>
      </c>
      <c r="BV232" s="45" t="n">
        <f aca="false">IF(BR232=0,0,BS232/BR232-1)</f>
        <v>0.051641288837263</v>
      </c>
      <c r="BW232" s="43" t="n">
        <f aca="false">Parameters!$E$15*IF($N232="V",Parameters!$I$15,IF($N232="F",Parameters!$J$15,Parameters!$K$15))*(1-Parameters!$L$15*$P232)*IF($D232="V1",Parameters!$M$15,IF($D232="V2",Parameters!$N$15,Parameters!$O$15))</f>
        <v>10.1292285714286</v>
      </c>
      <c r="BX232" s="43" t="n">
        <f aca="false">BW232*(1+INDEX(Response_Table!$O$4:$O$21,MATCH($F232&amp;"|mid",Response_Table!$A$4:$A$21,0))*$R232*INDEX(Parameters!$X$15:$AA$15,1,MATCH($E232,Parameters!$X$3:$AA$3,0)))</f>
        <v>9.99845696683962</v>
      </c>
      <c r="BY232" s="43" t="n">
        <f aca="false">MAX(0,MIN(BW232*(1+INDEX(Response_Table!$O$4:$O$21,MATCH($F232&amp;"|low",Response_Table!$A$4:$A$21,0))*$R232*INDEX(Parameters!$X$15:$AA$15,1,MATCH($E232,Parameters!$X$3:$AA$3,0))),BW232*(1+INDEX(Response_Table!$O$4:$O$21,MATCH($F232&amp;"|high",Response_Table!$A$4:$A$21,0))*$R232*INDEX(Parameters!$X$15:$AA$15,1,MATCH($E232,Parameters!$X$3:$AA$3,0))))*(1-Inputs_General!$C$22*Parameters!$F$15))</f>
        <v>7.95985810294195</v>
      </c>
      <c r="BZ232" s="43" t="n">
        <f aca="false">MAX(BW232*(1+INDEX(Response_Table!$O$4:$O$21,MATCH($F232&amp;"|low",Response_Table!$A$4:$A$21,0))*$R232*INDEX(Parameters!$X$15:$AA$15,1,MATCH($E232,Parameters!$X$3:$AA$3,0))),BW232*(1+INDEX(Response_Table!$O$4:$O$21,MATCH($F232&amp;"|high",Response_Table!$A$4:$A$21,0))*$R232*INDEX(Parameters!$X$15:$AA$15,1,MATCH($E232,Parameters!$X$3:$AA$3,0))))*(1+Inputs_General!$C$22*Parameters!$F$15)</f>
        <v>12.0749695330886</v>
      </c>
      <c r="CA232" s="45" t="n">
        <f aca="false">IF(BW232=0,0,BX232/BW232-1)</f>
        <v>-0.0129103222093159</v>
      </c>
      <c r="CB232" s="46" t="n">
        <f aca="false">BD232+BI232</f>
        <v>1.56255523457302</v>
      </c>
      <c r="CC232" s="43" t="n">
        <f aca="false">BD232/BI232</f>
        <v>2.74232000111397</v>
      </c>
      <c r="CD232" s="46" t="n">
        <f aca="false">BN232/CB232</f>
        <v>0.194417881565951</v>
      </c>
      <c r="CE232" s="43" t="n">
        <f aca="false">AE232/AO232</f>
        <v>2.87434606415261</v>
      </c>
      <c r="CF232" s="44" t="n">
        <f aca="false">AE232/AJ232</f>
        <v>50.7298003334282</v>
      </c>
      <c r="CG232" s="44" t="n">
        <f aca="false">INDEX(Context!$V$4:$V$51,$K232)</f>
        <v>28.62</v>
      </c>
      <c r="CH232" s="44" t="n">
        <f aca="false">INDEX(Context!$Y$4:$Y$51,$K232)</f>
        <v>25.3060134606718</v>
      </c>
      <c r="CI232" s="44" t="n">
        <f aca="false">INDEX(Context!$Z$4:$Z$51,$K232)</f>
        <v>32.62</v>
      </c>
      <c r="CJ232" s="43" t="n">
        <f aca="false">INDEX(Context!$AA$4:$AA$51,$K232)</f>
        <v>0.221696428571429</v>
      </c>
      <c r="CK232" s="43" t="n">
        <f aca="false">MAX(0,MIN(1,1-(1-CJ232)*AO232/AN232))</f>
        <v>0.259727699486756</v>
      </c>
      <c r="CL232" s="44" t="n">
        <f aca="false">CH232+CK232*(CI232-CH232)</f>
        <v>27.2056583586086</v>
      </c>
      <c r="CM232" s="44" t="n">
        <f aca="false">CH232+MAX(0,MIN(1,1-(1-CJ232)*AQ232/AN232))*(CI232-CH232)</f>
        <v>25.3060134606718</v>
      </c>
      <c r="CN232" s="44" t="n">
        <f aca="false">CH232+MAX(0,MIN(1,1-(1-CJ232)*AP232/AN232))*(CI232-CH232)</f>
        <v>28.9667262414676</v>
      </c>
      <c r="CO232" s="44" t="n">
        <f aca="false">CL232-CG232</f>
        <v>-1.41434164139141</v>
      </c>
      <c r="CP232" s="44" t="n">
        <f aca="false">CL232-(CH232+CJ232*(CI232-CH232))</f>
        <v>0.27816020354825</v>
      </c>
      <c r="CQ232" s="46" t="n">
        <f aca="false">CL232/CG232</f>
        <v>0.950582053061097</v>
      </c>
      <c r="CR232" s="43" t="n">
        <f aca="false">IF(CL232-CH232&lt;=0,"n/a",(CI232-CL232)/(CL232-CH232))</f>
        <v>2.85018618336083</v>
      </c>
      <c r="CS232" s="43" t="n">
        <f aca="false">IF(CI232-CL232&lt;=0,"n/a",(CL232-CH232)/(CI232-CL232))</f>
        <v>0.350854272551711</v>
      </c>
      <c r="CT232" s="43" t="n">
        <f aca="false">Inputs_General!$C$23+Inputs_General!$C$24*$I232</f>
        <v>0.66</v>
      </c>
      <c r="CU232" s="44" t="n">
        <f aca="false">3.29*CT232</f>
        <v>2.1714</v>
      </c>
    </row>
    <row r="233" customFormat="false" ht="15" hidden="false" customHeight="false" outlineLevel="0" collapsed="false">
      <c r="A233" s="9" t="str">
        <f aca="false">B233&amp;"|"&amp;E233&amp;"|"&amp;F233</f>
        <v>D4V1|03/03/2026|Low</v>
      </c>
      <c r="B233" s="7" t="s">
        <v>352</v>
      </c>
      <c r="C233" s="9" t="s">
        <v>133</v>
      </c>
      <c r="D233" s="9" t="s">
        <v>142</v>
      </c>
      <c r="E233" s="9" t="s">
        <v>162</v>
      </c>
      <c r="F233" s="7" t="s">
        <v>279</v>
      </c>
      <c r="G233" s="9" t="s">
        <v>280</v>
      </c>
      <c r="H233" s="41" t="n">
        <f aca="false">INDEX(Severity_Classes!$C$4:$C$9,MATCH(F233,Severity_Classes!$A$4:$A$9,0))</f>
        <v>0.06</v>
      </c>
      <c r="I233" s="41" t="n">
        <f aca="false">INDEX(Severity_Classes!$D$4:$D$9,MATCH(F233,Severity_Classes!$A$4:$A$9,0))</f>
        <v>0.08</v>
      </c>
      <c r="J233" s="41" t="n">
        <f aca="false">INDEX(Severity_Classes!$E$4:$E$9,MATCH(F233,Severity_Classes!$A$4:$A$9,0))</f>
        <v>0.1</v>
      </c>
      <c r="K233" s="42" t="n">
        <f aca="false">MATCH(B233&amp;"|"&amp;E233,Context!$A$4:$A$51,0)</f>
        <v>39</v>
      </c>
      <c r="L233" s="42" t="n">
        <f aca="false">INDEX(Context!$H$4:$H$51,K233)</f>
        <v>53</v>
      </c>
      <c r="M233" s="42" t="n">
        <f aca="false">INDEX(Context!$I$4:$I$51,K233)</f>
        <v>26</v>
      </c>
      <c r="N233" s="9" t="str">
        <f aca="false">INDEX(Context!$L$4:$L$51,K233)</f>
        <v>F</v>
      </c>
      <c r="O233" s="9" t="str">
        <f aca="false">INDEX(Context!$M$4:$M$51,K233)</f>
        <v>5th fully expanded leaf from top</v>
      </c>
      <c r="P233" s="43" t="n">
        <f aca="false">INDEX(Context!$R$4:$R$51,K233)</f>
        <v>0.433928571428571</v>
      </c>
      <c r="Q233" s="43" t="n">
        <f aca="false">INDEX(Context!$U$4:$U$51,K233)</f>
        <v>1.73951545534029</v>
      </c>
      <c r="R233" s="43" t="n">
        <f aca="false">INDEX(Context!$AD$4:$AD$51,K233)</f>
        <v>1</v>
      </c>
      <c r="S233" s="9" t="str">
        <f aca="false">INDEX(Context!$AI$4:$AN$51,K233,MATCH(F233,Severity_Classes!$A$4:$A$9,0))</f>
        <v>Likely</v>
      </c>
      <c r="T233" s="44" t="n">
        <f aca="false">Parameters!$E$4*IF($N233="V",Parameters!$I$4,IF($N233="F",Parameters!$J$4,Parameters!$K$4))*(1-Parameters!$L$4*$P233)*IF($D233="V1",Parameters!$M$4,IF($D233="V2",Parameters!$N$4,Parameters!$O$4))</f>
        <v>83.2927660714286</v>
      </c>
      <c r="U233" s="44" t="n">
        <f aca="false">MIN(100,T233*(1+INDEX(Response_Table!$E$4:$E$21,MATCH($F233&amp;"|mid",Response_Table!$A$4:$A$21,0))*$R233*INDEX(Parameters!$X$4:$AA$4,1,MATCH($E233,Parameters!$X$3:$AA$3,0))))</f>
        <v>82.1334452787096</v>
      </c>
      <c r="V233" s="44" t="n">
        <f aca="false">MAX(0,MIN(T233*(1+INDEX(Response_Table!$E$4:$E$21,MATCH($F233&amp;"|low",Response_Table!$A$4:$A$21,0))*$R233*INDEX(Parameters!$X$4:$AA$4,1,MATCH($E233,Parameters!$X$3:$AA$3,0))),T233*(1+INDEX(Response_Table!$E$4:$E$21,MATCH($F233&amp;"|high",Response_Table!$A$4:$A$21,0))*$R233*INDEX(Parameters!$X$4:$AA$4,1,MATCH($E233,Parameters!$X$3:$AA$3,0))))*(1-Inputs_General!$C$22*Parameters!$F$4))</f>
        <v>76.3506641725111</v>
      </c>
      <c r="W233" s="44" t="n">
        <f aca="false">MIN(100,MAX(T233*(1+INDEX(Response_Table!$E$4:$E$21,MATCH($F233&amp;"|low",Response_Table!$A$4:$A$21,0))*$R233*INDEX(Parameters!$X$4:$AA$4,1,MATCH($E233,Parameters!$X$3:$AA$3,0))),T233*(1+INDEX(Response_Table!$E$4:$E$21,MATCH($F233&amp;"|high",Response_Table!$A$4:$A$21,0))*$R233*INDEX(Parameters!$X$4:$AA$4,1,MATCH($E233,Parameters!$X$3:$AA$3,0))))*(1+Inputs_General!$C$22*Parameters!$F$4))</f>
        <v>87.9150984057856</v>
      </c>
      <c r="X233" s="45" t="n">
        <f aca="false">IF(T233=0,0,U233/T233-1)</f>
        <v>-0.0139186251987928</v>
      </c>
      <c r="Y233" s="44" t="n">
        <f aca="false">Parameters!$E$5*IF($N233="V",Parameters!$I$5,IF($N233="F",Parameters!$J$5,Parameters!$K$5))*(1-Parameters!$L$5*$P233)*IF($D233="V1",Parameters!$M$5,IF($D233="V2",Parameters!$N$5,Parameters!$O$5))</f>
        <v>66.88584</v>
      </c>
      <c r="Z233" s="44" t="n">
        <f aca="false">MIN(100,Y233*(1+INDEX(Response_Table!$F$4:$F$21,MATCH($F233&amp;"|mid",Response_Table!$A$4:$A$21,0))*$R233*INDEX(Parameters!$X$5:$AA$5,1,MATCH($E233,Parameters!$X$3:$AA$3,0))))</f>
        <v>63.8124946730604</v>
      </c>
      <c r="AA233" s="44" t="n">
        <f aca="false">MAX(0,MIN(Y233*(1+INDEX(Response_Table!$F$4:$F$21,MATCH($F233&amp;"|low",Response_Table!$A$4:$A$21,0))*$R233*INDEX(Parameters!$X$5:$AA$5,1,MATCH($E233,Parameters!$X$3:$AA$3,0))),Y233*(1+INDEX(Response_Table!$F$4:$F$21,MATCH($F233&amp;"|high",Response_Table!$A$4:$A$21,0))*$R233*INDEX(Parameters!$X$5:$AA$5,1,MATCH($E233,Parameters!$X$3:$AA$3,0))))*(1-Inputs_General!$C$22*Parameters!$F$5))</f>
        <v>55.4691444213</v>
      </c>
      <c r="AB233" s="44" t="n">
        <f aca="false">MIN(100,MAX(Y233*(1+INDEX(Response_Table!$F$4:$F$21,MATCH($F233&amp;"|low",Response_Table!$A$4:$A$21,0))*$R233*INDEX(Parameters!$X$5:$AA$5,1,MATCH($E233,Parameters!$X$3:$AA$3,0))),Y233*(1+INDEX(Response_Table!$F$4:$F$21,MATCH($F233&amp;"|high",Response_Table!$A$4:$A$21,0))*$R233*INDEX(Parameters!$X$5:$AA$5,1,MATCH($E233,Parameters!$X$3:$AA$3,0))))*(1+Inputs_General!$C$22*Parameters!$F$5))</f>
        <v>72.2379036823069</v>
      </c>
      <c r="AC233" s="45" t="n">
        <f aca="false">IF(Y233=0,0,Z233/Y233-1)</f>
        <v>-0.0459491175851214</v>
      </c>
      <c r="AD233" s="44" t="n">
        <f aca="false">Parameters!$E$6*IF($N233="V",Parameters!$I$6,IF($N233="F",Parameters!$J$6,Parameters!$K$6))*(1-Parameters!$L$6*$P233)*IF($D233="V1",Parameters!$M$6,IF($D233="V2",Parameters!$N$6,Parameters!$O$6))</f>
        <v>18.0106428571429</v>
      </c>
      <c r="AE233" s="44" t="n">
        <f aca="false">AD233*(1+INDEX(Response_Table!$G$4:$G$21,MATCH($F233&amp;"|mid",Response_Table!$A$4:$A$21,0))*$R233*INDEX(Parameters!$X$6:$AA$6,1,MATCH($E233,Parameters!$X$3:$AA$3,0)))</f>
        <v>14.0025560433685</v>
      </c>
      <c r="AF233" s="44" t="n">
        <f aca="false">MAX(0,MIN(AD233*(1+INDEX(Response_Table!$G$4:$G$21,MATCH($F233&amp;"|low",Response_Table!$A$4:$A$21,0))*$R233*INDEX(Parameters!$X$6:$AA$6,1,MATCH($E233,Parameters!$X$3:$AA$3,0))),AD233*(1+INDEX(Response_Table!$G$4:$G$21,MATCH($F233&amp;"|high",Response_Table!$A$4:$A$21,0))*$R233*INDEX(Parameters!$X$6:$AA$6,1,MATCH($E233,Parameters!$X$3:$AA$3,0))))*(1-Inputs_General!$C$22*Parameters!$F$6))</f>
        <v>10.5961605139942</v>
      </c>
      <c r="AG233" s="44" t="n">
        <f aca="false">MAX(AD233*(1+INDEX(Response_Table!$G$4:$G$21,MATCH($F233&amp;"|low",Response_Table!$A$4:$A$21,0))*$R233*INDEX(Parameters!$X$6:$AA$6,1,MATCH($E233,Parameters!$X$3:$AA$3,0))),AD233*(1+INDEX(Response_Table!$G$4:$G$21,MATCH($F233&amp;"|high",Response_Table!$A$4:$A$21,0))*$R233*INDEX(Parameters!$X$6:$AA$6,1,MATCH($E233,Parameters!$X$3:$AA$3,0))))*(1+Inputs_General!$C$22*Parameters!$F$6)</f>
        <v>17.8130415616936</v>
      </c>
      <c r="AH233" s="45" t="n">
        <f aca="false">IF(AD233=0,0,AE233/AD233-1)</f>
        <v>-0.222539908517744</v>
      </c>
      <c r="AI233" s="46" t="n">
        <f aca="false">Parameters!$E$7*IF($N233="V",Parameters!$I$7,IF($N233="F",Parameters!$J$7,Parameters!$K$7))*(1-Parameters!$L$7*$P233)*IF($D233="V1",Parameters!$M$7,IF($D233="V2",Parameters!$N$7,Parameters!$O$7))*POWER($Q233/Inputs_General!$C$26,-Inputs_General!$C$25)</f>
        <v>0.341191629407368</v>
      </c>
      <c r="AJ233" s="46" t="n">
        <f aca="false">AI233*(1+INDEX(Response_Table!$H$4:$H$21,MATCH($F233&amp;"|mid",Response_Table!$A$4:$A$21,0))*$R233*INDEX(Parameters!$X$7:$AA$7,1,MATCH($E233,Parameters!$X$3:$AA$3,0)))</f>
        <v>0.293871117368023</v>
      </c>
      <c r="AK233" s="46" t="n">
        <f aca="false">MAX(0,MIN(AI233*(1+INDEX(Response_Table!$H$4:$H$21,MATCH($F233&amp;"|low",Response_Table!$A$4:$A$21,0))*$R233*INDEX(Parameters!$X$7:$AA$7,1,MATCH($E233,Parameters!$X$3:$AA$3,0))),AI233*(1+INDEX(Response_Table!$H$4:$H$21,MATCH($F233&amp;"|high",Response_Table!$A$4:$A$21,0))*$R233*INDEX(Parameters!$X$7:$AA$7,1,MATCH($E233,Parameters!$X$3:$AA$3,0))))*(1-Inputs_General!$C$22*Parameters!$F$7))</f>
        <v>0.199704668845746</v>
      </c>
      <c r="AL233" s="46" t="n">
        <f aca="false">MAX(AI233*(1+INDEX(Response_Table!$H$4:$H$21,MATCH($F233&amp;"|low",Response_Table!$A$4:$A$21,0))*$R233*INDEX(Parameters!$X$7:$AA$7,1,MATCH($E233,Parameters!$X$3:$AA$3,0))),AI233*(1+INDEX(Response_Table!$H$4:$H$21,MATCH($F233&amp;"|high",Response_Table!$A$4:$A$21,0))*$R233*INDEX(Parameters!$X$7:$AA$7,1,MATCH($E233,Parameters!$X$3:$AA$3,0))))*(1+Inputs_General!$C$22*Parameters!$F$7)</f>
        <v>0.394868209983676</v>
      </c>
      <c r="AM233" s="45" t="n">
        <f aca="false">IF(AI233=0,0,AJ233/AI233-1)</f>
        <v>-0.13869189030674</v>
      </c>
      <c r="AN233" s="43" t="n">
        <f aca="false">AI233*$Q233/Inputs_General!$C$13*1000</f>
        <v>5.97691956280819</v>
      </c>
      <c r="AO233" s="43" t="n">
        <f aca="false">AJ233*$Q233/Inputs_General!$C$13*1000*(1+Inputs_General!$C$21*$I233)</f>
        <v>5.25092867623961</v>
      </c>
      <c r="AP233" s="43" t="n">
        <f aca="false">AK233*$Q233/Inputs_General!$C$13*1000*(1+Inputs_General!$C$21*$H233)</f>
        <v>3.55085798922659</v>
      </c>
      <c r="AQ233" s="43" t="n">
        <f aca="false">AL233*$Q233/Inputs_General!$C$13*1000*(1+Inputs_General!$C$21*$J233)</f>
        <v>7.0901443901449</v>
      </c>
      <c r="AR233" s="45" t="n">
        <f aca="false">IF(AN233=0,0,AO233/AN233-1)</f>
        <v>-0.121465728112875</v>
      </c>
      <c r="AS233" s="42" t="n">
        <f aca="false">Parameters!$E$9*IF($N233="V",Parameters!$I$9,IF($N233="F",Parameters!$J$9,Parameters!$K$9))*(1-Parameters!$L$9*$P233)*IF($D233="V1",Parameters!$M$9,IF($D233="V2",Parameters!$N$9,Parameters!$O$9))</f>
        <v>285</v>
      </c>
      <c r="AT233" s="42" t="n">
        <f aca="false">AS233*(1+INDEX(Response_Table!$I$4:$I$21,MATCH($F233&amp;"|mid",Response_Table!$A$4:$A$21,0))*$R233*INDEX(Parameters!$X$9:$AA$9,1,MATCH($E233,Parameters!$X$3:$AA$3,0)))</f>
        <v>308.414257330199</v>
      </c>
      <c r="AU233" s="42" t="n">
        <f aca="false">MAX(0,MIN(AS233*(1+INDEX(Response_Table!$I$4:$I$21,MATCH($F233&amp;"|low",Response_Table!$A$4:$A$21,0))*$R233*INDEX(Parameters!$X$9:$AA$9,1,MATCH($E233,Parameters!$X$3:$AA$3,0))),AS233*(1+INDEX(Response_Table!$I$4:$I$21,MATCH($F233&amp;"|high",Response_Table!$A$4:$A$21,0))*$R233*INDEX(Parameters!$X$9:$AA$9,1,MATCH($E233,Parameters!$X$3:$AA$3,0))))*(1-Inputs_General!$C$22*Parameters!$F$9))</f>
        <v>273.313202404171</v>
      </c>
      <c r="AV233" s="42" t="n">
        <f aca="false">MAX(AS233*(1+INDEX(Response_Table!$I$4:$I$21,MATCH($F233&amp;"|low",Response_Table!$A$4:$A$21,0))*$R233*INDEX(Parameters!$X$9:$AA$9,1,MATCH($E233,Parameters!$X$3:$AA$3,0))),AS233*(1+INDEX(Response_Table!$I$4:$I$21,MATCH($F233&amp;"|high",Response_Table!$A$4:$A$21,0))*$R233*INDEX(Parameters!$X$9:$AA$9,1,MATCH($E233,Parameters!$X$3:$AA$3,0))))*(1+Inputs_General!$C$22*Parameters!$F$9)</f>
        <v>344.099255743465</v>
      </c>
      <c r="AW233" s="45" t="n">
        <f aca="false">IF(AS233=0,0,AT233/AS233-1)</f>
        <v>0.0821552888778927</v>
      </c>
      <c r="AX233" s="43" t="n">
        <f aca="false">INDEX(Context!$AB$4:$AB$51,$K233)</f>
        <v>1.90140657748441</v>
      </c>
      <c r="AY233" s="43" t="n">
        <f aca="false">AX233*(1+INDEX(Response_Table!$J$4:$J$21,MATCH($F233&amp;"|mid",Response_Table!$A$4:$A$21,0))*$R233*INDEX(Parameters!$X$10:$AA$10,1,MATCH($E233,Parameters!$X$3:$AA$3,0)))</f>
        <v>1.74630663520749</v>
      </c>
      <c r="AZ233" s="43" t="n">
        <f aca="false">MAX(0,MIN(AX233*(1+INDEX(Response_Table!$J$4:$J$21,MATCH($F233&amp;"|low",Response_Table!$A$4:$A$21,0))*$R233*INDEX(Parameters!$X$10:$AA$10,1,MATCH($E233,Parameters!$X$3:$AA$3,0))),AX233*(1+INDEX(Response_Table!$J$4:$J$21,MATCH($F233&amp;"|high",Response_Table!$A$4:$A$21,0))*$R233*INDEX(Parameters!$X$10:$AA$10,1,MATCH($E233,Parameters!$X$3:$AA$3,0))))*(1-Inputs_General!$C$22*Parameters!$F$10))</f>
        <v>1.37416455664229</v>
      </c>
      <c r="BA233" s="43" t="n">
        <f aca="false">MAX(AX233*(1+INDEX(Response_Table!$J$4:$J$21,MATCH($F233&amp;"|low",Response_Table!$A$4:$A$21,0))*$R233*INDEX(Parameters!$X$10:$AA$10,1,MATCH($E233,Parameters!$X$3:$AA$3,0))),AX233*(1+INDEX(Response_Table!$J$4:$J$21,MATCH($F233&amp;"|high",Response_Table!$A$4:$A$21,0))*$R233*INDEX(Parameters!$X$10:$AA$10,1,MATCH($E233,Parameters!$X$3:$AA$3,0))))*(1+Inputs_General!$C$22*Parameters!$F$10)</f>
        <v>2.13403469557961</v>
      </c>
      <c r="BB233" s="45" t="n">
        <f aca="false">IF(AX233=0,0,AY233/AX233-1)</f>
        <v>-0.0815711611149081</v>
      </c>
      <c r="BC233" s="46" t="n">
        <f aca="false">Parameters!$E$11*IF($N233="V",Parameters!$I$11,IF($N233="F",Parameters!$J$11,Parameters!$K$11))*(1-Parameters!$L$11*$P233)*IF($D233="V1",Parameters!$M$11,IF($D233="V2",Parameters!$N$11,Parameters!$O$11))</f>
        <v>1.21745535714286</v>
      </c>
      <c r="BD233" s="46" t="n">
        <f aca="false">BC233*(1+INDEX(Response_Table!$K$4:$K$21,MATCH($F233&amp;"|mid",Response_Table!$A$4:$A$21,0))*$R233*INDEX(Parameters!$X$11:$AA$11,1,MATCH($E233,Parameters!$X$3:$AA$3,0)))</f>
        <v>1.03872351161191</v>
      </c>
      <c r="BE233" s="46" t="n">
        <f aca="false">MAX(0,MIN(BC233*(1+INDEX(Response_Table!$K$4:$K$21,MATCH($F233&amp;"|low",Response_Table!$A$4:$A$21,0))*$R233*INDEX(Parameters!$X$11:$AA$11,1,MATCH($E233,Parameters!$X$3:$AA$3,0))),BC233*(1+INDEX(Response_Table!$K$4:$K$21,MATCH($F233&amp;"|high",Response_Table!$A$4:$A$21,0))*$R233*INDEX(Parameters!$X$11:$AA$11,1,MATCH($E233,Parameters!$X$3:$AA$3,0))))*(1-Inputs_General!$C$22*Parameters!$F$11))</f>
        <v>0.836122028016479</v>
      </c>
      <c r="BF233" s="46" t="n">
        <f aca="false">MAX(BC233*(1+INDEX(Response_Table!$K$4:$K$21,MATCH($F233&amp;"|low",Response_Table!$A$4:$A$21,0))*$R233*INDEX(Parameters!$X$11:$AA$11,1,MATCH($E233,Parameters!$X$3:$AA$3,0))),BC233*(1+INDEX(Response_Table!$K$4:$K$21,MATCH($F233&amp;"|high",Response_Table!$A$4:$A$21,0))*$R233*INDEX(Parameters!$X$11:$AA$11,1,MATCH($E233,Parameters!$X$3:$AA$3,0))))*(1+Inputs_General!$C$22*Parameters!$F$11)</f>
        <v>1.2567431302447</v>
      </c>
      <c r="BG233" s="45" t="n">
        <f aca="false">IF(BC233=0,0,BD233/BC233-1)</f>
        <v>-0.146807720285039</v>
      </c>
      <c r="BH233" s="46" t="n">
        <f aca="false">Parameters!$E$12*IF($N233="V",Parameters!$I$12,IF($N233="F",Parameters!$J$12,Parameters!$K$12))*(1-Parameters!$L$12*$P233)*IF($D233="V1",Parameters!$M$12,IF($D233="V2",Parameters!$N$12,Parameters!$O$12))</f>
        <v>0.438283928571429</v>
      </c>
      <c r="BI233" s="46" t="n">
        <f aca="false">BH233*(1+INDEX(Response_Table!$L$4:$L$21,MATCH($F233&amp;"|mid",Response_Table!$A$4:$A$21,0))*$R233*INDEX(Parameters!$X$12:$AA$12,1,MATCH($E233,Parameters!$X$3:$AA$3,0)))</f>
        <v>0.386849259956737</v>
      </c>
      <c r="BJ233" s="46" t="n">
        <f aca="false">MAX(0,MIN(BH233*(1+INDEX(Response_Table!$L$4:$L$21,MATCH($F233&amp;"|low",Response_Table!$A$4:$A$21,0))*$R233*INDEX(Parameters!$X$12:$AA$12,1,MATCH($E233,Parameters!$X$3:$AA$3,0))),BH233*(1+INDEX(Response_Table!$L$4:$L$21,MATCH($F233&amp;"|high",Response_Table!$A$4:$A$21,0))*$R233*INDEX(Parameters!$X$12:$AA$12,1,MATCH($E233,Parameters!$X$3:$AA$3,0))))*(1-Inputs_General!$C$22*Parameters!$F$12))</f>
        <v>0.30162234820369</v>
      </c>
      <c r="BK233" s="46" t="n">
        <f aca="false">MAX(BH233*(1+INDEX(Response_Table!$L$4:$L$21,MATCH($F233&amp;"|low",Response_Table!$A$4:$A$21,0))*$R233*INDEX(Parameters!$X$12:$AA$12,1,MATCH($E233,Parameters!$X$3:$AA$3,0))),BH233*(1+INDEX(Response_Table!$L$4:$L$21,MATCH($F233&amp;"|high",Response_Table!$A$4:$A$21,0))*$R233*INDEX(Parameters!$X$12:$AA$12,1,MATCH($E233,Parameters!$X$3:$AA$3,0))))*(1+Inputs_General!$C$22*Parameters!$F$12)</f>
        <v>0.477253463339479</v>
      </c>
      <c r="BL233" s="45" t="n">
        <f aca="false">IF(BH233=0,0,BI233/BH233-1)</f>
        <v>-0.117354676413395</v>
      </c>
      <c r="BM233" s="46" t="n">
        <f aca="false">Parameters!$E$13*IF($N233="V",Parameters!$I$13,IF($N233="F",Parameters!$J$13,Parameters!$K$13))*(1-Parameters!$L$13*$P233)*IF($D233="V1",Parameters!$M$13,IF($D233="V2",Parameters!$N$13,Parameters!$O$13))</f>
        <v>0.296094642857143</v>
      </c>
      <c r="BN233" s="46" t="n">
        <f aca="false">BM233*(1+INDEX(Response_Table!$M$4:$M$21,MATCH($F233&amp;"|mid",Response_Table!$A$4:$A$21,0))*$R233*INDEX(Parameters!$X$13:$AA$13,1,MATCH($E233,Parameters!$X$3:$AA$3,0)))</f>
        <v>0.299755369024851</v>
      </c>
      <c r="BO233" s="46" t="n">
        <f aca="false">MAX(0,MIN(BM233*(1+INDEX(Response_Table!$M$4:$M$21,MATCH($F233&amp;"|low",Response_Table!$A$4:$A$21,0))*$R233*INDEX(Parameters!$X$13:$AA$13,1,MATCH($E233,Parameters!$X$3:$AA$3,0))),BM233*(1+INDEX(Response_Table!$M$4:$M$21,MATCH($F233&amp;"|high",Response_Table!$A$4:$A$21,0))*$R233*INDEX(Parameters!$X$13:$AA$13,1,MATCH($E233,Parameters!$X$3:$AA$3,0))))*(1-Inputs_General!$C$22*Parameters!$F$13))</f>
        <v>0.236772756720675</v>
      </c>
      <c r="BP233" s="46" t="n">
        <f aca="false">MAX(BM233*(1+INDEX(Response_Table!$M$4:$M$21,MATCH($F233&amp;"|low",Response_Table!$A$4:$A$21,0))*$R233*INDEX(Parameters!$X$13:$AA$13,1,MATCH($E233,Parameters!$X$3:$AA$3,0))),BM233*(1+INDEX(Response_Table!$M$4:$M$21,MATCH($F233&amp;"|high",Response_Table!$A$4:$A$21,0))*$R233*INDEX(Parameters!$X$13:$AA$13,1,MATCH($E233,Parameters!$X$3:$AA$3,0))))*(1+Inputs_General!$C$22*Parameters!$F$13)</f>
        <v>0.362917185340618</v>
      </c>
      <c r="BQ233" s="45" t="n">
        <f aca="false">IF(BM233=0,0,BN233/BM233-1)</f>
        <v>0.012363365079435</v>
      </c>
      <c r="BR233" s="44" t="n">
        <f aca="false">Parameters!$E$14*IF($N233="V",Parameters!$I$14,IF($N233="F",Parameters!$J$14,Parameters!$K$14))*(1-Parameters!$L$14*$P233)*IF($D233="V1",Parameters!$M$14,IF($D233="V2",Parameters!$N$14,Parameters!$O$14))*INDEX(Context!$AC$4:$AC$51,$K233)</f>
        <v>15</v>
      </c>
      <c r="BS233" s="44" t="n">
        <f aca="false">BR233*(1+INDEX(Response_Table!$N$4:$N$21,MATCH($F233&amp;"|mid",Response_Table!$A$4:$A$21,0))*$R233*INDEX(Parameters!$X$14:$AA$14,1,MATCH($E233,Parameters!$X$3:$AA$3,0)))</f>
        <v>16.920349250401</v>
      </c>
      <c r="BT233" s="44" t="n">
        <f aca="false">MAX(0,MIN(BR233*(1+INDEX(Response_Table!$N$4:$N$21,MATCH($F233&amp;"|low",Response_Table!$A$4:$A$21,0))*$R233*INDEX(Parameters!$X$14:$AA$14,1,MATCH($E233,Parameters!$X$3:$AA$3,0))),BR233*(1+INDEX(Response_Table!$N$4:$N$21,MATCH($F233&amp;"|high",Response_Table!$A$4:$A$21,0))*$R233*INDEX(Parameters!$X$14:$AA$14,1,MATCH($E233,Parameters!$X$3:$AA$3,0))))*(1-Inputs_General!$C$22*Parameters!$F$14))</f>
        <v>8.34842074128172</v>
      </c>
      <c r="BU233" s="44" t="n">
        <f aca="false">MAX(BR233*(1+INDEX(Response_Table!$N$4:$N$21,MATCH($F233&amp;"|low",Response_Table!$A$4:$A$21,0))*$R233*INDEX(Parameters!$X$14:$AA$14,1,MATCH($E233,Parameters!$X$3:$AA$3,0))),BR233*(1+INDEX(Response_Table!$N$4:$N$21,MATCH($F233&amp;"|high",Response_Table!$A$4:$A$21,0))*$R233*INDEX(Parameters!$X$14:$AA$14,1,MATCH($E233,Parameters!$X$3:$AA$3,0))))*(1+Inputs_General!$C$22*Parameters!$F$14)</f>
        <v>25.8862918867067</v>
      </c>
      <c r="BV233" s="45" t="n">
        <f aca="false">IF(BR233=0,0,BS233/BR233-1)</f>
        <v>0.128023283360068</v>
      </c>
      <c r="BW233" s="43" t="n">
        <f aca="false">Parameters!$E$15*IF($N233="V",Parameters!$I$15,IF($N233="F",Parameters!$J$15,Parameters!$K$15))*(1-Parameters!$L$15*$P233)*IF($D233="V1",Parameters!$M$15,IF($D233="V2",Parameters!$N$15,Parameters!$O$15))</f>
        <v>10.1292285714286</v>
      </c>
      <c r="BX233" s="43" t="n">
        <f aca="false">BW233*(1+INDEX(Response_Table!$O$4:$O$21,MATCH($F233&amp;"|mid",Response_Table!$A$4:$A$21,0))*$R233*INDEX(Parameters!$X$15:$AA$15,1,MATCH($E233,Parameters!$X$3:$AA$3,0)))</f>
        <v>9.80503429652385</v>
      </c>
      <c r="BY233" s="43" t="n">
        <f aca="false">MAX(0,MIN(BW233*(1+INDEX(Response_Table!$O$4:$O$21,MATCH($F233&amp;"|low",Response_Table!$A$4:$A$21,0))*$R233*INDEX(Parameters!$X$15:$AA$15,1,MATCH($E233,Parameters!$X$3:$AA$3,0))),BW233*(1+INDEX(Response_Table!$O$4:$O$21,MATCH($F233&amp;"|high",Response_Table!$A$4:$A$21,0))*$R233*INDEX(Parameters!$X$15:$AA$15,1,MATCH($E233,Parameters!$X$3:$AA$3,0))))*(1-Inputs_General!$C$22*Parameters!$F$15))</f>
        <v>7.81365760183798</v>
      </c>
      <c r="BZ233" s="43" t="n">
        <f aca="false">MAX(BW233*(1+INDEX(Response_Table!$O$4:$O$21,MATCH($F233&amp;"|low",Response_Table!$A$4:$A$21,0))*$R233*INDEX(Parameters!$X$15:$AA$15,1,MATCH($E233,Parameters!$X$3:$AA$3,0))),BW233*(1+INDEX(Response_Table!$O$4:$O$21,MATCH($F233&amp;"|high",Response_Table!$A$4:$A$21,0))*$R233*INDEX(Parameters!$X$15:$AA$15,1,MATCH($E233,Parameters!$X$3:$AA$3,0))))*(1+Inputs_General!$C$22*Parameters!$F$15)</f>
        <v>11.8290436172393</v>
      </c>
      <c r="CA233" s="45" t="n">
        <f aca="false">IF(BW233=0,0,BX233/BW233-1)</f>
        <v>-0.0320058208400171</v>
      </c>
      <c r="CB233" s="46" t="n">
        <f aca="false">BD233+BI233</f>
        <v>1.42557277156864</v>
      </c>
      <c r="CC233" s="43" t="n">
        <f aca="false">BD233/BI233</f>
        <v>2.68508594724486</v>
      </c>
      <c r="CD233" s="46" t="n">
        <f aca="false">BN233/CB233</f>
        <v>0.210270127911472</v>
      </c>
      <c r="CE233" s="43" t="n">
        <f aca="false">AE233/AO233</f>
        <v>2.66668182082342</v>
      </c>
      <c r="CF233" s="44" t="n">
        <f aca="false">AE233/AJ233</f>
        <v>47.648629674051</v>
      </c>
      <c r="CG233" s="44" t="n">
        <f aca="false">INDEX(Context!$V$4:$V$51,$K233)</f>
        <v>28.62</v>
      </c>
      <c r="CH233" s="44" t="n">
        <f aca="false">INDEX(Context!$Y$4:$Y$51,$K233)</f>
        <v>25.3060134606718</v>
      </c>
      <c r="CI233" s="44" t="n">
        <f aca="false">INDEX(Context!$Z$4:$Z$51,$K233)</f>
        <v>32.62</v>
      </c>
      <c r="CJ233" s="43" t="n">
        <f aca="false">INDEX(Context!$AA$4:$AA$51,$K233)</f>
        <v>0.221696428571429</v>
      </c>
      <c r="CK233" s="43" t="n">
        <f aca="false">MAX(0,MIN(1,1-(1-CJ233)*AO233/AN233))</f>
        <v>0.316233638567851</v>
      </c>
      <c r="CL233" s="44" t="n">
        <f aca="false">CH233+CK233*(CI233-CH233)</f>
        <v>27.6189420364398</v>
      </c>
      <c r="CM233" s="44" t="n">
        <f aca="false">CH233+MAX(0,MIN(1,1-(1-CJ233)*AQ233/AN233))*(CI233-CH233)</f>
        <v>25.8672472487441</v>
      </c>
      <c r="CN233" s="44" t="n">
        <f aca="false">CH233+MAX(0,MIN(1,1-(1-CJ233)*AP233/AN233))*(CI233-CH233)</f>
        <v>29.2381131530413</v>
      </c>
      <c r="CO233" s="44" t="n">
        <f aca="false">CL233-CG233</f>
        <v>-1.00105796356018</v>
      </c>
      <c r="CP233" s="44" t="n">
        <f aca="false">CL233-(CH233+CJ233*(CI233-CH233))</f>
        <v>0.691443881379481</v>
      </c>
      <c r="CQ233" s="46" t="n">
        <f aca="false">CL233/CG233</f>
        <v>0.965022433139057</v>
      </c>
      <c r="CR233" s="43" t="n">
        <f aca="false">IF(CL233-CH233&lt;=0,"n/a",(CI233-CL233)/(CL233-CH233))</f>
        <v>2.1622189357488</v>
      </c>
      <c r="CS233" s="43" t="n">
        <f aca="false">IF(CI233-CL233&lt;=0,"n/a",(CL233-CH233)/(CI233-CL233))</f>
        <v>0.462487856093855</v>
      </c>
      <c r="CT233" s="43" t="n">
        <f aca="false">Inputs_General!$C$23+Inputs_General!$C$24*$I233</f>
        <v>0.76</v>
      </c>
      <c r="CU233" s="44" t="n">
        <f aca="false">3.29*CT233</f>
        <v>2.5004</v>
      </c>
    </row>
    <row r="234" customFormat="false" ht="15" hidden="false" customHeight="false" outlineLevel="0" collapsed="false">
      <c r="A234" s="9" t="str">
        <f aca="false">B234&amp;"|"&amp;E234&amp;"|"&amp;F234</f>
        <v>D4V1|03/03/2026|Moderate</v>
      </c>
      <c r="B234" s="7" t="s">
        <v>352</v>
      </c>
      <c r="C234" s="9" t="s">
        <v>133</v>
      </c>
      <c r="D234" s="9" t="s">
        <v>142</v>
      </c>
      <c r="E234" s="9" t="s">
        <v>162</v>
      </c>
      <c r="F234" s="7" t="s">
        <v>281</v>
      </c>
      <c r="G234" s="9" t="s">
        <v>282</v>
      </c>
      <c r="H234" s="41" t="n">
        <f aca="false">INDEX(Severity_Classes!$C$4:$C$9,MATCH(F234,Severity_Classes!$A$4:$A$9,0))</f>
        <v>0.11</v>
      </c>
      <c r="I234" s="41" t="n">
        <f aca="false">INDEX(Severity_Classes!$D$4:$D$9,MATCH(F234,Severity_Classes!$A$4:$A$9,0))</f>
        <v>0.18</v>
      </c>
      <c r="J234" s="41" t="n">
        <f aca="false">INDEX(Severity_Classes!$E$4:$E$9,MATCH(F234,Severity_Classes!$A$4:$A$9,0))</f>
        <v>0.25</v>
      </c>
      <c r="K234" s="42" t="n">
        <f aca="false">MATCH(B234&amp;"|"&amp;E234,Context!$A$4:$A$51,0)</f>
        <v>39</v>
      </c>
      <c r="L234" s="42" t="n">
        <f aca="false">INDEX(Context!$H$4:$H$51,K234)</f>
        <v>53</v>
      </c>
      <c r="M234" s="42" t="n">
        <f aca="false">INDEX(Context!$I$4:$I$51,K234)</f>
        <v>26</v>
      </c>
      <c r="N234" s="9" t="str">
        <f aca="false">INDEX(Context!$L$4:$L$51,K234)</f>
        <v>F</v>
      </c>
      <c r="O234" s="9" t="str">
        <f aca="false">INDEX(Context!$M$4:$M$51,K234)</f>
        <v>5th fully expanded leaf from top</v>
      </c>
      <c r="P234" s="43" t="n">
        <f aca="false">INDEX(Context!$R$4:$R$51,K234)</f>
        <v>0.433928571428571</v>
      </c>
      <c r="Q234" s="43" t="n">
        <f aca="false">INDEX(Context!$U$4:$U$51,K234)</f>
        <v>1.73951545534029</v>
      </c>
      <c r="R234" s="43" t="n">
        <f aca="false">INDEX(Context!$AD$4:$AD$51,K234)</f>
        <v>1</v>
      </c>
      <c r="S234" s="9" t="str">
        <f aca="false">INDEX(Context!$AI$4:$AN$51,K234,MATCH(F234,Severity_Classes!$A$4:$A$9,0))</f>
        <v>Likely</v>
      </c>
      <c r="T234" s="44" t="n">
        <f aca="false">Parameters!$E$4*IF($N234="V",Parameters!$I$4,IF($N234="F",Parameters!$J$4,Parameters!$K$4))*(1-Parameters!$L$4*$P234)*IF($D234="V1",Parameters!$M$4,IF($D234="V2",Parameters!$N$4,Parameters!$O$4))</f>
        <v>83.2927660714286</v>
      </c>
      <c r="U234" s="44" t="n">
        <f aca="false">MIN(100,T234*(1+INDEX(Response_Table!$E$4:$E$21,MATCH($F234&amp;"|mid",Response_Table!$A$4:$A$21,0))*$R234*INDEX(Parameters!$X$4:$AA$4,1,MATCH($E234,Parameters!$X$3:$AA$3,0))))</f>
        <v>79.5037842538657</v>
      </c>
      <c r="V234" s="44" t="n">
        <f aca="false">MAX(0,MIN(T234*(1+INDEX(Response_Table!$E$4:$E$21,MATCH($F234&amp;"|low",Response_Table!$A$4:$A$21,0))*$R234*INDEX(Parameters!$X$4:$AA$4,1,MATCH($E234,Parameters!$X$3:$AA$3,0))),T234*(1+INDEX(Response_Table!$E$4:$E$21,MATCH($F234&amp;"|high",Response_Table!$A$4:$A$21,0))*$R234*INDEX(Parameters!$X$4:$AA$4,1,MATCH($E234,Parameters!$X$3:$AA$3,0))))*(1-Inputs_General!$C$22*Parameters!$F$4))</f>
        <v>71.6208993812828</v>
      </c>
      <c r="W234" s="44" t="n">
        <f aca="false">MIN(100,MAX(T234*(1+INDEX(Response_Table!$E$4:$E$21,MATCH($F234&amp;"|low",Response_Table!$A$4:$A$21,0))*$R234*INDEX(Parameters!$X$4:$AA$4,1,MATCH($E234,Parameters!$X$3:$AA$3,0))),T234*(1+INDEX(Response_Table!$E$4:$E$21,MATCH($F234&amp;"|high",Response_Table!$A$4:$A$21,0))*$R234*INDEX(Parameters!$X$4:$AA$4,1,MATCH($E234,Parameters!$X$3:$AA$3,0))))*(1+Inputs_General!$C$22*Parameters!$F$4))</f>
        <v>86.8681833818543</v>
      </c>
      <c r="X234" s="45" t="n">
        <f aca="false">IF(T234=0,0,U234/T234-1)</f>
        <v>-0.0454899266319667</v>
      </c>
      <c r="Y234" s="44" t="n">
        <f aca="false">Parameters!$E$5*IF($N234="V",Parameters!$I$5,IF($N234="F",Parameters!$J$5,Parameters!$K$5))*(1-Parameters!$L$5*$P234)*IF($D234="V1",Parameters!$M$5,IF($D234="V2",Parameters!$N$5,Parameters!$O$5))</f>
        <v>66.88584</v>
      </c>
      <c r="Z234" s="44" t="n">
        <f aca="false">MIN(100,Y234*(1+INDEX(Response_Table!$F$4:$F$21,MATCH($F234&amp;"|mid",Response_Table!$A$4:$A$21,0))*$R234*INDEX(Parameters!$X$5:$AA$5,1,MATCH($E234,Parameters!$X$3:$AA$3,0))))</f>
        <v>56.3753996110962</v>
      </c>
      <c r="AA234" s="44" t="n">
        <f aca="false">MAX(0,MIN(Y234*(1+INDEX(Response_Table!$F$4:$F$21,MATCH($F234&amp;"|low",Response_Table!$A$4:$A$21,0))*$R234*INDEX(Parameters!$X$5:$AA$5,1,MATCH($E234,Parameters!$X$3:$AA$3,0))),Y234*(1+INDEX(Response_Table!$F$4:$F$21,MATCH($F234&amp;"|high",Response_Table!$A$4:$A$21,0))*$R234*INDEX(Parameters!$X$5:$AA$5,1,MATCH($E234,Parameters!$X$3:$AA$3,0))))*(1-Inputs_General!$C$22*Parameters!$F$5))</f>
        <v>43.0008033894371</v>
      </c>
      <c r="AB234" s="44" t="n">
        <f aca="false">MIN(100,MAX(Y234*(1+INDEX(Response_Table!$F$4:$F$21,MATCH($F234&amp;"|low",Response_Table!$A$4:$A$21,0))*$R234*INDEX(Parameters!$X$5:$AA$5,1,MATCH($E234,Parameters!$X$3:$AA$3,0))),Y234*(1+INDEX(Response_Table!$F$4:$F$21,MATCH($F234&amp;"|high",Response_Table!$A$4:$A$21,0))*$R234*INDEX(Parameters!$X$5:$AA$5,1,MATCH($E234,Parameters!$X$3:$AA$3,0))))*(1+Inputs_General!$C$22*Parameters!$F$5))</f>
        <v>69.2074491644124</v>
      </c>
      <c r="AC234" s="45" t="n">
        <f aca="false">IF(Y234=0,0,Z234/Y234-1)</f>
        <v>-0.157139992394561</v>
      </c>
      <c r="AD234" s="44" t="n">
        <f aca="false">Parameters!$E$6*IF($N234="V",Parameters!$I$6,IF($N234="F",Parameters!$J$6,Parameters!$K$6))*(1-Parameters!$L$6*$P234)*IF($D234="V1",Parameters!$M$6,IF($D234="V2",Parameters!$N$6,Parameters!$O$6))</f>
        <v>18.0106428571429</v>
      </c>
      <c r="AE234" s="44" t="n">
        <f aca="false">AD234*(1+INDEX(Response_Table!$G$4:$G$21,MATCH($F234&amp;"|mid",Response_Table!$A$4:$A$21,0))*$R234*INDEX(Parameters!$X$6:$AA$6,1,MATCH($E234,Parameters!$X$3:$AA$3,0)))</f>
        <v>10.6209393026927</v>
      </c>
      <c r="AF234" s="44" t="n">
        <f aca="false">MAX(0,MIN(AD234*(1+INDEX(Response_Table!$G$4:$G$21,MATCH($F234&amp;"|low",Response_Table!$A$4:$A$21,0))*$R234*INDEX(Parameters!$X$6:$AA$6,1,MATCH($E234,Parameters!$X$3:$AA$3,0))),AD234*(1+INDEX(Response_Table!$G$4:$G$21,MATCH($F234&amp;"|high",Response_Table!$A$4:$A$21,0))*$R234*INDEX(Parameters!$X$6:$AA$6,1,MATCH($E234,Parameters!$X$3:$AA$3,0))))*(1-Inputs_General!$C$22*Parameters!$F$6))</f>
        <v>7.22265949616106</v>
      </c>
      <c r="AG234" s="44" t="n">
        <f aca="false">MAX(AD234*(1+INDEX(Response_Table!$G$4:$G$21,MATCH($F234&amp;"|low",Response_Table!$A$4:$A$21,0))*$R234*INDEX(Parameters!$X$6:$AA$6,1,MATCH($E234,Parameters!$X$3:$AA$3,0))),AD234*(1+INDEX(Response_Table!$G$4:$G$21,MATCH($F234&amp;"|high",Response_Table!$A$4:$A$21,0))*$R234*INDEX(Parameters!$X$6:$AA$6,1,MATCH($E234,Parameters!$X$3:$AA$3,0))))*(1+Inputs_General!$C$22*Parameters!$F$6)</f>
        <v>15.3600178262045</v>
      </c>
      <c r="AH234" s="45" t="n">
        <f aca="false">IF(AD234=0,0,AE234/AD234-1)</f>
        <v>-0.410296490417582</v>
      </c>
      <c r="AI234" s="46" t="n">
        <f aca="false">Parameters!$E$7*IF($N234="V",Parameters!$I$7,IF($N234="F",Parameters!$J$7,Parameters!$K$7))*(1-Parameters!$L$7*$P234)*IF($D234="V1",Parameters!$M$7,IF($D234="V2",Parameters!$N$7,Parameters!$O$7))*POWER($Q234/Inputs_General!$C$26,-Inputs_General!$C$25)</f>
        <v>0.341191629407368</v>
      </c>
      <c r="AJ234" s="46" t="n">
        <f aca="false">AI234*(1+INDEX(Response_Table!$H$4:$H$21,MATCH($F234&amp;"|mid",Response_Table!$A$4:$A$21,0))*$R234*INDEX(Parameters!$X$7:$AA$7,1,MATCH($E234,Parameters!$X$3:$AA$3,0)))</f>
        <v>0.248655807037734</v>
      </c>
      <c r="AK234" s="46" t="n">
        <f aca="false">MAX(0,MIN(AI234*(1+INDEX(Response_Table!$H$4:$H$21,MATCH($F234&amp;"|low",Response_Table!$A$4:$A$21,0))*$R234*INDEX(Parameters!$X$7:$AA$7,1,MATCH($E234,Parameters!$X$3:$AA$3,0))),AI234*(1+INDEX(Response_Table!$H$4:$H$21,MATCH($F234&amp;"|high",Response_Table!$A$4:$A$21,0))*$R234*INDEX(Parameters!$X$7:$AA$7,1,MATCH($E234,Parameters!$X$3:$AA$3,0))))*(1-Inputs_General!$C$22*Parameters!$F$7))</f>
        <v>0.157797454208746</v>
      </c>
      <c r="AL234" s="46" t="n">
        <f aca="false">MAX(AI234*(1+INDEX(Response_Table!$H$4:$H$21,MATCH($F234&amp;"|low",Response_Table!$A$4:$A$21,0))*$R234*INDEX(Parameters!$X$7:$AA$7,1,MATCH($E234,Parameters!$X$3:$AA$3,0))),AI234*(1+INDEX(Response_Table!$H$4:$H$21,MATCH($F234&amp;"|high",Response_Table!$A$4:$A$21,0))*$R234*INDEX(Parameters!$X$7:$AA$7,1,MATCH($E234,Parameters!$X$3:$AA$3,0))))*(1+Inputs_General!$C$22*Parameters!$F$7)</f>
        <v>0.361425344954268</v>
      </c>
      <c r="AM234" s="45" t="n">
        <f aca="false">IF(AI234=0,0,AJ234/AI234-1)</f>
        <v>-0.271213635956907</v>
      </c>
      <c r="AN234" s="43" t="n">
        <f aca="false">AI234*$Q234/Inputs_General!$C$13*1000</f>
        <v>5.97691956280819</v>
      </c>
      <c r="AO234" s="43" t="n">
        <f aca="false">AJ234*$Q234/Inputs_General!$C$13*1000*(1+Inputs_General!$C$21*$I234)</f>
        <v>4.55191286279308</v>
      </c>
      <c r="AP234" s="43" t="n">
        <f aca="false">AK234*$Q234/Inputs_General!$C$13*1000*(1+Inputs_General!$C$21*$H234)</f>
        <v>2.84027810620065</v>
      </c>
      <c r="AQ234" s="43" t="n">
        <f aca="false">AL234*$Q234/Inputs_General!$C$13*1000*(1+Inputs_General!$C$21*$J234)</f>
        <v>6.727079902753</v>
      </c>
      <c r="AR234" s="45" t="n">
        <f aca="false">IF(AN234=0,0,AO234/AN234-1)</f>
        <v>-0.238418249574968</v>
      </c>
      <c r="AS234" s="42" t="n">
        <f aca="false">Parameters!$E$9*IF($N234="V",Parameters!$I$9,IF($N234="F",Parameters!$J$9,Parameters!$K$9))*(1-Parameters!$L$9*$P234)*IF($D234="V1",Parameters!$M$9,IF($D234="V2",Parameters!$N$9,Parameters!$O$9))</f>
        <v>285</v>
      </c>
      <c r="AT234" s="42" t="n">
        <f aca="false">AS234*(1+INDEX(Response_Table!$I$4:$I$21,MATCH($F234&amp;"|mid",Response_Table!$A$4:$A$21,0))*$R234*INDEX(Parameters!$X$9:$AA$9,1,MATCH($E234,Parameters!$X$3:$AA$3,0)))</f>
        <v>328.882682115422</v>
      </c>
      <c r="AU234" s="42" t="n">
        <f aca="false">MAX(0,MIN(AS234*(1+INDEX(Response_Table!$I$4:$I$21,MATCH($F234&amp;"|low",Response_Table!$A$4:$A$21,0))*$R234*INDEX(Parameters!$X$9:$AA$9,1,MATCH($E234,Parameters!$X$3:$AA$3,0))),AS234*(1+INDEX(Response_Table!$I$4:$I$21,MATCH($F234&amp;"|high",Response_Table!$A$4:$A$21,0))*$R234*INDEX(Parameters!$X$9:$AA$9,1,MATCH($E234,Parameters!$X$3:$AA$3,0))))*(1-Inputs_General!$C$22*Parameters!$F$9))</f>
        <v>284.301462749449</v>
      </c>
      <c r="AV234" s="42" t="n">
        <f aca="false">MAX(AS234*(1+INDEX(Response_Table!$I$4:$I$21,MATCH($F234&amp;"|low",Response_Table!$A$4:$A$21,0))*$R234*INDEX(Parameters!$X$9:$AA$9,1,MATCH($E234,Parameters!$X$3:$AA$3,0))),AS234*(1+INDEX(Response_Table!$I$4:$I$21,MATCH($F234&amp;"|high",Response_Table!$A$4:$A$21,0))*$R234*INDEX(Parameters!$X$9:$AA$9,1,MATCH($E234,Parameters!$X$3:$AA$3,0))))*(1+Inputs_General!$C$22*Parameters!$F$9)</f>
        <v>372.510178357712</v>
      </c>
      <c r="AW234" s="45" t="n">
        <f aca="false">IF(AS234=0,0,AT234/AS234-1)</f>
        <v>0.153974323212009</v>
      </c>
      <c r="AX234" s="43" t="n">
        <f aca="false">INDEX(Context!$AB$4:$AB$51,$K234)</f>
        <v>1.90140657748441</v>
      </c>
      <c r="AY234" s="43" t="n">
        <f aca="false">AX234*(1+INDEX(Response_Table!$J$4:$J$21,MATCH($F234&amp;"|mid",Response_Table!$A$4:$A$21,0))*$R234*INDEX(Parameters!$X$10:$AA$10,1,MATCH($E234,Parameters!$X$3:$AA$3,0)))</f>
        <v>1.59134928028372</v>
      </c>
      <c r="AZ234" s="43" t="n">
        <f aca="false">MAX(0,MIN(AX234*(1+INDEX(Response_Table!$J$4:$J$21,MATCH($F234&amp;"|low",Response_Table!$A$4:$A$21,0))*$R234*INDEX(Parameters!$X$10:$AA$10,1,MATCH($E234,Parameters!$X$3:$AA$3,0))),AX234*(1+INDEX(Response_Table!$J$4:$J$21,MATCH($F234&amp;"|high",Response_Table!$A$4:$A$21,0))*$R234*INDEX(Parameters!$X$10:$AA$10,1,MATCH($E234,Parameters!$X$3:$AA$3,0))))*(1-Inputs_General!$C$22*Parameters!$F$10))</f>
        <v>1.20691852884145</v>
      </c>
      <c r="BA234" s="43" t="n">
        <f aca="false">MAX(AX234*(1+INDEX(Response_Table!$J$4:$J$21,MATCH($F234&amp;"|low",Response_Table!$A$4:$A$21,0))*$R234*INDEX(Parameters!$X$10:$AA$10,1,MATCH($E234,Parameters!$X$3:$AA$3,0))),AX234*(1+INDEX(Response_Table!$J$4:$J$21,MATCH($F234&amp;"|high",Response_Table!$A$4:$A$21,0))*$R234*INDEX(Parameters!$X$10:$AA$10,1,MATCH($E234,Parameters!$X$3:$AA$3,0))))*(1+Inputs_General!$C$22*Parameters!$F$10)</f>
        <v>2.03041748371326</v>
      </c>
      <c r="BB234" s="45" t="n">
        <f aca="false">IF(AX234=0,0,AY234/AX234-1)</f>
        <v>-0.163067331770202</v>
      </c>
      <c r="BC234" s="46" t="n">
        <f aca="false">Parameters!$E$11*IF($N234="V",Parameters!$I$11,IF($N234="F",Parameters!$J$11,Parameters!$K$11))*(1-Parameters!$L$11*$P234)*IF($D234="V1",Parameters!$M$11,IF($D234="V2",Parameters!$N$11,Parameters!$O$11))</f>
        <v>1.21745535714286</v>
      </c>
      <c r="BD234" s="46" t="n">
        <f aca="false">BC234*(1+INDEX(Response_Table!$K$4:$K$21,MATCH($F234&amp;"|mid",Response_Table!$A$4:$A$21,0))*$R234*INDEX(Parameters!$X$11:$AA$11,1,MATCH($E234,Parameters!$X$3:$AA$3,0)))</f>
        <v>0.870958540398467</v>
      </c>
      <c r="BE234" s="46" t="n">
        <f aca="false">MAX(0,MIN(BC234*(1+INDEX(Response_Table!$K$4:$K$21,MATCH($F234&amp;"|low",Response_Table!$A$4:$A$21,0))*$R234*INDEX(Parameters!$X$11:$AA$11,1,MATCH($E234,Parameters!$X$3:$AA$3,0))),BC234*(1+INDEX(Response_Table!$K$4:$K$21,MATCH($F234&amp;"|high",Response_Table!$A$4:$A$21,0))*$R234*INDEX(Parameters!$X$11:$AA$11,1,MATCH($E234,Parameters!$X$3:$AA$3,0))))*(1-Inputs_General!$C$22*Parameters!$F$11))</f>
        <v>0.653097019943878</v>
      </c>
      <c r="BF234" s="46" t="n">
        <f aca="false">MAX(BC234*(1+INDEX(Response_Table!$K$4:$K$21,MATCH($F234&amp;"|low",Response_Table!$A$4:$A$21,0))*$R234*INDEX(Parameters!$X$11:$AA$11,1,MATCH($E234,Parameters!$X$3:$AA$3,0))),BC234*(1+INDEX(Response_Table!$K$4:$K$21,MATCH($F234&amp;"|high",Response_Table!$A$4:$A$21,0))*$R234*INDEX(Parameters!$X$11:$AA$11,1,MATCH($E234,Parameters!$X$3:$AA$3,0))))*(1+Inputs_General!$C$22*Parameters!$F$11)</f>
        <v>1.14429275039473</v>
      </c>
      <c r="BG234" s="45" t="n">
        <f aca="false">IF(BC234=0,0,BD234/BC234-1)</f>
        <v>-0.284607410622065</v>
      </c>
      <c r="BH234" s="46" t="n">
        <f aca="false">Parameters!$E$12*IF($N234="V",Parameters!$I$12,IF($N234="F",Parameters!$J$12,Parameters!$K$12))*(1-Parameters!$L$12*$P234)*IF($D234="V1",Parameters!$M$12,IF($D234="V2",Parameters!$N$12,Parameters!$O$12))</f>
        <v>0.438283928571429</v>
      </c>
      <c r="BI234" s="46" t="n">
        <f aca="false">BH234*(1+INDEX(Response_Table!$L$4:$L$21,MATCH($F234&amp;"|mid",Response_Table!$A$4:$A$21,0))*$R234*INDEX(Parameters!$X$12:$AA$12,1,MATCH($E234,Parameters!$X$3:$AA$3,0)))</f>
        <v>0.337702824237376</v>
      </c>
      <c r="BJ234" s="46" t="n">
        <f aca="false">MAX(0,MIN(BH234*(1+INDEX(Response_Table!$L$4:$L$21,MATCH($F234&amp;"|low",Response_Table!$A$4:$A$21,0))*$R234*INDEX(Parameters!$X$12:$AA$12,1,MATCH($E234,Parameters!$X$3:$AA$3,0))),BH234*(1+INDEX(Response_Table!$L$4:$L$21,MATCH($F234&amp;"|high",Response_Table!$A$4:$A$21,0))*$R234*INDEX(Parameters!$X$12:$AA$12,1,MATCH($E234,Parameters!$X$3:$AA$3,0))))*(1-Inputs_General!$C$22*Parameters!$F$12))</f>
        <v>0.249684554460915</v>
      </c>
      <c r="BK234" s="46" t="n">
        <f aca="false">MAX(BH234*(1+INDEX(Response_Table!$L$4:$L$21,MATCH($F234&amp;"|low",Response_Table!$A$4:$A$21,0))*$R234*INDEX(Parameters!$X$12:$AA$12,1,MATCH($E234,Parameters!$X$3:$AA$3,0))),BH234*(1+INDEX(Response_Table!$L$4:$L$21,MATCH($F234&amp;"|high",Response_Table!$A$4:$A$21,0))*$R234*INDEX(Parameters!$X$12:$AA$12,1,MATCH($E234,Parameters!$X$3:$AA$3,0))))*(1+Inputs_General!$C$22*Parameters!$F$12)</f>
        <v>0.443671140678048</v>
      </c>
      <c r="BL234" s="45" t="n">
        <f aca="false">IF(BH234=0,0,BI234/BH234-1)</f>
        <v>-0.229488461194306</v>
      </c>
      <c r="BM234" s="46" t="n">
        <f aca="false">Parameters!$E$13*IF($N234="V",Parameters!$I$13,IF($N234="F",Parameters!$J$13,Parameters!$K$13))*(1-Parameters!$L$13*$P234)*IF($D234="V1",Parameters!$M$13,IF($D234="V2",Parameters!$N$13,Parameters!$O$13))</f>
        <v>0.296094642857143</v>
      </c>
      <c r="BN234" s="46" t="n">
        <f aca="false">BM234*(1+INDEX(Response_Table!$M$4:$M$21,MATCH($F234&amp;"|mid",Response_Table!$A$4:$A$21,0))*$R234*INDEX(Parameters!$X$13:$AA$13,1,MATCH($E234,Parameters!$X$3:$AA$3,0)))</f>
        <v>0.270624141827225</v>
      </c>
      <c r="BO234" s="46" t="n">
        <f aca="false">MAX(0,MIN(BM234*(1+INDEX(Response_Table!$M$4:$M$21,MATCH($F234&amp;"|low",Response_Table!$A$4:$A$21,0))*$R234*INDEX(Parameters!$X$13:$AA$13,1,MATCH($E234,Parameters!$X$3:$AA$3,0))),BM234*(1+INDEX(Response_Table!$M$4:$M$21,MATCH($F234&amp;"|high",Response_Table!$A$4:$A$21,0))*$R234*INDEX(Parameters!$X$13:$AA$13,1,MATCH($E234,Parameters!$X$3:$AA$3,0))))*(1-Inputs_General!$C$22*Parameters!$F$13))</f>
        <v>0.200746134847593</v>
      </c>
      <c r="BP234" s="46" t="n">
        <f aca="false">MAX(BM234*(1+INDEX(Response_Table!$M$4:$M$21,MATCH($F234&amp;"|low",Response_Table!$A$4:$A$21,0))*$R234*INDEX(Parameters!$X$13:$AA$13,1,MATCH($E234,Parameters!$X$3:$AA$3,0))),BM234*(1+INDEX(Response_Table!$M$4:$M$21,MATCH($F234&amp;"|high",Response_Table!$A$4:$A$21,0))*$R234*INDEX(Parameters!$X$13:$AA$13,1,MATCH($E234,Parameters!$X$3:$AA$3,0))))*(1+Inputs_General!$C$22*Parameters!$F$13)</f>
        <v>0.349970681887365</v>
      </c>
      <c r="BQ234" s="45" t="n">
        <f aca="false">IF(BM234=0,0,BN234/BM234-1)</f>
        <v>-0.0860214855093042</v>
      </c>
      <c r="BR234" s="44" t="n">
        <f aca="false">Parameters!$E$14*IF($N234="V",Parameters!$I$14,IF($N234="F",Parameters!$J$14,Parameters!$K$14))*(1-Parameters!$L$14*$P234)*IF($D234="V1",Parameters!$M$14,IF($D234="V2",Parameters!$N$14,Parameters!$O$14))*INDEX(Context!$AC$4:$AC$51,$K234)</f>
        <v>15</v>
      </c>
      <c r="BS234" s="44" t="n">
        <f aca="false">BR234*(1+INDEX(Response_Table!$N$4:$N$21,MATCH($F234&amp;"|mid",Response_Table!$A$4:$A$21,0))*$R234*INDEX(Parameters!$X$14:$AA$14,1,MATCH($E234,Parameters!$X$3:$AA$3,0)))</f>
        <v>18.7552657286341</v>
      </c>
      <c r="BT234" s="44" t="n">
        <f aca="false">MAX(0,MIN(BR234*(1+INDEX(Response_Table!$N$4:$N$21,MATCH($F234&amp;"|low",Response_Table!$A$4:$A$21,0))*$R234*INDEX(Parameters!$X$14:$AA$14,1,MATCH($E234,Parameters!$X$3:$AA$3,0))),BR234*(1+INDEX(Response_Table!$N$4:$N$21,MATCH($F234&amp;"|high",Response_Table!$A$4:$A$21,0))*$R234*INDEX(Parameters!$X$14:$AA$14,1,MATCH($E234,Parameters!$X$3:$AA$3,0))))*(1-Inputs_General!$C$22*Parameters!$F$14))</f>
        <v>8.87878616115056</v>
      </c>
      <c r="BU234" s="44" t="n">
        <f aca="false">MAX(BR234*(1+INDEX(Response_Table!$N$4:$N$21,MATCH($F234&amp;"|low",Response_Table!$A$4:$A$21,0))*$R234*INDEX(Parameters!$X$14:$AA$14,1,MATCH($E234,Parameters!$X$3:$AA$3,0))),BR234*(1+INDEX(Response_Table!$N$4:$N$21,MATCH($F234&amp;"|high",Response_Table!$A$4:$A$21,0))*$R234*INDEX(Parameters!$X$14:$AA$14,1,MATCH($E234,Parameters!$X$3:$AA$3,0))))*(1+Inputs_General!$C$22*Parameters!$F$14)</f>
        <v>29.4946849813317</v>
      </c>
      <c r="BV234" s="45" t="n">
        <f aca="false">IF(BR234=0,0,BS234/BR234-1)</f>
        <v>0.250351048575606</v>
      </c>
      <c r="BW234" s="43" t="n">
        <f aca="false">Parameters!$E$15*IF($N234="V",Parameters!$I$15,IF($N234="F",Parameters!$J$15,Parameters!$K$15))*(1-Parameters!$L$15*$P234)*IF($D234="V1",Parameters!$M$15,IF($D234="V2",Parameters!$N$15,Parameters!$O$15))</f>
        <v>10.1292285714286</v>
      </c>
      <c r="BX234" s="43" t="n">
        <f aca="false">BW234*(1+INDEX(Response_Table!$O$4:$O$21,MATCH($F234&amp;"|mid",Response_Table!$A$4:$A$21,0))*$R234*INDEX(Parameters!$X$15:$AA$15,1,MATCH($E234,Parameters!$X$3:$AA$3,0)))</f>
        <v>9.49526282289879</v>
      </c>
      <c r="BY234" s="43" t="n">
        <f aca="false">MAX(0,MIN(BW234*(1+INDEX(Response_Table!$O$4:$O$21,MATCH($F234&amp;"|low",Response_Table!$A$4:$A$21,0))*$R234*INDEX(Parameters!$X$15:$AA$15,1,MATCH($E234,Parameters!$X$3:$AA$3,0))),BW234*(1+INDEX(Response_Table!$O$4:$O$21,MATCH($F234&amp;"|high",Response_Table!$A$4:$A$21,0))*$R234*INDEX(Parameters!$X$15:$AA$15,1,MATCH($E234,Parameters!$X$3:$AA$3,0))))*(1-Inputs_General!$C$22*Parameters!$F$15))</f>
        <v>7.48629211400473</v>
      </c>
      <c r="BZ234" s="43" t="n">
        <f aca="false">MAX(BW234*(1+INDEX(Response_Table!$O$4:$O$21,MATCH($F234&amp;"|low",Response_Table!$A$4:$A$21,0))*$R234*INDEX(Parameters!$X$15:$AA$15,1,MATCH($E234,Parameters!$X$3:$AA$3,0))),BW234*(1+INDEX(Response_Table!$O$4:$O$21,MATCH($F234&amp;"|high",Response_Table!$A$4:$A$21,0))*$R234*INDEX(Parameters!$X$15:$AA$15,1,MATCH($E234,Parameters!$X$3:$AA$3,0))))*(1+Inputs_General!$C$22*Parameters!$F$15)</f>
        <v>11.6173732198582</v>
      </c>
      <c r="CA234" s="45" t="n">
        <f aca="false">IF(BW234=0,0,BX234/BW234-1)</f>
        <v>-0.0625877621439014</v>
      </c>
      <c r="CB234" s="46" t="n">
        <f aca="false">BD234+BI234</f>
        <v>1.20866136463584</v>
      </c>
      <c r="CC234" s="43" t="n">
        <f aca="false">BD234/BI234</f>
        <v>2.57906797897034</v>
      </c>
      <c r="CD234" s="46" t="n">
        <f aca="false">BN234/CB234</f>
        <v>0.22390402286811</v>
      </c>
      <c r="CE234" s="43" t="n">
        <f aca="false">AE234/AO234</f>
        <v>2.33329143655346</v>
      </c>
      <c r="CF234" s="44" t="n">
        <f aca="false">AE234/AJ234</f>
        <v>42.7134175116244</v>
      </c>
      <c r="CG234" s="44" t="n">
        <f aca="false">INDEX(Context!$V$4:$V$51,$K234)</f>
        <v>28.62</v>
      </c>
      <c r="CH234" s="44" t="n">
        <f aca="false">INDEX(Context!$Y$4:$Y$51,$K234)</f>
        <v>25.3060134606718</v>
      </c>
      <c r="CI234" s="44" t="n">
        <f aca="false">INDEX(Context!$Z$4:$Z$51,$K234)</f>
        <v>32.62</v>
      </c>
      <c r="CJ234" s="43" t="n">
        <f aca="false">INDEX(Context!$AA$4:$AA$51,$K234)</f>
        <v>0.221696428571429</v>
      </c>
      <c r="CK234" s="43" t="n">
        <f aca="false">MAX(0,MIN(1,1-(1-CJ234)*AO234/AN234))</f>
        <v>0.407258203709374</v>
      </c>
      <c r="CL234" s="44" t="n">
        <f aca="false">CH234+CK234*(CI234-CH234)</f>
        <v>28.2846944806331</v>
      </c>
      <c r="CM234" s="44" t="n">
        <f aca="false">CH234+MAX(0,MIN(1,1-(1-CJ234)*AQ234/AN234))*(CI234-CH234)</f>
        <v>26.2130349480082</v>
      </c>
      <c r="CN234" s="44" t="n">
        <f aca="false">CH234+MAX(0,MIN(1,1-(1-CJ234)*AP234/AN234))*(CI234-CH234)</f>
        <v>29.9148793789535</v>
      </c>
      <c r="CO234" s="44" t="n">
        <f aca="false">CL234-CG234</f>
        <v>-0.335305519366873</v>
      </c>
      <c r="CP234" s="44" t="n">
        <f aca="false">CL234-(CH234+CJ234*(CI234-CH234))</f>
        <v>1.35719632557279</v>
      </c>
      <c r="CQ234" s="46" t="n">
        <f aca="false">CL234/CG234</f>
        <v>0.988284223641968</v>
      </c>
      <c r="CR234" s="43" t="n">
        <f aca="false">IF(CL234-CH234&lt;=0,"n/a",(CI234-CL234)/(CL234-CH234))</f>
        <v>1.45544470532904</v>
      </c>
      <c r="CS234" s="43" t="n">
        <f aca="false">IF(CI234-CL234&lt;=0,"n/a",(CL234-CH234)/(CI234-CL234))</f>
        <v>0.687075226106871</v>
      </c>
      <c r="CT234" s="43" t="n">
        <f aca="false">Inputs_General!$C$23+Inputs_General!$C$24*$I234</f>
        <v>0.96</v>
      </c>
      <c r="CU234" s="44" t="n">
        <f aca="false">3.29*CT234</f>
        <v>3.1584</v>
      </c>
    </row>
    <row r="235" customFormat="false" ht="15" hidden="false" customHeight="false" outlineLevel="0" collapsed="false">
      <c r="A235" s="9" t="str">
        <f aca="false">B235&amp;"|"&amp;E235&amp;"|"&amp;F235</f>
        <v>D4V1|03/03/2026|High</v>
      </c>
      <c r="B235" s="7" t="s">
        <v>352</v>
      </c>
      <c r="C235" s="9" t="s">
        <v>133</v>
      </c>
      <c r="D235" s="9" t="s">
        <v>142</v>
      </c>
      <c r="E235" s="9" t="s">
        <v>162</v>
      </c>
      <c r="F235" s="7" t="s">
        <v>283</v>
      </c>
      <c r="G235" s="9" t="s">
        <v>284</v>
      </c>
      <c r="H235" s="41" t="n">
        <f aca="false">INDEX(Severity_Classes!$C$4:$C$9,MATCH(F235,Severity_Classes!$A$4:$A$9,0))</f>
        <v>0.26</v>
      </c>
      <c r="I235" s="41" t="n">
        <f aca="false">INDEX(Severity_Classes!$D$4:$D$9,MATCH(F235,Severity_Classes!$A$4:$A$9,0))</f>
        <v>0.38</v>
      </c>
      <c r="J235" s="41" t="n">
        <f aca="false">INDEX(Severity_Classes!$E$4:$E$9,MATCH(F235,Severity_Classes!$A$4:$A$9,0))</f>
        <v>0.5</v>
      </c>
      <c r="K235" s="42" t="n">
        <f aca="false">MATCH(B235&amp;"|"&amp;E235,Context!$A$4:$A$51,0)</f>
        <v>39</v>
      </c>
      <c r="L235" s="42" t="n">
        <f aca="false">INDEX(Context!$H$4:$H$51,K235)</f>
        <v>53</v>
      </c>
      <c r="M235" s="42" t="n">
        <f aca="false">INDEX(Context!$I$4:$I$51,K235)</f>
        <v>26</v>
      </c>
      <c r="N235" s="9" t="str">
        <f aca="false">INDEX(Context!$L$4:$L$51,K235)</f>
        <v>F</v>
      </c>
      <c r="O235" s="9" t="str">
        <f aca="false">INDEX(Context!$M$4:$M$51,K235)</f>
        <v>5th fully expanded leaf from top</v>
      </c>
      <c r="P235" s="43" t="n">
        <f aca="false">INDEX(Context!$R$4:$R$51,K235)</f>
        <v>0.433928571428571</v>
      </c>
      <c r="Q235" s="43" t="n">
        <f aca="false">INDEX(Context!$U$4:$U$51,K235)</f>
        <v>1.73951545534029</v>
      </c>
      <c r="R235" s="43" t="n">
        <f aca="false">INDEX(Context!$AD$4:$AD$51,K235)</f>
        <v>1</v>
      </c>
      <c r="S235" s="9" t="str">
        <f aca="false">INDEX(Context!$AI$4:$AN$51,K235,MATCH(F235,Severity_Classes!$A$4:$A$9,0))</f>
        <v>Likely</v>
      </c>
      <c r="T235" s="44" t="n">
        <f aca="false">Parameters!$E$4*IF($N235="V",Parameters!$I$4,IF($N235="F",Parameters!$J$4,Parameters!$K$4))*(1-Parameters!$L$4*$P235)*IF($D235="V1",Parameters!$M$4,IF($D235="V2",Parameters!$N$4,Parameters!$O$4))</f>
        <v>83.2927660714286</v>
      </c>
      <c r="U235" s="44" t="n">
        <f aca="false">MIN(100,T235*(1+INDEX(Response_Table!$E$4:$E$21,MATCH($F235&amp;"|mid",Response_Table!$A$4:$A$21,0))*$R235*INDEX(Parameters!$X$4:$AA$4,1,MATCH($E235,Parameters!$X$3:$AA$3,0))))</f>
        <v>69.8372139603763</v>
      </c>
      <c r="V235" s="44" t="n">
        <f aca="false">MAX(0,MIN(T235*(1+INDEX(Response_Table!$E$4:$E$21,MATCH($F235&amp;"|low",Response_Table!$A$4:$A$21,0))*$R235*INDEX(Parameters!$X$4:$AA$4,1,MATCH($E235,Parameters!$X$3:$AA$3,0))),T235*(1+INDEX(Response_Table!$E$4:$E$21,MATCH($F235&amp;"|high",Response_Table!$A$4:$A$21,0))*$R235*INDEX(Parameters!$X$4:$AA$4,1,MATCH($E235,Parameters!$X$3:$AA$3,0))))*(1-Inputs_General!$C$22*Parameters!$F$4))</f>
        <v>59.9484186608989</v>
      </c>
      <c r="W235" s="44" t="n">
        <f aca="false">MIN(100,MAX(T235*(1+INDEX(Response_Table!$E$4:$E$21,MATCH($F235&amp;"|low",Response_Table!$A$4:$A$21,0))*$R235*INDEX(Parameters!$X$4:$AA$4,1,MATCH($E235,Parameters!$X$3:$AA$3,0))),T235*(1+INDEX(Response_Table!$E$4:$E$21,MATCH($F235&amp;"|high",Response_Table!$A$4:$A$21,0))*$R235*INDEX(Parameters!$X$4:$AA$4,1,MATCH($E235,Parameters!$X$3:$AA$3,0))))*(1+Inputs_General!$C$22*Parameters!$F$4))</f>
        <v>81.208112645542</v>
      </c>
      <c r="X235" s="45" t="n">
        <f aca="false">IF(T235=0,0,U235/T235-1)</f>
        <v>-0.161545266722362</v>
      </c>
      <c r="Y235" s="44" t="n">
        <f aca="false">Parameters!$E$5*IF($N235="V",Parameters!$I$5,IF($N235="F",Parameters!$J$5,Parameters!$K$5))*(1-Parameters!$L$5*$P235)*IF($D235="V1",Parameters!$M$5,IF($D235="V2",Parameters!$N$5,Parameters!$O$5))</f>
        <v>66.88584</v>
      </c>
      <c r="Z235" s="44" t="n">
        <f aca="false">MIN(100,Y235*(1+INDEX(Response_Table!$F$4:$F$21,MATCH($F235&amp;"|mid",Response_Table!$A$4:$A$21,0))*$R235*INDEX(Parameters!$X$5:$AA$5,1,MATCH($E235,Parameters!$X$3:$AA$3,0))))</f>
        <v>33.4233248723021</v>
      </c>
      <c r="AA235" s="44" t="n">
        <f aca="false">MAX(0,MIN(Y235*(1+INDEX(Response_Table!$F$4:$F$21,MATCH($F235&amp;"|low",Response_Table!$A$4:$A$21,0))*$R235*INDEX(Parameters!$X$5:$AA$5,1,MATCH($E235,Parameters!$X$3:$AA$3,0))),Y235*(1+INDEX(Response_Table!$F$4:$F$21,MATCH($F235&amp;"|high",Response_Table!$A$4:$A$21,0))*$R235*INDEX(Parameters!$X$5:$AA$5,1,MATCH($E235,Parameters!$X$3:$AA$3,0))))*(1-Inputs_General!$C$22*Parameters!$F$5))</f>
        <v>22.1390191475138</v>
      </c>
      <c r="AB235" s="44" t="n">
        <f aca="false">MIN(100,MAX(Y235*(1+INDEX(Response_Table!$F$4:$F$21,MATCH($F235&amp;"|low",Response_Table!$A$4:$A$21,0))*$R235*INDEX(Parameters!$X$5:$AA$5,1,MATCH($E235,Parameters!$X$3:$AA$3,0))),Y235*(1+INDEX(Response_Table!$F$4:$F$21,MATCH($F235&amp;"|high",Response_Table!$A$4:$A$21,0))*$R235*INDEX(Parameters!$X$5:$AA$5,1,MATCH($E235,Parameters!$X$3:$AA$3,0))))*(1+Inputs_General!$C$22*Parameters!$F$5))</f>
        <v>52.8296495585286</v>
      </c>
      <c r="AC235" s="45" t="n">
        <f aca="false">IF(Y235=0,0,Z235/Y235-1)</f>
        <v>-0.500292963767786</v>
      </c>
      <c r="AD235" s="44" t="n">
        <f aca="false">Parameters!$E$6*IF($N235="V",Parameters!$I$6,IF($N235="F",Parameters!$J$6,Parameters!$K$6))*(1-Parameters!$L$6*$P235)*IF($D235="V1",Parameters!$M$6,IF($D235="V2",Parameters!$N$6,Parameters!$O$6))</f>
        <v>18.0106428571429</v>
      </c>
      <c r="AE235" s="44" t="n">
        <f aca="false">AD235*(1+INDEX(Response_Table!$G$4:$G$21,MATCH($F235&amp;"|mid",Response_Table!$A$4:$A$21,0))*$R235*INDEX(Parameters!$X$6:$AA$6,1,MATCH($E235,Parameters!$X$3:$AA$3,0)))</f>
        <v>7.04041812166422</v>
      </c>
      <c r="AF235" s="44" t="n">
        <f aca="false">MAX(0,MIN(AD235*(1+INDEX(Response_Table!$G$4:$G$21,MATCH($F235&amp;"|low",Response_Table!$A$4:$A$21,0))*$R235*INDEX(Parameters!$X$6:$AA$6,1,MATCH($E235,Parameters!$X$3:$AA$3,0))),AD235*(1+INDEX(Response_Table!$G$4:$G$21,MATCH($F235&amp;"|high",Response_Table!$A$4:$A$21,0))*$R235*INDEX(Parameters!$X$6:$AA$6,1,MATCH($E235,Parameters!$X$3:$AA$3,0))))*(1-Inputs_General!$C$22*Parameters!$F$6))</f>
        <v>4.81510864732996</v>
      </c>
      <c r="AG235" s="44" t="n">
        <f aca="false">MAX(AD235*(1+INDEX(Response_Table!$G$4:$G$21,MATCH($F235&amp;"|low",Response_Table!$A$4:$A$21,0))*$R235*INDEX(Parameters!$X$6:$AA$6,1,MATCH($E235,Parameters!$X$3:$AA$3,0))),AD235*(1+INDEX(Response_Table!$G$4:$G$21,MATCH($F235&amp;"|high",Response_Table!$A$4:$A$21,0))*$R235*INDEX(Parameters!$X$6:$AA$6,1,MATCH($E235,Parameters!$X$3:$AA$3,0))))*(1+Inputs_General!$C$22*Parameters!$F$6)</f>
        <v>10.5437349479628</v>
      </c>
      <c r="AH235" s="45" t="n">
        <f aca="false">IF(AD235=0,0,AE235/AD235-1)</f>
        <v>-0.609096789186953</v>
      </c>
      <c r="AI235" s="46" t="n">
        <f aca="false">Parameters!$E$7*IF($N235="V",Parameters!$I$7,IF($N235="F",Parameters!$J$7,Parameters!$K$7))*(1-Parameters!$L$7*$P235)*IF($D235="V1",Parameters!$M$7,IF($D235="V2",Parameters!$N$7,Parameters!$O$7))*POWER($Q235/Inputs_General!$C$26,-Inputs_General!$C$25)</f>
        <v>0.341191629407368</v>
      </c>
      <c r="AJ235" s="46" t="n">
        <f aca="false">AI235*(1+INDEX(Response_Table!$H$4:$H$21,MATCH($F235&amp;"|mid",Response_Table!$A$4:$A$21,0))*$R235*INDEX(Parameters!$X$7:$AA$7,1,MATCH($E235,Parameters!$X$3:$AA$3,0)))</f>
        <v>0.190344792852413</v>
      </c>
      <c r="AK235" s="46" t="n">
        <f aca="false">MAX(0,MIN(AI235*(1+INDEX(Response_Table!$H$4:$H$21,MATCH($F235&amp;"|low",Response_Table!$A$4:$A$21,0))*$R235*INDEX(Parameters!$X$7:$AA$7,1,MATCH($E235,Parameters!$X$3:$AA$3,0))),AI235*(1+INDEX(Response_Table!$H$4:$H$21,MATCH($F235&amp;"|high",Response_Table!$A$4:$A$21,0))*$R235*INDEX(Parameters!$X$7:$AA$7,1,MATCH($E235,Parameters!$X$3:$AA$3,0))))*(1-Inputs_General!$C$22*Parameters!$F$7))</f>
        <v>0.118889880715717</v>
      </c>
      <c r="AL235" s="46" t="n">
        <f aca="false">MAX(AI235*(1+INDEX(Response_Table!$H$4:$H$21,MATCH($F235&amp;"|low",Response_Table!$A$4:$A$21,0))*$R235*INDEX(Parameters!$X$7:$AA$7,1,MATCH($E235,Parameters!$X$3:$AA$3,0))),AI235*(1+INDEX(Response_Table!$H$4:$H$21,MATCH($F235&amp;"|high",Response_Table!$A$4:$A$21,0))*$R235*INDEX(Parameters!$X$7:$AA$7,1,MATCH($E235,Parameters!$X$3:$AA$3,0))))*(1+Inputs_General!$C$22*Parameters!$F$7)</f>
        <v>0.286541608289726</v>
      </c>
      <c r="AM235" s="45" t="n">
        <f aca="false">IF(AI235=0,0,AJ235/AI235-1)</f>
        <v>-0.442117635819403</v>
      </c>
      <c r="AN235" s="43" t="n">
        <f aca="false">AI235*$Q235/Inputs_General!$C$13*1000</f>
        <v>5.97691956280819</v>
      </c>
      <c r="AO235" s="43" t="n">
        <f aca="false">AJ235*$Q235/Inputs_General!$C$13*1000*(1+Inputs_General!$C$21*$I235)</f>
        <v>3.65118772775728</v>
      </c>
      <c r="AP235" s="43" t="n">
        <f aca="false">AK235*$Q235/Inputs_General!$C$13*1000*(1+Inputs_General!$C$21*$H235)</f>
        <v>2.21806128915215</v>
      </c>
      <c r="AQ235" s="43" t="n">
        <f aca="false">AL235*$Q235/Inputs_General!$C$13*1000*(1+Inputs_General!$C$21*$J235)</f>
        <v>5.64701914144307</v>
      </c>
      <c r="AR235" s="45" t="n">
        <f aca="false">IF(AN235=0,0,AO235/AN235-1)</f>
        <v>-0.389118811222246</v>
      </c>
      <c r="AS235" s="42" t="n">
        <f aca="false">Parameters!$E$9*IF($N235="V",Parameters!$I$9,IF($N235="F",Parameters!$J$9,Parameters!$K$9))*(1-Parameters!$L$9*$P235)*IF($D235="V1",Parameters!$M$9,IF($D235="V2",Parameters!$N$9,Parameters!$O$9))</f>
        <v>285</v>
      </c>
      <c r="AT235" s="42" t="n">
        <f aca="false">AS235*(1+INDEX(Response_Table!$I$4:$I$21,MATCH($F235&amp;"|mid",Response_Table!$A$4:$A$21,0))*$R235*INDEX(Parameters!$X$9:$AA$9,1,MATCH($E235,Parameters!$X$3:$AA$3,0)))</f>
        <v>351.800133665586</v>
      </c>
      <c r="AU235" s="42" t="n">
        <f aca="false">MAX(0,MIN(AS235*(1+INDEX(Response_Table!$I$4:$I$21,MATCH($F235&amp;"|low",Response_Table!$A$4:$A$21,0))*$R235*INDEX(Parameters!$X$9:$AA$9,1,MATCH($E235,Parameters!$X$3:$AA$3,0))),AS235*(1+INDEX(Response_Table!$I$4:$I$21,MATCH($F235&amp;"|high",Response_Table!$A$4:$A$21,0))*$R235*INDEX(Parameters!$X$9:$AA$9,1,MATCH($E235,Parameters!$X$3:$AA$3,0))))*(1-Inputs_General!$C$22*Parameters!$F$9))</f>
        <v>306.694025735372</v>
      </c>
      <c r="AV235" s="42" t="n">
        <f aca="false">MAX(AS235*(1+INDEX(Response_Table!$I$4:$I$21,MATCH($F235&amp;"|low",Response_Table!$A$4:$A$21,0))*$R235*INDEX(Parameters!$X$9:$AA$9,1,MATCH($E235,Parameters!$X$3:$AA$3,0))),AS235*(1+INDEX(Response_Table!$I$4:$I$21,MATCH($F235&amp;"|high",Response_Table!$A$4:$A$21,0))*$R235*INDEX(Parameters!$X$9:$AA$9,1,MATCH($E235,Parameters!$X$3:$AA$3,0))))*(1+Inputs_General!$C$22*Parameters!$F$9)</f>
        <v>394.355109128328</v>
      </c>
      <c r="AW235" s="45" t="n">
        <f aca="false">IF(AS235=0,0,AT235/AS235-1)</f>
        <v>0.234386433914336</v>
      </c>
      <c r="AX235" s="43" t="n">
        <f aca="false">INDEX(Context!$AB$4:$AB$51,$K235)</f>
        <v>1.90140657748441</v>
      </c>
      <c r="AY235" s="43" t="n">
        <f aca="false">AX235*(1+INDEX(Response_Table!$J$4:$J$21,MATCH($F235&amp;"|mid",Response_Table!$A$4:$A$21,0))*$R235*INDEX(Parameters!$X$10:$AA$10,1,MATCH($E235,Parameters!$X$3:$AA$3,0)))</f>
        <v>1.37668198421718</v>
      </c>
      <c r="AZ235" s="43" t="n">
        <f aca="false">MAX(0,MIN(AX235*(1+INDEX(Response_Table!$J$4:$J$21,MATCH($F235&amp;"|low",Response_Table!$A$4:$A$21,0))*$R235*INDEX(Parameters!$X$10:$AA$10,1,MATCH($E235,Parameters!$X$3:$AA$3,0))),AX235*(1+INDEX(Response_Table!$J$4:$J$21,MATCH($F235&amp;"|high",Response_Table!$A$4:$A$21,0))*$R235*INDEX(Parameters!$X$10:$AA$10,1,MATCH($E235,Parameters!$X$3:$AA$3,0))))*(1-Inputs_General!$C$22*Parameters!$F$10))</f>
        <v>1.03608963504515</v>
      </c>
      <c r="BA235" s="43" t="n">
        <f aca="false">MAX(AX235*(1+INDEX(Response_Table!$J$4:$J$21,MATCH($F235&amp;"|low",Response_Table!$A$4:$A$21,0))*$R235*INDEX(Parameters!$X$10:$AA$10,1,MATCH($E235,Parameters!$X$3:$AA$3,0))),AX235*(1+INDEX(Response_Table!$J$4:$J$21,MATCH($F235&amp;"|high",Response_Table!$A$4:$A$21,0))*$R235*INDEX(Parameters!$X$10:$AA$10,1,MATCH($E235,Parameters!$X$3:$AA$3,0))))*(1+Inputs_General!$C$22*Parameters!$F$10)</f>
        <v>1.78706345063163</v>
      </c>
      <c r="BB235" s="45" t="n">
        <f aca="false">IF(AX235=0,0,AY235/AX235-1)</f>
        <v>-0.275966539445474</v>
      </c>
      <c r="BC235" s="46" t="n">
        <f aca="false">Parameters!$E$11*IF($N235="V",Parameters!$I$11,IF($N235="F",Parameters!$J$11,Parameters!$K$11))*(1-Parameters!$L$11*$P235)*IF($D235="V1",Parameters!$M$11,IF($D235="V2",Parameters!$N$11,Parameters!$O$11))</f>
        <v>1.21745535714286</v>
      </c>
      <c r="BD235" s="46" t="n">
        <f aca="false">BC235*(1+INDEX(Response_Table!$K$4:$K$21,MATCH($F235&amp;"|mid",Response_Table!$A$4:$A$21,0))*$R235*INDEX(Parameters!$X$11:$AA$11,1,MATCH($E235,Parameters!$X$3:$AA$3,0)))</f>
        <v>0.660674969756485</v>
      </c>
      <c r="BE235" s="46" t="n">
        <f aca="false">MAX(0,MIN(BC235*(1+INDEX(Response_Table!$K$4:$K$21,MATCH($F235&amp;"|low",Response_Table!$A$4:$A$21,0))*$R235*INDEX(Parameters!$X$11:$AA$11,1,MATCH($E235,Parameters!$X$3:$AA$3,0))),BC235*(1+INDEX(Response_Table!$K$4:$K$21,MATCH($F235&amp;"|high",Response_Table!$A$4:$A$21,0))*$R235*INDEX(Parameters!$X$11:$AA$11,1,MATCH($E235,Parameters!$X$3:$AA$3,0))))*(1-Inputs_General!$C$22*Parameters!$F$11))</f>
        <v>0.489502216411954</v>
      </c>
      <c r="BF235" s="46" t="n">
        <f aca="false">MAX(BC235*(1+INDEX(Response_Table!$K$4:$K$21,MATCH($F235&amp;"|low",Response_Table!$A$4:$A$21,0))*$R235*INDEX(Parameters!$X$11:$AA$11,1,MATCH($E235,Parameters!$X$3:$AA$3,0))),BC235*(1+INDEX(Response_Table!$K$4:$K$21,MATCH($F235&amp;"|high",Response_Table!$A$4:$A$21,0))*$R235*INDEX(Parameters!$X$11:$AA$11,1,MATCH($E235,Parameters!$X$3:$AA$3,0))))*(1+Inputs_General!$C$22*Parameters!$F$11)</f>
        <v>0.89723069513863</v>
      </c>
      <c r="BG235" s="45" t="n">
        <f aca="false">IF(BC235=0,0,BD235/BC235-1)</f>
        <v>-0.457331255819543</v>
      </c>
      <c r="BH235" s="46" t="n">
        <f aca="false">Parameters!$E$12*IF($N235="V",Parameters!$I$12,IF($N235="F",Parameters!$J$12,Parameters!$K$12))*(1-Parameters!$L$12*$P235)*IF($D235="V1",Parameters!$M$12,IF($D235="V2",Parameters!$N$12,Parameters!$O$12))</f>
        <v>0.438283928571429</v>
      </c>
      <c r="BI235" s="46" t="n">
        <f aca="false">BH235*(1+INDEX(Response_Table!$L$4:$L$21,MATCH($F235&amp;"|mid",Response_Table!$A$4:$A$21,0))*$R235*INDEX(Parameters!$X$12:$AA$12,1,MATCH($E235,Parameters!$X$3:$AA$3,0)))</f>
        <v>0.274322113379579</v>
      </c>
      <c r="BJ235" s="46" t="n">
        <f aca="false">MAX(0,MIN(BH235*(1+INDEX(Response_Table!$L$4:$L$21,MATCH($F235&amp;"|low",Response_Table!$A$4:$A$21,0))*$R235*INDEX(Parameters!$X$12:$AA$12,1,MATCH($E235,Parameters!$X$3:$AA$3,0))),BH235*(1+INDEX(Response_Table!$L$4:$L$21,MATCH($F235&amp;"|high",Response_Table!$A$4:$A$21,0))*$R235*INDEX(Parameters!$X$12:$AA$12,1,MATCH($E235,Parameters!$X$3:$AA$3,0))))*(1-Inputs_General!$C$22*Parameters!$F$12))</f>
        <v>0.201464372217435</v>
      </c>
      <c r="BK235" s="46" t="n">
        <f aca="false">MAX(BH235*(1+INDEX(Response_Table!$L$4:$L$21,MATCH($F235&amp;"|low",Response_Table!$A$4:$A$21,0))*$R235*INDEX(Parameters!$X$12:$AA$12,1,MATCH($E235,Parameters!$X$3:$AA$3,0))),BH235*(1+INDEX(Response_Table!$L$4:$L$21,MATCH($F235&amp;"|high",Response_Table!$A$4:$A$21,0))*$R235*INDEX(Parameters!$X$12:$AA$12,1,MATCH($E235,Parameters!$X$3:$AA$3,0))))*(1+Inputs_General!$C$22*Parameters!$F$12)</f>
        <v>0.368475136850299</v>
      </c>
      <c r="BL235" s="45" t="n">
        <f aca="false">IF(BH235=0,0,BI235/BH235-1)</f>
        <v>-0.374099538001033</v>
      </c>
      <c r="BM235" s="46" t="n">
        <f aca="false">Parameters!$E$13*IF($N235="V",Parameters!$I$13,IF($N235="F",Parameters!$J$13,Parameters!$K$13))*(1-Parameters!$L$13*$P235)*IF($D235="V1",Parameters!$M$13,IF($D235="V2",Parameters!$N$13,Parameters!$O$13))</f>
        <v>0.296094642857143</v>
      </c>
      <c r="BN235" s="46" t="n">
        <f aca="false">BM235*(1+INDEX(Response_Table!$M$4:$M$21,MATCH($F235&amp;"|mid",Response_Table!$A$4:$A$21,0))*$R235*INDEX(Parameters!$X$13:$AA$13,1,MATCH($E235,Parameters!$X$3:$AA$3,0)))</f>
        <v>0.222377568166284</v>
      </c>
      <c r="BO235" s="46" t="n">
        <f aca="false">MAX(0,MIN(BM235*(1+INDEX(Response_Table!$M$4:$M$21,MATCH($F235&amp;"|low",Response_Table!$A$4:$A$21,0))*$R235*INDEX(Parameters!$X$13:$AA$13,1,MATCH($E235,Parameters!$X$3:$AA$3,0))),BM235*(1+INDEX(Response_Table!$M$4:$M$21,MATCH($F235&amp;"|high",Response_Table!$A$4:$A$21,0))*$R235*INDEX(Parameters!$X$13:$AA$13,1,MATCH($E235,Parameters!$X$3:$AA$3,0))))*(1-Inputs_General!$C$22*Parameters!$F$13))</f>
        <v>0.165974008124213</v>
      </c>
      <c r="BP235" s="46" t="n">
        <f aca="false">MAX(BM235*(1+INDEX(Response_Table!$M$4:$M$21,MATCH($F235&amp;"|low",Response_Table!$A$4:$A$21,0))*$R235*INDEX(Parameters!$X$13:$AA$13,1,MATCH($E235,Parameters!$X$3:$AA$3,0))),BM235*(1+INDEX(Response_Table!$M$4:$M$21,MATCH($F235&amp;"|high",Response_Table!$A$4:$A$21,0))*$R235*INDEX(Parameters!$X$13:$AA$13,1,MATCH($E235,Parameters!$X$3:$AA$3,0))))*(1+Inputs_General!$C$22*Parameters!$F$13)</f>
        <v>0.29634732254687</v>
      </c>
      <c r="BQ235" s="45" t="n">
        <f aca="false">IF(BM235=0,0,BN235/BM235-1)</f>
        <v>-0.248964567475896</v>
      </c>
      <c r="BR235" s="44" t="n">
        <f aca="false">Parameters!$E$14*IF($N235="V",Parameters!$I$14,IF($N235="F",Parameters!$J$14,Parameters!$K$14))*(1-Parameters!$L$14*$P235)*IF($D235="V1",Parameters!$M$14,IF($D235="V2",Parameters!$N$14,Parameters!$O$14))*INDEX(Context!$AC$4:$AC$51,$K235)</f>
        <v>15</v>
      </c>
      <c r="BS235" s="44" t="n">
        <f aca="false">BR235*(1+INDEX(Response_Table!$N$4:$N$21,MATCH($F235&amp;"|mid",Response_Table!$A$4:$A$21,0))*$R235*INDEX(Parameters!$X$14:$AA$14,1,MATCH($E235,Parameters!$X$3:$AA$3,0)))</f>
        <v>21.1216288036533</v>
      </c>
      <c r="BT235" s="44" t="n">
        <f aca="false">MAX(0,MIN(BR235*(1+INDEX(Response_Table!$N$4:$N$21,MATCH($F235&amp;"|low",Response_Table!$A$4:$A$21,0))*$R235*INDEX(Parameters!$X$14:$AA$14,1,MATCH($E235,Parameters!$X$3:$AA$3,0))),BR235*(1+INDEX(Response_Table!$N$4:$N$21,MATCH($F235&amp;"|high",Response_Table!$A$4:$A$21,0))*$R235*INDEX(Parameters!$X$14:$AA$14,1,MATCH($E235,Parameters!$X$3:$AA$3,0))))*(1-Inputs_General!$C$22*Parameters!$F$14))</f>
        <v>10.0663561974651</v>
      </c>
      <c r="BU235" s="44" t="n">
        <f aca="false">MAX(BR235*(1+INDEX(Response_Table!$N$4:$N$21,MATCH($F235&amp;"|low",Response_Table!$A$4:$A$21,0))*$R235*INDEX(Parameters!$X$14:$AA$14,1,MATCH($E235,Parameters!$X$3:$AA$3,0))),BR235*(1+INDEX(Response_Table!$N$4:$N$21,MATCH($F235&amp;"|high",Response_Table!$A$4:$A$21,0))*$R235*INDEX(Parameters!$X$14:$AA$14,1,MATCH($E235,Parameters!$X$3:$AA$3,0))))*(1+Inputs_General!$C$22*Parameters!$F$14)</f>
        <v>32.8447959523649</v>
      </c>
      <c r="BV235" s="45" t="n">
        <f aca="false">IF(BR235=0,0,BS235/BR235-1)</f>
        <v>0.408108586910218</v>
      </c>
      <c r="BW235" s="43" t="n">
        <f aca="false">Parameters!$E$15*IF($N235="V",Parameters!$I$15,IF($N235="F",Parameters!$J$15,Parameters!$K$15))*(1-Parameters!$L$15*$P235)*IF($D235="V1",Parameters!$M$15,IF($D235="V2",Parameters!$N$15,Parameters!$O$15))</f>
        <v>10.1292285714286</v>
      </c>
      <c r="BX235" s="43" t="n">
        <f aca="false">BW235*(1+INDEX(Response_Table!$O$4:$O$21,MATCH($F235&amp;"|mid",Response_Table!$A$4:$A$21,0))*$R235*INDEX(Parameters!$X$15:$AA$15,1,MATCH($E235,Parameters!$X$3:$AA$3,0)))</f>
        <v>9.09577228173449</v>
      </c>
      <c r="BY235" s="43" t="n">
        <f aca="false">MAX(0,MIN(BW235*(1+INDEX(Response_Table!$O$4:$O$21,MATCH($F235&amp;"|low",Response_Table!$A$4:$A$21,0))*$R235*INDEX(Parameters!$X$15:$AA$15,1,MATCH($E235,Parameters!$X$3:$AA$3,0))),BW235*(1+INDEX(Response_Table!$O$4:$O$21,MATCH($F235&amp;"|high",Response_Table!$A$4:$A$21,0))*$R235*INDEX(Parameters!$X$15:$AA$15,1,MATCH($E235,Parameters!$X$3:$AA$3,0))))*(1-Inputs_General!$C$22*Parameters!$F$15))</f>
        <v>7.18235884410643</v>
      </c>
      <c r="BZ235" s="43" t="n">
        <f aca="false">MAX(BW235*(1+INDEX(Response_Table!$O$4:$O$21,MATCH($F235&amp;"|low",Response_Table!$A$4:$A$21,0))*$R235*INDEX(Parameters!$X$15:$AA$15,1,MATCH($E235,Parameters!$X$3:$AA$3,0))),BW235*(1+INDEX(Response_Table!$O$4:$O$21,MATCH($F235&amp;"|high",Response_Table!$A$4:$A$21,0))*$R235*INDEX(Parameters!$X$15:$AA$15,1,MATCH($E235,Parameters!$X$3:$AA$3,0))))*(1+Inputs_General!$C$22*Parameters!$F$15)</f>
        <v>11.1434105290651</v>
      </c>
      <c r="CA235" s="45" t="n">
        <f aca="false">IF(BW235=0,0,BX235/BW235-1)</f>
        <v>-0.102027146727554</v>
      </c>
      <c r="CB235" s="46" t="n">
        <f aca="false">BD235+BI235</f>
        <v>0.934997083136064</v>
      </c>
      <c r="CC235" s="43" t="n">
        <f aca="false">BD235/BI235</f>
        <v>2.40839122160855</v>
      </c>
      <c r="CD235" s="46" t="n">
        <f aca="false">BN235/CB235</f>
        <v>0.237837713269019</v>
      </c>
      <c r="CE235" s="43" t="n">
        <f aca="false">AE235/AO235</f>
        <v>1.92825421386612</v>
      </c>
      <c r="CF235" s="44" t="n">
        <f aca="false">AE235/AJ235</f>
        <v>36.9877106495009</v>
      </c>
      <c r="CG235" s="44" t="n">
        <f aca="false">INDEX(Context!$V$4:$V$51,$K235)</f>
        <v>28.62</v>
      </c>
      <c r="CH235" s="44" t="n">
        <f aca="false">INDEX(Context!$Y$4:$Y$51,$K235)</f>
        <v>25.3060134606718</v>
      </c>
      <c r="CI235" s="44" t="n">
        <f aca="false">INDEX(Context!$Z$4:$Z$51,$K235)</f>
        <v>32.62</v>
      </c>
      <c r="CJ235" s="43" t="n">
        <f aca="false">INDEX(Context!$AA$4:$AA$51,$K235)</f>
        <v>0.221696428571429</v>
      </c>
      <c r="CK235" s="43" t="n">
        <f aca="false">MAX(0,MIN(1,1-(1-CJ235)*AO235/AN235))</f>
        <v>0.524548989055743</v>
      </c>
      <c r="CL235" s="44" t="n">
        <f aca="false">CH235+CK235*(CI235-CH235)</f>
        <v>29.1425577058437</v>
      </c>
      <c r="CM235" s="44" t="n">
        <f aca="false">CH235+MAX(0,MIN(1,1-(1-CJ235)*AQ235/AN235))*(CI235-CH235)</f>
        <v>27.2416999336744</v>
      </c>
      <c r="CN235" s="44" t="n">
        <f aca="false">CH235+MAX(0,MIN(1,1-(1-CJ235)*AP235/AN235))*(CI235-CH235)</f>
        <v>30.507487384094</v>
      </c>
      <c r="CO235" s="44" t="n">
        <f aca="false">CL235-CG235</f>
        <v>0.522557705843703</v>
      </c>
      <c r="CP235" s="44" t="n">
        <f aca="false">CL235-(CH235+CJ235*(CI235-CH235))</f>
        <v>2.21505955078337</v>
      </c>
      <c r="CQ235" s="46" t="n">
        <f aca="false">CL235/CG235</f>
        <v>1.01825848028804</v>
      </c>
      <c r="CR235" s="43" t="n">
        <f aca="false">IF(CL235-CH235&lt;=0,"n/a",(CI235-CL235)/(CL235-CH235))</f>
        <v>0.906399632568412</v>
      </c>
      <c r="CS235" s="43" t="n">
        <f aca="false">IF(CI235-CL235&lt;=0,"n/a",(CL235-CH235)/(CI235-CL235))</f>
        <v>1.10326611360858</v>
      </c>
      <c r="CT235" s="43" t="n">
        <f aca="false">Inputs_General!$C$23+Inputs_General!$C$24*$I235</f>
        <v>1.36</v>
      </c>
      <c r="CU235" s="44" t="n">
        <f aca="false">3.29*CT235</f>
        <v>4.4744</v>
      </c>
    </row>
    <row r="236" customFormat="false" ht="15" hidden="false" customHeight="false" outlineLevel="0" collapsed="false">
      <c r="A236" s="9" t="str">
        <f aca="false">B236&amp;"|"&amp;E236&amp;"|"&amp;F236</f>
        <v>D4V1|03/03/2026|Very high</v>
      </c>
      <c r="B236" s="7" t="s">
        <v>352</v>
      </c>
      <c r="C236" s="9" t="s">
        <v>133</v>
      </c>
      <c r="D236" s="9" t="s">
        <v>142</v>
      </c>
      <c r="E236" s="9" t="s">
        <v>162</v>
      </c>
      <c r="F236" s="7" t="s">
        <v>285</v>
      </c>
      <c r="G236" s="9" t="s">
        <v>286</v>
      </c>
      <c r="H236" s="41" t="n">
        <f aca="false">INDEX(Severity_Classes!$C$4:$C$9,MATCH(F236,Severity_Classes!$A$4:$A$9,0))</f>
        <v>0.51</v>
      </c>
      <c r="I236" s="41" t="n">
        <f aca="false">INDEX(Severity_Classes!$D$4:$D$9,MATCH(F236,Severity_Classes!$A$4:$A$9,0))</f>
        <v>0.65</v>
      </c>
      <c r="J236" s="41" t="n">
        <f aca="false">INDEX(Severity_Classes!$E$4:$E$9,MATCH(F236,Severity_Classes!$A$4:$A$9,0))</f>
        <v>0.85</v>
      </c>
      <c r="K236" s="42" t="n">
        <f aca="false">MATCH(B236&amp;"|"&amp;E236,Context!$A$4:$A$51,0)</f>
        <v>39</v>
      </c>
      <c r="L236" s="42" t="n">
        <f aca="false">INDEX(Context!$H$4:$H$51,K236)</f>
        <v>53</v>
      </c>
      <c r="M236" s="42" t="n">
        <f aca="false">INDEX(Context!$I$4:$I$51,K236)</f>
        <v>26</v>
      </c>
      <c r="N236" s="9" t="str">
        <f aca="false">INDEX(Context!$L$4:$L$51,K236)</f>
        <v>F</v>
      </c>
      <c r="O236" s="9" t="str">
        <f aca="false">INDEX(Context!$M$4:$M$51,K236)</f>
        <v>5th fully expanded leaf from top</v>
      </c>
      <c r="P236" s="43" t="n">
        <f aca="false">INDEX(Context!$R$4:$R$51,K236)</f>
        <v>0.433928571428571</v>
      </c>
      <c r="Q236" s="43" t="n">
        <f aca="false">INDEX(Context!$U$4:$U$51,K236)</f>
        <v>1.73951545534029</v>
      </c>
      <c r="R236" s="43" t="n">
        <f aca="false">INDEX(Context!$AD$4:$AD$51,K236)</f>
        <v>1</v>
      </c>
      <c r="S236" s="9" t="str">
        <f aca="false">INDEX(Context!$AI$4:$AN$51,K236,MATCH(F236,Severity_Classes!$A$4:$A$9,0))</f>
        <v>Possible</v>
      </c>
      <c r="T236" s="44" t="n">
        <f aca="false">Parameters!$E$4*IF($N236="V",Parameters!$I$4,IF($N236="F",Parameters!$J$4,Parameters!$K$4))*(1-Parameters!$L$4*$P236)*IF($D236="V1",Parameters!$M$4,IF($D236="V2",Parameters!$N$4,Parameters!$O$4))</f>
        <v>83.2927660714286</v>
      </c>
      <c r="U236" s="44" t="n">
        <f aca="false">MIN(100,T236*(1+INDEX(Response_Table!$E$4:$E$21,MATCH($F236&amp;"|mid",Response_Table!$A$4:$A$21,0))*$R236*INDEX(Parameters!$X$4:$AA$4,1,MATCH($E236,Parameters!$X$3:$AA$3,0))))</f>
        <v>60.303041880188</v>
      </c>
      <c r="V236" s="44" t="n">
        <f aca="false">MAX(0,MIN(T236*(1+INDEX(Response_Table!$E$4:$E$21,MATCH($F236&amp;"|low",Response_Table!$A$4:$A$21,0))*$R236*INDEX(Parameters!$X$4:$AA$4,1,MATCH($E236,Parameters!$X$3:$AA$3,0))),T236*(1+INDEX(Response_Table!$E$4:$E$21,MATCH($F236&amp;"|high",Response_Table!$A$4:$A$21,0))*$R236*INDEX(Parameters!$X$4:$AA$4,1,MATCH($E236,Parameters!$X$3:$AA$3,0))))*(1-Inputs_General!$C$22*Parameters!$F$4))</f>
        <v>54.8441478940175</v>
      </c>
      <c r="W236" s="44" t="n">
        <f aca="false">MIN(100,MAX(T236*(1+INDEX(Response_Table!$E$4:$E$21,MATCH($F236&amp;"|low",Response_Table!$A$4:$A$21,0))*$R236*INDEX(Parameters!$X$4:$AA$4,1,MATCH($E236,Parameters!$X$3:$AA$3,0))),T236*(1+INDEX(Response_Table!$E$4:$E$21,MATCH($F236&amp;"|high",Response_Table!$A$4:$A$21,0))*$R236*INDEX(Parameters!$X$4:$AA$4,1,MATCH($E236,Parameters!$X$3:$AA$3,0))))*(1+Inputs_General!$C$22*Parameters!$F$4))</f>
        <v>67.997707548122</v>
      </c>
      <c r="X236" s="45" t="n">
        <f aca="false">IF(T236=0,0,U236/T236-1)</f>
        <v>-0.276011054447699</v>
      </c>
      <c r="Y236" s="44" t="n">
        <f aca="false">Parameters!$E$5*IF($N236="V",Parameters!$I$5,IF($N236="F",Parameters!$J$5,Parameters!$K$5))*(1-Parameters!$L$5*$P236)*IF($D236="V1",Parameters!$M$5,IF($D236="V2",Parameters!$N$5,Parameters!$O$5))</f>
        <v>66.88584</v>
      </c>
      <c r="Z236" s="44" t="n">
        <f aca="false">MIN(100,Y236*(1+INDEX(Response_Table!$F$4:$F$21,MATCH($F236&amp;"|mid",Response_Table!$A$4:$A$21,0))*$R236*INDEX(Parameters!$X$5:$AA$5,1,MATCH($E236,Parameters!$X$3:$AA$3,0))))</f>
        <v>21.2640740923591</v>
      </c>
      <c r="AA236" s="44" t="n">
        <f aca="false">MAX(0,MIN(Y236*(1+INDEX(Response_Table!$F$4:$F$21,MATCH($F236&amp;"|low",Response_Table!$A$4:$A$21,0))*$R236*INDEX(Parameters!$X$5:$AA$5,1,MATCH($E236,Parameters!$X$3:$AA$3,0))),Y236*(1+INDEX(Response_Table!$F$4:$F$21,MATCH($F236&amp;"|high",Response_Table!$A$4:$A$21,0))*$R236*INDEX(Parameters!$X$5:$AA$5,1,MATCH($E236,Parameters!$X$3:$AA$3,0))))*(1-Inputs_General!$C$22*Parameters!$F$5))</f>
        <v>17.9017389022877</v>
      </c>
      <c r="AB236" s="44" t="n">
        <f aca="false">MIN(100,MAX(Y236*(1+INDEX(Response_Table!$F$4:$F$21,MATCH($F236&amp;"|low",Response_Table!$A$4:$A$21,0))*$R236*INDEX(Parameters!$X$5:$AA$5,1,MATCH($E236,Parameters!$X$3:$AA$3,0))),Y236*(1+INDEX(Response_Table!$F$4:$F$21,MATCH($F236&amp;"|high",Response_Table!$A$4:$A$21,0))*$R236*INDEX(Parameters!$X$5:$AA$5,1,MATCH($E236,Parameters!$X$3:$AA$3,0))))*(1+Inputs_General!$C$22*Parameters!$F$5))</f>
        <v>27.4232961947742</v>
      </c>
      <c r="AC236" s="45" t="n">
        <f aca="false">IF(Y236=0,0,Z236/Y236-1)</f>
        <v>-0.682084069029274</v>
      </c>
      <c r="AD236" s="44" t="n">
        <f aca="false">Parameters!$E$6*IF($N236="V",Parameters!$I$6,IF($N236="F",Parameters!$J$6,Parameters!$K$6))*(1-Parameters!$L$6*$P236)*IF($D236="V1",Parameters!$M$6,IF($D236="V2",Parameters!$N$6,Parameters!$O$6))</f>
        <v>18.0106428571429</v>
      </c>
      <c r="AE236" s="44" t="n">
        <f aca="false">AD236*(1+INDEX(Response_Table!$G$4:$G$21,MATCH($F236&amp;"|mid",Response_Table!$A$4:$A$21,0))*$R236*INDEX(Parameters!$X$6:$AA$6,1,MATCH($E236,Parameters!$X$3:$AA$3,0)))</f>
        <v>5.27624610529522</v>
      </c>
      <c r="AF236" s="44" t="n">
        <f aca="false">MAX(0,MIN(AD236*(1+INDEX(Response_Table!$G$4:$G$21,MATCH($F236&amp;"|low",Response_Table!$A$4:$A$21,0))*$R236*INDEX(Parameters!$X$6:$AA$6,1,MATCH($E236,Parameters!$X$3:$AA$3,0))),AD236*(1+INDEX(Response_Table!$G$4:$G$21,MATCH($F236&amp;"|high",Response_Table!$A$4:$A$21,0))*$R236*INDEX(Parameters!$X$6:$AA$6,1,MATCH($E236,Parameters!$X$3:$AA$3,0))))*(1-Inputs_General!$C$22*Parameters!$F$6))</f>
        <v>3.8713657520219</v>
      </c>
      <c r="AG236" s="44" t="n">
        <f aca="false">MAX(AD236*(1+INDEX(Response_Table!$G$4:$G$21,MATCH($F236&amp;"|low",Response_Table!$A$4:$A$21,0))*$R236*INDEX(Parameters!$X$6:$AA$6,1,MATCH($E236,Parameters!$X$3:$AA$3,0))),AD236*(1+INDEX(Response_Table!$G$4:$G$21,MATCH($F236&amp;"|high",Response_Table!$A$4:$A$21,0))*$R236*INDEX(Parameters!$X$6:$AA$6,1,MATCH($E236,Parameters!$X$3:$AA$3,0))))*(1+Inputs_General!$C$22*Parameters!$F$6)</f>
        <v>7.1065206502864</v>
      </c>
      <c r="AH236" s="45" t="n">
        <f aca="false">IF(AD236=0,0,AE236/AD236-1)</f>
        <v>-0.707048429800899</v>
      </c>
      <c r="AI236" s="46" t="n">
        <f aca="false">Parameters!$E$7*IF($N236="V",Parameters!$I$7,IF($N236="F",Parameters!$J$7,Parameters!$K$7))*(1-Parameters!$L$7*$P236)*IF($D236="V1",Parameters!$M$7,IF($D236="V2",Parameters!$N$7,Parameters!$O$7))*POWER($Q236/Inputs_General!$C$26,-Inputs_General!$C$25)</f>
        <v>0.341191629407368</v>
      </c>
      <c r="AJ236" s="46" t="n">
        <f aca="false">AI236*(1+INDEX(Response_Table!$H$4:$H$21,MATCH($F236&amp;"|mid",Response_Table!$A$4:$A$21,0))*$R236*INDEX(Parameters!$X$7:$AA$7,1,MATCH($E236,Parameters!$X$3:$AA$3,0)))</f>
        <v>0.150969839792144</v>
      </c>
      <c r="AK236" s="46" t="n">
        <f aca="false">MAX(0,MIN(AI236*(1+INDEX(Response_Table!$H$4:$H$21,MATCH($F236&amp;"|low",Response_Table!$A$4:$A$21,0))*$R236*INDEX(Parameters!$X$7:$AA$7,1,MATCH($E236,Parameters!$X$3:$AA$3,0))),AI236*(1+INDEX(Response_Table!$H$4:$H$21,MATCH($F236&amp;"|high",Response_Table!$A$4:$A$21,0))*$R236*INDEX(Parameters!$X$7:$AA$7,1,MATCH($E236,Parameters!$X$3:$AA$3,0))))*(1-Inputs_General!$C$22*Parameters!$F$7))</f>
        <v>0.0962467791710981</v>
      </c>
      <c r="AL236" s="46" t="n">
        <f aca="false">MAX(AI236*(1+INDEX(Response_Table!$H$4:$H$21,MATCH($F236&amp;"|low",Response_Table!$A$4:$A$21,0))*$R236*INDEX(Parameters!$X$7:$AA$7,1,MATCH($E236,Parameters!$X$3:$AA$3,0))),AI236*(1+INDEX(Response_Table!$H$4:$H$21,MATCH($F236&amp;"|high",Response_Table!$A$4:$A$21,0))*$R236*INDEX(Parameters!$X$7:$AA$7,1,MATCH($E236,Parameters!$X$3:$AA$3,0))))*(1+Inputs_General!$C$22*Parameters!$F$7)</f>
        <v>0.217017911404944</v>
      </c>
      <c r="AM236" s="45" t="n">
        <f aca="false">IF(AI236=0,0,AJ236/AI236-1)</f>
        <v>-0.557521853468766</v>
      </c>
      <c r="AN236" s="43" t="n">
        <f aca="false">AI236*$Q236/Inputs_General!$C$13*1000</f>
        <v>5.97691956280819</v>
      </c>
      <c r="AO236" s="43" t="n">
        <f aca="false">AJ236*$Q236/Inputs_General!$C$13*1000*(1+Inputs_General!$C$21*$I236)</f>
        <v>3.07441293726176</v>
      </c>
      <c r="AP236" s="43" t="n">
        <f aca="false">AK236*$Q236/Inputs_General!$C$13*1000*(1+Inputs_General!$C$21*$H236)</f>
        <v>1.90099860807092</v>
      </c>
      <c r="AQ236" s="43" t="n">
        <f aca="false">AL236*$Q236/Inputs_General!$C$13*1000*(1+Inputs_General!$C$21*$J236)</f>
        <v>4.60952707257469</v>
      </c>
      <c r="AR236" s="45" t="n">
        <f aca="false">IF(AN236=0,0,AO236/AN236-1)</f>
        <v>-0.485619154657441</v>
      </c>
      <c r="AS236" s="42" t="n">
        <f aca="false">Parameters!$E$9*IF($N236="V",Parameters!$I$9,IF($N236="F",Parameters!$J$9,Parameters!$K$9))*(1-Parameters!$L$9*$P236)*IF($D236="V1",Parameters!$M$9,IF($D236="V2",Parameters!$N$9,Parameters!$O$9))</f>
        <v>285</v>
      </c>
      <c r="AT236" s="42" t="n">
        <f aca="false">AS236*(1+INDEX(Response_Table!$I$4:$I$21,MATCH($F236&amp;"|mid",Response_Table!$A$4:$A$21,0))*$R236*INDEX(Parameters!$X$9:$AA$9,1,MATCH($E236,Parameters!$X$3:$AA$3,0)))</f>
        <v>364.149609062674</v>
      </c>
      <c r="AU236" s="42" t="n">
        <f aca="false">MAX(0,MIN(AS236*(1+INDEX(Response_Table!$I$4:$I$21,MATCH($F236&amp;"|low",Response_Table!$A$4:$A$21,0))*$R236*INDEX(Parameters!$X$9:$AA$9,1,MATCH($E236,Parameters!$X$3:$AA$3,0))),AS236*(1+INDEX(Response_Table!$I$4:$I$21,MATCH($F236&amp;"|high",Response_Table!$A$4:$A$21,0))*$R236*INDEX(Parameters!$X$9:$AA$9,1,MATCH($E236,Parameters!$X$3:$AA$3,0))))*(1-Inputs_General!$C$22*Parameters!$F$9))</f>
        <v>323.911488006691</v>
      </c>
      <c r="AV236" s="42" t="n">
        <f aca="false">MAX(AS236*(1+INDEX(Response_Table!$I$4:$I$21,MATCH($F236&amp;"|low",Response_Table!$A$4:$A$21,0))*$R236*INDEX(Parameters!$X$9:$AA$9,1,MATCH($E236,Parameters!$X$3:$AA$3,0))),AS236*(1+INDEX(Response_Table!$I$4:$I$21,MATCH($F236&amp;"|high",Response_Table!$A$4:$A$21,0))*$R236*INDEX(Parameters!$X$9:$AA$9,1,MATCH($E236,Parameters!$X$3:$AA$3,0))))*(1+Inputs_General!$C$22*Parameters!$F$9)</f>
        <v>403.933303399187</v>
      </c>
      <c r="AW236" s="45" t="n">
        <f aca="false">IF(AS236=0,0,AT236/AS236-1)</f>
        <v>0.2777179265357</v>
      </c>
      <c r="AX236" s="43" t="n">
        <f aca="false">INDEX(Context!$AB$4:$AB$51,$K236)</f>
        <v>1.90140657748441</v>
      </c>
      <c r="AY236" s="43" t="n">
        <f aca="false">AX236*(1+INDEX(Response_Table!$J$4:$J$21,MATCH($F236&amp;"|mid",Response_Table!$A$4:$A$21,0))*$R236*INDEX(Parameters!$X$10:$AA$10,1,MATCH($E236,Parameters!$X$3:$AA$3,0)))</f>
        <v>1.21425773710395</v>
      </c>
      <c r="AZ236" s="43" t="n">
        <f aca="false">MAX(0,MIN(AX236*(1+INDEX(Response_Table!$J$4:$J$21,MATCH($F236&amp;"|low",Response_Table!$A$4:$A$21,0))*$R236*INDEX(Parameters!$X$10:$AA$10,1,MATCH($E236,Parameters!$X$3:$AA$3,0))),AX236*(1+INDEX(Response_Table!$J$4:$J$21,MATCH($F236&amp;"|high",Response_Table!$A$4:$A$21,0))*$R236*INDEX(Parameters!$X$10:$AA$10,1,MATCH($E236,Parameters!$X$3:$AA$3,0))))*(1-Inputs_General!$C$22*Parameters!$F$10))</f>
        <v>0.921356228852816</v>
      </c>
      <c r="BA236" s="43" t="n">
        <f aca="false">MAX(AX236*(1+INDEX(Response_Table!$J$4:$J$21,MATCH($F236&amp;"|low",Response_Table!$A$4:$A$21,0))*$R236*INDEX(Parameters!$X$10:$AA$10,1,MATCH($E236,Parameters!$X$3:$AA$3,0))),AX236*(1+INDEX(Response_Table!$J$4:$J$21,MATCH($F236&amp;"|high",Response_Table!$A$4:$A$21,0))*$R236*INDEX(Parameters!$X$10:$AA$10,1,MATCH($E236,Parameters!$X$3:$AA$3,0))))*(1+Inputs_General!$C$22*Parameters!$F$10)</f>
        <v>1.53849611053489</v>
      </c>
      <c r="BB236" s="45" t="n">
        <f aca="false">IF(AX236=0,0,AY236/AX236-1)</f>
        <v>-0.361389746158113</v>
      </c>
      <c r="BC236" s="46" t="n">
        <f aca="false">Parameters!$E$11*IF($N236="V",Parameters!$I$11,IF($N236="F",Parameters!$J$11,Parameters!$K$11))*(1-Parameters!$L$11*$P236)*IF($D236="V1",Parameters!$M$11,IF($D236="V2",Parameters!$N$11,Parameters!$O$11))</f>
        <v>1.21745535714286</v>
      </c>
      <c r="BD236" s="46" t="n">
        <f aca="false">BC236*(1+INDEX(Response_Table!$K$4:$K$21,MATCH($F236&amp;"|mid",Response_Table!$A$4:$A$21,0))*$R236*INDEX(Parameters!$X$11:$AA$11,1,MATCH($E236,Parameters!$X$3:$AA$3,0)))</f>
        <v>0.524972396471603</v>
      </c>
      <c r="BE236" s="46" t="n">
        <f aca="false">MAX(0,MIN(BC236*(1+INDEX(Response_Table!$K$4:$K$21,MATCH($F236&amp;"|low",Response_Table!$A$4:$A$21,0))*$R236*INDEX(Parameters!$X$11:$AA$11,1,MATCH($E236,Parameters!$X$3:$AA$3,0))),BC236*(1+INDEX(Response_Table!$K$4:$K$21,MATCH($F236&amp;"|high",Response_Table!$A$4:$A$21,0))*$R236*INDEX(Parameters!$X$11:$AA$11,1,MATCH($E236,Parameters!$X$3:$AA$3,0))))*(1-Inputs_General!$C$22*Parameters!$F$11))</f>
        <v>0.399568765744004</v>
      </c>
      <c r="BF236" s="46" t="n">
        <f aca="false">MAX(BC236*(1+INDEX(Response_Table!$K$4:$K$21,MATCH($F236&amp;"|low",Response_Table!$A$4:$A$21,0))*$R236*INDEX(Parameters!$X$11:$AA$11,1,MATCH($E236,Parameters!$X$3:$AA$3,0))),BC236*(1+INDEX(Response_Table!$K$4:$K$21,MATCH($F236&amp;"|high",Response_Table!$A$4:$A$21,0))*$R236*INDEX(Parameters!$X$11:$AA$11,1,MATCH($E236,Parameters!$X$3:$AA$3,0))))*(1+Inputs_General!$C$22*Parameters!$F$11)</f>
        <v>0.676397111709514</v>
      </c>
      <c r="BG236" s="45" t="n">
        <f aca="false">IF(BC236=0,0,BD236/BC236-1)</f>
        <v>-0.568795362070921</v>
      </c>
      <c r="BH236" s="46" t="n">
        <f aca="false">Parameters!$E$12*IF($N236="V",Parameters!$I$12,IF($N236="F",Parameters!$J$12,Parameters!$K$12))*(1-Parameters!$L$12*$P236)*IF($D236="V1",Parameters!$M$12,IF($D236="V2",Parameters!$N$12,Parameters!$O$12))</f>
        <v>0.438283928571429</v>
      </c>
      <c r="BI236" s="46" t="n">
        <f aca="false">BH236*(1+INDEX(Response_Table!$L$4:$L$21,MATCH($F236&amp;"|mid",Response_Table!$A$4:$A$21,0))*$R236*INDEX(Parameters!$X$12:$AA$12,1,MATCH($E236,Parameters!$X$3:$AA$3,0)))</f>
        <v>0.231523809322977</v>
      </c>
      <c r="BJ236" s="46" t="n">
        <f aca="false">MAX(0,MIN(BH236*(1+INDEX(Response_Table!$L$4:$L$21,MATCH($F236&amp;"|low",Response_Table!$A$4:$A$21,0))*$R236*INDEX(Parameters!$X$12:$AA$12,1,MATCH($E236,Parameters!$X$3:$AA$3,0))),BH236*(1+INDEX(Response_Table!$L$4:$L$21,MATCH($F236&amp;"|high",Response_Table!$A$4:$A$21,0))*$R236*INDEX(Parameters!$X$12:$AA$12,1,MATCH($E236,Parameters!$X$3:$AA$3,0))))*(1-Inputs_General!$C$22*Parameters!$F$12))</f>
        <v>0.173401597158107</v>
      </c>
      <c r="BK236" s="46" t="n">
        <f aca="false">MAX(BH236*(1+INDEX(Response_Table!$L$4:$L$21,MATCH($F236&amp;"|low",Response_Table!$A$4:$A$21,0))*$R236*INDEX(Parameters!$X$12:$AA$12,1,MATCH($E236,Parameters!$X$3:$AA$3,0))),BH236*(1+INDEX(Response_Table!$L$4:$L$21,MATCH($F236&amp;"|high",Response_Table!$A$4:$A$21,0))*$R236*INDEX(Parameters!$X$12:$AA$12,1,MATCH($E236,Parameters!$X$3:$AA$3,0))))*(1+Inputs_General!$C$22*Parameters!$F$12)</f>
        <v>0.298661524310012</v>
      </c>
      <c r="BL236" s="45" t="n">
        <f aca="false">IF(BH236=0,0,BI236/BH236-1)</f>
        <v>-0.471749260627418</v>
      </c>
      <c r="BM236" s="46" t="n">
        <f aca="false">Parameters!$E$13*IF($N236="V",Parameters!$I$13,IF($N236="F",Parameters!$J$13,Parameters!$K$13))*(1-Parameters!$L$13*$P236)*IF($D236="V1",Parameters!$M$13,IF($D236="V2",Parameters!$N$13,Parameters!$O$13))</f>
        <v>0.296094642857143</v>
      </c>
      <c r="BN236" s="46" t="n">
        <f aca="false">BM236*(1+INDEX(Response_Table!$M$4:$M$21,MATCH($F236&amp;"|mid",Response_Table!$A$4:$A$21,0))*$R236*INDEX(Parameters!$X$13:$AA$13,1,MATCH($E236,Parameters!$X$3:$AA$3,0)))</f>
        <v>0.195293968114164</v>
      </c>
      <c r="BO236" s="46" t="n">
        <f aca="false">MAX(0,MIN(BM236*(1+INDEX(Response_Table!$M$4:$M$21,MATCH($F236&amp;"|low",Response_Table!$A$4:$A$21,0))*$R236*INDEX(Parameters!$X$13:$AA$13,1,MATCH($E236,Parameters!$X$3:$AA$3,0))),BM236*(1+INDEX(Response_Table!$M$4:$M$21,MATCH($F236&amp;"|high",Response_Table!$A$4:$A$21,0))*$R236*INDEX(Parameters!$X$13:$AA$13,1,MATCH($E236,Parameters!$X$3:$AA$3,0))))*(1-Inputs_General!$C$22*Parameters!$F$13))</f>
        <v>0.150121363060779</v>
      </c>
      <c r="BP236" s="46" t="n">
        <f aca="false">MAX(BM236*(1+INDEX(Response_Table!$M$4:$M$21,MATCH($F236&amp;"|low",Response_Table!$A$4:$A$21,0))*$R236*INDEX(Parameters!$X$13:$AA$13,1,MATCH($E236,Parameters!$X$3:$AA$3,0))),BM236*(1+INDEX(Response_Table!$M$4:$M$21,MATCH($F236&amp;"|high",Response_Table!$A$4:$A$21,0))*$R236*INDEX(Parameters!$X$13:$AA$13,1,MATCH($E236,Parameters!$X$3:$AA$3,0))))*(1+Inputs_General!$C$22*Parameters!$F$13)</f>
        <v>0.246431406498249</v>
      </c>
      <c r="BQ236" s="45" t="n">
        <f aca="false">IF(BM236=0,0,BN236/BM236-1)</f>
        <v>-0.340433969930393</v>
      </c>
      <c r="BR236" s="44" t="n">
        <f aca="false">Parameters!$E$14*IF($N236="V",Parameters!$I$14,IF($N236="F",Parameters!$J$14,Parameters!$K$14))*(1-Parameters!$L$14*$P236)*IF($D236="V1",Parameters!$M$14,IF($D236="V2",Parameters!$N$14,Parameters!$O$14))*INDEX(Context!$AC$4:$AC$51,$K236)</f>
        <v>15</v>
      </c>
      <c r="BS236" s="44" t="n">
        <f aca="false">BR236*(1+INDEX(Response_Table!$N$4:$N$21,MATCH($F236&amp;"|mid",Response_Table!$A$4:$A$21,0))*$R236*INDEX(Parameters!$X$14:$AA$14,1,MATCH($E236,Parameters!$X$3:$AA$3,0)))</f>
        <v>22.7195333557214</v>
      </c>
      <c r="BT236" s="44" t="n">
        <f aca="false">MAX(0,MIN(BR236*(1+INDEX(Response_Table!$N$4:$N$21,MATCH($F236&amp;"|low",Response_Table!$A$4:$A$21,0))*$R236*INDEX(Parameters!$X$14:$AA$14,1,MATCH($E236,Parameters!$X$3:$AA$3,0))),BR236*(1+INDEX(Response_Table!$N$4:$N$21,MATCH($F236&amp;"|high",Response_Table!$A$4:$A$21,0))*$R236*INDEX(Parameters!$X$14:$AA$14,1,MATCH($E236,Parameters!$X$3:$AA$3,0))))*(1-Inputs_General!$C$22*Parameters!$F$14))</f>
        <v>11.16892216054</v>
      </c>
      <c r="BU236" s="44" t="n">
        <f aca="false">MAX(BR236*(1+INDEX(Response_Table!$N$4:$N$21,MATCH($F236&amp;"|low",Response_Table!$A$4:$A$21,0))*$R236*INDEX(Parameters!$X$14:$AA$14,1,MATCH($E236,Parameters!$X$3:$AA$3,0))),BR236*(1+INDEX(Response_Table!$N$4:$N$21,MATCH($F236&amp;"|high",Response_Table!$A$4:$A$21,0))*$R236*INDEX(Parameters!$X$14:$AA$14,1,MATCH($E236,Parameters!$X$3:$AA$3,0))))*(1+Inputs_General!$C$22*Parameters!$F$14)</f>
        <v>34.7944652864455</v>
      </c>
      <c r="BV236" s="45" t="n">
        <f aca="false">IF(BR236=0,0,BS236/BR236-1)</f>
        <v>0.514635557048092</v>
      </c>
      <c r="BW236" s="43" t="n">
        <f aca="false">Parameters!$E$15*IF($N236="V",Parameters!$I$15,IF($N236="F",Parameters!$J$15,Parameters!$K$15))*(1-Parameters!$L$15*$P236)*IF($D236="V1",Parameters!$M$15,IF($D236="V2",Parameters!$N$15,Parameters!$O$15))</f>
        <v>10.1292285714286</v>
      </c>
      <c r="BX236" s="43" t="n">
        <f aca="false">BW236*(1+INDEX(Response_Table!$O$4:$O$21,MATCH($F236&amp;"|mid",Response_Table!$A$4:$A$21,0))*$R236*INDEX(Parameters!$X$15:$AA$15,1,MATCH($E236,Parameters!$X$3:$AA$3,0)))</f>
        <v>8.82601327434743</v>
      </c>
      <c r="BY236" s="43" t="n">
        <f aca="false">MAX(0,MIN(BW236*(1+INDEX(Response_Table!$O$4:$O$21,MATCH($F236&amp;"|low",Response_Table!$A$4:$A$21,0))*$R236*INDEX(Parameters!$X$15:$AA$15,1,MATCH($E236,Parameters!$X$3:$AA$3,0))),BW236*(1+INDEX(Response_Table!$O$4:$O$21,MATCH($F236&amp;"|high",Response_Table!$A$4:$A$21,0))*$R236*INDEX(Parameters!$X$15:$AA$15,1,MATCH($E236,Parameters!$X$3:$AA$3,0))))*(1-Inputs_General!$C$22*Parameters!$F$15))</f>
        <v>7.00547832252037</v>
      </c>
      <c r="BZ236" s="43" t="n">
        <f aca="false">MAX(BW236*(1+INDEX(Response_Table!$O$4:$O$21,MATCH($F236&amp;"|low",Response_Table!$A$4:$A$21,0))*$R236*INDEX(Parameters!$X$15:$AA$15,1,MATCH($E236,Parameters!$X$3:$AA$3,0))),BW236*(1+INDEX(Response_Table!$O$4:$O$21,MATCH($F236&amp;"|high",Response_Table!$A$4:$A$21,0))*$R236*INDEX(Parameters!$X$15:$AA$15,1,MATCH($E236,Parameters!$X$3:$AA$3,0))))*(1+Inputs_General!$C$22*Parameters!$F$15)</f>
        <v>10.7033732136596</v>
      </c>
      <c r="CA236" s="45" t="n">
        <f aca="false">IF(BW236=0,0,BX236/BW236-1)</f>
        <v>-0.128658889262023</v>
      </c>
      <c r="CB236" s="46" t="n">
        <f aca="false">BD236+BI236</f>
        <v>0.75649620579458</v>
      </c>
      <c r="CC236" s="43" t="n">
        <f aca="false">BD236/BI236</f>
        <v>2.26746613234608</v>
      </c>
      <c r="CD236" s="46" t="n">
        <f aca="false">BN236/CB236</f>
        <v>0.25815591224154</v>
      </c>
      <c r="CE236" s="43" t="n">
        <f aca="false">AE236/AO236</f>
        <v>1.71618003598259</v>
      </c>
      <c r="CF236" s="44" t="n">
        <f aca="false">AE236/AJ236</f>
        <v>34.9490077790344</v>
      </c>
      <c r="CG236" s="44" t="n">
        <f aca="false">INDEX(Context!$V$4:$V$51,$K236)</f>
        <v>28.62</v>
      </c>
      <c r="CH236" s="44" t="n">
        <f aca="false">INDEX(Context!$Y$4:$Y$51,$K236)</f>
        <v>25.3060134606718</v>
      </c>
      <c r="CI236" s="44" t="n">
        <f aca="false">INDEX(Context!$Z$4:$Z$51,$K236)</f>
        <v>32.62</v>
      </c>
      <c r="CJ236" s="43" t="n">
        <f aca="false">INDEX(Context!$AA$4:$AA$51,$K236)</f>
        <v>0.221696428571429</v>
      </c>
      <c r="CK236" s="43" t="n">
        <f aca="false">MAX(0,MIN(1,1-(1-CJ236)*AO236/AN236))</f>
        <v>0.599655550995438</v>
      </c>
      <c r="CL236" s="44" t="n">
        <f aca="false">CH236+CK236*(CI236-CH236)</f>
        <v>29.6918860888859</v>
      </c>
      <c r="CM236" s="44" t="n">
        <f aca="false">CH236+MAX(0,MIN(1,1-(1-CJ236)*AQ236/AN236))*(CI236-CH236)</f>
        <v>28.2298219008652</v>
      </c>
      <c r="CN236" s="44" t="n">
        <f aca="false">CH236+MAX(0,MIN(1,1-(1-CJ236)*AP236/AN236))*(CI236-CH236)</f>
        <v>30.8094623191838</v>
      </c>
      <c r="CO236" s="44" t="n">
        <f aca="false">CL236-CG236</f>
        <v>1.07188608888586</v>
      </c>
      <c r="CP236" s="44" t="n">
        <f aca="false">CL236-(CH236+CJ236*(CI236-CH236))</f>
        <v>2.76438793382552</v>
      </c>
      <c r="CQ236" s="46" t="n">
        <f aca="false">CL236/CG236</f>
        <v>1.03745234412599</v>
      </c>
      <c r="CR236" s="43" t="n">
        <f aca="false">IF(CL236-CH236&lt;=0,"n/a",(CI236-CL236)/(CL236-CH236))</f>
        <v>0.667624019055578</v>
      </c>
      <c r="CS236" s="43" t="n">
        <f aca="false">IF(CI236-CL236&lt;=0,"n/a",(CL236-CH236)/(CI236-CL236))</f>
        <v>1.49784904595644</v>
      </c>
      <c r="CT236" s="43" t="n">
        <f aca="false">Inputs_General!$C$23+Inputs_General!$C$24*$I236</f>
        <v>1.9</v>
      </c>
      <c r="CU236" s="44" t="n">
        <f aca="false">3.29*CT236</f>
        <v>6.251</v>
      </c>
    </row>
    <row r="237" customFormat="false" ht="15" hidden="false" customHeight="false" outlineLevel="0" collapsed="false">
      <c r="A237" s="33" t="str">
        <f aca="false">B237&amp;"|"&amp;E237&amp;"|"&amp;F237</f>
        <v>D4V1|13/03/2026|Healthy</v>
      </c>
      <c r="B237" s="34" t="s">
        <v>352</v>
      </c>
      <c r="C237" s="33" t="s">
        <v>133</v>
      </c>
      <c r="D237" s="33" t="s">
        <v>142</v>
      </c>
      <c r="E237" s="33" t="s">
        <v>164</v>
      </c>
      <c r="F237" s="34" t="s">
        <v>275</v>
      </c>
      <c r="G237" s="33" t="s">
        <v>276</v>
      </c>
      <c r="H237" s="35" t="n">
        <f aca="false">INDEX(Severity_Classes!$C$4:$C$9,MATCH(F237,Severity_Classes!$A$4:$A$9,0))</f>
        <v>0</v>
      </c>
      <c r="I237" s="35" t="n">
        <f aca="false">INDEX(Severity_Classes!$D$4:$D$9,MATCH(F237,Severity_Classes!$A$4:$A$9,0))</f>
        <v>0</v>
      </c>
      <c r="J237" s="35" t="n">
        <f aca="false">INDEX(Severity_Classes!$E$4:$E$9,MATCH(F237,Severity_Classes!$A$4:$A$9,0))</f>
        <v>0</v>
      </c>
      <c r="K237" s="36" t="n">
        <f aca="false">MATCH(B237&amp;"|"&amp;E237,Context!$A$4:$A$51,0)</f>
        <v>40</v>
      </c>
      <c r="L237" s="36" t="n">
        <f aca="false">INDEX(Context!$H$4:$H$51,K237)</f>
        <v>63</v>
      </c>
      <c r="M237" s="36" t="n">
        <f aca="false">INDEX(Context!$I$4:$I$51,K237)</f>
        <v>36</v>
      </c>
      <c r="N237" s="33" t="str">
        <f aca="false">INDEX(Context!$L$4:$L$51,K237)</f>
        <v>F</v>
      </c>
      <c r="O237" s="33" t="str">
        <f aca="false">INDEX(Context!$M$4:$M$51,K237)</f>
        <v>5th fully expanded leaf from top</v>
      </c>
      <c r="P237" s="37" t="n">
        <f aca="false">INDEX(Context!$R$4:$R$51,K237)</f>
        <v>0.953571428571428</v>
      </c>
      <c r="Q237" s="37" t="n">
        <f aca="false">INDEX(Context!$U$4:$U$51,K237)</f>
        <v>2.18945736698217</v>
      </c>
      <c r="R237" s="37" t="n">
        <f aca="false">INDEX(Context!$AD$4:$AD$51,K237)</f>
        <v>1</v>
      </c>
      <c r="S237" s="33" t="str">
        <f aca="false">INDEX(Context!$AI$4:$AN$51,K237,MATCH(F237,Severity_Classes!$A$4:$A$9,0))</f>
        <v>Reference: healthy (uninoculated) control plot</v>
      </c>
      <c r="T237" s="38" t="n">
        <f aca="false">Parameters!$E$4*IF($N237="V",Parameters!$I$4,IF($N237="F",Parameters!$J$4,Parameters!$K$4))*(1-Parameters!$L$4*$P237)*IF($D237="V1",Parameters!$M$4,IF($D237="V2",Parameters!$N$4,Parameters!$O$4))</f>
        <v>81.0806464285714</v>
      </c>
      <c r="U237" s="38" t="n">
        <f aca="false">MIN(100,T237*(1+INDEX(Response_Table!$E$4:$E$21,MATCH($F237&amp;"|mid",Response_Table!$A$4:$A$21,0))*$R237*INDEX(Parameters!$X$4:$AA$4,1,MATCH($E237,Parameters!$X$3:$AA$3,0))))</f>
        <v>81.0806464285714</v>
      </c>
      <c r="V237" s="38" t="n">
        <f aca="false">MAX(0,MIN(T237*(1+INDEX(Response_Table!$E$4:$E$21,MATCH($F237&amp;"|low",Response_Table!$A$4:$A$21,0))*$R237*INDEX(Parameters!$X$4:$AA$4,1,MATCH($E237,Parameters!$X$3:$AA$3,0))),T237*(1+INDEX(Response_Table!$E$4:$E$21,MATCH($F237&amp;"|high",Response_Table!$A$4:$A$21,0))*$R237*INDEX(Parameters!$X$4:$AA$4,1,MATCH($E237,Parameters!$X$3:$AA$3,0))))*(1-Inputs_General!$C$22*Parameters!$F$4))</f>
        <v>75.7455398935714</v>
      </c>
      <c r="W237" s="38" t="n">
        <f aca="false">MIN(100,MAX(T237*(1+INDEX(Response_Table!$E$4:$E$21,MATCH($F237&amp;"|low",Response_Table!$A$4:$A$21,0))*$R237*INDEX(Parameters!$X$4:$AA$4,1,MATCH($E237,Parameters!$X$3:$AA$3,0))),T237*(1+INDEX(Response_Table!$E$4:$E$21,MATCH($F237&amp;"|high",Response_Table!$A$4:$A$21,0))*$R237*INDEX(Parameters!$X$4:$AA$4,1,MATCH($E237,Parameters!$X$3:$AA$3,0))))*(1+Inputs_General!$C$22*Parameters!$F$4))</f>
        <v>86.4157529635714</v>
      </c>
      <c r="X237" s="39" t="n">
        <f aca="false">IF(T237=0,0,U237/T237-1)</f>
        <v>0</v>
      </c>
      <c r="Y237" s="38" t="n">
        <f aca="false">Parameters!$E$5*IF($N237="V",Parameters!$I$5,IF($N237="F",Parameters!$J$5,Parameters!$K$5))*(1-Parameters!$L$5*$P237)*IF($D237="V1",Parameters!$M$5,IF($D237="V2",Parameters!$N$5,Parameters!$O$5))</f>
        <v>62.48592</v>
      </c>
      <c r="Z237" s="38" t="n">
        <f aca="false">MIN(100,Y237*(1+INDEX(Response_Table!$F$4:$F$21,MATCH($F237&amp;"|mid",Response_Table!$A$4:$A$21,0))*$R237*INDEX(Parameters!$X$5:$AA$5,1,MATCH($E237,Parameters!$X$3:$AA$3,0))))</f>
        <v>62.48592</v>
      </c>
      <c r="AA237" s="38" t="n">
        <f aca="false">MAX(0,MIN(Y237*(1+INDEX(Response_Table!$F$4:$F$21,MATCH($F237&amp;"|low",Response_Table!$A$4:$A$21,0))*$R237*INDEX(Parameters!$X$5:$AA$5,1,MATCH($E237,Parameters!$X$3:$AA$3,0))),Y237*(1+INDEX(Response_Table!$F$4:$F$21,MATCH($F237&amp;"|high",Response_Table!$A$4:$A$21,0))*$R237*INDEX(Parameters!$X$5:$AA$5,1,MATCH($E237,Parameters!$X$3:$AA$3,0))))*(1-Inputs_General!$C$22*Parameters!$F$5))</f>
        <v>55.290666312</v>
      </c>
      <c r="AB237" s="38" t="n">
        <f aca="false">MIN(100,MAX(Y237*(1+INDEX(Response_Table!$F$4:$F$21,MATCH($F237&amp;"|low",Response_Table!$A$4:$A$21,0))*$R237*INDEX(Parameters!$X$5:$AA$5,1,MATCH($E237,Parameters!$X$3:$AA$3,0))),Y237*(1+INDEX(Response_Table!$F$4:$F$21,MATCH($F237&amp;"|high",Response_Table!$A$4:$A$21,0))*$R237*INDEX(Parameters!$X$5:$AA$5,1,MATCH($E237,Parameters!$X$3:$AA$3,0))))*(1+Inputs_General!$C$22*Parameters!$F$5))</f>
        <v>69.681173688</v>
      </c>
      <c r="AC237" s="39" t="n">
        <f aca="false">IF(Y237=0,0,Z237/Y237-1)</f>
        <v>0</v>
      </c>
      <c r="AD237" s="38" t="n">
        <f aca="false">Parameters!$E$6*IF($N237="V",Parameters!$I$6,IF($N237="F",Parameters!$J$6,Parameters!$K$6))*(1-Parameters!$L$6*$P237)*IF($D237="V1",Parameters!$M$6,IF($D237="V2",Parameters!$N$6,Parameters!$O$6))</f>
        <v>16.8258571428571</v>
      </c>
      <c r="AE237" s="38" t="n">
        <f aca="false">AD237*(1+INDEX(Response_Table!$G$4:$G$21,MATCH($F237&amp;"|mid",Response_Table!$A$4:$A$21,0))*$R237*INDEX(Parameters!$X$6:$AA$6,1,MATCH($E237,Parameters!$X$3:$AA$3,0)))</f>
        <v>16.8258571428571</v>
      </c>
      <c r="AF237" s="38" t="n">
        <f aca="false">MAX(0,MIN(AD237*(1+INDEX(Response_Table!$G$4:$G$21,MATCH($F237&amp;"|low",Response_Table!$A$4:$A$21,0))*$R237*INDEX(Parameters!$X$6:$AA$6,1,MATCH($E237,Parameters!$X$3:$AA$3,0))),AD237*(1+INDEX(Response_Table!$G$4:$G$21,MATCH($F237&amp;"|high",Response_Table!$A$4:$A$21,0))*$R237*INDEX(Parameters!$X$6:$AA$6,1,MATCH($E237,Parameters!$X$3:$AA$3,0))))*(1-Inputs_General!$C$22*Parameters!$F$6))</f>
        <v>13.5044329428571</v>
      </c>
      <c r="AG237" s="38" t="n">
        <f aca="false">MAX(AD237*(1+INDEX(Response_Table!$G$4:$G$21,MATCH($F237&amp;"|low",Response_Table!$A$4:$A$21,0))*$R237*INDEX(Parameters!$X$6:$AA$6,1,MATCH($E237,Parameters!$X$3:$AA$3,0))),AD237*(1+INDEX(Response_Table!$G$4:$G$21,MATCH($F237&amp;"|high",Response_Table!$A$4:$A$21,0))*$R237*INDEX(Parameters!$X$6:$AA$6,1,MATCH($E237,Parameters!$X$3:$AA$3,0))))*(1+Inputs_General!$C$22*Parameters!$F$6)</f>
        <v>20.1472813428571</v>
      </c>
      <c r="AH237" s="39" t="n">
        <f aca="false">IF(AD237=0,0,AE237/AD237-1)</f>
        <v>0</v>
      </c>
      <c r="AI237" s="40" t="n">
        <f aca="false">Parameters!$E$7*IF($N237="V",Parameters!$I$7,IF($N237="F",Parameters!$J$7,Parameters!$K$7))*(1-Parameters!$L$7*$P237)*IF($D237="V1",Parameters!$M$7,IF($D237="V2",Parameters!$N$7,Parameters!$O$7))*POWER($Q237/Inputs_General!$C$26,-Inputs_General!$C$25)</f>
        <v>0.304119499618928</v>
      </c>
      <c r="AJ237" s="40" t="n">
        <f aca="false">AI237*(1+INDEX(Response_Table!$H$4:$H$21,MATCH($F237&amp;"|mid",Response_Table!$A$4:$A$21,0))*$R237*INDEX(Parameters!$X$7:$AA$7,1,MATCH($E237,Parameters!$X$3:$AA$3,0)))</f>
        <v>0.304119499618928</v>
      </c>
      <c r="AK237" s="40" t="n">
        <f aca="false">MAX(0,MIN(AI237*(1+INDEX(Response_Table!$H$4:$H$21,MATCH($F237&amp;"|low",Response_Table!$A$4:$A$21,0))*$R237*INDEX(Parameters!$X$7:$AA$7,1,MATCH($E237,Parameters!$X$3:$AA$3,0))),AI237*(1+INDEX(Response_Table!$H$4:$H$21,MATCH($F237&amp;"|high",Response_Table!$A$4:$A$21,0))*$R237*INDEX(Parameters!$X$7:$AA$7,1,MATCH($E237,Parameters!$X$3:$AA$3,0))))*(1-Inputs_General!$C$22*Parameters!$F$7))</f>
        <v>0.214069715781764</v>
      </c>
      <c r="AL237" s="40" t="n">
        <f aca="false">MAX(AI237*(1+INDEX(Response_Table!$H$4:$H$21,MATCH($F237&amp;"|low",Response_Table!$A$4:$A$21,0))*$R237*INDEX(Parameters!$X$7:$AA$7,1,MATCH($E237,Parameters!$X$3:$AA$3,0))),AI237*(1+INDEX(Response_Table!$H$4:$H$21,MATCH($F237&amp;"|high",Response_Table!$A$4:$A$21,0))*$R237*INDEX(Parameters!$X$7:$AA$7,1,MATCH($E237,Parameters!$X$3:$AA$3,0))))*(1+Inputs_General!$C$22*Parameters!$F$7)</f>
        <v>0.394169283456093</v>
      </c>
      <c r="AM237" s="39" t="n">
        <f aca="false">IF(AI237=0,0,AJ237/AI237-1)</f>
        <v>0</v>
      </c>
      <c r="AN237" s="37" t="n">
        <f aca="false">AI237*$Q237/Inputs_General!$C$13*1000</f>
        <v>6.70550532611877</v>
      </c>
      <c r="AO237" s="37" t="n">
        <f aca="false">AJ237*$Q237/Inputs_General!$C$13*1000*(1+Inputs_General!$C$21*$I237)</f>
        <v>6.70550532611877</v>
      </c>
      <c r="AP237" s="37" t="n">
        <f aca="false">AK237*$Q237/Inputs_General!$C$13*1000*(1+Inputs_General!$C$21*$H237)</f>
        <v>4.720005199055</v>
      </c>
      <c r="AQ237" s="37" t="n">
        <f aca="false">AL237*$Q237/Inputs_General!$C$13*1000*(1+Inputs_General!$C$21*$J237)</f>
        <v>8.69100545318254</v>
      </c>
      <c r="AR237" s="39" t="n">
        <f aca="false">IF(AN237=0,0,AO237/AN237-1)</f>
        <v>0</v>
      </c>
      <c r="AS237" s="36" t="n">
        <f aca="false">Parameters!$E$9*IF($N237="V",Parameters!$I$9,IF($N237="F",Parameters!$J$9,Parameters!$K$9))*(1-Parameters!$L$9*$P237)*IF($D237="V1",Parameters!$M$9,IF($D237="V2",Parameters!$N$9,Parameters!$O$9))</f>
        <v>285</v>
      </c>
      <c r="AT237" s="36" t="n">
        <f aca="false">AS237*(1+INDEX(Response_Table!$I$4:$I$21,MATCH($F237&amp;"|mid",Response_Table!$A$4:$A$21,0))*$R237*INDEX(Parameters!$X$9:$AA$9,1,MATCH($E237,Parameters!$X$3:$AA$3,0)))</f>
        <v>285</v>
      </c>
      <c r="AU237" s="36" t="n">
        <f aca="false">MAX(0,MIN(AS237*(1+INDEX(Response_Table!$I$4:$I$21,MATCH($F237&amp;"|low",Response_Table!$A$4:$A$21,0))*$R237*INDEX(Parameters!$X$9:$AA$9,1,MATCH($E237,Parameters!$X$3:$AA$3,0))),AS237*(1+INDEX(Response_Table!$I$4:$I$21,MATCH($F237&amp;"|high",Response_Table!$A$4:$A$21,0))*$R237*INDEX(Parameters!$X$9:$AA$9,1,MATCH($E237,Parameters!$X$3:$AA$3,0))))*(1-Inputs_General!$C$22*Parameters!$F$9))</f>
        <v>256.8705</v>
      </c>
      <c r="AV237" s="36" t="n">
        <f aca="false">MAX(AS237*(1+INDEX(Response_Table!$I$4:$I$21,MATCH($F237&amp;"|low",Response_Table!$A$4:$A$21,0))*$R237*INDEX(Parameters!$X$9:$AA$9,1,MATCH($E237,Parameters!$X$3:$AA$3,0))),AS237*(1+INDEX(Response_Table!$I$4:$I$21,MATCH($F237&amp;"|high",Response_Table!$A$4:$A$21,0))*$R237*INDEX(Parameters!$X$9:$AA$9,1,MATCH($E237,Parameters!$X$3:$AA$3,0))))*(1+Inputs_General!$C$22*Parameters!$F$9)</f>
        <v>313.1295</v>
      </c>
      <c r="AW237" s="39" t="n">
        <f aca="false">IF(AS237=0,0,AT237/AS237-1)</f>
        <v>0</v>
      </c>
      <c r="AX237" s="37" t="n">
        <f aca="false">INDEX(Context!$AB$4:$AB$51,$K237)</f>
        <v>2.29604001650625</v>
      </c>
      <c r="AY237" s="37" t="n">
        <f aca="false">AX237*(1+INDEX(Response_Table!$J$4:$J$21,MATCH($F237&amp;"|mid",Response_Table!$A$4:$A$21,0))*$R237*INDEX(Parameters!$X$10:$AA$10,1,MATCH($E237,Parameters!$X$3:$AA$3,0)))</f>
        <v>2.29604001650625</v>
      </c>
      <c r="AZ237" s="37" t="n">
        <f aca="false">MAX(0,MIN(AX237*(1+INDEX(Response_Table!$J$4:$J$21,MATCH($F237&amp;"|low",Response_Table!$A$4:$A$21,0))*$R237*INDEX(Parameters!$X$10:$AA$10,1,MATCH($E237,Parameters!$X$3:$AA$3,0))),AX237*(1+INDEX(Response_Table!$J$4:$J$21,MATCH($F237&amp;"|high",Response_Table!$A$4:$A$21,0))*$R237*INDEX(Parameters!$X$10:$AA$10,1,MATCH($E237,Parameters!$X$3:$AA$3,0))))*(1-Inputs_General!$C$22*Parameters!$F$10))</f>
        <v>1.84280171724792</v>
      </c>
      <c r="BA237" s="37" t="n">
        <f aca="false">MAX(AX237*(1+INDEX(Response_Table!$J$4:$J$21,MATCH($F237&amp;"|low",Response_Table!$A$4:$A$21,0))*$R237*INDEX(Parameters!$X$10:$AA$10,1,MATCH($E237,Parameters!$X$3:$AA$3,0))),AX237*(1+INDEX(Response_Table!$J$4:$J$21,MATCH($F237&amp;"|high",Response_Table!$A$4:$A$21,0))*$R237*INDEX(Parameters!$X$10:$AA$10,1,MATCH($E237,Parameters!$X$3:$AA$3,0))))*(1+Inputs_General!$C$22*Parameters!$F$10)</f>
        <v>2.74927831576458</v>
      </c>
      <c r="BB237" s="39" t="n">
        <f aca="false">IF(AX237=0,0,AY237/AX237-1)</f>
        <v>0</v>
      </c>
      <c r="BC237" s="40" t="n">
        <f aca="false">Parameters!$E$11*IF($N237="V",Parameters!$I$11,IF($N237="F",Parameters!$J$11,Parameters!$K$11))*(1-Parameters!$L$11*$P237)*IF($D237="V1",Parameters!$M$11,IF($D237="V2",Parameters!$N$11,Parameters!$O$11))</f>
        <v>1.17848214285714</v>
      </c>
      <c r="BD237" s="40" t="n">
        <f aca="false">BC237*(1+INDEX(Response_Table!$K$4:$K$21,MATCH($F237&amp;"|mid",Response_Table!$A$4:$A$21,0))*$R237*INDEX(Parameters!$X$11:$AA$11,1,MATCH($E237,Parameters!$X$3:$AA$3,0)))</f>
        <v>1.17848214285714</v>
      </c>
      <c r="BE237" s="40" t="n">
        <f aca="false">MAX(0,MIN(BC237*(1+INDEX(Response_Table!$K$4:$K$21,MATCH($F237&amp;"|low",Response_Table!$A$4:$A$21,0))*$R237*INDEX(Parameters!$X$11:$AA$11,1,MATCH($E237,Parameters!$X$3:$AA$3,0))),BC237*(1+INDEX(Response_Table!$K$4:$K$21,MATCH($F237&amp;"|high",Response_Table!$A$4:$A$21,0))*$R237*INDEX(Parameters!$X$11:$AA$11,1,MATCH($E237,Parameters!$X$3:$AA$3,0))))*(1-Inputs_General!$C$22*Parameters!$F$11))</f>
        <v>0.984621830357143</v>
      </c>
      <c r="BF237" s="40" t="n">
        <f aca="false">MAX(BC237*(1+INDEX(Response_Table!$K$4:$K$21,MATCH($F237&amp;"|low",Response_Table!$A$4:$A$21,0))*$R237*INDEX(Parameters!$X$11:$AA$11,1,MATCH($E237,Parameters!$X$3:$AA$3,0))),BC237*(1+INDEX(Response_Table!$K$4:$K$21,MATCH($F237&amp;"|high",Response_Table!$A$4:$A$21,0))*$R237*INDEX(Parameters!$X$11:$AA$11,1,MATCH($E237,Parameters!$X$3:$AA$3,0))))*(1+Inputs_General!$C$22*Parameters!$F$11)</f>
        <v>1.37234245535714</v>
      </c>
      <c r="BG237" s="39" t="n">
        <f aca="false">IF(BC237=0,0,BD237/BC237-1)</f>
        <v>0</v>
      </c>
      <c r="BH237" s="40" t="n">
        <f aca="false">Parameters!$E$12*IF($N237="V",Parameters!$I$12,IF($N237="F",Parameters!$J$12,Parameters!$K$12))*(1-Parameters!$L$12*$P237)*IF($D237="V1",Parameters!$M$12,IF($D237="V2",Parameters!$N$12,Parameters!$O$12))</f>
        <v>0.424253571428571</v>
      </c>
      <c r="BI237" s="40" t="n">
        <f aca="false">BH237*(1+INDEX(Response_Table!$L$4:$L$21,MATCH($F237&amp;"|mid",Response_Table!$A$4:$A$21,0))*$R237*INDEX(Parameters!$X$12:$AA$12,1,MATCH($E237,Parameters!$X$3:$AA$3,0)))</f>
        <v>0.424253571428571</v>
      </c>
      <c r="BJ237" s="40" t="n">
        <f aca="false">MAX(0,MIN(BH237*(1+INDEX(Response_Table!$L$4:$L$21,MATCH($F237&amp;"|low",Response_Table!$A$4:$A$21,0))*$R237*INDEX(Parameters!$X$12:$AA$12,1,MATCH($E237,Parameters!$X$3:$AA$3,0))),BH237*(1+INDEX(Response_Table!$L$4:$L$21,MATCH($F237&amp;"|high",Response_Table!$A$4:$A$21,0))*$R237*INDEX(Parameters!$X$12:$AA$12,1,MATCH($E237,Parameters!$X$3:$AA$3,0))))*(1-Inputs_General!$C$22*Parameters!$F$12))</f>
        <v>0.340505916428571</v>
      </c>
      <c r="BK237" s="40" t="n">
        <f aca="false">MAX(BH237*(1+INDEX(Response_Table!$L$4:$L$21,MATCH($F237&amp;"|low",Response_Table!$A$4:$A$21,0))*$R237*INDEX(Parameters!$X$12:$AA$12,1,MATCH($E237,Parameters!$X$3:$AA$3,0))),BH237*(1+INDEX(Response_Table!$L$4:$L$21,MATCH($F237&amp;"|high",Response_Table!$A$4:$A$21,0))*$R237*INDEX(Parameters!$X$12:$AA$12,1,MATCH($E237,Parameters!$X$3:$AA$3,0))))*(1+Inputs_General!$C$22*Parameters!$F$12)</f>
        <v>0.508001226428572</v>
      </c>
      <c r="BL237" s="39" t="n">
        <f aca="false">IF(BH237=0,0,BI237/BH237-1)</f>
        <v>0</v>
      </c>
      <c r="BM237" s="40" t="n">
        <f aca="false">Parameters!$E$13*IF($N237="V",Parameters!$I$13,IF($N237="F",Parameters!$J$13,Parameters!$K$13))*(1-Parameters!$L$13*$P237)*IF($D237="V1",Parameters!$M$13,IF($D237="V2",Parameters!$N$13,Parameters!$O$13))</f>
        <v>0.291417857142857</v>
      </c>
      <c r="BN237" s="40" t="n">
        <f aca="false">BM237*(1+INDEX(Response_Table!$M$4:$M$21,MATCH($F237&amp;"|mid",Response_Table!$A$4:$A$21,0))*$R237*INDEX(Parameters!$X$13:$AA$13,1,MATCH($E237,Parameters!$X$3:$AA$3,0)))</f>
        <v>0.291417857142857</v>
      </c>
      <c r="BO237" s="40" t="n">
        <f aca="false">MAX(0,MIN(BM237*(1+INDEX(Response_Table!$M$4:$M$21,MATCH($F237&amp;"|low",Response_Table!$A$4:$A$21,0))*$R237*INDEX(Parameters!$X$13:$AA$13,1,MATCH($E237,Parameters!$X$3:$AA$3,0))),BM237*(1+INDEX(Response_Table!$M$4:$M$21,MATCH($F237&amp;"|high",Response_Table!$A$4:$A$21,0))*$R237*INDEX(Parameters!$X$13:$AA$13,1,MATCH($E237,Parameters!$X$3:$AA$3,0))))*(1-Inputs_General!$C$22*Parameters!$F$13))</f>
        <v>0.233891972142857</v>
      </c>
      <c r="BP237" s="40" t="n">
        <f aca="false">MAX(BM237*(1+INDEX(Response_Table!$M$4:$M$21,MATCH($F237&amp;"|low",Response_Table!$A$4:$A$21,0))*$R237*INDEX(Parameters!$X$13:$AA$13,1,MATCH($E237,Parameters!$X$3:$AA$3,0))),BM237*(1+INDEX(Response_Table!$M$4:$M$21,MATCH($F237&amp;"|high",Response_Table!$A$4:$A$21,0))*$R237*INDEX(Parameters!$X$13:$AA$13,1,MATCH($E237,Parameters!$X$3:$AA$3,0))))*(1+Inputs_General!$C$22*Parameters!$F$13)</f>
        <v>0.348943742142857</v>
      </c>
      <c r="BQ237" s="39" t="n">
        <f aca="false">IF(BM237=0,0,BN237/BM237-1)</f>
        <v>0</v>
      </c>
      <c r="BR237" s="38" t="n">
        <f aca="false">Parameters!$E$14*IF($N237="V",Parameters!$I$14,IF($N237="F",Parameters!$J$14,Parameters!$K$14))*(1-Parameters!$L$14*$P237)*IF($D237="V1",Parameters!$M$14,IF($D237="V2",Parameters!$N$14,Parameters!$O$14))*INDEX(Context!$AC$4:$AC$51,$K237)</f>
        <v>15</v>
      </c>
      <c r="BS237" s="38" t="n">
        <f aca="false">BR237*(1+INDEX(Response_Table!$N$4:$N$21,MATCH($F237&amp;"|mid",Response_Table!$A$4:$A$21,0))*$R237*INDEX(Parameters!$X$14:$AA$14,1,MATCH($E237,Parameters!$X$3:$AA$3,0)))</f>
        <v>15</v>
      </c>
      <c r="BT237" s="38" t="n">
        <f aca="false">MAX(0,MIN(BR237*(1+INDEX(Response_Table!$N$4:$N$21,MATCH($F237&amp;"|low",Response_Table!$A$4:$A$21,0))*$R237*INDEX(Parameters!$X$14:$AA$14,1,MATCH($E237,Parameters!$X$3:$AA$3,0))),BR237*(1+INDEX(Response_Table!$N$4:$N$21,MATCH($F237&amp;"|high",Response_Table!$A$4:$A$21,0))*$R237*INDEX(Parameters!$X$14:$AA$14,1,MATCH($E237,Parameters!$X$3:$AA$3,0))))*(1-Inputs_General!$C$22*Parameters!$F$14))</f>
        <v>7.5975</v>
      </c>
      <c r="BU237" s="38" t="n">
        <f aca="false">MAX(BR237*(1+INDEX(Response_Table!$N$4:$N$21,MATCH($F237&amp;"|low",Response_Table!$A$4:$A$21,0))*$R237*INDEX(Parameters!$X$14:$AA$14,1,MATCH($E237,Parameters!$X$3:$AA$3,0))),BR237*(1+INDEX(Response_Table!$N$4:$N$21,MATCH($F237&amp;"|high",Response_Table!$A$4:$A$21,0))*$R237*INDEX(Parameters!$X$14:$AA$14,1,MATCH($E237,Parameters!$X$3:$AA$3,0))))*(1+Inputs_General!$C$22*Parameters!$F$14)</f>
        <v>22.4025</v>
      </c>
      <c r="BV237" s="39" t="n">
        <f aca="false">IF(BR237=0,0,BS237/BR237-1)</f>
        <v>0</v>
      </c>
      <c r="BW237" s="37" t="n">
        <f aca="false">Parameters!$E$15*IF($N237="V",Parameters!$I$15,IF($N237="F",Parameters!$J$15,Parameters!$K$15))*(1-Parameters!$L$15*$P237)*IF($D237="V1",Parameters!$M$15,IF($D237="V2",Parameters!$N$15,Parameters!$O$15))</f>
        <v>9.80497142857143</v>
      </c>
      <c r="BX237" s="37" t="n">
        <f aca="false">BW237*(1+INDEX(Response_Table!$O$4:$O$21,MATCH($F237&amp;"|mid",Response_Table!$A$4:$A$21,0))*$R237*INDEX(Parameters!$X$15:$AA$15,1,MATCH($E237,Parameters!$X$3:$AA$3,0)))</f>
        <v>9.80497142857143</v>
      </c>
      <c r="BY237" s="37" t="n">
        <f aca="false">MAX(0,MIN(BW237*(1+INDEX(Response_Table!$O$4:$O$21,MATCH($F237&amp;"|low",Response_Table!$A$4:$A$21,0))*$R237*INDEX(Parameters!$X$15:$AA$15,1,MATCH($E237,Parameters!$X$3:$AA$3,0))),BW237*(1+INDEX(Response_Table!$O$4:$O$21,MATCH($F237&amp;"|high",Response_Table!$A$4:$A$21,0))*$R237*INDEX(Parameters!$X$15:$AA$15,1,MATCH($E237,Parameters!$X$3:$AA$3,0))))*(1-Inputs_General!$C$22*Parameters!$F$15))</f>
        <v>7.86947006857143</v>
      </c>
      <c r="BZ237" s="37" t="n">
        <f aca="false">MAX(BW237*(1+INDEX(Response_Table!$O$4:$O$21,MATCH($F237&amp;"|low",Response_Table!$A$4:$A$21,0))*$R237*INDEX(Parameters!$X$15:$AA$15,1,MATCH($E237,Parameters!$X$3:$AA$3,0))),BW237*(1+INDEX(Response_Table!$O$4:$O$21,MATCH($F237&amp;"|high",Response_Table!$A$4:$A$21,0))*$R237*INDEX(Parameters!$X$15:$AA$15,1,MATCH($E237,Parameters!$X$3:$AA$3,0))))*(1+Inputs_General!$C$22*Parameters!$F$15)</f>
        <v>11.7404727885714</v>
      </c>
      <c r="CA237" s="39" t="n">
        <f aca="false">IF(BW237=0,0,BX237/BW237-1)</f>
        <v>0</v>
      </c>
      <c r="CB237" s="40" t="n">
        <f aca="false">BD237+BI237</f>
        <v>1.60273571428571</v>
      </c>
      <c r="CC237" s="37" t="n">
        <f aca="false">BD237/BI237</f>
        <v>2.77777777777778</v>
      </c>
      <c r="CD237" s="40" t="n">
        <f aca="false">BN237/CB237</f>
        <v>0.181825271968019</v>
      </c>
      <c r="CE237" s="37" t="n">
        <f aca="false">AE237/AO237</f>
        <v>2.5092601264991</v>
      </c>
      <c r="CF237" s="38" t="n">
        <f aca="false">AE237/AJ237</f>
        <v>55.3264659580872</v>
      </c>
      <c r="CG237" s="38" t="n">
        <f aca="false">INDEX(Context!$V$4:$V$51,$K237)</f>
        <v>32.7871428571429</v>
      </c>
      <c r="CH237" s="38" t="n">
        <f aca="false">INDEX(Context!$Y$4:$Y$51,$K237)</f>
        <v>28.36912210206</v>
      </c>
      <c r="CI237" s="38" t="n">
        <f aca="false">INDEX(Context!$Z$4:$Z$51,$K237)</f>
        <v>36.7871428571429</v>
      </c>
      <c r="CJ237" s="37" t="n">
        <f aca="false">INDEX(Context!$AA$4:$AA$51,$K237)</f>
        <v>0.247678571428571</v>
      </c>
      <c r="CK237" s="37" t="n">
        <f aca="false">MAX(0,MIN(1,1-(1-CJ237)*AO237/AN237))</f>
        <v>0.247678571428572</v>
      </c>
      <c r="CL237" s="38" t="n">
        <f aca="false">CH237+CK237*(CI237-CH237)</f>
        <v>30.454085456935</v>
      </c>
      <c r="CM237" s="38" t="n">
        <f aca="false">CH237+MAX(0,MIN(1,1-(1-CJ237)*AQ237/AN237))*(CI237-CH237)</f>
        <v>28.5788671607335</v>
      </c>
      <c r="CN237" s="38" t="n">
        <f aca="false">CH237+MAX(0,MIN(1,1-(1-CJ237)*AP237/AN237))*(CI237-CH237)</f>
        <v>32.3293037531366</v>
      </c>
      <c r="CO237" s="38" t="n">
        <f aca="false">CL237-CG237</f>
        <v>-2.33305740020784</v>
      </c>
      <c r="CP237" s="38" t="n">
        <f aca="false">CL237-(CH237+CJ237*(CI237-CH237))</f>
        <v>0</v>
      </c>
      <c r="CQ237" s="40" t="n">
        <f aca="false">CL237/CG237</f>
        <v>0.928842308389809</v>
      </c>
      <c r="CR237" s="37" t="n">
        <f aca="false">IF(CL237-CH237&lt;=0,"n/a",(CI237-CL237)/(CL237-CH237))</f>
        <v>3.03749098774333</v>
      </c>
      <c r="CS237" s="37" t="n">
        <f aca="false">IF(CI237-CL237&lt;=0,"n/a",(CL237-CH237)/(CI237-CL237))</f>
        <v>0.329219083788274</v>
      </c>
      <c r="CT237" s="37" t="n">
        <f aca="false">Inputs_General!$C$23+Inputs_General!$C$24*$I237</f>
        <v>0.6</v>
      </c>
      <c r="CU237" s="38" t="n">
        <f aca="false">3.29*CT237</f>
        <v>1.974</v>
      </c>
    </row>
    <row r="238" customFormat="false" ht="15" hidden="false" customHeight="false" outlineLevel="0" collapsed="false">
      <c r="A238" s="9" t="str">
        <f aca="false">B238&amp;"|"&amp;E238&amp;"|"&amp;F238</f>
        <v>D4V1|13/03/2026|Very low</v>
      </c>
      <c r="B238" s="7" t="s">
        <v>352</v>
      </c>
      <c r="C238" s="9" t="s">
        <v>133</v>
      </c>
      <c r="D238" s="9" t="s">
        <v>142</v>
      </c>
      <c r="E238" s="9" t="s">
        <v>164</v>
      </c>
      <c r="F238" s="7" t="s">
        <v>277</v>
      </c>
      <c r="G238" s="9" t="s">
        <v>278</v>
      </c>
      <c r="H238" s="41" t="n">
        <f aca="false">INDEX(Severity_Classes!$C$4:$C$9,MATCH(F238,Severity_Classes!$A$4:$A$9,0))</f>
        <v>0.01</v>
      </c>
      <c r="I238" s="41" t="n">
        <f aca="false">INDEX(Severity_Classes!$D$4:$D$9,MATCH(F238,Severity_Classes!$A$4:$A$9,0))</f>
        <v>0.03</v>
      </c>
      <c r="J238" s="41" t="n">
        <f aca="false">INDEX(Severity_Classes!$E$4:$E$9,MATCH(F238,Severity_Classes!$A$4:$A$9,0))</f>
        <v>0.05</v>
      </c>
      <c r="K238" s="42" t="n">
        <f aca="false">MATCH(B238&amp;"|"&amp;E238,Context!$A$4:$A$51,0)</f>
        <v>40</v>
      </c>
      <c r="L238" s="42" t="n">
        <f aca="false">INDEX(Context!$H$4:$H$51,K238)</f>
        <v>63</v>
      </c>
      <c r="M238" s="42" t="n">
        <f aca="false">INDEX(Context!$I$4:$I$51,K238)</f>
        <v>36</v>
      </c>
      <c r="N238" s="9" t="str">
        <f aca="false">INDEX(Context!$L$4:$L$51,K238)</f>
        <v>F</v>
      </c>
      <c r="O238" s="9" t="str">
        <f aca="false">INDEX(Context!$M$4:$M$51,K238)</f>
        <v>5th fully expanded leaf from top</v>
      </c>
      <c r="P238" s="43" t="n">
        <f aca="false">INDEX(Context!$R$4:$R$51,K238)</f>
        <v>0.953571428571428</v>
      </c>
      <c r="Q238" s="43" t="n">
        <f aca="false">INDEX(Context!$U$4:$U$51,K238)</f>
        <v>2.18945736698217</v>
      </c>
      <c r="R238" s="43" t="n">
        <f aca="false">INDEX(Context!$AD$4:$AD$51,K238)</f>
        <v>1</v>
      </c>
      <c r="S238" s="9" t="str">
        <f aca="false">INDEX(Context!$AI$4:$AN$51,K238,MATCH(F238,Severity_Classes!$A$4:$A$9,0))</f>
        <v>Possible</v>
      </c>
      <c r="T238" s="44" t="n">
        <f aca="false">Parameters!$E$4*IF($N238="V",Parameters!$I$4,IF($N238="F",Parameters!$J$4,Parameters!$K$4))*(1-Parameters!$L$4*$P238)*IF($D238="V1",Parameters!$M$4,IF($D238="V2",Parameters!$N$4,Parameters!$O$4))</f>
        <v>81.0806464285714</v>
      </c>
      <c r="U238" s="44" t="n">
        <f aca="false">MIN(100,T238*(1+INDEX(Response_Table!$E$4:$E$21,MATCH($F238&amp;"|mid",Response_Table!$A$4:$A$21,0))*$R238*INDEX(Parameters!$X$4:$AA$4,1,MATCH($E238,Parameters!$X$3:$AA$3,0))))</f>
        <v>80.7310802916358</v>
      </c>
      <c r="V238" s="44" t="n">
        <f aca="false">MAX(0,MIN(T238*(1+INDEX(Response_Table!$E$4:$E$21,MATCH($F238&amp;"|low",Response_Table!$A$4:$A$21,0))*$R238*INDEX(Parameters!$X$4:$AA$4,1,MATCH($E238,Parameters!$X$3:$AA$3,0))),T238*(1+INDEX(Response_Table!$E$4:$E$21,MATCH($F238&amp;"|high",Response_Table!$A$4:$A$21,0))*$R238*INDEX(Parameters!$X$4:$AA$4,1,MATCH($E238,Parameters!$X$3:$AA$3,0))))*(1-Inputs_General!$C$22*Parameters!$F$4))</f>
        <v>75.1581471927016</v>
      </c>
      <c r="W238" s="44" t="n">
        <f aca="false">MIN(100,MAX(T238*(1+INDEX(Response_Table!$E$4:$E$21,MATCH($F238&amp;"|low",Response_Table!$A$4:$A$21,0))*$R238*INDEX(Parameters!$X$4:$AA$4,1,MATCH($E238,Parameters!$X$3:$AA$3,0))),T238*(1+INDEX(Response_Table!$E$4:$E$21,MATCH($F238&amp;"|high",Response_Table!$A$4:$A$21,0))*$R238*INDEX(Parameters!$X$4:$AA$4,1,MATCH($E238,Parameters!$X$3:$AA$3,0))))*(1+Inputs_General!$C$22*Parameters!$F$4))</f>
        <v>86.3006089776158</v>
      </c>
      <c r="X238" s="45" t="n">
        <f aca="false">IF(T238=0,0,U238/T238-1)</f>
        <v>-0.00431133880072854</v>
      </c>
      <c r="Y238" s="44" t="n">
        <f aca="false">Parameters!$E$5*IF($N238="V",Parameters!$I$5,IF($N238="F",Parameters!$J$5,Parameters!$K$5))*(1-Parameters!$L$5*$P238)*IF($D238="V1",Parameters!$M$5,IF($D238="V2",Parameters!$N$5,Parameters!$O$5))</f>
        <v>62.48592</v>
      </c>
      <c r="Z238" s="44" t="n">
        <f aca="false">MIN(100,Y238*(1+INDEX(Response_Table!$F$4:$F$21,MATCH($F238&amp;"|mid",Response_Table!$A$4:$A$21,0))*$R238*INDEX(Parameters!$X$5:$AA$5,1,MATCH($E238,Parameters!$X$3:$AA$3,0))))</f>
        <v>61.6259424886617</v>
      </c>
      <c r="AA238" s="44" t="n">
        <f aca="false">MAX(0,MIN(Y238*(1+INDEX(Response_Table!$F$4:$F$21,MATCH($F238&amp;"|low",Response_Table!$A$4:$A$21,0))*$R238*INDEX(Parameters!$X$5:$AA$5,1,MATCH($E238,Parameters!$X$3:$AA$3,0))),Y238*(1+INDEX(Response_Table!$F$4:$F$21,MATCH($F238&amp;"|high",Response_Table!$A$4:$A$21,0))*$R238*INDEX(Parameters!$X$5:$AA$5,1,MATCH($E238,Parameters!$X$3:$AA$3,0))))*(1-Inputs_General!$C$22*Parameters!$F$5))</f>
        <v>53.9029886912584</v>
      </c>
      <c r="AB238" s="44" t="n">
        <f aca="false">MIN(100,MAX(Y238*(1+INDEX(Response_Table!$F$4:$F$21,MATCH($F238&amp;"|low",Response_Table!$A$4:$A$21,0))*$R238*INDEX(Parameters!$X$5:$AA$5,1,MATCH($E238,Parameters!$X$3:$AA$3,0))),Y238*(1+INDEX(Response_Table!$F$4:$F$21,MATCH($F238&amp;"|high",Response_Table!$A$4:$A$21,0))*$R238*INDEX(Parameters!$X$5:$AA$5,1,MATCH($E238,Parameters!$X$3:$AA$3,0))))*(1+Inputs_General!$C$22*Parameters!$F$5))</f>
        <v>69.3888684801964</v>
      </c>
      <c r="AC238" s="45" t="n">
        <f aca="false">IF(Y238=0,0,Z238/Y238-1)</f>
        <v>-0.0137627406516269</v>
      </c>
      <c r="AD238" s="44" t="n">
        <f aca="false">Parameters!$E$6*IF($N238="V",Parameters!$I$6,IF($N238="F",Parameters!$J$6,Parameters!$K$6))*(1-Parameters!$L$6*$P238)*IF($D238="V1",Parameters!$M$6,IF($D238="V2",Parameters!$N$6,Parameters!$O$6))</f>
        <v>16.8258571428571</v>
      </c>
      <c r="AE238" s="44" t="n">
        <f aca="false">AD238*(1+INDEX(Response_Table!$G$4:$G$21,MATCH($F238&amp;"|mid",Response_Table!$A$4:$A$21,0))*$R238*INDEX(Parameters!$X$6:$AA$6,1,MATCH($E238,Parameters!$X$3:$AA$3,0)))</f>
        <v>15.2653555794404</v>
      </c>
      <c r="AF238" s="44" t="n">
        <f aca="false">MAX(0,MIN(AD238*(1+INDEX(Response_Table!$G$4:$G$21,MATCH($F238&amp;"|low",Response_Table!$A$4:$A$21,0))*$R238*INDEX(Parameters!$X$6:$AA$6,1,MATCH($E238,Parameters!$X$3:$AA$3,0))),AD238*(1+INDEX(Response_Table!$G$4:$G$21,MATCH($F238&amp;"|high",Response_Table!$A$4:$A$21,0))*$R238*INDEX(Parameters!$X$6:$AA$6,1,MATCH($E238,Parameters!$X$3:$AA$3,0))))*(1-Inputs_General!$C$22*Parameters!$F$6))</f>
        <v>11.5042792050642</v>
      </c>
      <c r="AG238" s="44" t="n">
        <f aca="false">MAX(AD238*(1+INDEX(Response_Table!$G$4:$G$21,MATCH($F238&amp;"|low",Response_Table!$A$4:$A$21,0))*$R238*INDEX(Parameters!$X$6:$AA$6,1,MATCH($E238,Parameters!$X$3:$AA$3,0))),AD238*(1+INDEX(Response_Table!$G$4:$G$21,MATCH($F238&amp;"|high",Response_Table!$A$4:$A$21,0))*$R238*INDEX(Parameters!$X$6:$AA$6,1,MATCH($E238,Parameters!$X$3:$AA$3,0))))*(1+Inputs_General!$C$22*Parameters!$F$6)</f>
        <v>19.4968357957418</v>
      </c>
      <c r="AH238" s="45" t="n">
        <f aca="false">IF(AD238=0,0,AE238/AD238-1)</f>
        <v>-0.0927442536904701</v>
      </c>
      <c r="AI238" s="46" t="n">
        <f aca="false">Parameters!$E$7*IF($N238="V",Parameters!$I$7,IF($N238="F",Parameters!$J$7,Parameters!$K$7))*(1-Parameters!$L$7*$P238)*IF($D238="V1",Parameters!$M$7,IF($D238="V2",Parameters!$N$7,Parameters!$O$7))*POWER($Q238/Inputs_General!$C$26,-Inputs_General!$C$25)</f>
        <v>0.304119499618928</v>
      </c>
      <c r="AJ238" s="46" t="n">
        <f aca="false">AI238*(1+INDEX(Response_Table!$H$4:$H$21,MATCH($F238&amp;"|mid",Response_Table!$A$4:$A$21,0))*$R238*INDEX(Parameters!$X$7:$AA$7,1,MATCH($E238,Parameters!$X$3:$AA$3,0)))</f>
        <v>0.287105616454658</v>
      </c>
      <c r="AK238" s="46" t="n">
        <f aca="false">MAX(0,MIN(AI238*(1+INDEX(Response_Table!$H$4:$H$21,MATCH($F238&amp;"|low",Response_Table!$A$4:$A$21,0))*$R238*INDEX(Parameters!$X$7:$AA$7,1,MATCH($E238,Parameters!$X$3:$AA$3,0))),AI238*(1+INDEX(Response_Table!$H$4:$H$21,MATCH($F238&amp;"|high",Response_Table!$A$4:$A$21,0))*$R238*INDEX(Parameters!$X$7:$AA$7,1,MATCH($E238,Parameters!$X$3:$AA$3,0))))*(1-Inputs_General!$C$22*Parameters!$F$7))</f>
        <v>0.194687883248483</v>
      </c>
      <c r="AL238" s="46" t="n">
        <f aca="false">MAX(AI238*(1+INDEX(Response_Table!$H$4:$H$21,MATCH($F238&amp;"|low",Response_Table!$A$4:$A$21,0))*$R238*INDEX(Parameters!$X$7:$AA$7,1,MATCH($E238,Parameters!$X$3:$AA$3,0))),AI238*(1+INDEX(Response_Table!$H$4:$H$21,MATCH($F238&amp;"|high",Response_Table!$A$4:$A$21,0))*$R238*INDEX(Parameters!$X$7:$AA$7,1,MATCH($E238,Parameters!$X$3:$AA$3,0))))*(1+Inputs_General!$C$22*Parameters!$F$7)</f>
        <v>0.38659713259442</v>
      </c>
      <c r="AM238" s="45" t="n">
        <f aca="false">IF(AI238=0,0,AJ238/AI238-1)</f>
        <v>-0.0559447295737018</v>
      </c>
      <c r="AN238" s="43" t="n">
        <f aca="false">AI238*$Q238/Inputs_General!$C$13*1000</f>
        <v>6.70550532611877</v>
      </c>
      <c r="AO238" s="43" t="n">
        <f aca="false">AJ238*$Q238/Inputs_General!$C$13*1000*(1+Inputs_General!$C$21*$I238)</f>
        <v>6.37784540132399</v>
      </c>
      <c r="AP238" s="43" t="n">
        <f aca="false">AK238*$Q238/Inputs_General!$C$13*1000*(1+Inputs_General!$C$21*$H238)</f>
        <v>4.30338844200561</v>
      </c>
      <c r="AQ238" s="43" t="n">
        <f aca="false">AL238*$Q238/Inputs_General!$C$13*1000*(1+Inputs_General!$C$21*$J238)</f>
        <v>8.63059833094864</v>
      </c>
      <c r="AR238" s="45" t="n">
        <f aca="false">IF(AN238=0,0,AO238/AN238-1)</f>
        <v>-0.0488643150455046</v>
      </c>
      <c r="AS238" s="42" t="n">
        <f aca="false">Parameters!$E$9*IF($N238="V",Parameters!$I$9,IF($N238="F",Parameters!$J$9,Parameters!$K$9))*(1-Parameters!$L$9*$P238)*IF($D238="V1",Parameters!$M$9,IF($D238="V2",Parameters!$N$9,Parameters!$O$9))</f>
        <v>285</v>
      </c>
      <c r="AT238" s="42" t="n">
        <f aca="false">AS238*(1+INDEX(Response_Table!$I$4:$I$21,MATCH($F238&amp;"|mid",Response_Table!$A$4:$A$21,0))*$R238*INDEX(Parameters!$X$9:$AA$9,1,MATCH($E238,Parameters!$X$3:$AA$3,0)))</f>
        <v>294.668302660683</v>
      </c>
      <c r="AU238" s="42" t="n">
        <f aca="false">MAX(0,MIN(AS238*(1+INDEX(Response_Table!$I$4:$I$21,MATCH($F238&amp;"|low",Response_Table!$A$4:$A$21,0))*$R238*INDEX(Parameters!$X$9:$AA$9,1,MATCH($E238,Parameters!$X$3:$AA$3,0))),AS238*(1+INDEX(Response_Table!$I$4:$I$21,MATCH($F238&amp;"|high",Response_Table!$A$4:$A$21,0))*$R238*INDEX(Parameters!$X$9:$AA$9,1,MATCH($E238,Parameters!$X$3:$AA$3,0))))*(1-Inputs_General!$C$22*Parameters!$F$9))</f>
        <v>259.892110911067</v>
      </c>
      <c r="AV238" s="42" t="n">
        <f aca="false">MAX(AS238*(1+INDEX(Response_Table!$I$4:$I$21,MATCH($F238&amp;"|low",Response_Table!$A$4:$A$21,0))*$R238*INDEX(Parameters!$X$9:$AA$9,1,MATCH($E238,Parameters!$X$3:$AA$3,0))),AS238*(1+INDEX(Response_Table!$I$4:$I$21,MATCH($F238&amp;"|high",Response_Table!$A$4:$A$21,0))*$R238*INDEX(Parameters!$X$9:$AA$9,1,MATCH($E238,Parameters!$X$3:$AA$3,0))))*(1+Inputs_General!$C$22*Parameters!$F$9)</f>
        <v>330.15772459622</v>
      </c>
      <c r="AW238" s="45" t="n">
        <f aca="false">IF(AS238=0,0,AT238/AS238-1)</f>
        <v>0.0339238689848527</v>
      </c>
      <c r="AX238" s="43" t="n">
        <f aca="false">INDEX(Context!$AB$4:$AB$51,$K238)</f>
        <v>2.29604001650625</v>
      </c>
      <c r="AY238" s="43" t="n">
        <f aca="false">AX238*(1+INDEX(Response_Table!$J$4:$J$21,MATCH($F238&amp;"|mid",Response_Table!$A$4:$A$21,0))*$R238*INDEX(Parameters!$X$10:$AA$10,1,MATCH($E238,Parameters!$X$3:$AA$3,0)))</f>
        <v>2.22138328542696</v>
      </c>
      <c r="AZ238" s="43" t="n">
        <f aca="false">MAX(0,MIN(AX238*(1+INDEX(Response_Table!$J$4:$J$21,MATCH($F238&amp;"|low",Response_Table!$A$4:$A$21,0))*$R238*INDEX(Parameters!$X$10:$AA$10,1,MATCH($E238,Parameters!$X$3:$AA$3,0))),AX238*(1+INDEX(Response_Table!$J$4:$J$21,MATCH($F238&amp;"|high",Response_Table!$A$4:$A$21,0))*$R238*INDEX(Parameters!$X$10:$AA$10,1,MATCH($E238,Parameters!$X$3:$AA$3,0))))*(1-Inputs_General!$C$22*Parameters!$F$10))</f>
        <v>1.74536100788334</v>
      </c>
      <c r="BA238" s="43" t="n">
        <f aca="false">MAX(AX238*(1+INDEX(Response_Table!$J$4:$J$21,MATCH($F238&amp;"|low",Response_Table!$A$4:$A$21,0))*$R238*INDEX(Parameters!$X$10:$AA$10,1,MATCH($E238,Parameters!$X$3:$AA$3,0))),AX238*(1+INDEX(Response_Table!$J$4:$J$21,MATCH($F238&amp;"|high",Response_Table!$A$4:$A$21,0))*$R238*INDEX(Parameters!$X$10:$AA$10,1,MATCH($E238,Parameters!$X$3:$AA$3,0))))*(1+Inputs_General!$C$22*Parameters!$F$10)</f>
        <v>2.71873235020091</v>
      </c>
      <c r="BB238" s="45" t="n">
        <f aca="false">IF(AX238=0,0,AY238/AX238-1)</f>
        <v>-0.0325154311521513</v>
      </c>
      <c r="BC238" s="46" t="n">
        <f aca="false">Parameters!$E$11*IF($N238="V",Parameters!$I$11,IF($N238="F",Parameters!$J$11,Parameters!$K$11))*(1-Parameters!$L$11*$P238)*IF($D238="V1",Parameters!$M$11,IF($D238="V2",Parameters!$N$11,Parameters!$O$11))</f>
        <v>1.17848214285714</v>
      </c>
      <c r="BD238" s="46" t="n">
        <f aca="false">BC238*(1+INDEX(Response_Table!$K$4:$K$21,MATCH($F238&amp;"|mid",Response_Table!$A$4:$A$21,0))*$R238*INDEX(Parameters!$X$11:$AA$11,1,MATCH($E238,Parameters!$X$3:$AA$3,0)))</f>
        <v>1.10836435323742</v>
      </c>
      <c r="BE238" s="46" t="n">
        <f aca="false">MAX(0,MIN(BC238*(1+INDEX(Response_Table!$K$4:$K$21,MATCH($F238&amp;"|low",Response_Table!$A$4:$A$21,0))*$R238*INDEX(Parameters!$X$11:$AA$11,1,MATCH($E238,Parameters!$X$3:$AA$3,0))),BC238*(1+INDEX(Response_Table!$K$4:$K$21,MATCH($F238&amp;"|high",Response_Table!$A$4:$A$21,0))*$R238*INDEX(Parameters!$X$11:$AA$11,1,MATCH($E238,Parameters!$X$3:$AA$3,0))))*(1-Inputs_General!$C$22*Parameters!$F$11))</f>
        <v>0.889993235817598</v>
      </c>
      <c r="BF238" s="46" t="n">
        <f aca="false">MAX(BC238*(1+INDEX(Response_Table!$K$4:$K$21,MATCH($F238&amp;"|low",Response_Table!$A$4:$A$21,0))*$R238*INDEX(Parameters!$X$11:$AA$11,1,MATCH($E238,Parameters!$X$3:$AA$3,0))),BC238*(1+INDEX(Response_Table!$K$4:$K$21,MATCH($F238&amp;"|high",Response_Table!$A$4:$A$21,0))*$R238*INDEX(Parameters!$X$11:$AA$11,1,MATCH($E238,Parameters!$X$3:$AA$3,0))))*(1+Inputs_General!$C$22*Parameters!$F$11)</f>
        <v>1.34424961494708</v>
      </c>
      <c r="BG238" s="45" t="n">
        <f aca="false">IF(BC238=0,0,BD238/BC238-1)</f>
        <v>-0.0594983895553408</v>
      </c>
      <c r="BH238" s="46" t="n">
        <f aca="false">Parameters!$E$12*IF($N238="V",Parameters!$I$12,IF($N238="F",Parameters!$J$12,Parameters!$K$12))*(1-Parameters!$L$12*$P238)*IF($D238="V1",Parameters!$M$12,IF($D238="V2",Parameters!$N$12,Parameters!$O$12))</f>
        <v>0.424253571428571</v>
      </c>
      <c r="BI238" s="46" t="n">
        <f aca="false">BH238*(1+INDEX(Response_Table!$L$4:$L$21,MATCH($F238&amp;"|mid",Response_Table!$A$4:$A$21,0))*$R238*INDEX(Parameters!$X$12:$AA$12,1,MATCH($E238,Parameters!$X$3:$AA$3,0)))</f>
        <v>0.404170320308053</v>
      </c>
      <c r="BJ238" s="46" t="n">
        <f aca="false">MAX(0,MIN(BH238*(1+INDEX(Response_Table!$L$4:$L$21,MATCH($F238&amp;"|low",Response_Table!$A$4:$A$21,0))*$R238*INDEX(Parameters!$X$12:$AA$12,1,MATCH($E238,Parameters!$X$3:$AA$3,0))),BH238*(1+INDEX(Response_Table!$L$4:$L$21,MATCH($F238&amp;"|high",Response_Table!$A$4:$A$21,0))*$R238*INDEX(Parameters!$X$12:$AA$12,1,MATCH($E238,Parameters!$X$3:$AA$3,0))))*(1-Inputs_General!$C$22*Parameters!$F$12))</f>
        <v>0.314419549452355</v>
      </c>
      <c r="BK238" s="46" t="n">
        <f aca="false">MAX(BH238*(1+INDEX(Response_Table!$L$4:$L$21,MATCH($F238&amp;"|low",Response_Table!$A$4:$A$21,0))*$R238*INDEX(Parameters!$X$12:$AA$12,1,MATCH($E238,Parameters!$X$3:$AA$3,0))),BH238*(1+INDEX(Response_Table!$L$4:$L$21,MATCH($F238&amp;"|high",Response_Table!$A$4:$A$21,0))*$R238*INDEX(Parameters!$X$12:$AA$12,1,MATCH($E238,Parameters!$X$3:$AA$3,0))))*(1+Inputs_General!$C$22*Parameters!$F$12)</f>
        <v>0.499743688566482</v>
      </c>
      <c r="BL238" s="45" t="n">
        <f aca="false">IF(BH238=0,0,BI238/BH238-1)</f>
        <v>-0.0473378481008245</v>
      </c>
      <c r="BM238" s="46" t="n">
        <f aca="false">Parameters!$E$13*IF($N238="V",Parameters!$I$13,IF($N238="F",Parameters!$J$13,Parameters!$K$13))*(1-Parameters!$L$13*$P238)*IF($D238="V1",Parameters!$M$13,IF($D238="V2",Parameters!$N$13,Parameters!$O$13))</f>
        <v>0.291417857142857</v>
      </c>
      <c r="BN238" s="46" t="n">
        <f aca="false">BM238*(1+INDEX(Response_Table!$M$4:$M$21,MATCH($F238&amp;"|mid",Response_Table!$A$4:$A$21,0))*$R238*INDEX(Parameters!$X$13:$AA$13,1,MATCH($E238,Parameters!$X$3:$AA$3,0)))</f>
        <v>0.298990366285624</v>
      </c>
      <c r="BO238" s="46" t="n">
        <f aca="false">MAX(0,MIN(BM238*(1+INDEX(Response_Table!$M$4:$M$21,MATCH($F238&amp;"|low",Response_Table!$A$4:$A$21,0))*$R238*INDEX(Parameters!$X$13:$AA$13,1,MATCH($E238,Parameters!$X$3:$AA$3,0))),BM238*(1+INDEX(Response_Table!$M$4:$M$21,MATCH($F238&amp;"|high",Response_Table!$A$4:$A$21,0))*$R238*INDEX(Parameters!$X$13:$AA$13,1,MATCH($E238,Parameters!$X$3:$AA$3,0))))*(1-Inputs_General!$C$22*Parameters!$F$13))</f>
        <v>0.236879765388841</v>
      </c>
      <c r="BP238" s="46" t="n">
        <f aca="false">MAX(BM238*(1+INDEX(Response_Table!$M$4:$M$21,MATCH($F238&amp;"|low",Response_Table!$A$4:$A$21,0))*$R238*INDEX(Parameters!$X$13:$AA$13,1,MATCH($E238,Parameters!$X$3:$AA$3,0))),BM238*(1+INDEX(Response_Table!$M$4:$M$21,MATCH($F238&amp;"|high",Response_Table!$A$4:$A$21,0))*$R238*INDEX(Parameters!$X$13:$AA$13,1,MATCH($E238,Parameters!$X$3:$AA$3,0))))*(1+Inputs_General!$C$22*Parameters!$F$13)</f>
        <v>0.358267258657532</v>
      </c>
      <c r="BQ238" s="45" t="n">
        <f aca="false">IF(BM238=0,0,BN238/BM238-1)</f>
        <v>0.0259850553326055</v>
      </c>
      <c r="BR238" s="44" t="n">
        <f aca="false">Parameters!$E$14*IF($N238="V",Parameters!$I$14,IF($N238="F",Parameters!$J$14,Parameters!$K$14))*(1-Parameters!$L$14*$P238)*IF($D238="V1",Parameters!$M$14,IF($D238="V2",Parameters!$N$14,Parameters!$O$14))*INDEX(Context!$AC$4:$AC$51,$K238)</f>
        <v>15</v>
      </c>
      <c r="BS238" s="44" t="n">
        <f aca="false">BR238*(1+INDEX(Response_Table!$N$4:$N$21,MATCH($F238&amp;"|mid",Response_Table!$A$4:$A$21,0))*$R238*INDEX(Parameters!$X$14:$AA$14,1,MATCH($E238,Parameters!$X$3:$AA$3,0)))</f>
        <v>15.7746193325589</v>
      </c>
      <c r="BT238" s="44" t="n">
        <f aca="false">MAX(0,MIN(BR238*(1+INDEX(Response_Table!$N$4:$N$21,MATCH($F238&amp;"|low",Response_Table!$A$4:$A$21,0))*$R238*INDEX(Parameters!$X$14:$AA$14,1,MATCH($E238,Parameters!$X$3:$AA$3,0))),BR238*(1+INDEX(Response_Table!$N$4:$N$21,MATCH($F238&amp;"|high",Response_Table!$A$4:$A$21,0))*$R238*INDEX(Parameters!$X$14:$AA$14,1,MATCH($E238,Parameters!$X$3:$AA$3,0))))*(1-Inputs_General!$C$22*Parameters!$F$14))</f>
        <v>7.73222403531913</v>
      </c>
      <c r="BU238" s="44" t="n">
        <f aca="false">MAX(BR238*(1+INDEX(Response_Table!$N$4:$N$21,MATCH($F238&amp;"|low",Response_Table!$A$4:$A$21,0))*$R238*INDEX(Parameters!$X$14:$AA$14,1,MATCH($E238,Parameters!$X$3:$AA$3,0))),BR238*(1+INDEX(Response_Table!$N$4:$N$21,MATCH($F238&amp;"|high",Response_Table!$A$4:$A$21,0))*$R238*INDEX(Parameters!$X$14:$AA$14,1,MATCH($E238,Parameters!$X$3:$AA$3,0))))*(1+Inputs_General!$C$22*Parameters!$F$14)</f>
        <v>24.2747937348826</v>
      </c>
      <c r="BV238" s="45" t="n">
        <f aca="false">IF(BR238=0,0,BS238/BR238-1)</f>
        <v>0.051641288837263</v>
      </c>
      <c r="BW238" s="43" t="n">
        <f aca="false">Parameters!$E$15*IF($N238="V",Parameters!$I$15,IF($N238="F",Parameters!$J$15,Parameters!$K$15))*(1-Parameters!$L$15*$P238)*IF($D238="V1",Parameters!$M$15,IF($D238="V2",Parameters!$N$15,Parameters!$O$15))</f>
        <v>9.80497142857143</v>
      </c>
      <c r="BX238" s="43" t="n">
        <f aca="false">BW238*(1+INDEX(Response_Table!$O$4:$O$21,MATCH($F238&amp;"|mid",Response_Table!$A$4:$A$21,0))*$R238*INDEX(Parameters!$X$15:$AA$15,1,MATCH($E238,Parameters!$X$3:$AA$3,0)))</f>
        <v>9.67838608817544</v>
      </c>
      <c r="BY238" s="43" t="n">
        <f aca="false">MAX(0,MIN(BW238*(1+INDEX(Response_Table!$O$4:$O$21,MATCH($F238&amp;"|low",Response_Table!$A$4:$A$21,0))*$R238*INDEX(Parameters!$X$15:$AA$15,1,MATCH($E238,Parameters!$X$3:$AA$3,0))),BW238*(1+INDEX(Response_Table!$O$4:$O$21,MATCH($F238&amp;"|high",Response_Table!$A$4:$A$21,0))*$R238*INDEX(Parameters!$X$15:$AA$15,1,MATCH($E238,Parameters!$X$3:$AA$3,0))))*(1-Inputs_General!$C$22*Parameters!$F$15))</f>
        <v>7.70504690702437</v>
      </c>
      <c r="BZ238" s="43" t="n">
        <f aca="false">MAX(BW238*(1+INDEX(Response_Table!$O$4:$O$21,MATCH($F238&amp;"|low",Response_Table!$A$4:$A$21,0))*$R238*INDEX(Parameters!$X$15:$AA$15,1,MATCH($E238,Parameters!$X$3:$AA$3,0))),BW238*(1+INDEX(Response_Table!$O$4:$O$21,MATCH($F238&amp;"|high",Response_Table!$A$4:$A$21,0))*$R238*INDEX(Parameters!$X$15:$AA$15,1,MATCH($E238,Parameters!$X$3:$AA$3,0))))*(1+Inputs_General!$C$22*Parameters!$F$15)</f>
        <v>11.6884252771983</v>
      </c>
      <c r="CA238" s="45" t="n">
        <f aca="false">IF(BW238=0,0,BX238/BW238-1)</f>
        <v>-0.0129103222093158</v>
      </c>
      <c r="CB238" s="46" t="n">
        <f aca="false">BD238+BI238</f>
        <v>1.51253467354547</v>
      </c>
      <c r="CC238" s="43" t="n">
        <f aca="false">BD238/BI238</f>
        <v>2.74232000111397</v>
      </c>
      <c r="CD238" s="46" t="n">
        <f aca="false">BN238/CB238</f>
        <v>0.197675049382354</v>
      </c>
      <c r="CE238" s="43" t="n">
        <f aca="false">AE238/AO238</f>
        <v>2.39349727358889</v>
      </c>
      <c r="CF238" s="44" t="n">
        <f aca="false">AE238/AJ238</f>
        <v>53.169825682777</v>
      </c>
      <c r="CG238" s="44" t="n">
        <f aca="false">INDEX(Context!$V$4:$V$51,$K238)</f>
        <v>32.7871428571429</v>
      </c>
      <c r="CH238" s="44" t="n">
        <f aca="false">INDEX(Context!$Y$4:$Y$51,$K238)</f>
        <v>28.36912210206</v>
      </c>
      <c r="CI238" s="44" t="n">
        <f aca="false">INDEX(Context!$Z$4:$Z$51,$K238)</f>
        <v>36.7871428571429</v>
      </c>
      <c r="CJ238" s="43" t="n">
        <f aca="false">INDEX(Context!$AA$4:$AA$51,$K238)</f>
        <v>0.247678571428571</v>
      </c>
      <c r="CK238" s="43" t="n">
        <f aca="false">MAX(0,MIN(1,1-(1-CJ238)*AO238/AN238))</f>
        <v>0.28444024272977</v>
      </c>
      <c r="CL238" s="44" t="n">
        <f aca="false">CH238+CK238*(CI238-CH238)</f>
        <v>30.76354596894</v>
      </c>
      <c r="CM238" s="44" t="n">
        <f aca="false">CH238+MAX(0,MIN(1,1-(1-CJ238)*AQ238/AN238))*(CI238-CH238)</f>
        <v>28.6359190537502</v>
      </c>
      <c r="CN238" s="44" t="n">
        <f aca="false">CH238+MAX(0,MIN(1,1-(1-CJ238)*AP238/AN238))*(CI238-CH238)</f>
        <v>32.7227801144191</v>
      </c>
      <c r="CO238" s="44" t="n">
        <f aca="false">CL238-CG238</f>
        <v>-2.02359688820282</v>
      </c>
      <c r="CP238" s="44" t="n">
        <f aca="false">CL238-(CH238+CJ238*(CI238-CH238))</f>
        <v>0.309460512005021</v>
      </c>
      <c r="CQ238" s="46" t="n">
        <f aca="false">CL238/CG238</f>
        <v>0.938280779846544</v>
      </c>
      <c r="CR238" s="43" t="n">
        <f aca="false">IF(CL238-CH238&lt;=0,"n/a",(CI238-CL238)/(CL238-CH238))</f>
        <v>2.51567693236024</v>
      </c>
      <c r="CS238" s="43" t="n">
        <f aca="false">IF(CI238-CL238&lt;=0,"n/a",(CL238-CH238)/(CI238-CL238))</f>
        <v>0.397507321841118</v>
      </c>
      <c r="CT238" s="43" t="n">
        <f aca="false">Inputs_General!$C$23+Inputs_General!$C$24*$I238</f>
        <v>0.66</v>
      </c>
      <c r="CU238" s="44" t="n">
        <f aca="false">3.29*CT238</f>
        <v>2.1714</v>
      </c>
    </row>
    <row r="239" customFormat="false" ht="15" hidden="false" customHeight="false" outlineLevel="0" collapsed="false">
      <c r="A239" s="9" t="str">
        <f aca="false">B239&amp;"|"&amp;E239&amp;"|"&amp;F239</f>
        <v>D4V1|13/03/2026|Low</v>
      </c>
      <c r="B239" s="7" t="s">
        <v>352</v>
      </c>
      <c r="C239" s="9" t="s">
        <v>133</v>
      </c>
      <c r="D239" s="9" t="s">
        <v>142</v>
      </c>
      <c r="E239" s="9" t="s">
        <v>164</v>
      </c>
      <c r="F239" s="7" t="s">
        <v>279</v>
      </c>
      <c r="G239" s="9" t="s">
        <v>280</v>
      </c>
      <c r="H239" s="41" t="n">
        <f aca="false">INDEX(Severity_Classes!$C$4:$C$9,MATCH(F239,Severity_Classes!$A$4:$A$9,0))</f>
        <v>0.06</v>
      </c>
      <c r="I239" s="41" t="n">
        <f aca="false">INDEX(Severity_Classes!$D$4:$D$9,MATCH(F239,Severity_Classes!$A$4:$A$9,0))</f>
        <v>0.08</v>
      </c>
      <c r="J239" s="41" t="n">
        <f aca="false">INDEX(Severity_Classes!$E$4:$E$9,MATCH(F239,Severity_Classes!$A$4:$A$9,0))</f>
        <v>0.1</v>
      </c>
      <c r="K239" s="42" t="n">
        <f aca="false">MATCH(B239&amp;"|"&amp;E239,Context!$A$4:$A$51,0)</f>
        <v>40</v>
      </c>
      <c r="L239" s="42" t="n">
        <f aca="false">INDEX(Context!$H$4:$H$51,K239)</f>
        <v>63</v>
      </c>
      <c r="M239" s="42" t="n">
        <f aca="false">INDEX(Context!$I$4:$I$51,K239)</f>
        <v>36</v>
      </c>
      <c r="N239" s="9" t="str">
        <f aca="false">INDEX(Context!$L$4:$L$51,K239)</f>
        <v>F</v>
      </c>
      <c r="O239" s="9" t="str">
        <f aca="false">INDEX(Context!$M$4:$M$51,K239)</f>
        <v>5th fully expanded leaf from top</v>
      </c>
      <c r="P239" s="43" t="n">
        <f aca="false">INDEX(Context!$R$4:$R$51,K239)</f>
        <v>0.953571428571428</v>
      </c>
      <c r="Q239" s="43" t="n">
        <f aca="false">INDEX(Context!$U$4:$U$51,K239)</f>
        <v>2.18945736698217</v>
      </c>
      <c r="R239" s="43" t="n">
        <f aca="false">INDEX(Context!$AD$4:$AD$51,K239)</f>
        <v>1</v>
      </c>
      <c r="S239" s="9" t="str">
        <f aca="false">INDEX(Context!$AI$4:$AN$51,K239,MATCH(F239,Severity_Classes!$A$4:$A$9,0))</f>
        <v>Likely</v>
      </c>
      <c r="T239" s="44" t="n">
        <f aca="false">Parameters!$E$4*IF($N239="V",Parameters!$I$4,IF($N239="F",Parameters!$J$4,Parameters!$K$4))*(1-Parameters!$L$4*$P239)*IF($D239="V1",Parameters!$M$4,IF($D239="V2",Parameters!$N$4,Parameters!$O$4))</f>
        <v>81.0806464285714</v>
      </c>
      <c r="U239" s="44" t="n">
        <f aca="false">MIN(100,T239*(1+INDEX(Response_Table!$E$4:$E$21,MATCH($F239&amp;"|mid",Response_Table!$A$4:$A$21,0))*$R239*INDEX(Parameters!$X$4:$AA$4,1,MATCH($E239,Parameters!$X$3:$AA$3,0))))</f>
        <v>79.9521153000563</v>
      </c>
      <c r="V239" s="44" t="n">
        <f aca="false">MAX(0,MIN(T239*(1+INDEX(Response_Table!$E$4:$E$21,MATCH($F239&amp;"|low",Response_Table!$A$4:$A$21,0))*$R239*INDEX(Parameters!$X$4:$AA$4,1,MATCH($E239,Parameters!$X$3:$AA$3,0))),T239*(1+INDEX(Response_Table!$E$4:$E$21,MATCH($F239&amp;"|high",Response_Table!$A$4:$A$21,0))*$R239*INDEX(Parameters!$X$4:$AA$4,1,MATCH($E239,Parameters!$X$3:$AA$3,0))))*(1-Inputs_General!$C$22*Parameters!$F$4))</f>
        <v>74.3229154023915</v>
      </c>
      <c r="W239" s="44" t="n">
        <f aca="false">MIN(100,MAX(T239*(1+INDEX(Response_Table!$E$4:$E$21,MATCH($F239&amp;"|low",Response_Table!$A$4:$A$21,0))*$R239*INDEX(Parameters!$X$4:$AA$4,1,MATCH($E239,Parameters!$X$3:$AA$3,0))),T239*(1+INDEX(Response_Table!$E$4:$E$21,MATCH($F239&amp;"|high",Response_Table!$A$4:$A$21,0))*$R239*INDEX(Parameters!$X$4:$AA$4,1,MATCH($E239,Parameters!$X$3:$AA$3,0))))*(1+Inputs_General!$C$22*Parameters!$F$4))</f>
        <v>85.5802171758792</v>
      </c>
      <c r="X239" s="45" t="n">
        <f aca="false">IF(T239=0,0,U239/T239-1)</f>
        <v>-0.0139186251987927</v>
      </c>
      <c r="Y239" s="44" t="n">
        <f aca="false">Parameters!$E$5*IF($N239="V",Parameters!$I$5,IF($N239="F",Parameters!$J$5,Parameters!$K$5))*(1-Parameters!$L$5*$P239)*IF($D239="V1",Parameters!$M$5,IF($D239="V2",Parameters!$N$5,Parameters!$O$5))</f>
        <v>62.48592</v>
      </c>
      <c r="Z239" s="44" t="n">
        <f aca="false">MIN(100,Y239*(1+INDEX(Response_Table!$F$4:$F$21,MATCH($F239&amp;"|mid",Response_Table!$A$4:$A$21,0))*$R239*INDEX(Parameters!$X$5:$AA$5,1,MATCH($E239,Parameters!$X$3:$AA$3,0))))</f>
        <v>59.6147471145055</v>
      </c>
      <c r="AA239" s="44" t="n">
        <f aca="false">MAX(0,MIN(Y239*(1+INDEX(Response_Table!$F$4:$F$21,MATCH($F239&amp;"|low",Response_Table!$A$4:$A$21,0))*$R239*INDEX(Parameters!$X$5:$AA$5,1,MATCH($E239,Parameters!$X$3:$AA$3,0))),Y239*(1+INDEX(Response_Table!$F$4:$F$21,MATCH($F239&amp;"|high",Response_Table!$A$4:$A$21,0))*$R239*INDEX(Parameters!$X$5:$AA$5,1,MATCH($E239,Parameters!$X$3:$AA$3,0))))*(1-Inputs_General!$C$22*Parameters!$F$5))</f>
        <v>51.820243578877</v>
      </c>
      <c r="AB239" s="44" t="n">
        <f aca="false">MIN(100,MAX(Y239*(1+INDEX(Response_Table!$F$4:$F$21,MATCH($F239&amp;"|low",Response_Table!$A$4:$A$21,0))*$R239*INDEX(Parameters!$X$5:$AA$5,1,MATCH($E239,Parameters!$X$3:$AA$3,0))),Y239*(1+INDEX(Response_Table!$F$4:$F$21,MATCH($F239&amp;"|high",Response_Table!$A$4:$A$21,0))*$R239*INDEX(Parameters!$X$5:$AA$5,1,MATCH($E239,Parameters!$X$3:$AA$3,0))))*(1+Inputs_General!$C$22*Parameters!$F$5))</f>
        <v>67.4859113746697</v>
      </c>
      <c r="AC239" s="45" t="n">
        <f aca="false">IF(Y239=0,0,Z239/Y239-1)</f>
        <v>-0.0459491175851214</v>
      </c>
      <c r="AD239" s="44" t="n">
        <f aca="false">Parameters!$E$6*IF($N239="V",Parameters!$I$6,IF($N239="F",Parameters!$J$6,Parameters!$K$6))*(1-Parameters!$L$6*$P239)*IF($D239="V1",Parameters!$M$6,IF($D239="V2",Parameters!$N$6,Parameters!$O$6))</f>
        <v>16.8258571428571</v>
      </c>
      <c r="AE239" s="44" t="n">
        <f aca="false">AD239*(1+INDEX(Response_Table!$G$4:$G$21,MATCH($F239&amp;"|mid",Response_Table!$A$4:$A$21,0))*$R239*INDEX(Parameters!$X$6:$AA$6,1,MATCH($E239,Parameters!$X$3:$AA$3,0)))</f>
        <v>13.0814324335531</v>
      </c>
      <c r="AF239" s="44" t="n">
        <f aca="false">MAX(0,MIN(AD239*(1+INDEX(Response_Table!$G$4:$G$21,MATCH($F239&amp;"|low",Response_Table!$A$4:$A$21,0))*$R239*INDEX(Parameters!$X$6:$AA$6,1,MATCH($E239,Parameters!$X$3:$AA$3,0))),AD239*(1+INDEX(Response_Table!$G$4:$G$21,MATCH($F239&amp;"|high",Response_Table!$A$4:$A$21,0))*$R239*INDEX(Parameters!$X$6:$AA$6,1,MATCH($E239,Parameters!$X$3:$AA$3,0))))*(1-Inputs_General!$C$22*Parameters!$F$6))</f>
        <v>9.89911823167053</v>
      </c>
      <c r="AG239" s="44" t="n">
        <f aca="false">MAX(AD239*(1+INDEX(Response_Table!$G$4:$G$21,MATCH($F239&amp;"|low",Response_Table!$A$4:$A$21,0))*$R239*INDEX(Parameters!$X$6:$AA$6,1,MATCH($E239,Parameters!$X$3:$AA$3,0))),AD239*(1+INDEX(Response_Table!$G$4:$G$21,MATCH($F239&amp;"|high",Response_Table!$A$4:$A$21,0))*$R239*INDEX(Parameters!$X$6:$AA$6,1,MATCH($E239,Parameters!$X$3:$AA$3,0))))*(1+Inputs_General!$C$22*Parameters!$F$6)</f>
        <v>16.6412545612144</v>
      </c>
      <c r="AH239" s="45" t="n">
        <f aca="false">IF(AD239=0,0,AE239/AD239-1)</f>
        <v>-0.222539908517744</v>
      </c>
      <c r="AI239" s="46" t="n">
        <f aca="false">Parameters!$E$7*IF($N239="V",Parameters!$I$7,IF($N239="F",Parameters!$J$7,Parameters!$K$7))*(1-Parameters!$L$7*$P239)*IF($D239="V1",Parameters!$M$7,IF($D239="V2",Parameters!$N$7,Parameters!$O$7))*POWER($Q239/Inputs_General!$C$26,-Inputs_General!$C$25)</f>
        <v>0.304119499618928</v>
      </c>
      <c r="AJ239" s="46" t="n">
        <f aca="false">AI239*(1+INDEX(Response_Table!$H$4:$H$21,MATCH($F239&amp;"|mid",Response_Table!$A$4:$A$21,0))*$R239*INDEX(Parameters!$X$7:$AA$7,1,MATCH($E239,Parameters!$X$3:$AA$3,0)))</f>
        <v>0.261940591337639</v>
      </c>
      <c r="AK239" s="46" t="n">
        <f aca="false">MAX(0,MIN(AI239*(1+INDEX(Response_Table!$H$4:$H$21,MATCH($F239&amp;"|low",Response_Table!$A$4:$A$21,0))*$R239*INDEX(Parameters!$X$7:$AA$7,1,MATCH($E239,Parameters!$X$3:$AA$3,0))),AI239*(1+INDEX(Response_Table!$H$4:$H$21,MATCH($F239&amp;"|high",Response_Table!$A$4:$A$21,0))*$R239*INDEX(Parameters!$X$7:$AA$7,1,MATCH($E239,Parameters!$X$3:$AA$3,0))))*(1-Inputs_General!$C$22*Parameters!$F$7))</f>
        <v>0.178005785389354</v>
      </c>
      <c r="AL239" s="46" t="n">
        <f aca="false">MAX(AI239*(1+INDEX(Response_Table!$H$4:$H$21,MATCH($F239&amp;"|low",Response_Table!$A$4:$A$21,0))*$R239*INDEX(Parameters!$X$7:$AA$7,1,MATCH($E239,Parameters!$X$3:$AA$3,0))),AI239*(1+INDEX(Response_Table!$H$4:$H$21,MATCH($F239&amp;"|high",Response_Table!$A$4:$A$21,0))*$R239*INDEX(Parameters!$X$7:$AA$7,1,MATCH($E239,Parameters!$X$3:$AA$3,0))))*(1+Inputs_General!$C$22*Parameters!$F$7)</f>
        <v>0.351963858680363</v>
      </c>
      <c r="AM239" s="45" t="n">
        <f aca="false">IF(AI239=0,0,AJ239/AI239-1)</f>
        <v>-0.13869189030674</v>
      </c>
      <c r="AN239" s="43" t="n">
        <f aca="false">AI239*$Q239/Inputs_General!$C$13*1000</f>
        <v>6.70550532611877</v>
      </c>
      <c r="AO239" s="43" t="n">
        <f aca="false">AJ239*$Q239/Inputs_General!$C$13*1000*(1+Inputs_General!$C$21*$I239)</f>
        <v>5.89101623931699</v>
      </c>
      <c r="AP239" s="43" t="n">
        <f aca="false">AK239*$Q239/Inputs_General!$C$13*1000*(1+Inputs_General!$C$21*$H239)</f>
        <v>3.98370714359477</v>
      </c>
      <c r="AQ239" s="43" t="n">
        <f aca="false">AL239*$Q239/Inputs_General!$C$13*1000*(1+Inputs_General!$C$21*$J239)</f>
        <v>7.95443212368249</v>
      </c>
      <c r="AR239" s="45" t="n">
        <f aca="false">IF(AN239=0,0,AO239/AN239-1)</f>
        <v>-0.121465728112875</v>
      </c>
      <c r="AS239" s="42" t="n">
        <f aca="false">Parameters!$E$9*IF($N239="V",Parameters!$I$9,IF($N239="F",Parameters!$J$9,Parameters!$K$9))*(1-Parameters!$L$9*$P239)*IF($D239="V1",Parameters!$M$9,IF($D239="V2",Parameters!$N$9,Parameters!$O$9))</f>
        <v>285</v>
      </c>
      <c r="AT239" s="42" t="n">
        <f aca="false">AS239*(1+INDEX(Response_Table!$I$4:$I$21,MATCH($F239&amp;"|mid",Response_Table!$A$4:$A$21,0))*$R239*INDEX(Parameters!$X$9:$AA$9,1,MATCH($E239,Parameters!$X$3:$AA$3,0)))</f>
        <v>308.414257330199</v>
      </c>
      <c r="AU239" s="42" t="n">
        <f aca="false">MAX(0,MIN(AS239*(1+INDEX(Response_Table!$I$4:$I$21,MATCH($F239&amp;"|low",Response_Table!$A$4:$A$21,0))*$R239*INDEX(Parameters!$X$9:$AA$9,1,MATCH($E239,Parameters!$X$3:$AA$3,0))),AS239*(1+INDEX(Response_Table!$I$4:$I$21,MATCH($F239&amp;"|high",Response_Table!$A$4:$A$21,0))*$R239*INDEX(Parameters!$X$9:$AA$9,1,MATCH($E239,Parameters!$X$3:$AA$3,0))))*(1-Inputs_General!$C$22*Parameters!$F$9))</f>
        <v>273.313202404171</v>
      </c>
      <c r="AV239" s="42" t="n">
        <f aca="false">MAX(AS239*(1+INDEX(Response_Table!$I$4:$I$21,MATCH($F239&amp;"|low",Response_Table!$A$4:$A$21,0))*$R239*INDEX(Parameters!$X$9:$AA$9,1,MATCH($E239,Parameters!$X$3:$AA$3,0))),AS239*(1+INDEX(Response_Table!$I$4:$I$21,MATCH($F239&amp;"|high",Response_Table!$A$4:$A$21,0))*$R239*INDEX(Parameters!$X$9:$AA$9,1,MATCH($E239,Parameters!$X$3:$AA$3,0))))*(1+Inputs_General!$C$22*Parameters!$F$9)</f>
        <v>344.099255743465</v>
      </c>
      <c r="AW239" s="45" t="n">
        <f aca="false">IF(AS239=0,0,AT239/AS239-1)</f>
        <v>0.0821552888778927</v>
      </c>
      <c r="AX239" s="43" t="n">
        <f aca="false">INDEX(Context!$AB$4:$AB$51,$K239)</f>
        <v>2.29604001650625</v>
      </c>
      <c r="AY239" s="43" t="n">
        <f aca="false">AX239*(1+INDEX(Response_Table!$J$4:$J$21,MATCH($F239&amp;"|mid",Response_Table!$A$4:$A$21,0))*$R239*INDEX(Parameters!$X$10:$AA$10,1,MATCH($E239,Parameters!$X$3:$AA$3,0)))</f>
        <v>2.10874936639354</v>
      </c>
      <c r="AZ239" s="43" t="n">
        <f aca="false">MAX(0,MIN(AX239*(1+INDEX(Response_Table!$J$4:$J$21,MATCH($F239&amp;"|low",Response_Table!$A$4:$A$21,0))*$R239*INDEX(Parameters!$X$10:$AA$10,1,MATCH($E239,Parameters!$X$3:$AA$3,0))),AX239*(1+INDEX(Response_Table!$J$4:$J$21,MATCH($F239&amp;"|high",Response_Table!$A$4:$A$21,0))*$R239*INDEX(Parameters!$X$10:$AA$10,1,MATCH($E239,Parameters!$X$3:$AA$3,0))))*(1-Inputs_General!$C$22*Parameters!$F$10))</f>
        <v>1.65936988368346</v>
      </c>
      <c r="BA239" s="43" t="n">
        <f aca="false">MAX(AX239*(1+INDEX(Response_Table!$J$4:$J$21,MATCH($F239&amp;"|low",Response_Table!$A$4:$A$21,0))*$R239*INDEX(Parameters!$X$10:$AA$10,1,MATCH($E239,Parameters!$X$3:$AA$3,0))),AX239*(1+INDEX(Response_Table!$J$4:$J$21,MATCH($F239&amp;"|high",Response_Table!$A$4:$A$21,0))*$R239*INDEX(Parameters!$X$10:$AA$10,1,MATCH($E239,Parameters!$X$3:$AA$3,0))))*(1+Inputs_General!$C$22*Parameters!$F$10)</f>
        <v>2.57694967277648</v>
      </c>
      <c r="BB239" s="45" t="n">
        <f aca="false">IF(AX239=0,0,AY239/AX239-1)</f>
        <v>-0.0815711611149081</v>
      </c>
      <c r="BC239" s="46" t="n">
        <f aca="false">Parameters!$E$11*IF($N239="V",Parameters!$I$11,IF($N239="F",Parameters!$J$11,Parameters!$K$11))*(1-Parameters!$L$11*$P239)*IF($D239="V1",Parameters!$M$11,IF($D239="V2",Parameters!$N$11,Parameters!$O$11))</f>
        <v>1.17848214285714</v>
      </c>
      <c r="BD239" s="46" t="n">
        <f aca="false">BC239*(1+INDEX(Response_Table!$K$4:$K$21,MATCH($F239&amp;"|mid",Response_Table!$A$4:$A$21,0))*$R239*INDEX(Parameters!$X$11:$AA$11,1,MATCH($E239,Parameters!$X$3:$AA$3,0)))</f>
        <v>1.00547186606766</v>
      </c>
      <c r="BE239" s="46" t="n">
        <f aca="false">MAX(0,MIN(BC239*(1+INDEX(Response_Table!$K$4:$K$21,MATCH($F239&amp;"|low",Response_Table!$A$4:$A$21,0))*$R239*INDEX(Parameters!$X$11:$AA$11,1,MATCH($E239,Parameters!$X$3:$AA$3,0))),BC239*(1+INDEX(Response_Table!$K$4:$K$21,MATCH($F239&amp;"|high",Response_Table!$A$4:$A$21,0))*$R239*INDEX(Parameters!$X$11:$AA$11,1,MATCH($E239,Parameters!$X$3:$AA$3,0))))*(1-Inputs_General!$C$22*Parameters!$F$11))</f>
        <v>0.809356066722123</v>
      </c>
      <c r="BF239" s="46" t="n">
        <f aca="false">MAX(BC239*(1+INDEX(Response_Table!$K$4:$K$21,MATCH($F239&amp;"|low",Response_Table!$A$4:$A$21,0))*$R239*INDEX(Parameters!$X$11:$AA$11,1,MATCH($E239,Parameters!$X$3:$AA$3,0))),BC239*(1+INDEX(Response_Table!$K$4:$K$21,MATCH($F239&amp;"|high",Response_Table!$A$4:$A$21,0))*$R239*INDEX(Parameters!$X$11:$AA$11,1,MATCH($E239,Parameters!$X$3:$AA$3,0))))*(1+Inputs_General!$C$22*Parameters!$F$11)</f>
        <v>1.21651223468884</v>
      </c>
      <c r="BG239" s="45" t="n">
        <f aca="false">IF(BC239=0,0,BD239/BC239-1)</f>
        <v>-0.146807720285039</v>
      </c>
      <c r="BH239" s="46" t="n">
        <f aca="false">Parameters!$E$12*IF($N239="V",Parameters!$I$12,IF($N239="F",Parameters!$J$12,Parameters!$K$12))*(1-Parameters!$L$12*$P239)*IF($D239="V1",Parameters!$M$12,IF($D239="V2",Parameters!$N$12,Parameters!$O$12))</f>
        <v>0.424253571428571</v>
      </c>
      <c r="BI239" s="46" t="n">
        <f aca="false">BH239*(1+INDEX(Response_Table!$L$4:$L$21,MATCH($F239&amp;"|mid",Response_Table!$A$4:$A$21,0))*$R239*INDEX(Parameters!$X$12:$AA$12,1,MATCH($E239,Parameters!$X$3:$AA$3,0)))</f>
        <v>0.374465430836344</v>
      </c>
      <c r="BJ239" s="46" t="n">
        <f aca="false">MAX(0,MIN(BH239*(1+INDEX(Response_Table!$L$4:$L$21,MATCH($F239&amp;"|low",Response_Table!$A$4:$A$21,0))*$R239*INDEX(Parameters!$X$12:$AA$12,1,MATCH($E239,Parameters!$X$3:$AA$3,0))),BH239*(1+INDEX(Response_Table!$L$4:$L$21,MATCH($F239&amp;"|high",Response_Table!$A$4:$A$21,0))*$R239*INDEX(Parameters!$X$12:$AA$12,1,MATCH($E239,Parameters!$X$3:$AA$3,0))))*(1-Inputs_General!$C$22*Parameters!$F$12))</f>
        <v>0.291966805319974</v>
      </c>
      <c r="BK239" s="46" t="n">
        <f aca="false">MAX(BH239*(1+INDEX(Response_Table!$L$4:$L$21,MATCH($F239&amp;"|low",Response_Table!$A$4:$A$21,0))*$R239*INDEX(Parameters!$X$12:$AA$12,1,MATCH($E239,Parameters!$X$3:$AA$3,0))),BH239*(1+INDEX(Response_Table!$L$4:$L$21,MATCH($F239&amp;"|high",Response_Table!$A$4:$A$21,0))*$R239*INDEX(Parameters!$X$12:$AA$12,1,MATCH($E239,Parameters!$X$3:$AA$3,0))))*(1+Inputs_General!$C$22*Parameters!$F$12)</f>
        <v>0.461975612380755</v>
      </c>
      <c r="BL239" s="45" t="n">
        <f aca="false">IF(BH239=0,0,BI239/BH239-1)</f>
        <v>-0.117354676413396</v>
      </c>
      <c r="BM239" s="46" t="n">
        <f aca="false">Parameters!$E$13*IF($N239="V",Parameters!$I$13,IF($N239="F",Parameters!$J$13,Parameters!$K$13))*(1-Parameters!$L$13*$P239)*IF($D239="V1",Parameters!$M$13,IF($D239="V2",Parameters!$N$13,Parameters!$O$13))</f>
        <v>0.291417857142857</v>
      </c>
      <c r="BN239" s="46" t="n">
        <f aca="false">BM239*(1+INDEX(Response_Table!$M$4:$M$21,MATCH($F239&amp;"|mid",Response_Table!$A$4:$A$21,0))*$R239*INDEX(Parameters!$X$13:$AA$13,1,MATCH($E239,Parameters!$X$3:$AA$3,0)))</f>
        <v>0.295020762501381</v>
      </c>
      <c r="BO239" s="46" t="n">
        <f aca="false">MAX(0,MIN(BM239*(1+INDEX(Response_Table!$M$4:$M$21,MATCH($F239&amp;"|low",Response_Table!$A$4:$A$21,0))*$R239*INDEX(Parameters!$X$13:$AA$13,1,MATCH($E239,Parameters!$X$3:$AA$3,0))),BM239*(1+INDEX(Response_Table!$M$4:$M$21,MATCH($F239&amp;"|high",Response_Table!$A$4:$A$21,0))*$R239*INDEX(Parameters!$X$13:$AA$13,1,MATCH($E239,Parameters!$X$3:$AA$3,0))))*(1-Inputs_General!$C$22*Parameters!$F$13))</f>
        <v>0.233032954353844</v>
      </c>
      <c r="BP239" s="46" t="n">
        <f aca="false">MAX(BM239*(1+INDEX(Response_Table!$M$4:$M$21,MATCH($F239&amp;"|low",Response_Table!$A$4:$A$21,0))*$R239*INDEX(Parameters!$X$13:$AA$13,1,MATCH($E239,Parameters!$X$3:$AA$3,0))),BM239*(1+INDEX(Response_Table!$M$4:$M$21,MATCH($F239&amp;"|high",Response_Table!$A$4:$A$21,0))*$R239*INDEX(Parameters!$X$13:$AA$13,1,MATCH($E239,Parameters!$X$3:$AA$3,0))))*(1+Inputs_General!$C$22*Parameters!$F$13)</f>
        <v>0.357184944150801</v>
      </c>
      <c r="BQ239" s="45" t="n">
        <f aca="false">IF(BM239=0,0,BN239/BM239-1)</f>
        <v>0.012363365079435</v>
      </c>
      <c r="BR239" s="44" t="n">
        <f aca="false">Parameters!$E$14*IF($N239="V",Parameters!$I$14,IF($N239="F",Parameters!$J$14,Parameters!$K$14))*(1-Parameters!$L$14*$P239)*IF($D239="V1",Parameters!$M$14,IF($D239="V2",Parameters!$N$14,Parameters!$O$14))*INDEX(Context!$AC$4:$AC$51,$K239)</f>
        <v>15</v>
      </c>
      <c r="BS239" s="44" t="n">
        <f aca="false">BR239*(1+INDEX(Response_Table!$N$4:$N$21,MATCH($F239&amp;"|mid",Response_Table!$A$4:$A$21,0))*$R239*INDEX(Parameters!$X$14:$AA$14,1,MATCH($E239,Parameters!$X$3:$AA$3,0)))</f>
        <v>16.920349250401</v>
      </c>
      <c r="BT239" s="44" t="n">
        <f aca="false">MAX(0,MIN(BR239*(1+INDEX(Response_Table!$N$4:$N$21,MATCH($F239&amp;"|low",Response_Table!$A$4:$A$21,0))*$R239*INDEX(Parameters!$X$14:$AA$14,1,MATCH($E239,Parameters!$X$3:$AA$3,0))),BR239*(1+INDEX(Response_Table!$N$4:$N$21,MATCH($F239&amp;"|high",Response_Table!$A$4:$A$21,0))*$R239*INDEX(Parameters!$X$14:$AA$14,1,MATCH($E239,Parameters!$X$3:$AA$3,0))))*(1-Inputs_General!$C$22*Parameters!$F$14))</f>
        <v>8.34842074128172</v>
      </c>
      <c r="BU239" s="44" t="n">
        <f aca="false">MAX(BR239*(1+INDEX(Response_Table!$N$4:$N$21,MATCH($F239&amp;"|low",Response_Table!$A$4:$A$21,0))*$R239*INDEX(Parameters!$X$14:$AA$14,1,MATCH($E239,Parameters!$X$3:$AA$3,0))),BR239*(1+INDEX(Response_Table!$N$4:$N$21,MATCH($F239&amp;"|high",Response_Table!$A$4:$A$21,0))*$R239*INDEX(Parameters!$X$14:$AA$14,1,MATCH($E239,Parameters!$X$3:$AA$3,0))))*(1+Inputs_General!$C$22*Parameters!$F$14)</f>
        <v>25.8862918867067</v>
      </c>
      <c r="BV239" s="45" t="n">
        <f aca="false">IF(BR239=0,0,BS239/BR239-1)</f>
        <v>0.128023283360068</v>
      </c>
      <c r="BW239" s="43" t="n">
        <f aca="false">Parameters!$E$15*IF($N239="V",Parameters!$I$15,IF($N239="F",Parameters!$J$15,Parameters!$K$15))*(1-Parameters!$L$15*$P239)*IF($D239="V1",Parameters!$M$15,IF($D239="V2",Parameters!$N$15,Parameters!$O$15))</f>
        <v>9.80497142857143</v>
      </c>
      <c r="BX239" s="43" t="n">
        <f aca="false">BW239*(1+INDEX(Response_Table!$O$4:$O$21,MATCH($F239&amp;"|mid",Response_Table!$A$4:$A$21,0))*$R239*INDEX(Parameters!$X$15:$AA$15,1,MATCH($E239,Parameters!$X$3:$AA$3,0)))</f>
        <v>9.49115526968709</v>
      </c>
      <c r="BY239" s="43" t="n">
        <f aca="false">MAX(0,MIN(BW239*(1+INDEX(Response_Table!$O$4:$O$21,MATCH($F239&amp;"|low",Response_Table!$A$4:$A$21,0))*$R239*INDEX(Parameters!$X$15:$AA$15,1,MATCH($E239,Parameters!$X$3:$AA$3,0))),BW239*(1+INDEX(Response_Table!$O$4:$O$21,MATCH($F239&amp;"|high",Response_Table!$A$4:$A$21,0))*$R239*INDEX(Parameters!$X$15:$AA$15,1,MATCH($E239,Parameters!$X$3:$AA$3,0))))*(1-Inputs_General!$C$22*Parameters!$F$15))</f>
        <v>7.56352658037178</v>
      </c>
      <c r="BZ239" s="43" t="n">
        <f aca="false">MAX(BW239*(1+INDEX(Response_Table!$O$4:$O$21,MATCH($F239&amp;"|low",Response_Table!$A$4:$A$21,0))*$R239*INDEX(Parameters!$X$15:$AA$15,1,MATCH($E239,Parameters!$X$3:$AA$3,0))),BW239*(1+INDEX(Response_Table!$O$4:$O$21,MATCH($F239&amp;"|high",Response_Table!$A$4:$A$21,0))*$R239*INDEX(Parameters!$X$15:$AA$15,1,MATCH($E239,Parameters!$X$3:$AA$3,0))))*(1+Inputs_General!$C$22*Parameters!$F$15)</f>
        <v>11.4503719485125</v>
      </c>
      <c r="CA239" s="45" t="n">
        <f aca="false">IF(BW239=0,0,BX239/BW239-1)</f>
        <v>-0.032005820840017</v>
      </c>
      <c r="CB239" s="46" t="n">
        <f aca="false">BD239+BI239</f>
        <v>1.379937296904</v>
      </c>
      <c r="CC239" s="43" t="n">
        <f aca="false">BD239/BI239</f>
        <v>2.68508594724486</v>
      </c>
      <c r="CD239" s="46" t="n">
        <f aca="false">BN239/CB239</f>
        <v>0.213792875345339</v>
      </c>
      <c r="CE239" s="43" t="n">
        <f aca="false">AE239/AO239</f>
        <v>2.22057314088643</v>
      </c>
      <c r="CF239" s="44" t="n">
        <f aca="false">AE239/AJ239</f>
        <v>49.9404554549975</v>
      </c>
      <c r="CG239" s="44" t="n">
        <f aca="false">INDEX(Context!$V$4:$V$51,$K239)</f>
        <v>32.7871428571429</v>
      </c>
      <c r="CH239" s="44" t="n">
        <f aca="false">INDEX(Context!$Y$4:$Y$51,$K239)</f>
        <v>28.36912210206</v>
      </c>
      <c r="CI239" s="44" t="n">
        <f aca="false">INDEX(Context!$Z$4:$Z$51,$K239)</f>
        <v>36.7871428571429</v>
      </c>
      <c r="CJ239" s="43" t="n">
        <f aca="false">INDEX(Context!$AA$4:$AA$51,$K239)</f>
        <v>0.247678571428571</v>
      </c>
      <c r="CK239" s="43" t="n">
        <f aca="false">MAX(0,MIN(1,1-(1-CJ239)*AO239/AN239))</f>
        <v>0.339059841524918</v>
      </c>
      <c r="CL239" s="44" t="n">
        <f aca="false">CH239+CK239*(CI239-CH239)</f>
        <v>31.2233348852319</v>
      </c>
      <c r="CM239" s="44" t="n">
        <f aca="false">CH239+MAX(0,MIN(1,1-(1-CJ239)*AQ239/AN239))*(CI239-CH239)</f>
        <v>29.2745285536215</v>
      </c>
      <c r="CN239" s="44" t="n">
        <f aca="false">CH239+MAX(0,MIN(1,1-(1-CJ239)*AP239/AN239))*(CI239-CH239)</f>
        <v>33.0247051616968</v>
      </c>
      <c r="CO239" s="44" t="n">
        <f aca="false">CL239-CG239</f>
        <v>-1.56380797191096</v>
      </c>
      <c r="CP239" s="44" t="n">
        <f aca="false">CL239-(CH239+CJ239*(CI239-CH239))</f>
        <v>0.769249428296877</v>
      </c>
      <c r="CQ239" s="46" t="n">
        <f aca="false">CL239/CG239</f>
        <v>0.952304231609182</v>
      </c>
      <c r="CR239" s="43" t="n">
        <f aca="false">IF(CL239-CH239&lt;=0,"n/a",(CI239-CL239)/(CL239-CH239))</f>
        <v>1.94933188048018</v>
      </c>
      <c r="CS239" s="43" t="n">
        <f aca="false">IF(CI239-CL239&lt;=0,"n/a",(CL239-CH239)/(CI239-CL239))</f>
        <v>0.51299627837291</v>
      </c>
      <c r="CT239" s="43" t="n">
        <f aca="false">Inputs_General!$C$23+Inputs_General!$C$24*$I239</f>
        <v>0.76</v>
      </c>
      <c r="CU239" s="44" t="n">
        <f aca="false">3.29*CT239</f>
        <v>2.5004</v>
      </c>
    </row>
    <row r="240" customFormat="false" ht="15" hidden="false" customHeight="false" outlineLevel="0" collapsed="false">
      <c r="A240" s="9" t="str">
        <f aca="false">B240&amp;"|"&amp;E240&amp;"|"&amp;F240</f>
        <v>D4V1|13/03/2026|Moderate</v>
      </c>
      <c r="B240" s="7" t="s">
        <v>352</v>
      </c>
      <c r="C240" s="9" t="s">
        <v>133</v>
      </c>
      <c r="D240" s="9" t="s">
        <v>142</v>
      </c>
      <c r="E240" s="9" t="s">
        <v>164</v>
      </c>
      <c r="F240" s="7" t="s">
        <v>281</v>
      </c>
      <c r="G240" s="9" t="s">
        <v>282</v>
      </c>
      <c r="H240" s="41" t="n">
        <f aca="false">INDEX(Severity_Classes!$C$4:$C$9,MATCH(F240,Severity_Classes!$A$4:$A$9,0))</f>
        <v>0.11</v>
      </c>
      <c r="I240" s="41" t="n">
        <f aca="false">INDEX(Severity_Classes!$D$4:$D$9,MATCH(F240,Severity_Classes!$A$4:$A$9,0))</f>
        <v>0.18</v>
      </c>
      <c r="J240" s="41" t="n">
        <f aca="false">INDEX(Severity_Classes!$E$4:$E$9,MATCH(F240,Severity_Classes!$A$4:$A$9,0))</f>
        <v>0.25</v>
      </c>
      <c r="K240" s="42" t="n">
        <f aca="false">MATCH(B240&amp;"|"&amp;E240,Context!$A$4:$A$51,0)</f>
        <v>40</v>
      </c>
      <c r="L240" s="42" t="n">
        <f aca="false">INDEX(Context!$H$4:$H$51,K240)</f>
        <v>63</v>
      </c>
      <c r="M240" s="42" t="n">
        <f aca="false">INDEX(Context!$I$4:$I$51,K240)</f>
        <v>36</v>
      </c>
      <c r="N240" s="9" t="str">
        <f aca="false">INDEX(Context!$L$4:$L$51,K240)</f>
        <v>F</v>
      </c>
      <c r="O240" s="9" t="str">
        <f aca="false">INDEX(Context!$M$4:$M$51,K240)</f>
        <v>5th fully expanded leaf from top</v>
      </c>
      <c r="P240" s="43" t="n">
        <f aca="false">INDEX(Context!$R$4:$R$51,K240)</f>
        <v>0.953571428571428</v>
      </c>
      <c r="Q240" s="43" t="n">
        <f aca="false">INDEX(Context!$U$4:$U$51,K240)</f>
        <v>2.18945736698217</v>
      </c>
      <c r="R240" s="43" t="n">
        <f aca="false">INDEX(Context!$AD$4:$AD$51,K240)</f>
        <v>1</v>
      </c>
      <c r="S240" s="9" t="str">
        <f aca="false">INDEX(Context!$AI$4:$AN$51,K240,MATCH(F240,Severity_Classes!$A$4:$A$9,0))</f>
        <v>Likely</v>
      </c>
      <c r="T240" s="44" t="n">
        <f aca="false">Parameters!$E$4*IF($N240="V",Parameters!$I$4,IF($N240="F",Parameters!$J$4,Parameters!$K$4))*(1-Parameters!$L$4*$P240)*IF($D240="V1",Parameters!$M$4,IF($D240="V2",Parameters!$N$4,Parameters!$O$4))</f>
        <v>81.0806464285714</v>
      </c>
      <c r="U240" s="44" t="n">
        <f aca="false">MIN(100,T240*(1+INDEX(Response_Table!$E$4:$E$21,MATCH($F240&amp;"|mid",Response_Table!$A$4:$A$21,0))*$R240*INDEX(Parameters!$X$4:$AA$4,1,MATCH($E240,Parameters!$X$3:$AA$3,0))))</f>
        <v>77.3922937712633</v>
      </c>
      <c r="V240" s="44" t="n">
        <f aca="false">MAX(0,MIN(T240*(1+INDEX(Response_Table!$E$4:$E$21,MATCH($F240&amp;"|low",Response_Table!$A$4:$A$21,0))*$R240*INDEX(Parameters!$X$4:$AA$4,1,MATCH($E240,Parameters!$X$3:$AA$3,0))),T240*(1+INDEX(Response_Table!$E$4:$E$21,MATCH($F240&amp;"|high",Response_Table!$A$4:$A$21,0))*$R240*INDEX(Parameters!$X$4:$AA$4,1,MATCH($E240,Parameters!$X$3:$AA$3,0))))*(1-Inputs_General!$C$22*Parameters!$F$4))</f>
        <v>69.7187654285628</v>
      </c>
      <c r="W240" s="44" t="n">
        <f aca="false">MIN(100,MAX(T240*(1+INDEX(Response_Table!$E$4:$E$21,MATCH($F240&amp;"|low",Response_Table!$A$4:$A$21,0))*$R240*INDEX(Parameters!$X$4:$AA$4,1,MATCH($E240,Parameters!$X$3:$AA$3,0))),T240*(1+INDEX(Response_Table!$E$4:$E$21,MATCH($F240&amp;"|high",Response_Table!$A$4:$A$21,0))*$R240*INDEX(Parameters!$X$4:$AA$4,1,MATCH($E240,Parameters!$X$3:$AA$3,0))))*(1+Inputs_General!$C$22*Parameters!$F$4))</f>
        <v>84.5611065027706</v>
      </c>
      <c r="X240" s="45" t="n">
        <f aca="false">IF(T240=0,0,U240/T240-1)</f>
        <v>-0.0454899266319667</v>
      </c>
      <c r="Y240" s="44" t="n">
        <f aca="false">Parameters!$E$5*IF($N240="V",Parameters!$I$5,IF($N240="F",Parameters!$J$5,Parameters!$K$5))*(1-Parameters!$L$5*$P240)*IF($D240="V1",Parameters!$M$5,IF($D240="V2",Parameters!$N$5,Parameters!$O$5))</f>
        <v>62.48592</v>
      </c>
      <c r="Z240" s="44" t="n">
        <f aca="false">MIN(100,Y240*(1+INDEX(Response_Table!$F$4:$F$21,MATCH($F240&amp;"|mid",Response_Table!$A$4:$A$21,0))*$R240*INDEX(Parameters!$X$5:$AA$5,1,MATCH($E240,Parameters!$X$3:$AA$3,0))))</f>
        <v>52.6668830064329</v>
      </c>
      <c r="AA240" s="44" t="n">
        <f aca="false">MAX(0,MIN(Y240*(1+INDEX(Response_Table!$F$4:$F$21,MATCH($F240&amp;"|low",Response_Table!$A$4:$A$21,0))*$R240*INDEX(Parameters!$X$5:$AA$5,1,MATCH($E240,Parameters!$X$3:$AA$3,0))),Y240*(1+INDEX(Response_Table!$F$4:$F$21,MATCH($F240&amp;"|high",Response_Table!$A$4:$A$21,0))*$R240*INDEX(Parameters!$X$5:$AA$5,1,MATCH($E240,Parameters!$X$3:$AA$3,0))))*(1-Inputs_General!$C$22*Parameters!$F$5))</f>
        <v>40.1721016066793</v>
      </c>
      <c r="AB240" s="44" t="n">
        <f aca="false">MIN(100,MAX(Y240*(1+INDEX(Response_Table!$F$4:$F$21,MATCH($F240&amp;"|low",Response_Table!$A$4:$A$21,0))*$R240*INDEX(Parameters!$X$5:$AA$5,1,MATCH($E240,Parameters!$X$3:$AA$3,0))),Y240*(1+INDEX(Response_Table!$F$4:$F$21,MATCH($F240&amp;"|high",Response_Table!$A$4:$A$21,0))*$R240*INDEX(Parameters!$X$5:$AA$5,1,MATCH($E240,Parameters!$X$3:$AA$3,0))))*(1+Inputs_General!$C$22*Parameters!$F$5))</f>
        <v>64.6548078321441</v>
      </c>
      <c r="AC240" s="45" t="n">
        <f aca="false">IF(Y240=0,0,Z240/Y240-1)</f>
        <v>-0.157139992394561</v>
      </c>
      <c r="AD240" s="44" t="n">
        <f aca="false">Parameters!$E$6*IF($N240="V",Parameters!$I$6,IF($N240="F",Parameters!$J$6,Parameters!$K$6))*(1-Parameters!$L$6*$P240)*IF($D240="V1",Parameters!$M$6,IF($D240="V2",Parameters!$N$6,Parameters!$O$6))</f>
        <v>16.8258571428571</v>
      </c>
      <c r="AE240" s="44" t="n">
        <f aca="false">AD240*(1+INDEX(Response_Table!$G$4:$G$21,MATCH($F240&amp;"|mid",Response_Table!$A$4:$A$21,0))*$R240*INDEX(Parameters!$X$6:$AA$6,1,MATCH($E240,Parameters!$X$3:$AA$3,0)))</f>
        <v>9.92226700887526</v>
      </c>
      <c r="AF240" s="44" t="n">
        <f aca="false">MAX(0,MIN(AD240*(1+INDEX(Response_Table!$G$4:$G$21,MATCH($F240&amp;"|low",Response_Table!$A$4:$A$21,0))*$R240*INDEX(Parameters!$X$6:$AA$6,1,MATCH($E240,Parameters!$X$3:$AA$3,0))),AD240*(1+INDEX(Response_Table!$G$4:$G$21,MATCH($F240&amp;"|high",Response_Table!$A$4:$A$21,0))*$R240*INDEX(Parameters!$X$6:$AA$6,1,MATCH($E240,Parameters!$X$3:$AA$3,0))))*(1-Inputs_General!$C$22*Parameters!$F$6))</f>
        <v>6.74753465702696</v>
      </c>
      <c r="AG240" s="44" t="n">
        <f aca="false">MAX(AD240*(1+INDEX(Response_Table!$G$4:$G$21,MATCH($F240&amp;"|low",Response_Table!$A$4:$A$21,0))*$R240*INDEX(Parameters!$X$6:$AA$6,1,MATCH($E240,Parameters!$X$3:$AA$3,0))),AD240*(1+INDEX(Response_Table!$G$4:$G$21,MATCH($F240&amp;"|high",Response_Table!$A$4:$A$21,0))*$R240*INDEX(Parameters!$X$6:$AA$6,1,MATCH($E240,Parameters!$X$3:$AA$3,0))))*(1+Inputs_General!$C$22*Parameters!$F$6)</f>
        <v>14.3495969413973</v>
      </c>
      <c r="AH240" s="45" t="n">
        <f aca="false">IF(AD240=0,0,AE240/AD240-1)</f>
        <v>-0.410296490417582</v>
      </c>
      <c r="AI240" s="46" t="n">
        <f aca="false">Parameters!$E$7*IF($N240="V",Parameters!$I$7,IF($N240="F",Parameters!$J$7,Parameters!$K$7))*(1-Parameters!$L$7*$P240)*IF($D240="V1",Parameters!$M$7,IF($D240="V2",Parameters!$N$7,Parameters!$O$7))*POWER($Q240/Inputs_General!$C$26,-Inputs_General!$C$25)</f>
        <v>0.304119499618928</v>
      </c>
      <c r="AJ240" s="46" t="n">
        <f aca="false">AI240*(1+INDEX(Response_Table!$H$4:$H$21,MATCH($F240&amp;"|mid",Response_Table!$A$4:$A$21,0))*$R240*INDEX(Parameters!$X$7:$AA$7,1,MATCH($E240,Parameters!$X$3:$AA$3,0)))</f>
        <v>0.221638144361884</v>
      </c>
      <c r="AK240" s="46" t="n">
        <f aca="false">MAX(0,MIN(AI240*(1+INDEX(Response_Table!$H$4:$H$21,MATCH($F240&amp;"|low",Response_Table!$A$4:$A$21,0))*$R240*INDEX(Parameters!$X$7:$AA$7,1,MATCH($E240,Parameters!$X$3:$AA$3,0))),AI240*(1+INDEX(Response_Table!$H$4:$H$21,MATCH($F240&amp;"|high",Response_Table!$A$4:$A$21,0))*$R240*INDEX(Parameters!$X$7:$AA$7,1,MATCH($E240,Parameters!$X$3:$AA$3,0))))*(1-Inputs_General!$C$22*Parameters!$F$7))</f>
        <v>0.14065199342217</v>
      </c>
      <c r="AL240" s="46" t="n">
        <f aca="false">MAX(AI240*(1+INDEX(Response_Table!$H$4:$H$21,MATCH($F240&amp;"|low",Response_Table!$A$4:$A$21,0))*$R240*INDEX(Parameters!$X$7:$AA$7,1,MATCH($E240,Parameters!$X$3:$AA$3,0))),AI240*(1+INDEX(Response_Table!$H$4:$H$21,MATCH($F240&amp;"|high",Response_Table!$A$4:$A$21,0))*$R240*INDEX(Parameters!$X$7:$AA$7,1,MATCH($E240,Parameters!$X$3:$AA$3,0))))*(1+Inputs_General!$C$22*Parameters!$F$7)</f>
        <v>0.32215472357282</v>
      </c>
      <c r="AM240" s="45" t="n">
        <f aca="false">IF(AI240=0,0,AJ240/AI240-1)</f>
        <v>-0.271213635956907</v>
      </c>
      <c r="AN240" s="43" t="n">
        <f aca="false">AI240*$Q240/Inputs_General!$C$13*1000</f>
        <v>6.70550532611877</v>
      </c>
      <c r="AO240" s="43" t="n">
        <f aca="false">AJ240*$Q240/Inputs_General!$C$13*1000*(1+Inputs_General!$C$21*$I240)</f>
        <v>5.10679048374991</v>
      </c>
      <c r="AP240" s="43" t="n">
        <f aca="false">AK240*$Q240/Inputs_General!$C$13*1000*(1+Inputs_General!$C$21*$H240)</f>
        <v>3.18650765978164</v>
      </c>
      <c r="AQ240" s="43" t="n">
        <f aca="false">AL240*$Q240/Inputs_General!$C$13*1000*(1+Inputs_General!$C$21*$J240)</f>
        <v>7.54711011970572</v>
      </c>
      <c r="AR240" s="45" t="n">
        <f aca="false">IF(AN240=0,0,AO240/AN240-1)</f>
        <v>-0.238418249574968</v>
      </c>
      <c r="AS240" s="42" t="n">
        <f aca="false">Parameters!$E$9*IF($N240="V",Parameters!$I$9,IF($N240="F",Parameters!$J$9,Parameters!$K$9))*(1-Parameters!$L$9*$P240)*IF($D240="V1",Parameters!$M$9,IF($D240="V2",Parameters!$N$9,Parameters!$O$9))</f>
        <v>285</v>
      </c>
      <c r="AT240" s="42" t="n">
        <f aca="false">AS240*(1+INDEX(Response_Table!$I$4:$I$21,MATCH($F240&amp;"|mid",Response_Table!$A$4:$A$21,0))*$R240*INDEX(Parameters!$X$9:$AA$9,1,MATCH($E240,Parameters!$X$3:$AA$3,0)))</f>
        <v>328.882682115422</v>
      </c>
      <c r="AU240" s="42" t="n">
        <f aca="false">MAX(0,MIN(AS240*(1+INDEX(Response_Table!$I$4:$I$21,MATCH($F240&amp;"|low",Response_Table!$A$4:$A$21,0))*$R240*INDEX(Parameters!$X$9:$AA$9,1,MATCH($E240,Parameters!$X$3:$AA$3,0))),AS240*(1+INDEX(Response_Table!$I$4:$I$21,MATCH($F240&amp;"|high",Response_Table!$A$4:$A$21,0))*$R240*INDEX(Parameters!$X$9:$AA$9,1,MATCH($E240,Parameters!$X$3:$AA$3,0))))*(1-Inputs_General!$C$22*Parameters!$F$9))</f>
        <v>284.301462749449</v>
      </c>
      <c r="AV240" s="42" t="n">
        <f aca="false">MAX(AS240*(1+INDEX(Response_Table!$I$4:$I$21,MATCH($F240&amp;"|low",Response_Table!$A$4:$A$21,0))*$R240*INDEX(Parameters!$X$9:$AA$9,1,MATCH($E240,Parameters!$X$3:$AA$3,0))),AS240*(1+INDEX(Response_Table!$I$4:$I$21,MATCH($F240&amp;"|high",Response_Table!$A$4:$A$21,0))*$R240*INDEX(Parameters!$X$9:$AA$9,1,MATCH($E240,Parameters!$X$3:$AA$3,0))))*(1+Inputs_General!$C$22*Parameters!$F$9)</f>
        <v>372.510178357712</v>
      </c>
      <c r="AW240" s="45" t="n">
        <f aca="false">IF(AS240=0,0,AT240/AS240-1)</f>
        <v>0.153974323212009</v>
      </c>
      <c r="AX240" s="43" t="n">
        <f aca="false">INDEX(Context!$AB$4:$AB$51,$K240)</f>
        <v>2.29604001650625</v>
      </c>
      <c r="AY240" s="43" t="n">
        <f aca="false">AX240*(1+INDEX(Response_Table!$J$4:$J$21,MATCH($F240&amp;"|mid",Response_Table!$A$4:$A$21,0))*$R240*INDEX(Parameters!$X$10:$AA$10,1,MATCH($E240,Parameters!$X$3:$AA$3,0)))</f>
        <v>1.92163089737696</v>
      </c>
      <c r="AZ240" s="43" t="n">
        <f aca="false">MAX(0,MIN(AX240*(1+INDEX(Response_Table!$J$4:$J$21,MATCH($F240&amp;"|low",Response_Table!$A$4:$A$21,0))*$R240*INDEX(Parameters!$X$10:$AA$10,1,MATCH($E240,Parameters!$X$3:$AA$3,0))),AX240*(1+INDEX(Response_Table!$J$4:$J$21,MATCH($F240&amp;"|high",Response_Table!$A$4:$A$21,0))*$R240*INDEX(Parameters!$X$10:$AA$10,1,MATCH($E240,Parameters!$X$3:$AA$3,0))))*(1-Inputs_General!$C$22*Parameters!$F$10))</f>
        <v>1.45741225032947</v>
      </c>
      <c r="BA240" s="43" t="n">
        <f aca="false">MAX(AX240*(1+INDEX(Response_Table!$J$4:$J$21,MATCH($F240&amp;"|low",Response_Table!$A$4:$A$21,0))*$R240*INDEX(Parameters!$X$10:$AA$10,1,MATCH($E240,Parameters!$X$3:$AA$3,0))),AX240*(1+INDEX(Response_Table!$J$4:$J$21,MATCH($F240&amp;"|high",Response_Table!$A$4:$A$21,0))*$R240*INDEX(Parameters!$X$10:$AA$10,1,MATCH($E240,Parameters!$X$3:$AA$3,0))))*(1+Inputs_General!$C$22*Parameters!$F$10)</f>
        <v>2.45182689910927</v>
      </c>
      <c r="BB240" s="45" t="n">
        <f aca="false">IF(AX240=0,0,AY240/AX240-1)</f>
        <v>-0.163067331770202</v>
      </c>
      <c r="BC240" s="46" t="n">
        <f aca="false">Parameters!$E$11*IF($N240="V",Parameters!$I$11,IF($N240="F",Parameters!$J$11,Parameters!$K$11))*(1-Parameters!$L$11*$P240)*IF($D240="V1",Parameters!$M$11,IF($D240="V2",Parameters!$N$11,Parameters!$O$11))</f>
        <v>1.17848214285714</v>
      </c>
      <c r="BD240" s="46" t="n">
        <f aca="false">BC240*(1+INDEX(Response_Table!$K$4:$K$21,MATCH($F240&amp;"|mid",Response_Table!$A$4:$A$21,0))*$R240*INDEX(Parameters!$X$11:$AA$11,1,MATCH($E240,Parameters!$X$3:$AA$3,0)))</f>
        <v>0.843077391714229</v>
      </c>
      <c r="BE240" s="46" t="n">
        <f aca="false">MAX(0,MIN(BC240*(1+INDEX(Response_Table!$K$4:$K$21,MATCH($F240&amp;"|low",Response_Table!$A$4:$A$21,0))*$R240*INDEX(Parameters!$X$11:$AA$11,1,MATCH($E240,Parameters!$X$3:$AA$3,0))),BC240*(1+INDEX(Response_Table!$K$4:$K$21,MATCH($F240&amp;"|high",Response_Table!$A$4:$A$21,0))*$R240*INDEX(Parameters!$X$11:$AA$11,1,MATCH($E240,Parameters!$X$3:$AA$3,0))))*(1-Inputs_General!$C$22*Parameters!$F$11))</f>
        <v>0.632190060228025</v>
      </c>
      <c r="BF240" s="46" t="n">
        <f aca="false">MAX(BC240*(1+INDEX(Response_Table!$K$4:$K$21,MATCH($F240&amp;"|low",Response_Table!$A$4:$A$21,0))*$R240*INDEX(Parameters!$X$11:$AA$11,1,MATCH($E240,Parameters!$X$3:$AA$3,0))),BC240*(1+INDEX(Response_Table!$K$4:$K$21,MATCH($F240&amp;"|high",Response_Table!$A$4:$A$21,0))*$R240*INDEX(Parameters!$X$11:$AA$11,1,MATCH($E240,Parameters!$X$3:$AA$3,0))))*(1+Inputs_General!$C$22*Parameters!$F$11)</f>
        <v>1.10766161948297</v>
      </c>
      <c r="BG240" s="45" t="n">
        <f aca="false">IF(BC240=0,0,BD240/BC240-1)</f>
        <v>-0.284607410622065</v>
      </c>
      <c r="BH240" s="46" t="n">
        <f aca="false">Parameters!$E$12*IF($N240="V",Parameters!$I$12,IF($N240="F",Parameters!$J$12,Parameters!$K$12))*(1-Parameters!$L$12*$P240)*IF($D240="V1",Parameters!$M$12,IF($D240="V2",Parameters!$N$12,Parameters!$O$12))</f>
        <v>0.424253571428571</v>
      </c>
      <c r="BI240" s="46" t="n">
        <f aca="false">BH240*(1+INDEX(Response_Table!$L$4:$L$21,MATCH($F240&amp;"|mid",Response_Table!$A$4:$A$21,0))*$R240*INDEX(Parameters!$X$12:$AA$12,1,MATCH($E240,Parameters!$X$3:$AA$3,0)))</f>
        <v>0.32689227216524</v>
      </c>
      <c r="BJ240" s="46" t="n">
        <f aca="false">MAX(0,MIN(BH240*(1+INDEX(Response_Table!$L$4:$L$21,MATCH($F240&amp;"|low",Response_Table!$A$4:$A$21,0))*$R240*INDEX(Parameters!$X$12:$AA$12,1,MATCH($E240,Parameters!$X$3:$AA$3,0))),BH240*(1+INDEX(Response_Table!$L$4:$L$21,MATCH($F240&amp;"|high",Response_Table!$A$4:$A$21,0))*$R240*INDEX(Parameters!$X$12:$AA$12,1,MATCH($E240,Parameters!$X$3:$AA$3,0))))*(1-Inputs_General!$C$22*Parameters!$F$12))</f>
        <v>0.241691645655064</v>
      </c>
      <c r="BK240" s="46" t="n">
        <f aca="false">MAX(BH240*(1+INDEX(Response_Table!$L$4:$L$21,MATCH($F240&amp;"|low",Response_Table!$A$4:$A$21,0))*$R240*INDEX(Parameters!$X$12:$AA$12,1,MATCH($E240,Parameters!$X$3:$AA$3,0))),BH240*(1+INDEX(Response_Table!$L$4:$L$21,MATCH($F240&amp;"|high",Response_Table!$A$4:$A$21,0))*$R240*INDEX(Parameters!$X$12:$AA$12,1,MATCH($E240,Parameters!$X$3:$AA$3,0))))*(1+Inputs_General!$C$22*Parameters!$F$12)</f>
        <v>0.429468327953471</v>
      </c>
      <c r="BL240" s="45" t="n">
        <f aca="false">IF(BH240=0,0,BI240/BH240-1)</f>
        <v>-0.229488461194306</v>
      </c>
      <c r="BM240" s="46" t="n">
        <f aca="false">Parameters!$E$13*IF($N240="V",Parameters!$I$13,IF($N240="F",Parameters!$J$13,Parameters!$K$13))*(1-Parameters!$L$13*$P240)*IF($D240="V1",Parameters!$M$13,IF($D240="V2",Parameters!$N$13,Parameters!$O$13))</f>
        <v>0.291417857142857</v>
      </c>
      <c r="BN240" s="46" t="n">
        <f aca="false">BM240*(1+INDEX(Response_Table!$M$4:$M$21,MATCH($F240&amp;"|mid",Response_Table!$A$4:$A$21,0))*$R240*INDEX(Parameters!$X$13:$AA$13,1,MATCH($E240,Parameters!$X$3:$AA$3,0)))</f>
        <v>0.26634966016749</v>
      </c>
      <c r="BO240" s="46" t="n">
        <f aca="false">MAX(0,MIN(BM240*(1+INDEX(Response_Table!$M$4:$M$21,MATCH($F240&amp;"|low",Response_Table!$A$4:$A$21,0))*$R240*INDEX(Parameters!$X$13:$AA$13,1,MATCH($E240,Parameters!$X$3:$AA$3,0))),BM240*(1+INDEX(Response_Table!$M$4:$M$21,MATCH($F240&amp;"|high",Response_Table!$A$4:$A$21,0))*$R240*INDEX(Parameters!$X$13:$AA$13,1,MATCH($E240,Parameters!$X$3:$AA$3,0))))*(1-Inputs_General!$C$22*Parameters!$F$13))</f>
        <v>0.197575369424099</v>
      </c>
      <c r="BP240" s="46" t="n">
        <f aca="false">MAX(BM240*(1+INDEX(Response_Table!$M$4:$M$21,MATCH($F240&amp;"|low",Response_Table!$A$4:$A$21,0))*$R240*INDEX(Parameters!$X$13:$AA$13,1,MATCH($E240,Parameters!$X$3:$AA$3,0))),BM240*(1+INDEX(Response_Table!$M$4:$M$21,MATCH($F240&amp;"|high",Response_Table!$A$4:$A$21,0))*$R240*INDEX(Parameters!$X$13:$AA$13,1,MATCH($E240,Parameters!$X$3:$AA$3,0))))*(1+Inputs_General!$C$22*Parameters!$F$13)</f>
        <v>0.344442929444173</v>
      </c>
      <c r="BQ240" s="45" t="n">
        <f aca="false">IF(BM240=0,0,BN240/BM240-1)</f>
        <v>-0.0860214855093042</v>
      </c>
      <c r="BR240" s="44" t="n">
        <f aca="false">Parameters!$E$14*IF($N240="V",Parameters!$I$14,IF($N240="F",Parameters!$J$14,Parameters!$K$14))*(1-Parameters!$L$14*$P240)*IF($D240="V1",Parameters!$M$14,IF($D240="V2",Parameters!$N$14,Parameters!$O$14))*INDEX(Context!$AC$4:$AC$51,$K240)</f>
        <v>15</v>
      </c>
      <c r="BS240" s="44" t="n">
        <f aca="false">BR240*(1+INDEX(Response_Table!$N$4:$N$21,MATCH($F240&amp;"|mid",Response_Table!$A$4:$A$21,0))*$R240*INDEX(Parameters!$X$14:$AA$14,1,MATCH($E240,Parameters!$X$3:$AA$3,0)))</f>
        <v>18.7552657286341</v>
      </c>
      <c r="BT240" s="44" t="n">
        <f aca="false">MAX(0,MIN(BR240*(1+INDEX(Response_Table!$N$4:$N$21,MATCH($F240&amp;"|low",Response_Table!$A$4:$A$21,0))*$R240*INDEX(Parameters!$X$14:$AA$14,1,MATCH($E240,Parameters!$X$3:$AA$3,0))),BR240*(1+INDEX(Response_Table!$N$4:$N$21,MATCH($F240&amp;"|high",Response_Table!$A$4:$A$21,0))*$R240*INDEX(Parameters!$X$14:$AA$14,1,MATCH($E240,Parameters!$X$3:$AA$3,0))))*(1-Inputs_General!$C$22*Parameters!$F$14))</f>
        <v>8.87878616115056</v>
      </c>
      <c r="BU240" s="44" t="n">
        <f aca="false">MAX(BR240*(1+INDEX(Response_Table!$N$4:$N$21,MATCH($F240&amp;"|low",Response_Table!$A$4:$A$21,0))*$R240*INDEX(Parameters!$X$14:$AA$14,1,MATCH($E240,Parameters!$X$3:$AA$3,0))),BR240*(1+INDEX(Response_Table!$N$4:$N$21,MATCH($F240&amp;"|high",Response_Table!$A$4:$A$21,0))*$R240*INDEX(Parameters!$X$14:$AA$14,1,MATCH($E240,Parameters!$X$3:$AA$3,0))))*(1+Inputs_General!$C$22*Parameters!$F$14)</f>
        <v>29.4946849813317</v>
      </c>
      <c r="BV240" s="45" t="n">
        <f aca="false">IF(BR240=0,0,BS240/BR240-1)</f>
        <v>0.250351048575606</v>
      </c>
      <c r="BW240" s="43" t="n">
        <f aca="false">Parameters!$E$15*IF($N240="V",Parameters!$I$15,IF($N240="F",Parameters!$J$15,Parameters!$K$15))*(1-Parameters!$L$15*$P240)*IF($D240="V1",Parameters!$M$15,IF($D240="V2",Parameters!$N$15,Parameters!$O$15))</f>
        <v>9.80497142857143</v>
      </c>
      <c r="BX240" s="43" t="n">
        <f aca="false">BW240*(1+INDEX(Response_Table!$O$4:$O$21,MATCH($F240&amp;"|mid",Response_Table!$A$4:$A$21,0))*$R240*INDEX(Parameters!$X$15:$AA$15,1,MATCH($E240,Parameters!$X$3:$AA$3,0)))</f>
        <v>9.19130020897225</v>
      </c>
      <c r="BY240" s="43" t="n">
        <f aca="false">MAX(0,MIN(BW240*(1+INDEX(Response_Table!$O$4:$O$21,MATCH($F240&amp;"|low",Response_Table!$A$4:$A$21,0))*$R240*INDEX(Parameters!$X$15:$AA$15,1,MATCH($E240,Parameters!$X$3:$AA$3,0))),BW240*(1+INDEX(Response_Table!$O$4:$O$21,MATCH($F240&amp;"|high",Response_Table!$A$4:$A$21,0))*$R240*INDEX(Parameters!$X$15:$AA$15,1,MATCH($E240,Parameters!$X$3:$AA$3,0))))*(1-Inputs_General!$C$22*Parameters!$F$15))</f>
        <v>7.24664072551417</v>
      </c>
      <c r="BZ240" s="43" t="n">
        <f aca="false">MAX(BW240*(1+INDEX(Response_Table!$O$4:$O$21,MATCH($F240&amp;"|low",Response_Table!$A$4:$A$21,0))*$R240*INDEX(Parameters!$X$15:$AA$15,1,MATCH($E240,Parameters!$X$3:$AA$3,0))),BW240*(1+INDEX(Response_Table!$O$4:$O$21,MATCH($F240&amp;"|high",Response_Table!$A$4:$A$21,0))*$R240*INDEX(Parameters!$X$15:$AA$15,1,MATCH($E240,Parameters!$X$3:$AA$3,0))))*(1+Inputs_General!$C$22*Parameters!$F$15)</f>
        <v>11.2454775496981</v>
      </c>
      <c r="CA240" s="45" t="n">
        <f aca="false">IF(BW240=0,0,BX240/BW240-1)</f>
        <v>-0.0625877621439014</v>
      </c>
      <c r="CB240" s="46" t="n">
        <f aca="false">BD240+BI240</f>
        <v>1.16996966387947</v>
      </c>
      <c r="CC240" s="43" t="n">
        <f aca="false">BD240/BI240</f>
        <v>2.57906797897034</v>
      </c>
      <c r="CD240" s="46" t="n">
        <f aca="false">BN240/CB240</f>
        <v>0.227655184908222</v>
      </c>
      <c r="CE240" s="43" t="n">
        <f aca="false">AE240/AO240</f>
        <v>1.94295556875663</v>
      </c>
      <c r="CF240" s="44" t="n">
        <f aca="false">AE240/AJ240</f>
        <v>44.7678671802743</v>
      </c>
      <c r="CG240" s="44" t="n">
        <f aca="false">INDEX(Context!$V$4:$V$51,$K240)</f>
        <v>32.7871428571429</v>
      </c>
      <c r="CH240" s="44" t="n">
        <f aca="false">INDEX(Context!$Y$4:$Y$51,$K240)</f>
        <v>28.36912210206</v>
      </c>
      <c r="CI240" s="44" t="n">
        <f aca="false">INDEX(Context!$Z$4:$Z$51,$K240)</f>
        <v>36.7871428571429</v>
      </c>
      <c r="CJ240" s="43" t="n">
        <f aca="false">INDEX(Context!$AA$4:$AA$51,$K240)</f>
        <v>0.247678571428571</v>
      </c>
      <c r="CK240" s="43" t="n">
        <f aca="false">MAX(0,MIN(1,1-(1-CJ240)*AO240/AN240))</f>
        <v>0.427045729546311</v>
      </c>
      <c r="CL240" s="44" t="n">
        <f aca="false">CH240+CK240*(CI240-CH240)</f>
        <v>31.9640019167504</v>
      </c>
      <c r="CM240" s="44" t="n">
        <f aca="false">CH240+MAX(0,MIN(1,1-(1-CJ240)*AQ240/AN240))*(CI240-CH240)</f>
        <v>29.6592264259064</v>
      </c>
      <c r="CN240" s="44" t="n">
        <f aca="false">CH240+MAX(0,MIN(1,1-(1-CJ240)*AP240/AN240))*(CI240-CH240)</f>
        <v>33.7776253138499</v>
      </c>
      <c r="CO240" s="44" t="n">
        <f aca="false">CL240-CG240</f>
        <v>-0.823140940392491</v>
      </c>
      <c r="CP240" s="44" t="n">
        <f aca="false">CL240-(CH240+CJ240*(CI240-CH240))</f>
        <v>1.50991645981535</v>
      </c>
      <c r="CQ240" s="46" t="n">
        <f aca="false">CL240/CG240</f>
        <v>0.974894398576326</v>
      </c>
      <c r="CR240" s="43" t="n">
        <f aca="false">IF(CL240-CH240&lt;=0,"n/a",(CI240-CL240)/(CL240-CH240))</f>
        <v>1.34166959370461</v>
      </c>
      <c r="CS240" s="43" t="n">
        <f aca="false">IF(CI240-CL240&lt;=0,"n/a",(CL240-CH240)/(CI240-CL240))</f>
        <v>0.745339988840921</v>
      </c>
      <c r="CT240" s="43" t="n">
        <f aca="false">Inputs_General!$C$23+Inputs_General!$C$24*$I240</f>
        <v>0.96</v>
      </c>
      <c r="CU240" s="44" t="n">
        <f aca="false">3.29*CT240</f>
        <v>3.1584</v>
      </c>
    </row>
    <row r="241" customFormat="false" ht="15" hidden="false" customHeight="false" outlineLevel="0" collapsed="false">
      <c r="A241" s="9" t="str">
        <f aca="false">B241&amp;"|"&amp;E241&amp;"|"&amp;F241</f>
        <v>D4V1|13/03/2026|High</v>
      </c>
      <c r="B241" s="7" t="s">
        <v>352</v>
      </c>
      <c r="C241" s="9" t="s">
        <v>133</v>
      </c>
      <c r="D241" s="9" t="s">
        <v>142</v>
      </c>
      <c r="E241" s="9" t="s">
        <v>164</v>
      </c>
      <c r="F241" s="7" t="s">
        <v>283</v>
      </c>
      <c r="G241" s="9" t="s">
        <v>284</v>
      </c>
      <c r="H241" s="41" t="n">
        <f aca="false">INDEX(Severity_Classes!$C$4:$C$9,MATCH(F241,Severity_Classes!$A$4:$A$9,0))</f>
        <v>0.26</v>
      </c>
      <c r="I241" s="41" t="n">
        <f aca="false">INDEX(Severity_Classes!$D$4:$D$9,MATCH(F241,Severity_Classes!$A$4:$A$9,0))</f>
        <v>0.38</v>
      </c>
      <c r="J241" s="41" t="n">
        <f aca="false">INDEX(Severity_Classes!$E$4:$E$9,MATCH(F241,Severity_Classes!$A$4:$A$9,0))</f>
        <v>0.5</v>
      </c>
      <c r="K241" s="42" t="n">
        <f aca="false">MATCH(B241&amp;"|"&amp;E241,Context!$A$4:$A$51,0)</f>
        <v>40</v>
      </c>
      <c r="L241" s="42" t="n">
        <f aca="false">INDEX(Context!$H$4:$H$51,K241)</f>
        <v>63</v>
      </c>
      <c r="M241" s="42" t="n">
        <f aca="false">INDEX(Context!$I$4:$I$51,K241)</f>
        <v>36</v>
      </c>
      <c r="N241" s="9" t="str">
        <f aca="false">INDEX(Context!$L$4:$L$51,K241)</f>
        <v>F</v>
      </c>
      <c r="O241" s="9" t="str">
        <f aca="false">INDEX(Context!$M$4:$M$51,K241)</f>
        <v>5th fully expanded leaf from top</v>
      </c>
      <c r="P241" s="43" t="n">
        <f aca="false">INDEX(Context!$R$4:$R$51,K241)</f>
        <v>0.953571428571428</v>
      </c>
      <c r="Q241" s="43" t="n">
        <f aca="false">INDEX(Context!$U$4:$U$51,K241)</f>
        <v>2.18945736698217</v>
      </c>
      <c r="R241" s="43" t="n">
        <f aca="false">INDEX(Context!$AD$4:$AD$51,K241)</f>
        <v>1</v>
      </c>
      <c r="S241" s="9" t="str">
        <f aca="false">INDEX(Context!$AI$4:$AN$51,K241,MATCH(F241,Severity_Classes!$A$4:$A$9,0))</f>
        <v>Likely</v>
      </c>
      <c r="T241" s="44" t="n">
        <f aca="false">Parameters!$E$4*IF($N241="V",Parameters!$I$4,IF($N241="F",Parameters!$J$4,Parameters!$K$4))*(1-Parameters!$L$4*$P241)*IF($D241="V1",Parameters!$M$4,IF($D241="V2",Parameters!$N$4,Parameters!$O$4))</f>
        <v>81.0806464285714</v>
      </c>
      <c r="U241" s="44" t="n">
        <f aca="false">MIN(100,T241*(1+INDEX(Response_Table!$E$4:$E$21,MATCH($F241&amp;"|mid",Response_Table!$A$4:$A$21,0))*$R241*INDEX(Parameters!$X$4:$AA$4,1,MATCH($E241,Parameters!$X$3:$AA$3,0))))</f>
        <v>67.9824517752463</v>
      </c>
      <c r="V241" s="44" t="n">
        <f aca="false">MAX(0,MIN(T241*(1+INDEX(Response_Table!$E$4:$E$21,MATCH($F241&amp;"|low",Response_Table!$A$4:$A$21,0))*$R241*INDEX(Parameters!$X$4:$AA$4,1,MATCH($E241,Parameters!$X$3:$AA$3,0))),T241*(1+INDEX(Response_Table!$E$4:$E$21,MATCH($F241&amp;"|high",Response_Table!$A$4:$A$21,0))*$R241*INDEX(Parameters!$X$4:$AA$4,1,MATCH($E241,Parameters!$X$3:$AA$3,0))))*(1-Inputs_General!$C$22*Parameters!$F$4))</f>
        <v>58.3562867059549</v>
      </c>
      <c r="W241" s="44" t="n">
        <f aca="false">MIN(100,MAX(T241*(1+INDEX(Response_Table!$E$4:$E$21,MATCH($F241&amp;"|low",Response_Table!$A$4:$A$21,0))*$R241*INDEX(Parameters!$X$4:$AA$4,1,MATCH($E241,Parameters!$X$3:$AA$3,0))),T241*(1+INDEX(Response_Table!$E$4:$E$21,MATCH($F241&amp;"|high",Response_Table!$A$4:$A$21,0))*$R241*INDEX(Parameters!$X$4:$AA$4,1,MATCH($E241,Parameters!$X$3:$AA$3,0))))*(1+Inputs_General!$C$22*Parameters!$F$4))</f>
        <v>79.0513579882587</v>
      </c>
      <c r="X241" s="45" t="n">
        <f aca="false">IF(T241=0,0,U241/T241-1)</f>
        <v>-0.161545266722362</v>
      </c>
      <c r="Y241" s="44" t="n">
        <f aca="false">Parameters!$E$5*IF($N241="V",Parameters!$I$5,IF($N241="F",Parameters!$J$5,Parameters!$K$5))*(1-Parameters!$L$5*$P241)*IF($D241="V1",Parameters!$M$5,IF($D241="V2",Parameters!$N$5,Parameters!$O$5))</f>
        <v>62.48592</v>
      </c>
      <c r="Z241" s="44" t="n">
        <f aca="false">MIN(100,Y241*(1+INDEX(Response_Table!$F$4:$F$21,MATCH($F241&amp;"|mid",Response_Table!$A$4:$A$21,0))*$R241*INDEX(Parameters!$X$5:$AA$5,1,MATCH($E241,Parameters!$X$3:$AA$3,0))))</f>
        <v>31.2246538894432</v>
      </c>
      <c r="AA241" s="44" t="n">
        <f aca="false">MAX(0,MIN(Y241*(1+INDEX(Response_Table!$F$4:$F$21,MATCH($F241&amp;"|low",Response_Table!$A$4:$A$21,0))*$R241*INDEX(Parameters!$X$5:$AA$5,1,MATCH($E241,Parameters!$X$3:$AA$3,0))),Y241*(1+INDEX(Response_Table!$F$4:$F$21,MATCH($F241&amp;"|high",Response_Table!$A$4:$A$21,0))*$R241*INDEX(Parameters!$X$5:$AA$5,1,MATCH($E241,Parameters!$X$3:$AA$3,0))))*(1-Inputs_General!$C$22*Parameters!$F$5))</f>
        <v>20.6826583822528</v>
      </c>
      <c r="AB241" s="44" t="n">
        <f aca="false">MIN(100,MAX(Y241*(1+INDEX(Response_Table!$F$4:$F$21,MATCH($F241&amp;"|low",Response_Table!$A$4:$A$21,0))*$R241*INDEX(Parameters!$X$5:$AA$5,1,MATCH($E241,Parameters!$X$3:$AA$3,0))),Y241*(1+INDEX(Response_Table!$F$4:$F$21,MATCH($F241&amp;"|high",Response_Table!$A$4:$A$21,0))*$R241*INDEX(Parameters!$X$5:$AA$5,1,MATCH($E241,Parameters!$X$3:$AA$3,0))))*(1+Inputs_General!$C$22*Parameters!$F$5))</f>
        <v>49.3543813749256</v>
      </c>
      <c r="AC241" s="45" t="n">
        <f aca="false">IF(Y241=0,0,Z241/Y241-1)</f>
        <v>-0.500292963767786</v>
      </c>
      <c r="AD241" s="44" t="n">
        <f aca="false">Parameters!$E$6*IF($N241="V",Parameters!$I$6,IF($N241="F",Parameters!$J$6,Parameters!$K$6))*(1-Parameters!$L$6*$P241)*IF($D241="V1",Parameters!$M$6,IF($D241="V2",Parameters!$N$6,Parameters!$O$6))</f>
        <v>16.8258571428571</v>
      </c>
      <c r="AE241" s="44" t="n">
        <f aca="false">AD241*(1+INDEX(Response_Table!$G$4:$G$21,MATCH($F241&amp;"|mid",Response_Table!$A$4:$A$21,0))*$R241*INDEX(Parameters!$X$6:$AA$6,1,MATCH($E241,Parameters!$X$3:$AA$3,0)))</f>
        <v>6.57728158182451</v>
      </c>
      <c r="AF241" s="44" t="n">
        <f aca="false">MAX(0,MIN(AD241*(1+INDEX(Response_Table!$G$4:$G$21,MATCH($F241&amp;"|low",Response_Table!$A$4:$A$21,0))*$R241*INDEX(Parameters!$X$6:$AA$6,1,MATCH($E241,Parameters!$X$3:$AA$3,0))),AD241*(1+INDEX(Response_Table!$G$4:$G$21,MATCH($F241&amp;"|high",Response_Table!$A$4:$A$21,0))*$R241*INDEX(Parameters!$X$6:$AA$6,1,MATCH($E241,Parameters!$X$3:$AA$3,0))))*(1-Inputs_General!$C$22*Parameters!$F$6))</f>
        <v>4.49835860218498</v>
      </c>
      <c r="AG241" s="44" t="n">
        <f aca="false">MAX(AD241*(1+INDEX(Response_Table!$G$4:$G$21,MATCH($F241&amp;"|low",Response_Table!$A$4:$A$21,0))*$R241*INDEX(Parameters!$X$6:$AA$6,1,MATCH($E241,Parameters!$X$3:$AA$3,0))),AD241*(1+INDEX(Response_Table!$G$4:$G$21,MATCH($F241&amp;"|high",Response_Table!$A$4:$A$21,0))*$R241*INDEX(Parameters!$X$6:$AA$6,1,MATCH($E241,Parameters!$X$3:$AA$3,0))))*(1+Inputs_General!$C$22*Parameters!$F$6)</f>
        <v>9.85014135218463</v>
      </c>
      <c r="AH241" s="45" t="n">
        <f aca="false">IF(AD241=0,0,AE241/AD241-1)</f>
        <v>-0.609096789186953</v>
      </c>
      <c r="AI241" s="46" t="n">
        <f aca="false">Parameters!$E$7*IF($N241="V",Parameters!$I$7,IF($N241="F",Parameters!$J$7,Parameters!$K$7))*(1-Parameters!$L$7*$P241)*IF($D241="V1",Parameters!$M$7,IF($D241="V2",Parameters!$N$7,Parameters!$O$7))*POWER($Q241/Inputs_General!$C$26,-Inputs_General!$C$25)</f>
        <v>0.304119499618928</v>
      </c>
      <c r="AJ241" s="46" t="n">
        <f aca="false">AI241*(1+INDEX(Response_Table!$H$4:$H$21,MATCH($F241&amp;"|mid",Response_Table!$A$4:$A$21,0))*$R241*INDEX(Parameters!$X$7:$AA$7,1,MATCH($E241,Parameters!$X$3:$AA$3,0)))</f>
        <v>0.169662905440828</v>
      </c>
      <c r="AK241" s="46" t="n">
        <f aca="false">MAX(0,MIN(AI241*(1+INDEX(Response_Table!$H$4:$H$21,MATCH($F241&amp;"|low",Response_Table!$A$4:$A$21,0))*$R241*INDEX(Parameters!$X$7:$AA$7,1,MATCH($E241,Parameters!$X$3:$AA$3,0))),AI241*(1+INDEX(Response_Table!$H$4:$H$21,MATCH($F241&amp;"|high",Response_Table!$A$4:$A$21,0))*$R241*INDEX(Parameters!$X$7:$AA$7,1,MATCH($E241,Parameters!$X$3:$AA$3,0))))*(1-Inputs_General!$C$22*Parameters!$F$7))</f>
        <v>0.105971917001071</v>
      </c>
      <c r="AL241" s="46" t="n">
        <f aca="false">MAX(AI241*(1+INDEX(Response_Table!$H$4:$H$21,MATCH($F241&amp;"|low",Response_Table!$A$4:$A$21,0))*$R241*INDEX(Parameters!$X$7:$AA$7,1,MATCH($E241,Parameters!$X$3:$AA$3,0))),AI241*(1+INDEX(Response_Table!$H$4:$H$21,MATCH($F241&amp;"|high",Response_Table!$A$4:$A$21,0))*$R241*INDEX(Parameters!$X$7:$AA$7,1,MATCH($E241,Parameters!$X$3:$AA$3,0))))*(1+Inputs_General!$C$22*Parameters!$F$7)</f>
        <v>0.255407469064927</v>
      </c>
      <c r="AM241" s="45" t="n">
        <f aca="false">IF(AI241=0,0,AJ241/AI241-1)</f>
        <v>-0.442117635819403</v>
      </c>
      <c r="AN241" s="43" t="n">
        <f aca="false">AI241*$Q241/Inputs_General!$C$13*1000</f>
        <v>6.70550532611877</v>
      </c>
      <c r="AO241" s="43" t="n">
        <f aca="false">AJ241*$Q241/Inputs_General!$C$13*1000*(1+Inputs_General!$C$21*$I241)</f>
        <v>4.096267064975</v>
      </c>
      <c r="AP241" s="43" t="n">
        <f aca="false">AK241*$Q241/Inputs_General!$C$13*1000*(1+Inputs_General!$C$21*$H241)</f>
        <v>2.48844268887561</v>
      </c>
      <c r="AQ241" s="43" t="n">
        <f aca="false">AL241*$Q241/Inputs_General!$C$13*1000*(1+Inputs_General!$C$21*$J241)</f>
        <v>6.33539008375916</v>
      </c>
      <c r="AR241" s="45" t="n">
        <f aca="false">IF(AN241=0,0,AO241/AN241-1)</f>
        <v>-0.389118811222246</v>
      </c>
      <c r="AS241" s="42" t="n">
        <f aca="false">Parameters!$E$9*IF($N241="V",Parameters!$I$9,IF($N241="F",Parameters!$J$9,Parameters!$K$9))*(1-Parameters!$L$9*$P241)*IF($D241="V1",Parameters!$M$9,IF($D241="V2",Parameters!$N$9,Parameters!$O$9))</f>
        <v>285</v>
      </c>
      <c r="AT241" s="42" t="n">
        <f aca="false">AS241*(1+INDEX(Response_Table!$I$4:$I$21,MATCH($F241&amp;"|mid",Response_Table!$A$4:$A$21,0))*$R241*INDEX(Parameters!$X$9:$AA$9,1,MATCH($E241,Parameters!$X$3:$AA$3,0)))</f>
        <v>351.800133665586</v>
      </c>
      <c r="AU241" s="42" t="n">
        <f aca="false">MAX(0,MIN(AS241*(1+INDEX(Response_Table!$I$4:$I$21,MATCH($F241&amp;"|low",Response_Table!$A$4:$A$21,0))*$R241*INDEX(Parameters!$X$9:$AA$9,1,MATCH($E241,Parameters!$X$3:$AA$3,0))),AS241*(1+INDEX(Response_Table!$I$4:$I$21,MATCH($F241&amp;"|high",Response_Table!$A$4:$A$21,0))*$R241*INDEX(Parameters!$X$9:$AA$9,1,MATCH($E241,Parameters!$X$3:$AA$3,0))))*(1-Inputs_General!$C$22*Parameters!$F$9))</f>
        <v>306.694025735372</v>
      </c>
      <c r="AV241" s="42" t="n">
        <f aca="false">MAX(AS241*(1+INDEX(Response_Table!$I$4:$I$21,MATCH($F241&amp;"|low",Response_Table!$A$4:$A$21,0))*$R241*INDEX(Parameters!$X$9:$AA$9,1,MATCH($E241,Parameters!$X$3:$AA$3,0))),AS241*(1+INDEX(Response_Table!$I$4:$I$21,MATCH($F241&amp;"|high",Response_Table!$A$4:$A$21,0))*$R241*INDEX(Parameters!$X$9:$AA$9,1,MATCH($E241,Parameters!$X$3:$AA$3,0))))*(1+Inputs_General!$C$22*Parameters!$F$9)</f>
        <v>394.355109128328</v>
      </c>
      <c r="AW241" s="45" t="n">
        <f aca="false">IF(AS241=0,0,AT241/AS241-1)</f>
        <v>0.234386433914336</v>
      </c>
      <c r="AX241" s="43" t="n">
        <f aca="false">INDEX(Context!$AB$4:$AB$51,$K241)</f>
        <v>2.29604001650625</v>
      </c>
      <c r="AY241" s="43" t="n">
        <f aca="false">AX241*(1+INDEX(Response_Table!$J$4:$J$21,MATCH($F241&amp;"|mid",Response_Table!$A$4:$A$21,0))*$R241*INDEX(Parameters!$X$10:$AA$10,1,MATCH($E241,Parameters!$X$3:$AA$3,0)))</f>
        <v>1.66240979872269</v>
      </c>
      <c r="AZ241" s="43" t="n">
        <f aca="false">MAX(0,MIN(AX241*(1+INDEX(Response_Table!$J$4:$J$21,MATCH($F241&amp;"|low",Response_Table!$A$4:$A$21,0))*$R241*INDEX(Parameters!$X$10:$AA$10,1,MATCH($E241,Parameters!$X$3:$AA$3,0))),AX241*(1+INDEX(Response_Table!$J$4:$J$21,MATCH($F241&amp;"|high",Response_Table!$A$4:$A$21,0))*$R241*INDEX(Parameters!$X$10:$AA$10,1,MATCH($E241,Parameters!$X$3:$AA$3,0))))*(1-Inputs_General!$C$22*Parameters!$F$10))</f>
        <v>1.25112813373053</v>
      </c>
      <c r="BA241" s="43" t="n">
        <f aca="false">MAX(AX241*(1+INDEX(Response_Table!$J$4:$J$21,MATCH($F241&amp;"|low",Response_Table!$A$4:$A$21,0))*$R241*INDEX(Parameters!$X$10:$AA$10,1,MATCH($E241,Parameters!$X$3:$AA$3,0))),AX241*(1+INDEX(Response_Table!$J$4:$J$21,MATCH($F241&amp;"|high",Response_Table!$A$4:$A$21,0))*$R241*INDEX(Parameters!$X$10:$AA$10,1,MATCH($E241,Parameters!$X$3:$AA$3,0))))*(1+Inputs_General!$C$22*Parameters!$F$10)</f>
        <v>2.15796518391901</v>
      </c>
      <c r="BB241" s="45" t="n">
        <f aca="false">IF(AX241=0,0,AY241/AX241-1)</f>
        <v>-0.275966539445474</v>
      </c>
      <c r="BC241" s="46" t="n">
        <f aca="false">Parameters!$E$11*IF($N241="V",Parameters!$I$11,IF($N241="F",Parameters!$J$11,Parameters!$K$11))*(1-Parameters!$L$11*$P241)*IF($D241="V1",Parameters!$M$11,IF($D241="V2",Parameters!$N$11,Parameters!$O$11))</f>
        <v>1.17848214285714</v>
      </c>
      <c r="BD241" s="46" t="n">
        <f aca="false">BC241*(1+INDEX(Response_Table!$K$4:$K$21,MATCH($F241&amp;"|mid",Response_Table!$A$4:$A$21,0))*$R241*INDEX(Parameters!$X$11:$AA$11,1,MATCH($E241,Parameters!$X$3:$AA$3,0)))</f>
        <v>0.63952542450338</v>
      </c>
      <c r="BE241" s="46" t="n">
        <f aca="false">MAX(0,MIN(BC241*(1+INDEX(Response_Table!$K$4:$K$21,MATCH($F241&amp;"|low",Response_Table!$A$4:$A$21,0))*$R241*INDEX(Parameters!$X$11:$AA$11,1,MATCH($E241,Parameters!$X$3:$AA$3,0))),BC241*(1+INDEX(Response_Table!$K$4:$K$21,MATCH($F241&amp;"|high",Response_Table!$A$4:$A$21,0))*$R241*INDEX(Parameters!$X$11:$AA$11,1,MATCH($E241,Parameters!$X$3:$AA$3,0))))*(1-Inputs_General!$C$22*Parameters!$F$11))</f>
        <v>0.47383225803391</v>
      </c>
      <c r="BF241" s="46" t="n">
        <f aca="false">MAX(BC241*(1+INDEX(Response_Table!$K$4:$K$21,MATCH($F241&amp;"|low",Response_Table!$A$4:$A$21,0))*$R241*INDEX(Parameters!$X$11:$AA$11,1,MATCH($E241,Parameters!$X$3:$AA$3,0))),BC241*(1+INDEX(Response_Table!$K$4:$K$21,MATCH($F241&amp;"|high",Response_Table!$A$4:$A$21,0))*$R241*INDEX(Parameters!$X$11:$AA$11,1,MATCH($E241,Parameters!$X$3:$AA$3,0))))*(1+Inputs_General!$C$22*Parameters!$F$11)</f>
        <v>0.868508521516246</v>
      </c>
      <c r="BG241" s="45" t="n">
        <f aca="false">IF(BC241=0,0,BD241/BC241-1)</f>
        <v>-0.457331255819543</v>
      </c>
      <c r="BH241" s="46" t="n">
        <f aca="false">Parameters!$E$12*IF($N241="V",Parameters!$I$12,IF($N241="F",Parameters!$J$12,Parameters!$K$12))*(1-Parameters!$L$12*$P241)*IF($D241="V1",Parameters!$M$12,IF($D241="V2",Parameters!$N$12,Parameters!$O$12))</f>
        <v>0.424253571428571</v>
      </c>
      <c r="BI241" s="46" t="n">
        <f aca="false">BH241*(1+INDEX(Response_Table!$L$4:$L$21,MATCH($F241&amp;"|mid",Response_Table!$A$4:$A$21,0))*$R241*INDEX(Parameters!$X$12:$AA$12,1,MATCH($E241,Parameters!$X$3:$AA$3,0)))</f>
        <v>0.265540506361855</v>
      </c>
      <c r="BJ241" s="46" t="n">
        <f aca="false">MAX(0,MIN(BH241*(1+INDEX(Response_Table!$L$4:$L$21,MATCH($F241&amp;"|low",Response_Table!$A$4:$A$21,0))*$R241*INDEX(Parameters!$X$12:$AA$12,1,MATCH($E241,Parameters!$X$3:$AA$3,0))),BH241*(1+INDEX(Response_Table!$L$4:$L$21,MATCH($F241&amp;"|high",Response_Table!$A$4:$A$21,0))*$R241*INDEX(Parameters!$X$12:$AA$12,1,MATCH($E241,Parameters!$X$3:$AA$3,0))))*(1-Inputs_General!$C$22*Parameters!$F$12))</f>
        <v>0.195015089208164</v>
      </c>
      <c r="BK241" s="46" t="n">
        <f aca="false">MAX(BH241*(1+INDEX(Response_Table!$L$4:$L$21,MATCH($F241&amp;"|low",Response_Table!$A$4:$A$21,0))*$R241*INDEX(Parameters!$X$12:$AA$12,1,MATCH($E241,Parameters!$X$3:$AA$3,0))),BH241*(1+INDEX(Response_Table!$L$4:$L$21,MATCH($F241&amp;"|high",Response_Table!$A$4:$A$21,0))*$R241*INDEX(Parameters!$X$12:$AA$12,1,MATCH($E241,Parameters!$X$3:$AA$3,0))))*(1+Inputs_General!$C$22*Parameters!$F$12)</f>
        <v>0.356679500662763</v>
      </c>
      <c r="BL241" s="45" t="n">
        <f aca="false">IF(BH241=0,0,BI241/BH241-1)</f>
        <v>-0.374099538001033</v>
      </c>
      <c r="BM241" s="46" t="n">
        <f aca="false">Parameters!$E$13*IF($N241="V",Parameters!$I$13,IF($N241="F",Parameters!$J$13,Parameters!$K$13))*(1-Parameters!$L$13*$P241)*IF($D241="V1",Parameters!$M$13,IF($D241="V2",Parameters!$N$13,Parameters!$O$13))</f>
        <v>0.291417857142857</v>
      </c>
      <c r="BN241" s="46" t="n">
        <f aca="false">BM241*(1+INDEX(Response_Table!$M$4:$M$21,MATCH($F241&amp;"|mid",Response_Table!$A$4:$A$21,0))*$R241*INDEX(Parameters!$X$13:$AA$13,1,MATCH($E241,Parameters!$X$3:$AA$3,0)))</f>
        <v>0.218865136384533</v>
      </c>
      <c r="BO241" s="46" t="n">
        <f aca="false">MAX(0,MIN(BM241*(1+INDEX(Response_Table!$M$4:$M$21,MATCH($F241&amp;"|low",Response_Table!$A$4:$A$21,0))*$R241*INDEX(Parameters!$X$13:$AA$13,1,MATCH($E241,Parameters!$X$3:$AA$3,0))),BM241*(1+INDEX(Response_Table!$M$4:$M$21,MATCH($F241&amp;"|high",Response_Table!$A$4:$A$21,0))*$R241*INDEX(Parameters!$X$13:$AA$13,1,MATCH($E241,Parameters!$X$3:$AA$3,0))))*(1-Inputs_General!$C$22*Parameters!$F$13))</f>
        <v>0.163352465016753</v>
      </c>
      <c r="BP241" s="46" t="n">
        <f aca="false">MAX(BM241*(1+INDEX(Response_Table!$M$4:$M$21,MATCH($F241&amp;"|low",Response_Table!$A$4:$A$21,0))*$R241*INDEX(Parameters!$X$13:$AA$13,1,MATCH($E241,Parameters!$X$3:$AA$3,0))),BM241*(1+INDEX(Response_Table!$M$4:$M$21,MATCH($F241&amp;"|high",Response_Table!$A$4:$A$21,0))*$R241*INDEX(Parameters!$X$13:$AA$13,1,MATCH($E241,Parameters!$X$3:$AA$3,0))))*(1+Inputs_General!$C$22*Parameters!$F$13)</f>
        <v>0.291666545781778</v>
      </c>
      <c r="BQ241" s="45" t="n">
        <f aca="false">IF(BM241=0,0,BN241/BM241-1)</f>
        <v>-0.248964567475896</v>
      </c>
      <c r="BR241" s="44" t="n">
        <f aca="false">Parameters!$E$14*IF($N241="V",Parameters!$I$14,IF($N241="F",Parameters!$J$14,Parameters!$K$14))*(1-Parameters!$L$14*$P241)*IF($D241="V1",Parameters!$M$14,IF($D241="V2",Parameters!$N$14,Parameters!$O$14))*INDEX(Context!$AC$4:$AC$51,$K241)</f>
        <v>15</v>
      </c>
      <c r="BS241" s="44" t="n">
        <f aca="false">BR241*(1+INDEX(Response_Table!$N$4:$N$21,MATCH($F241&amp;"|mid",Response_Table!$A$4:$A$21,0))*$R241*INDEX(Parameters!$X$14:$AA$14,1,MATCH($E241,Parameters!$X$3:$AA$3,0)))</f>
        <v>21.1216288036533</v>
      </c>
      <c r="BT241" s="44" t="n">
        <f aca="false">MAX(0,MIN(BR241*(1+INDEX(Response_Table!$N$4:$N$21,MATCH($F241&amp;"|low",Response_Table!$A$4:$A$21,0))*$R241*INDEX(Parameters!$X$14:$AA$14,1,MATCH($E241,Parameters!$X$3:$AA$3,0))),BR241*(1+INDEX(Response_Table!$N$4:$N$21,MATCH($F241&amp;"|high",Response_Table!$A$4:$A$21,0))*$R241*INDEX(Parameters!$X$14:$AA$14,1,MATCH($E241,Parameters!$X$3:$AA$3,0))))*(1-Inputs_General!$C$22*Parameters!$F$14))</f>
        <v>10.0663561974651</v>
      </c>
      <c r="BU241" s="44" t="n">
        <f aca="false">MAX(BR241*(1+INDEX(Response_Table!$N$4:$N$21,MATCH($F241&amp;"|low",Response_Table!$A$4:$A$21,0))*$R241*INDEX(Parameters!$X$14:$AA$14,1,MATCH($E241,Parameters!$X$3:$AA$3,0))),BR241*(1+INDEX(Response_Table!$N$4:$N$21,MATCH($F241&amp;"|high",Response_Table!$A$4:$A$21,0))*$R241*INDEX(Parameters!$X$14:$AA$14,1,MATCH($E241,Parameters!$X$3:$AA$3,0))))*(1+Inputs_General!$C$22*Parameters!$F$14)</f>
        <v>32.8447959523649</v>
      </c>
      <c r="BV241" s="45" t="n">
        <f aca="false">IF(BR241=0,0,BS241/BR241-1)</f>
        <v>0.408108586910218</v>
      </c>
      <c r="BW241" s="43" t="n">
        <f aca="false">Parameters!$E$15*IF($N241="V",Parameters!$I$15,IF($N241="F",Parameters!$J$15,Parameters!$K$15))*(1-Parameters!$L$15*$P241)*IF($D241="V1",Parameters!$M$15,IF($D241="V2",Parameters!$N$15,Parameters!$O$15))</f>
        <v>9.80497142857143</v>
      </c>
      <c r="BX241" s="43" t="n">
        <f aca="false">BW241*(1+INDEX(Response_Table!$O$4:$O$21,MATCH($F241&amp;"|mid",Response_Table!$A$4:$A$21,0))*$R241*INDEX(Parameters!$X$15:$AA$15,1,MATCH($E241,Parameters!$X$3:$AA$3,0)))</f>
        <v>8.80459816996909</v>
      </c>
      <c r="BY241" s="43" t="n">
        <f aca="false">MAX(0,MIN(BW241*(1+INDEX(Response_Table!$O$4:$O$21,MATCH($F241&amp;"|low",Response_Table!$A$4:$A$21,0))*$R241*INDEX(Parameters!$X$15:$AA$15,1,MATCH($E241,Parameters!$X$3:$AA$3,0))),BW241*(1+INDEX(Response_Table!$O$4:$O$21,MATCH($F241&amp;"|high",Response_Table!$A$4:$A$21,0))*$R241*INDEX(Parameters!$X$15:$AA$15,1,MATCH($E241,Parameters!$X$3:$AA$3,0))))*(1-Inputs_General!$C$22*Parameters!$F$15))</f>
        <v>6.95243697578826</v>
      </c>
      <c r="BZ241" s="43" t="n">
        <f aca="false">MAX(BW241*(1+INDEX(Response_Table!$O$4:$O$21,MATCH($F241&amp;"|low",Response_Table!$A$4:$A$21,0))*$R241*INDEX(Parameters!$X$15:$AA$15,1,MATCH($E241,Parameters!$X$3:$AA$3,0))),BW241*(1+INDEX(Response_Table!$O$4:$O$21,MATCH($F241&amp;"|high",Response_Table!$A$4:$A$21,0))*$R241*INDEX(Parameters!$X$15:$AA$15,1,MATCH($E241,Parameters!$X$3:$AA$3,0))))*(1+Inputs_General!$C$22*Parameters!$F$15)</f>
        <v>10.7866873655627</v>
      </c>
      <c r="CA241" s="45" t="n">
        <f aca="false">IF(BW241=0,0,BX241/BW241-1)</f>
        <v>-0.102027146727554</v>
      </c>
      <c r="CB241" s="46" t="n">
        <f aca="false">BD241+BI241</f>
        <v>0.905065930865235</v>
      </c>
      <c r="CC241" s="43" t="n">
        <f aca="false">BD241/BI241</f>
        <v>2.40839122160855</v>
      </c>
      <c r="CD241" s="46" t="n">
        <f aca="false">BN241/CB241</f>
        <v>0.241822312519598</v>
      </c>
      <c r="CE241" s="43" t="n">
        <f aca="false">AE241/AO241</f>
        <v>1.60567694378703</v>
      </c>
      <c r="CF241" s="44" t="n">
        <f aca="false">AE241/AJ241</f>
        <v>38.7667626269574</v>
      </c>
      <c r="CG241" s="44" t="n">
        <f aca="false">INDEX(Context!$V$4:$V$51,$K241)</f>
        <v>32.7871428571429</v>
      </c>
      <c r="CH241" s="44" t="n">
        <f aca="false">INDEX(Context!$Y$4:$Y$51,$K241)</f>
        <v>28.36912210206</v>
      </c>
      <c r="CI241" s="44" t="n">
        <f aca="false">INDEX(Context!$Z$4:$Z$51,$K241)</f>
        <v>36.7871428571429</v>
      </c>
      <c r="CJ241" s="43" t="n">
        <f aca="false">INDEX(Context!$AA$4:$AA$51,$K241)</f>
        <v>0.247678571428571</v>
      </c>
      <c r="CK241" s="43" t="n">
        <f aca="false">MAX(0,MIN(1,1-(1-CJ241)*AO241/AN241))</f>
        <v>0.540420991371307</v>
      </c>
      <c r="CL241" s="44" t="n">
        <f aca="false">CH241+CK241*(CI241-CH241)</f>
        <v>32.9183972239061</v>
      </c>
      <c r="CM241" s="44" t="n">
        <f aca="false">CH241+MAX(0,MIN(1,1-(1-CJ241)*AQ241/AN241))*(CI241-CH241)</f>
        <v>30.8036431651998</v>
      </c>
      <c r="CN241" s="44" t="n">
        <f aca="false">CH241+MAX(0,MIN(1,1-(1-CJ241)*AP241/AN241))*(CI241-CH241)</f>
        <v>34.4369172411268</v>
      </c>
      <c r="CO241" s="44" t="n">
        <f aca="false">CL241-CG241</f>
        <v>0.13125436676328</v>
      </c>
      <c r="CP241" s="44" t="n">
        <f aca="false">CL241-(CH241+CJ241*(CI241-CH241))</f>
        <v>2.46431176697112</v>
      </c>
      <c r="CQ241" s="46" t="n">
        <f aca="false">CL241/CG241</f>
        <v>1.00400322673236</v>
      </c>
      <c r="CR241" s="43" t="n">
        <f aca="false">IF(CL241-CH241&lt;=0,"n/a",(CI241-CL241)/(CL241-CH241))</f>
        <v>0.850409247543328</v>
      </c>
      <c r="CS241" s="43" t="n">
        <f aca="false">IF(CI241-CL241&lt;=0,"n/a",(CL241-CH241)/(CI241-CL241))</f>
        <v>1.17590442823712</v>
      </c>
      <c r="CT241" s="43" t="n">
        <f aca="false">Inputs_General!$C$23+Inputs_General!$C$24*$I241</f>
        <v>1.36</v>
      </c>
      <c r="CU241" s="44" t="n">
        <f aca="false">3.29*CT241</f>
        <v>4.4744</v>
      </c>
    </row>
    <row r="242" customFormat="false" ht="15" hidden="false" customHeight="false" outlineLevel="0" collapsed="false">
      <c r="A242" s="9" t="str">
        <f aca="false">B242&amp;"|"&amp;E242&amp;"|"&amp;F242</f>
        <v>D4V1|13/03/2026|Very high</v>
      </c>
      <c r="B242" s="7" t="s">
        <v>352</v>
      </c>
      <c r="C242" s="9" t="s">
        <v>133</v>
      </c>
      <c r="D242" s="9" t="s">
        <v>142</v>
      </c>
      <c r="E242" s="9" t="s">
        <v>164</v>
      </c>
      <c r="F242" s="7" t="s">
        <v>285</v>
      </c>
      <c r="G242" s="9" t="s">
        <v>286</v>
      </c>
      <c r="H242" s="41" t="n">
        <f aca="false">INDEX(Severity_Classes!$C$4:$C$9,MATCH(F242,Severity_Classes!$A$4:$A$9,0))</f>
        <v>0.51</v>
      </c>
      <c r="I242" s="41" t="n">
        <f aca="false">INDEX(Severity_Classes!$D$4:$D$9,MATCH(F242,Severity_Classes!$A$4:$A$9,0))</f>
        <v>0.65</v>
      </c>
      <c r="J242" s="41" t="n">
        <f aca="false">INDEX(Severity_Classes!$E$4:$E$9,MATCH(F242,Severity_Classes!$A$4:$A$9,0))</f>
        <v>0.85</v>
      </c>
      <c r="K242" s="42" t="n">
        <f aca="false">MATCH(B242&amp;"|"&amp;E242,Context!$A$4:$A$51,0)</f>
        <v>40</v>
      </c>
      <c r="L242" s="42" t="n">
        <f aca="false">INDEX(Context!$H$4:$H$51,K242)</f>
        <v>63</v>
      </c>
      <c r="M242" s="42" t="n">
        <f aca="false">INDEX(Context!$I$4:$I$51,K242)</f>
        <v>36</v>
      </c>
      <c r="N242" s="9" t="str">
        <f aca="false">INDEX(Context!$L$4:$L$51,K242)</f>
        <v>F</v>
      </c>
      <c r="O242" s="9" t="str">
        <f aca="false">INDEX(Context!$M$4:$M$51,K242)</f>
        <v>5th fully expanded leaf from top</v>
      </c>
      <c r="P242" s="43" t="n">
        <f aca="false">INDEX(Context!$R$4:$R$51,K242)</f>
        <v>0.953571428571428</v>
      </c>
      <c r="Q242" s="43" t="n">
        <f aca="false">INDEX(Context!$U$4:$U$51,K242)</f>
        <v>2.18945736698217</v>
      </c>
      <c r="R242" s="43" t="n">
        <f aca="false">INDEX(Context!$AD$4:$AD$51,K242)</f>
        <v>1</v>
      </c>
      <c r="S242" s="9" t="str">
        <f aca="false">INDEX(Context!$AI$4:$AN$51,K242,MATCH(F242,Severity_Classes!$A$4:$A$9,0))</f>
        <v>Possible</v>
      </c>
      <c r="T242" s="44" t="n">
        <f aca="false">Parameters!$E$4*IF($N242="V",Parameters!$I$4,IF($N242="F",Parameters!$J$4,Parameters!$K$4))*(1-Parameters!$L$4*$P242)*IF($D242="V1",Parameters!$M$4,IF($D242="V2",Parameters!$N$4,Parameters!$O$4))</f>
        <v>81.0806464285714</v>
      </c>
      <c r="U242" s="44" t="n">
        <f aca="false">MIN(100,T242*(1+INDEX(Response_Table!$E$4:$E$21,MATCH($F242&amp;"|mid",Response_Table!$A$4:$A$21,0))*$R242*INDEX(Parameters!$X$4:$AA$4,1,MATCH($E242,Parameters!$X$3:$AA$3,0))))</f>
        <v>58.7014917125203</v>
      </c>
      <c r="V242" s="44" t="n">
        <f aca="false">MAX(0,MIN(T242*(1+INDEX(Response_Table!$E$4:$E$21,MATCH($F242&amp;"|low",Response_Table!$A$4:$A$21,0))*$R242*INDEX(Parameters!$X$4:$AA$4,1,MATCH($E242,Parameters!$X$3:$AA$3,0))),T242*(1+INDEX(Response_Table!$E$4:$E$21,MATCH($F242&amp;"|high",Response_Table!$A$4:$A$21,0))*$R242*INDEX(Parameters!$X$4:$AA$4,1,MATCH($E242,Parameters!$X$3:$AA$3,0))))*(1-Inputs_General!$C$22*Parameters!$F$4))</f>
        <v>53.3875770226879</v>
      </c>
      <c r="W242" s="44" t="n">
        <f aca="false">MIN(100,MAX(T242*(1+INDEX(Response_Table!$E$4:$E$21,MATCH($F242&amp;"|low",Response_Table!$A$4:$A$21,0))*$R242*INDEX(Parameters!$X$4:$AA$4,1,MATCH($E242,Parameters!$X$3:$AA$3,0))),T242*(1+INDEX(Response_Table!$E$4:$E$21,MATCH($F242&amp;"|high",Response_Table!$A$4:$A$21,0))*$R242*INDEX(Parameters!$X$4:$AA$4,1,MATCH($E242,Parameters!$X$3:$AA$3,0))))*(1+Inputs_General!$C$22*Parameters!$F$4))</f>
        <v>66.1917996448179</v>
      </c>
      <c r="X242" s="45" t="n">
        <f aca="false">IF(T242=0,0,U242/T242-1)</f>
        <v>-0.276011054447699</v>
      </c>
      <c r="Y242" s="44" t="n">
        <f aca="false">Parameters!$E$5*IF($N242="V",Parameters!$I$5,IF($N242="F",Parameters!$J$5,Parameters!$K$5))*(1-Parameters!$L$5*$P242)*IF($D242="V1",Parameters!$M$5,IF($D242="V2",Parameters!$N$5,Parameters!$O$5))</f>
        <v>62.48592</v>
      </c>
      <c r="Z242" s="44" t="n">
        <f aca="false">MIN(100,Y242*(1+INDEX(Response_Table!$F$4:$F$21,MATCH($F242&amp;"|mid",Response_Table!$A$4:$A$21,0))*$R242*INDEX(Parameters!$X$5:$AA$5,1,MATCH($E242,Parameters!$X$3:$AA$3,0))))</f>
        <v>19.8652694293623</v>
      </c>
      <c r="AA242" s="44" t="n">
        <f aca="false">MAX(0,MIN(Y242*(1+INDEX(Response_Table!$F$4:$F$21,MATCH($F242&amp;"|low",Response_Table!$A$4:$A$21,0))*$R242*INDEX(Parameters!$X$5:$AA$5,1,MATCH($E242,Parameters!$X$3:$AA$3,0))),Y242*(1+INDEX(Response_Table!$F$4:$F$21,MATCH($F242&amp;"|high",Response_Table!$A$4:$A$21,0))*$R242*INDEX(Parameters!$X$5:$AA$5,1,MATCH($E242,Parameters!$X$3:$AA$3,0))))*(1-Inputs_General!$C$22*Parameters!$F$5))</f>
        <v>16.7241171660435</v>
      </c>
      <c r="AB242" s="44" t="n">
        <f aca="false">MIN(100,MAX(Y242*(1+INDEX(Response_Table!$F$4:$F$21,MATCH($F242&amp;"|low",Response_Table!$A$4:$A$21,0))*$R242*INDEX(Parameters!$X$5:$AA$5,1,MATCH($E242,Parameters!$X$3:$AA$3,0))),Y242*(1+INDEX(Response_Table!$F$4:$F$21,MATCH($F242&amp;"|high",Response_Table!$A$4:$A$21,0))*$R242*INDEX(Parameters!$X$5:$AA$5,1,MATCH($E242,Parameters!$X$3:$AA$3,0))))*(1+Inputs_General!$C$22*Parameters!$F$5))</f>
        <v>25.6193222984561</v>
      </c>
      <c r="AC242" s="45" t="n">
        <f aca="false">IF(Y242=0,0,Z242/Y242-1)</f>
        <v>-0.682084069029274</v>
      </c>
      <c r="AD242" s="44" t="n">
        <f aca="false">Parameters!$E$6*IF($N242="V",Parameters!$I$6,IF($N242="F",Parameters!$J$6,Parameters!$K$6))*(1-Parameters!$L$6*$P242)*IF($D242="V1",Parameters!$M$6,IF($D242="V2",Parameters!$N$6,Parameters!$O$6))</f>
        <v>16.8258571428571</v>
      </c>
      <c r="AE242" s="44" t="n">
        <f aca="false">AD242*(1+INDEX(Response_Table!$G$4:$G$21,MATCH($F242&amp;"|mid",Response_Table!$A$4:$A$21,0))*$R242*INDEX(Parameters!$X$6:$AA$6,1,MATCH($E242,Parameters!$X$3:$AA$3,0)))</f>
        <v>4.92916126994575</v>
      </c>
      <c r="AF242" s="44" t="n">
        <f aca="false">MAX(0,MIN(AD242*(1+INDEX(Response_Table!$G$4:$G$21,MATCH($F242&amp;"|low",Response_Table!$A$4:$A$21,0))*$R242*INDEX(Parameters!$X$6:$AA$6,1,MATCH($E242,Parameters!$X$3:$AA$3,0))),AD242*(1+INDEX(Response_Table!$G$4:$G$21,MATCH($F242&amp;"|high",Response_Table!$A$4:$A$21,0))*$R242*INDEX(Parameters!$X$6:$AA$6,1,MATCH($E242,Parameters!$X$3:$AA$3,0))))*(1-Inputs_General!$C$22*Parameters!$F$6))</f>
        <v>3.6166975053551</v>
      </c>
      <c r="AG242" s="44" t="n">
        <f aca="false">MAX(AD242*(1+INDEX(Response_Table!$G$4:$G$21,MATCH($F242&amp;"|low",Response_Table!$A$4:$A$21,0))*$R242*INDEX(Parameters!$X$6:$AA$6,1,MATCH($E242,Parameters!$X$3:$AA$3,0))),AD242*(1+INDEX(Response_Table!$G$4:$G$21,MATCH($F242&amp;"|high",Response_Table!$A$4:$A$21,0))*$R242*INDEX(Parameters!$X$6:$AA$6,1,MATCH($E242,Parameters!$X$3:$AA$3,0))))*(1+Inputs_General!$C$22*Parameters!$F$6)</f>
        <v>6.63903571865351</v>
      </c>
      <c r="AH242" s="45" t="n">
        <f aca="false">IF(AD242=0,0,AE242/AD242-1)</f>
        <v>-0.707048429800899</v>
      </c>
      <c r="AI242" s="46" t="n">
        <f aca="false">Parameters!$E$7*IF($N242="V",Parameters!$I$7,IF($N242="F",Parameters!$J$7,Parameters!$K$7))*(1-Parameters!$L$7*$P242)*IF($D242="V1",Parameters!$M$7,IF($D242="V2",Parameters!$N$7,Parameters!$O$7))*POWER($Q242/Inputs_General!$C$26,-Inputs_General!$C$25)</f>
        <v>0.304119499618928</v>
      </c>
      <c r="AJ242" s="46" t="n">
        <f aca="false">AI242*(1+INDEX(Response_Table!$H$4:$H$21,MATCH($F242&amp;"|mid",Response_Table!$A$4:$A$21,0))*$R242*INDEX(Parameters!$X$7:$AA$7,1,MATCH($E242,Parameters!$X$3:$AA$3,0)))</f>
        <v>0.13456623251539</v>
      </c>
      <c r="AK242" s="46" t="n">
        <f aca="false">MAX(0,MIN(AI242*(1+INDEX(Response_Table!$H$4:$H$21,MATCH($F242&amp;"|low",Response_Table!$A$4:$A$21,0))*$R242*INDEX(Parameters!$X$7:$AA$7,1,MATCH($E242,Parameters!$X$3:$AA$3,0))),AI242*(1+INDEX(Response_Table!$H$4:$H$21,MATCH($F242&amp;"|high",Response_Table!$A$4:$A$21,0))*$R242*INDEX(Parameters!$X$7:$AA$7,1,MATCH($E242,Parameters!$X$3:$AA$3,0))))*(1-Inputs_General!$C$22*Parameters!$F$7))</f>
        <v>0.085789098555229</v>
      </c>
      <c r="AL242" s="46" t="n">
        <f aca="false">MAX(AI242*(1+INDEX(Response_Table!$H$4:$H$21,MATCH($F242&amp;"|low",Response_Table!$A$4:$A$21,0))*$R242*INDEX(Parameters!$X$7:$AA$7,1,MATCH($E242,Parameters!$X$3:$AA$3,0))),AI242*(1+INDEX(Response_Table!$H$4:$H$21,MATCH($F242&amp;"|high",Response_Table!$A$4:$A$21,0))*$R242*INDEX(Parameters!$X$7:$AA$7,1,MATCH($E242,Parameters!$X$3:$AA$3,0))))*(1+Inputs_General!$C$22*Parameters!$F$7)</f>
        <v>0.193437859948247</v>
      </c>
      <c r="AM242" s="45" t="n">
        <f aca="false">IF(AI242=0,0,AJ242/AI242-1)</f>
        <v>-0.557521853468766</v>
      </c>
      <c r="AN242" s="43" t="n">
        <f aca="false">AI242*$Q242/Inputs_General!$C$13*1000</f>
        <v>6.70550532611877</v>
      </c>
      <c r="AO242" s="43" t="n">
        <f aca="false">AJ242*$Q242/Inputs_General!$C$13*1000*(1+Inputs_General!$C$21*$I242)</f>
        <v>3.44918349809801</v>
      </c>
      <c r="AP242" s="43" t="n">
        <f aca="false">AK242*$Q242/Inputs_General!$C$13*1000*(1+Inputs_General!$C$21*$H242)</f>
        <v>2.13273010576954</v>
      </c>
      <c r="AQ242" s="43" t="n">
        <f aca="false">AL242*$Q242/Inputs_General!$C$13*1000*(1+Inputs_General!$C$21*$J242)</f>
        <v>5.17142785865365</v>
      </c>
      <c r="AR242" s="45" t="n">
        <f aca="false">IF(AN242=0,0,AO242/AN242-1)</f>
        <v>-0.485619154657441</v>
      </c>
      <c r="AS242" s="42" t="n">
        <f aca="false">Parameters!$E$9*IF($N242="V",Parameters!$I$9,IF($N242="F",Parameters!$J$9,Parameters!$K$9))*(1-Parameters!$L$9*$P242)*IF($D242="V1",Parameters!$M$9,IF($D242="V2",Parameters!$N$9,Parameters!$O$9))</f>
        <v>285</v>
      </c>
      <c r="AT242" s="42" t="n">
        <f aca="false">AS242*(1+INDEX(Response_Table!$I$4:$I$21,MATCH($F242&amp;"|mid",Response_Table!$A$4:$A$21,0))*$R242*INDEX(Parameters!$X$9:$AA$9,1,MATCH($E242,Parameters!$X$3:$AA$3,0)))</f>
        <v>364.149609062674</v>
      </c>
      <c r="AU242" s="42" t="n">
        <f aca="false">MAX(0,MIN(AS242*(1+INDEX(Response_Table!$I$4:$I$21,MATCH($F242&amp;"|low",Response_Table!$A$4:$A$21,0))*$R242*INDEX(Parameters!$X$9:$AA$9,1,MATCH($E242,Parameters!$X$3:$AA$3,0))),AS242*(1+INDEX(Response_Table!$I$4:$I$21,MATCH($F242&amp;"|high",Response_Table!$A$4:$A$21,0))*$R242*INDEX(Parameters!$X$9:$AA$9,1,MATCH($E242,Parameters!$X$3:$AA$3,0))))*(1-Inputs_General!$C$22*Parameters!$F$9))</f>
        <v>323.911488006691</v>
      </c>
      <c r="AV242" s="42" t="n">
        <f aca="false">MAX(AS242*(1+INDEX(Response_Table!$I$4:$I$21,MATCH($F242&amp;"|low",Response_Table!$A$4:$A$21,0))*$R242*INDEX(Parameters!$X$9:$AA$9,1,MATCH($E242,Parameters!$X$3:$AA$3,0))),AS242*(1+INDEX(Response_Table!$I$4:$I$21,MATCH($F242&amp;"|high",Response_Table!$A$4:$A$21,0))*$R242*INDEX(Parameters!$X$9:$AA$9,1,MATCH($E242,Parameters!$X$3:$AA$3,0))))*(1+Inputs_General!$C$22*Parameters!$F$9)</f>
        <v>403.933303399187</v>
      </c>
      <c r="AW242" s="45" t="n">
        <f aca="false">IF(AS242=0,0,AT242/AS242-1)</f>
        <v>0.2777179265357</v>
      </c>
      <c r="AX242" s="43" t="n">
        <f aca="false">INDEX(Context!$AB$4:$AB$51,$K242)</f>
        <v>2.29604001650625</v>
      </c>
      <c r="AY242" s="43" t="n">
        <f aca="false">AX242*(1+INDEX(Response_Table!$J$4:$J$21,MATCH($F242&amp;"|mid",Response_Table!$A$4:$A$21,0))*$R242*INDEX(Parameters!$X$10:$AA$10,1,MATCH($E242,Parameters!$X$3:$AA$3,0)))</f>
        <v>1.46627469777219</v>
      </c>
      <c r="AZ242" s="43" t="n">
        <f aca="false">MAX(0,MIN(AX242*(1+INDEX(Response_Table!$J$4:$J$21,MATCH($F242&amp;"|low",Response_Table!$A$4:$A$21,0))*$R242*INDEX(Parameters!$X$10:$AA$10,1,MATCH($E242,Parameters!$X$3:$AA$3,0))),AX242*(1+INDEX(Response_Table!$J$4:$J$21,MATCH($F242&amp;"|high",Response_Table!$A$4:$A$21,0))*$R242*INDEX(Parameters!$X$10:$AA$10,1,MATCH($E242,Parameters!$X$3:$AA$3,0))))*(1-Inputs_General!$C$22*Parameters!$F$10))</f>
        <v>1.11258202004442</v>
      </c>
      <c r="BA242" s="43" t="n">
        <f aca="false">MAX(AX242*(1+INDEX(Response_Table!$J$4:$J$21,MATCH($F242&amp;"|low",Response_Table!$A$4:$A$21,0))*$R242*INDEX(Parameters!$X$10:$AA$10,1,MATCH($E242,Parameters!$X$3:$AA$3,0))),AX242*(1+INDEX(Response_Table!$J$4:$J$21,MATCH($F242&amp;"|high",Response_Table!$A$4:$A$21,0))*$R242*INDEX(Parameters!$X$10:$AA$10,1,MATCH($E242,Parameters!$X$3:$AA$3,0))))*(1+Inputs_General!$C$22*Parameters!$F$10)</f>
        <v>1.85780814942842</v>
      </c>
      <c r="BB242" s="45" t="n">
        <f aca="false">IF(AX242=0,0,AY242/AX242-1)</f>
        <v>-0.361389746158113</v>
      </c>
      <c r="BC242" s="46" t="n">
        <f aca="false">Parameters!$E$11*IF($N242="V",Parameters!$I$11,IF($N242="F",Parameters!$J$11,Parameters!$K$11))*(1-Parameters!$L$11*$P242)*IF($D242="V1",Parameters!$M$11,IF($D242="V2",Parameters!$N$11,Parameters!$O$11))</f>
        <v>1.17848214285714</v>
      </c>
      <c r="BD242" s="46" t="n">
        <f aca="false">BC242*(1+INDEX(Response_Table!$K$4:$K$21,MATCH($F242&amp;"|mid",Response_Table!$A$4:$A$21,0))*$R242*INDEX(Parameters!$X$11:$AA$11,1,MATCH($E242,Parameters!$X$3:$AA$3,0)))</f>
        <v>0.508166965716599</v>
      </c>
      <c r="BE242" s="46" t="n">
        <f aca="false">MAX(0,MIN(BC242*(1+INDEX(Response_Table!$K$4:$K$21,MATCH($F242&amp;"|low",Response_Table!$A$4:$A$21,0))*$R242*INDEX(Parameters!$X$11:$AA$11,1,MATCH($E242,Parameters!$X$3:$AA$3,0))),BC242*(1+INDEX(Response_Table!$K$4:$K$21,MATCH($F242&amp;"|high",Response_Table!$A$4:$A$21,0))*$R242*INDEX(Parameters!$X$11:$AA$11,1,MATCH($E242,Parameters!$X$3:$AA$3,0))))*(1-Inputs_General!$C$22*Parameters!$F$11))</f>
        <v>0.386777759455474</v>
      </c>
      <c r="BF242" s="46" t="n">
        <f aca="false">MAX(BC242*(1+INDEX(Response_Table!$K$4:$K$21,MATCH($F242&amp;"|low",Response_Table!$A$4:$A$21,0))*$R242*INDEX(Parameters!$X$11:$AA$11,1,MATCH($E242,Parameters!$X$3:$AA$3,0))),BC242*(1+INDEX(Response_Table!$K$4:$K$21,MATCH($F242&amp;"|high",Response_Table!$A$4:$A$21,0))*$R242*INDEX(Parameters!$X$11:$AA$11,1,MATCH($E242,Parameters!$X$3:$AA$3,0))))*(1+Inputs_General!$C$22*Parameters!$F$11)</f>
        <v>0.654744268816976</v>
      </c>
      <c r="BG242" s="45" t="n">
        <f aca="false">IF(BC242=0,0,BD242/BC242-1)</f>
        <v>-0.568795362070921</v>
      </c>
      <c r="BH242" s="46" t="n">
        <f aca="false">Parameters!$E$12*IF($N242="V",Parameters!$I$12,IF($N242="F",Parameters!$J$12,Parameters!$K$12))*(1-Parameters!$L$12*$P242)*IF($D242="V1",Parameters!$M$12,IF($D242="V2",Parameters!$N$12,Parameters!$O$12))</f>
        <v>0.424253571428571</v>
      </c>
      <c r="BI242" s="46" t="n">
        <f aca="false">BH242*(1+INDEX(Response_Table!$L$4:$L$21,MATCH($F242&amp;"|mid",Response_Table!$A$4:$A$21,0))*$R242*INDEX(Parameters!$X$12:$AA$12,1,MATCH($E242,Parameters!$X$3:$AA$3,0)))</f>
        <v>0.224112262788602</v>
      </c>
      <c r="BJ242" s="46" t="n">
        <f aca="false">MAX(0,MIN(BH242*(1+INDEX(Response_Table!$L$4:$L$21,MATCH($F242&amp;"|low",Response_Table!$A$4:$A$21,0))*$R242*INDEX(Parameters!$X$12:$AA$12,1,MATCH($E242,Parameters!$X$3:$AA$3,0))),BH242*(1+INDEX(Response_Table!$L$4:$L$21,MATCH($F242&amp;"|high",Response_Table!$A$4:$A$21,0))*$R242*INDEX(Parameters!$X$12:$AA$12,1,MATCH($E242,Parameters!$X$3:$AA$3,0))))*(1-Inputs_General!$C$22*Parameters!$F$12))</f>
        <v>0.167850660473753</v>
      </c>
      <c r="BK242" s="46" t="n">
        <f aca="false">MAX(BH242*(1+INDEX(Response_Table!$L$4:$L$21,MATCH($F242&amp;"|low",Response_Table!$A$4:$A$21,0))*$R242*INDEX(Parameters!$X$12:$AA$12,1,MATCH($E242,Parameters!$X$3:$AA$3,0))),BH242*(1+INDEX(Response_Table!$L$4:$L$21,MATCH($F242&amp;"|high",Response_Table!$A$4:$A$21,0))*$R242*INDEX(Parameters!$X$12:$AA$12,1,MATCH($E242,Parameters!$X$3:$AA$3,0))))*(1+Inputs_General!$C$22*Parameters!$F$12)</f>
        <v>0.289100763401991</v>
      </c>
      <c r="BL242" s="45" t="n">
        <f aca="false">IF(BH242=0,0,BI242/BH242-1)</f>
        <v>-0.471749260627418</v>
      </c>
      <c r="BM242" s="46" t="n">
        <f aca="false">Parameters!$E$13*IF($N242="V",Parameters!$I$13,IF($N242="F",Parameters!$J$13,Parameters!$K$13))*(1-Parameters!$L$13*$P242)*IF($D242="V1",Parameters!$M$13,IF($D242="V2",Parameters!$N$13,Parameters!$O$13))</f>
        <v>0.291417857142857</v>
      </c>
      <c r="BN242" s="46" t="n">
        <f aca="false">BM242*(1+INDEX(Response_Table!$M$4:$M$21,MATCH($F242&amp;"|mid",Response_Table!$A$4:$A$21,0))*$R242*INDEX(Parameters!$X$13:$AA$13,1,MATCH($E242,Parameters!$X$3:$AA$3,0)))</f>
        <v>0.192209319127106</v>
      </c>
      <c r="BO242" s="46" t="n">
        <f aca="false">MAX(0,MIN(BM242*(1+INDEX(Response_Table!$M$4:$M$21,MATCH($F242&amp;"|low",Response_Table!$A$4:$A$21,0))*$R242*INDEX(Parameters!$X$13:$AA$13,1,MATCH($E242,Parameters!$X$3:$AA$3,0))),BM242*(1+INDEX(Response_Table!$M$4:$M$21,MATCH($F242&amp;"|high",Response_Table!$A$4:$A$21,0))*$R242*INDEX(Parameters!$X$13:$AA$13,1,MATCH($E242,Parameters!$X$3:$AA$3,0))))*(1-Inputs_General!$C$22*Parameters!$F$13))</f>
        <v>0.147750210920379</v>
      </c>
      <c r="BP242" s="46" t="n">
        <f aca="false">MAX(BM242*(1+INDEX(Response_Table!$M$4:$M$21,MATCH($F242&amp;"|low",Response_Table!$A$4:$A$21,0))*$R242*INDEX(Parameters!$X$13:$AA$13,1,MATCH($E242,Parameters!$X$3:$AA$3,0))),BM242*(1+INDEX(Response_Table!$M$4:$M$21,MATCH($F242&amp;"|high",Response_Table!$A$4:$A$21,0))*$R242*INDEX(Parameters!$X$13:$AA$13,1,MATCH($E242,Parameters!$X$3:$AA$3,0))))*(1+Inputs_General!$C$22*Parameters!$F$13)</f>
        <v>0.242539046709698</v>
      </c>
      <c r="BQ242" s="45" t="n">
        <f aca="false">IF(BM242=0,0,BN242/BM242-1)</f>
        <v>-0.340433969930393</v>
      </c>
      <c r="BR242" s="44" t="n">
        <f aca="false">Parameters!$E$14*IF($N242="V",Parameters!$I$14,IF($N242="F",Parameters!$J$14,Parameters!$K$14))*(1-Parameters!$L$14*$P242)*IF($D242="V1",Parameters!$M$14,IF($D242="V2",Parameters!$N$14,Parameters!$O$14))*INDEX(Context!$AC$4:$AC$51,$K242)</f>
        <v>15</v>
      </c>
      <c r="BS242" s="44" t="n">
        <f aca="false">BR242*(1+INDEX(Response_Table!$N$4:$N$21,MATCH($F242&amp;"|mid",Response_Table!$A$4:$A$21,0))*$R242*INDEX(Parameters!$X$14:$AA$14,1,MATCH($E242,Parameters!$X$3:$AA$3,0)))</f>
        <v>22.7195333557214</v>
      </c>
      <c r="BT242" s="44" t="n">
        <f aca="false">MAX(0,MIN(BR242*(1+INDEX(Response_Table!$N$4:$N$21,MATCH($F242&amp;"|low",Response_Table!$A$4:$A$21,0))*$R242*INDEX(Parameters!$X$14:$AA$14,1,MATCH($E242,Parameters!$X$3:$AA$3,0))),BR242*(1+INDEX(Response_Table!$N$4:$N$21,MATCH($F242&amp;"|high",Response_Table!$A$4:$A$21,0))*$R242*INDEX(Parameters!$X$14:$AA$14,1,MATCH($E242,Parameters!$X$3:$AA$3,0))))*(1-Inputs_General!$C$22*Parameters!$F$14))</f>
        <v>11.16892216054</v>
      </c>
      <c r="BU242" s="44" t="n">
        <f aca="false">MAX(BR242*(1+INDEX(Response_Table!$N$4:$N$21,MATCH($F242&amp;"|low",Response_Table!$A$4:$A$21,0))*$R242*INDEX(Parameters!$X$14:$AA$14,1,MATCH($E242,Parameters!$X$3:$AA$3,0))),BR242*(1+INDEX(Response_Table!$N$4:$N$21,MATCH($F242&amp;"|high",Response_Table!$A$4:$A$21,0))*$R242*INDEX(Parameters!$X$14:$AA$14,1,MATCH($E242,Parameters!$X$3:$AA$3,0))))*(1+Inputs_General!$C$22*Parameters!$F$14)</f>
        <v>34.7944652864455</v>
      </c>
      <c r="BV242" s="45" t="n">
        <f aca="false">IF(BR242=0,0,BS242/BR242-1)</f>
        <v>0.514635557048092</v>
      </c>
      <c r="BW242" s="43" t="n">
        <f aca="false">Parameters!$E$15*IF($N242="V",Parameters!$I$15,IF($N242="F",Parameters!$J$15,Parameters!$K$15))*(1-Parameters!$L$15*$P242)*IF($D242="V1",Parameters!$M$15,IF($D242="V2",Parameters!$N$15,Parameters!$O$15))</f>
        <v>9.80497142857143</v>
      </c>
      <c r="BX242" s="43" t="n">
        <f aca="false">BW242*(1+INDEX(Response_Table!$O$4:$O$21,MATCH($F242&amp;"|mid",Response_Table!$A$4:$A$21,0))*$R242*INDEX(Parameters!$X$15:$AA$15,1,MATCH($E242,Parameters!$X$3:$AA$3,0)))</f>
        <v>8.54347469532556</v>
      </c>
      <c r="BY242" s="43" t="n">
        <f aca="false">MAX(0,MIN(BW242*(1+INDEX(Response_Table!$O$4:$O$21,MATCH($F242&amp;"|low",Response_Table!$A$4:$A$21,0))*$R242*INDEX(Parameters!$X$15:$AA$15,1,MATCH($E242,Parameters!$X$3:$AA$3,0))),BW242*(1+INDEX(Response_Table!$O$4:$O$21,MATCH($F242&amp;"|high",Response_Table!$A$4:$A$21,0))*$R242*INDEX(Parameters!$X$15:$AA$15,1,MATCH($E242,Parameters!$X$3:$AA$3,0))))*(1-Inputs_General!$C$22*Parameters!$F$15))</f>
        <v>6.78121875831076</v>
      </c>
      <c r="BZ242" s="43" t="n">
        <f aca="false">MAX(BW242*(1+INDEX(Response_Table!$O$4:$O$21,MATCH($F242&amp;"|low",Response_Table!$A$4:$A$21,0))*$R242*INDEX(Parameters!$X$15:$AA$15,1,MATCH($E242,Parameters!$X$3:$AA$3,0))),BW242*(1+INDEX(Response_Table!$O$4:$O$21,MATCH($F242&amp;"|high",Response_Table!$A$4:$A$21,0))*$R242*INDEX(Parameters!$X$15:$AA$15,1,MATCH($E242,Parameters!$X$3:$AA$3,0))))*(1+Inputs_General!$C$22*Parameters!$F$15)</f>
        <v>10.3607365367675</v>
      </c>
      <c r="CA242" s="45" t="n">
        <f aca="false">IF(BW242=0,0,BX242/BW242-1)</f>
        <v>-0.128658889262023</v>
      </c>
      <c r="CB242" s="46" t="n">
        <f aca="false">BD242+BI242</f>
        <v>0.7322792285052</v>
      </c>
      <c r="CC242" s="43" t="n">
        <f aca="false">BD242/BI242</f>
        <v>2.26746613234608</v>
      </c>
      <c r="CD242" s="46" t="n">
        <f aca="false">BN242/CB242</f>
        <v>0.262480911167537</v>
      </c>
      <c r="CE242" s="43" t="n">
        <f aca="false">AE242/AO242</f>
        <v>1.4290806136188</v>
      </c>
      <c r="CF242" s="44" t="n">
        <f aca="false">AE242/AJ242</f>
        <v>36.6300012849214</v>
      </c>
      <c r="CG242" s="44" t="n">
        <f aca="false">INDEX(Context!$V$4:$V$51,$K242)</f>
        <v>32.7871428571429</v>
      </c>
      <c r="CH242" s="44" t="n">
        <f aca="false">INDEX(Context!$Y$4:$Y$51,$K242)</f>
        <v>28.36912210206</v>
      </c>
      <c r="CI242" s="44" t="n">
        <f aca="false">INDEX(Context!$Z$4:$Z$51,$K242)</f>
        <v>36.7871428571429</v>
      </c>
      <c r="CJ242" s="43" t="n">
        <f aca="false">INDEX(Context!$AA$4:$AA$51,$K242)</f>
        <v>0.247678571428571</v>
      </c>
      <c r="CK242" s="43" t="n">
        <f aca="false">MAX(0,MIN(1,1-(1-CJ242)*AO242/AN242))</f>
        <v>0.613020267602107</v>
      </c>
      <c r="CL242" s="44" t="n">
        <f aca="false">CH242+CK242*(CI242-CH242)</f>
        <v>33.529539438021</v>
      </c>
      <c r="CM242" s="44" t="n">
        <f aca="false">CH242+MAX(0,MIN(1,1-(1-CJ242)*AQ242/AN242))*(CI242-CH242)</f>
        <v>31.9029547345388</v>
      </c>
      <c r="CN242" s="44" t="n">
        <f aca="false">CH242+MAX(0,MIN(1,1-(1-CJ242)*AP242/AN242))*(CI242-CH242)</f>
        <v>34.772872265726</v>
      </c>
      <c r="CO242" s="44" t="n">
        <f aca="false">CL242-CG242</f>
        <v>0.742396580878136</v>
      </c>
      <c r="CP242" s="44" t="n">
        <f aca="false">CL242-(CH242+CJ242*(CI242-CH242))</f>
        <v>3.07545398108598</v>
      </c>
      <c r="CQ242" s="46" t="n">
        <f aca="false">CL242/CG242</f>
        <v>1.02264291780814</v>
      </c>
      <c r="CR242" s="43" t="n">
        <f aca="false">IF(CL242-CH242&lt;=0,"n/a",(CI242-CL242)/(CL242-CH242))</f>
        <v>0.631267435759679</v>
      </c>
      <c r="CS242" s="43" t="n">
        <f aca="false">IF(CI242-CL242&lt;=0,"n/a",(CL242-CH242)/(CI242-CL242))</f>
        <v>1.58411466100193</v>
      </c>
      <c r="CT242" s="43" t="n">
        <f aca="false">Inputs_General!$C$23+Inputs_General!$C$24*$I242</f>
        <v>1.9</v>
      </c>
      <c r="CU242" s="44" t="n">
        <f aca="false">3.29*CT242</f>
        <v>6.251</v>
      </c>
    </row>
    <row r="243" customFormat="false" ht="15" hidden="false" customHeight="false" outlineLevel="0" collapsed="false">
      <c r="A243" s="33" t="str">
        <f aca="false">B243&amp;"|"&amp;E243&amp;"|"&amp;F243</f>
        <v>D4V2|11/02/2026|Healthy</v>
      </c>
      <c r="B243" s="34" t="s">
        <v>353</v>
      </c>
      <c r="C243" s="33" t="s">
        <v>133</v>
      </c>
      <c r="D243" s="33" t="s">
        <v>146</v>
      </c>
      <c r="E243" s="33" t="s">
        <v>158</v>
      </c>
      <c r="F243" s="34" t="s">
        <v>275</v>
      </c>
      <c r="G243" s="33" t="s">
        <v>276</v>
      </c>
      <c r="H243" s="35" t="n">
        <f aca="false">INDEX(Severity_Classes!$C$4:$C$9,MATCH(F243,Severity_Classes!$A$4:$A$9,0))</f>
        <v>0</v>
      </c>
      <c r="I243" s="35" t="n">
        <f aca="false">INDEX(Severity_Classes!$D$4:$D$9,MATCH(F243,Severity_Classes!$A$4:$A$9,0))</f>
        <v>0</v>
      </c>
      <c r="J243" s="35" t="n">
        <f aca="false">INDEX(Severity_Classes!$E$4:$E$9,MATCH(F243,Severity_Classes!$A$4:$A$9,0))</f>
        <v>0</v>
      </c>
      <c r="K243" s="36" t="n">
        <f aca="false">MATCH(B243&amp;"|"&amp;E243,Context!$A$4:$A$51,0)</f>
        <v>41</v>
      </c>
      <c r="L243" s="36" t="n">
        <f aca="false">INDEX(Context!$H$4:$H$51,K243)</f>
        <v>33</v>
      </c>
      <c r="M243" s="36" t="n">
        <f aca="false">INDEX(Context!$I$4:$I$51,K243)</f>
        <v>6</v>
      </c>
      <c r="N243" s="33" t="str">
        <f aca="false">INDEX(Context!$L$4:$L$51,K243)</f>
        <v>V</v>
      </c>
      <c r="O243" s="33" t="str">
        <f aca="false">INDEX(Context!$M$4:$M$51,K243)</f>
        <v>3rd fully expanded leaf from top</v>
      </c>
      <c r="P243" s="37" t="n">
        <f aca="false">INDEX(Context!$R$4:$R$51,K243)</f>
        <v>0</v>
      </c>
      <c r="Q243" s="37" t="n">
        <f aca="false">INDEX(Context!$U$4:$U$51,K243)</f>
        <v>0.937791824040773</v>
      </c>
      <c r="R243" s="37" t="n">
        <f aca="false">INDEX(Context!$AD$4:$AD$51,K243)</f>
        <v>1.1</v>
      </c>
      <c r="S243" s="33" t="str">
        <f aca="false">INDEX(Context!$AI$4:$AN$51,K243,MATCH(F243,Severity_Classes!$A$4:$A$9,0))</f>
        <v>Reference: healthy (uninoculated) control plot</v>
      </c>
      <c r="T243" s="38" t="n">
        <f aca="false">Parameters!$E$4*IF($N243="V",Parameters!$I$4,IF($N243="F",Parameters!$J$4,Parameters!$K$4))*(1-Parameters!$L$4*$P243)*IF($D243="V1",Parameters!$M$4,IF($D243="V2",Parameters!$N$4,Parameters!$O$4))</f>
        <v>86</v>
      </c>
      <c r="U243" s="38" t="n">
        <f aca="false">MIN(100,T243*(1+INDEX(Response_Table!$E$4:$E$21,MATCH($F243&amp;"|mid",Response_Table!$A$4:$A$21,0))*$R243*INDEX(Parameters!$X$4:$AA$4,1,MATCH($E243,Parameters!$X$3:$AA$3,0))))</f>
        <v>86</v>
      </c>
      <c r="V243" s="38" t="n">
        <f aca="false">MAX(0,MIN(T243*(1+INDEX(Response_Table!$E$4:$E$21,MATCH($F243&amp;"|low",Response_Table!$A$4:$A$21,0))*$R243*INDEX(Parameters!$X$4:$AA$4,1,MATCH($E243,Parameters!$X$3:$AA$3,0))),T243*(1+INDEX(Response_Table!$E$4:$E$21,MATCH($F243&amp;"|high",Response_Table!$A$4:$A$21,0))*$R243*INDEX(Parameters!$X$4:$AA$4,1,MATCH($E243,Parameters!$X$3:$AA$3,0))))*(1-Inputs_General!$C$22*Parameters!$F$4))</f>
        <v>80.3412</v>
      </c>
      <c r="W243" s="38" t="n">
        <f aca="false">MIN(100,MAX(T243*(1+INDEX(Response_Table!$E$4:$E$21,MATCH($F243&amp;"|low",Response_Table!$A$4:$A$21,0))*$R243*INDEX(Parameters!$X$4:$AA$4,1,MATCH($E243,Parameters!$X$3:$AA$3,0))),T243*(1+INDEX(Response_Table!$E$4:$E$21,MATCH($F243&amp;"|high",Response_Table!$A$4:$A$21,0))*$R243*INDEX(Parameters!$X$4:$AA$4,1,MATCH($E243,Parameters!$X$3:$AA$3,0))))*(1+Inputs_General!$C$22*Parameters!$F$4))</f>
        <v>91.6588</v>
      </c>
      <c r="X243" s="39" t="n">
        <f aca="false">IF(T243=0,0,U243/T243-1)</f>
        <v>0</v>
      </c>
      <c r="Y243" s="38" t="n">
        <f aca="false">Parameters!$E$5*IF($N243="V",Parameters!$I$5,IF($N243="F",Parameters!$J$5,Parameters!$K$5))*(1-Parameters!$L$5*$P243)*IF($D243="V1",Parameters!$M$5,IF($D243="V2",Parameters!$N$5,Parameters!$O$5))</f>
        <v>72</v>
      </c>
      <c r="Z243" s="38" t="n">
        <f aca="false">MIN(100,Y243*(1+INDEX(Response_Table!$F$4:$F$21,MATCH($F243&amp;"|mid",Response_Table!$A$4:$A$21,0))*$R243*INDEX(Parameters!$X$5:$AA$5,1,MATCH($E243,Parameters!$X$3:$AA$3,0))))</f>
        <v>72</v>
      </c>
      <c r="AA243" s="38" t="n">
        <f aca="false">MAX(0,MIN(Y243*(1+INDEX(Response_Table!$F$4:$F$21,MATCH($F243&amp;"|low",Response_Table!$A$4:$A$21,0))*$R243*INDEX(Parameters!$X$5:$AA$5,1,MATCH($E243,Parameters!$X$3:$AA$3,0))),Y243*(1+INDEX(Response_Table!$F$4:$F$21,MATCH($F243&amp;"|high",Response_Table!$A$4:$A$21,0))*$R243*INDEX(Parameters!$X$5:$AA$5,1,MATCH($E243,Parameters!$X$3:$AA$3,0))))*(1-Inputs_General!$C$22*Parameters!$F$5))</f>
        <v>63.7092</v>
      </c>
      <c r="AB243" s="38" t="n">
        <f aca="false">MIN(100,MAX(Y243*(1+INDEX(Response_Table!$F$4:$F$21,MATCH($F243&amp;"|low",Response_Table!$A$4:$A$21,0))*$R243*INDEX(Parameters!$X$5:$AA$5,1,MATCH($E243,Parameters!$X$3:$AA$3,0))),Y243*(1+INDEX(Response_Table!$F$4:$F$21,MATCH($F243&amp;"|high",Response_Table!$A$4:$A$21,0))*$R243*INDEX(Parameters!$X$5:$AA$5,1,MATCH($E243,Parameters!$X$3:$AA$3,0))))*(1+Inputs_General!$C$22*Parameters!$F$5))</f>
        <v>80.2908</v>
      </c>
      <c r="AC243" s="39" t="n">
        <f aca="false">IF(Y243=0,0,Z243/Y243-1)</f>
        <v>0</v>
      </c>
      <c r="AD243" s="38" t="n">
        <f aca="false">Parameters!$E$6*IF($N243="V",Parameters!$I$6,IF($N243="F",Parameters!$J$6,Parameters!$K$6))*(1-Parameters!$L$6*$P243)*IF($D243="V1",Parameters!$M$6,IF($D243="V2",Parameters!$N$6,Parameters!$O$6))</f>
        <v>19</v>
      </c>
      <c r="AE243" s="38" t="n">
        <f aca="false">AD243*(1+INDEX(Response_Table!$G$4:$G$21,MATCH($F243&amp;"|mid",Response_Table!$A$4:$A$21,0))*$R243*INDEX(Parameters!$X$6:$AA$6,1,MATCH($E243,Parameters!$X$3:$AA$3,0)))</f>
        <v>19</v>
      </c>
      <c r="AF243" s="38" t="n">
        <f aca="false">MAX(0,MIN(AD243*(1+INDEX(Response_Table!$G$4:$G$21,MATCH($F243&amp;"|low",Response_Table!$A$4:$A$21,0))*$R243*INDEX(Parameters!$X$6:$AA$6,1,MATCH($E243,Parameters!$X$3:$AA$3,0))),AD243*(1+INDEX(Response_Table!$G$4:$G$21,MATCH($F243&amp;"|high",Response_Table!$A$4:$A$21,0))*$R243*INDEX(Parameters!$X$6:$AA$6,1,MATCH($E243,Parameters!$X$3:$AA$3,0))))*(1-Inputs_General!$C$22*Parameters!$F$6))</f>
        <v>15.2494</v>
      </c>
      <c r="AG243" s="38" t="n">
        <f aca="false">MAX(AD243*(1+INDEX(Response_Table!$G$4:$G$21,MATCH($F243&amp;"|low",Response_Table!$A$4:$A$21,0))*$R243*INDEX(Parameters!$X$6:$AA$6,1,MATCH($E243,Parameters!$X$3:$AA$3,0))),AD243*(1+INDEX(Response_Table!$G$4:$G$21,MATCH($F243&amp;"|high",Response_Table!$A$4:$A$21,0))*$R243*INDEX(Parameters!$X$6:$AA$6,1,MATCH($E243,Parameters!$X$3:$AA$3,0))))*(1+Inputs_General!$C$22*Parameters!$F$6)</f>
        <v>22.7506</v>
      </c>
      <c r="AH243" s="39" t="n">
        <f aca="false">IF(AD243=0,0,AE243/AD243-1)</f>
        <v>0</v>
      </c>
      <c r="AI243" s="40" t="n">
        <f aca="false">Parameters!$E$7*IF($N243="V",Parameters!$I$7,IF($N243="F",Parameters!$J$7,Parameters!$K$7))*(1-Parameters!$L$7*$P243)*IF($D243="V1",Parameters!$M$7,IF($D243="V2",Parameters!$N$7,Parameters!$O$7))*POWER($Q243/Inputs_General!$C$26,-Inputs_General!$C$25)</f>
        <v>0.464685683730118</v>
      </c>
      <c r="AJ243" s="40" t="n">
        <f aca="false">AI243*(1+INDEX(Response_Table!$H$4:$H$21,MATCH($F243&amp;"|mid",Response_Table!$A$4:$A$21,0))*$R243*INDEX(Parameters!$X$7:$AA$7,1,MATCH($E243,Parameters!$X$3:$AA$3,0)))</f>
        <v>0.464685683730118</v>
      </c>
      <c r="AK243" s="40" t="n">
        <f aca="false">MAX(0,MIN(AI243*(1+INDEX(Response_Table!$H$4:$H$21,MATCH($F243&amp;"|low",Response_Table!$A$4:$A$21,0))*$R243*INDEX(Parameters!$X$7:$AA$7,1,MATCH($E243,Parameters!$X$3:$AA$3,0))),AI243*(1+INDEX(Response_Table!$H$4:$H$21,MATCH($F243&amp;"|high",Response_Table!$A$4:$A$21,0))*$R243*INDEX(Parameters!$X$7:$AA$7,1,MATCH($E243,Parameters!$X$3:$AA$3,0))))*(1-Inputs_General!$C$22*Parameters!$F$7))</f>
        <v>0.32709225277763</v>
      </c>
      <c r="AL243" s="40" t="n">
        <f aca="false">MAX(AI243*(1+INDEX(Response_Table!$H$4:$H$21,MATCH($F243&amp;"|low",Response_Table!$A$4:$A$21,0))*$R243*INDEX(Parameters!$X$7:$AA$7,1,MATCH($E243,Parameters!$X$3:$AA$3,0))),AI243*(1+INDEX(Response_Table!$H$4:$H$21,MATCH($F243&amp;"|high",Response_Table!$A$4:$A$21,0))*$R243*INDEX(Parameters!$X$7:$AA$7,1,MATCH($E243,Parameters!$X$3:$AA$3,0))))*(1+Inputs_General!$C$22*Parameters!$F$7)</f>
        <v>0.602279114682606</v>
      </c>
      <c r="AM243" s="39" t="n">
        <f aca="false">IF(AI243=0,0,AJ243/AI243-1)</f>
        <v>0</v>
      </c>
      <c r="AN243" s="37" t="n">
        <f aca="false">AI243*$Q243/Inputs_General!$C$13*1000</f>
        <v>4.38850387664553</v>
      </c>
      <c r="AO243" s="37" t="n">
        <f aca="false">AJ243*$Q243/Inputs_General!$C$13*1000*(1+Inputs_General!$C$21*$I243)</f>
        <v>4.38850387664553</v>
      </c>
      <c r="AP243" s="37" t="n">
        <f aca="false">AK243*$Q243/Inputs_General!$C$13*1000*(1+Inputs_General!$C$21*$H243)</f>
        <v>3.08906787877079</v>
      </c>
      <c r="AQ243" s="37" t="n">
        <f aca="false">AL243*$Q243/Inputs_General!$C$13*1000*(1+Inputs_General!$C$21*$J243)</f>
        <v>5.68793987452027</v>
      </c>
      <c r="AR243" s="39" t="n">
        <f aca="false">IF(AN243=0,0,AO243/AN243-1)</f>
        <v>0</v>
      </c>
      <c r="AS243" s="36" t="n">
        <f aca="false">Parameters!$E$9*IF($N243="V",Parameters!$I$9,IF($N243="F",Parameters!$J$9,Parameters!$K$9))*(1-Parameters!$L$9*$P243)*IF($D243="V1",Parameters!$M$9,IF($D243="V2",Parameters!$N$9,Parameters!$O$9))</f>
        <v>285</v>
      </c>
      <c r="AT243" s="36" t="n">
        <f aca="false">AS243*(1+INDEX(Response_Table!$I$4:$I$21,MATCH($F243&amp;"|mid",Response_Table!$A$4:$A$21,0))*$R243*INDEX(Parameters!$X$9:$AA$9,1,MATCH($E243,Parameters!$X$3:$AA$3,0)))</f>
        <v>285</v>
      </c>
      <c r="AU243" s="36" t="n">
        <f aca="false">MAX(0,MIN(AS243*(1+INDEX(Response_Table!$I$4:$I$21,MATCH($F243&amp;"|low",Response_Table!$A$4:$A$21,0))*$R243*INDEX(Parameters!$X$9:$AA$9,1,MATCH($E243,Parameters!$X$3:$AA$3,0))),AS243*(1+INDEX(Response_Table!$I$4:$I$21,MATCH($F243&amp;"|high",Response_Table!$A$4:$A$21,0))*$R243*INDEX(Parameters!$X$9:$AA$9,1,MATCH($E243,Parameters!$X$3:$AA$3,0))))*(1-Inputs_General!$C$22*Parameters!$F$9))</f>
        <v>256.8705</v>
      </c>
      <c r="AV243" s="36" t="n">
        <f aca="false">MAX(AS243*(1+INDEX(Response_Table!$I$4:$I$21,MATCH($F243&amp;"|low",Response_Table!$A$4:$A$21,0))*$R243*INDEX(Parameters!$X$9:$AA$9,1,MATCH($E243,Parameters!$X$3:$AA$3,0))),AS243*(1+INDEX(Response_Table!$I$4:$I$21,MATCH($F243&amp;"|high",Response_Table!$A$4:$A$21,0))*$R243*INDEX(Parameters!$X$9:$AA$9,1,MATCH($E243,Parameters!$X$3:$AA$3,0))))*(1+Inputs_General!$C$22*Parameters!$F$9)</f>
        <v>313.1295</v>
      </c>
      <c r="AW243" s="39" t="n">
        <f aca="false">IF(AS243=0,0,AT243/AS243-1)</f>
        <v>0</v>
      </c>
      <c r="AX243" s="37" t="n">
        <f aca="false">INDEX(Context!$AB$4:$AB$51,$K243)</f>
        <v>0.458305270557464</v>
      </c>
      <c r="AY243" s="37" t="n">
        <f aca="false">AX243*(1+INDEX(Response_Table!$J$4:$J$21,MATCH($F243&amp;"|mid",Response_Table!$A$4:$A$21,0))*$R243*INDEX(Parameters!$X$10:$AA$10,1,MATCH($E243,Parameters!$X$3:$AA$3,0)))</f>
        <v>0.458305270557464</v>
      </c>
      <c r="AZ243" s="37" t="n">
        <f aca="false">MAX(0,MIN(AX243*(1+INDEX(Response_Table!$J$4:$J$21,MATCH($F243&amp;"|low",Response_Table!$A$4:$A$21,0))*$R243*INDEX(Parameters!$X$10:$AA$10,1,MATCH($E243,Parameters!$X$3:$AA$3,0))),AX243*(1+INDEX(Response_Table!$J$4:$J$21,MATCH($F243&amp;"|high",Response_Table!$A$4:$A$21,0))*$R243*INDEX(Parameters!$X$10:$AA$10,1,MATCH($E243,Parameters!$X$3:$AA$3,0))))*(1-Inputs_General!$C$22*Parameters!$F$10))</f>
        <v>0.367835810149421</v>
      </c>
      <c r="BA243" s="37" t="n">
        <f aca="false">MAX(AX243*(1+INDEX(Response_Table!$J$4:$J$21,MATCH($F243&amp;"|low",Response_Table!$A$4:$A$21,0))*$R243*INDEX(Parameters!$X$10:$AA$10,1,MATCH($E243,Parameters!$X$3:$AA$3,0))),AX243*(1+INDEX(Response_Table!$J$4:$J$21,MATCH($F243&amp;"|high",Response_Table!$A$4:$A$21,0))*$R243*INDEX(Parameters!$X$10:$AA$10,1,MATCH($E243,Parameters!$X$3:$AA$3,0))))*(1+Inputs_General!$C$22*Parameters!$F$10)</f>
        <v>0.548774730965507</v>
      </c>
      <c r="BB243" s="39" t="n">
        <f aca="false">IF(AX243=0,0,AY243/AX243-1)</f>
        <v>0</v>
      </c>
      <c r="BC243" s="40" t="n">
        <f aca="false">Parameters!$E$11*IF($N243="V",Parameters!$I$11,IF($N243="F",Parameters!$J$11,Parameters!$K$11))*(1-Parameters!$L$11*$P243)*IF($D243="V1",Parameters!$M$11,IF($D243="V2",Parameters!$N$11,Parameters!$O$11))</f>
        <v>1.1875</v>
      </c>
      <c r="BD243" s="40" t="n">
        <f aca="false">BC243*(1+INDEX(Response_Table!$K$4:$K$21,MATCH($F243&amp;"|mid",Response_Table!$A$4:$A$21,0))*$R243*INDEX(Parameters!$X$11:$AA$11,1,MATCH($E243,Parameters!$X$3:$AA$3,0)))</f>
        <v>1.1875</v>
      </c>
      <c r="BE243" s="40" t="n">
        <f aca="false">MAX(0,MIN(BC243*(1+INDEX(Response_Table!$K$4:$K$21,MATCH($F243&amp;"|low",Response_Table!$A$4:$A$21,0))*$R243*INDEX(Parameters!$X$11:$AA$11,1,MATCH($E243,Parameters!$X$3:$AA$3,0))),BC243*(1+INDEX(Response_Table!$K$4:$K$21,MATCH($F243&amp;"|high",Response_Table!$A$4:$A$21,0))*$R243*INDEX(Parameters!$X$11:$AA$11,1,MATCH($E243,Parameters!$X$3:$AA$3,0))))*(1-Inputs_General!$C$22*Parameters!$F$11))</f>
        <v>0.99215625</v>
      </c>
      <c r="BF243" s="40" t="n">
        <f aca="false">MAX(BC243*(1+INDEX(Response_Table!$K$4:$K$21,MATCH($F243&amp;"|low",Response_Table!$A$4:$A$21,0))*$R243*INDEX(Parameters!$X$11:$AA$11,1,MATCH($E243,Parameters!$X$3:$AA$3,0))),BC243*(1+INDEX(Response_Table!$K$4:$K$21,MATCH($F243&amp;"|high",Response_Table!$A$4:$A$21,0))*$R243*INDEX(Parameters!$X$11:$AA$11,1,MATCH($E243,Parameters!$X$3:$AA$3,0))))*(1+Inputs_General!$C$22*Parameters!$F$11)</f>
        <v>1.38284375</v>
      </c>
      <c r="BG243" s="39" t="n">
        <f aca="false">IF(BC243=0,0,BD243/BC243-1)</f>
        <v>0</v>
      </c>
      <c r="BH243" s="40" t="n">
        <f aca="false">Parameters!$E$12*IF($N243="V",Parameters!$I$12,IF($N243="F",Parameters!$J$12,Parameters!$K$12))*(1-Parameters!$L$12*$P243)*IF($D243="V1",Parameters!$M$12,IF($D243="V2",Parameters!$N$12,Parameters!$O$12))</f>
        <v>0.4275</v>
      </c>
      <c r="BI243" s="40" t="n">
        <f aca="false">BH243*(1+INDEX(Response_Table!$L$4:$L$21,MATCH($F243&amp;"|mid",Response_Table!$A$4:$A$21,0))*$R243*INDEX(Parameters!$X$12:$AA$12,1,MATCH($E243,Parameters!$X$3:$AA$3,0)))</f>
        <v>0.4275</v>
      </c>
      <c r="BJ243" s="40" t="n">
        <f aca="false">MAX(0,MIN(BH243*(1+INDEX(Response_Table!$L$4:$L$21,MATCH($F243&amp;"|low",Response_Table!$A$4:$A$21,0))*$R243*INDEX(Parameters!$X$12:$AA$12,1,MATCH($E243,Parameters!$X$3:$AA$3,0))),BH243*(1+INDEX(Response_Table!$L$4:$L$21,MATCH($F243&amp;"|high",Response_Table!$A$4:$A$21,0))*$R243*INDEX(Parameters!$X$12:$AA$12,1,MATCH($E243,Parameters!$X$3:$AA$3,0))))*(1-Inputs_General!$C$22*Parameters!$F$12))</f>
        <v>0.3431115</v>
      </c>
      <c r="BK243" s="40" t="n">
        <f aca="false">MAX(BH243*(1+INDEX(Response_Table!$L$4:$L$21,MATCH($F243&amp;"|low",Response_Table!$A$4:$A$21,0))*$R243*INDEX(Parameters!$X$12:$AA$12,1,MATCH($E243,Parameters!$X$3:$AA$3,0))),BH243*(1+INDEX(Response_Table!$L$4:$L$21,MATCH($F243&amp;"|high",Response_Table!$A$4:$A$21,0))*$R243*INDEX(Parameters!$X$12:$AA$12,1,MATCH($E243,Parameters!$X$3:$AA$3,0))))*(1+Inputs_General!$C$22*Parameters!$F$12)</f>
        <v>0.5118885</v>
      </c>
      <c r="BL243" s="39" t="n">
        <f aca="false">IF(BH243=0,0,BI243/BH243-1)</f>
        <v>0</v>
      </c>
      <c r="BM243" s="40" t="n">
        <f aca="false">Parameters!$E$13*IF($N243="V",Parameters!$I$13,IF($N243="F",Parameters!$J$13,Parameters!$K$13))*(1-Parameters!$L$13*$P243)*IF($D243="V1",Parameters!$M$13,IF($D243="V2",Parameters!$N$13,Parameters!$O$13))</f>
        <v>0.285</v>
      </c>
      <c r="BN243" s="40" t="n">
        <f aca="false">BM243*(1+INDEX(Response_Table!$M$4:$M$21,MATCH($F243&amp;"|mid",Response_Table!$A$4:$A$21,0))*$R243*INDEX(Parameters!$X$13:$AA$13,1,MATCH($E243,Parameters!$X$3:$AA$3,0)))</f>
        <v>0.285</v>
      </c>
      <c r="BO243" s="40" t="n">
        <f aca="false">MAX(0,MIN(BM243*(1+INDEX(Response_Table!$M$4:$M$21,MATCH($F243&amp;"|low",Response_Table!$A$4:$A$21,0))*$R243*INDEX(Parameters!$X$13:$AA$13,1,MATCH($E243,Parameters!$X$3:$AA$3,0))),BM243*(1+INDEX(Response_Table!$M$4:$M$21,MATCH($F243&amp;"|high",Response_Table!$A$4:$A$21,0))*$R243*INDEX(Parameters!$X$13:$AA$13,1,MATCH($E243,Parameters!$X$3:$AA$3,0))))*(1-Inputs_General!$C$22*Parameters!$F$13))</f>
        <v>0.228741</v>
      </c>
      <c r="BP243" s="40" t="n">
        <f aca="false">MAX(BM243*(1+INDEX(Response_Table!$M$4:$M$21,MATCH($F243&amp;"|low",Response_Table!$A$4:$A$21,0))*$R243*INDEX(Parameters!$X$13:$AA$13,1,MATCH($E243,Parameters!$X$3:$AA$3,0))),BM243*(1+INDEX(Response_Table!$M$4:$M$21,MATCH($F243&amp;"|high",Response_Table!$A$4:$A$21,0))*$R243*INDEX(Parameters!$X$13:$AA$13,1,MATCH($E243,Parameters!$X$3:$AA$3,0))))*(1+Inputs_General!$C$22*Parameters!$F$13)</f>
        <v>0.341259</v>
      </c>
      <c r="BQ243" s="39" t="n">
        <f aca="false">IF(BM243=0,0,BN243/BM243-1)</f>
        <v>0</v>
      </c>
      <c r="BR243" s="38" t="n">
        <f aca="false">Parameters!$E$14*IF($N243="V",Parameters!$I$14,IF($N243="F",Parameters!$J$14,Parameters!$K$14))*(1-Parameters!$L$14*$P243)*IF($D243="V1",Parameters!$M$14,IF($D243="V2",Parameters!$N$14,Parameters!$O$14))*INDEX(Context!$AC$4:$AC$51,$K243)</f>
        <v>23.1</v>
      </c>
      <c r="BS243" s="38" t="n">
        <f aca="false">BR243*(1+INDEX(Response_Table!$N$4:$N$21,MATCH($F243&amp;"|mid",Response_Table!$A$4:$A$21,0))*$R243*INDEX(Parameters!$X$14:$AA$14,1,MATCH($E243,Parameters!$X$3:$AA$3,0)))</f>
        <v>23.1</v>
      </c>
      <c r="BT243" s="38" t="n">
        <f aca="false">MAX(0,MIN(BR243*(1+INDEX(Response_Table!$N$4:$N$21,MATCH($F243&amp;"|low",Response_Table!$A$4:$A$21,0))*$R243*INDEX(Parameters!$X$14:$AA$14,1,MATCH($E243,Parameters!$X$3:$AA$3,0))),BR243*(1+INDEX(Response_Table!$N$4:$N$21,MATCH($F243&amp;"|high",Response_Table!$A$4:$A$21,0))*$R243*INDEX(Parameters!$X$14:$AA$14,1,MATCH($E243,Parameters!$X$3:$AA$3,0))))*(1-Inputs_General!$C$22*Parameters!$F$14))</f>
        <v>11.70015</v>
      </c>
      <c r="BU243" s="38" t="n">
        <f aca="false">MAX(BR243*(1+INDEX(Response_Table!$N$4:$N$21,MATCH($F243&amp;"|low",Response_Table!$A$4:$A$21,0))*$R243*INDEX(Parameters!$X$14:$AA$14,1,MATCH($E243,Parameters!$X$3:$AA$3,0))),BR243*(1+INDEX(Response_Table!$N$4:$N$21,MATCH($F243&amp;"|high",Response_Table!$A$4:$A$21,0))*$R243*INDEX(Parameters!$X$14:$AA$14,1,MATCH($E243,Parameters!$X$3:$AA$3,0))))*(1+Inputs_General!$C$22*Parameters!$F$14)</f>
        <v>34.49985</v>
      </c>
      <c r="BV243" s="39" t="n">
        <f aca="false">IF(BR243=0,0,BS243/BR243-1)</f>
        <v>0</v>
      </c>
      <c r="BW243" s="37" t="n">
        <f aca="false">Parameters!$E$15*IF($N243="V",Parameters!$I$15,IF($N243="F",Parameters!$J$15,Parameters!$K$15))*(1-Parameters!$L$15*$P243)*IF($D243="V1",Parameters!$M$15,IF($D243="V2",Parameters!$N$15,Parameters!$O$15))</f>
        <v>11.664</v>
      </c>
      <c r="BX243" s="37" t="n">
        <f aca="false">BW243*(1+INDEX(Response_Table!$O$4:$O$21,MATCH($F243&amp;"|mid",Response_Table!$A$4:$A$21,0))*$R243*INDEX(Parameters!$X$15:$AA$15,1,MATCH($E243,Parameters!$X$3:$AA$3,0)))</f>
        <v>11.664</v>
      </c>
      <c r="BY243" s="37" t="n">
        <f aca="false">MAX(0,MIN(BW243*(1+INDEX(Response_Table!$O$4:$O$21,MATCH($F243&amp;"|low",Response_Table!$A$4:$A$21,0))*$R243*INDEX(Parameters!$X$15:$AA$15,1,MATCH($E243,Parameters!$X$3:$AA$3,0))),BW243*(1+INDEX(Response_Table!$O$4:$O$21,MATCH($F243&amp;"|high",Response_Table!$A$4:$A$21,0))*$R243*INDEX(Parameters!$X$15:$AA$15,1,MATCH($E243,Parameters!$X$3:$AA$3,0))))*(1-Inputs_General!$C$22*Parameters!$F$15))</f>
        <v>9.3615264</v>
      </c>
      <c r="BZ243" s="37" t="n">
        <f aca="false">MAX(BW243*(1+INDEX(Response_Table!$O$4:$O$21,MATCH($F243&amp;"|low",Response_Table!$A$4:$A$21,0))*$R243*INDEX(Parameters!$X$15:$AA$15,1,MATCH($E243,Parameters!$X$3:$AA$3,0))),BW243*(1+INDEX(Response_Table!$O$4:$O$21,MATCH($F243&amp;"|high",Response_Table!$A$4:$A$21,0))*$R243*INDEX(Parameters!$X$15:$AA$15,1,MATCH($E243,Parameters!$X$3:$AA$3,0))))*(1+Inputs_General!$C$22*Parameters!$F$15)</f>
        <v>13.9664736</v>
      </c>
      <c r="CA243" s="39" t="n">
        <f aca="false">IF(BW243=0,0,BX243/BW243-1)</f>
        <v>0</v>
      </c>
      <c r="CB243" s="40" t="n">
        <f aca="false">BD243+BI243</f>
        <v>1.615</v>
      </c>
      <c r="CC243" s="37" t="n">
        <f aca="false">BD243/BI243</f>
        <v>2.77777777777778</v>
      </c>
      <c r="CD243" s="40" t="n">
        <f aca="false">BN243/CB243</f>
        <v>0.176470588235294</v>
      </c>
      <c r="CE243" s="37" t="n">
        <f aca="false">AE243/AO243</f>
        <v>4.32949372589439</v>
      </c>
      <c r="CF243" s="38" t="n">
        <f aca="false">AE243/AJ243</f>
        <v>40.887853155887</v>
      </c>
      <c r="CG243" s="38" t="n">
        <f aca="false">INDEX(Context!$V$4:$V$51,$K243)</f>
        <v>22.6257142857143</v>
      </c>
      <c r="CH243" s="38" t="n">
        <f aca="false">INDEX(Context!$Y$4:$Y$51,$K243)</f>
        <v>21.3177449518561</v>
      </c>
      <c r="CI243" s="38" t="n">
        <f aca="false">INDEX(Context!$Z$4:$Z$51,$K243)</f>
        <v>26.6257142857143</v>
      </c>
      <c r="CJ243" s="37" t="n">
        <f aca="false">INDEX(Context!$AA$4:$AA$51,$K243)</f>
        <v>0.12</v>
      </c>
      <c r="CK243" s="37" t="n">
        <f aca="false">MAX(0,MIN(1,1-(1-CJ243)*AO243/AN243))</f>
        <v>0.12</v>
      </c>
      <c r="CL243" s="38" t="n">
        <f aca="false">CH243+CK243*(CI243-CH243)</f>
        <v>21.954701271919</v>
      </c>
      <c r="CM243" s="38" t="n">
        <f aca="false">CH243+MAX(0,MIN(1,1-(1-CJ243)*AQ243/AN243))*(CI243-CH243)</f>
        <v>21.3177449518561</v>
      </c>
      <c r="CN243" s="38" t="n">
        <f aca="false">CH243+MAX(0,MIN(1,1-(1-CJ243)*AP243/AN243))*(CI243-CH243)</f>
        <v>23.3377882253038</v>
      </c>
      <c r="CO243" s="38" t="n">
        <f aca="false">CL243-CG243</f>
        <v>-0.67101301379525</v>
      </c>
      <c r="CP243" s="38" t="n">
        <f aca="false">CL243-(CH243+CJ243*(CI243-CH243))</f>
        <v>0</v>
      </c>
      <c r="CQ243" s="40" t="n">
        <f aca="false">CL243/CG243</f>
        <v>0.970342902534621</v>
      </c>
      <c r="CR243" s="37" t="n">
        <f aca="false">IF(CL243-CH243&lt;=0,"n/a",(CI243-CL243)/(CL243-CH243))</f>
        <v>7.33333333333333</v>
      </c>
      <c r="CS243" s="37" t="n">
        <f aca="false">IF(CI243-CL243&lt;=0,"n/a",(CL243-CH243)/(CI243-CL243))</f>
        <v>0.136363636363636</v>
      </c>
      <c r="CT243" s="37" t="n">
        <f aca="false">Inputs_General!$C$23+Inputs_General!$C$24*$I243</f>
        <v>0.6</v>
      </c>
      <c r="CU243" s="38" t="n">
        <f aca="false">3.29*CT243</f>
        <v>1.974</v>
      </c>
    </row>
    <row r="244" customFormat="false" ht="15" hidden="false" customHeight="false" outlineLevel="0" collapsed="false">
      <c r="A244" s="9" t="str">
        <f aca="false">B244&amp;"|"&amp;E244&amp;"|"&amp;F244</f>
        <v>D4V2|11/02/2026|Very low</v>
      </c>
      <c r="B244" s="7" t="s">
        <v>353</v>
      </c>
      <c r="C244" s="9" t="s">
        <v>133</v>
      </c>
      <c r="D244" s="9" t="s">
        <v>146</v>
      </c>
      <c r="E244" s="9" t="s">
        <v>158</v>
      </c>
      <c r="F244" s="7" t="s">
        <v>277</v>
      </c>
      <c r="G244" s="9" t="s">
        <v>278</v>
      </c>
      <c r="H244" s="41" t="n">
        <f aca="false">INDEX(Severity_Classes!$C$4:$C$9,MATCH(F244,Severity_Classes!$A$4:$A$9,0))</f>
        <v>0.01</v>
      </c>
      <c r="I244" s="41" t="n">
        <f aca="false">INDEX(Severity_Classes!$D$4:$D$9,MATCH(F244,Severity_Classes!$A$4:$A$9,0))</f>
        <v>0.03</v>
      </c>
      <c r="J244" s="41" t="n">
        <f aca="false">INDEX(Severity_Classes!$E$4:$E$9,MATCH(F244,Severity_Classes!$A$4:$A$9,0))</f>
        <v>0.05</v>
      </c>
      <c r="K244" s="42" t="n">
        <f aca="false">MATCH(B244&amp;"|"&amp;E244,Context!$A$4:$A$51,0)</f>
        <v>41</v>
      </c>
      <c r="L244" s="42" t="n">
        <f aca="false">INDEX(Context!$H$4:$H$51,K244)</f>
        <v>33</v>
      </c>
      <c r="M244" s="42" t="n">
        <f aca="false">INDEX(Context!$I$4:$I$51,K244)</f>
        <v>6</v>
      </c>
      <c r="N244" s="9" t="str">
        <f aca="false">INDEX(Context!$L$4:$L$51,K244)</f>
        <v>V</v>
      </c>
      <c r="O244" s="9" t="str">
        <f aca="false">INDEX(Context!$M$4:$M$51,K244)</f>
        <v>3rd fully expanded leaf from top</v>
      </c>
      <c r="P244" s="43" t="n">
        <f aca="false">INDEX(Context!$R$4:$R$51,K244)</f>
        <v>0</v>
      </c>
      <c r="Q244" s="43" t="n">
        <f aca="false">INDEX(Context!$U$4:$U$51,K244)</f>
        <v>0.937791824040773</v>
      </c>
      <c r="R244" s="43" t="n">
        <f aca="false">INDEX(Context!$AD$4:$AD$51,K244)</f>
        <v>1.1</v>
      </c>
      <c r="S244" s="9" t="str">
        <f aca="false">INDEX(Context!$AI$4:$AN$51,K244,MATCH(F244,Severity_Classes!$A$4:$A$9,0))</f>
        <v>Likely</v>
      </c>
      <c r="T244" s="44" t="n">
        <f aca="false">Parameters!$E$4*IF($N244="V",Parameters!$I$4,IF($N244="F",Parameters!$J$4,Parameters!$K$4))*(1-Parameters!$L$4*$P244)*IF($D244="V1",Parameters!$M$4,IF($D244="V2",Parameters!$N$4,Parameters!$O$4))</f>
        <v>86</v>
      </c>
      <c r="U244" s="44" t="n">
        <f aca="false">MIN(100,T244*(1+INDEX(Response_Table!$E$4:$E$21,MATCH($F244&amp;"|mid",Response_Table!$A$4:$A$21,0))*$R244*INDEX(Parameters!$X$4:$AA$4,1,MATCH($E244,Parameters!$X$3:$AA$3,0))))</f>
        <v>85.7960736747255</v>
      </c>
      <c r="V244" s="44" t="n">
        <f aca="false">MAX(0,MIN(T244*(1+INDEX(Response_Table!$E$4:$E$21,MATCH($F244&amp;"|low",Response_Table!$A$4:$A$21,0))*$R244*INDEX(Parameters!$X$4:$AA$4,1,MATCH($E244,Parameters!$X$3:$AA$3,0))),T244*(1+INDEX(Response_Table!$E$4:$E$21,MATCH($F244&amp;"|high",Response_Table!$A$4:$A$21,0))*$R244*INDEX(Parameters!$X$4:$AA$4,1,MATCH($E244,Parameters!$X$3:$AA$3,0))))*(1-Inputs_General!$C$22*Parameters!$F$4))</f>
        <v>79.9985328411285</v>
      </c>
      <c r="W244" s="44" t="n">
        <f aca="false">MIN(100,MAX(T244*(1+INDEX(Response_Table!$E$4:$E$21,MATCH($F244&amp;"|low",Response_Table!$A$4:$A$21,0))*$R244*INDEX(Parameters!$X$4:$AA$4,1,MATCH($E244,Parameters!$X$3:$AA$3,0))),T244*(1+INDEX(Response_Table!$E$4:$E$21,MATCH($F244&amp;"|high",Response_Table!$A$4:$A$21,0))*$R244*INDEX(Parameters!$X$4:$AA$4,1,MATCH($E244,Parameters!$X$3:$AA$3,0))))*(1+Inputs_General!$C$22*Parameters!$F$4))</f>
        <v>91.591628476639</v>
      </c>
      <c r="X244" s="45" t="n">
        <f aca="false">IF(T244=0,0,U244/T244-1)</f>
        <v>-0.00237123634040082</v>
      </c>
      <c r="Y244" s="44" t="n">
        <f aca="false">Parameters!$E$5*IF($N244="V",Parameters!$I$5,IF($N244="F",Parameters!$J$5,Parameters!$K$5))*(1-Parameters!$L$5*$P244)*IF($D244="V1",Parameters!$M$5,IF($D244="V2",Parameters!$N$5,Parameters!$O$5))</f>
        <v>72</v>
      </c>
      <c r="Z244" s="44" t="n">
        <f aca="false">MIN(100,Y244*(1+INDEX(Response_Table!$F$4:$F$21,MATCH($F244&amp;"|mid",Response_Table!$A$4:$A$21,0))*$R244*INDEX(Parameters!$X$5:$AA$5,1,MATCH($E244,Parameters!$X$3:$AA$3,0))))</f>
        <v>71.4549954701956</v>
      </c>
      <c r="AA244" s="44" t="n">
        <f aca="false">MAX(0,MIN(Y244*(1+INDEX(Response_Table!$F$4:$F$21,MATCH($F244&amp;"|low",Response_Table!$A$4:$A$21,0))*$R244*INDEX(Parameters!$X$5:$AA$5,1,MATCH($E244,Parameters!$X$3:$AA$3,0))),Y244*(1+INDEX(Response_Table!$F$4:$F$21,MATCH($F244&amp;"|high",Response_Table!$A$4:$A$21,0))*$R244*INDEX(Parameters!$X$5:$AA$5,1,MATCH($E244,Parameters!$X$3:$AA$3,0))))*(1-Inputs_General!$C$22*Parameters!$F$5))</f>
        <v>62.8297693413593</v>
      </c>
      <c r="AB244" s="44" t="n">
        <f aca="false">MIN(100,MAX(Y244*(1+INDEX(Response_Table!$F$4:$F$21,MATCH($F244&amp;"|low",Response_Table!$A$4:$A$21,0))*$R244*INDEX(Parameters!$X$5:$AA$5,1,MATCH($E244,Parameters!$X$3:$AA$3,0))),Y244*(1+INDEX(Response_Table!$F$4:$F$21,MATCH($F244&amp;"|high",Response_Table!$A$4:$A$21,0))*$R244*INDEX(Parameters!$X$5:$AA$5,1,MATCH($E244,Parameters!$X$3:$AA$3,0))))*(1+Inputs_General!$C$22*Parameters!$F$5))</f>
        <v>80.1055536880465</v>
      </c>
      <c r="AC244" s="45" t="n">
        <f aca="false">IF(Y244=0,0,Z244/Y244-1)</f>
        <v>-0.00756950735839468</v>
      </c>
      <c r="AD244" s="44" t="n">
        <f aca="false">Parameters!$E$6*IF($N244="V",Parameters!$I$6,IF($N244="F",Parameters!$J$6,Parameters!$K$6))*(1-Parameters!$L$6*$P244)*IF($D244="V1",Parameters!$M$6,IF($D244="V2",Parameters!$N$6,Parameters!$O$6))</f>
        <v>19</v>
      </c>
      <c r="AE244" s="44" t="n">
        <f aca="false">AD244*(1+INDEX(Response_Table!$G$4:$G$21,MATCH($F244&amp;"|mid",Response_Table!$A$4:$A$21,0))*$R244*INDEX(Parameters!$X$6:$AA$6,1,MATCH($E244,Parameters!$X$3:$AA$3,0)))</f>
        <v>17.4493160782953</v>
      </c>
      <c r="AF244" s="44" t="n">
        <f aca="false">MAX(0,MIN(AD244*(1+INDEX(Response_Table!$G$4:$G$21,MATCH($F244&amp;"|low",Response_Table!$A$4:$A$21,0))*$R244*INDEX(Parameters!$X$6:$AA$6,1,MATCH($E244,Parameters!$X$3:$AA$3,0))),AD244*(1+INDEX(Response_Table!$G$4:$G$21,MATCH($F244&amp;"|high",Response_Table!$A$4:$A$21,0))*$R244*INDEX(Parameters!$X$6:$AA$6,1,MATCH($E244,Parameters!$X$3:$AA$3,0))))*(1-Inputs_General!$C$22*Parameters!$F$6))</f>
        <v>13.2618299040484</v>
      </c>
      <c r="AG244" s="44" t="n">
        <f aca="false">MAX(AD244*(1+INDEX(Response_Table!$G$4:$G$21,MATCH($F244&amp;"|low",Response_Table!$A$4:$A$21,0))*$R244*INDEX(Parameters!$X$6:$AA$6,1,MATCH($E244,Parameters!$X$3:$AA$3,0))),AD244*(1+INDEX(Response_Table!$G$4:$G$21,MATCH($F244&amp;"|high",Response_Table!$A$4:$A$21,0))*$R244*INDEX(Parameters!$X$6:$AA$6,1,MATCH($E244,Parameters!$X$3:$AA$3,0))))*(1+Inputs_General!$C$22*Parameters!$F$6)</f>
        <v>22.104246625225</v>
      </c>
      <c r="AH244" s="45" t="n">
        <f aca="false">IF(AD244=0,0,AE244/AD244-1)</f>
        <v>-0.0816149432476138</v>
      </c>
      <c r="AI244" s="46" t="n">
        <f aca="false">Parameters!$E$7*IF($N244="V",Parameters!$I$7,IF($N244="F",Parameters!$J$7,Parameters!$K$7))*(1-Parameters!$L$7*$P244)*IF($D244="V1",Parameters!$M$7,IF($D244="V2",Parameters!$N$7,Parameters!$O$7))*POWER($Q244/Inputs_General!$C$26,-Inputs_General!$C$25)</f>
        <v>0.464685683730118</v>
      </c>
      <c r="AJ244" s="46" t="n">
        <f aca="false">AI244*(1+INDEX(Response_Table!$H$4:$H$21,MATCH($F244&amp;"|mid",Response_Table!$A$4:$A$21,0))*$R244*INDEX(Parameters!$X$7:$AA$7,1,MATCH($E244,Parameters!$X$3:$AA$3,0)))</f>
        <v>0.441808574606632</v>
      </c>
      <c r="AK244" s="46" t="n">
        <f aca="false">MAX(0,MIN(AI244*(1+INDEX(Response_Table!$H$4:$H$21,MATCH($F244&amp;"|low",Response_Table!$A$4:$A$21,0))*$R244*INDEX(Parameters!$X$7:$AA$7,1,MATCH($E244,Parameters!$X$3:$AA$3,0))),AI244*(1+INDEX(Response_Table!$H$4:$H$21,MATCH($F244&amp;"|high",Response_Table!$A$4:$A$21,0))*$R244*INDEX(Parameters!$X$7:$AA$7,1,MATCH($E244,Parameters!$X$3:$AA$3,0))))*(1-Inputs_General!$C$22*Parameters!$F$7))</f>
        <v>0.301031165276563</v>
      </c>
      <c r="AL244" s="46" t="n">
        <f aca="false">MAX(AI244*(1+INDEX(Response_Table!$H$4:$H$21,MATCH($F244&amp;"|low",Response_Table!$A$4:$A$21,0))*$R244*INDEX(Parameters!$X$7:$AA$7,1,MATCH($E244,Parameters!$X$3:$AA$3,0))),AI244*(1+INDEX(Response_Table!$H$4:$H$21,MATCH($F244&amp;"|high",Response_Table!$A$4:$A$21,0))*$R244*INDEX(Parameters!$X$7:$AA$7,1,MATCH($E244,Parameters!$X$3:$AA$3,0))))*(1+Inputs_General!$C$22*Parameters!$F$7)</f>
        <v>0.592097493009914</v>
      </c>
      <c r="AM244" s="45" t="n">
        <f aca="false">IF(AI244=0,0,AJ244/AI244-1)</f>
        <v>-0.0492313620248575</v>
      </c>
      <c r="AN244" s="43" t="n">
        <f aca="false">AI244*$Q244/Inputs_General!$C$13*1000</f>
        <v>4.38850387664553</v>
      </c>
      <c r="AO244" s="43" t="n">
        <f aca="false">AJ244*$Q244/Inputs_General!$C$13*1000*(1+Inputs_General!$C$21*$I244)</f>
        <v>4.2037452424485</v>
      </c>
      <c r="AP244" s="43" t="n">
        <f aca="false">AK244*$Q244/Inputs_General!$C$13*1000*(1+Inputs_General!$C$21*$H244)</f>
        <v>2.85005364543577</v>
      </c>
      <c r="AQ244" s="43" t="n">
        <f aca="false">AL244*$Q244/Inputs_General!$C$13*1000*(1+Inputs_General!$C$21*$J244)</f>
        <v>5.66168167501997</v>
      </c>
      <c r="AR244" s="45" t="n">
        <f aca="false">IF(AN244=0,0,AO244/AN244-1)</f>
        <v>-0.0421005972400436</v>
      </c>
      <c r="AS244" s="42" t="n">
        <f aca="false">Parameters!$E$9*IF($N244="V",Parameters!$I$9,IF($N244="F",Parameters!$J$9,Parameters!$K$9))*(1-Parameters!$L$9*$P244)*IF($D244="V1",Parameters!$M$9,IF($D244="V2",Parameters!$N$9,Parameters!$O$9))</f>
        <v>285</v>
      </c>
      <c r="AT244" s="42" t="n">
        <f aca="false">AS244*(1+INDEX(Response_Table!$I$4:$I$21,MATCH($F244&amp;"|mid",Response_Table!$A$4:$A$21,0))*$R244*INDEX(Parameters!$X$9:$AA$9,1,MATCH($E244,Parameters!$X$3:$AA$3,0)))</f>
        <v>293.508106341401</v>
      </c>
      <c r="AU244" s="42" t="n">
        <f aca="false">MAX(0,MIN(AS244*(1+INDEX(Response_Table!$I$4:$I$21,MATCH($F244&amp;"|low",Response_Table!$A$4:$A$21,0))*$R244*INDEX(Parameters!$X$9:$AA$9,1,MATCH($E244,Parameters!$X$3:$AA$3,0))),AS244*(1+INDEX(Response_Table!$I$4:$I$21,MATCH($F244&amp;"|high",Response_Table!$A$4:$A$21,0))*$R244*INDEX(Parameters!$X$9:$AA$9,1,MATCH($E244,Parameters!$X$3:$AA$3,0))))*(1-Inputs_General!$C$22*Parameters!$F$9))</f>
        <v>259.529517601739</v>
      </c>
      <c r="AV244" s="42" t="n">
        <f aca="false">MAX(AS244*(1+INDEX(Response_Table!$I$4:$I$21,MATCH($F244&amp;"|low",Response_Table!$A$4:$A$21,0))*$R244*INDEX(Parameters!$X$9:$AA$9,1,MATCH($E244,Parameters!$X$3:$AA$3,0))),AS244*(1+INDEX(Response_Table!$I$4:$I$21,MATCH($F244&amp;"|high",Response_Table!$A$4:$A$21,0))*$R244*INDEX(Parameters!$X$9:$AA$9,1,MATCH($E244,Parameters!$X$3:$AA$3,0))))*(1+Inputs_General!$C$22*Parameters!$F$9)</f>
        <v>328.114337644674</v>
      </c>
      <c r="AW244" s="45" t="n">
        <f aca="false">IF(AS244=0,0,AT244/AS244-1)</f>
        <v>0.0298530047066705</v>
      </c>
      <c r="AX244" s="43" t="n">
        <f aca="false">INDEX(Context!$AB$4:$AB$51,$K244)</f>
        <v>0.458305270557464</v>
      </c>
      <c r="AY244" s="43" t="n">
        <f aca="false">AX244*(1+INDEX(Response_Table!$J$4:$J$21,MATCH($F244&amp;"|mid",Response_Table!$A$4:$A$21,0))*$R244*INDEX(Parameters!$X$10:$AA$10,1,MATCH($E244,Parameters!$X$3:$AA$3,0)))</f>
        <v>0.45010917414815</v>
      </c>
      <c r="AZ244" s="43" t="n">
        <f aca="false">MAX(0,MIN(AX244*(1+INDEX(Response_Table!$J$4:$J$21,MATCH($F244&amp;"|low",Response_Table!$A$4:$A$21,0))*$R244*INDEX(Parameters!$X$10:$AA$10,1,MATCH($E244,Parameters!$X$3:$AA$3,0))),AX244*(1+INDEX(Response_Table!$J$4:$J$21,MATCH($F244&amp;"|high",Response_Table!$A$4:$A$21,0))*$R244*INDEX(Parameters!$X$10:$AA$10,1,MATCH($E244,Parameters!$X$3:$AA$3,0))))*(1-Inputs_General!$C$22*Parameters!$F$10))</f>
        <v>0.357138403008787</v>
      </c>
      <c r="BA244" s="43" t="n">
        <f aca="false">MAX(AX244*(1+INDEX(Response_Table!$J$4:$J$21,MATCH($F244&amp;"|low",Response_Table!$A$4:$A$21,0))*$R244*INDEX(Parameters!$X$10:$AA$10,1,MATCH($E244,Parameters!$X$3:$AA$3,0))),AX244*(1+INDEX(Response_Table!$J$4:$J$21,MATCH($F244&amp;"|high",Response_Table!$A$4:$A$21,0))*$R244*INDEX(Parameters!$X$10:$AA$10,1,MATCH($E244,Parameters!$X$3:$AA$3,0))))*(1+Inputs_General!$C$22*Parameters!$F$10)</f>
        <v>0.545421280110426</v>
      </c>
      <c r="BB244" s="45" t="n">
        <f aca="false">IF(AX244=0,0,AY244/AX244-1)</f>
        <v>-0.0178834871336832</v>
      </c>
      <c r="BC244" s="46" t="n">
        <f aca="false">Parameters!$E$11*IF($N244="V",Parameters!$I$11,IF($N244="F",Parameters!$J$11,Parameters!$K$11))*(1-Parameters!$L$11*$P244)*IF($D244="V1",Parameters!$M$11,IF($D244="V2",Parameters!$N$11,Parameters!$O$11))</f>
        <v>1.1875</v>
      </c>
      <c r="BD244" s="46" t="n">
        <f aca="false">BC244*(1+INDEX(Response_Table!$K$4:$K$21,MATCH($F244&amp;"|mid",Response_Table!$A$4:$A$21,0))*$R244*INDEX(Parameters!$X$11:$AA$11,1,MATCH($E244,Parameters!$X$3:$AA$3,0)))</f>
        <v>1.14864011432167</v>
      </c>
      <c r="BE244" s="46" t="n">
        <f aca="false">MAX(0,MIN(BC244*(1+INDEX(Response_Table!$K$4:$K$21,MATCH($F244&amp;"|low",Response_Table!$A$4:$A$21,0))*$R244*INDEX(Parameters!$X$11:$AA$11,1,MATCH($E244,Parameters!$X$3:$AA$3,0))),BC244*(1+INDEX(Response_Table!$K$4:$K$21,MATCH($F244&amp;"|high",Response_Table!$A$4:$A$21,0))*$R244*INDEX(Parameters!$X$11:$AA$11,1,MATCH($E244,Parameters!$X$3:$AA$3,0))))*(1-Inputs_General!$C$22*Parameters!$F$11))</f>
        <v>0.939712264163439</v>
      </c>
      <c r="BF244" s="46" t="n">
        <f aca="false">MAX(BC244*(1+INDEX(Response_Table!$K$4:$K$21,MATCH($F244&amp;"|low",Response_Table!$A$4:$A$21,0))*$R244*INDEX(Parameters!$X$11:$AA$11,1,MATCH($E244,Parameters!$X$3:$AA$3,0))),BC244*(1+INDEX(Response_Table!$K$4:$K$21,MATCH($F244&amp;"|high",Response_Table!$A$4:$A$21,0))*$R244*INDEX(Parameters!$X$11:$AA$11,1,MATCH($E244,Parameters!$X$3:$AA$3,0))))*(1+Inputs_General!$C$22*Parameters!$F$11)</f>
        <v>1.36727445478069</v>
      </c>
      <c r="BG244" s="45" t="n">
        <f aca="false">IF(BC244=0,0,BD244/BC244-1)</f>
        <v>-0.0327241142554374</v>
      </c>
      <c r="BH244" s="46" t="n">
        <f aca="false">Parameters!$E$12*IF($N244="V",Parameters!$I$12,IF($N244="F",Parameters!$J$12,Parameters!$K$12))*(1-Parameters!$L$12*$P244)*IF($D244="V1",Parameters!$M$12,IF($D244="V2",Parameters!$N$12,Parameters!$O$12))</f>
        <v>0.4275</v>
      </c>
      <c r="BI244" s="46" t="n">
        <f aca="false">BH244*(1+INDEX(Response_Table!$L$4:$L$21,MATCH($F244&amp;"|mid",Response_Table!$A$4:$A$21,0))*$R244*INDEX(Parameters!$X$12:$AA$12,1,MATCH($E244,Parameters!$X$3:$AA$3,0)))</f>
        <v>0.416369688465294</v>
      </c>
      <c r="BJ244" s="46" t="n">
        <f aca="false">MAX(0,MIN(BH244*(1+INDEX(Response_Table!$L$4:$L$21,MATCH($F244&amp;"|low",Response_Table!$A$4:$A$21,0))*$R244*INDEX(Parameters!$X$12:$AA$12,1,MATCH($E244,Parameters!$X$3:$AA$3,0))),BH244*(1+INDEX(Response_Table!$L$4:$L$21,MATCH($F244&amp;"|high",Response_Table!$A$4:$A$21,0))*$R244*INDEX(Parameters!$X$12:$AA$12,1,MATCH($E244,Parameters!$X$3:$AA$3,0))))*(1-Inputs_General!$C$22*Parameters!$F$12))</f>
        <v>0.328654209718083</v>
      </c>
      <c r="BK244" s="46" t="n">
        <f aca="false">MAX(BH244*(1+INDEX(Response_Table!$L$4:$L$21,MATCH($F244&amp;"|low",Response_Table!$A$4:$A$21,0))*$R244*INDEX(Parameters!$X$12:$AA$12,1,MATCH($E244,Parameters!$X$3:$AA$3,0))),BH244*(1+INDEX(Response_Table!$L$4:$L$21,MATCH($F244&amp;"|high",Response_Table!$A$4:$A$21,0))*$R244*INDEX(Parameters!$X$12:$AA$12,1,MATCH($E244,Parameters!$X$3:$AA$3,0))))*(1+Inputs_General!$C$22*Parameters!$F$12)</f>
        <v>0.507312101071203</v>
      </c>
      <c r="BL244" s="45" t="n">
        <f aca="false">IF(BH244=0,0,BI244/BH244-1)</f>
        <v>-0.0260358164554536</v>
      </c>
      <c r="BM244" s="46" t="n">
        <f aca="false">Parameters!$E$13*IF($N244="V",Parameters!$I$13,IF($N244="F",Parameters!$J$13,Parameters!$K$13))*(1-Parameters!$L$13*$P244)*IF($D244="V1",Parameters!$M$13,IF($D244="V2",Parameters!$N$13,Parameters!$O$13))</f>
        <v>0.285</v>
      </c>
      <c r="BN244" s="46" t="n">
        <f aca="false">BM244*(1+INDEX(Response_Table!$M$4:$M$21,MATCH($F244&amp;"|mid",Response_Table!$A$4:$A$21,0))*$R244*INDEX(Parameters!$X$13:$AA$13,1,MATCH($E244,Parameters!$X$3:$AA$3,0)))</f>
        <v>0.289073157423386</v>
      </c>
      <c r="BO244" s="46" t="n">
        <f aca="false">MAX(0,MIN(BM244*(1+INDEX(Response_Table!$M$4:$M$21,MATCH($F244&amp;"|low",Response_Table!$A$4:$A$21,0))*$R244*INDEX(Parameters!$X$13:$AA$13,1,MATCH($E244,Parameters!$X$3:$AA$3,0))),BM244*(1+INDEX(Response_Table!$M$4:$M$21,MATCH($F244&amp;"|high",Response_Table!$A$4:$A$21,0))*$R244*INDEX(Parameters!$X$13:$AA$13,1,MATCH($E244,Parameters!$X$3:$AA$3,0))))*(1-Inputs_General!$C$22*Parameters!$F$13))</f>
        <v>0.230348096407543</v>
      </c>
      <c r="BP244" s="46" t="n">
        <f aca="false">MAX(BM244*(1+INDEX(Response_Table!$M$4:$M$21,MATCH($F244&amp;"|low",Response_Table!$A$4:$A$21,0))*$R244*INDEX(Parameters!$X$13:$AA$13,1,MATCH($E244,Parameters!$X$3:$AA$3,0))),BM244*(1+INDEX(Response_Table!$M$4:$M$21,MATCH($F244&amp;"|high",Response_Table!$A$4:$A$21,0))*$R244*INDEX(Parameters!$X$13:$AA$13,1,MATCH($E244,Parameters!$X$3:$AA$3,0))))*(1+Inputs_General!$C$22*Parameters!$F$13)</f>
        <v>0.346274002265146</v>
      </c>
      <c r="BQ244" s="45" t="n">
        <f aca="false">IF(BM244=0,0,BN244/BM244-1)</f>
        <v>0.014291780432933</v>
      </c>
      <c r="BR244" s="44" t="n">
        <f aca="false">Parameters!$E$14*IF($N244="V",Parameters!$I$14,IF($N244="F",Parameters!$J$14,Parameters!$K$14))*(1-Parameters!$L$14*$P244)*IF($D244="V1",Parameters!$M$14,IF($D244="V2",Parameters!$N$14,Parameters!$O$14))*INDEX(Context!$AC$4:$AC$51,$K244)</f>
        <v>23.1</v>
      </c>
      <c r="BS244" s="44" t="n">
        <f aca="false">BR244*(1+INDEX(Response_Table!$N$4:$N$21,MATCH($F244&amp;"|mid",Response_Table!$A$4:$A$21,0))*$R244*INDEX(Parameters!$X$14:$AA$14,1,MATCH($E244,Parameters!$X$3:$AA$3,0)))</f>
        <v>23.7561025746774</v>
      </c>
      <c r="BT244" s="44" t="n">
        <f aca="false">MAX(0,MIN(BR244*(1+INDEX(Response_Table!$N$4:$N$21,MATCH($F244&amp;"|low",Response_Table!$A$4:$A$21,0))*$R244*INDEX(Parameters!$X$14:$AA$14,1,MATCH($E244,Parameters!$X$3:$AA$3,0))),BR244*(1+INDEX(Response_Table!$N$4:$N$21,MATCH($F244&amp;"|high",Response_Table!$A$4:$A$21,0))*$R244*INDEX(Parameters!$X$14:$AA$14,1,MATCH($E244,Parameters!$X$3:$AA$3,0))))*(1-Inputs_General!$C$22*Parameters!$F$14))</f>
        <v>11.8142612579153</v>
      </c>
      <c r="BU244" s="44" t="n">
        <f aca="false">MAX(BR244*(1+INDEX(Response_Table!$N$4:$N$21,MATCH($F244&amp;"|low",Response_Table!$A$4:$A$21,0))*$R244*INDEX(Parameters!$X$14:$AA$14,1,MATCH($E244,Parameters!$X$3:$AA$3,0))),BR244*(1+INDEX(Response_Table!$N$4:$N$21,MATCH($F244&amp;"|high",Response_Table!$A$4:$A$21,0))*$R244*INDEX(Parameters!$X$14:$AA$14,1,MATCH($E244,Parameters!$X$3:$AA$3,0))))*(1+Inputs_General!$C$22*Parameters!$F$14)</f>
        <v>36.0856827934456</v>
      </c>
      <c r="BV244" s="45" t="n">
        <f aca="false">IF(BR244=0,0,BS244/BR244-1)</f>
        <v>0.0284027088604948</v>
      </c>
      <c r="BW244" s="43" t="n">
        <f aca="false">Parameters!$E$15*IF($N244="V",Parameters!$I$15,IF($N244="F",Parameters!$J$15,Parameters!$K$15))*(1-Parameters!$L$15*$P244)*IF($D244="V1",Parameters!$M$15,IF($D244="V2",Parameters!$N$15,Parameters!$O$15))</f>
        <v>11.664</v>
      </c>
      <c r="BX244" s="43" t="n">
        <f aca="false">BW244*(1+INDEX(Response_Table!$O$4:$O$21,MATCH($F244&amp;"|mid",Response_Table!$A$4:$A$21,0))*$R244*INDEX(Parameters!$X$15:$AA$15,1,MATCH($E244,Parameters!$X$3:$AA$3,0)))</f>
        <v>11.5811777009628</v>
      </c>
      <c r="BY244" s="43" t="n">
        <f aca="false">MAX(0,MIN(BW244*(1+INDEX(Response_Table!$O$4:$O$21,MATCH($F244&amp;"|low",Response_Table!$A$4:$A$21,0))*$R244*INDEX(Parameters!$X$15:$AA$15,1,MATCH($E244,Parameters!$X$3:$AA$3,0))),BW244*(1+INDEX(Response_Table!$O$4:$O$21,MATCH($F244&amp;"|high",Response_Table!$A$4:$A$21,0))*$R244*INDEX(Parameters!$X$15:$AA$15,1,MATCH($E244,Parameters!$X$3:$AA$3,0))))*(1-Inputs_General!$C$22*Parameters!$F$15))</f>
        <v>9.25394755862948</v>
      </c>
      <c r="BZ244" s="43" t="n">
        <f aca="false">MAX(BW244*(1+INDEX(Response_Table!$O$4:$O$21,MATCH($F244&amp;"|low",Response_Table!$A$4:$A$21,0))*$R244*INDEX(Parameters!$X$15:$AA$15,1,MATCH($E244,Parameters!$X$3:$AA$3,0))),BW244*(1+INDEX(Response_Table!$O$4:$O$21,MATCH($F244&amp;"|high",Response_Table!$A$4:$A$21,0))*$R244*INDEX(Parameters!$X$15:$AA$15,1,MATCH($E244,Parameters!$X$3:$AA$3,0))))*(1+Inputs_General!$C$22*Parameters!$F$15)</f>
        <v>13.9324199367748</v>
      </c>
      <c r="CA244" s="45" t="n">
        <f aca="false">IF(BW244=0,0,BX244/BW244-1)</f>
        <v>-0.00710067721512364</v>
      </c>
      <c r="CB244" s="46" t="n">
        <f aca="false">BD244+BI244</f>
        <v>1.56500980278696</v>
      </c>
      <c r="CC244" s="43" t="n">
        <f aca="false">BD244/BI244</f>
        <v>2.75870253321145</v>
      </c>
      <c r="CD244" s="46" t="n">
        <f aca="false">BN244/CB244</f>
        <v>0.18471012571845</v>
      </c>
      <c r="CE244" s="43" t="n">
        <f aca="false">AE244/AO244</f>
        <v>4.15089760961153</v>
      </c>
      <c r="CF244" s="44" t="n">
        <f aca="false">AE244/AJ244</f>
        <v>39.4951956145973</v>
      </c>
      <c r="CG244" s="44" t="n">
        <f aca="false">INDEX(Context!$V$4:$V$51,$K244)</f>
        <v>22.6257142857143</v>
      </c>
      <c r="CH244" s="44" t="n">
        <f aca="false">INDEX(Context!$Y$4:$Y$51,$K244)</f>
        <v>21.3177449518561</v>
      </c>
      <c r="CI244" s="44" t="n">
        <f aca="false">INDEX(Context!$Z$4:$Z$51,$K244)</f>
        <v>26.6257142857143</v>
      </c>
      <c r="CJ244" s="43" t="n">
        <f aca="false">INDEX(Context!$AA$4:$AA$51,$K244)</f>
        <v>0.12</v>
      </c>
      <c r="CK244" s="43" t="n">
        <f aca="false">MAX(0,MIN(1,1-(1-CJ244)*AO244/AN244))</f>
        <v>0.157048525571238</v>
      </c>
      <c r="CL244" s="44" t="n">
        <f aca="false">CH244+CK244*(CI244-CH244)</f>
        <v>22.1513537095158</v>
      </c>
      <c r="CM244" s="44" t="n">
        <f aca="false">CH244+MAX(0,MIN(1,1-(1-CJ244)*AQ244/AN244))*(CI244-CH244)</f>
        <v>21.3177449518561</v>
      </c>
      <c r="CN244" s="44" t="n">
        <f aca="false">CH244+MAX(0,MIN(1,1-(1-CJ244)*AP244/AN244))*(CI244-CH244)</f>
        <v>23.5921889563437</v>
      </c>
      <c r="CO244" s="44" t="n">
        <f aca="false">CL244-CG244</f>
        <v>-0.474360576198453</v>
      </c>
      <c r="CP244" s="44" t="n">
        <f aca="false">CL244-(CH244+CJ244*(CI244-CH244))</f>
        <v>0.196652437596796</v>
      </c>
      <c r="CQ244" s="46" t="n">
        <f aca="false">CL244/CG244</f>
        <v>0.979034448583223</v>
      </c>
      <c r="CR244" s="43" t="n">
        <f aca="false">IF(CL244-CH244&lt;=0,"n/a",(CI244-CL244)/(CL244-CH244))</f>
        <v>5.36745869700249</v>
      </c>
      <c r="CS244" s="43" t="n">
        <f aca="false">IF(CI244-CL244&lt;=0,"n/a",(CL244-CH244)/(CI244-CL244))</f>
        <v>0.186307907792278</v>
      </c>
      <c r="CT244" s="43" t="n">
        <f aca="false">Inputs_General!$C$23+Inputs_General!$C$24*$I244</f>
        <v>0.66</v>
      </c>
      <c r="CU244" s="44" t="n">
        <f aca="false">3.29*CT244</f>
        <v>2.1714</v>
      </c>
    </row>
    <row r="245" customFormat="false" ht="15" hidden="false" customHeight="false" outlineLevel="0" collapsed="false">
      <c r="A245" s="9" t="str">
        <f aca="false">B245&amp;"|"&amp;E245&amp;"|"&amp;F245</f>
        <v>D4V2|11/02/2026|Low</v>
      </c>
      <c r="B245" s="7" t="s">
        <v>353</v>
      </c>
      <c r="C245" s="9" t="s">
        <v>133</v>
      </c>
      <c r="D245" s="9" t="s">
        <v>146</v>
      </c>
      <c r="E245" s="9" t="s">
        <v>158</v>
      </c>
      <c r="F245" s="7" t="s">
        <v>279</v>
      </c>
      <c r="G245" s="9" t="s">
        <v>280</v>
      </c>
      <c r="H245" s="41" t="n">
        <f aca="false">INDEX(Severity_Classes!$C$4:$C$9,MATCH(F245,Severity_Classes!$A$4:$A$9,0))</f>
        <v>0.06</v>
      </c>
      <c r="I245" s="41" t="n">
        <f aca="false">INDEX(Severity_Classes!$D$4:$D$9,MATCH(F245,Severity_Classes!$A$4:$A$9,0))</f>
        <v>0.08</v>
      </c>
      <c r="J245" s="41" t="n">
        <f aca="false">INDEX(Severity_Classes!$E$4:$E$9,MATCH(F245,Severity_Classes!$A$4:$A$9,0))</f>
        <v>0.1</v>
      </c>
      <c r="K245" s="42" t="n">
        <f aca="false">MATCH(B245&amp;"|"&amp;E245,Context!$A$4:$A$51,0)</f>
        <v>41</v>
      </c>
      <c r="L245" s="42" t="n">
        <f aca="false">INDEX(Context!$H$4:$H$51,K245)</f>
        <v>33</v>
      </c>
      <c r="M245" s="42" t="n">
        <f aca="false">INDEX(Context!$I$4:$I$51,K245)</f>
        <v>6</v>
      </c>
      <c r="N245" s="9" t="str">
        <f aca="false">INDEX(Context!$L$4:$L$51,K245)</f>
        <v>V</v>
      </c>
      <c r="O245" s="9" t="str">
        <f aca="false">INDEX(Context!$M$4:$M$51,K245)</f>
        <v>3rd fully expanded leaf from top</v>
      </c>
      <c r="P245" s="43" t="n">
        <f aca="false">INDEX(Context!$R$4:$R$51,K245)</f>
        <v>0</v>
      </c>
      <c r="Q245" s="43" t="n">
        <f aca="false">INDEX(Context!$U$4:$U$51,K245)</f>
        <v>0.937791824040773</v>
      </c>
      <c r="R245" s="43" t="n">
        <f aca="false">INDEX(Context!$AD$4:$AD$51,K245)</f>
        <v>1.1</v>
      </c>
      <c r="S245" s="9" t="str">
        <f aca="false">INDEX(Context!$AI$4:$AN$51,K245,MATCH(F245,Severity_Classes!$A$4:$A$9,0))</f>
        <v>Likely</v>
      </c>
      <c r="T245" s="44" t="n">
        <f aca="false">Parameters!$E$4*IF($N245="V",Parameters!$I$4,IF($N245="F",Parameters!$J$4,Parameters!$K$4))*(1-Parameters!$L$4*$P245)*IF($D245="V1",Parameters!$M$4,IF($D245="V2",Parameters!$N$4,Parameters!$O$4))</f>
        <v>86</v>
      </c>
      <c r="U245" s="44" t="n">
        <f aca="false">MIN(100,T245*(1+INDEX(Response_Table!$E$4:$E$21,MATCH($F245&amp;"|mid",Response_Table!$A$4:$A$21,0))*$R245*INDEX(Parameters!$X$4:$AA$4,1,MATCH($E245,Parameters!$X$3:$AA$3,0))))</f>
        <v>85.3416490280971</v>
      </c>
      <c r="V245" s="44" t="n">
        <f aca="false">MAX(0,MIN(T245*(1+INDEX(Response_Table!$E$4:$E$21,MATCH($F245&amp;"|low",Response_Table!$A$4:$A$21,0))*$R245*INDEX(Parameters!$X$4:$AA$4,1,MATCH($E245,Parameters!$X$3:$AA$3,0))),T245*(1+INDEX(Response_Table!$E$4:$E$21,MATCH($F245&amp;"|high",Response_Table!$A$4:$A$21,0))*$R245*INDEX(Parameters!$X$4:$AA$4,1,MATCH($E245,Parameters!$X$3:$AA$3,0))))*(1-Inputs_General!$C$22*Parameters!$F$4))</f>
        <v>79.5112838437186</v>
      </c>
      <c r="W245" s="44" t="n">
        <f aca="false">MIN(100,MAX(T245*(1+INDEX(Response_Table!$E$4:$E$21,MATCH($F245&amp;"|low",Response_Table!$A$4:$A$21,0))*$R245*INDEX(Parameters!$X$4:$AA$4,1,MATCH($E245,Parameters!$X$3:$AA$3,0))),T245*(1+INDEX(Response_Table!$E$4:$E$21,MATCH($F245&amp;"|high",Response_Table!$A$4:$A$21,0))*$R245*INDEX(Parameters!$X$4:$AA$4,1,MATCH($E245,Parameters!$X$3:$AA$3,0))))*(1+Inputs_General!$C$22*Parameters!$F$4))</f>
        <v>91.1713736597</v>
      </c>
      <c r="X245" s="45" t="n">
        <f aca="false">IF(T245=0,0,U245/T245-1)</f>
        <v>-0.00765524385933614</v>
      </c>
      <c r="Y245" s="44" t="n">
        <f aca="false">Parameters!$E$5*IF($N245="V",Parameters!$I$5,IF($N245="F",Parameters!$J$5,Parameters!$K$5))*(1-Parameters!$L$5*$P245)*IF($D245="V1",Parameters!$M$5,IF($D245="V2",Parameters!$N$5,Parameters!$O$5))</f>
        <v>72</v>
      </c>
      <c r="Z245" s="44" t="n">
        <f aca="false">MIN(100,Y245*(1+INDEX(Response_Table!$F$4:$F$21,MATCH($F245&amp;"|mid",Response_Table!$A$4:$A$21,0))*$R245*INDEX(Parameters!$X$5:$AA$5,1,MATCH($E245,Parameters!$X$3:$AA$3,0))))</f>
        <v>70.1804149436292</v>
      </c>
      <c r="AA245" s="44" t="n">
        <f aca="false">MAX(0,MIN(Y245*(1+INDEX(Response_Table!$F$4:$F$21,MATCH($F245&amp;"|low",Response_Table!$A$4:$A$21,0))*$R245*INDEX(Parameters!$X$5:$AA$5,1,MATCH($E245,Parameters!$X$3:$AA$3,0))),Y245*(1+INDEX(Response_Table!$F$4:$F$21,MATCH($F245&amp;"|high",Response_Table!$A$4:$A$21,0))*$R245*INDEX(Parameters!$X$5:$AA$5,1,MATCH($E245,Parameters!$X$3:$AA$3,0))))*(1-Inputs_General!$C$22*Parameters!$F$5))</f>
        <v>61.5098446855281</v>
      </c>
      <c r="AB245" s="44" t="n">
        <f aca="false">MIN(100,MAX(Y245*(1+INDEX(Response_Table!$F$4:$F$21,MATCH($F245&amp;"|low",Response_Table!$A$4:$A$21,0))*$R245*INDEX(Parameters!$X$5:$AA$5,1,MATCH($E245,Parameters!$X$3:$AA$3,0))),Y245*(1+INDEX(Response_Table!$F$4:$F$21,MATCH($F245&amp;"|high",Response_Table!$A$4:$A$21,0))*$R245*INDEX(Parameters!$X$5:$AA$5,1,MATCH($E245,Parameters!$X$3:$AA$3,0))))*(1+Inputs_General!$C$22*Parameters!$F$5))</f>
        <v>78.8995683816149</v>
      </c>
      <c r="AC245" s="45" t="n">
        <f aca="false">IF(Y245=0,0,Z245/Y245-1)</f>
        <v>-0.0252720146718168</v>
      </c>
      <c r="AD245" s="44" t="n">
        <f aca="false">Parameters!$E$6*IF($N245="V",Parameters!$I$6,IF($N245="F",Parameters!$J$6,Parameters!$K$6))*(1-Parameters!$L$6*$P245)*IF($D245="V1",Parameters!$M$6,IF($D245="V2",Parameters!$N$6,Parameters!$O$6))</f>
        <v>19</v>
      </c>
      <c r="AE245" s="44" t="n">
        <f aca="false">AD245*(1+INDEX(Response_Table!$G$4:$G$21,MATCH($F245&amp;"|mid",Response_Table!$A$4:$A$21,0))*$R245*INDEX(Parameters!$X$6:$AA$6,1,MATCH($E245,Parameters!$X$3:$AA$3,0)))</f>
        <v>15.2791327295833</v>
      </c>
      <c r="AF245" s="44" t="n">
        <f aca="false">MAX(0,MIN(AD245*(1+INDEX(Response_Table!$G$4:$G$21,MATCH($F245&amp;"|low",Response_Table!$A$4:$A$21,0))*$R245*INDEX(Parameters!$X$6:$AA$6,1,MATCH($E245,Parameters!$X$3:$AA$3,0))),AD245*(1+INDEX(Response_Table!$G$4:$G$21,MATCH($F245&amp;"|high",Response_Table!$A$4:$A$21,0))*$R245*INDEX(Parameters!$X$6:$AA$6,1,MATCH($E245,Parameters!$X$3:$AA$3,0))))*(1-Inputs_General!$C$22*Parameters!$F$6))</f>
        <v>11.6667675397791</v>
      </c>
      <c r="AG245" s="44" t="n">
        <f aca="false">MAX(AD245*(1+INDEX(Response_Table!$G$4:$G$21,MATCH($F245&amp;"|low",Response_Table!$A$4:$A$21,0))*$R245*INDEX(Parameters!$X$6:$AA$6,1,MATCH($E245,Parameters!$X$3:$AA$3,0))),AD245*(1+INDEX(Response_Table!$G$4:$G$21,MATCH($F245&amp;"|high",Response_Table!$A$4:$A$21,0))*$R245*INDEX(Parameters!$X$6:$AA$6,1,MATCH($E245,Parameters!$X$3:$AA$3,0))))*(1+Inputs_General!$C$22*Parameters!$F$6)</f>
        <v>19.2666308154671</v>
      </c>
      <c r="AH245" s="45" t="n">
        <f aca="false">IF(AD245=0,0,AE245/AD245-1)</f>
        <v>-0.195835119495615</v>
      </c>
      <c r="AI245" s="46" t="n">
        <f aca="false">Parameters!$E$7*IF($N245="V",Parameters!$I$7,IF($N245="F",Parameters!$J$7,Parameters!$K$7))*(1-Parameters!$L$7*$P245)*IF($D245="V1",Parameters!$M$7,IF($D245="V2",Parameters!$N$7,Parameters!$O$7))*POWER($Q245/Inputs_General!$C$26,-Inputs_General!$C$25)</f>
        <v>0.464685683730118</v>
      </c>
      <c r="AJ245" s="46" t="n">
        <f aca="false">AI245*(1+INDEX(Response_Table!$H$4:$H$21,MATCH($F245&amp;"|mid",Response_Table!$A$4:$A$21,0))*$R245*INDEX(Parameters!$X$7:$AA$7,1,MATCH($E245,Parameters!$X$3:$AA$3,0)))</f>
        <v>0.407971324160109</v>
      </c>
      <c r="AK245" s="46" t="n">
        <f aca="false">MAX(0,MIN(AI245*(1+INDEX(Response_Table!$H$4:$H$21,MATCH($F245&amp;"|low",Response_Table!$A$4:$A$21,0))*$R245*INDEX(Parameters!$X$7:$AA$7,1,MATCH($E245,Parameters!$X$3:$AA$3,0))),AI245*(1+INDEX(Response_Table!$H$4:$H$21,MATCH($F245&amp;"|high",Response_Table!$A$4:$A$21,0))*$R245*INDEX(Parameters!$X$7:$AA$7,1,MATCH($E245,Parameters!$X$3:$AA$3,0))))*(1-Inputs_General!$C$22*Parameters!$F$7))</f>
        <v>0.278600179390083</v>
      </c>
      <c r="AL245" s="46" t="n">
        <f aca="false">MAX(AI245*(1+INDEX(Response_Table!$H$4:$H$21,MATCH($F245&amp;"|low",Response_Table!$A$4:$A$21,0))*$R245*INDEX(Parameters!$X$7:$AA$7,1,MATCH($E245,Parameters!$X$3:$AA$3,0))),AI245*(1+INDEX(Response_Table!$H$4:$H$21,MATCH($F245&amp;"|high",Response_Table!$A$4:$A$21,0))*$R245*INDEX(Parameters!$X$7:$AA$7,1,MATCH($E245,Parameters!$X$3:$AA$3,0))))*(1+Inputs_General!$C$22*Parameters!$F$7)</f>
        <v>0.545529100657289</v>
      </c>
      <c r="AM245" s="45" t="n">
        <f aca="false">IF(AI245=0,0,AJ245/AI245-1)</f>
        <v>-0.122048863469931</v>
      </c>
      <c r="AN245" s="43" t="n">
        <f aca="false">AI245*$Q245/Inputs_General!$C$13*1000</f>
        <v>4.38850387664553</v>
      </c>
      <c r="AO245" s="43" t="n">
        <f aca="false">AJ245*$Q245/Inputs_General!$C$13*1000*(1+Inputs_General!$C$21*$I245)</f>
        <v>3.9299498054909</v>
      </c>
      <c r="AP245" s="43" t="n">
        <f aca="false">AK245*$Q245/Inputs_General!$C$13*1000*(1+Inputs_General!$C$21*$H245)</f>
        <v>2.67057406812122</v>
      </c>
      <c r="AQ245" s="43" t="n">
        <f aca="false">AL245*$Q245/Inputs_General!$C$13*1000*(1+Inputs_General!$C$21*$J245)</f>
        <v>5.28079102348478</v>
      </c>
      <c r="AR245" s="45" t="n">
        <f aca="false">IF(AN245=0,0,AO245/AN245-1)</f>
        <v>-0.10448984073933</v>
      </c>
      <c r="AS245" s="42" t="n">
        <f aca="false">Parameters!$E$9*IF($N245="V",Parameters!$I$9,IF($N245="F",Parameters!$J$9,Parameters!$K$9))*(1-Parameters!$L$9*$P245)*IF($D245="V1",Parameters!$M$9,IF($D245="V2",Parameters!$N$9,Parameters!$O$9))</f>
        <v>285</v>
      </c>
      <c r="AT245" s="42" t="n">
        <f aca="false">AS245*(1+INDEX(Response_Table!$I$4:$I$21,MATCH($F245&amp;"|mid",Response_Table!$A$4:$A$21,0))*$R245*INDEX(Parameters!$X$9:$AA$9,1,MATCH($E245,Parameters!$X$3:$AA$3,0)))</f>
        <v>305.604546450576</v>
      </c>
      <c r="AU245" s="42" t="n">
        <f aca="false">MAX(0,MIN(AS245*(1+INDEX(Response_Table!$I$4:$I$21,MATCH($F245&amp;"|low",Response_Table!$A$4:$A$21,0))*$R245*INDEX(Parameters!$X$9:$AA$9,1,MATCH($E245,Parameters!$X$3:$AA$3,0))),AS245*(1+INDEX(Response_Table!$I$4:$I$21,MATCH($F245&amp;"|high",Response_Table!$A$4:$A$21,0))*$R245*INDEX(Parameters!$X$9:$AA$9,1,MATCH($E245,Parameters!$X$3:$AA$3,0))))*(1-Inputs_General!$C$22*Parameters!$F$9))</f>
        <v>271.340078115671</v>
      </c>
      <c r="AV245" s="42" t="n">
        <f aca="false">MAX(AS245*(1+INDEX(Response_Table!$I$4:$I$21,MATCH($F245&amp;"|low",Response_Table!$A$4:$A$21,0))*$R245*INDEX(Parameters!$X$9:$AA$9,1,MATCH($E245,Parameters!$X$3:$AA$3,0))),AS245*(1+INDEX(Response_Table!$I$4:$I$21,MATCH($F245&amp;"|high",Response_Table!$A$4:$A$21,0))*$R245*INDEX(Parameters!$X$9:$AA$9,1,MATCH($E245,Parameters!$X$3:$AA$3,0))))*(1+Inputs_General!$C$22*Parameters!$F$9)</f>
        <v>340.382885054249</v>
      </c>
      <c r="AW245" s="45" t="n">
        <f aca="false">IF(AS245=0,0,AT245/AS245-1)</f>
        <v>0.0722966542125456</v>
      </c>
      <c r="AX245" s="43" t="n">
        <f aca="false">INDEX(Context!$AB$4:$AB$51,$K245)</f>
        <v>0.458305270557464</v>
      </c>
      <c r="AY245" s="43" t="n">
        <f aca="false">AX245*(1+INDEX(Response_Table!$J$4:$J$21,MATCH($F245&amp;"|mid",Response_Table!$A$4:$A$21,0))*$R245*INDEX(Parameters!$X$10:$AA$10,1,MATCH($E245,Parameters!$X$3:$AA$3,0)))</f>
        <v>0.437743799372014</v>
      </c>
      <c r="AZ245" s="43" t="n">
        <f aca="false">MAX(0,MIN(AX245*(1+INDEX(Response_Table!$J$4:$J$21,MATCH($F245&amp;"|low",Response_Table!$A$4:$A$21,0))*$R245*INDEX(Parameters!$X$10:$AA$10,1,MATCH($E245,Parameters!$X$3:$AA$3,0))),AX245*(1+INDEX(Response_Table!$J$4:$J$21,MATCH($F245&amp;"|high",Response_Table!$A$4:$A$21,0))*$R245*INDEX(Parameters!$X$10:$AA$10,1,MATCH($E245,Parameters!$X$3:$AA$3,0))))*(1-Inputs_General!$C$22*Parameters!$F$10))</f>
        <v>0.347697974341492</v>
      </c>
      <c r="BA245" s="43" t="n">
        <f aca="false">MAX(AX245*(1+INDEX(Response_Table!$J$4:$J$21,MATCH($F245&amp;"|low",Response_Table!$A$4:$A$21,0))*$R245*INDEX(Parameters!$X$10:$AA$10,1,MATCH($E245,Parameters!$X$3:$AA$3,0))),AX245*(1+INDEX(Response_Table!$J$4:$J$21,MATCH($F245&amp;"|high",Response_Table!$A$4:$A$21,0))*$R245*INDEX(Parameters!$X$10:$AA$10,1,MATCH($E245,Parameters!$X$3:$AA$3,0))))*(1+Inputs_General!$C$22*Parameters!$F$10)</f>
        <v>0.52985584513167</v>
      </c>
      <c r="BB245" s="45" t="n">
        <f aca="false">IF(AX245=0,0,AY245/AX245-1)</f>
        <v>-0.0448641386131994</v>
      </c>
      <c r="BC245" s="46" t="n">
        <f aca="false">Parameters!$E$11*IF($N245="V",Parameters!$I$11,IF($N245="F",Parameters!$J$11,Parameters!$K$11))*(1-Parameters!$L$11*$P245)*IF($D245="V1",Parameters!$M$11,IF($D245="V2",Parameters!$N$11,Parameters!$O$11))</f>
        <v>1.1875</v>
      </c>
      <c r="BD245" s="46" t="n">
        <f aca="false">BC245*(1+INDEX(Response_Table!$K$4:$K$21,MATCH($F245&amp;"|mid",Response_Table!$A$4:$A$21,0))*$R245*INDEX(Parameters!$X$11:$AA$11,1,MATCH($E245,Parameters!$X$3:$AA$3,0)))</f>
        <v>1.09161620768883</v>
      </c>
      <c r="BE245" s="46" t="n">
        <f aca="false">MAX(0,MIN(BC245*(1+INDEX(Response_Table!$K$4:$K$21,MATCH($F245&amp;"|low",Response_Table!$A$4:$A$21,0))*$R245*INDEX(Parameters!$X$11:$AA$11,1,MATCH($E245,Parameters!$X$3:$AA$3,0))),BC245*(1+INDEX(Response_Table!$K$4:$K$21,MATCH($F245&amp;"|high",Response_Table!$A$4:$A$21,0))*$R245*INDEX(Parameters!$X$11:$AA$11,1,MATCH($E245,Parameters!$X$3:$AA$3,0))))*(1-Inputs_General!$C$22*Parameters!$F$11))</f>
        <v>0.895022447364182</v>
      </c>
      <c r="BF245" s="46" t="n">
        <f aca="false">MAX(BC245*(1+INDEX(Response_Table!$K$4:$K$21,MATCH($F245&amp;"|low",Response_Table!$A$4:$A$21,0))*$R245*INDEX(Parameters!$X$11:$AA$11,1,MATCH($E245,Parameters!$X$3:$AA$3,0))),BC245*(1+INDEX(Response_Table!$K$4:$K$21,MATCH($F245&amp;"|high",Response_Table!$A$4:$A$21,0))*$R245*INDEX(Parameters!$X$11:$AA$11,1,MATCH($E245,Parameters!$X$3:$AA$3,0))))*(1+Inputs_General!$C$22*Parameters!$F$11)</f>
        <v>1.29648129343597</v>
      </c>
      <c r="BG245" s="45" t="n">
        <f aca="false">IF(BC245=0,0,BD245/BC245-1)</f>
        <v>-0.0807442461567711</v>
      </c>
      <c r="BH245" s="46" t="n">
        <f aca="false">Parameters!$E$12*IF($N245="V",Parameters!$I$12,IF($N245="F",Parameters!$J$12,Parameters!$K$12))*(1-Parameters!$L$12*$P245)*IF($D245="V1",Parameters!$M$12,IF($D245="V2",Parameters!$N$12,Parameters!$O$12))</f>
        <v>0.4275</v>
      </c>
      <c r="BI245" s="46" t="n">
        <f aca="false">BH245*(1+INDEX(Response_Table!$L$4:$L$21,MATCH($F245&amp;"|mid",Response_Table!$A$4:$A$21,0))*$R245*INDEX(Parameters!$X$12:$AA$12,1,MATCH($E245,Parameters!$X$3:$AA$3,0)))</f>
        <v>0.3999069817083</v>
      </c>
      <c r="BJ245" s="46" t="n">
        <f aca="false">MAX(0,MIN(BH245*(1+INDEX(Response_Table!$L$4:$L$21,MATCH($F245&amp;"|low",Response_Table!$A$4:$A$21,0))*$R245*INDEX(Parameters!$X$12:$AA$12,1,MATCH($E245,Parameters!$X$3:$AA$3,0))),BH245*(1+INDEX(Response_Table!$L$4:$L$21,MATCH($F245&amp;"|high",Response_Table!$A$4:$A$21,0))*$R245*INDEX(Parameters!$X$12:$AA$12,1,MATCH($E245,Parameters!$X$3:$AA$3,0))))*(1-Inputs_General!$C$22*Parameters!$F$12))</f>
        <v>0.316210704654944</v>
      </c>
      <c r="BK245" s="46" t="n">
        <f aca="false">MAX(BH245*(1+INDEX(Response_Table!$L$4:$L$21,MATCH($F245&amp;"|low",Response_Table!$A$4:$A$21,0))*$R245*INDEX(Parameters!$X$12:$AA$12,1,MATCH($E245,Parameters!$X$3:$AA$3,0))),BH245*(1+INDEX(Response_Table!$L$4:$L$21,MATCH($F245&amp;"|high",Response_Table!$A$4:$A$21,0))*$R245*INDEX(Parameters!$X$12:$AA$12,1,MATCH($E245,Parameters!$X$3:$AA$3,0))))*(1+Inputs_General!$C$22*Parameters!$F$12)</f>
        <v>0.486380706473235</v>
      </c>
      <c r="BL245" s="45" t="n">
        <f aca="false">IF(BH245=0,0,BI245/BH245-1)</f>
        <v>-0.0645450720273676</v>
      </c>
      <c r="BM245" s="46" t="n">
        <f aca="false">Parameters!$E$13*IF($N245="V",Parameters!$I$13,IF($N245="F",Parameters!$J$13,Parameters!$K$13))*(1-Parameters!$L$13*$P245)*IF($D245="V1",Parameters!$M$13,IF($D245="V2",Parameters!$N$13,Parameters!$O$13))</f>
        <v>0.285</v>
      </c>
      <c r="BN245" s="46" t="n">
        <f aca="false">BM245*(1+INDEX(Response_Table!$M$4:$M$21,MATCH($F245&amp;"|mid",Response_Table!$A$4:$A$21,0))*$R245*INDEX(Parameters!$X$13:$AA$13,1,MATCH($E245,Parameters!$X$3:$AA$3,0)))</f>
        <v>0.286937957476201</v>
      </c>
      <c r="BO245" s="46" t="n">
        <f aca="false">MAX(0,MIN(BM245*(1+INDEX(Response_Table!$M$4:$M$21,MATCH($F245&amp;"|low",Response_Table!$A$4:$A$21,0))*$R245*INDEX(Parameters!$X$13:$AA$13,1,MATCH($E245,Parameters!$X$3:$AA$3,0))),BM245*(1+INDEX(Response_Table!$M$4:$M$21,MATCH($F245&amp;"|high",Response_Table!$A$4:$A$21,0))*$R245*INDEX(Parameters!$X$13:$AA$13,1,MATCH($E245,Parameters!$X$3:$AA$3,0))))*(1-Inputs_General!$C$22*Parameters!$F$13))</f>
        <v>0.22827894513573</v>
      </c>
      <c r="BP245" s="46" t="n">
        <f aca="false">MAX(BM245*(1+INDEX(Response_Table!$M$4:$M$21,MATCH($F245&amp;"|low",Response_Table!$A$4:$A$21,0))*$R245*INDEX(Parameters!$X$13:$AA$13,1,MATCH($E245,Parameters!$X$3:$AA$3,0))),BM245*(1+INDEX(Response_Table!$M$4:$M$21,MATCH($F245&amp;"|high",Response_Table!$A$4:$A$21,0))*$R245*INDEX(Parameters!$X$13:$AA$13,1,MATCH($E245,Parameters!$X$3:$AA$3,0))))*(1+Inputs_General!$C$22*Parameters!$F$13)</f>
        <v>0.345691838904968</v>
      </c>
      <c r="BQ245" s="45" t="n">
        <f aca="false">IF(BM245=0,0,BN245/BM245-1)</f>
        <v>0.00679985079368928</v>
      </c>
      <c r="BR245" s="44" t="n">
        <f aca="false">Parameters!$E$14*IF($N245="V",Parameters!$I$14,IF($N245="F",Parameters!$J$14,Parameters!$K$14))*(1-Parameters!$L$14*$P245)*IF($D245="V1",Parameters!$M$14,IF($D245="V2",Parameters!$N$14,Parameters!$O$14))*INDEX(Context!$AC$4:$AC$51,$K245)</f>
        <v>23.1</v>
      </c>
      <c r="BS245" s="44" t="n">
        <f aca="false">BR245*(1+INDEX(Response_Table!$N$4:$N$21,MATCH($F245&amp;"|mid",Response_Table!$A$4:$A$21,0))*$R245*INDEX(Parameters!$X$14:$AA$14,1,MATCH($E245,Parameters!$X$3:$AA$3,0)))</f>
        <v>24.7265358150897</v>
      </c>
      <c r="BT245" s="44" t="n">
        <f aca="false">MAX(0,MIN(BR245*(1+INDEX(Response_Table!$N$4:$N$21,MATCH($F245&amp;"|low",Response_Table!$A$4:$A$21,0))*$R245*INDEX(Parameters!$X$14:$AA$14,1,MATCH($E245,Parameters!$X$3:$AA$3,0))),BR245*(1+INDEX(Response_Table!$N$4:$N$21,MATCH($F245&amp;"|high",Response_Table!$A$4:$A$21,0))*$R245*INDEX(Parameters!$X$14:$AA$14,1,MATCH($E245,Parameters!$X$3:$AA$3,0))))*(1-Inputs_General!$C$22*Parameters!$F$14))</f>
        <v>12.3361798678656</v>
      </c>
      <c r="BU245" s="44" t="n">
        <f aca="false">MAX(BR245*(1+INDEX(Response_Table!$N$4:$N$21,MATCH($F245&amp;"|low",Response_Table!$A$4:$A$21,0))*$R245*INDEX(Parameters!$X$14:$AA$14,1,MATCH($E245,Parameters!$X$3:$AA$3,0))),BR245*(1+INDEX(Response_Table!$N$4:$N$21,MATCH($F245&amp;"|high",Response_Table!$A$4:$A$21,0))*$R245*INDEX(Parameters!$X$14:$AA$14,1,MATCH($E245,Parameters!$X$3:$AA$3,0))))*(1+Inputs_General!$C$22*Parameters!$F$14)</f>
        <v>37.4506217280406</v>
      </c>
      <c r="BV245" s="45" t="n">
        <f aca="false">IF(BR245=0,0,BS245/BR245-1)</f>
        <v>0.0704128058480373</v>
      </c>
      <c r="BW245" s="43" t="n">
        <f aca="false">Parameters!$E$15*IF($N245="V",Parameters!$I$15,IF($N245="F",Parameters!$J$15,Parameters!$K$15))*(1-Parameters!$L$15*$P245)*IF($D245="V1",Parameters!$M$15,IF($D245="V2",Parameters!$N$15,Parameters!$O$15))</f>
        <v>11.664</v>
      </c>
      <c r="BX245" s="43" t="n">
        <f aca="false">BW245*(1+INDEX(Response_Table!$O$4:$O$21,MATCH($F245&amp;"|mid",Response_Table!$A$4:$A$21,0))*$R245*INDEX(Parameters!$X$15:$AA$15,1,MATCH($E245,Parameters!$X$3:$AA$3,0)))</f>
        <v>11.4586762581471</v>
      </c>
      <c r="BY245" s="43" t="n">
        <f aca="false">MAX(0,MIN(BW245*(1+INDEX(Response_Table!$O$4:$O$21,MATCH($F245&amp;"|low",Response_Table!$A$4:$A$21,0))*$R245*INDEX(Parameters!$X$15:$AA$15,1,MATCH($E245,Parameters!$X$3:$AA$3,0))),BW245*(1+INDEX(Response_Table!$O$4:$O$21,MATCH($F245&amp;"|high",Response_Table!$A$4:$A$21,0))*$R245*INDEX(Parameters!$X$15:$AA$15,1,MATCH($E245,Parameters!$X$3:$AA$3,0))))*(1-Inputs_General!$C$22*Parameters!$F$15))</f>
        <v>9.16135359176732</v>
      </c>
      <c r="BZ245" s="43" t="n">
        <f aca="false">MAX(BW245*(1+INDEX(Response_Table!$O$4:$O$21,MATCH($F245&amp;"|low",Response_Table!$A$4:$A$21,0))*$R245*INDEX(Parameters!$X$15:$AA$15,1,MATCH($E245,Parameters!$X$3:$AA$3,0))),BW245*(1+INDEX(Response_Table!$O$4:$O$21,MATCH($F245&amp;"|high",Response_Table!$A$4:$A$21,0))*$R245*INDEX(Parameters!$X$15:$AA$15,1,MATCH($E245,Parameters!$X$3:$AA$3,0))))*(1+Inputs_General!$C$22*Parameters!$F$15)</f>
        <v>13.7766663249147</v>
      </c>
      <c r="CA245" s="45" t="n">
        <f aca="false">IF(BW245=0,0,BX245/BW245-1)</f>
        <v>-0.0176032014620094</v>
      </c>
      <c r="CB245" s="46" t="n">
        <f aca="false">BD245+BI245</f>
        <v>1.49152318939713</v>
      </c>
      <c r="CC245" s="43" t="n">
        <f aca="false">BD245/BI245</f>
        <v>2.72967529355384</v>
      </c>
      <c r="CD245" s="46" t="n">
        <f aca="false">BN245/CB245</f>
        <v>0.192379146040753</v>
      </c>
      <c r="CE245" s="43" t="n">
        <f aca="false">AE245/AO245</f>
        <v>3.88786968938774</v>
      </c>
      <c r="CF245" s="44" t="n">
        <f aca="false">AE245/AJ245</f>
        <v>37.4514869667335</v>
      </c>
      <c r="CG245" s="44" t="n">
        <f aca="false">INDEX(Context!$V$4:$V$51,$K245)</f>
        <v>22.6257142857143</v>
      </c>
      <c r="CH245" s="44" t="n">
        <f aca="false">INDEX(Context!$Y$4:$Y$51,$K245)</f>
        <v>21.3177449518561</v>
      </c>
      <c r="CI245" s="44" t="n">
        <f aca="false">INDEX(Context!$Z$4:$Z$51,$K245)</f>
        <v>26.6257142857143</v>
      </c>
      <c r="CJ245" s="43" t="n">
        <f aca="false">INDEX(Context!$AA$4:$AA$51,$K245)</f>
        <v>0.12</v>
      </c>
      <c r="CK245" s="43" t="n">
        <f aca="false">MAX(0,MIN(1,1-(1-CJ245)*AO245/AN245))</f>
        <v>0.21195105985061</v>
      </c>
      <c r="CL245" s="44" t="n">
        <f aca="false">CH245+CK245*(CI245-CH245)</f>
        <v>22.4427746778218</v>
      </c>
      <c r="CM245" s="44" t="n">
        <f aca="false">CH245+MAX(0,MIN(1,1-(1-CJ245)*AQ245/AN245))*(CI245-CH245)</f>
        <v>21.3177449518561</v>
      </c>
      <c r="CN245" s="44" t="n">
        <f aca="false">CH245+MAX(0,MIN(1,1-(1-CJ245)*AP245/AN245))*(CI245-CH245)</f>
        <v>23.7832224987335</v>
      </c>
      <c r="CO245" s="44" t="n">
        <f aca="false">CL245-CG245</f>
        <v>-0.182939607892447</v>
      </c>
      <c r="CP245" s="44" t="n">
        <f aca="false">CL245-(CH245+CJ245*(CI245-CH245))</f>
        <v>0.488073405902803</v>
      </c>
      <c r="CQ245" s="46" t="n">
        <f aca="false">CL245/CG245</f>
        <v>0.991914526737927</v>
      </c>
      <c r="CR245" s="43" t="n">
        <f aca="false">IF(CL245-CH245&lt;=0,"n/a",(CI245-CL245)/(CL245-CH245))</f>
        <v>3.71807029747731</v>
      </c>
      <c r="CS245" s="43" t="n">
        <f aca="false">IF(CI245-CL245&lt;=0,"n/a",(CL245-CH245)/(CI245-CL245))</f>
        <v>0.268956722168081</v>
      </c>
      <c r="CT245" s="43" t="n">
        <f aca="false">Inputs_General!$C$23+Inputs_General!$C$24*$I245</f>
        <v>0.76</v>
      </c>
      <c r="CU245" s="44" t="n">
        <f aca="false">3.29*CT245</f>
        <v>2.5004</v>
      </c>
    </row>
    <row r="246" customFormat="false" ht="15" hidden="false" customHeight="false" outlineLevel="0" collapsed="false">
      <c r="A246" s="9" t="str">
        <f aca="false">B246&amp;"|"&amp;E246&amp;"|"&amp;F246</f>
        <v>D4V2|11/02/2026|Moderate</v>
      </c>
      <c r="B246" s="7" t="s">
        <v>353</v>
      </c>
      <c r="C246" s="9" t="s">
        <v>133</v>
      </c>
      <c r="D246" s="9" t="s">
        <v>146</v>
      </c>
      <c r="E246" s="9" t="s">
        <v>158</v>
      </c>
      <c r="F246" s="7" t="s">
        <v>281</v>
      </c>
      <c r="G246" s="9" t="s">
        <v>282</v>
      </c>
      <c r="H246" s="41" t="n">
        <f aca="false">INDEX(Severity_Classes!$C$4:$C$9,MATCH(F246,Severity_Classes!$A$4:$A$9,0))</f>
        <v>0.11</v>
      </c>
      <c r="I246" s="41" t="n">
        <f aca="false">INDEX(Severity_Classes!$D$4:$D$9,MATCH(F246,Severity_Classes!$A$4:$A$9,0))</f>
        <v>0.18</v>
      </c>
      <c r="J246" s="41" t="n">
        <f aca="false">INDEX(Severity_Classes!$E$4:$E$9,MATCH(F246,Severity_Classes!$A$4:$A$9,0))</f>
        <v>0.25</v>
      </c>
      <c r="K246" s="42" t="n">
        <f aca="false">MATCH(B246&amp;"|"&amp;E246,Context!$A$4:$A$51,0)</f>
        <v>41</v>
      </c>
      <c r="L246" s="42" t="n">
        <f aca="false">INDEX(Context!$H$4:$H$51,K246)</f>
        <v>33</v>
      </c>
      <c r="M246" s="42" t="n">
        <f aca="false">INDEX(Context!$I$4:$I$51,K246)</f>
        <v>6</v>
      </c>
      <c r="N246" s="9" t="str">
        <f aca="false">INDEX(Context!$L$4:$L$51,K246)</f>
        <v>V</v>
      </c>
      <c r="O246" s="9" t="str">
        <f aca="false">INDEX(Context!$M$4:$M$51,K246)</f>
        <v>3rd fully expanded leaf from top</v>
      </c>
      <c r="P246" s="43" t="n">
        <f aca="false">INDEX(Context!$R$4:$R$51,K246)</f>
        <v>0</v>
      </c>
      <c r="Q246" s="43" t="n">
        <f aca="false">INDEX(Context!$U$4:$U$51,K246)</f>
        <v>0.937791824040773</v>
      </c>
      <c r="R246" s="43" t="n">
        <f aca="false">INDEX(Context!$AD$4:$AD$51,K246)</f>
        <v>1.1</v>
      </c>
      <c r="S246" s="9" t="str">
        <f aca="false">INDEX(Context!$AI$4:$AN$51,K246,MATCH(F246,Severity_Classes!$A$4:$A$9,0))</f>
        <v>Unlikely (only via pre-inoculation natural infection)</v>
      </c>
      <c r="T246" s="44" t="n">
        <f aca="false">Parameters!$E$4*IF($N246="V",Parameters!$I$4,IF($N246="F",Parameters!$J$4,Parameters!$K$4))*(1-Parameters!$L$4*$P246)*IF($D246="V1",Parameters!$M$4,IF($D246="V2",Parameters!$N$4,Parameters!$O$4))</f>
        <v>86</v>
      </c>
      <c r="U246" s="44" t="n">
        <f aca="false">MIN(100,T246*(1+INDEX(Response_Table!$E$4:$E$21,MATCH($F246&amp;"|mid",Response_Table!$A$4:$A$21,0))*$R246*INDEX(Parameters!$X$4:$AA$4,1,MATCH($E246,Parameters!$X$3:$AA$3,0))))</f>
        <v>83.848326470308</v>
      </c>
      <c r="V246" s="44" t="n">
        <f aca="false">MAX(0,MIN(T246*(1+INDEX(Response_Table!$E$4:$E$21,MATCH($F246&amp;"|low",Response_Table!$A$4:$A$21,0))*$R246*INDEX(Parameters!$X$4:$AA$4,1,MATCH($E246,Parameters!$X$3:$AA$3,0))),T246*(1+INDEX(Response_Table!$E$4:$E$21,MATCH($F246&amp;"|high",Response_Table!$A$4:$A$21,0))*$R246*INDEX(Parameters!$X$4:$AA$4,1,MATCH($E246,Parameters!$X$3:$AA$3,0))))*(1-Inputs_General!$C$22*Parameters!$F$4))</f>
        <v>76.8253618221922</v>
      </c>
      <c r="W246" s="44" t="n">
        <f aca="false">MIN(100,MAX(T246*(1+INDEX(Response_Table!$E$4:$E$21,MATCH($F246&amp;"|low",Response_Table!$A$4:$A$21,0))*$R246*INDEX(Parameters!$X$4:$AA$4,1,MATCH($E246,Parameters!$X$3:$AA$3,0))),T246*(1+INDEX(Response_Table!$E$4:$E$21,MATCH($F246&amp;"|high",Response_Table!$A$4:$A$21,0))*$R246*INDEX(Parameters!$X$4:$AA$4,1,MATCH($E246,Parameters!$X$3:$AA$3,0))))*(1+Inputs_General!$C$22*Parameters!$F$4))</f>
        <v>90.576855276321</v>
      </c>
      <c r="X246" s="45" t="n">
        <f aca="false">IF(T246=0,0,U246/T246-1)</f>
        <v>-0.0250194596475816</v>
      </c>
      <c r="Y246" s="44" t="n">
        <f aca="false">Parameters!$E$5*IF($N246="V",Parameters!$I$5,IF($N246="F",Parameters!$J$5,Parameters!$K$5))*(1-Parameters!$L$5*$P246)*IF($D246="V1",Parameters!$M$5,IF($D246="V2",Parameters!$N$5,Parameters!$O$5))</f>
        <v>72</v>
      </c>
      <c r="Z246" s="44" t="n">
        <f aca="false">MIN(100,Y246*(1+INDEX(Response_Table!$F$4:$F$21,MATCH($F246&amp;"|mid",Response_Table!$A$4:$A$21,0))*$R246*INDEX(Parameters!$X$5:$AA$5,1,MATCH($E246,Parameters!$X$3:$AA$3,0))))</f>
        <v>65.7772563011754</v>
      </c>
      <c r="AA246" s="44" t="n">
        <f aca="false">MAX(0,MIN(Y246*(1+INDEX(Response_Table!$F$4:$F$21,MATCH($F246&amp;"|low",Response_Table!$A$4:$A$21,0))*$R246*INDEX(Parameters!$X$5:$AA$5,1,MATCH($E246,Parameters!$X$3:$AA$3,0))),Y246*(1+INDEX(Response_Table!$F$4:$F$21,MATCH($F246&amp;"|high",Response_Table!$A$4:$A$21,0))*$R246*INDEX(Parameters!$X$5:$AA$5,1,MATCH($E246,Parameters!$X$3:$AA$3,0))))*(1-Inputs_General!$C$22*Parameters!$F$5))</f>
        <v>54.1279189317098</v>
      </c>
      <c r="AB246" s="44" t="n">
        <f aca="false">MIN(100,MAX(Y246*(1+INDEX(Response_Table!$F$4:$F$21,MATCH($F246&amp;"|low",Response_Table!$A$4:$A$21,0))*$R246*INDEX(Parameters!$X$5:$AA$5,1,MATCH($E246,Parameters!$X$3:$AA$3,0))),Y246*(1+INDEX(Response_Table!$F$4:$F$21,MATCH($F246&amp;"|high",Response_Table!$A$4:$A$21,0))*$R246*INDEX(Parameters!$X$5:$AA$5,1,MATCH($E246,Parameters!$X$3:$AA$3,0))))*(1+Inputs_General!$C$22*Parameters!$F$5))</f>
        <v>77.1053769816321</v>
      </c>
      <c r="AC246" s="45" t="n">
        <f aca="false">IF(Y246=0,0,Z246/Y246-1)</f>
        <v>-0.0864269958170085</v>
      </c>
      <c r="AD246" s="44" t="n">
        <f aca="false">Parameters!$E$6*IF($N246="V",Parameters!$I$6,IF($N246="F",Parameters!$J$6,Parameters!$K$6))*(1-Parameters!$L$6*$P246)*IF($D246="V1",Parameters!$M$6,IF($D246="V2",Parameters!$N$6,Parameters!$O$6))</f>
        <v>19</v>
      </c>
      <c r="AE246" s="44" t="n">
        <f aca="false">AD246*(1+INDEX(Response_Table!$G$4:$G$21,MATCH($F246&amp;"|mid",Response_Table!$A$4:$A$21,0))*$R246*INDEX(Parameters!$X$6:$AA$6,1,MATCH($E246,Parameters!$X$3:$AA$3,0)))</f>
        <v>12.139842680218</v>
      </c>
      <c r="AF246" s="44" t="n">
        <f aca="false">MAX(0,MIN(AD246*(1+INDEX(Response_Table!$G$4:$G$21,MATCH($F246&amp;"|low",Response_Table!$A$4:$A$21,0))*$R246*INDEX(Parameters!$X$6:$AA$6,1,MATCH($E246,Parameters!$X$3:$AA$3,0))),AD246*(1+INDEX(Response_Table!$G$4:$G$21,MATCH($F246&amp;"|high",Response_Table!$A$4:$A$21,0))*$R246*INDEX(Parameters!$X$6:$AA$6,1,MATCH($E246,Parameters!$X$3:$AA$3,0))))*(1-Inputs_General!$C$22*Parameters!$F$6))</f>
        <v>8.53501164047203</v>
      </c>
      <c r="AG246" s="44" t="n">
        <f aca="false">MAX(AD246*(1+INDEX(Response_Table!$G$4:$G$21,MATCH($F246&amp;"|low",Response_Table!$A$4:$A$21,0))*$R246*INDEX(Parameters!$X$6:$AA$6,1,MATCH($E246,Parameters!$X$3:$AA$3,0))),AD246*(1+INDEX(Response_Table!$G$4:$G$21,MATCH($F246&amp;"|high",Response_Table!$A$4:$A$21,0))*$R246*INDEX(Parameters!$X$6:$AA$6,1,MATCH($E246,Parameters!$X$3:$AA$3,0))))*(1+Inputs_General!$C$22*Parameters!$F$6)</f>
        <v>16.989390786741</v>
      </c>
      <c r="AH246" s="45" t="n">
        <f aca="false">IF(AD246=0,0,AE246/AD246-1)</f>
        <v>-0.361060911567472</v>
      </c>
      <c r="AI246" s="46" t="n">
        <f aca="false">Parameters!$E$7*IF($N246="V",Parameters!$I$7,IF($N246="F",Parameters!$J$7,Parameters!$K$7))*(1-Parameters!$L$7*$P246)*IF($D246="V1",Parameters!$M$7,IF($D246="V2",Parameters!$N$7,Parameters!$O$7))*POWER($Q246/Inputs_General!$C$26,-Inputs_General!$C$25)</f>
        <v>0.464685683730118</v>
      </c>
      <c r="AJ246" s="46" t="n">
        <f aca="false">AI246*(1+INDEX(Response_Table!$H$4:$H$21,MATCH($F246&amp;"|mid",Response_Table!$A$4:$A$21,0))*$R246*INDEX(Parameters!$X$7:$AA$7,1,MATCH($E246,Parameters!$X$3:$AA$3,0)))</f>
        <v>0.353780081131939</v>
      </c>
      <c r="AK246" s="46" t="n">
        <f aca="false">MAX(0,MIN(AI246*(1+INDEX(Response_Table!$H$4:$H$21,MATCH($F246&amp;"|low",Response_Table!$A$4:$A$21,0))*$R246*INDEX(Parameters!$X$7:$AA$7,1,MATCH($E246,Parameters!$X$3:$AA$3,0))),AI246*(1+INDEX(Response_Table!$H$4:$H$21,MATCH($F246&amp;"|high",Response_Table!$A$4:$A$21,0))*$R246*INDEX(Parameters!$X$7:$AA$7,1,MATCH($E246,Parameters!$X$3:$AA$3,0))))*(1-Inputs_General!$C$22*Parameters!$F$7))</f>
        <v>0.228373739796102</v>
      </c>
      <c r="AL246" s="46" t="n">
        <f aca="false">MAX(AI246*(1+INDEX(Response_Table!$H$4:$H$21,MATCH($F246&amp;"|low",Response_Table!$A$4:$A$21,0))*$R246*INDEX(Parameters!$X$7:$AA$7,1,MATCH($E246,Parameters!$X$3:$AA$3,0))),AI246*(1+INDEX(Response_Table!$H$4:$H$21,MATCH($F246&amp;"|high",Response_Table!$A$4:$A$21,0))*$R246*INDEX(Parameters!$X$7:$AA$7,1,MATCH($E246,Parameters!$X$3:$AA$3,0))))*(1+Inputs_General!$C$22*Parameters!$F$7)</f>
        <v>0.505447313910092</v>
      </c>
      <c r="AM246" s="45" t="n">
        <f aca="false">IF(AI246=0,0,AJ246/AI246-1)</f>
        <v>-0.238667999642078</v>
      </c>
      <c r="AN246" s="43" t="n">
        <f aca="false">AI246*$Q246/Inputs_General!$C$13*1000</f>
        <v>4.38850387664553</v>
      </c>
      <c r="AO246" s="43" t="n">
        <f aca="false">AJ246*$Q246/Inputs_General!$C$13*1000*(1+Inputs_General!$C$21*$I246)</f>
        <v>3.49145831455936</v>
      </c>
      <c r="AP246" s="43" t="n">
        <f aca="false">AK246*$Q246/Inputs_General!$C$13*1000*(1+Inputs_General!$C$21*$H246)</f>
        <v>2.2160787434197</v>
      </c>
      <c r="AQ246" s="43" t="n">
        <f aca="false">AL246*$Q246/Inputs_General!$C$13*1000*(1+Inputs_General!$C$21*$J246)</f>
        <v>5.07179890103243</v>
      </c>
      <c r="AR246" s="45" t="n">
        <f aca="false">IF(AN246=0,0,AO246/AN246-1)</f>
        <v>-0.204408059625971</v>
      </c>
      <c r="AS246" s="42" t="n">
        <f aca="false">Parameters!$E$9*IF($N246="V",Parameters!$I$9,IF($N246="F",Parameters!$J$9,Parameters!$K$9))*(1-Parameters!$L$9*$P246)*IF($D246="V1",Parameters!$M$9,IF($D246="V2",Parameters!$N$9,Parameters!$O$9))</f>
        <v>285</v>
      </c>
      <c r="AT246" s="42" t="n">
        <f aca="false">AS246*(1+INDEX(Response_Table!$I$4:$I$21,MATCH($F246&amp;"|mid",Response_Table!$A$4:$A$21,0))*$R246*INDEX(Parameters!$X$9:$AA$9,1,MATCH($E246,Parameters!$X$3:$AA$3,0)))</f>
        <v>323.616760261572</v>
      </c>
      <c r="AU246" s="42" t="n">
        <f aca="false">MAX(0,MIN(AS246*(1+INDEX(Response_Table!$I$4:$I$21,MATCH($F246&amp;"|low",Response_Table!$A$4:$A$21,0))*$R246*INDEX(Parameters!$X$9:$AA$9,1,MATCH($E246,Parameters!$X$3:$AA$3,0))),AS246*(1+INDEX(Response_Table!$I$4:$I$21,MATCH($F246&amp;"|high",Response_Table!$A$4:$A$21,0))*$R246*INDEX(Parameters!$X$9:$AA$9,1,MATCH($E246,Parameters!$X$3:$AA$3,0))))*(1-Inputs_General!$C$22*Parameters!$F$9))</f>
        <v>281.009747219515</v>
      </c>
      <c r="AV246" s="42" t="n">
        <f aca="false">MAX(AS246*(1+INDEX(Response_Table!$I$4:$I$21,MATCH($F246&amp;"|low",Response_Table!$A$4:$A$21,0))*$R246*INDEX(Parameters!$X$9:$AA$9,1,MATCH($E246,Parameters!$X$3:$AA$3,0))),AS246*(1+INDEX(Response_Table!$I$4:$I$21,MATCH($F246&amp;"|high",Response_Table!$A$4:$A$21,0))*$R246*INDEX(Parameters!$X$9:$AA$9,1,MATCH($E246,Parameters!$X$3:$AA$3,0))))*(1+Inputs_General!$C$22*Parameters!$F$9)</f>
        <v>365.384496954787</v>
      </c>
      <c r="AW246" s="45" t="n">
        <f aca="false">IF(AS246=0,0,AT246/AS246-1)</f>
        <v>0.135497404426568</v>
      </c>
      <c r="AX246" s="43" t="n">
        <f aca="false">INDEX(Context!$AB$4:$AB$51,$K246)</f>
        <v>0.458305270557464</v>
      </c>
      <c r="AY246" s="43" t="n">
        <f aca="false">AX246*(1+INDEX(Response_Table!$J$4:$J$21,MATCH($F246&amp;"|mid",Response_Table!$A$4:$A$21,0))*$R246*INDEX(Parameters!$X$10:$AA$10,1,MATCH($E246,Parameters!$X$3:$AA$3,0)))</f>
        <v>0.41720123087415</v>
      </c>
      <c r="AZ246" s="43" t="n">
        <f aca="false">MAX(0,MIN(AX246*(1+INDEX(Response_Table!$J$4:$J$21,MATCH($F246&amp;"|low",Response_Table!$A$4:$A$21,0))*$R246*INDEX(Parameters!$X$10:$AA$10,1,MATCH($E246,Parameters!$X$3:$AA$3,0))),AX246*(1+INDEX(Response_Table!$J$4:$J$21,MATCH($F246&amp;"|high",Response_Table!$A$4:$A$21,0))*$R246*INDEX(Parameters!$X$10:$AA$10,1,MATCH($E246,Parameters!$X$3:$AA$3,0))))*(1-Inputs_General!$C$22*Parameters!$F$10))</f>
        <v>0.325526306634691</v>
      </c>
      <c r="BA246" s="43" t="n">
        <f aca="false">MAX(AX246*(1+INDEX(Response_Table!$J$4:$J$21,MATCH($F246&amp;"|low",Response_Table!$A$4:$A$21,0))*$R246*INDEX(Parameters!$X$10:$AA$10,1,MATCH($E246,Parameters!$X$3:$AA$3,0))),AX246*(1+INDEX(Response_Table!$J$4:$J$21,MATCH($F246&amp;"|high",Response_Table!$A$4:$A$21,0))*$R246*INDEX(Parameters!$X$10:$AA$10,1,MATCH($E246,Parameters!$X$3:$AA$3,0))))*(1+Inputs_General!$C$22*Parameters!$F$10)</f>
        <v>0.516119396975535</v>
      </c>
      <c r="BB246" s="45" t="n">
        <f aca="false">IF(AX246=0,0,AY246/AX246-1)</f>
        <v>-0.0896870324736111</v>
      </c>
      <c r="BC246" s="46" t="n">
        <f aca="false">Parameters!$E$11*IF($N246="V",Parameters!$I$11,IF($N246="F",Parameters!$J$11,Parameters!$K$11))*(1-Parameters!$L$11*$P246)*IF($D246="V1",Parameters!$M$11,IF($D246="V2",Parameters!$N$11,Parameters!$O$11))</f>
        <v>1.1875</v>
      </c>
      <c r="BD246" s="46" t="n">
        <f aca="false">BC246*(1+INDEX(Response_Table!$K$4:$K$21,MATCH($F246&amp;"|mid",Response_Table!$A$4:$A$21,0))*$R246*INDEX(Parameters!$X$11:$AA$11,1,MATCH($E246,Parameters!$X$3:$AA$3,0)))</f>
        <v>1.00161578493746</v>
      </c>
      <c r="BE246" s="46" t="n">
        <f aca="false">MAX(0,MIN(BC246*(1+INDEX(Response_Table!$K$4:$K$21,MATCH($F246&amp;"|low",Response_Table!$A$4:$A$21,0))*$R246*INDEX(Parameters!$X$11:$AA$11,1,MATCH($E246,Parameters!$X$3:$AA$3,0))),BC246*(1+INDEX(Response_Table!$K$4:$K$21,MATCH($F246&amp;"|high",Response_Table!$A$4:$A$21,0))*$R246*INDEX(Parameters!$X$11:$AA$11,1,MATCH($E246,Parameters!$X$3:$AA$3,0))))*(1-Inputs_General!$C$22*Parameters!$F$11))</f>
        <v>0.796835513694636</v>
      </c>
      <c r="BF246" s="46" t="n">
        <f aca="false">MAX(BC246*(1+INDEX(Response_Table!$K$4:$K$21,MATCH($F246&amp;"|low",Response_Table!$A$4:$A$21,0))*$R246*INDEX(Parameters!$X$11:$AA$11,1,MATCH($E246,Parameters!$X$3:$AA$3,0))),BC246*(1+INDEX(Response_Table!$K$4:$K$21,MATCH($F246&amp;"|high",Response_Table!$A$4:$A$21,0))*$R246*INDEX(Parameters!$X$11:$AA$11,1,MATCH($E246,Parameters!$X$3:$AA$3,0))))*(1+Inputs_General!$C$22*Parameters!$F$11)</f>
        <v>1.23615534069478</v>
      </c>
      <c r="BG246" s="45" t="n">
        <f aca="false">IF(BC246=0,0,BD246/BC246-1)</f>
        <v>-0.156534075842136</v>
      </c>
      <c r="BH246" s="46" t="n">
        <f aca="false">Parameters!$E$12*IF($N246="V",Parameters!$I$12,IF($N246="F",Parameters!$J$12,Parameters!$K$12))*(1-Parameters!$L$12*$P246)*IF($D246="V1",Parameters!$M$12,IF($D246="V2",Parameters!$N$12,Parameters!$O$12))</f>
        <v>0.4275</v>
      </c>
      <c r="BI246" s="46" t="n">
        <f aca="false">BH246*(1+INDEX(Response_Table!$L$4:$L$21,MATCH($F246&amp;"|mid",Response_Table!$A$4:$A$21,0))*$R246*INDEX(Parameters!$X$12:$AA$12,1,MATCH($E246,Parameters!$X$3:$AA$3,0)))</f>
        <v>0.373541525561689</v>
      </c>
      <c r="BJ246" s="46" t="n">
        <f aca="false">MAX(0,MIN(BH246*(1+INDEX(Response_Table!$L$4:$L$21,MATCH($F246&amp;"|low",Response_Table!$A$4:$A$21,0))*$R246*INDEX(Parameters!$X$12:$AA$12,1,MATCH($E246,Parameters!$X$3:$AA$3,0))),BH246*(1+INDEX(Response_Table!$L$4:$L$21,MATCH($F246&amp;"|high",Response_Table!$A$4:$A$21,0))*$R246*INDEX(Parameters!$X$12:$AA$12,1,MATCH($E246,Parameters!$X$3:$AA$3,0))))*(1-Inputs_General!$C$22*Parameters!$F$12))</f>
        <v>0.288347776179392</v>
      </c>
      <c r="BK246" s="46" t="n">
        <f aca="false">MAX(BH246*(1+INDEX(Response_Table!$L$4:$L$21,MATCH($F246&amp;"|low",Response_Table!$A$4:$A$21,0))*$R246*INDEX(Parameters!$X$12:$AA$12,1,MATCH($E246,Parameters!$X$3:$AA$3,0))),BH246*(1+INDEX(Response_Table!$L$4:$L$21,MATCH($F246&amp;"|high",Response_Table!$A$4:$A$21,0))*$R246*INDEX(Parameters!$X$12:$AA$12,1,MATCH($E246,Parameters!$X$3:$AA$3,0))))*(1+Inputs_General!$C$22*Parameters!$F$12)</f>
        <v>0.468364888185063</v>
      </c>
      <c r="BL246" s="45" t="n">
        <f aca="false">IF(BH246=0,0,BI246/BH246-1)</f>
        <v>-0.126218653656868</v>
      </c>
      <c r="BM246" s="46" t="n">
        <f aca="false">Parameters!$E$13*IF($N246="V",Parameters!$I$13,IF($N246="F",Parameters!$J$13,Parameters!$K$13))*(1-Parameters!$L$13*$P246)*IF($D246="V1",Parameters!$M$13,IF($D246="V2",Parameters!$N$13,Parameters!$O$13))</f>
        <v>0.285</v>
      </c>
      <c r="BN246" s="46" t="n">
        <f aca="false">BM246*(1+INDEX(Response_Table!$M$4:$M$21,MATCH($F246&amp;"|mid",Response_Table!$A$4:$A$21,0))*$R246*INDEX(Parameters!$X$13:$AA$13,1,MATCH($E246,Parameters!$X$3:$AA$3,0)))</f>
        <v>0.271516132146417</v>
      </c>
      <c r="BO246" s="46" t="n">
        <f aca="false">MAX(0,MIN(BM246*(1+INDEX(Response_Table!$M$4:$M$21,MATCH($F246&amp;"|low",Response_Table!$A$4:$A$21,0))*$R246*INDEX(Parameters!$X$13:$AA$13,1,MATCH($E246,Parameters!$X$3:$AA$3,0))),BM246*(1+INDEX(Response_Table!$M$4:$M$21,MATCH($F246&amp;"|high",Response_Table!$A$4:$A$21,0))*$R246*INDEX(Parameters!$X$13:$AA$13,1,MATCH($E246,Parameters!$X$3:$AA$3,0))))*(1-Inputs_General!$C$22*Parameters!$F$13))</f>
        <v>0.209206756175763</v>
      </c>
      <c r="BP246" s="46" t="n">
        <f aca="false">MAX(BM246*(1+INDEX(Response_Table!$M$4:$M$21,MATCH($F246&amp;"|low",Response_Table!$A$4:$A$21,0))*$R246*INDEX(Parameters!$X$13:$AA$13,1,MATCH($E246,Parameters!$X$3:$AA$3,0))),BM246*(1+INDEX(Response_Table!$M$4:$M$21,MATCH($F246&amp;"|high",Response_Table!$A$4:$A$21,0))*$R246*INDEX(Parameters!$X$13:$AA$13,1,MATCH($E246,Parameters!$X$3:$AA$3,0))))*(1+Inputs_General!$C$22*Parameters!$F$13)</f>
        <v>0.338838069459107</v>
      </c>
      <c r="BQ246" s="45" t="n">
        <f aca="false">IF(BM246=0,0,BN246/BM246-1)</f>
        <v>-0.0473118170301174</v>
      </c>
      <c r="BR246" s="44" t="n">
        <f aca="false">Parameters!$E$14*IF($N246="V",Parameters!$I$14,IF($N246="F",Parameters!$J$14,Parameters!$K$14))*(1-Parameters!$L$14*$P246)*IF($D246="V1",Parameters!$M$14,IF($D246="V2",Parameters!$N$14,Parameters!$O$14))*INDEX(Context!$AC$4:$AC$51,$K246)</f>
        <v>23.1</v>
      </c>
      <c r="BS246" s="44" t="n">
        <f aca="false">BR246*(1+INDEX(Response_Table!$N$4:$N$21,MATCH($F246&amp;"|mid",Response_Table!$A$4:$A$21,0))*$R246*INDEX(Parameters!$X$14:$AA$14,1,MATCH($E246,Parameters!$X$3:$AA$3,0)))</f>
        <v>26.2807100721531</v>
      </c>
      <c r="BT246" s="44" t="n">
        <f aca="false">MAX(0,MIN(BR246*(1+INDEX(Response_Table!$N$4:$N$21,MATCH($F246&amp;"|low",Response_Table!$A$4:$A$21,0))*$R246*INDEX(Parameters!$X$14:$AA$14,1,MATCH($E246,Parameters!$X$3:$AA$3,0))),BR246*(1+INDEX(Response_Table!$N$4:$N$21,MATCH($F246&amp;"|high",Response_Table!$A$4:$A$21,0))*$R246*INDEX(Parameters!$X$14:$AA$14,1,MATCH($E246,Parameters!$X$3:$AA$3,0))))*(1-Inputs_General!$C$22*Parameters!$F$14))</f>
        <v>12.7853993784945</v>
      </c>
      <c r="BU246" s="44" t="n">
        <f aca="false">MAX(BR246*(1+INDEX(Response_Table!$N$4:$N$21,MATCH($F246&amp;"|low",Response_Table!$A$4:$A$21,0))*$R246*INDEX(Parameters!$X$14:$AA$14,1,MATCH($E246,Parameters!$X$3:$AA$3,0))),BR246*(1+INDEX(Response_Table!$N$4:$N$21,MATCH($F246&amp;"|high",Response_Table!$A$4:$A$21,0))*$R246*INDEX(Parameters!$X$14:$AA$14,1,MATCH($E246,Parameters!$X$3:$AA$3,0))))*(1+Inputs_General!$C$22*Parameters!$F$14)</f>
        <v>40.5069306791879</v>
      </c>
      <c r="BV246" s="45" t="n">
        <f aca="false">IF(BR246=0,0,BS246/BR246-1)</f>
        <v>0.137693076716583</v>
      </c>
      <c r="BW246" s="43" t="n">
        <f aca="false">Parameters!$E$15*IF($N246="V",Parameters!$I$15,IF($N246="F",Parameters!$J$15,Parameters!$K$15))*(1-Parameters!$L$15*$P246)*IF($D246="V1",Parameters!$M$15,IF($D246="V2",Parameters!$N$15,Parameters!$O$15))</f>
        <v>11.664</v>
      </c>
      <c r="BX246" s="43" t="n">
        <f aca="false">BW246*(1+INDEX(Response_Table!$O$4:$O$21,MATCH($F246&amp;"|mid",Response_Table!$A$4:$A$21,0))*$R246*INDEX(Parameters!$X$15:$AA$15,1,MATCH($E246,Parameters!$X$3:$AA$3,0)))</f>
        <v>11.2624869882944</v>
      </c>
      <c r="BY246" s="43" t="n">
        <f aca="false">MAX(0,MIN(BW246*(1+INDEX(Response_Table!$O$4:$O$21,MATCH($F246&amp;"|low",Response_Table!$A$4:$A$21,0))*$R246*INDEX(Parameters!$X$15:$AA$15,1,MATCH($E246,Parameters!$X$3:$AA$3,0))),BW246*(1+INDEX(Response_Table!$O$4:$O$21,MATCH($F246&amp;"|high",Response_Table!$A$4:$A$21,0))*$R246*INDEX(Parameters!$X$15:$AA$15,1,MATCH($E246,Parameters!$X$3:$AA$3,0))))*(1-Inputs_General!$C$22*Parameters!$F$15))</f>
        <v>8.95402140820187</v>
      </c>
      <c r="BZ246" s="43" t="n">
        <f aca="false">MAX(BW246*(1+INDEX(Response_Table!$O$4:$O$21,MATCH($F246&amp;"|low",Response_Table!$A$4:$A$21,0))*$R246*INDEX(Parameters!$X$15:$AA$15,1,MATCH($E246,Parameters!$X$3:$AA$3,0))),BW246*(1+INDEX(Response_Table!$O$4:$O$21,MATCH($F246&amp;"|high",Response_Table!$A$4:$A$21,0))*$R246*INDEX(Parameters!$X$15:$AA$15,1,MATCH($E246,Parameters!$X$3:$AA$3,0))))*(1+Inputs_General!$C$22*Parameters!$F$15)</f>
        <v>13.6426079488297</v>
      </c>
      <c r="CA246" s="45" t="n">
        <f aca="false">IF(BW246=0,0,BX246/BW246-1)</f>
        <v>-0.0344232691791458</v>
      </c>
      <c r="CB246" s="46" t="n">
        <f aca="false">BD246+BI246</f>
        <v>1.37515731049915</v>
      </c>
      <c r="CC246" s="43" t="n">
        <f aca="false">BD246/BI246</f>
        <v>2.68140411814014</v>
      </c>
      <c r="CD246" s="46" t="n">
        <f aca="false">BN246/CB246</f>
        <v>0.197443688859031</v>
      </c>
      <c r="CE246" s="43" t="n">
        <f aca="false">AE246/AO246</f>
        <v>3.47701206386883</v>
      </c>
      <c r="CF246" s="44" t="n">
        <f aca="false">AE246/AJ246</f>
        <v>34.3146585341264</v>
      </c>
      <c r="CG246" s="44" t="n">
        <f aca="false">INDEX(Context!$V$4:$V$51,$K246)</f>
        <v>22.6257142857143</v>
      </c>
      <c r="CH246" s="44" t="n">
        <f aca="false">INDEX(Context!$Y$4:$Y$51,$K246)</f>
        <v>21.3177449518561</v>
      </c>
      <c r="CI246" s="44" t="n">
        <f aca="false">INDEX(Context!$Z$4:$Z$51,$K246)</f>
        <v>26.6257142857143</v>
      </c>
      <c r="CJ246" s="43" t="n">
        <f aca="false">INDEX(Context!$AA$4:$AA$51,$K246)</f>
        <v>0.12</v>
      </c>
      <c r="CK246" s="43" t="n">
        <f aca="false">MAX(0,MIN(1,1-(1-CJ246)*AO246/AN246))</f>
        <v>0.299879092470855</v>
      </c>
      <c r="CL246" s="44" t="n">
        <f aca="false">CH246+CK246*(CI246-CH246)</f>
        <v>22.9094939785566</v>
      </c>
      <c r="CM246" s="44" t="n">
        <f aca="false">CH246+MAX(0,MIN(1,1-(1-CJ246)*AQ246/AN246))*(CI246-CH246)</f>
        <v>21.3177449518561</v>
      </c>
      <c r="CN246" s="44" t="n">
        <f aca="false">CH246+MAX(0,MIN(1,1-(1-CJ246)*AP246/AN246))*(CI246-CH246)</f>
        <v>24.2669758771201</v>
      </c>
      <c r="CO246" s="44" t="n">
        <f aca="false">CL246-CG246</f>
        <v>0.283779692842298</v>
      </c>
      <c r="CP246" s="44" t="n">
        <f aca="false">CL246-(CH246+CJ246*(CI246-CH246))</f>
        <v>0.954792706637548</v>
      </c>
      <c r="CQ246" s="46" t="n">
        <f aca="false">CL246/CG246</f>
        <v>1.01254235288481</v>
      </c>
      <c r="CR246" s="43" t="n">
        <f aca="false">IF(CL246-CH246&lt;=0,"n/a",(CI246-CL246)/(CL246-CH246))</f>
        <v>2.3346772919729</v>
      </c>
      <c r="CS246" s="43" t="n">
        <f aca="false">IF(CI246-CL246&lt;=0,"n/a",(CL246-CH246)/(CI246-CL246))</f>
        <v>0.428324721124503</v>
      </c>
      <c r="CT246" s="43" t="n">
        <f aca="false">Inputs_General!$C$23+Inputs_General!$C$24*$I246</f>
        <v>0.96</v>
      </c>
      <c r="CU246" s="44" t="n">
        <f aca="false">3.29*CT246</f>
        <v>3.1584</v>
      </c>
    </row>
    <row r="247" customFormat="false" ht="15" hidden="false" customHeight="false" outlineLevel="0" collapsed="false">
      <c r="A247" s="9" t="str">
        <f aca="false">B247&amp;"|"&amp;E247&amp;"|"&amp;F247</f>
        <v>D4V2|11/02/2026|High</v>
      </c>
      <c r="B247" s="7" t="s">
        <v>353</v>
      </c>
      <c r="C247" s="9" t="s">
        <v>133</v>
      </c>
      <c r="D247" s="9" t="s">
        <v>146</v>
      </c>
      <c r="E247" s="9" t="s">
        <v>158</v>
      </c>
      <c r="F247" s="7" t="s">
        <v>283</v>
      </c>
      <c r="G247" s="9" t="s">
        <v>284</v>
      </c>
      <c r="H247" s="41" t="n">
        <f aca="false">INDEX(Severity_Classes!$C$4:$C$9,MATCH(F247,Severity_Classes!$A$4:$A$9,0))</f>
        <v>0.26</v>
      </c>
      <c r="I247" s="41" t="n">
        <f aca="false">INDEX(Severity_Classes!$D$4:$D$9,MATCH(F247,Severity_Classes!$A$4:$A$9,0))</f>
        <v>0.38</v>
      </c>
      <c r="J247" s="41" t="n">
        <f aca="false">INDEX(Severity_Classes!$E$4:$E$9,MATCH(F247,Severity_Classes!$A$4:$A$9,0))</f>
        <v>0.5</v>
      </c>
      <c r="K247" s="42" t="n">
        <f aca="false">MATCH(B247&amp;"|"&amp;E247,Context!$A$4:$A$51,0)</f>
        <v>41</v>
      </c>
      <c r="L247" s="42" t="n">
        <f aca="false">INDEX(Context!$H$4:$H$51,K247)</f>
        <v>33</v>
      </c>
      <c r="M247" s="42" t="n">
        <f aca="false">INDEX(Context!$I$4:$I$51,K247)</f>
        <v>6</v>
      </c>
      <c r="N247" s="9" t="str">
        <f aca="false">INDEX(Context!$L$4:$L$51,K247)</f>
        <v>V</v>
      </c>
      <c r="O247" s="9" t="str">
        <f aca="false">INDEX(Context!$M$4:$M$51,K247)</f>
        <v>3rd fully expanded leaf from top</v>
      </c>
      <c r="P247" s="43" t="n">
        <f aca="false">INDEX(Context!$R$4:$R$51,K247)</f>
        <v>0</v>
      </c>
      <c r="Q247" s="43" t="n">
        <f aca="false">INDEX(Context!$U$4:$U$51,K247)</f>
        <v>0.937791824040773</v>
      </c>
      <c r="R247" s="43" t="n">
        <f aca="false">INDEX(Context!$AD$4:$AD$51,K247)</f>
        <v>1.1</v>
      </c>
      <c r="S247" s="9" t="str">
        <f aca="false">INDEX(Context!$AI$4:$AN$51,K247,MATCH(F247,Severity_Classes!$A$4:$A$9,0))</f>
        <v>Unlikely (only via pre-inoculation natural infection)</v>
      </c>
      <c r="T247" s="44" t="n">
        <f aca="false">Parameters!$E$4*IF($N247="V",Parameters!$I$4,IF($N247="F",Parameters!$J$4,Parameters!$K$4))*(1-Parameters!$L$4*$P247)*IF($D247="V1",Parameters!$M$4,IF($D247="V2",Parameters!$N$4,Parameters!$O$4))</f>
        <v>86</v>
      </c>
      <c r="U247" s="44" t="n">
        <f aca="false">MIN(100,T247*(1+INDEX(Response_Table!$E$4:$E$21,MATCH($F247&amp;"|mid",Response_Table!$A$4:$A$21,0))*$R247*INDEX(Parameters!$X$4:$AA$4,1,MATCH($E247,Parameters!$X$3:$AA$3,0))))</f>
        <v>78.3589088840323</v>
      </c>
      <c r="V247" s="44" t="n">
        <f aca="false">MAX(0,MIN(T247*(1+INDEX(Response_Table!$E$4:$E$21,MATCH($F247&amp;"|low",Response_Table!$A$4:$A$21,0))*$R247*INDEX(Parameters!$X$4:$AA$4,1,MATCH($E247,Parameters!$X$3:$AA$3,0))),T247*(1+INDEX(Response_Table!$E$4:$E$21,MATCH($F247&amp;"|high",Response_Table!$A$4:$A$21,0))*$R247*INDEX(Parameters!$X$4:$AA$4,1,MATCH($E247,Parameters!$X$3:$AA$3,0))))*(1-Inputs_General!$C$22*Parameters!$F$4))</f>
        <v>70.1968349510748</v>
      </c>
      <c r="W247" s="44" t="n">
        <f aca="false">MIN(100,MAX(T247*(1+INDEX(Response_Table!$E$4:$E$21,MATCH($F247&amp;"|low",Response_Table!$A$4:$A$21,0))*$R247*INDEX(Parameters!$X$4:$AA$4,1,MATCH($E247,Parameters!$X$3:$AA$3,0))),T247*(1+INDEX(Response_Table!$E$4:$E$21,MATCH($F247&amp;"|high",Response_Table!$A$4:$A$21,0))*$R247*INDEX(Parameters!$X$4:$AA$4,1,MATCH($E247,Parameters!$X$3:$AA$3,0))))*(1+Inputs_General!$C$22*Parameters!$F$4))</f>
        <v>87.3626344207189</v>
      </c>
      <c r="X247" s="45" t="n">
        <f aca="false">IF(T247=0,0,U247/T247-1)</f>
        <v>-0.0888498966972993</v>
      </c>
      <c r="Y247" s="44" t="n">
        <f aca="false">Parameters!$E$5*IF($N247="V",Parameters!$I$5,IF($N247="F",Parameters!$J$5,Parameters!$K$5))*(1-Parameters!$L$5*$P247)*IF($D247="V1",Parameters!$M$5,IF($D247="V2",Parameters!$N$5,Parameters!$O$5))</f>
        <v>72</v>
      </c>
      <c r="Z247" s="44" t="n">
        <f aca="false">MIN(100,Y247*(1+INDEX(Response_Table!$F$4:$F$21,MATCH($F247&amp;"|mid",Response_Table!$A$4:$A$21,0))*$R247*INDEX(Parameters!$X$5:$AA$5,1,MATCH($E247,Parameters!$X$3:$AA$3,0))))</f>
        <v>52.1883986347957</v>
      </c>
      <c r="AA247" s="44" t="n">
        <f aca="false">MAX(0,MIN(Y247*(1+INDEX(Response_Table!$F$4:$F$21,MATCH($F247&amp;"|low",Response_Table!$A$4:$A$21,0))*$R247*INDEX(Parameters!$X$5:$AA$5,1,MATCH($E247,Parameters!$X$3:$AA$3,0))),Y247*(1+INDEX(Response_Table!$F$4:$F$21,MATCH($F247&amp;"|high",Response_Table!$A$4:$A$21,0))*$R247*INDEX(Parameters!$X$5:$AA$5,1,MATCH($E247,Parameters!$X$3:$AA$3,0))))*(1-Inputs_General!$C$22*Parameters!$F$5))</f>
        <v>41.7766252052624</v>
      </c>
      <c r="AB247" s="44" t="n">
        <f aca="false">MIN(100,MAX(Y247*(1+INDEX(Response_Table!$F$4:$F$21,MATCH($F247&amp;"|low",Response_Table!$A$4:$A$21,0))*$R247*INDEX(Parameters!$X$5:$AA$5,1,MATCH($E247,Parameters!$X$3:$AA$3,0))),Y247*(1+INDEX(Response_Table!$F$4:$F$21,MATCH($F247&amp;"|high",Response_Table!$A$4:$A$21,0))*$R247*INDEX(Parameters!$X$5:$AA$5,1,MATCH($E247,Parameters!$X$3:$AA$3,0))))*(1+Inputs_General!$C$22*Parameters!$F$5))</f>
        <v>67.4088423430151</v>
      </c>
      <c r="AC247" s="45" t="n">
        <f aca="false">IF(Y247=0,0,Z247/Y247-1)</f>
        <v>-0.275161130072283</v>
      </c>
      <c r="AD247" s="44" t="n">
        <f aca="false">Parameters!$E$6*IF($N247="V",Parameters!$I$6,IF($N247="F",Parameters!$J$6,Parameters!$K$6))*(1-Parameters!$L$6*$P247)*IF($D247="V1",Parameters!$M$6,IF($D247="V2",Parameters!$N$6,Parameters!$O$6))</f>
        <v>19</v>
      </c>
      <c r="AE247" s="44" t="n">
        <f aca="false">AD247*(1+INDEX(Response_Table!$G$4:$G$21,MATCH($F247&amp;"|mid",Response_Table!$A$4:$A$21,0))*$R247*INDEX(Parameters!$X$6:$AA$6,1,MATCH($E247,Parameters!$X$3:$AA$3,0)))</f>
        <v>8.81590168479415</v>
      </c>
      <c r="AF247" s="44" t="n">
        <f aca="false">MAX(0,MIN(AD247*(1+INDEX(Response_Table!$G$4:$G$21,MATCH($F247&amp;"|low",Response_Table!$A$4:$A$21,0))*$R247*INDEX(Parameters!$X$6:$AA$6,1,MATCH($E247,Parameters!$X$3:$AA$3,0))),AD247*(1+INDEX(Response_Table!$G$4:$G$21,MATCH($F247&amp;"|high",Response_Table!$A$4:$A$21,0))*$R247*INDEX(Parameters!$X$6:$AA$6,1,MATCH($E247,Parameters!$X$3:$AA$3,0))))*(1-Inputs_General!$C$22*Parameters!$F$6))</f>
        <v>6.29998591086618</v>
      </c>
      <c r="AG247" s="44" t="n">
        <f aca="false">MAX(AD247*(1+INDEX(Response_Table!$G$4:$G$21,MATCH($F247&amp;"|low",Response_Table!$A$4:$A$21,0))*$R247*INDEX(Parameters!$X$6:$AA$6,1,MATCH($E247,Parameters!$X$3:$AA$3,0))),AD247*(1+INDEX(Response_Table!$G$4:$G$21,MATCH($F247&amp;"|high",Response_Table!$A$4:$A$21,0))*$R247*INDEX(Parameters!$X$6:$AA$6,1,MATCH($E247,Parameters!$X$3:$AA$3,0))))*(1+Inputs_General!$C$22*Parameters!$F$6)</f>
        <v>12.5182427903625</v>
      </c>
      <c r="AH247" s="45" t="n">
        <f aca="false">IF(AD247=0,0,AE247/AD247-1)</f>
        <v>-0.536005174484518</v>
      </c>
      <c r="AI247" s="46" t="n">
        <f aca="false">Parameters!$E$7*IF($N247="V",Parameters!$I$7,IF($N247="F",Parameters!$J$7,Parameters!$K$7))*(1-Parameters!$L$7*$P247)*IF($D247="V1",Parameters!$M$7,IF($D247="V2",Parameters!$N$7,Parameters!$O$7))*POWER($Q247/Inputs_General!$C$26,-Inputs_General!$C$25)</f>
        <v>0.464685683730118</v>
      </c>
      <c r="AJ247" s="46" t="n">
        <f aca="false">AI247*(1+INDEX(Response_Table!$H$4:$H$21,MATCH($F247&amp;"|mid",Response_Table!$A$4:$A$21,0))*$R247*INDEX(Parameters!$X$7:$AA$7,1,MATCH($E247,Parameters!$X$3:$AA$3,0)))</f>
        <v>0.283893436147021</v>
      </c>
      <c r="AK247" s="46" t="n">
        <f aca="false">MAX(0,MIN(AI247*(1+INDEX(Response_Table!$H$4:$H$21,MATCH($F247&amp;"|low",Response_Table!$A$4:$A$21,0))*$R247*INDEX(Parameters!$X$7:$AA$7,1,MATCH($E247,Parameters!$X$3:$AA$3,0))),AI247*(1+INDEX(Response_Table!$H$4:$H$21,MATCH($F247&amp;"|high",Response_Table!$A$4:$A$21,0))*$R247*INDEX(Parameters!$X$7:$AA$7,1,MATCH($E247,Parameters!$X$3:$AA$3,0))))*(1-Inputs_General!$C$22*Parameters!$F$7))</f>
        <v>0.181742416127299</v>
      </c>
      <c r="AL247" s="46" t="n">
        <f aca="false">MAX(AI247*(1+INDEX(Response_Table!$H$4:$H$21,MATCH($F247&amp;"|low",Response_Table!$A$4:$A$21,0))*$R247*INDEX(Parameters!$X$7:$AA$7,1,MATCH($E247,Parameters!$X$3:$AA$3,0))),AI247*(1+INDEX(Response_Table!$H$4:$H$21,MATCH($F247&amp;"|high",Response_Table!$A$4:$A$21,0))*$R247*INDEX(Parameters!$X$7:$AA$7,1,MATCH($E247,Parameters!$X$3:$AA$3,0))))*(1+Inputs_General!$C$22*Parameters!$F$7)</f>
        <v>0.415698006810297</v>
      </c>
      <c r="AM247" s="45" t="n">
        <f aca="false">IF(AI247=0,0,AJ247/AI247-1)</f>
        <v>-0.389063519521074</v>
      </c>
      <c r="AN247" s="43" t="n">
        <f aca="false">AI247*$Q247/Inputs_General!$C$13*1000</f>
        <v>4.38850387664553</v>
      </c>
      <c r="AO247" s="43" t="n">
        <f aca="false">AJ247*$Q247/Inputs_General!$C$13*1000*(1+Inputs_General!$C$21*$I247)</f>
        <v>2.9358013386977</v>
      </c>
      <c r="AP247" s="43" t="n">
        <f aca="false">AK247*$Q247/Inputs_General!$C$13*1000*(1+Inputs_General!$C$21*$H247)</f>
        <v>1.82794489225338</v>
      </c>
      <c r="AQ247" s="43" t="n">
        <f aca="false">AL247*$Q247/Inputs_General!$C$13*1000*(1+Inputs_General!$C$21*$J247)</f>
        <v>4.41659583145856</v>
      </c>
      <c r="AR247" s="45" t="n">
        <f aca="false">IF(AN247=0,0,AO247/AN247-1)</f>
        <v>-0.331024553875576</v>
      </c>
      <c r="AS247" s="42" t="n">
        <f aca="false">Parameters!$E$9*IF($N247="V",Parameters!$I$9,IF($N247="F",Parameters!$J$9,Parameters!$K$9))*(1-Parameters!$L$9*$P247)*IF($D247="V1",Parameters!$M$9,IF($D247="V2",Parameters!$N$9,Parameters!$O$9))</f>
        <v>285</v>
      </c>
      <c r="AT247" s="42" t="n">
        <f aca="false">AS247*(1+INDEX(Response_Table!$I$4:$I$21,MATCH($F247&amp;"|mid",Response_Table!$A$4:$A$21,0))*$R247*INDEX(Parameters!$X$9:$AA$9,1,MATCH($E247,Parameters!$X$3:$AA$3,0)))</f>
        <v>343.784117625715</v>
      </c>
      <c r="AU247" s="42" t="n">
        <f aca="false">MAX(0,MIN(AS247*(1+INDEX(Response_Table!$I$4:$I$21,MATCH($F247&amp;"|low",Response_Table!$A$4:$A$21,0))*$R247*INDEX(Parameters!$X$9:$AA$9,1,MATCH($E247,Parameters!$X$3:$AA$3,0))),AS247*(1+INDEX(Response_Table!$I$4:$I$21,MATCH($F247&amp;"|high",Response_Table!$A$4:$A$21,0))*$R247*INDEX(Parameters!$X$9:$AA$9,1,MATCH($E247,Parameters!$X$3:$AA$3,0))))*(1-Inputs_General!$C$22*Parameters!$F$9))</f>
        <v>300.715202647127</v>
      </c>
      <c r="AV247" s="42" t="n">
        <f aca="false">MAX(AS247*(1+INDEX(Response_Table!$I$4:$I$21,MATCH($F247&amp;"|low",Response_Table!$A$4:$A$21,0))*$R247*INDEX(Parameters!$X$9:$AA$9,1,MATCH($E247,Parameters!$X$3:$AA$3,0))),AS247*(1+INDEX(Response_Table!$I$4:$I$21,MATCH($F247&amp;"|high",Response_Table!$A$4:$A$21,0))*$R247*INDEX(Parameters!$X$9:$AA$9,1,MATCH($E247,Parameters!$X$3:$AA$3,0))))*(1+Inputs_General!$C$22*Parameters!$F$9)</f>
        <v>384.608036032929</v>
      </c>
      <c r="AW247" s="45" t="n">
        <f aca="false">IF(AS247=0,0,AT247/AS247-1)</f>
        <v>0.206260061844615</v>
      </c>
      <c r="AX247" s="43" t="n">
        <f aca="false">INDEX(Context!$AB$4:$AB$51,$K247)</f>
        <v>0.458305270557464</v>
      </c>
      <c r="AY247" s="43" t="n">
        <f aca="false">AX247*(1+INDEX(Response_Table!$J$4:$J$21,MATCH($F247&amp;"|mid",Response_Table!$A$4:$A$21,0))*$R247*INDEX(Parameters!$X$10:$AA$10,1,MATCH($E247,Parameters!$X$3:$AA$3,0)))</f>
        <v>0.388742964818513</v>
      </c>
      <c r="AZ247" s="43" t="n">
        <f aca="false">MAX(0,MIN(AX247*(1+INDEX(Response_Table!$J$4:$J$21,MATCH($F247&amp;"|low",Response_Table!$A$4:$A$21,0))*$R247*INDEX(Parameters!$X$10:$AA$10,1,MATCH($E247,Parameters!$X$3:$AA$3,0))),AX247*(1+INDEX(Response_Table!$J$4:$J$21,MATCH($F247&amp;"|high",Response_Table!$A$4:$A$21,0))*$R247*INDEX(Parameters!$X$10:$AA$10,1,MATCH($E247,Parameters!$X$3:$AA$3,0))))*(1-Inputs_General!$C$22*Parameters!$F$10))</f>
        <v>0.302879661343468</v>
      </c>
      <c r="BA247" s="43" t="n">
        <f aca="false">MAX(AX247*(1+INDEX(Response_Table!$J$4:$J$21,MATCH($F247&amp;"|low",Response_Table!$A$4:$A$21,0))*$R247*INDEX(Parameters!$X$10:$AA$10,1,MATCH($E247,Parameters!$X$3:$AA$3,0))),AX247*(1+INDEX(Response_Table!$J$4:$J$21,MATCH($F247&amp;"|high",Response_Table!$A$4:$A$21,0))*$R247*INDEX(Parameters!$X$10:$AA$10,1,MATCH($E247,Parameters!$X$3:$AA$3,0))))*(1+Inputs_General!$C$22*Parameters!$F$10)</f>
        <v>0.483858153898237</v>
      </c>
      <c r="BB247" s="45" t="n">
        <f aca="false">IF(AX247=0,0,AY247/AX247-1)</f>
        <v>-0.151781596695011</v>
      </c>
      <c r="BC247" s="46" t="n">
        <f aca="false">Parameters!$E$11*IF($N247="V",Parameters!$I$11,IF($N247="F",Parameters!$J$11,Parameters!$K$11))*(1-Parameters!$L$11*$P247)*IF($D247="V1",Parameters!$M$11,IF($D247="V2",Parameters!$N$11,Parameters!$O$11))</f>
        <v>1.1875</v>
      </c>
      <c r="BD247" s="46" t="n">
        <f aca="false">BC247*(1+INDEX(Response_Table!$K$4:$K$21,MATCH($F247&amp;"|mid",Response_Table!$A$4:$A$21,0))*$R247*INDEX(Parameters!$X$11:$AA$11,1,MATCH($E247,Parameters!$X$3:$AA$3,0)))</f>
        <v>0.888805523542861</v>
      </c>
      <c r="BE247" s="46" t="n">
        <f aca="false">MAX(0,MIN(BC247*(1+INDEX(Response_Table!$K$4:$K$21,MATCH($F247&amp;"|low",Response_Table!$A$4:$A$21,0))*$R247*INDEX(Parameters!$X$11:$AA$11,1,MATCH($E247,Parameters!$X$3:$AA$3,0))),BC247*(1+INDEX(Response_Table!$K$4:$K$21,MATCH($F247&amp;"|high",Response_Table!$A$4:$A$21,0))*$R247*INDEX(Parameters!$X$11:$AA$11,1,MATCH($E247,Parameters!$X$3:$AA$3,0))))*(1-Inputs_General!$C$22*Parameters!$F$11))</f>
        <v>0.709072249579934</v>
      </c>
      <c r="BF247" s="46" t="n">
        <f aca="false">MAX(BC247*(1+INDEX(Response_Table!$K$4:$K$21,MATCH($F247&amp;"|low",Response_Table!$A$4:$A$21,0))*$R247*INDEX(Parameters!$X$11:$AA$11,1,MATCH($E247,Parameters!$X$3:$AA$3,0))),BC247*(1+INDEX(Response_Table!$K$4:$K$21,MATCH($F247&amp;"|high",Response_Table!$A$4:$A$21,0))*$R247*INDEX(Parameters!$X$11:$AA$11,1,MATCH($E247,Parameters!$X$3:$AA$3,0))))*(1+Inputs_General!$C$22*Parameters!$F$11)</f>
        <v>1.10361462460822</v>
      </c>
      <c r="BG247" s="45" t="n">
        <f aca="false">IF(BC247=0,0,BD247/BC247-1)</f>
        <v>-0.251532190700749</v>
      </c>
      <c r="BH247" s="46" t="n">
        <f aca="false">Parameters!$E$12*IF($N247="V",Parameters!$I$12,IF($N247="F",Parameters!$J$12,Parameters!$K$12))*(1-Parameters!$L$12*$P247)*IF($D247="V1",Parameters!$M$12,IF($D247="V2",Parameters!$N$12,Parameters!$O$12))</f>
        <v>0.4275</v>
      </c>
      <c r="BI247" s="46" t="n">
        <f aca="false">BH247*(1+INDEX(Response_Table!$L$4:$L$21,MATCH($F247&amp;"|mid",Response_Table!$A$4:$A$21,0))*$R247*INDEX(Parameters!$X$12:$AA$12,1,MATCH($E247,Parameters!$X$3:$AA$3,0)))</f>
        <v>0.339539846127507</v>
      </c>
      <c r="BJ247" s="46" t="n">
        <f aca="false">MAX(0,MIN(BH247*(1+INDEX(Response_Table!$L$4:$L$21,MATCH($F247&amp;"|low",Response_Table!$A$4:$A$21,0))*$R247*INDEX(Parameters!$X$12:$AA$12,1,MATCH($E247,Parameters!$X$3:$AA$3,0))),BH247*(1+INDEX(Response_Table!$L$4:$L$21,MATCH($F247&amp;"|high",Response_Table!$A$4:$A$21,0))*$R247*INDEX(Parameters!$X$12:$AA$12,1,MATCH($E247,Parameters!$X$3:$AA$3,0))))*(1-Inputs_General!$C$22*Parameters!$F$12))</f>
        <v>0.26247922474299</v>
      </c>
      <c r="BK247" s="46" t="n">
        <f aca="false">MAX(BH247*(1+INDEX(Response_Table!$L$4:$L$21,MATCH($F247&amp;"|low",Response_Table!$A$4:$A$21,0))*$R247*INDEX(Parameters!$X$12:$AA$12,1,MATCH($E247,Parameters!$X$3:$AA$3,0))),BH247*(1+INDEX(Response_Table!$L$4:$L$21,MATCH($F247&amp;"|high",Response_Table!$A$4:$A$21,0))*$R247*INDEX(Parameters!$X$12:$AA$12,1,MATCH($E247,Parameters!$X$3:$AA$3,0))))*(1+Inputs_General!$C$22*Parameters!$F$12)</f>
        <v>0.428024690319199</v>
      </c>
      <c r="BL247" s="45" t="n">
        <f aca="false">IF(BH247=0,0,BI247/BH247-1)</f>
        <v>-0.205754745900568</v>
      </c>
      <c r="BM247" s="46" t="n">
        <f aca="false">Parameters!$E$13*IF($N247="V",Parameters!$I$13,IF($N247="F",Parameters!$J$13,Parameters!$K$13))*(1-Parameters!$L$13*$P247)*IF($D247="V1",Parameters!$M$13,IF($D247="V2",Parameters!$N$13,Parameters!$O$13))</f>
        <v>0.285</v>
      </c>
      <c r="BN247" s="46" t="n">
        <f aca="false">BM247*(1+INDEX(Response_Table!$M$4:$M$21,MATCH($F247&amp;"|mid",Response_Table!$A$4:$A$21,0))*$R247*INDEX(Parameters!$X$13:$AA$13,1,MATCH($E247,Parameters!$X$3:$AA$3,0)))</f>
        <v>0.245974804048153</v>
      </c>
      <c r="BO247" s="46" t="n">
        <f aca="false">MAX(0,MIN(BM247*(1+INDEX(Response_Table!$M$4:$M$21,MATCH($F247&amp;"|low",Response_Table!$A$4:$A$21,0))*$R247*INDEX(Parameters!$X$13:$AA$13,1,MATCH($E247,Parameters!$X$3:$AA$3,0))),BM247*(1+INDEX(Response_Table!$M$4:$M$21,MATCH($F247&amp;"|high",Response_Table!$A$4:$A$21,0))*$R247*INDEX(Parameters!$X$13:$AA$13,1,MATCH($E247,Parameters!$X$3:$AA$3,0))))*(1-Inputs_General!$C$22*Parameters!$F$13))</f>
        <v>0.190798686339391</v>
      </c>
      <c r="BP247" s="46" t="n">
        <f aca="false">MAX(BM247*(1+INDEX(Response_Table!$M$4:$M$21,MATCH($F247&amp;"|low",Response_Table!$A$4:$A$21,0))*$R247*INDEX(Parameters!$X$13:$AA$13,1,MATCH($E247,Parameters!$X$3:$AA$3,0))),BM247*(1+INDEX(Response_Table!$M$4:$M$21,MATCH($F247&amp;"|high",Response_Table!$A$4:$A$21,0))*$R247*INDEX(Parameters!$X$13:$AA$13,1,MATCH($E247,Parameters!$X$3:$AA$3,0))))*(1+Inputs_General!$C$22*Parameters!$F$13)</f>
        <v>0.310450316490952</v>
      </c>
      <c r="BQ247" s="45" t="n">
        <f aca="false">IF(BM247=0,0,BN247/BM247-1)</f>
        <v>-0.136930512111743</v>
      </c>
      <c r="BR247" s="44" t="n">
        <f aca="false">Parameters!$E$14*IF($N247="V",Parameters!$I$14,IF($N247="F",Parameters!$J$14,Parameters!$K$14))*(1-Parameters!$L$14*$P247)*IF($D247="V1",Parameters!$M$14,IF($D247="V2",Parameters!$N$14,Parameters!$O$14))*INDEX(Context!$AC$4:$AC$51,$K247)</f>
        <v>23.1</v>
      </c>
      <c r="BS247" s="44" t="n">
        <f aca="false">BR247*(1+INDEX(Response_Table!$N$4:$N$21,MATCH($F247&amp;"|mid",Response_Table!$A$4:$A$21,0))*$R247*INDEX(Parameters!$X$14:$AA$14,1,MATCH($E247,Parameters!$X$3:$AA$3,0)))</f>
        <v>28.2850195966943</v>
      </c>
      <c r="BT247" s="44" t="n">
        <f aca="false">MAX(0,MIN(BR247*(1+INDEX(Response_Table!$N$4:$N$21,MATCH($F247&amp;"|low",Response_Table!$A$4:$A$21,0))*$R247*INDEX(Parameters!$X$14:$AA$14,1,MATCH($E247,Parameters!$X$3:$AA$3,0))),BR247*(1+INDEX(Response_Table!$N$4:$N$21,MATCH($F247&amp;"|high",Response_Table!$A$4:$A$21,0))*$R247*INDEX(Parameters!$X$14:$AA$14,1,MATCH($E247,Parameters!$X$3:$AA$3,0))))*(1-Inputs_General!$C$22*Parameters!$F$14))</f>
        <v>13.791271199253</v>
      </c>
      <c r="BU247" s="44" t="n">
        <f aca="false">MAX(BR247*(1+INDEX(Response_Table!$N$4:$N$21,MATCH($F247&amp;"|low",Response_Table!$A$4:$A$21,0))*$R247*INDEX(Parameters!$X$14:$AA$14,1,MATCH($E247,Parameters!$X$3:$AA$3,0))),BR247*(1+INDEX(Response_Table!$N$4:$N$21,MATCH($F247&amp;"|high",Response_Table!$A$4:$A$21,0))*$R247*INDEX(Parameters!$X$14:$AA$14,1,MATCH($E247,Parameters!$X$3:$AA$3,0))))*(1+Inputs_General!$C$22*Parameters!$F$14)</f>
        <v>43.3444746716531</v>
      </c>
      <c r="BV247" s="45" t="n">
        <f aca="false">IF(BR247=0,0,BS247/BR247-1)</f>
        <v>0.22445972280062</v>
      </c>
      <c r="BW247" s="43" t="n">
        <f aca="false">Parameters!$E$15*IF($N247="V",Parameters!$I$15,IF($N247="F",Parameters!$J$15,Parameters!$K$15))*(1-Parameters!$L$15*$P247)*IF($D247="V1",Parameters!$M$15,IF($D247="V2",Parameters!$N$15,Parameters!$O$15))</f>
        <v>11.664</v>
      </c>
      <c r="BX247" s="43" t="n">
        <f aca="false">BW247*(1+INDEX(Response_Table!$O$4:$O$21,MATCH($F247&amp;"|mid",Response_Table!$A$4:$A$21,0))*$R247*INDEX(Parameters!$X$15:$AA$15,1,MATCH($E247,Parameters!$X$3:$AA$3,0)))</f>
        <v>11.0094754483134</v>
      </c>
      <c r="BY247" s="43" t="n">
        <f aca="false">MAX(0,MIN(BW247*(1+INDEX(Response_Table!$O$4:$O$21,MATCH($F247&amp;"|low",Response_Table!$A$4:$A$21,0))*$R247*INDEX(Parameters!$X$15:$AA$15,1,MATCH($E247,Parameters!$X$3:$AA$3,0))),BW247*(1+INDEX(Response_Table!$O$4:$O$21,MATCH($F247&amp;"|high",Response_Table!$A$4:$A$21,0))*$R247*INDEX(Parameters!$X$15:$AA$15,1,MATCH($E247,Parameters!$X$3:$AA$3,0))))*(1-Inputs_General!$C$22*Parameters!$F$15))</f>
        <v>8.76152968000143</v>
      </c>
      <c r="BZ247" s="43" t="n">
        <f aca="false">MAX(BW247*(1+INDEX(Response_Table!$O$4:$O$21,MATCH($F247&amp;"|low",Response_Table!$A$4:$A$21,0))*$R247*INDEX(Parameters!$X$15:$AA$15,1,MATCH($E247,Parameters!$X$3:$AA$3,0))),BW247*(1+INDEX(Response_Table!$O$4:$O$21,MATCH($F247&amp;"|high",Response_Table!$A$4:$A$21,0))*$R247*INDEX(Parameters!$X$15:$AA$15,1,MATCH($E247,Parameters!$X$3:$AA$3,0))))*(1+Inputs_General!$C$22*Parameters!$F$15)</f>
        <v>13.3424305530355</v>
      </c>
      <c r="CA247" s="45" t="n">
        <f aca="false">IF(BW247=0,0,BX247/BW247-1)</f>
        <v>-0.0561149307001549</v>
      </c>
      <c r="CB247" s="46" t="n">
        <f aca="false">BD247+BI247</f>
        <v>1.22834536967037</v>
      </c>
      <c r="CC247" s="43" t="n">
        <f aca="false">BD247/BI247</f>
        <v>2.61767663995786</v>
      </c>
      <c r="CD247" s="46" t="n">
        <f aca="false">BN247/CB247</f>
        <v>0.200248895890056</v>
      </c>
      <c r="CE247" s="43" t="n">
        <f aca="false">AE247/AO247</f>
        <v>3.00289449718175</v>
      </c>
      <c r="CF247" s="44" t="n">
        <f aca="false">AE247/AJ247</f>
        <v>31.0535594075117</v>
      </c>
      <c r="CG247" s="44" t="n">
        <f aca="false">INDEX(Context!$V$4:$V$51,$K247)</f>
        <v>22.6257142857143</v>
      </c>
      <c r="CH247" s="44" t="n">
        <f aca="false">INDEX(Context!$Y$4:$Y$51,$K247)</f>
        <v>21.3177449518561</v>
      </c>
      <c r="CI247" s="44" t="n">
        <f aca="false">INDEX(Context!$Z$4:$Z$51,$K247)</f>
        <v>26.6257142857143</v>
      </c>
      <c r="CJ247" s="43" t="n">
        <f aca="false">INDEX(Context!$AA$4:$AA$51,$K247)</f>
        <v>0.12</v>
      </c>
      <c r="CK247" s="43" t="n">
        <f aca="false">MAX(0,MIN(1,1-(1-CJ247)*AO247/AN247))</f>
        <v>0.411301607410507</v>
      </c>
      <c r="CL247" s="44" t="n">
        <f aca="false">CH247+CK247*(CI247-CH247)</f>
        <v>23.5009212709576</v>
      </c>
      <c r="CM247" s="44" t="n">
        <f aca="false">CH247+MAX(0,MIN(1,1-(1-CJ247)*AQ247/AN247))*(CI247-CH247)</f>
        <v>21.9248009026353</v>
      </c>
      <c r="CN247" s="44" t="n">
        <f aca="false">CH247+MAX(0,MIN(1,1-(1-CJ247)*AP247/AN247))*(CI247-CH247)</f>
        <v>24.6800957742086</v>
      </c>
      <c r="CO247" s="44" t="n">
        <f aca="false">CL247-CG247</f>
        <v>0.875206985243334</v>
      </c>
      <c r="CP247" s="44" t="n">
        <f aca="false">CL247-(CH247+CJ247*(CI247-CH247))</f>
        <v>1.54621999903858</v>
      </c>
      <c r="CQ247" s="46" t="n">
        <f aca="false">CL247/CG247</f>
        <v>1.03868196045399</v>
      </c>
      <c r="CR247" s="43" t="n">
        <f aca="false">IF(CL247-CH247&lt;=0,"n/a",(CI247-CL247)/(CL247-CH247))</f>
        <v>1.43130583976039</v>
      </c>
      <c r="CS247" s="43" t="n">
        <f aca="false">IF(CI247-CL247&lt;=0,"n/a",(CL247-CH247)/(CI247-CL247))</f>
        <v>0.698662698230456</v>
      </c>
      <c r="CT247" s="43" t="n">
        <f aca="false">Inputs_General!$C$23+Inputs_General!$C$24*$I247</f>
        <v>1.36</v>
      </c>
      <c r="CU247" s="44" t="n">
        <f aca="false">3.29*CT247</f>
        <v>4.4744</v>
      </c>
    </row>
    <row r="248" customFormat="false" ht="15" hidden="false" customHeight="false" outlineLevel="0" collapsed="false">
      <c r="A248" s="9" t="str">
        <f aca="false">B248&amp;"|"&amp;E248&amp;"|"&amp;F248</f>
        <v>D4V2|11/02/2026|Very high</v>
      </c>
      <c r="B248" s="7" t="s">
        <v>353</v>
      </c>
      <c r="C248" s="9" t="s">
        <v>133</v>
      </c>
      <c r="D248" s="9" t="s">
        <v>146</v>
      </c>
      <c r="E248" s="9" t="s">
        <v>158</v>
      </c>
      <c r="F248" s="7" t="s">
        <v>285</v>
      </c>
      <c r="G248" s="9" t="s">
        <v>286</v>
      </c>
      <c r="H248" s="41" t="n">
        <f aca="false">INDEX(Severity_Classes!$C$4:$C$9,MATCH(F248,Severity_Classes!$A$4:$A$9,0))</f>
        <v>0.51</v>
      </c>
      <c r="I248" s="41" t="n">
        <f aca="false">INDEX(Severity_Classes!$D$4:$D$9,MATCH(F248,Severity_Classes!$A$4:$A$9,0))</f>
        <v>0.65</v>
      </c>
      <c r="J248" s="41" t="n">
        <f aca="false">INDEX(Severity_Classes!$E$4:$E$9,MATCH(F248,Severity_Classes!$A$4:$A$9,0))</f>
        <v>0.85</v>
      </c>
      <c r="K248" s="42" t="n">
        <f aca="false">MATCH(B248&amp;"|"&amp;E248,Context!$A$4:$A$51,0)</f>
        <v>41</v>
      </c>
      <c r="L248" s="42" t="n">
        <f aca="false">INDEX(Context!$H$4:$H$51,K248)</f>
        <v>33</v>
      </c>
      <c r="M248" s="42" t="n">
        <f aca="false">INDEX(Context!$I$4:$I$51,K248)</f>
        <v>6</v>
      </c>
      <c r="N248" s="9" t="str">
        <f aca="false">INDEX(Context!$L$4:$L$51,K248)</f>
        <v>V</v>
      </c>
      <c r="O248" s="9" t="str">
        <f aca="false">INDEX(Context!$M$4:$M$51,K248)</f>
        <v>3rd fully expanded leaf from top</v>
      </c>
      <c r="P248" s="43" t="n">
        <f aca="false">INDEX(Context!$R$4:$R$51,K248)</f>
        <v>0</v>
      </c>
      <c r="Q248" s="43" t="n">
        <f aca="false">INDEX(Context!$U$4:$U$51,K248)</f>
        <v>0.937791824040773</v>
      </c>
      <c r="R248" s="43" t="n">
        <f aca="false">INDEX(Context!$AD$4:$AD$51,K248)</f>
        <v>1.1</v>
      </c>
      <c r="S248" s="9" t="str">
        <f aca="false">INDEX(Context!$AI$4:$AN$51,K248,MATCH(F248,Severity_Classes!$A$4:$A$9,0))</f>
        <v>Unlikely (only via pre-inoculation natural infection)</v>
      </c>
      <c r="T248" s="44" t="n">
        <f aca="false">Parameters!$E$4*IF($N248="V",Parameters!$I$4,IF($N248="F",Parameters!$J$4,Parameters!$K$4))*(1-Parameters!$L$4*$P248)*IF($D248="V1",Parameters!$M$4,IF($D248="V2",Parameters!$N$4,Parameters!$O$4))</f>
        <v>86</v>
      </c>
      <c r="U248" s="44" t="n">
        <f aca="false">MIN(100,T248*(1+INDEX(Response_Table!$E$4:$E$21,MATCH($F248&amp;"|mid",Response_Table!$A$4:$A$21,0))*$R248*INDEX(Parameters!$X$4:$AA$4,1,MATCH($E248,Parameters!$X$3:$AA$3,0))))</f>
        <v>72.9446771246238</v>
      </c>
      <c r="V248" s="44" t="n">
        <f aca="false">MAX(0,MIN(T248*(1+INDEX(Response_Table!$E$4:$E$21,MATCH($F248&amp;"|low",Response_Table!$A$4:$A$21,0))*$R248*INDEX(Parameters!$X$4:$AA$4,1,MATCH($E248,Parameters!$X$3:$AA$3,0))),T248*(1+INDEX(Response_Table!$E$4:$E$21,MATCH($F248&amp;"|high",Response_Table!$A$4:$A$21,0))*$R248*INDEX(Parameters!$X$4:$AA$4,1,MATCH($E248,Parameters!$X$3:$AA$3,0))))*(1-Inputs_General!$C$22*Parameters!$F$4))</f>
        <v>67.2982398069725</v>
      </c>
      <c r="W248" s="44" t="n">
        <f aca="false">MIN(100,MAX(T248*(1+INDEX(Response_Table!$E$4:$E$21,MATCH($F248&amp;"|low",Response_Table!$A$4:$A$21,0))*$R248*INDEX(Parameters!$X$4:$AA$4,1,MATCH($E248,Parameters!$X$3:$AA$3,0))),T248*(1+INDEX(Response_Table!$E$4:$E$21,MATCH($F248&amp;"|high",Response_Table!$A$4:$A$21,0))*$R248*INDEX(Parameters!$X$4:$AA$4,1,MATCH($E248,Parameters!$X$3:$AA$3,0))))*(1+Inputs_General!$C$22*Parameters!$F$4))</f>
        <v>79.8607565196763</v>
      </c>
      <c r="X248" s="45" t="n">
        <f aca="false">IF(T248=0,0,U248/T248-1)</f>
        <v>-0.151806079946235</v>
      </c>
      <c r="Y248" s="44" t="n">
        <f aca="false">Parameters!$E$5*IF($N248="V",Parameters!$I$5,IF($N248="F",Parameters!$J$5,Parameters!$K$5))*(1-Parameters!$L$5*$P248)*IF($D248="V1",Parameters!$M$5,IF($D248="V2",Parameters!$N$5,Parameters!$O$5))</f>
        <v>72</v>
      </c>
      <c r="Z248" s="44" t="n">
        <f aca="false">MIN(100,Y248*(1+INDEX(Response_Table!$F$4:$F$21,MATCH($F248&amp;"|mid",Response_Table!$A$4:$A$21,0))*$R248*INDEX(Parameters!$X$5:$AA$5,1,MATCH($E248,Parameters!$X$3:$AA$3,0))))</f>
        <v>44.9894708664408</v>
      </c>
      <c r="AA248" s="44" t="n">
        <f aca="false">MAX(0,MIN(Y248*(1+INDEX(Response_Table!$F$4:$F$21,MATCH($F248&amp;"|low",Response_Table!$A$4:$A$21,0))*$R248*INDEX(Parameters!$X$5:$AA$5,1,MATCH($E248,Parameters!$X$3:$AA$3,0))),Y248*(1+INDEX(Response_Table!$F$4:$F$21,MATCH($F248&amp;"|high",Response_Table!$A$4:$A$21,0))*$R248*INDEX(Parameters!$X$5:$AA$5,1,MATCH($E248,Parameters!$X$3:$AA$3,0))))*(1-Inputs_General!$C$22*Parameters!$F$5))</f>
        <v>39.2679283314404</v>
      </c>
      <c r="AB248" s="44" t="n">
        <f aca="false">MIN(100,MAX(Y248*(1+INDEX(Response_Table!$F$4:$F$21,MATCH($F248&amp;"|low",Response_Table!$A$4:$A$21,0))*$R248*INDEX(Parameters!$X$5:$AA$5,1,MATCH($E248,Parameters!$X$3:$AA$3,0))),Y248*(1+INDEX(Response_Table!$F$4:$F$21,MATCH($F248&amp;"|high",Response_Table!$A$4:$A$21,0))*$R248*INDEX(Parameters!$X$5:$AA$5,1,MATCH($E248,Parameters!$X$3:$AA$3,0))))*(1+Inputs_General!$C$22*Parameters!$F$5))</f>
        <v>52.3669202679589</v>
      </c>
      <c r="AC248" s="45" t="n">
        <f aca="false">IF(Y248=0,0,Z248/Y248-1)</f>
        <v>-0.375146237966101</v>
      </c>
      <c r="AD248" s="44" t="n">
        <f aca="false">Parameters!$E$6*IF($N248="V",Parameters!$I$6,IF($N248="F",Parameters!$J$6,Parameters!$K$6))*(1-Parameters!$L$6*$P248)*IF($D248="V1",Parameters!$M$6,IF($D248="V2",Parameters!$N$6,Parameters!$O$6))</f>
        <v>19</v>
      </c>
      <c r="AE248" s="44" t="n">
        <f aca="false">AD248*(1+INDEX(Response_Table!$G$4:$G$21,MATCH($F248&amp;"|mid",Response_Table!$A$4:$A$21,0))*$R248*INDEX(Parameters!$X$6:$AA$6,1,MATCH($E248,Parameters!$X$3:$AA$3,0)))</f>
        <v>7.17815025372896</v>
      </c>
      <c r="AF248" s="44" t="n">
        <f aca="false">MAX(0,MIN(AD248*(1+INDEX(Response_Table!$G$4:$G$21,MATCH($F248&amp;"|low",Response_Table!$A$4:$A$21,0))*$R248*INDEX(Parameters!$X$6:$AA$6,1,MATCH($E248,Parameters!$X$3:$AA$3,0))),AD248*(1+INDEX(Response_Table!$G$4:$G$21,MATCH($F248&amp;"|high",Response_Table!$A$4:$A$21,0))*$R248*INDEX(Parameters!$X$6:$AA$6,1,MATCH($E248,Parameters!$X$3:$AA$3,0))))*(1-Inputs_General!$C$22*Parameters!$F$6))</f>
        <v>5.42387164139174</v>
      </c>
      <c r="AG248" s="44" t="n">
        <f aca="false">MAX(AD248*(1+INDEX(Response_Table!$G$4:$G$21,MATCH($F248&amp;"|low",Response_Table!$A$4:$A$21,0))*$R248*INDEX(Parameters!$X$6:$AA$6,1,MATCH($E248,Parameters!$X$3:$AA$3,0))),AD248*(1+INDEX(Response_Table!$G$4:$G$21,MATCH($F248&amp;"|high",Response_Table!$A$4:$A$21,0))*$R248*INDEX(Parameters!$X$6:$AA$6,1,MATCH($E248,Parameters!$X$3:$AA$3,0))))*(1+Inputs_General!$C$22*Parameters!$F$6)</f>
        <v>9.32733930551793</v>
      </c>
      <c r="AH248" s="45" t="n">
        <f aca="false">IF(AD248=0,0,AE248/AD248-1)</f>
        <v>-0.622202618224792</v>
      </c>
      <c r="AI248" s="46" t="n">
        <f aca="false">Parameters!$E$7*IF($N248="V",Parameters!$I$7,IF($N248="F",Parameters!$J$7,Parameters!$K$7))*(1-Parameters!$L$7*$P248)*IF($D248="V1",Parameters!$M$7,IF($D248="V2",Parameters!$N$7,Parameters!$O$7))*POWER($Q248/Inputs_General!$C$26,-Inputs_General!$C$25)</f>
        <v>0.464685683730118</v>
      </c>
      <c r="AJ248" s="46" t="n">
        <f aca="false">AI248*(1+INDEX(Response_Table!$H$4:$H$21,MATCH($F248&amp;"|mid",Response_Table!$A$4:$A$21,0))*$R248*INDEX(Parameters!$X$7:$AA$7,1,MATCH($E248,Parameters!$X$3:$AA$3,0)))</f>
        <v>0.236701950897336</v>
      </c>
      <c r="AK248" s="46" t="n">
        <f aca="false">MAX(0,MIN(AI248*(1+INDEX(Response_Table!$H$4:$H$21,MATCH($F248&amp;"|low",Response_Table!$A$4:$A$21,0))*$R248*INDEX(Parameters!$X$7:$AA$7,1,MATCH($E248,Parameters!$X$3:$AA$3,0))),AI248*(1+INDEX(Response_Table!$H$4:$H$21,MATCH($F248&amp;"|high",Response_Table!$A$4:$A$21,0))*$R248*INDEX(Parameters!$X$7:$AA$7,1,MATCH($E248,Parameters!$X$3:$AA$3,0))))*(1-Inputs_General!$C$22*Parameters!$F$7))</f>
        <v>0.154604311583672</v>
      </c>
      <c r="AL248" s="46" t="n">
        <f aca="false">MAX(AI248*(1+INDEX(Response_Table!$H$4:$H$21,MATCH($F248&amp;"|low",Response_Table!$A$4:$A$21,0))*$R248*INDEX(Parameters!$X$7:$AA$7,1,MATCH($E248,Parameters!$X$3:$AA$3,0))),AI248*(1+INDEX(Response_Table!$H$4:$H$21,MATCH($F248&amp;"|high",Response_Table!$A$4:$A$21,0))*$R248*INDEX(Parameters!$X$7:$AA$7,1,MATCH($E248,Parameters!$X$3:$AA$3,0))))*(1+Inputs_General!$C$22*Parameters!$F$7)</f>
        <v>0.332372789608898</v>
      </c>
      <c r="AM248" s="45" t="n">
        <f aca="false">IF(AI248=0,0,AJ248/AI248-1)</f>
        <v>-0.490619231052514</v>
      </c>
      <c r="AN248" s="43" t="n">
        <f aca="false">AI248*$Q248/Inputs_General!$C$13*1000</f>
        <v>4.38850387664553</v>
      </c>
      <c r="AO248" s="43" t="n">
        <f aca="false">AJ248*$Q248/Inputs_General!$C$13*1000*(1+Inputs_General!$C$21*$I248)</f>
        <v>2.59867514458711</v>
      </c>
      <c r="AP248" s="43" t="n">
        <f aca="false">AK248*$Q248/Inputs_General!$C$13*1000*(1+Inputs_General!$C$21*$H248)</f>
        <v>1.64624832259424</v>
      </c>
      <c r="AQ248" s="43" t="n">
        <f aca="false">AL248*$Q248/Inputs_General!$C$13*1000*(1+Inputs_General!$C$21*$J248)</f>
        <v>3.80596160737642</v>
      </c>
      <c r="AR248" s="45" t="n">
        <f aca="false">IF(AN248=0,0,AO248/AN248-1)</f>
        <v>-0.407844856098548</v>
      </c>
      <c r="AS248" s="42" t="n">
        <f aca="false">Parameters!$E$9*IF($N248="V",Parameters!$I$9,IF($N248="F",Parameters!$J$9,Parameters!$K$9))*(1-Parameters!$L$9*$P248)*IF($D248="V1",Parameters!$M$9,IF($D248="V2",Parameters!$N$9,Parameters!$O$9))</f>
        <v>285</v>
      </c>
      <c r="AT248" s="42" t="n">
        <f aca="false">AS248*(1+INDEX(Response_Table!$I$4:$I$21,MATCH($F248&amp;"|mid",Response_Table!$A$4:$A$21,0))*$R248*INDEX(Parameters!$X$9:$AA$9,1,MATCH($E248,Parameters!$X$3:$AA$3,0)))</f>
        <v>354.651655975154</v>
      </c>
      <c r="AU248" s="42" t="n">
        <f aca="false">MAX(0,MIN(AS248*(1+INDEX(Response_Table!$I$4:$I$21,MATCH($F248&amp;"|low",Response_Table!$A$4:$A$21,0))*$R248*INDEX(Parameters!$X$9:$AA$9,1,MATCH($E248,Parameters!$X$3:$AA$3,0))),AS248*(1+INDEX(Response_Table!$I$4:$I$21,MATCH($F248&amp;"|high",Response_Table!$A$4:$A$21,0))*$R248*INDEX(Parameters!$X$9:$AA$9,1,MATCH($E248,Parameters!$X$3:$AA$3,0))))*(1-Inputs_General!$C$22*Parameters!$F$9))</f>
        <v>315.866569445888</v>
      </c>
      <c r="AV248" s="42" t="n">
        <f aca="false">MAX(AS248*(1+INDEX(Response_Table!$I$4:$I$21,MATCH($F248&amp;"|low",Response_Table!$A$4:$A$21,0))*$R248*INDEX(Parameters!$X$9:$AA$9,1,MATCH($E248,Parameters!$X$3:$AA$3,0))),AS248*(1+INDEX(Response_Table!$I$4:$I$21,MATCH($F248&amp;"|high",Response_Table!$A$4:$A$21,0))*$R248*INDEX(Parameters!$X$9:$AA$9,1,MATCH($E248,Parameters!$X$3:$AA$3,0))))*(1+Inputs_General!$C$22*Parameters!$F$9)</f>
        <v>393.036846991285</v>
      </c>
      <c r="AW248" s="45" t="n">
        <f aca="false">IF(AS248=0,0,AT248/AS248-1)</f>
        <v>0.244391775351416</v>
      </c>
      <c r="AX248" s="43" t="n">
        <f aca="false">INDEX(Context!$AB$4:$AB$51,$K248)</f>
        <v>0.458305270557464</v>
      </c>
      <c r="AY248" s="43" t="n">
        <f aca="false">AX248*(1+INDEX(Response_Table!$J$4:$J$21,MATCH($F248&amp;"|mid",Response_Table!$A$4:$A$21,0))*$R248*INDEX(Parameters!$X$10:$AA$10,1,MATCH($E248,Parameters!$X$3:$AA$3,0)))</f>
        <v>0.367210516593136</v>
      </c>
      <c r="AZ248" s="43" t="n">
        <f aca="false">MAX(0,MIN(AX248*(1+INDEX(Response_Table!$J$4:$J$21,MATCH($F248&amp;"|low",Response_Table!$A$4:$A$21,0))*$R248*INDEX(Parameters!$X$10:$AA$10,1,MATCH($E248,Parameters!$X$3:$AA$3,0))),AX248*(1+INDEX(Response_Table!$J$4:$J$21,MATCH($F248&amp;"|high",Response_Table!$A$4:$A$21,0))*$R248*INDEX(Parameters!$X$10:$AA$10,1,MATCH($E248,Parameters!$X$3:$AA$3,0))))*(1-Inputs_General!$C$22*Parameters!$F$10))</f>
        <v>0.287669548491071</v>
      </c>
      <c r="BA248" s="43" t="n">
        <f aca="false">MAX(AX248*(1+INDEX(Response_Table!$J$4:$J$21,MATCH($F248&amp;"|low",Response_Table!$A$4:$A$21,0))*$R248*INDEX(Parameters!$X$10:$AA$10,1,MATCH($E248,Parameters!$X$3:$AA$3,0))),AX248*(1+INDEX(Response_Table!$J$4:$J$21,MATCH($F248&amp;"|high",Response_Table!$A$4:$A$21,0))*$R248*INDEX(Parameters!$X$10:$AA$10,1,MATCH($E248,Parameters!$X$3:$AA$3,0))))*(1+Inputs_General!$C$22*Parameters!$F$10)</f>
        <v>0.450905787017805</v>
      </c>
      <c r="BB248" s="45" t="n">
        <f aca="false">IF(AX248=0,0,AY248/AX248-1)</f>
        <v>-0.198764360386962</v>
      </c>
      <c r="BC248" s="46" t="n">
        <f aca="false">Parameters!$E$11*IF($N248="V",Parameters!$I$11,IF($N248="F",Parameters!$J$11,Parameters!$K$11))*(1-Parameters!$L$11*$P248)*IF($D248="V1",Parameters!$M$11,IF($D248="V2",Parameters!$N$11,Parameters!$O$11))</f>
        <v>1.1875</v>
      </c>
      <c r="BD248" s="46" t="n">
        <f aca="false">BC248*(1+INDEX(Response_Table!$K$4:$K$21,MATCH($F248&amp;"|mid",Response_Table!$A$4:$A$21,0))*$R248*INDEX(Parameters!$X$11:$AA$11,1,MATCH($E248,Parameters!$X$3:$AA$3,0)))</f>
        <v>0.816005529147429</v>
      </c>
      <c r="BE248" s="46" t="n">
        <f aca="false">MAX(0,MIN(BC248*(1+INDEX(Response_Table!$K$4:$K$21,MATCH($F248&amp;"|low",Response_Table!$A$4:$A$21,0))*$R248*INDEX(Parameters!$X$11:$AA$11,1,MATCH($E248,Parameters!$X$3:$AA$3,0))),BC248*(1+INDEX(Response_Table!$K$4:$K$21,MATCH($F248&amp;"|high",Response_Table!$A$4:$A$21,0))*$R248*INDEX(Parameters!$X$11:$AA$11,1,MATCH($E248,Parameters!$X$3:$AA$3,0))))*(1-Inputs_General!$C$22*Parameters!$F$11))</f>
        <v>0.66082589325739</v>
      </c>
      <c r="BF248" s="46" t="n">
        <f aca="false">MAX(BC248*(1+INDEX(Response_Table!$K$4:$K$21,MATCH($F248&amp;"|low",Response_Table!$A$4:$A$21,0))*$R248*INDEX(Parameters!$X$11:$AA$11,1,MATCH($E248,Parameters!$X$3:$AA$3,0))),BC248*(1+INDEX(Response_Table!$K$4:$K$21,MATCH($F248&amp;"|high",Response_Table!$A$4:$A$21,0))*$R248*INDEX(Parameters!$X$11:$AA$11,1,MATCH($E248,Parameters!$X$3:$AA$3,0))))*(1+Inputs_General!$C$22*Parameters!$F$11)</f>
        <v>0.985144626237494</v>
      </c>
      <c r="BG248" s="45" t="n">
        <f aca="false">IF(BC248=0,0,BD248/BC248-1)</f>
        <v>-0.312837449139007</v>
      </c>
      <c r="BH248" s="46" t="n">
        <f aca="false">Parameters!$E$12*IF($N248="V",Parameters!$I$12,IF($N248="F",Parameters!$J$12,Parameters!$K$12))*(1-Parameters!$L$12*$P248)*IF($D248="V1",Parameters!$M$12,IF($D248="V2",Parameters!$N$12,Parameters!$O$12))</f>
        <v>0.4275</v>
      </c>
      <c r="BI248" s="46" t="n">
        <f aca="false">BH248*(1+INDEX(Response_Table!$L$4:$L$21,MATCH($F248&amp;"|mid",Response_Table!$A$4:$A$21,0))*$R248*INDEX(Parameters!$X$12:$AA$12,1,MATCH($E248,Parameters!$X$3:$AA$3,0)))</f>
        <v>0.316579955094978</v>
      </c>
      <c r="BJ248" s="46" t="n">
        <f aca="false">MAX(0,MIN(BH248*(1+INDEX(Response_Table!$L$4:$L$21,MATCH($F248&amp;"|low",Response_Table!$A$4:$A$21,0))*$R248*INDEX(Parameters!$X$12:$AA$12,1,MATCH($E248,Parameters!$X$3:$AA$3,0))),BH248*(1+INDEX(Response_Table!$L$4:$L$21,MATCH($F248&amp;"|high",Response_Table!$A$4:$A$21,0))*$R248*INDEX(Parameters!$X$12:$AA$12,1,MATCH($E248,Parameters!$X$3:$AA$3,0))))*(1-Inputs_General!$C$22*Parameters!$F$12))</f>
        <v>0.247424463307107</v>
      </c>
      <c r="BK248" s="46" t="n">
        <f aca="false">MAX(BH248*(1+INDEX(Response_Table!$L$4:$L$21,MATCH($F248&amp;"|low",Response_Table!$A$4:$A$21,0))*$R248*INDEX(Parameters!$X$12:$AA$12,1,MATCH($E248,Parameters!$X$3:$AA$3,0))),BH248*(1+INDEX(Response_Table!$L$4:$L$21,MATCH($F248&amp;"|high",Response_Table!$A$4:$A$21,0))*$R248*INDEX(Parameters!$X$12:$AA$12,1,MATCH($E248,Parameters!$X$3:$AA$3,0))))*(1+Inputs_General!$C$22*Parameters!$F$12)</f>
        <v>0.390571969426514</v>
      </c>
      <c r="BL248" s="45" t="n">
        <f aca="false">IF(BH248=0,0,BI248/BH248-1)</f>
        <v>-0.25946209334508</v>
      </c>
      <c r="BM248" s="46" t="n">
        <f aca="false">Parameters!$E$13*IF($N248="V",Parameters!$I$13,IF($N248="F",Parameters!$J$13,Parameters!$K$13))*(1-Parameters!$L$13*$P248)*IF($D248="V1",Parameters!$M$13,IF($D248="V2",Parameters!$N$13,Parameters!$O$13))</f>
        <v>0.285</v>
      </c>
      <c r="BN248" s="46" t="n">
        <f aca="false">BM248*(1+INDEX(Response_Table!$M$4:$M$21,MATCH($F248&amp;"|mid",Response_Table!$A$4:$A$21,0))*$R248*INDEX(Parameters!$X$13:$AA$13,1,MATCH($E248,Parameters!$X$3:$AA$3,0)))</f>
        <v>0.231636975213411</v>
      </c>
      <c r="BO248" s="46" t="n">
        <f aca="false">MAX(0,MIN(BM248*(1+INDEX(Response_Table!$M$4:$M$21,MATCH($F248&amp;"|low",Response_Table!$A$4:$A$21,0))*$R248*INDEX(Parameters!$X$13:$AA$13,1,MATCH($E248,Parameters!$X$3:$AA$3,0))),BM248*(1+INDEX(Response_Table!$M$4:$M$21,MATCH($F248&amp;"|high",Response_Table!$A$4:$A$21,0))*$R248*INDEX(Parameters!$X$13:$AA$13,1,MATCH($E248,Parameters!$X$3:$AA$3,0))))*(1-Inputs_General!$C$22*Parameters!$F$13))</f>
        <v>0.182406430100928</v>
      </c>
      <c r="BP248" s="46" t="n">
        <f aca="false">MAX(BM248*(1+INDEX(Response_Table!$M$4:$M$21,MATCH($F248&amp;"|low",Response_Table!$A$4:$A$21,0))*$R248*INDEX(Parameters!$X$13:$AA$13,1,MATCH($E248,Parameters!$X$3:$AA$3,0))),BM248*(1+INDEX(Response_Table!$M$4:$M$21,MATCH($F248&amp;"|high",Response_Table!$A$4:$A$21,0))*$R248*INDEX(Parameters!$X$13:$AA$13,1,MATCH($E248,Parameters!$X$3:$AA$3,0))))*(1+Inputs_General!$C$22*Parameters!$F$13)</f>
        <v>0.284025252649468</v>
      </c>
      <c r="BQ248" s="45" t="n">
        <f aca="false">IF(BM248=0,0,BN248/BM248-1)</f>
        <v>-0.187238683461716</v>
      </c>
      <c r="BR248" s="44" t="n">
        <f aca="false">Parameters!$E$14*IF($N248="V",Parameters!$I$14,IF($N248="F",Parameters!$J$14,Parameters!$K$14))*(1-Parameters!$L$14*$P248)*IF($D248="V1",Parameters!$M$14,IF($D248="V2",Parameters!$N$14,Parameters!$O$14))*INDEX(Context!$AC$4:$AC$51,$K248)</f>
        <v>23.1</v>
      </c>
      <c r="BS248" s="44" t="n">
        <f aca="false">BR248*(1+INDEX(Response_Table!$N$4:$N$21,MATCH($F248&amp;"|mid",Response_Table!$A$4:$A$21,0))*$R248*INDEX(Parameters!$X$14:$AA$14,1,MATCH($E248,Parameters!$X$3:$AA$3,0)))</f>
        <v>29.638444752296</v>
      </c>
      <c r="BT248" s="44" t="n">
        <f aca="false">MAX(0,MIN(BR248*(1+INDEX(Response_Table!$N$4:$N$21,MATCH($F248&amp;"|low",Response_Table!$A$4:$A$21,0))*$R248*INDEX(Parameters!$X$14:$AA$14,1,MATCH($E248,Parameters!$X$3:$AA$3,0))),BR248*(1+INDEX(Response_Table!$N$4:$N$21,MATCH($F248&amp;"|high",Response_Table!$A$4:$A$21,0))*$R248*INDEX(Parameters!$X$14:$AA$14,1,MATCH($E248,Parameters!$X$3:$AA$3,0))))*(1-Inputs_General!$C$22*Parameters!$F$14))</f>
        <v>14.7251445699774</v>
      </c>
      <c r="BU248" s="44" t="n">
        <f aca="false">MAX(BR248*(1+INDEX(Response_Table!$N$4:$N$21,MATCH($F248&amp;"|low",Response_Table!$A$4:$A$21,0))*$R248*INDEX(Parameters!$X$14:$AA$14,1,MATCH($E248,Parameters!$X$3:$AA$3,0))),BR248*(1+INDEX(Response_Table!$N$4:$N$21,MATCH($F248&amp;"|high",Response_Table!$A$4:$A$21,0))*$R248*INDEX(Parameters!$X$14:$AA$14,1,MATCH($E248,Parameters!$X$3:$AA$3,0))))*(1+Inputs_General!$C$22*Parameters!$F$14)</f>
        <v>44.9958445976193</v>
      </c>
      <c r="BV248" s="45" t="n">
        <f aca="false">IF(BR248=0,0,BS248/BR248-1)</f>
        <v>0.283049556376451</v>
      </c>
      <c r="BW248" s="43" t="n">
        <f aca="false">Parameters!$E$15*IF($N248="V",Parameters!$I$15,IF($N248="F",Parameters!$J$15,Parameters!$K$15))*(1-Parameters!$L$15*$P248)*IF($D248="V1",Parameters!$M$15,IF($D248="V2",Parameters!$N$15,Parameters!$O$15))</f>
        <v>11.664</v>
      </c>
      <c r="BX248" s="43" t="n">
        <f aca="false">BW248*(1+INDEX(Response_Table!$O$4:$O$21,MATCH($F248&amp;"|mid",Response_Table!$A$4:$A$21,0))*$R248*INDEX(Parameters!$X$15:$AA$15,1,MATCH($E248,Parameters!$X$3:$AA$3,0)))</f>
        <v>10.8386274936063</v>
      </c>
      <c r="BY248" s="43" t="n">
        <f aca="false">MAX(0,MIN(BW248*(1+INDEX(Response_Table!$O$4:$O$21,MATCH($F248&amp;"|low",Response_Table!$A$4:$A$21,0))*$R248*INDEX(Parameters!$X$15:$AA$15,1,MATCH($E248,Parameters!$X$3:$AA$3,0))),BW248*(1+INDEX(Response_Table!$O$4:$O$21,MATCH($F248&amp;"|high",Response_Table!$A$4:$A$21,0))*$R248*INDEX(Parameters!$X$15:$AA$15,1,MATCH($E248,Parameters!$X$3:$AA$3,0))))*(1-Inputs_General!$C$22*Parameters!$F$15))</f>
        <v>8.64950496715413</v>
      </c>
      <c r="BZ248" s="43" t="n">
        <f aca="false">MAX(BW248*(1+INDEX(Response_Table!$O$4:$O$21,MATCH($F248&amp;"|low",Response_Table!$A$4:$A$21,0))*$R248*INDEX(Parameters!$X$15:$AA$15,1,MATCH($E248,Parameters!$X$3:$AA$3,0))),BW248*(1+INDEX(Response_Table!$O$4:$O$21,MATCH($F248&amp;"|high",Response_Table!$A$4:$A$21,0))*$R248*INDEX(Parameters!$X$15:$AA$15,1,MATCH($E248,Parameters!$X$3:$AA$3,0))))*(1+Inputs_General!$C$22*Parameters!$F$15)</f>
        <v>13.0637393016848</v>
      </c>
      <c r="CA248" s="45" t="n">
        <f aca="false">IF(BW248=0,0,BX248/BW248-1)</f>
        <v>-0.0707623890941125</v>
      </c>
      <c r="CB248" s="46" t="n">
        <f aca="false">BD248+BI248</f>
        <v>1.13258548424241</v>
      </c>
      <c r="CC248" s="43" t="n">
        <f aca="false">BD248/BI248</f>
        <v>2.57756537018466</v>
      </c>
      <c r="CD248" s="46" t="n">
        <f aca="false">BN248/CB248</f>
        <v>0.204520522676797</v>
      </c>
      <c r="CE248" s="43" t="n">
        <f aca="false">AE248/AO248</f>
        <v>2.76223454427562</v>
      </c>
      <c r="CF248" s="44" t="n">
        <f aca="false">AE248/AJ248</f>
        <v>30.3256911340048</v>
      </c>
      <c r="CG248" s="44" t="n">
        <f aca="false">INDEX(Context!$V$4:$V$51,$K248)</f>
        <v>22.6257142857143</v>
      </c>
      <c r="CH248" s="44" t="n">
        <f aca="false">INDEX(Context!$Y$4:$Y$51,$K248)</f>
        <v>21.3177449518561</v>
      </c>
      <c r="CI248" s="44" t="n">
        <f aca="false">INDEX(Context!$Z$4:$Z$51,$K248)</f>
        <v>26.6257142857143</v>
      </c>
      <c r="CJ248" s="43" t="n">
        <f aca="false">INDEX(Context!$AA$4:$AA$51,$K248)</f>
        <v>0.12</v>
      </c>
      <c r="CK248" s="43" t="n">
        <f aca="false">MAX(0,MIN(1,1-(1-CJ248)*AO248/AN248))</f>
        <v>0.478903473366722</v>
      </c>
      <c r="CL248" s="44" t="n">
        <f aca="false">CH248+CK248*(CI248-CH248)</f>
        <v>23.8597499023648</v>
      </c>
      <c r="CM248" s="44" t="n">
        <f aca="false">CH248+MAX(0,MIN(1,1-(1-CJ248)*AQ248/AN248))*(CI248-CH248)</f>
        <v>22.5747445935901</v>
      </c>
      <c r="CN248" s="44" t="n">
        <f aca="false">CH248+MAX(0,MIN(1,1-(1-CJ248)*AP248/AN248))*(CI248-CH248)</f>
        <v>24.873489027421</v>
      </c>
      <c r="CO248" s="44" t="n">
        <f aca="false">CL248-CG248</f>
        <v>1.23403561665052</v>
      </c>
      <c r="CP248" s="44" t="n">
        <f aca="false">CL248-(CH248+CJ248*(CI248-CH248))</f>
        <v>1.90504863044577</v>
      </c>
      <c r="CQ248" s="46" t="n">
        <f aca="false">CL248/CG248</f>
        <v>1.05454128877733</v>
      </c>
      <c r="CR248" s="43" t="n">
        <f aca="false">IF(CL248-CH248&lt;=0,"n/a",(CI248-CL248)/(CL248-CH248))</f>
        <v>1.08810346053649</v>
      </c>
      <c r="CS248" s="43" t="n">
        <f aca="false">IF(CI248-CL248&lt;=0,"n/a",(CL248-CH248)/(CI248-CL248))</f>
        <v>0.919030254261801</v>
      </c>
      <c r="CT248" s="43" t="n">
        <f aca="false">Inputs_General!$C$23+Inputs_General!$C$24*$I248</f>
        <v>1.9</v>
      </c>
      <c r="CU248" s="44" t="n">
        <f aca="false">3.29*CT248</f>
        <v>6.251</v>
      </c>
    </row>
    <row r="249" customFormat="false" ht="15" hidden="false" customHeight="false" outlineLevel="0" collapsed="false">
      <c r="A249" s="33" t="str">
        <f aca="false">B249&amp;"|"&amp;E249&amp;"|"&amp;F249</f>
        <v>D4V2|24/02/2026|Healthy</v>
      </c>
      <c r="B249" s="34" t="s">
        <v>353</v>
      </c>
      <c r="C249" s="33" t="s">
        <v>133</v>
      </c>
      <c r="D249" s="33" t="s">
        <v>146</v>
      </c>
      <c r="E249" s="33" t="s">
        <v>160</v>
      </c>
      <c r="F249" s="34" t="s">
        <v>275</v>
      </c>
      <c r="G249" s="33" t="s">
        <v>276</v>
      </c>
      <c r="H249" s="35" t="n">
        <f aca="false">INDEX(Severity_Classes!$C$4:$C$9,MATCH(F249,Severity_Classes!$A$4:$A$9,0))</f>
        <v>0</v>
      </c>
      <c r="I249" s="35" t="n">
        <f aca="false">INDEX(Severity_Classes!$D$4:$D$9,MATCH(F249,Severity_Classes!$A$4:$A$9,0))</f>
        <v>0</v>
      </c>
      <c r="J249" s="35" t="n">
        <f aca="false">INDEX(Severity_Classes!$E$4:$E$9,MATCH(F249,Severity_Classes!$A$4:$A$9,0))</f>
        <v>0</v>
      </c>
      <c r="K249" s="36" t="n">
        <f aca="false">MATCH(B249&amp;"|"&amp;E249,Context!$A$4:$A$51,0)</f>
        <v>42</v>
      </c>
      <c r="L249" s="36" t="n">
        <f aca="false">INDEX(Context!$H$4:$H$51,K249)</f>
        <v>46</v>
      </c>
      <c r="M249" s="36" t="n">
        <f aca="false">INDEX(Context!$I$4:$I$51,K249)</f>
        <v>19</v>
      </c>
      <c r="N249" s="33" t="str">
        <f aca="false">INDEX(Context!$L$4:$L$51,K249)</f>
        <v>V</v>
      </c>
      <c r="O249" s="33" t="str">
        <f aca="false">INDEX(Context!$M$4:$M$51,K249)</f>
        <v>3rd fully expanded leaf from top</v>
      </c>
      <c r="P249" s="37" t="n">
        <f aca="false">INDEX(Context!$R$4:$R$51,K249)</f>
        <v>0.0232142857142859</v>
      </c>
      <c r="Q249" s="37" t="n">
        <f aca="false">INDEX(Context!$U$4:$U$51,K249)</f>
        <v>1.19492600027053</v>
      </c>
      <c r="R249" s="37" t="n">
        <f aca="false">INDEX(Context!$AD$4:$AD$51,K249)</f>
        <v>1.1</v>
      </c>
      <c r="S249" s="33" t="str">
        <f aca="false">INDEX(Context!$AI$4:$AN$51,K249,MATCH(F249,Severity_Classes!$A$4:$A$9,0))</f>
        <v>Reference: healthy (uninoculated) control plot</v>
      </c>
      <c r="T249" s="38" t="n">
        <f aca="false">Parameters!$E$4*IF($N249="V",Parameters!$I$4,IF($N249="F",Parameters!$J$4,Parameters!$K$4))*(1-Parameters!$L$4*$P249)*IF($D249="V1",Parameters!$M$4,IF($D249="V2",Parameters!$N$4,Parameters!$O$4))</f>
        <v>85.9001785714286</v>
      </c>
      <c r="U249" s="38" t="n">
        <f aca="false">MIN(100,T249*(1+INDEX(Response_Table!$E$4:$E$21,MATCH($F249&amp;"|mid",Response_Table!$A$4:$A$21,0))*$R249*INDEX(Parameters!$X$4:$AA$4,1,MATCH($E249,Parameters!$X$3:$AA$3,0))))</f>
        <v>85.9001785714286</v>
      </c>
      <c r="V249" s="38" t="n">
        <f aca="false">MAX(0,MIN(T249*(1+INDEX(Response_Table!$E$4:$E$21,MATCH($F249&amp;"|low",Response_Table!$A$4:$A$21,0))*$R249*INDEX(Parameters!$X$4:$AA$4,1,MATCH($E249,Parameters!$X$3:$AA$3,0))),T249*(1+INDEX(Response_Table!$E$4:$E$21,MATCH($F249&amp;"|high",Response_Table!$A$4:$A$21,0))*$R249*INDEX(Parameters!$X$4:$AA$4,1,MATCH($E249,Parameters!$X$3:$AA$3,0))))*(1-Inputs_General!$C$22*Parameters!$F$4))</f>
        <v>80.2479468214286</v>
      </c>
      <c r="W249" s="38" t="n">
        <f aca="false">MIN(100,MAX(T249*(1+INDEX(Response_Table!$E$4:$E$21,MATCH($F249&amp;"|low",Response_Table!$A$4:$A$21,0))*$R249*INDEX(Parameters!$X$4:$AA$4,1,MATCH($E249,Parameters!$X$3:$AA$3,0))),T249*(1+INDEX(Response_Table!$E$4:$E$21,MATCH($F249&amp;"|high",Response_Table!$A$4:$A$21,0))*$R249*INDEX(Parameters!$X$4:$AA$4,1,MATCH($E249,Parameters!$X$3:$AA$3,0))))*(1+Inputs_General!$C$22*Parameters!$F$4))</f>
        <v>91.5524103214286</v>
      </c>
      <c r="X249" s="39" t="n">
        <f aca="false">IF(T249=0,0,U249/T249-1)</f>
        <v>0</v>
      </c>
      <c r="Y249" s="38" t="n">
        <f aca="false">Parameters!$E$5*IF($N249="V",Parameters!$I$5,IF($N249="F",Parameters!$J$5,Parameters!$K$5))*(1-Parameters!$L$5*$P249)*IF($D249="V1",Parameters!$M$5,IF($D249="V2",Parameters!$N$5,Parameters!$O$5))</f>
        <v>71.7994285714286</v>
      </c>
      <c r="Z249" s="38" t="n">
        <f aca="false">MIN(100,Y249*(1+INDEX(Response_Table!$F$4:$F$21,MATCH($F249&amp;"|mid",Response_Table!$A$4:$A$21,0))*$R249*INDEX(Parameters!$X$5:$AA$5,1,MATCH($E249,Parameters!$X$3:$AA$3,0))))</f>
        <v>71.7994285714286</v>
      </c>
      <c r="AA249" s="38" t="n">
        <f aca="false">MAX(0,MIN(Y249*(1+INDEX(Response_Table!$F$4:$F$21,MATCH($F249&amp;"|low",Response_Table!$A$4:$A$21,0))*$R249*INDEX(Parameters!$X$5:$AA$5,1,MATCH($E249,Parameters!$X$3:$AA$3,0))),Y249*(1+INDEX(Response_Table!$F$4:$F$21,MATCH($F249&amp;"|high",Response_Table!$A$4:$A$21,0))*$R249*INDEX(Parameters!$X$5:$AA$5,1,MATCH($E249,Parameters!$X$3:$AA$3,0))))*(1-Inputs_General!$C$22*Parameters!$F$5))</f>
        <v>63.5317243714286</v>
      </c>
      <c r="AB249" s="38" t="n">
        <f aca="false">MIN(100,MAX(Y249*(1+INDEX(Response_Table!$F$4:$F$21,MATCH($F249&amp;"|low",Response_Table!$A$4:$A$21,0))*$R249*INDEX(Parameters!$X$5:$AA$5,1,MATCH($E249,Parameters!$X$3:$AA$3,0))),Y249*(1+INDEX(Response_Table!$F$4:$F$21,MATCH($F249&amp;"|high",Response_Table!$A$4:$A$21,0))*$R249*INDEX(Parameters!$X$5:$AA$5,1,MATCH($E249,Parameters!$X$3:$AA$3,0))))*(1+Inputs_General!$C$22*Parameters!$F$5))</f>
        <v>80.0671327714286</v>
      </c>
      <c r="AC249" s="39" t="n">
        <f aca="false">IF(Y249=0,0,Z249/Y249-1)</f>
        <v>0</v>
      </c>
      <c r="AD249" s="38" t="n">
        <f aca="false">Parameters!$E$6*IF($N249="V",Parameters!$I$6,IF($N249="F",Parameters!$J$6,Parameters!$K$6))*(1-Parameters!$L$6*$P249)*IF($D249="V1",Parameters!$M$6,IF($D249="V2",Parameters!$N$6,Parameters!$O$6))</f>
        <v>18.9470714285714</v>
      </c>
      <c r="AE249" s="38" t="n">
        <f aca="false">AD249*(1+INDEX(Response_Table!$G$4:$G$21,MATCH($F249&amp;"|mid",Response_Table!$A$4:$A$21,0))*$R249*INDEX(Parameters!$X$6:$AA$6,1,MATCH($E249,Parameters!$X$3:$AA$3,0)))</f>
        <v>18.9470714285714</v>
      </c>
      <c r="AF249" s="38" t="n">
        <f aca="false">MAX(0,MIN(AD249*(1+INDEX(Response_Table!$G$4:$G$21,MATCH($F249&amp;"|low",Response_Table!$A$4:$A$21,0))*$R249*INDEX(Parameters!$X$6:$AA$6,1,MATCH($E249,Parameters!$X$3:$AA$3,0))),AD249*(1+INDEX(Response_Table!$G$4:$G$21,MATCH($F249&amp;"|high",Response_Table!$A$4:$A$21,0))*$R249*INDEX(Parameters!$X$6:$AA$6,1,MATCH($E249,Parameters!$X$3:$AA$3,0))))*(1-Inputs_General!$C$22*Parameters!$F$6))</f>
        <v>15.2069195285714</v>
      </c>
      <c r="AG249" s="38" t="n">
        <f aca="false">MAX(AD249*(1+INDEX(Response_Table!$G$4:$G$21,MATCH($F249&amp;"|low",Response_Table!$A$4:$A$21,0))*$R249*INDEX(Parameters!$X$6:$AA$6,1,MATCH($E249,Parameters!$X$3:$AA$3,0))),AD249*(1+INDEX(Response_Table!$G$4:$G$21,MATCH($F249&amp;"|high",Response_Table!$A$4:$A$21,0))*$R249*INDEX(Parameters!$X$6:$AA$6,1,MATCH($E249,Parameters!$X$3:$AA$3,0))))*(1+Inputs_General!$C$22*Parameters!$F$6)</f>
        <v>22.6872233285714</v>
      </c>
      <c r="AH249" s="39" t="n">
        <f aca="false">IF(AD249=0,0,AE249/AD249-1)</f>
        <v>0</v>
      </c>
      <c r="AI249" s="40" t="n">
        <f aca="false">Parameters!$E$7*IF($N249="V",Parameters!$I$7,IF($N249="F",Parameters!$J$7,Parameters!$K$7))*(1-Parameters!$L$7*$P249)*IF($D249="V1",Parameters!$M$7,IF($D249="V2",Parameters!$N$7,Parameters!$O$7))*POWER($Q249/Inputs_General!$C$26,-Inputs_General!$C$25)</f>
        <v>0.411663164578586</v>
      </c>
      <c r="AJ249" s="40" t="n">
        <f aca="false">AI249*(1+INDEX(Response_Table!$H$4:$H$21,MATCH($F249&amp;"|mid",Response_Table!$A$4:$A$21,0))*$R249*INDEX(Parameters!$X$7:$AA$7,1,MATCH($E249,Parameters!$X$3:$AA$3,0)))</f>
        <v>0.411663164578586</v>
      </c>
      <c r="AK249" s="40" t="n">
        <f aca="false">MAX(0,MIN(AI249*(1+INDEX(Response_Table!$H$4:$H$21,MATCH($F249&amp;"|low",Response_Table!$A$4:$A$21,0))*$R249*INDEX(Parameters!$X$7:$AA$7,1,MATCH($E249,Parameters!$X$3:$AA$3,0))),AI249*(1+INDEX(Response_Table!$H$4:$H$21,MATCH($F249&amp;"|high",Response_Table!$A$4:$A$21,0))*$R249*INDEX(Parameters!$X$7:$AA$7,1,MATCH($E249,Parameters!$X$3:$AA$3,0))))*(1-Inputs_General!$C$22*Parameters!$F$7))</f>
        <v>0.289769701546867</v>
      </c>
      <c r="AL249" s="40" t="n">
        <f aca="false">MAX(AI249*(1+INDEX(Response_Table!$H$4:$H$21,MATCH($F249&amp;"|low",Response_Table!$A$4:$A$21,0))*$R249*INDEX(Parameters!$X$7:$AA$7,1,MATCH($E249,Parameters!$X$3:$AA$3,0))),AI249*(1+INDEX(Response_Table!$H$4:$H$21,MATCH($F249&amp;"|high",Response_Table!$A$4:$A$21,0))*$R249*INDEX(Parameters!$X$7:$AA$7,1,MATCH($E249,Parameters!$X$3:$AA$3,0))))*(1+Inputs_General!$C$22*Parameters!$F$7)</f>
        <v>0.533556627610306</v>
      </c>
      <c r="AM249" s="39" t="n">
        <f aca="false">IF(AI249=0,0,AJ249/AI249-1)</f>
        <v>0</v>
      </c>
      <c r="AN249" s="37" t="n">
        <f aca="false">AI249*$Q249/Inputs_General!$C$13*1000</f>
        <v>4.95374641196979</v>
      </c>
      <c r="AO249" s="37" t="n">
        <f aca="false">AJ249*$Q249/Inputs_General!$C$13*1000*(1+Inputs_General!$C$21*$I249)</f>
        <v>4.95374641196979</v>
      </c>
      <c r="AP249" s="37" t="n">
        <f aca="false">AK249*$Q249/Inputs_General!$C$13*1000*(1+Inputs_General!$C$21*$H249)</f>
        <v>3.48694209938553</v>
      </c>
      <c r="AQ249" s="37" t="n">
        <f aca="false">AL249*$Q249/Inputs_General!$C$13*1000*(1+Inputs_General!$C$21*$J249)</f>
        <v>6.42055072455404</v>
      </c>
      <c r="AR249" s="39" t="n">
        <f aca="false">IF(AN249=0,0,AO249/AN249-1)</f>
        <v>0</v>
      </c>
      <c r="AS249" s="36" t="n">
        <f aca="false">Parameters!$E$9*IF($N249="V",Parameters!$I$9,IF($N249="F",Parameters!$J$9,Parameters!$K$9))*(1-Parameters!$L$9*$P249)*IF($D249="V1",Parameters!$M$9,IF($D249="V2",Parameters!$N$9,Parameters!$O$9))</f>
        <v>285</v>
      </c>
      <c r="AT249" s="36" t="n">
        <f aca="false">AS249*(1+INDEX(Response_Table!$I$4:$I$21,MATCH($F249&amp;"|mid",Response_Table!$A$4:$A$21,0))*$R249*INDEX(Parameters!$X$9:$AA$9,1,MATCH($E249,Parameters!$X$3:$AA$3,0)))</f>
        <v>285</v>
      </c>
      <c r="AU249" s="36" t="n">
        <f aca="false">MAX(0,MIN(AS249*(1+INDEX(Response_Table!$I$4:$I$21,MATCH($F249&amp;"|low",Response_Table!$A$4:$A$21,0))*$R249*INDEX(Parameters!$X$9:$AA$9,1,MATCH($E249,Parameters!$X$3:$AA$3,0))),AS249*(1+INDEX(Response_Table!$I$4:$I$21,MATCH($F249&amp;"|high",Response_Table!$A$4:$A$21,0))*$R249*INDEX(Parameters!$X$9:$AA$9,1,MATCH($E249,Parameters!$X$3:$AA$3,0))))*(1-Inputs_General!$C$22*Parameters!$F$9))</f>
        <v>256.8705</v>
      </c>
      <c r="AV249" s="36" t="n">
        <f aca="false">MAX(AS249*(1+INDEX(Response_Table!$I$4:$I$21,MATCH($F249&amp;"|low",Response_Table!$A$4:$A$21,0))*$R249*INDEX(Parameters!$X$9:$AA$9,1,MATCH($E249,Parameters!$X$3:$AA$3,0))),AS249*(1+INDEX(Response_Table!$I$4:$I$21,MATCH($F249&amp;"|high",Response_Table!$A$4:$A$21,0))*$R249*INDEX(Parameters!$X$9:$AA$9,1,MATCH($E249,Parameters!$X$3:$AA$3,0))))*(1+Inputs_General!$C$22*Parameters!$F$9)</f>
        <v>313.1295</v>
      </c>
      <c r="AW249" s="39" t="n">
        <f aca="false">IF(AS249=0,0,AT249/AS249-1)</f>
        <v>0</v>
      </c>
      <c r="AX249" s="37" t="n">
        <f aca="false">INDEX(Context!$AB$4:$AB$51,$K249)</f>
        <v>1.40851696565548</v>
      </c>
      <c r="AY249" s="37" t="n">
        <f aca="false">AX249*(1+INDEX(Response_Table!$J$4:$J$21,MATCH($F249&amp;"|mid",Response_Table!$A$4:$A$21,0))*$R249*INDEX(Parameters!$X$10:$AA$10,1,MATCH($E249,Parameters!$X$3:$AA$3,0)))</f>
        <v>1.40851696565548</v>
      </c>
      <c r="AZ249" s="37" t="n">
        <f aca="false">MAX(0,MIN(AX249*(1+INDEX(Response_Table!$J$4:$J$21,MATCH($F249&amp;"|low",Response_Table!$A$4:$A$21,0))*$R249*INDEX(Parameters!$X$10:$AA$10,1,MATCH($E249,Parameters!$X$3:$AA$3,0))),AX249*(1+INDEX(Response_Table!$J$4:$J$21,MATCH($F249&amp;"|high",Response_Table!$A$4:$A$21,0))*$R249*INDEX(Parameters!$X$10:$AA$10,1,MATCH($E249,Parameters!$X$3:$AA$3,0))))*(1-Inputs_General!$C$22*Parameters!$F$10))</f>
        <v>1.13047571663509</v>
      </c>
      <c r="BA249" s="37" t="n">
        <f aca="false">MAX(AX249*(1+INDEX(Response_Table!$J$4:$J$21,MATCH($F249&amp;"|low",Response_Table!$A$4:$A$21,0))*$R249*INDEX(Parameters!$X$10:$AA$10,1,MATCH($E249,Parameters!$X$3:$AA$3,0))),AX249*(1+INDEX(Response_Table!$J$4:$J$21,MATCH($F249&amp;"|high",Response_Table!$A$4:$A$21,0))*$R249*INDEX(Parameters!$X$10:$AA$10,1,MATCH($E249,Parameters!$X$3:$AA$3,0))))*(1+Inputs_General!$C$22*Parameters!$F$10)</f>
        <v>1.68655821467588</v>
      </c>
      <c r="BB249" s="39" t="n">
        <f aca="false">IF(AX249=0,0,AY249/AX249-1)</f>
        <v>0</v>
      </c>
      <c r="BC249" s="40" t="n">
        <f aca="false">Parameters!$E$11*IF($N249="V",Parameters!$I$11,IF($N249="F",Parameters!$J$11,Parameters!$K$11))*(1-Parameters!$L$11*$P249)*IF($D249="V1",Parameters!$M$11,IF($D249="V2",Parameters!$N$11,Parameters!$O$11))</f>
        <v>1.18584598214286</v>
      </c>
      <c r="BD249" s="40" t="n">
        <f aca="false">BC249*(1+INDEX(Response_Table!$K$4:$K$21,MATCH($F249&amp;"|mid",Response_Table!$A$4:$A$21,0))*$R249*INDEX(Parameters!$X$11:$AA$11,1,MATCH($E249,Parameters!$X$3:$AA$3,0)))</f>
        <v>1.18584598214286</v>
      </c>
      <c r="BE249" s="40" t="n">
        <f aca="false">MAX(0,MIN(BC249*(1+INDEX(Response_Table!$K$4:$K$21,MATCH($F249&amp;"|low",Response_Table!$A$4:$A$21,0))*$R249*INDEX(Parameters!$X$11:$AA$11,1,MATCH($E249,Parameters!$X$3:$AA$3,0))),BC249*(1+INDEX(Response_Table!$K$4:$K$21,MATCH($F249&amp;"|high",Response_Table!$A$4:$A$21,0))*$R249*INDEX(Parameters!$X$11:$AA$11,1,MATCH($E249,Parameters!$X$3:$AA$3,0))))*(1-Inputs_General!$C$22*Parameters!$F$11))</f>
        <v>0.990774318080357</v>
      </c>
      <c r="BF249" s="40" t="n">
        <f aca="false">MAX(BC249*(1+INDEX(Response_Table!$K$4:$K$21,MATCH($F249&amp;"|low",Response_Table!$A$4:$A$21,0))*$R249*INDEX(Parameters!$X$11:$AA$11,1,MATCH($E249,Parameters!$X$3:$AA$3,0))),BC249*(1+INDEX(Response_Table!$K$4:$K$21,MATCH($F249&amp;"|high",Response_Table!$A$4:$A$21,0))*$R249*INDEX(Parameters!$X$11:$AA$11,1,MATCH($E249,Parameters!$X$3:$AA$3,0))))*(1+Inputs_General!$C$22*Parameters!$F$11)</f>
        <v>1.38091764620536</v>
      </c>
      <c r="BG249" s="39" t="n">
        <f aca="false">IF(BC249=0,0,BD249/BC249-1)</f>
        <v>0</v>
      </c>
      <c r="BH249" s="40" t="n">
        <f aca="false">Parameters!$E$12*IF($N249="V",Parameters!$I$12,IF($N249="F",Parameters!$J$12,Parameters!$K$12))*(1-Parameters!$L$12*$P249)*IF($D249="V1",Parameters!$M$12,IF($D249="V2",Parameters!$N$12,Parameters!$O$12))</f>
        <v>0.426904553571429</v>
      </c>
      <c r="BI249" s="40" t="n">
        <f aca="false">BH249*(1+INDEX(Response_Table!$L$4:$L$21,MATCH($F249&amp;"|mid",Response_Table!$A$4:$A$21,0))*$R249*INDEX(Parameters!$X$12:$AA$12,1,MATCH($E249,Parameters!$X$3:$AA$3,0)))</f>
        <v>0.426904553571429</v>
      </c>
      <c r="BJ249" s="40" t="n">
        <f aca="false">MAX(0,MIN(BH249*(1+INDEX(Response_Table!$L$4:$L$21,MATCH($F249&amp;"|low",Response_Table!$A$4:$A$21,0))*$R249*INDEX(Parameters!$X$12:$AA$12,1,MATCH($E249,Parameters!$X$3:$AA$3,0))),BH249*(1+INDEX(Response_Table!$L$4:$L$21,MATCH($F249&amp;"|high",Response_Table!$A$4:$A$21,0))*$R249*INDEX(Parameters!$X$12:$AA$12,1,MATCH($E249,Parameters!$X$3:$AA$3,0))))*(1-Inputs_General!$C$22*Parameters!$F$12))</f>
        <v>0.342633594696429</v>
      </c>
      <c r="BK249" s="40" t="n">
        <f aca="false">MAX(BH249*(1+INDEX(Response_Table!$L$4:$L$21,MATCH($F249&amp;"|low",Response_Table!$A$4:$A$21,0))*$R249*INDEX(Parameters!$X$12:$AA$12,1,MATCH($E249,Parameters!$X$3:$AA$3,0))),BH249*(1+INDEX(Response_Table!$L$4:$L$21,MATCH($F249&amp;"|high",Response_Table!$A$4:$A$21,0))*$R249*INDEX(Parameters!$X$12:$AA$12,1,MATCH($E249,Parameters!$X$3:$AA$3,0))))*(1+Inputs_General!$C$22*Parameters!$F$12)</f>
        <v>0.511175512446429</v>
      </c>
      <c r="BL249" s="39" t="n">
        <f aca="false">IF(BH249=0,0,BI249/BH249-1)</f>
        <v>0</v>
      </c>
      <c r="BM249" s="40" t="n">
        <f aca="false">Parameters!$E$13*IF($N249="V",Parameters!$I$13,IF($N249="F",Parameters!$J$13,Parameters!$K$13))*(1-Parameters!$L$13*$P249)*IF($D249="V1",Parameters!$M$13,IF($D249="V2",Parameters!$N$13,Parameters!$O$13))</f>
        <v>0.284801517857143</v>
      </c>
      <c r="BN249" s="40" t="n">
        <f aca="false">BM249*(1+INDEX(Response_Table!$M$4:$M$21,MATCH($F249&amp;"|mid",Response_Table!$A$4:$A$21,0))*$R249*INDEX(Parameters!$X$13:$AA$13,1,MATCH($E249,Parameters!$X$3:$AA$3,0)))</f>
        <v>0.284801517857143</v>
      </c>
      <c r="BO249" s="40" t="n">
        <f aca="false">MAX(0,MIN(BM249*(1+INDEX(Response_Table!$M$4:$M$21,MATCH($F249&amp;"|low",Response_Table!$A$4:$A$21,0))*$R249*INDEX(Parameters!$X$13:$AA$13,1,MATCH($E249,Parameters!$X$3:$AA$3,0))),BM249*(1+INDEX(Response_Table!$M$4:$M$21,MATCH($F249&amp;"|high",Response_Table!$A$4:$A$21,0))*$R249*INDEX(Parameters!$X$13:$AA$13,1,MATCH($E249,Parameters!$X$3:$AA$3,0))))*(1-Inputs_General!$C$22*Parameters!$F$13))</f>
        <v>0.228581698232143</v>
      </c>
      <c r="BP249" s="40" t="n">
        <f aca="false">MAX(BM249*(1+INDEX(Response_Table!$M$4:$M$21,MATCH($F249&amp;"|low",Response_Table!$A$4:$A$21,0))*$R249*INDEX(Parameters!$X$13:$AA$13,1,MATCH($E249,Parameters!$X$3:$AA$3,0))),BM249*(1+INDEX(Response_Table!$M$4:$M$21,MATCH($F249&amp;"|high",Response_Table!$A$4:$A$21,0))*$R249*INDEX(Parameters!$X$13:$AA$13,1,MATCH($E249,Parameters!$X$3:$AA$3,0))))*(1+Inputs_General!$C$22*Parameters!$F$13)</f>
        <v>0.341021337482143</v>
      </c>
      <c r="BQ249" s="39" t="n">
        <f aca="false">IF(BM249=0,0,BN249/BM249-1)</f>
        <v>0</v>
      </c>
      <c r="BR249" s="38" t="n">
        <f aca="false">Parameters!$E$14*IF($N249="V",Parameters!$I$14,IF($N249="F",Parameters!$J$14,Parameters!$K$14))*(1-Parameters!$L$14*$P249)*IF($D249="V1",Parameters!$M$14,IF($D249="V2",Parameters!$N$14,Parameters!$O$14))*INDEX(Context!$AC$4:$AC$51,$K249)</f>
        <v>18.975</v>
      </c>
      <c r="BS249" s="38" t="n">
        <f aca="false">BR249*(1+INDEX(Response_Table!$N$4:$N$21,MATCH($F249&amp;"|mid",Response_Table!$A$4:$A$21,0))*$R249*INDEX(Parameters!$X$14:$AA$14,1,MATCH($E249,Parameters!$X$3:$AA$3,0)))</f>
        <v>18.975</v>
      </c>
      <c r="BT249" s="38" t="n">
        <f aca="false">MAX(0,MIN(BR249*(1+INDEX(Response_Table!$N$4:$N$21,MATCH($F249&amp;"|low",Response_Table!$A$4:$A$21,0))*$R249*INDEX(Parameters!$X$14:$AA$14,1,MATCH($E249,Parameters!$X$3:$AA$3,0))),BR249*(1+INDEX(Response_Table!$N$4:$N$21,MATCH($F249&amp;"|high",Response_Table!$A$4:$A$21,0))*$R249*INDEX(Parameters!$X$14:$AA$14,1,MATCH($E249,Parameters!$X$3:$AA$3,0))))*(1-Inputs_General!$C$22*Parameters!$F$14))</f>
        <v>9.6108375</v>
      </c>
      <c r="BU249" s="38" t="n">
        <f aca="false">MAX(BR249*(1+INDEX(Response_Table!$N$4:$N$21,MATCH($F249&amp;"|low",Response_Table!$A$4:$A$21,0))*$R249*INDEX(Parameters!$X$14:$AA$14,1,MATCH($E249,Parameters!$X$3:$AA$3,0))),BR249*(1+INDEX(Response_Table!$N$4:$N$21,MATCH($F249&amp;"|high",Response_Table!$A$4:$A$21,0))*$R249*INDEX(Parameters!$X$14:$AA$14,1,MATCH($E249,Parameters!$X$3:$AA$3,0))))*(1+Inputs_General!$C$22*Parameters!$F$14)</f>
        <v>28.3391625</v>
      </c>
      <c r="BV249" s="39" t="n">
        <f aca="false">IF(BR249=0,0,BS249/BR249-1)</f>
        <v>0</v>
      </c>
      <c r="BW249" s="37" t="n">
        <f aca="false">Parameters!$E$15*IF($N249="V",Parameters!$I$15,IF($N249="F",Parameters!$J$15,Parameters!$K$15))*(1-Parameters!$L$15*$P249)*IF($D249="V1",Parameters!$M$15,IF($D249="V2",Parameters!$N$15,Parameters!$O$15))</f>
        <v>11.6477537142857</v>
      </c>
      <c r="BX249" s="37" t="n">
        <f aca="false">BW249*(1+INDEX(Response_Table!$O$4:$O$21,MATCH($F249&amp;"|mid",Response_Table!$A$4:$A$21,0))*$R249*INDEX(Parameters!$X$15:$AA$15,1,MATCH($E249,Parameters!$X$3:$AA$3,0)))</f>
        <v>11.6477537142857</v>
      </c>
      <c r="BY249" s="37" t="n">
        <f aca="false">MAX(0,MIN(BW249*(1+INDEX(Response_Table!$O$4:$O$21,MATCH($F249&amp;"|low",Response_Table!$A$4:$A$21,0))*$R249*INDEX(Parameters!$X$15:$AA$15,1,MATCH($E249,Parameters!$X$3:$AA$3,0))),BW249*(1+INDEX(Response_Table!$O$4:$O$21,MATCH($F249&amp;"|high",Response_Table!$A$4:$A$21,0))*$R249*INDEX(Parameters!$X$15:$AA$15,1,MATCH($E249,Parameters!$X$3:$AA$3,0))))*(1-Inputs_General!$C$22*Parameters!$F$15))</f>
        <v>9.34848713108572</v>
      </c>
      <c r="BZ249" s="37" t="n">
        <f aca="false">MAX(BW249*(1+INDEX(Response_Table!$O$4:$O$21,MATCH($F249&amp;"|low",Response_Table!$A$4:$A$21,0))*$R249*INDEX(Parameters!$X$15:$AA$15,1,MATCH($E249,Parameters!$X$3:$AA$3,0))),BW249*(1+INDEX(Response_Table!$O$4:$O$21,MATCH($F249&amp;"|high",Response_Table!$A$4:$A$21,0))*$R249*INDEX(Parameters!$X$15:$AA$15,1,MATCH($E249,Parameters!$X$3:$AA$3,0))))*(1+Inputs_General!$C$22*Parameters!$F$15)</f>
        <v>13.9470202974857</v>
      </c>
      <c r="CA249" s="39" t="n">
        <f aca="false">IF(BW249=0,0,BX249/BW249-1)</f>
        <v>0</v>
      </c>
      <c r="CB249" s="40" t="n">
        <f aca="false">BD249+BI249</f>
        <v>1.61275053571429</v>
      </c>
      <c r="CC249" s="37" t="n">
        <f aca="false">BD249/BI249</f>
        <v>2.77777777777778</v>
      </c>
      <c r="CD249" s="40" t="n">
        <f aca="false">BN249/CB249</f>
        <v>0.176593658814694</v>
      </c>
      <c r="CE249" s="37" t="n">
        <f aca="false">AE249/AO249</f>
        <v>3.82479639708432</v>
      </c>
      <c r="CF249" s="38" t="n">
        <f aca="false">AE249/AJ249</f>
        <v>46.0256662700615</v>
      </c>
      <c r="CG249" s="38" t="n">
        <f aca="false">INDEX(Context!$V$4:$V$51,$K249)</f>
        <v>25.5785714285714</v>
      </c>
      <c r="CH249" s="38" t="n">
        <f aca="false">INDEX(Context!$Y$4:$Y$51,$K249)</f>
        <v>23.620522619794</v>
      </c>
      <c r="CI249" s="38" t="n">
        <f aca="false">INDEX(Context!$Z$4:$Z$51,$K249)</f>
        <v>29.5785714285714</v>
      </c>
      <c r="CJ249" s="37" t="n">
        <f aca="false">INDEX(Context!$AA$4:$AA$51,$K249)</f>
        <v>0.121160714285714</v>
      </c>
      <c r="CK249" s="37" t="n">
        <f aca="false">MAX(0,MIN(1,1-(1-CJ249)*AO249/AN249))</f>
        <v>0.121160714285714</v>
      </c>
      <c r="CL249" s="38" t="n">
        <f aca="false">CH249+CK249*(CI249-CH249)</f>
        <v>24.3424040692146</v>
      </c>
      <c r="CM249" s="38" t="n">
        <f aca="false">CH249+MAX(0,MIN(1,1-(1-CJ249)*AQ249/AN249))*(CI249-CH249)</f>
        <v>23.620522619794</v>
      </c>
      <c r="CN249" s="38" t="n">
        <f aca="false">CH249+MAX(0,MIN(1,1-(1-CJ249)*AP249/AN249))*(CI249-CH249)</f>
        <v>25.8928332243202</v>
      </c>
      <c r="CO249" s="38" t="n">
        <f aca="false">CL249-CG249</f>
        <v>-1.2361673593568</v>
      </c>
      <c r="CP249" s="38" t="n">
        <f aca="false">CL249-(CH249+CJ249*(CI249-CH249))</f>
        <v>0</v>
      </c>
      <c r="CQ249" s="40" t="n">
        <f aca="false">CL249/CG249</f>
        <v>0.951671759198561</v>
      </c>
      <c r="CR249" s="37" t="n">
        <f aca="false">IF(CL249-CH249&lt;=0,"n/a",(CI249-CL249)/(CL249-CH249))</f>
        <v>7.25350036845984</v>
      </c>
      <c r="CS249" s="37" t="n">
        <f aca="false">IF(CI249-CL249&lt;=0,"n/a",(CL249-CH249)/(CI249-CL249))</f>
        <v>0.137864472213756</v>
      </c>
      <c r="CT249" s="37" t="n">
        <f aca="false">Inputs_General!$C$23+Inputs_General!$C$24*$I249</f>
        <v>0.6</v>
      </c>
      <c r="CU249" s="38" t="n">
        <f aca="false">3.29*CT249</f>
        <v>1.974</v>
      </c>
    </row>
    <row r="250" customFormat="false" ht="15" hidden="false" customHeight="false" outlineLevel="0" collapsed="false">
      <c r="A250" s="9" t="str">
        <f aca="false">B250&amp;"|"&amp;E250&amp;"|"&amp;F250</f>
        <v>D4V2|24/02/2026|Very low</v>
      </c>
      <c r="B250" s="7" t="s">
        <v>353</v>
      </c>
      <c r="C250" s="9" t="s">
        <v>133</v>
      </c>
      <c r="D250" s="9" t="s">
        <v>146</v>
      </c>
      <c r="E250" s="9" t="s">
        <v>160</v>
      </c>
      <c r="F250" s="7" t="s">
        <v>277</v>
      </c>
      <c r="G250" s="9" t="s">
        <v>278</v>
      </c>
      <c r="H250" s="41" t="n">
        <f aca="false">INDEX(Severity_Classes!$C$4:$C$9,MATCH(F250,Severity_Classes!$A$4:$A$9,0))</f>
        <v>0.01</v>
      </c>
      <c r="I250" s="41" t="n">
        <f aca="false">INDEX(Severity_Classes!$D$4:$D$9,MATCH(F250,Severity_Classes!$A$4:$A$9,0))</f>
        <v>0.03</v>
      </c>
      <c r="J250" s="41" t="n">
        <f aca="false">INDEX(Severity_Classes!$E$4:$E$9,MATCH(F250,Severity_Classes!$A$4:$A$9,0))</f>
        <v>0.05</v>
      </c>
      <c r="K250" s="42" t="n">
        <f aca="false">MATCH(B250&amp;"|"&amp;E250,Context!$A$4:$A$51,0)</f>
        <v>42</v>
      </c>
      <c r="L250" s="42" t="n">
        <f aca="false">INDEX(Context!$H$4:$H$51,K250)</f>
        <v>46</v>
      </c>
      <c r="M250" s="42" t="n">
        <f aca="false">INDEX(Context!$I$4:$I$51,K250)</f>
        <v>19</v>
      </c>
      <c r="N250" s="9" t="str">
        <f aca="false">INDEX(Context!$L$4:$L$51,K250)</f>
        <v>V</v>
      </c>
      <c r="O250" s="9" t="str">
        <f aca="false">INDEX(Context!$M$4:$M$51,K250)</f>
        <v>3rd fully expanded leaf from top</v>
      </c>
      <c r="P250" s="43" t="n">
        <f aca="false">INDEX(Context!$R$4:$R$51,K250)</f>
        <v>0.0232142857142859</v>
      </c>
      <c r="Q250" s="43" t="n">
        <f aca="false">INDEX(Context!$U$4:$U$51,K250)</f>
        <v>1.19492600027053</v>
      </c>
      <c r="R250" s="43" t="n">
        <f aca="false">INDEX(Context!$AD$4:$AD$51,K250)</f>
        <v>1.1</v>
      </c>
      <c r="S250" s="9" t="str">
        <f aca="false">INDEX(Context!$AI$4:$AN$51,K250,MATCH(F250,Severity_Classes!$A$4:$A$9,0))</f>
        <v>Possible</v>
      </c>
      <c r="T250" s="44" t="n">
        <f aca="false">Parameters!$E$4*IF($N250="V",Parameters!$I$4,IF($N250="F",Parameters!$J$4,Parameters!$K$4))*(1-Parameters!$L$4*$P250)*IF($D250="V1",Parameters!$M$4,IF($D250="V2",Parameters!$N$4,Parameters!$O$4))</f>
        <v>85.9001785714286</v>
      </c>
      <c r="U250" s="44" t="n">
        <f aca="false">MIN(100,T250*(1+INDEX(Response_Table!$E$4:$E$21,MATCH($F250&amp;"|mid",Response_Table!$A$4:$A$21,0))*$R250*INDEX(Parameters!$X$4:$AA$4,1,MATCH($E250,Parameters!$X$3:$AA$3,0))))</f>
        <v>85.4927993212776</v>
      </c>
      <c r="V250" s="44" t="n">
        <f aca="false">MAX(0,MIN(T250*(1+INDEX(Response_Table!$E$4:$E$21,MATCH($F250&amp;"|low",Response_Table!$A$4:$A$21,0))*$R250*INDEX(Parameters!$X$4:$AA$4,1,MATCH($E250,Parameters!$X$3:$AA$3,0))),T250*(1+INDEX(Response_Table!$E$4:$E$21,MATCH($F250&amp;"|high",Response_Table!$A$4:$A$21,0))*$R250*INDEX(Parameters!$X$4:$AA$4,1,MATCH($E250,Parameters!$X$3:$AA$3,0))))*(1-Inputs_General!$C$22*Parameters!$F$4))</f>
        <v>79.5634079810186</v>
      </c>
      <c r="W250" s="44" t="n">
        <f aca="false">MIN(100,MAX(T250*(1+INDEX(Response_Table!$E$4:$E$21,MATCH($F250&amp;"|low",Response_Table!$A$4:$A$21,0))*$R250*INDEX(Parameters!$X$4:$AA$4,1,MATCH($E250,Parameters!$X$3:$AA$3,0))),T250*(1+INDEX(Response_Table!$E$4:$E$21,MATCH($F250&amp;"|high",Response_Table!$A$4:$A$21,0))*$R250*INDEX(Parameters!$X$4:$AA$4,1,MATCH($E250,Parameters!$X$3:$AA$3,0))))*(1+Inputs_General!$C$22*Parameters!$F$4))</f>
        <v>91.4182232086001</v>
      </c>
      <c r="X250" s="45" t="n">
        <f aca="false">IF(T250=0,0,U250/T250-1)</f>
        <v>-0.00474247268080141</v>
      </c>
      <c r="Y250" s="44" t="n">
        <f aca="false">Parameters!$E$5*IF($N250="V",Parameters!$I$5,IF($N250="F",Parameters!$J$5,Parameters!$K$5))*(1-Parameters!$L$5*$P250)*IF($D250="V1",Parameters!$M$5,IF($D250="V2",Parameters!$N$5,Parameters!$O$5))</f>
        <v>71.7994285714286</v>
      </c>
      <c r="Z250" s="44" t="n">
        <f aca="false">MIN(100,Y250*(1+INDEX(Response_Table!$F$4:$F$21,MATCH($F250&amp;"|mid",Response_Table!$A$4:$A$21,0))*$R250*INDEX(Parameters!$X$5:$AA$5,1,MATCH($E250,Parameters!$X$3:$AA$3,0))))</f>
        <v>70.7124559656287</v>
      </c>
      <c r="AA250" s="44" t="n">
        <f aca="false">MAX(0,MIN(Y250*(1+INDEX(Response_Table!$F$4:$F$21,MATCH($F250&amp;"|low",Response_Table!$A$4:$A$21,0))*$R250*INDEX(Parameters!$X$5:$AA$5,1,MATCH($E250,Parameters!$X$3:$AA$3,0))),Y250*(1+INDEX(Response_Table!$F$4:$F$21,MATCH($F250&amp;"|high",Response_Table!$A$4:$A$21,0))*$R250*INDEX(Parameters!$X$5:$AA$5,1,MATCH($E250,Parameters!$X$3:$AA$3,0))))*(1-Inputs_General!$C$22*Parameters!$F$5))</f>
        <v>61.7777627392453</v>
      </c>
      <c r="AB250" s="44" t="n">
        <f aca="false">MIN(100,MAX(Y250*(1+INDEX(Response_Table!$F$4:$F$21,MATCH($F250&amp;"|low",Response_Table!$A$4:$A$21,0))*$R250*INDEX(Parameters!$X$5:$AA$5,1,MATCH($E250,Parameters!$X$3:$AA$3,0))),Y250*(1+INDEX(Response_Table!$F$4:$F$21,MATCH($F250&amp;"|high",Response_Table!$A$4:$A$21,0))*$R250*INDEX(Parameters!$X$5:$AA$5,1,MATCH($E250,Parameters!$X$3:$AA$3,0))))*(1+Inputs_General!$C$22*Parameters!$F$5))</f>
        <v>79.6976722341167</v>
      </c>
      <c r="AC250" s="45" t="n">
        <f aca="false">IF(Y250=0,0,Z250/Y250-1)</f>
        <v>-0.0151390147167895</v>
      </c>
      <c r="AD250" s="44" t="n">
        <f aca="false">Parameters!$E$6*IF($N250="V",Parameters!$I$6,IF($N250="F",Parameters!$J$6,Parameters!$K$6))*(1-Parameters!$L$6*$P250)*IF($D250="V1",Parameters!$M$6,IF($D250="V2",Parameters!$N$6,Parameters!$O$6))</f>
        <v>18.9470714285714</v>
      </c>
      <c r="AE250" s="44" t="n">
        <f aca="false">AD250*(1+INDEX(Response_Table!$G$4:$G$21,MATCH($F250&amp;"|mid",Response_Table!$A$4:$A$21,0))*$R250*INDEX(Parameters!$X$6:$AA$6,1,MATCH($E250,Parameters!$X$3:$AA$3,0)))</f>
        <v>17.0141162293823</v>
      </c>
      <c r="AF250" s="44" t="n">
        <f aca="false">MAX(0,MIN(AD250*(1+INDEX(Response_Table!$G$4:$G$21,MATCH($F250&amp;"|low",Response_Table!$A$4:$A$21,0))*$R250*INDEX(Parameters!$X$6:$AA$6,1,MATCH($E250,Parameters!$X$3:$AA$3,0))),AD250*(1+INDEX(Response_Table!$G$4:$G$21,MATCH($F250&amp;"|high",Response_Table!$A$4:$A$21,0))*$R250*INDEX(Parameters!$X$6:$AA$6,1,MATCH($E250,Parameters!$X$3:$AA$3,0))))*(1-Inputs_General!$C$22*Parameters!$F$6))</f>
        <v>12.7293779116446</v>
      </c>
      <c r="AG250" s="44" t="n">
        <f aca="false">MAX(AD250*(1+INDEX(Response_Table!$G$4:$G$21,MATCH($F250&amp;"|low",Response_Table!$A$4:$A$21,0))*$R250*INDEX(Parameters!$X$6:$AA$6,1,MATCH($E250,Parameters!$X$3:$AA$3,0))),AD250*(1+INDEX(Response_Table!$G$4:$G$21,MATCH($F250&amp;"|high",Response_Table!$A$4:$A$21,0))*$R250*INDEX(Parameters!$X$6:$AA$6,1,MATCH($E250,Parameters!$X$3:$AA$3,0))))*(1+Inputs_General!$C$22*Parameters!$F$6)</f>
        <v>21.8815323048898</v>
      </c>
      <c r="AH250" s="45" t="n">
        <f aca="false">IF(AD250=0,0,AE250/AD250-1)</f>
        <v>-0.102018679059517</v>
      </c>
      <c r="AI250" s="46" t="n">
        <f aca="false">Parameters!$E$7*IF($N250="V",Parameters!$I$7,IF($N250="F",Parameters!$J$7,Parameters!$K$7))*(1-Parameters!$L$7*$P250)*IF($D250="V1",Parameters!$M$7,IF($D250="V2",Parameters!$N$7,Parameters!$O$7))*POWER($Q250/Inputs_General!$C$26,-Inputs_General!$C$25)</f>
        <v>0.411663164578586</v>
      </c>
      <c r="AJ250" s="46" t="n">
        <f aca="false">AI250*(1+INDEX(Response_Table!$H$4:$H$21,MATCH($F250&amp;"|mid",Response_Table!$A$4:$A$21,0))*$R250*INDEX(Parameters!$X$7:$AA$7,1,MATCH($E250,Parameters!$X$3:$AA$3,0)))</f>
        <v>0.386329741719003</v>
      </c>
      <c r="AK250" s="46" t="n">
        <f aca="false">MAX(0,MIN(AI250*(1+INDEX(Response_Table!$H$4:$H$21,MATCH($F250&amp;"|low",Response_Table!$A$4:$A$21,0))*$R250*INDEX(Parameters!$X$7:$AA$7,1,MATCH($E250,Parameters!$X$3:$AA$3,0))),AI250*(1+INDEX(Response_Table!$H$4:$H$21,MATCH($F250&amp;"|high",Response_Table!$A$4:$A$21,0))*$R250*INDEX(Parameters!$X$7:$AA$7,1,MATCH($E250,Parameters!$X$3:$AA$3,0))))*(1-Inputs_General!$C$22*Parameters!$F$7))</f>
        <v>0.26091043675596</v>
      </c>
      <c r="AL250" s="46" t="n">
        <f aca="false">MAX(AI250*(1+INDEX(Response_Table!$H$4:$H$21,MATCH($F250&amp;"|low",Response_Table!$A$4:$A$21,0))*$R250*INDEX(Parameters!$X$7:$AA$7,1,MATCH($E250,Parameters!$X$3:$AA$3,0))),AI250*(1+INDEX(Response_Table!$H$4:$H$21,MATCH($F250&amp;"|high",Response_Table!$A$4:$A$21,0))*$R250*INDEX(Parameters!$X$7:$AA$7,1,MATCH($E250,Parameters!$X$3:$AA$3,0))))*(1+Inputs_General!$C$22*Parameters!$F$7)</f>
        <v>0.52228180587307</v>
      </c>
      <c r="AM250" s="45" t="n">
        <f aca="false">IF(AI250=0,0,AJ250/AI250-1)</f>
        <v>-0.0615392025310718</v>
      </c>
      <c r="AN250" s="43" t="n">
        <f aca="false">AI250*$Q250/Inputs_General!$C$13*1000</f>
        <v>4.95374641196979</v>
      </c>
      <c r="AO250" s="43" t="n">
        <f aca="false">AJ250*$Q250/Inputs_General!$C$13*1000*(1+Inputs_General!$C$21*$I250)</f>
        <v>4.68376353429778</v>
      </c>
      <c r="AP250" s="43" t="n">
        <f aca="false">AK250*$Q250/Inputs_General!$C$13*1000*(1+Inputs_General!$C$21*$H250)</f>
        <v>3.14751345703113</v>
      </c>
      <c r="AQ250" s="43" t="n">
        <f aca="false">AL250*$Q250/Inputs_General!$C$13*1000*(1+Inputs_General!$C$21*$J250)</f>
        <v>6.36343615984191</v>
      </c>
      <c r="AR250" s="45" t="n">
        <f aca="false">IF(AN250=0,0,AO250/AN250-1)</f>
        <v>-0.0545007465500547</v>
      </c>
      <c r="AS250" s="42" t="n">
        <f aca="false">Parameters!$E$9*IF($N250="V",Parameters!$I$9,IF($N250="F",Parameters!$J$9,Parameters!$K$9))*(1-Parameters!$L$9*$P250)*IF($D250="V1",Parameters!$M$9,IF($D250="V2",Parameters!$N$9,Parameters!$O$9))</f>
        <v>285</v>
      </c>
      <c r="AT250" s="42" t="n">
        <f aca="false">AS250*(1+INDEX(Response_Table!$I$4:$I$21,MATCH($F250&amp;"|mid",Response_Table!$A$4:$A$21,0))*$R250*INDEX(Parameters!$X$9:$AA$9,1,MATCH($E250,Parameters!$X$3:$AA$3,0)))</f>
        <v>295.635132926751</v>
      </c>
      <c r="AU250" s="42" t="n">
        <f aca="false">MAX(0,MIN(AS250*(1+INDEX(Response_Table!$I$4:$I$21,MATCH($F250&amp;"|low",Response_Table!$A$4:$A$21,0))*$R250*INDEX(Parameters!$X$9:$AA$9,1,MATCH($E250,Parameters!$X$3:$AA$3,0))),AS250*(1+INDEX(Response_Table!$I$4:$I$21,MATCH($F250&amp;"|high",Response_Table!$A$4:$A$21,0))*$R250*INDEX(Parameters!$X$9:$AA$9,1,MATCH($E250,Parameters!$X$3:$AA$3,0))))*(1-Inputs_General!$C$22*Parameters!$F$9))</f>
        <v>260.194272002174</v>
      </c>
      <c r="AV250" s="42" t="n">
        <f aca="false">MAX(AS250*(1+INDEX(Response_Table!$I$4:$I$21,MATCH($F250&amp;"|low",Response_Table!$A$4:$A$21,0))*$R250*INDEX(Parameters!$X$9:$AA$9,1,MATCH($E250,Parameters!$X$3:$AA$3,0))),AS250*(1+INDEX(Response_Table!$I$4:$I$21,MATCH($F250&amp;"|high",Response_Table!$A$4:$A$21,0))*$R250*INDEX(Parameters!$X$9:$AA$9,1,MATCH($E250,Parameters!$X$3:$AA$3,0))))*(1+Inputs_General!$C$22*Parameters!$F$9)</f>
        <v>331.860547055842</v>
      </c>
      <c r="AW250" s="45" t="n">
        <f aca="false">IF(AS250=0,0,AT250/AS250-1)</f>
        <v>0.037316255883338</v>
      </c>
      <c r="AX250" s="43" t="n">
        <f aca="false">INDEX(Context!$AB$4:$AB$51,$K250)</f>
        <v>1.40851696565548</v>
      </c>
      <c r="AY250" s="43" t="n">
        <f aca="false">AX250*(1+INDEX(Response_Table!$J$4:$J$21,MATCH($F250&amp;"|mid",Response_Table!$A$4:$A$21,0))*$R250*INDEX(Parameters!$X$10:$AA$10,1,MATCH($E250,Parameters!$X$3:$AA$3,0)))</f>
        <v>1.35813857558974</v>
      </c>
      <c r="AZ250" s="43" t="n">
        <f aca="false">MAX(0,MIN(AX250*(1+INDEX(Response_Table!$J$4:$J$21,MATCH($F250&amp;"|low",Response_Table!$A$4:$A$21,0))*$R250*INDEX(Parameters!$X$10:$AA$10,1,MATCH($E250,Parameters!$X$3:$AA$3,0))),AX250*(1+INDEX(Response_Table!$J$4:$J$21,MATCH($F250&amp;"|high",Response_Table!$A$4:$A$21,0))*$R250*INDEX(Parameters!$X$10:$AA$10,1,MATCH($E250,Parameters!$X$3:$AA$3,0))))*(1-Inputs_General!$C$22*Parameters!$F$10))</f>
        <v>1.06472268949762</v>
      </c>
      <c r="BA250" s="43" t="n">
        <f aca="false">MAX(AX250*(1+INDEX(Response_Table!$J$4:$J$21,MATCH($F250&amp;"|low",Response_Table!$A$4:$A$21,0))*$R250*INDEX(Parameters!$X$10:$AA$10,1,MATCH($E250,Parameters!$X$3:$AA$3,0))),AX250*(1+INDEX(Response_Table!$J$4:$J$21,MATCH($F250&amp;"|high",Response_Table!$A$4:$A$21,0))*$R250*INDEX(Parameters!$X$10:$AA$10,1,MATCH($E250,Parameters!$X$3:$AA$3,0))))*(1+Inputs_General!$C$22*Parameters!$F$10)</f>
        <v>1.66594578568448</v>
      </c>
      <c r="BB250" s="45" t="n">
        <f aca="false">IF(AX250=0,0,AY250/AX250-1)</f>
        <v>-0.0357669742673663</v>
      </c>
      <c r="BC250" s="46" t="n">
        <f aca="false">Parameters!$E$11*IF($N250="V",Parameters!$I$11,IF($N250="F",Parameters!$J$11,Parameters!$K$11))*(1-Parameters!$L$11*$P250)*IF($D250="V1",Parameters!$M$11,IF($D250="V2",Parameters!$N$11,Parameters!$O$11))</f>
        <v>1.18584598214286</v>
      </c>
      <c r="BD250" s="46" t="n">
        <f aca="false">BC250*(1+INDEX(Response_Table!$K$4:$K$21,MATCH($F250&amp;"|mid",Response_Table!$A$4:$A$21,0))*$R250*INDEX(Parameters!$X$11:$AA$11,1,MATCH($E250,Parameters!$X$3:$AA$3,0)))</f>
        <v>1.10823446332487</v>
      </c>
      <c r="BE250" s="46" t="n">
        <f aca="false">MAX(0,MIN(BC250*(1+INDEX(Response_Table!$K$4:$K$21,MATCH($F250&amp;"|low",Response_Table!$A$4:$A$21,0))*$R250*INDEX(Parameters!$X$11:$AA$11,1,MATCH($E250,Parameters!$X$3:$AA$3,0))),BC250*(1+INDEX(Response_Table!$K$4:$K$21,MATCH($F250&amp;"|high",Response_Table!$A$4:$A$21,0))*$R250*INDEX(Parameters!$X$11:$AA$11,1,MATCH($E250,Parameters!$X$3:$AA$3,0))))*(1-Inputs_General!$C$22*Parameters!$F$11))</f>
        <v>0.88603244036778</v>
      </c>
      <c r="BF250" s="46" t="n">
        <f aca="false">MAX(BC250*(1+INDEX(Response_Table!$K$4:$K$21,MATCH($F250&amp;"|low",Response_Table!$A$4:$A$21,0))*$R250*INDEX(Parameters!$X$11:$AA$11,1,MATCH($E250,Parameters!$X$3:$AA$3,0))),BC250*(1+INDEX(Response_Table!$K$4:$K$21,MATCH($F250&amp;"|high",Response_Table!$A$4:$A$21,0))*$R250*INDEX(Parameters!$X$11:$AA$11,1,MATCH($E250,Parameters!$X$3:$AA$3,0))))*(1+Inputs_General!$C$22*Parameters!$F$11)</f>
        <v>1.34982242737486</v>
      </c>
      <c r="BG250" s="45" t="n">
        <f aca="false">IF(BC250=0,0,BD250/BC250-1)</f>
        <v>-0.065448228510875</v>
      </c>
      <c r="BH250" s="46" t="n">
        <f aca="false">Parameters!$E$12*IF($N250="V",Parameters!$I$12,IF($N250="F",Parameters!$J$12,Parameters!$K$12))*(1-Parameters!$L$12*$P250)*IF($D250="V1",Parameters!$M$12,IF($D250="V2",Parameters!$N$12,Parameters!$O$12))</f>
        <v>0.426904553571429</v>
      </c>
      <c r="BI250" s="46" t="n">
        <f aca="false">BH250*(1+INDEX(Response_Table!$L$4:$L$21,MATCH($F250&amp;"|mid",Response_Table!$A$4:$A$21,0))*$R250*INDEX(Parameters!$X$12:$AA$12,1,MATCH($E250,Parameters!$X$3:$AA$3,0)))</f>
        <v>0.404674936369862</v>
      </c>
      <c r="BJ250" s="46" t="n">
        <f aca="false">MAX(0,MIN(BH250*(1+INDEX(Response_Table!$L$4:$L$21,MATCH($F250&amp;"|low",Response_Table!$A$4:$A$21,0))*$R250*INDEX(Parameters!$X$12:$AA$12,1,MATCH($E250,Parameters!$X$3:$AA$3,0))),BH250*(1+INDEX(Response_Table!$L$4:$L$21,MATCH($F250&amp;"|high",Response_Table!$A$4:$A$21,0))*$R250*INDEX(Parameters!$X$12:$AA$12,1,MATCH($E250,Parameters!$X$3:$AA$3,0))))*(1-Inputs_General!$C$22*Parameters!$F$12))</f>
        <v>0.313759288012665</v>
      </c>
      <c r="BK250" s="46" t="n">
        <f aca="false">MAX(BH250*(1+INDEX(Response_Table!$L$4:$L$21,MATCH($F250&amp;"|low",Response_Table!$A$4:$A$21,0))*$R250*INDEX(Parameters!$X$12:$AA$12,1,MATCH($E250,Parameters!$X$3:$AA$3,0))),BH250*(1+INDEX(Response_Table!$L$4:$L$21,MATCH($F250&amp;"|high",Response_Table!$A$4:$A$21,0))*$R250*INDEX(Parameters!$X$12:$AA$12,1,MATCH($E250,Parameters!$X$3:$AA$3,0))))*(1+Inputs_General!$C$22*Parameters!$F$12)</f>
        <v>0.502035463128708</v>
      </c>
      <c r="BL250" s="45" t="n">
        <f aca="false">IF(BH250=0,0,BI250/BH250-1)</f>
        <v>-0.052071632910907</v>
      </c>
      <c r="BM250" s="46" t="n">
        <f aca="false">Parameters!$E$13*IF($N250="V",Parameters!$I$13,IF($N250="F",Parameters!$J$13,Parameters!$K$13))*(1-Parameters!$L$13*$P250)*IF($D250="V1",Parameters!$M$13,IF($D250="V2",Parameters!$N$13,Parameters!$O$13))</f>
        <v>0.284801517857143</v>
      </c>
      <c r="BN250" s="46" t="n">
        <f aca="false">BM250*(1+INDEX(Response_Table!$M$4:$M$21,MATCH($F250&amp;"|mid",Response_Table!$A$4:$A$21,0))*$R250*INDEX(Parameters!$X$13:$AA$13,1,MATCH($E250,Parameters!$X$3:$AA$3,0)))</f>
        <v>0.292942159377504</v>
      </c>
      <c r="BO250" s="46" t="n">
        <f aca="false">MAX(0,MIN(BM250*(1+INDEX(Response_Table!$M$4:$M$21,MATCH($F250&amp;"|low",Response_Table!$A$4:$A$21,0))*$R250*INDEX(Parameters!$X$13:$AA$13,1,MATCH($E250,Parameters!$X$3:$AA$3,0))),BM250*(1+INDEX(Response_Table!$M$4:$M$21,MATCH($F250&amp;"|high",Response_Table!$A$4:$A$21,0))*$R250*INDEX(Parameters!$X$13:$AA$13,1,MATCH($E250,Parameters!$X$3:$AA$3,0))))*(1-Inputs_General!$C$22*Parameters!$F$13))</f>
        <v>0.231793652591517</v>
      </c>
      <c r="BP250" s="46" t="n">
        <f aca="false">MAX(BM250*(1+INDEX(Response_Table!$M$4:$M$21,MATCH($F250&amp;"|low",Response_Table!$A$4:$A$21,0))*$R250*INDEX(Parameters!$X$13:$AA$13,1,MATCH($E250,Parameters!$X$3:$AA$3,0))),BM250*(1+INDEX(Response_Table!$M$4:$M$21,MATCH($F250&amp;"|high",Response_Table!$A$4:$A$21,0))*$R250*INDEX(Parameters!$X$13:$AA$13,1,MATCH($E250,Parameters!$X$3:$AA$3,0))))*(1+Inputs_General!$C$22*Parameters!$F$13)</f>
        <v>0.351044356830708</v>
      </c>
      <c r="BQ250" s="45" t="n">
        <f aca="false">IF(BM250=0,0,BN250/BM250-1)</f>
        <v>0.0285835608658662</v>
      </c>
      <c r="BR250" s="44" t="n">
        <f aca="false">Parameters!$E$14*IF($N250="V",Parameters!$I$14,IF($N250="F",Parameters!$J$14,Parameters!$K$14))*(1-Parameters!$L$14*$P250)*IF($D250="V1",Parameters!$M$14,IF($D250="V2",Parameters!$N$14,Parameters!$O$14))*INDEX(Context!$AC$4:$AC$51,$K250)</f>
        <v>18.975</v>
      </c>
      <c r="BS250" s="44" t="n">
        <f aca="false">BR250*(1+INDEX(Response_Table!$N$4:$N$21,MATCH($F250&amp;"|mid",Response_Table!$A$4:$A$21,0))*$R250*INDEX(Parameters!$X$14:$AA$14,1,MATCH($E250,Parameters!$X$3:$AA$3,0)))</f>
        <v>20.0528828012558</v>
      </c>
      <c r="BT250" s="44" t="n">
        <f aca="false">MAX(0,MIN(BR250*(1+INDEX(Response_Table!$N$4:$N$21,MATCH($F250&amp;"|low",Response_Table!$A$4:$A$21,0))*$R250*INDEX(Parameters!$X$14:$AA$14,1,MATCH($E250,Parameters!$X$3:$AA$3,0))),BR250*(1+INDEX(Response_Table!$N$4:$N$21,MATCH($F250&amp;"|high",Response_Table!$A$4:$A$21,0))*$R250*INDEX(Parameters!$X$14:$AA$14,1,MATCH($E250,Parameters!$X$3:$AA$3,0))))*(1-Inputs_General!$C$22*Parameters!$F$14))</f>
        <v>9.79830599514656</v>
      </c>
      <c r="BU250" s="44" t="n">
        <f aca="false">MAX(BR250*(1+INDEX(Response_Table!$N$4:$N$21,MATCH($F250&amp;"|low",Response_Table!$A$4:$A$21,0))*$R250*INDEX(Parameters!$X$14:$AA$14,1,MATCH($E250,Parameters!$X$3:$AA$3,0))),BR250*(1+INDEX(Response_Table!$N$4:$N$21,MATCH($F250&amp;"|high",Response_Table!$A$4:$A$21,0))*$R250*INDEX(Parameters!$X$14:$AA$14,1,MATCH($E250,Parameters!$X$3:$AA$3,0))))*(1+Inputs_General!$C$22*Parameters!$F$14)</f>
        <v>30.9444592320891</v>
      </c>
      <c r="BV250" s="45" t="n">
        <f aca="false">IF(BR250=0,0,BS250/BR250-1)</f>
        <v>0.0568054177209894</v>
      </c>
      <c r="BW250" s="43" t="n">
        <f aca="false">Parameters!$E$15*IF($N250="V",Parameters!$I$15,IF($N250="F",Parameters!$J$15,Parameters!$K$15))*(1-Parameters!$L$15*$P250)*IF($D250="V1",Parameters!$M$15,IF($D250="V2",Parameters!$N$15,Parameters!$O$15))</f>
        <v>11.6477537142857</v>
      </c>
      <c r="BX250" s="43" t="n">
        <f aca="false">BW250*(1+INDEX(Response_Table!$O$4:$O$21,MATCH($F250&amp;"|mid",Response_Table!$A$4:$A$21,0))*$R250*INDEX(Parameters!$X$15:$AA$15,1,MATCH($E250,Parameters!$X$3:$AA$3,0)))</f>
        <v>11.4823398354729</v>
      </c>
      <c r="BY250" s="43" t="n">
        <f aca="false">MAX(0,MIN(BW250*(1+INDEX(Response_Table!$O$4:$O$21,MATCH($F250&amp;"|low",Response_Table!$A$4:$A$21,0))*$R250*INDEX(Parameters!$X$15:$AA$15,1,MATCH($E250,Parameters!$X$3:$AA$3,0))),BW250*(1+INDEX(Response_Table!$O$4:$O$21,MATCH($F250&amp;"|high",Response_Table!$A$4:$A$21,0))*$R250*INDEX(Parameters!$X$15:$AA$15,1,MATCH($E250,Parameters!$X$3:$AA$3,0))))*(1-Inputs_General!$C$22*Parameters!$F$15))</f>
        <v>9.13362913225993</v>
      </c>
      <c r="BZ250" s="43" t="n">
        <f aca="false">MAX(BW250*(1+INDEX(Response_Table!$O$4:$O$21,MATCH($F250&amp;"|low",Response_Table!$A$4:$A$21,0))*$R250*INDEX(Parameters!$X$15:$AA$15,1,MATCH($E250,Parameters!$X$3:$AA$3,0))),BW250*(1+INDEX(Response_Table!$O$4:$O$21,MATCH($F250&amp;"|high",Response_Table!$A$4:$A$21,0))*$R250*INDEX(Parameters!$X$15:$AA$15,1,MATCH($E250,Parameters!$X$3:$AA$3,0))))*(1+Inputs_General!$C$22*Parameters!$F$15)</f>
        <v>13.8790078348115</v>
      </c>
      <c r="CA250" s="45" t="n">
        <f aca="false">IF(BW250=0,0,BX250/BW250-1)</f>
        <v>-0.0142013544302473</v>
      </c>
      <c r="CB250" s="46" t="n">
        <f aca="false">BD250+BI250</f>
        <v>1.51290939969473</v>
      </c>
      <c r="CC250" s="43" t="n">
        <f aca="false">BD250/BI250</f>
        <v>2.73857944666969</v>
      </c>
      <c r="CD250" s="46" t="n">
        <f aca="false">BN250/CB250</f>
        <v>0.193628355694407</v>
      </c>
      <c r="CE250" s="43" t="n">
        <f aca="false">AE250/AO250</f>
        <v>3.6325736995032</v>
      </c>
      <c r="CF250" s="44" t="n">
        <f aca="false">AE250/AJ250</f>
        <v>44.0403996691445</v>
      </c>
      <c r="CG250" s="44" t="n">
        <f aca="false">INDEX(Context!$V$4:$V$51,$K250)</f>
        <v>25.5785714285714</v>
      </c>
      <c r="CH250" s="44" t="n">
        <f aca="false">INDEX(Context!$Y$4:$Y$51,$K250)</f>
        <v>23.620522619794</v>
      </c>
      <c r="CI250" s="44" t="n">
        <f aca="false">INDEX(Context!$Z$4:$Z$51,$K250)</f>
        <v>29.5785714285714</v>
      </c>
      <c r="CJ250" s="43" t="n">
        <f aca="false">INDEX(Context!$AA$4:$AA$51,$K250)</f>
        <v>0.121160714285714</v>
      </c>
      <c r="CK250" s="43" t="n">
        <f aca="false">MAX(0,MIN(1,1-(1-CJ250)*AO250/AN250))</f>
        <v>0.16905811145466</v>
      </c>
      <c r="CL250" s="44" t="n">
        <f aca="false">CH250+CK250*(CI250-CH250)</f>
        <v>24.6277790993606</v>
      </c>
      <c r="CM250" s="44" t="n">
        <f aca="false">CH250+MAX(0,MIN(1,1-(1-CJ250)*AQ250/AN250))*(CI250-CH250)</f>
        <v>23.620522619794</v>
      </c>
      <c r="CN250" s="44" t="n">
        <f aca="false">CH250+MAX(0,MIN(1,1-(1-CJ250)*AP250/AN250))*(CI250-CH250)</f>
        <v>26.2516132324434</v>
      </c>
      <c r="CO250" s="44" t="n">
        <f aca="false">CL250-CG250</f>
        <v>-0.950792329210827</v>
      </c>
      <c r="CP250" s="44" t="n">
        <f aca="false">CL250-(CH250+CJ250*(CI250-CH250))</f>
        <v>0.285375030145975</v>
      </c>
      <c r="CQ250" s="46" t="n">
        <f aca="false">CL250/CG250</f>
        <v>0.962828560153724</v>
      </c>
      <c r="CR250" s="43" t="n">
        <f aca="false">IF(CL250-CH250&lt;=0,"n/a",(CI250-CL250)/(CL250-CH250))</f>
        <v>4.91512581913701</v>
      </c>
      <c r="CS250" s="43" t="n">
        <f aca="false">IF(CI250-CL250&lt;=0,"n/a",(CL250-CH250)/(CI250-CL250))</f>
        <v>0.203453591382444</v>
      </c>
      <c r="CT250" s="43" t="n">
        <f aca="false">Inputs_General!$C$23+Inputs_General!$C$24*$I250</f>
        <v>0.66</v>
      </c>
      <c r="CU250" s="44" t="n">
        <f aca="false">3.29*CT250</f>
        <v>2.1714</v>
      </c>
    </row>
    <row r="251" customFormat="false" ht="15" hidden="false" customHeight="false" outlineLevel="0" collapsed="false">
      <c r="A251" s="9" t="str">
        <f aca="false">B251&amp;"|"&amp;E251&amp;"|"&amp;F251</f>
        <v>D4V2|24/02/2026|Low</v>
      </c>
      <c r="B251" s="7" t="s">
        <v>353</v>
      </c>
      <c r="C251" s="9" t="s">
        <v>133</v>
      </c>
      <c r="D251" s="9" t="s">
        <v>146</v>
      </c>
      <c r="E251" s="9" t="s">
        <v>160</v>
      </c>
      <c r="F251" s="7" t="s">
        <v>279</v>
      </c>
      <c r="G251" s="9" t="s">
        <v>280</v>
      </c>
      <c r="H251" s="41" t="n">
        <f aca="false">INDEX(Severity_Classes!$C$4:$C$9,MATCH(F251,Severity_Classes!$A$4:$A$9,0))</f>
        <v>0.06</v>
      </c>
      <c r="I251" s="41" t="n">
        <f aca="false">INDEX(Severity_Classes!$D$4:$D$9,MATCH(F251,Severity_Classes!$A$4:$A$9,0))</f>
        <v>0.08</v>
      </c>
      <c r="J251" s="41" t="n">
        <f aca="false">INDEX(Severity_Classes!$E$4:$E$9,MATCH(F251,Severity_Classes!$A$4:$A$9,0))</f>
        <v>0.1</v>
      </c>
      <c r="K251" s="42" t="n">
        <f aca="false">MATCH(B251&amp;"|"&amp;E251,Context!$A$4:$A$51,0)</f>
        <v>42</v>
      </c>
      <c r="L251" s="42" t="n">
        <f aca="false">INDEX(Context!$H$4:$H$51,K251)</f>
        <v>46</v>
      </c>
      <c r="M251" s="42" t="n">
        <f aca="false">INDEX(Context!$I$4:$I$51,K251)</f>
        <v>19</v>
      </c>
      <c r="N251" s="9" t="str">
        <f aca="false">INDEX(Context!$L$4:$L$51,K251)</f>
        <v>V</v>
      </c>
      <c r="O251" s="9" t="str">
        <f aca="false">INDEX(Context!$M$4:$M$51,K251)</f>
        <v>3rd fully expanded leaf from top</v>
      </c>
      <c r="P251" s="43" t="n">
        <f aca="false">INDEX(Context!$R$4:$R$51,K251)</f>
        <v>0.0232142857142859</v>
      </c>
      <c r="Q251" s="43" t="n">
        <f aca="false">INDEX(Context!$U$4:$U$51,K251)</f>
        <v>1.19492600027053</v>
      </c>
      <c r="R251" s="43" t="n">
        <f aca="false">INDEX(Context!$AD$4:$AD$51,K251)</f>
        <v>1.1</v>
      </c>
      <c r="S251" s="9" t="str">
        <f aca="false">INDEX(Context!$AI$4:$AN$51,K251,MATCH(F251,Severity_Classes!$A$4:$A$9,0))</f>
        <v>Likely</v>
      </c>
      <c r="T251" s="44" t="n">
        <f aca="false">Parameters!$E$4*IF($N251="V",Parameters!$I$4,IF($N251="F",Parameters!$J$4,Parameters!$K$4))*(1-Parameters!$L$4*$P251)*IF($D251="V1",Parameters!$M$4,IF($D251="V2",Parameters!$N$4,Parameters!$O$4))</f>
        <v>85.9001785714286</v>
      </c>
      <c r="U251" s="44" t="n">
        <f aca="false">MIN(100,T251*(1+INDEX(Response_Table!$E$4:$E$21,MATCH($F251&amp;"|mid",Response_Table!$A$4:$A$21,0))*$R251*INDEX(Parameters!$X$4:$AA$4,1,MATCH($E251,Parameters!$X$3:$AA$3,0))))</f>
        <v>84.585004942379</v>
      </c>
      <c r="V251" s="44" t="n">
        <f aca="false">MAX(0,MIN(T251*(1+INDEX(Response_Table!$E$4:$E$21,MATCH($F251&amp;"|low",Response_Table!$A$4:$A$21,0))*$R251*INDEX(Parameters!$X$4:$AA$4,1,MATCH($E251,Parameters!$X$3:$AA$3,0))),T251*(1+INDEX(Response_Table!$E$4:$E$21,MATCH($F251&amp;"|high",Response_Table!$A$4:$A$21,0))*$R251*INDEX(Parameters!$X$4:$AA$4,1,MATCH($E251,Parameters!$X$3:$AA$3,0))))*(1-Inputs_General!$C$22*Parameters!$F$4))</f>
        <v>78.5900410999428</v>
      </c>
      <c r="W251" s="44" t="n">
        <f aca="false">MIN(100,MAX(T251*(1+INDEX(Response_Table!$E$4:$E$21,MATCH($F251&amp;"|low",Response_Table!$A$4:$A$21,0))*$R251*INDEX(Parameters!$X$4:$AA$4,1,MATCH($E251,Parameters!$X$3:$AA$3,0))),T251*(1+INDEX(Response_Table!$E$4:$E$21,MATCH($F251&amp;"|high",Response_Table!$A$4:$A$21,0))*$R251*INDEX(Parameters!$X$4:$AA$4,1,MATCH($E251,Parameters!$X$3:$AA$3,0))))*(1+Inputs_General!$C$22*Parameters!$F$4))</f>
        <v>90.5786891662613</v>
      </c>
      <c r="X251" s="45" t="n">
        <f aca="false">IF(T251=0,0,U251/T251-1)</f>
        <v>-0.0153104877186721</v>
      </c>
      <c r="Y251" s="44" t="n">
        <f aca="false">Parameters!$E$5*IF($N251="V",Parameters!$I$5,IF($N251="F",Parameters!$J$5,Parameters!$K$5))*(1-Parameters!$L$5*$P251)*IF($D251="V1",Parameters!$M$5,IF($D251="V2",Parameters!$N$5,Parameters!$O$5))</f>
        <v>71.7994285714286</v>
      </c>
      <c r="Z251" s="44" t="n">
        <f aca="false">MIN(100,Y251*(1+INDEX(Response_Table!$F$4:$F$21,MATCH($F251&amp;"|mid",Response_Table!$A$4:$A$21,0))*$R251*INDEX(Parameters!$X$5:$AA$5,1,MATCH($E251,Parameters!$X$3:$AA$3,0))))</f>
        <v>68.1703961468582</v>
      </c>
      <c r="AA251" s="44" t="n">
        <f aca="false">MAX(0,MIN(Y251*(1+INDEX(Response_Table!$F$4:$F$21,MATCH($F251&amp;"|low",Response_Table!$A$4:$A$21,0))*$R251*INDEX(Parameters!$X$5:$AA$5,1,MATCH($E251,Parameters!$X$3:$AA$3,0))),Y251*(1+INDEX(Response_Table!$F$4:$F$21,MATCH($F251&amp;"|high",Response_Table!$A$4:$A$21,0))*$R251*INDEX(Parameters!$X$5:$AA$5,1,MATCH($E251,Parameters!$X$3:$AA$3,0))))*(1-Inputs_General!$C$22*Parameters!$F$5))</f>
        <v>59.1452672935224</v>
      </c>
      <c r="AB251" s="44" t="n">
        <f aca="false">MIN(100,MAX(Y251*(1+INDEX(Response_Table!$F$4:$F$21,MATCH($F251&amp;"|low",Response_Table!$A$4:$A$21,0))*$R251*INDEX(Parameters!$X$5:$AA$5,1,MATCH($E251,Parameters!$X$3:$AA$3,0))),Y251*(1+INDEX(Response_Table!$F$4:$F$21,MATCH($F251&amp;"|high",Response_Table!$A$4:$A$21,0))*$R251*INDEX(Parameters!$X$5:$AA$5,1,MATCH($E251,Parameters!$X$3:$AA$3,0))))*(1+Inputs_General!$C$22*Parameters!$F$5))</f>
        <v>77.2924206822465</v>
      </c>
      <c r="AC251" s="45" t="n">
        <f aca="false">IF(Y251=0,0,Z251/Y251-1)</f>
        <v>-0.0505440293436336</v>
      </c>
      <c r="AD251" s="44" t="n">
        <f aca="false">Parameters!$E$6*IF($N251="V",Parameters!$I$6,IF($N251="F",Parameters!$J$6,Parameters!$K$6))*(1-Parameters!$L$6*$P251)*IF($D251="V1",Parameters!$M$6,IF($D251="V2",Parameters!$N$6,Parameters!$O$6))</f>
        <v>18.9470714285714</v>
      </c>
      <c r="AE251" s="44" t="n">
        <f aca="false">AD251*(1+INDEX(Response_Table!$G$4:$G$21,MATCH($F251&amp;"|mid",Response_Table!$A$4:$A$21,0))*$R251*INDEX(Parameters!$X$6:$AA$6,1,MATCH($E251,Parameters!$X$3:$AA$3,0)))</f>
        <v>14.3089439319386</v>
      </c>
      <c r="AF251" s="44" t="n">
        <f aca="false">MAX(0,MIN(AD251*(1+INDEX(Response_Table!$G$4:$G$21,MATCH($F251&amp;"|low",Response_Table!$A$4:$A$21,0))*$R251*INDEX(Parameters!$X$6:$AA$6,1,MATCH($E251,Parameters!$X$3:$AA$3,0))),AD251*(1+INDEX(Response_Table!$G$4:$G$21,MATCH($F251&amp;"|high",Response_Table!$A$4:$A$21,0))*$R251*INDEX(Parameters!$X$6:$AA$6,1,MATCH($E251,Parameters!$X$3:$AA$3,0))))*(1-Inputs_General!$C$22*Parameters!$F$6))</f>
        <v>10.7411041913264</v>
      </c>
      <c r="AG251" s="44" t="n">
        <f aca="false">MAX(AD251*(1+INDEX(Response_Table!$G$4:$G$21,MATCH($F251&amp;"|low",Response_Table!$A$4:$A$21,0))*$R251*INDEX(Parameters!$X$6:$AA$6,1,MATCH($E251,Parameters!$X$3:$AA$3,0))),AD251*(1+INDEX(Response_Table!$G$4:$G$21,MATCH($F251&amp;"|high",Response_Table!$A$4:$A$21,0))*$R251*INDEX(Parameters!$X$6:$AA$6,1,MATCH($E251,Parameters!$X$3:$AA$3,0))))*(1+Inputs_General!$C$22*Parameters!$F$6)</f>
        <v>18.3443935263158</v>
      </c>
      <c r="AH251" s="45" t="n">
        <f aca="false">IF(AD251=0,0,AE251/AD251-1)</f>
        <v>-0.244793899369519</v>
      </c>
      <c r="AI251" s="46" t="n">
        <f aca="false">Parameters!$E$7*IF($N251="V",Parameters!$I$7,IF($N251="F",Parameters!$J$7,Parameters!$K$7))*(1-Parameters!$L$7*$P251)*IF($D251="V1",Parameters!$M$7,IF($D251="V2",Parameters!$N$7,Parameters!$O$7))*POWER($Q251/Inputs_General!$C$26,-Inputs_General!$C$25)</f>
        <v>0.411663164578586</v>
      </c>
      <c r="AJ251" s="46" t="n">
        <f aca="false">AI251*(1+INDEX(Response_Table!$H$4:$H$21,MATCH($F251&amp;"|mid",Response_Table!$A$4:$A$21,0))*$R251*INDEX(Parameters!$X$7:$AA$7,1,MATCH($E251,Parameters!$X$3:$AA$3,0)))</f>
        <v>0.348859387867022</v>
      </c>
      <c r="AK251" s="46" t="n">
        <f aca="false">MAX(0,MIN(AI251*(1+INDEX(Response_Table!$H$4:$H$21,MATCH($F251&amp;"|low",Response_Table!$A$4:$A$21,0))*$R251*INDEX(Parameters!$X$7:$AA$7,1,MATCH($E251,Parameters!$X$3:$AA$3,0))),AI251*(1+INDEX(Response_Table!$H$4:$H$21,MATCH($F251&amp;"|high",Response_Table!$A$4:$A$21,0))*$R251*INDEX(Parameters!$X$7:$AA$7,1,MATCH($E251,Parameters!$X$3:$AA$3,0))))*(1-Inputs_General!$C$22*Parameters!$F$7))</f>
        <v>0.236071037356664</v>
      </c>
      <c r="AL251" s="46" t="n">
        <f aca="false">MAX(AI251*(1+INDEX(Response_Table!$H$4:$H$21,MATCH($F251&amp;"|low",Response_Table!$A$4:$A$21,0))*$R251*INDEX(Parameters!$X$7:$AA$7,1,MATCH($E251,Parameters!$X$3:$AA$3,0))),AI251*(1+INDEX(Response_Table!$H$4:$H$21,MATCH($F251&amp;"|high",Response_Table!$A$4:$A$21,0))*$R251*INDEX(Parameters!$X$7:$AA$7,1,MATCH($E251,Parameters!$X$3:$AA$3,0))))*(1+Inputs_General!$C$22*Parameters!$F$7)</f>
        <v>0.470713368226858</v>
      </c>
      <c r="AM251" s="45" t="n">
        <f aca="false">IF(AI251=0,0,AJ251/AI251-1)</f>
        <v>-0.152561079337414</v>
      </c>
      <c r="AN251" s="43" t="n">
        <f aca="false">AI251*$Q251/Inputs_General!$C$13*1000</f>
        <v>4.95374641196979</v>
      </c>
      <c r="AO251" s="43" t="n">
        <f aca="false">AJ251*$Q251/Inputs_General!$C$13*1000*(1+Inputs_General!$C$21*$I251)</f>
        <v>4.28195746284775</v>
      </c>
      <c r="AP251" s="43" t="n">
        <f aca="false">AK251*$Q251/Inputs_General!$C$13*1000*(1+Inputs_General!$C$21*$H251)</f>
        <v>2.88337091394802</v>
      </c>
      <c r="AQ251" s="43" t="n">
        <f aca="false">AL251*$Q251/Inputs_General!$C$13*1000*(1+Inputs_General!$C$21*$J251)</f>
        <v>5.80593487843322</v>
      </c>
      <c r="AR251" s="45" t="n">
        <f aca="false">IF(AN251=0,0,AO251/AN251-1)</f>
        <v>-0.135612300924163</v>
      </c>
      <c r="AS251" s="42" t="n">
        <f aca="false">Parameters!$E$9*IF($N251="V",Parameters!$I$9,IF($N251="F",Parameters!$J$9,Parameters!$K$9))*(1-Parameters!$L$9*$P251)*IF($D251="V1",Parameters!$M$9,IF($D251="V2",Parameters!$N$9,Parameters!$O$9))</f>
        <v>285</v>
      </c>
      <c r="AT251" s="42" t="n">
        <f aca="false">AS251*(1+INDEX(Response_Table!$I$4:$I$21,MATCH($F251&amp;"|mid",Response_Table!$A$4:$A$21,0))*$R251*INDEX(Parameters!$X$9:$AA$9,1,MATCH($E251,Parameters!$X$3:$AA$3,0)))</f>
        <v>310.755683063219</v>
      </c>
      <c r="AU251" s="42" t="n">
        <f aca="false">MAX(0,MIN(AS251*(1+INDEX(Response_Table!$I$4:$I$21,MATCH($F251&amp;"|low",Response_Table!$A$4:$A$21,0))*$R251*INDEX(Parameters!$X$9:$AA$9,1,MATCH($E251,Parameters!$X$3:$AA$3,0))),AS251*(1+INDEX(Response_Table!$I$4:$I$21,MATCH($F251&amp;"|high",Response_Table!$A$4:$A$21,0))*$R251*INDEX(Parameters!$X$9:$AA$9,1,MATCH($E251,Parameters!$X$3:$AA$3,0))))*(1-Inputs_General!$C$22*Parameters!$F$9))</f>
        <v>274.957472644588</v>
      </c>
      <c r="AV251" s="42" t="n">
        <f aca="false">MAX(AS251*(1+INDEX(Response_Table!$I$4:$I$21,MATCH($F251&amp;"|low",Response_Table!$A$4:$A$21,0))*$R251*INDEX(Parameters!$X$9:$AA$9,1,MATCH($E251,Parameters!$X$3:$AA$3,0))),AS251*(1+INDEX(Response_Table!$I$4:$I$21,MATCH($F251&amp;"|high",Response_Table!$A$4:$A$21,0))*$R251*INDEX(Parameters!$X$9:$AA$9,1,MATCH($E251,Parameters!$X$3:$AA$3,0))))*(1+Inputs_General!$C$22*Parameters!$F$9)</f>
        <v>347.196231317812</v>
      </c>
      <c r="AW251" s="45" t="n">
        <f aca="false">IF(AS251=0,0,AT251/AS251-1)</f>
        <v>0.0903708177656819</v>
      </c>
      <c r="AX251" s="43" t="n">
        <f aca="false">INDEX(Context!$AB$4:$AB$51,$K251)</f>
        <v>1.40851696565548</v>
      </c>
      <c r="AY251" s="43" t="n">
        <f aca="false">AX251*(1+INDEX(Response_Table!$J$4:$J$21,MATCH($F251&amp;"|mid",Response_Table!$A$4:$A$21,0))*$R251*INDEX(Parameters!$X$10:$AA$10,1,MATCH($E251,Parameters!$X$3:$AA$3,0)))</f>
        <v>1.28213316488306</v>
      </c>
      <c r="AZ251" s="43" t="n">
        <f aca="false">MAX(0,MIN(AX251*(1+INDEX(Response_Table!$J$4:$J$21,MATCH($F251&amp;"|low",Response_Table!$A$4:$A$21,0))*$R251*INDEX(Parameters!$X$10:$AA$10,1,MATCH($E251,Parameters!$X$3:$AA$3,0))),AX251*(1+INDEX(Response_Table!$J$4:$J$21,MATCH($F251&amp;"|high",Response_Table!$A$4:$A$21,0))*$R251*INDEX(Parameters!$X$10:$AA$10,1,MATCH($E251,Parameters!$X$3:$AA$3,0))))*(1-Inputs_General!$C$22*Parameters!$F$10))</f>
        <v>1.00669584671324</v>
      </c>
      <c r="BA251" s="43" t="n">
        <f aca="false">MAX(AX251*(1+INDEX(Response_Table!$J$4:$J$21,MATCH($F251&amp;"|low",Response_Table!$A$4:$A$21,0))*$R251*INDEX(Parameters!$X$10:$AA$10,1,MATCH($E251,Parameters!$X$3:$AA$3,0))),AX251*(1+INDEX(Response_Table!$J$4:$J$21,MATCH($F251&amp;"|high",Response_Table!$A$4:$A$21,0))*$R251*INDEX(Parameters!$X$10:$AA$10,1,MATCH($E251,Parameters!$X$3:$AA$3,0))))*(1+Inputs_General!$C$22*Parameters!$F$10)</f>
        <v>1.5702707819093</v>
      </c>
      <c r="BB251" s="45" t="n">
        <f aca="false">IF(AX251=0,0,AY251/AX251-1)</f>
        <v>-0.089728277226399</v>
      </c>
      <c r="BC251" s="46" t="n">
        <f aca="false">Parameters!$E$11*IF($N251="V",Parameters!$I$11,IF($N251="F",Parameters!$J$11,Parameters!$K$11))*(1-Parameters!$L$11*$P251)*IF($D251="V1",Parameters!$M$11,IF($D251="V2",Parameters!$N$11,Parameters!$O$11))</f>
        <v>1.18584598214286</v>
      </c>
      <c r="BD251" s="46" t="n">
        <f aca="false">BC251*(1+INDEX(Response_Table!$K$4:$K$21,MATCH($F251&amp;"|mid",Response_Table!$A$4:$A$21,0))*$R251*INDEX(Parameters!$X$11:$AA$11,1,MATCH($E251,Parameters!$X$3:$AA$3,0)))</f>
        <v>0.994345502370535</v>
      </c>
      <c r="BE251" s="46" t="n">
        <f aca="false">MAX(0,MIN(BC251*(1+INDEX(Response_Table!$K$4:$K$21,MATCH($F251&amp;"|low",Response_Table!$A$4:$A$21,0))*$R251*INDEX(Parameters!$X$11:$AA$11,1,MATCH($E251,Parameters!$X$3:$AA$3,0))),BC251*(1+INDEX(Response_Table!$K$4:$K$21,MATCH($F251&amp;"|high",Response_Table!$A$4:$A$21,0))*$R251*INDEX(Parameters!$X$11:$AA$11,1,MATCH($E251,Parameters!$X$3:$AA$3,0))))*(1-Inputs_General!$C$22*Parameters!$F$11))</f>
        <v>0.796777299830348</v>
      </c>
      <c r="BF251" s="46" t="n">
        <f aca="false">MAX(BC251*(1+INDEX(Response_Table!$K$4:$K$21,MATCH($F251&amp;"|low",Response_Table!$A$4:$A$21,0))*$R251*INDEX(Parameters!$X$11:$AA$11,1,MATCH($E251,Parameters!$X$3:$AA$3,0))),BC251*(1+INDEX(Response_Table!$K$4:$K$21,MATCH($F251&amp;"|high",Response_Table!$A$4:$A$21,0))*$R251*INDEX(Parameters!$X$11:$AA$11,1,MATCH($E251,Parameters!$X$3:$AA$3,0))))*(1+Inputs_General!$C$22*Parameters!$F$11)</f>
        <v>1.2084333142063</v>
      </c>
      <c r="BG251" s="45" t="n">
        <f aca="false">IF(BC251=0,0,BD251/BC251-1)</f>
        <v>-0.161488492313542</v>
      </c>
      <c r="BH251" s="46" t="n">
        <f aca="false">Parameters!$E$12*IF($N251="V",Parameters!$I$12,IF($N251="F",Parameters!$J$12,Parameters!$K$12))*(1-Parameters!$L$12*$P251)*IF($D251="V1",Parameters!$M$12,IF($D251="V2",Parameters!$N$12,Parameters!$O$12))</f>
        <v>0.426904553571429</v>
      </c>
      <c r="BI251" s="46" t="n">
        <f aca="false">BH251*(1+INDEX(Response_Table!$L$4:$L$21,MATCH($F251&amp;"|mid",Response_Table!$A$4:$A$21,0))*$R251*INDEX(Parameters!$X$12:$AA$12,1,MATCH($E251,Parameters!$X$3:$AA$3,0)))</f>
        <v>0.37179538325327</v>
      </c>
      <c r="BJ251" s="46" t="n">
        <f aca="false">MAX(0,MIN(BH251*(1+INDEX(Response_Table!$L$4:$L$21,MATCH($F251&amp;"|low",Response_Table!$A$4:$A$21,0))*$R251*INDEX(Parameters!$X$12:$AA$12,1,MATCH($E251,Parameters!$X$3:$AA$3,0))),BH251*(1+INDEX(Response_Table!$L$4:$L$21,MATCH($F251&amp;"|high",Response_Table!$A$4:$A$21,0))*$R251*INDEX(Parameters!$X$12:$AA$12,1,MATCH($E251,Parameters!$X$3:$AA$3,0))))*(1-Inputs_General!$C$22*Parameters!$F$12))</f>
        <v>0.288906941936207</v>
      </c>
      <c r="BK251" s="46" t="n">
        <f aca="false">MAX(BH251*(1+INDEX(Response_Table!$L$4:$L$21,MATCH($F251&amp;"|low",Response_Table!$A$4:$A$21,0))*$R251*INDEX(Parameters!$X$12:$AA$12,1,MATCH($E251,Parameters!$X$3:$AA$3,0))),BH251*(1+INDEX(Response_Table!$L$4:$L$21,MATCH($F251&amp;"|high",Response_Table!$A$4:$A$21,0))*$R251*INDEX(Parameters!$X$12:$AA$12,1,MATCH($E251,Parameters!$X$3:$AA$3,0))))*(1+Inputs_General!$C$22*Parameters!$F$12)</f>
        <v>0.460230982817722</v>
      </c>
      <c r="BL251" s="45" t="n">
        <f aca="false">IF(BH251=0,0,BI251/BH251-1)</f>
        <v>-0.129090144054735</v>
      </c>
      <c r="BM251" s="46" t="n">
        <f aca="false">Parameters!$E$13*IF($N251="V",Parameters!$I$13,IF($N251="F",Parameters!$J$13,Parameters!$K$13))*(1-Parameters!$L$13*$P251)*IF($D251="V1",Parameters!$M$13,IF($D251="V2",Parameters!$N$13,Parameters!$O$13))</f>
        <v>0.284801517857143</v>
      </c>
      <c r="BN251" s="46" t="n">
        <f aca="false">BM251*(1+INDEX(Response_Table!$M$4:$M$21,MATCH($F251&amp;"|mid",Response_Table!$A$4:$A$21,0))*$R251*INDEX(Parameters!$X$13:$AA$13,1,MATCH($E251,Parameters!$X$3:$AA$3,0)))</f>
        <v>0.288674733511632</v>
      </c>
      <c r="BO251" s="46" t="n">
        <f aca="false">MAX(0,MIN(BM251*(1+INDEX(Response_Table!$M$4:$M$21,MATCH($F251&amp;"|low",Response_Table!$A$4:$A$21,0))*$R251*INDEX(Parameters!$X$13:$AA$13,1,MATCH($E251,Parameters!$X$3:$AA$3,0))),BM251*(1+INDEX(Response_Table!$M$4:$M$21,MATCH($F251&amp;"|high",Response_Table!$A$4:$A$21,0))*$R251*INDEX(Parameters!$X$13:$AA$13,1,MATCH($E251,Parameters!$X$3:$AA$3,0))))*(1-Inputs_General!$C$22*Parameters!$F$13))</f>
        <v>0.227658232080022</v>
      </c>
      <c r="BP251" s="46" t="n">
        <f aca="false">MAX(BM251*(1+INDEX(Response_Table!$M$4:$M$21,MATCH($F251&amp;"|low",Response_Table!$A$4:$A$21,0))*$R251*INDEX(Parameters!$X$13:$AA$13,1,MATCH($E251,Parameters!$X$3:$AA$3,0))),BM251*(1+INDEX(Response_Table!$M$4:$M$21,MATCH($F251&amp;"|high",Response_Table!$A$4:$A$21,0))*$R251*INDEX(Parameters!$X$13:$AA$13,1,MATCH($E251,Parameters!$X$3:$AA$3,0))))*(1+Inputs_General!$C$22*Parameters!$F$13)</f>
        <v>0.349880840980746</v>
      </c>
      <c r="BQ251" s="45" t="n">
        <f aca="false">IF(BM251=0,0,BN251/BM251-1)</f>
        <v>0.0135997015873786</v>
      </c>
      <c r="BR251" s="44" t="n">
        <f aca="false">Parameters!$E$14*IF($N251="V",Parameters!$I$14,IF($N251="F",Parameters!$J$14,Parameters!$K$14))*(1-Parameters!$L$14*$P251)*IF($D251="V1",Parameters!$M$14,IF($D251="V2",Parameters!$N$14,Parameters!$O$14))*INDEX(Context!$AC$4:$AC$51,$K251)</f>
        <v>18.975</v>
      </c>
      <c r="BS251" s="44" t="n">
        <f aca="false">BR251*(1+INDEX(Response_Table!$N$4:$N$21,MATCH($F251&amp;"|mid",Response_Table!$A$4:$A$21,0))*$R251*INDEX(Parameters!$X$14:$AA$14,1,MATCH($E251,Parameters!$X$3:$AA$3,0)))</f>
        <v>21.647165981933</v>
      </c>
      <c r="BT251" s="44" t="n">
        <f aca="false">MAX(0,MIN(BR251*(1+INDEX(Response_Table!$N$4:$N$21,MATCH($F251&amp;"|low",Response_Table!$A$4:$A$21,0))*$R251*INDEX(Parameters!$X$14:$AA$14,1,MATCH($E251,Parameters!$X$3:$AA$3,0))),BR251*(1+INDEX(Response_Table!$N$4:$N$21,MATCH($F251&amp;"|high",Response_Table!$A$4:$A$21,0))*$R251*INDEX(Parameters!$X$14:$AA$14,1,MATCH($E251,Parameters!$X$3:$AA$3,0))))*(1-Inputs_General!$C$22*Parameters!$F$14))</f>
        <v>10.6557437114935</v>
      </c>
      <c r="BU251" s="44" t="n">
        <f aca="false">MAX(BR251*(1+INDEX(Response_Table!$N$4:$N$21,MATCH($F251&amp;"|low",Response_Table!$A$4:$A$21,0))*$R251*INDEX(Parameters!$X$14:$AA$14,1,MATCH($E251,Parameters!$X$3:$AA$3,0))),BR251*(1+INDEX(Response_Table!$N$4:$N$21,MATCH($F251&amp;"|high",Response_Table!$A$4:$A$21,0))*$R251*INDEX(Parameters!$X$14:$AA$14,1,MATCH($E251,Parameters!$X$3:$AA$3,0))))*(1+Inputs_General!$C$22*Parameters!$F$14)</f>
        <v>33.1868589103524</v>
      </c>
      <c r="BV251" s="45" t="n">
        <f aca="false">IF(BR251=0,0,BS251/BR251-1)</f>
        <v>0.140825611696075</v>
      </c>
      <c r="BW251" s="43" t="n">
        <f aca="false">Parameters!$E$15*IF($N251="V",Parameters!$I$15,IF($N251="F",Parameters!$J$15,Parameters!$K$15))*(1-Parameters!$L$15*$P251)*IF($D251="V1",Parameters!$M$15,IF($D251="V2",Parameters!$N$15,Parameters!$O$15))</f>
        <v>11.6477537142857</v>
      </c>
      <c r="BX251" s="43" t="n">
        <f aca="false">BW251*(1+INDEX(Response_Table!$O$4:$O$21,MATCH($F251&amp;"|mid",Response_Table!$A$4:$A$21,0))*$R251*INDEX(Parameters!$X$15:$AA$15,1,MATCH($E251,Parameters!$X$3:$AA$3,0)))</f>
        <v>11.2376782038608</v>
      </c>
      <c r="BY251" s="43" t="n">
        <f aca="false">MAX(0,MIN(BW251*(1+INDEX(Response_Table!$O$4:$O$21,MATCH($F251&amp;"|low",Response_Table!$A$4:$A$21,0))*$R251*INDEX(Parameters!$X$15:$AA$15,1,MATCH($E251,Parameters!$X$3:$AA$3,0))),BW251*(1+INDEX(Response_Table!$O$4:$O$21,MATCH($F251&amp;"|high",Response_Table!$A$4:$A$21,0))*$R251*INDEX(Parameters!$X$15:$AA$15,1,MATCH($E251,Parameters!$X$3:$AA$3,0))))*(1-Inputs_General!$C$22*Parameters!$F$15))</f>
        <v>8.94869913887185</v>
      </c>
      <c r="BZ251" s="43" t="n">
        <f aca="false">MAX(BW251*(1+INDEX(Response_Table!$O$4:$O$21,MATCH($F251&amp;"|low",Response_Table!$A$4:$A$21,0))*$R251*INDEX(Parameters!$X$15:$AA$15,1,MATCH($E251,Parameters!$X$3:$AA$3,0))),BW251*(1+INDEX(Response_Table!$O$4:$O$21,MATCH($F251&amp;"|high",Response_Table!$A$4:$A$21,0))*$R251*INDEX(Parameters!$X$15:$AA$15,1,MATCH($E251,Parameters!$X$3:$AA$3,0))))*(1+Inputs_General!$C$22*Parameters!$F$15)</f>
        <v>13.5679344961529</v>
      </c>
      <c r="CA251" s="45" t="n">
        <f aca="false">IF(BW251=0,0,BX251/BW251-1)</f>
        <v>-0.0352064029240187</v>
      </c>
      <c r="CB251" s="46" t="n">
        <f aca="false">BD251+BI251</f>
        <v>1.36614088562381</v>
      </c>
      <c r="CC251" s="43" t="n">
        <f aca="false">BD251/BI251</f>
        <v>2.67444284452875</v>
      </c>
      <c r="CD251" s="46" t="n">
        <f aca="false">BN251/CB251</f>
        <v>0.21130670822418</v>
      </c>
      <c r="CE251" s="43" t="n">
        <f aca="false">AE251/AO251</f>
        <v>3.34168287660251</v>
      </c>
      <c r="CF251" s="44" t="n">
        <f aca="false">AE251/AJ251</f>
        <v>41.0163648438004</v>
      </c>
      <c r="CG251" s="44" t="n">
        <f aca="false">INDEX(Context!$V$4:$V$51,$K251)</f>
        <v>25.5785714285714</v>
      </c>
      <c r="CH251" s="44" t="n">
        <f aca="false">INDEX(Context!$Y$4:$Y$51,$K251)</f>
        <v>23.620522619794</v>
      </c>
      <c r="CI251" s="44" t="n">
        <f aca="false">INDEX(Context!$Z$4:$Z$51,$K251)</f>
        <v>29.5785714285714</v>
      </c>
      <c r="CJ251" s="43" t="n">
        <f aca="false">INDEX(Context!$AA$4:$AA$51,$K251)</f>
        <v>0.121160714285714</v>
      </c>
      <c r="CK251" s="43" t="n">
        <f aca="false">MAX(0,MIN(1,1-(1-CJ251)*AO251/AN251))</f>
        <v>0.240342131963976</v>
      </c>
      <c r="CL251" s="44" t="n">
        <f aca="false">CH251+CK251*(CI251-CH251)</f>
        <v>25.052492772841</v>
      </c>
      <c r="CM251" s="44" t="n">
        <f aca="false">CH251+MAX(0,MIN(1,1-(1-CJ251)*AQ251/AN251))*(CI251-CH251)</f>
        <v>23.620522619794</v>
      </c>
      <c r="CN251" s="44" t="n">
        <f aca="false">CH251+MAX(0,MIN(1,1-(1-CJ251)*AP251/AN251))*(CI251-CH251)</f>
        <v>26.5308149612536</v>
      </c>
      <c r="CO251" s="44" t="n">
        <f aca="false">CL251-CG251</f>
        <v>-0.52607865573043</v>
      </c>
      <c r="CP251" s="44" t="n">
        <f aca="false">CL251-(CH251+CJ251*(CI251-CH251))</f>
        <v>0.710088703626372</v>
      </c>
      <c r="CQ251" s="46" t="n">
        <f aca="false">CL251/CG251</f>
        <v>0.97943283669303</v>
      </c>
      <c r="CR251" s="43" t="n">
        <f aca="false">IF(CL251-CH251&lt;=0,"n/a",(CI251-CL251)/(CL251-CH251))</f>
        <v>3.16073533104003</v>
      </c>
      <c r="CS251" s="43" t="n">
        <f aca="false">IF(CI251-CL251&lt;=0,"n/a",(CL251-CH251)/(CI251-CL251))</f>
        <v>0.316382074189981</v>
      </c>
      <c r="CT251" s="43" t="n">
        <f aca="false">Inputs_General!$C$23+Inputs_General!$C$24*$I251</f>
        <v>0.76</v>
      </c>
      <c r="CU251" s="44" t="n">
        <f aca="false">3.29*CT251</f>
        <v>2.5004</v>
      </c>
    </row>
    <row r="252" customFormat="false" ht="15" hidden="false" customHeight="false" outlineLevel="0" collapsed="false">
      <c r="A252" s="9" t="str">
        <f aca="false">B252&amp;"|"&amp;E252&amp;"|"&amp;F252</f>
        <v>D4V2|24/02/2026|Moderate</v>
      </c>
      <c r="B252" s="7" t="s">
        <v>353</v>
      </c>
      <c r="C252" s="9" t="s">
        <v>133</v>
      </c>
      <c r="D252" s="9" t="s">
        <v>146</v>
      </c>
      <c r="E252" s="9" t="s">
        <v>160</v>
      </c>
      <c r="F252" s="7" t="s">
        <v>281</v>
      </c>
      <c r="G252" s="9" t="s">
        <v>282</v>
      </c>
      <c r="H252" s="41" t="n">
        <f aca="false">INDEX(Severity_Classes!$C$4:$C$9,MATCH(F252,Severity_Classes!$A$4:$A$9,0))</f>
        <v>0.11</v>
      </c>
      <c r="I252" s="41" t="n">
        <f aca="false">INDEX(Severity_Classes!$D$4:$D$9,MATCH(F252,Severity_Classes!$A$4:$A$9,0))</f>
        <v>0.18</v>
      </c>
      <c r="J252" s="41" t="n">
        <f aca="false">INDEX(Severity_Classes!$E$4:$E$9,MATCH(F252,Severity_Classes!$A$4:$A$9,0))</f>
        <v>0.25</v>
      </c>
      <c r="K252" s="42" t="n">
        <f aca="false">MATCH(B252&amp;"|"&amp;E252,Context!$A$4:$A$51,0)</f>
        <v>42</v>
      </c>
      <c r="L252" s="42" t="n">
        <f aca="false">INDEX(Context!$H$4:$H$51,K252)</f>
        <v>46</v>
      </c>
      <c r="M252" s="42" t="n">
        <f aca="false">INDEX(Context!$I$4:$I$51,K252)</f>
        <v>19</v>
      </c>
      <c r="N252" s="9" t="str">
        <f aca="false">INDEX(Context!$L$4:$L$51,K252)</f>
        <v>V</v>
      </c>
      <c r="O252" s="9" t="str">
        <f aca="false">INDEX(Context!$M$4:$M$51,K252)</f>
        <v>3rd fully expanded leaf from top</v>
      </c>
      <c r="P252" s="43" t="n">
        <f aca="false">INDEX(Context!$R$4:$R$51,K252)</f>
        <v>0.0232142857142859</v>
      </c>
      <c r="Q252" s="43" t="n">
        <f aca="false">INDEX(Context!$U$4:$U$51,K252)</f>
        <v>1.19492600027053</v>
      </c>
      <c r="R252" s="43" t="n">
        <f aca="false">INDEX(Context!$AD$4:$AD$51,K252)</f>
        <v>1.1</v>
      </c>
      <c r="S252" s="9" t="str">
        <f aca="false">INDEX(Context!$AI$4:$AN$51,K252,MATCH(F252,Severity_Classes!$A$4:$A$9,0))</f>
        <v>Likely</v>
      </c>
      <c r="T252" s="44" t="n">
        <f aca="false">Parameters!$E$4*IF($N252="V",Parameters!$I$4,IF($N252="F",Parameters!$J$4,Parameters!$K$4))*(1-Parameters!$L$4*$P252)*IF($D252="V1",Parameters!$M$4,IF($D252="V2",Parameters!$N$4,Parameters!$O$4))</f>
        <v>85.9001785714286</v>
      </c>
      <c r="U252" s="44" t="n">
        <f aca="false">MIN(100,T252*(1+INDEX(Response_Table!$E$4:$E$21,MATCH($F252&amp;"|mid",Response_Table!$A$4:$A$21,0))*$R252*INDEX(Parameters!$X$4:$AA$4,1,MATCH($E252,Parameters!$X$3:$AA$3,0))))</f>
        <v>81.6018264684527</v>
      </c>
      <c r="V252" s="44" t="n">
        <f aca="false">MAX(0,MIN(T252*(1+INDEX(Response_Table!$E$4:$E$21,MATCH($F252&amp;"|low",Response_Table!$A$4:$A$21,0))*$R252*INDEX(Parameters!$X$4:$AA$4,1,MATCH($E252,Parameters!$X$3:$AA$3,0))),T252*(1+INDEX(Response_Table!$E$4:$E$21,MATCH($F252&amp;"|high",Response_Table!$A$4:$A$21,0))*$R252*INDEX(Parameters!$X$4:$AA$4,1,MATCH($E252,Parameters!$X$3:$AA$3,0))))*(1-Inputs_General!$C$22*Parameters!$F$4))</f>
        <v>73.2244322330114</v>
      </c>
      <c r="W252" s="44" t="n">
        <f aca="false">MIN(100,MAX(T252*(1+INDEX(Response_Table!$E$4:$E$21,MATCH($F252&amp;"|low",Response_Table!$A$4:$A$21,0))*$R252*INDEX(Parameters!$X$4:$AA$4,1,MATCH($E252,Parameters!$X$3:$AA$3,0))),T252*(1+INDEX(Response_Table!$E$4:$E$21,MATCH($F252&amp;"|high",Response_Table!$A$4:$A$21,0))*$R252*INDEX(Parameters!$X$4:$AA$4,1,MATCH($E252,Parameters!$X$3:$AA$3,0))))*(1+Inputs_General!$C$22*Parameters!$F$4))</f>
        <v>89.3910325314647</v>
      </c>
      <c r="X252" s="45" t="n">
        <f aca="false">IF(T252=0,0,U252/T252-1)</f>
        <v>-0.0500389192951635</v>
      </c>
      <c r="Y252" s="44" t="n">
        <f aca="false">Parameters!$E$5*IF($N252="V",Parameters!$I$5,IF($N252="F",Parameters!$J$5,Parameters!$K$5))*(1-Parameters!$L$5*$P252)*IF($D252="V1",Parameters!$M$5,IF($D252="V2",Parameters!$N$5,Parameters!$O$5))</f>
        <v>71.7994285714286</v>
      </c>
      <c r="Z252" s="44" t="n">
        <f aca="false">MIN(100,Y252*(1+INDEX(Response_Table!$F$4:$F$21,MATCH($F252&amp;"|mid",Response_Table!$A$4:$A$21,0))*$R252*INDEX(Parameters!$X$5:$AA$5,1,MATCH($E252,Parameters!$X$3:$AA$3,0))))</f>
        <v>59.3886107458156</v>
      </c>
      <c r="AA252" s="44" t="n">
        <f aca="false">MAX(0,MIN(Y252*(1+INDEX(Response_Table!$F$4:$F$21,MATCH($F252&amp;"|low",Response_Table!$A$4:$A$21,0))*$R252*INDEX(Parameters!$X$5:$AA$5,1,MATCH($E252,Parameters!$X$3:$AA$3,0))),Y252*(1+INDEX(Response_Table!$F$4:$F$21,MATCH($F252&amp;"|high",Response_Table!$A$4:$A$21,0))*$R252*INDEX(Parameters!$X$5:$AA$5,1,MATCH($E252,Parameters!$X$3:$AA$3,0))))*(1-Inputs_General!$C$22*Parameters!$F$5))</f>
        <v>44.4225436579428</v>
      </c>
      <c r="AB252" s="44" t="n">
        <f aca="false">MIN(100,MAX(Y252*(1+INDEX(Response_Table!$F$4:$F$21,MATCH($F252&amp;"|low",Response_Table!$A$4:$A$21,0))*$R252*INDEX(Parameters!$X$5:$AA$5,1,MATCH($E252,Parameters!$X$3:$AA$3,0))),Y252*(1+INDEX(Response_Table!$F$4:$F$21,MATCH($F252&amp;"|high",Response_Table!$A$4:$A$21,0))*$R252*INDEX(Parameters!$X$5:$AA$5,1,MATCH($E252,Parameters!$X$3:$AA$3,0))))*(1+Inputs_General!$C$22*Parameters!$F$5))</f>
        <v>73.7140340915095</v>
      </c>
      <c r="AC252" s="45" t="n">
        <f aca="false">IF(Y252=0,0,Z252/Y252-1)</f>
        <v>-0.172853991634017</v>
      </c>
      <c r="AD252" s="44" t="n">
        <f aca="false">Parameters!$E$6*IF($N252="V",Parameters!$I$6,IF($N252="F",Parameters!$J$6,Parameters!$K$6))*(1-Parameters!$L$6*$P252)*IF($D252="V1",Parameters!$M$6,IF($D252="V2",Parameters!$N$6,Parameters!$O$6))</f>
        <v>18.9470714285714</v>
      </c>
      <c r="AE252" s="44" t="n">
        <f aca="false">AD252*(1+INDEX(Response_Table!$G$4:$G$21,MATCH($F252&amp;"|mid",Response_Table!$A$4:$A$21,0))*$R252*INDEX(Parameters!$X$6:$AA$6,1,MATCH($E252,Parameters!$X$3:$AA$3,0)))</f>
        <v>10.3957628266539</v>
      </c>
      <c r="AF252" s="44" t="n">
        <f aca="false">MAX(0,MIN(AD252*(1+INDEX(Response_Table!$G$4:$G$21,MATCH($F252&amp;"|low",Response_Table!$A$4:$A$21,0))*$R252*INDEX(Parameters!$X$6:$AA$6,1,MATCH($E252,Parameters!$X$3:$AA$3,0))),AD252*(1+INDEX(Response_Table!$G$4:$G$21,MATCH($F252&amp;"|high",Response_Table!$A$4:$A$21,0))*$R252*INDEX(Parameters!$X$6:$AA$6,1,MATCH($E252,Parameters!$X$3:$AA$3,0))))*(1-Inputs_General!$C$22*Parameters!$F$6))</f>
        <v>6.83731453862767</v>
      </c>
      <c r="AG252" s="44" t="n">
        <f aca="false">MAX(AD252*(1+INDEX(Response_Table!$G$4:$G$21,MATCH($F252&amp;"|low",Response_Table!$A$4:$A$21,0))*$R252*INDEX(Parameters!$X$6:$AA$6,1,MATCH($E252,Parameters!$X$3:$AA$3,0))),AD252*(1+INDEX(Response_Table!$G$4:$G$21,MATCH($F252&amp;"|high",Response_Table!$A$4:$A$21,0))*$R252*INDEX(Parameters!$X$6:$AA$6,1,MATCH($E252,Parameters!$X$3:$AA$3,0))))*(1+Inputs_General!$C$22*Parameters!$F$6)</f>
        <v>15.5057731655081</v>
      </c>
      <c r="AH252" s="45" t="n">
        <f aca="false">IF(AD252=0,0,AE252/AD252-1)</f>
        <v>-0.45132613945934</v>
      </c>
      <c r="AI252" s="46" t="n">
        <f aca="false">Parameters!$E$7*IF($N252="V",Parameters!$I$7,IF($N252="F",Parameters!$J$7,Parameters!$K$7))*(1-Parameters!$L$7*$P252)*IF($D252="V1",Parameters!$M$7,IF($D252="V2",Parameters!$N$7,Parameters!$O$7))*POWER($Q252/Inputs_General!$C$26,-Inputs_General!$C$25)</f>
        <v>0.411663164578586</v>
      </c>
      <c r="AJ252" s="46" t="n">
        <f aca="false">AI252*(1+INDEX(Response_Table!$H$4:$H$21,MATCH($F252&amp;"|mid",Response_Table!$A$4:$A$21,0))*$R252*INDEX(Parameters!$X$7:$AA$7,1,MATCH($E252,Parameters!$X$3:$AA$3,0)))</f>
        <v>0.288849634558213</v>
      </c>
      <c r="AK252" s="46" t="n">
        <f aca="false">MAX(0,MIN(AI252*(1+INDEX(Response_Table!$H$4:$H$21,MATCH($F252&amp;"|low",Response_Table!$A$4:$A$21,0))*$R252*INDEX(Parameters!$X$7:$AA$7,1,MATCH($E252,Parameters!$X$3:$AA$3,0))),AI252*(1+INDEX(Response_Table!$H$4:$H$21,MATCH($F252&amp;"|high",Response_Table!$A$4:$A$21,0))*$R252*INDEX(Parameters!$X$7:$AA$7,1,MATCH($E252,Parameters!$X$3:$AA$3,0))))*(1-Inputs_General!$C$22*Parameters!$F$7))</f>
        <v>0.180451788171925</v>
      </c>
      <c r="AL252" s="46" t="n">
        <f aca="false">MAX(AI252*(1+INDEX(Response_Table!$H$4:$H$21,MATCH($F252&amp;"|low",Response_Table!$A$4:$A$21,0))*$R252*INDEX(Parameters!$X$7:$AA$7,1,MATCH($E252,Parameters!$X$3:$AA$3,0))),AI252*(1+INDEX(Response_Table!$H$4:$H$21,MATCH($F252&amp;"|high",Response_Table!$A$4:$A$21,0))*$R252*INDEX(Parameters!$X$7:$AA$7,1,MATCH($E252,Parameters!$X$3:$AA$3,0))))*(1+Inputs_General!$C$22*Parameters!$F$7)</f>
        <v>0.426328002612986</v>
      </c>
      <c r="AM252" s="45" t="n">
        <f aca="false">IF(AI252=0,0,AJ252/AI252-1)</f>
        <v>-0.298334999552597</v>
      </c>
      <c r="AN252" s="43" t="n">
        <f aca="false">AI252*$Q252/Inputs_General!$C$13*1000</f>
        <v>4.95374641196979</v>
      </c>
      <c r="AO252" s="43" t="n">
        <f aca="false">AJ252*$Q252/Inputs_General!$C$13*1000*(1+Inputs_General!$C$21*$I252)</f>
        <v>3.6322846498978</v>
      </c>
      <c r="AP252" s="43" t="n">
        <f aca="false">AK252*$Q252/Inputs_General!$C$13*1000*(1+Inputs_General!$C$21*$H252)</f>
        <v>2.23118089781165</v>
      </c>
      <c r="AQ252" s="43" t="n">
        <f aca="false">AL252*$Q252/Inputs_General!$C$13*1000*(1+Inputs_General!$C$21*$J252)</f>
        <v>5.45085413797597</v>
      </c>
      <c r="AR252" s="45" t="n">
        <f aca="false">IF(AN252=0,0,AO252/AN252-1)</f>
        <v>-0.266760074532464</v>
      </c>
      <c r="AS252" s="42" t="n">
        <f aca="false">Parameters!$E$9*IF($N252="V",Parameters!$I$9,IF($N252="F",Parameters!$J$9,Parameters!$K$9))*(1-Parameters!$L$9*$P252)*IF($D252="V1",Parameters!$M$9,IF($D252="V2",Parameters!$N$9,Parameters!$O$9))</f>
        <v>285</v>
      </c>
      <c r="AT252" s="42" t="n">
        <f aca="false">AS252*(1+INDEX(Response_Table!$I$4:$I$21,MATCH($F252&amp;"|mid",Response_Table!$A$4:$A$21,0))*$R252*INDEX(Parameters!$X$9:$AA$9,1,MATCH($E252,Parameters!$X$3:$AA$3,0)))</f>
        <v>333.270950326965</v>
      </c>
      <c r="AU252" s="42" t="n">
        <f aca="false">MAX(0,MIN(AS252*(1+INDEX(Response_Table!$I$4:$I$21,MATCH($F252&amp;"|low",Response_Table!$A$4:$A$21,0))*$R252*INDEX(Parameters!$X$9:$AA$9,1,MATCH($E252,Parameters!$X$3:$AA$3,0))),AS252*(1+INDEX(Response_Table!$I$4:$I$21,MATCH($F252&amp;"|high",Response_Table!$A$4:$A$21,0))*$R252*INDEX(Parameters!$X$9:$AA$9,1,MATCH($E252,Parameters!$X$3:$AA$3,0))))*(1-Inputs_General!$C$22*Parameters!$F$9))</f>
        <v>287.044559024394</v>
      </c>
      <c r="AV252" s="42" t="n">
        <f aca="false">MAX(AS252*(1+INDEX(Response_Table!$I$4:$I$21,MATCH($F252&amp;"|low",Response_Table!$A$4:$A$21,0))*$R252*INDEX(Parameters!$X$9:$AA$9,1,MATCH($E252,Parameters!$X$3:$AA$3,0))),AS252*(1+INDEX(Response_Table!$I$4:$I$21,MATCH($F252&amp;"|high",Response_Table!$A$4:$A$21,0))*$R252*INDEX(Parameters!$X$9:$AA$9,1,MATCH($E252,Parameters!$X$3:$AA$3,0))))*(1+Inputs_General!$C$22*Parameters!$F$9)</f>
        <v>378.448246193483</v>
      </c>
      <c r="AW252" s="45" t="n">
        <f aca="false">IF(AS252=0,0,AT252/AS252-1)</f>
        <v>0.169371755533209</v>
      </c>
      <c r="AX252" s="43" t="n">
        <f aca="false">INDEX(Context!$AB$4:$AB$51,$K252)</f>
        <v>1.40851696565548</v>
      </c>
      <c r="AY252" s="43" t="n">
        <f aca="false">AX252*(1+INDEX(Response_Table!$J$4:$J$21,MATCH($F252&amp;"|mid",Response_Table!$A$4:$A$21,0))*$R252*INDEX(Parameters!$X$10:$AA$10,1,MATCH($E252,Parameters!$X$3:$AA$3,0)))</f>
        <v>1.15586555197873</v>
      </c>
      <c r="AZ252" s="43" t="n">
        <f aca="false">MAX(0,MIN(AX252*(1+INDEX(Response_Table!$J$4:$J$21,MATCH($F252&amp;"|low",Response_Table!$A$4:$A$21,0))*$R252*INDEX(Parameters!$X$10:$AA$10,1,MATCH($E252,Parameters!$X$3:$AA$3,0))),AX252*(1+INDEX(Response_Table!$J$4:$J$21,MATCH($F252&amp;"|high",Response_Table!$A$4:$A$21,0))*$R252*INDEX(Parameters!$X$10:$AA$10,1,MATCH($E252,Parameters!$X$3:$AA$3,0))))*(1-Inputs_General!$C$22*Parameters!$F$10))</f>
        <v>0.870414760161825</v>
      </c>
      <c r="BA252" s="43" t="n">
        <f aca="false">MAX(AX252*(1+INDEX(Response_Table!$J$4:$J$21,MATCH($F252&amp;"|low",Response_Table!$A$4:$A$21,0))*$R252*INDEX(Parameters!$X$10:$AA$10,1,MATCH($E252,Parameters!$X$3:$AA$3,0))),AX252*(1+INDEX(Response_Table!$J$4:$J$21,MATCH($F252&amp;"|high",Response_Table!$A$4:$A$21,0))*$R252*INDEX(Parameters!$X$10:$AA$10,1,MATCH($E252,Parameters!$X$3:$AA$3,0))))*(1+Inputs_General!$C$22*Parameters!$F$10)</f>
        <v>1.48583788742293</v>
      </c>
      <c r="BB252" s="45" t="n">
        <f aca="false">IF(AX252=0,0,AY252/AX252-1)</f>
        <v>-0.179374064947222</v>
      </c>
      <c r="BC252" s="46" t="n">
        <f aca="false">Parameters!$E$11*IF($N252="V",Parameters!$I$11,IF($N252="F",Parameters!$J$11,Parameters!$K$11))*(1-Parameters!$L$11*$P252)*IF($D252="V1",Parameters!$M$11,IF($D252="V2",Parameters!$N$11,Parameters!$O$11))</f>
        <v>1.18584598214286</v>
      </c>
      <c r="BD252" s="46" t="n">
        <f aca="false">BC252*(1+INDEX(Response_Table!$K$4:$K$21,MATCH($F252&amp;"|mid",Response_Table!$A$4:$A$21,0))*$R252*INDEX(Parameters!$X$11:$AA$11,1,MATCH($E252,Parameters!$X$3:$AA$3,0)))</f>
        <v>0.814595372331173</v>
      </c>
      <c r="BE252" s="46" t="n">
        <f aca="false">MAX(0,MIN(BC252*(1+INDEX(Response_Table!$K$4:$K$21,MATCH($F252&amp;"|low",Response_Table!$A$4:$A$21,0))*$R252*INDEX(Parameters!$X$11:$AA$11,1,MATCH($E252,Parameters!$X$3:$AA$3,0))),BC252*(1+INDEX(Response_Table!$K$4:$K$21,MATCH($F252&amp;"|high",Response_Table!$A$4:$A$21,0))*$R252*INDEX(Parameters!$X$11:$AA$11,1,MATCH($E252,Parameters!$X$3:$AA$3,0))))*(1-Inputs_General!$C$22*Parameters!$F$11))</f>
        <v>0.600676953235052</v>
      </c>
      <c r="BF252" s="46" t="n">
        <f aca="false">MAX(BC252*(1+INDEX(Response_Table!$K$4:$K$21,MATCH($F252&amp;"|low",Response_Table!$A$4:$A$21,0))*$R252*INDEX(Parameters!$X$11:$AA$11,1,MATCH($E252,Parameters!$X$3:$AA$3,0))),BC252*(1+INDEX(Response_Table!$K$4:$K$21,MATCH($F252&amp;"|high",Response_Table!$A$4:$A$21,0))*$R252*INDEX(Parameters!$X$11:$AA$11,1,MATCH($E252,Parameters!$X$3:$AA$3,0))))*(1+Inputs_General!$C$22*Parameters!$F$11)</f>
        <v>1.08794945959228</v>
      </c>
      <c r="BG252" s="45" t="n">
        <f aca="false">IF(BC252=0,0,BD252/BC252-1)</f>
        <v>-0.313068151684272</v>
      </c>
      <c r="BH252" s="46" t="n">
        <f aca="false">Parameters!$E$12*IF($N252="V",Parameters!$I$12,IF($N252="F",Parameters!$J$12,Parameters!$K$12))*(1-Parameters!$L$12*$P252)*IF($D252="V1",Parameters!$M$12,IF($D252="V2",Parameters!$N$12,Parameters!$O$12))</f>
        <v>0.426904553571429</v>
      </c>
      <c r="BI252" s="46" t="n">
        <f aca="false">BH252*(1+INDEX(Response_Table!$L$4:$L$21,MATCH($F252&amp;"|mid",Response_Table!$A$4:$A$21,0))*$R252*INDEX(Parameters!$X$12:$AA$12,1,MATCH($E252,Parameters!$X$3:$AA$3,0)))</f>
        <v>0.319137917587884</v>
      </c>
      <c r="BJ252" s="46" t="n">
        <f aca="false">MAX(0,MIN(BH252*(1+INDEX(Response_Table!$L$4:$L$21,MATCH($F252&amp;"|low",Response_Table!$A$4:$A$21,0))*$R252*INDEX(Parameters!$X$12:$AA$12,1,MATCH($E252,Parameters!$X$3:$AA$3,0))),BH252*(1+INDEX(Response_Table!$L$4:$L$21,MATCH($F252&amp;"|high",Response_Table!$A$4:$A$21,0))*$R252*INDEX(Parameters!$X$12:$AA$12,1,MATCH($E252,Parameters!$X$3:$AA$3,0))))*(1-Inputs_General!$C$22*Parameters!$F$12))</f>
        <v>0.233258703142998</v>
      </c>
      <c r="BK252" s="46" t="n">
        <f aca="false">MAX(BH252*(1+INDEX(Response_Table!$L$4:$L$21,MATCH($F252&amp;"|low",Response_Table!$A$4:$A$21,0))*$R252*INDEX(Parameters!$X$12:$AA$12,1,MATCH($E252,Parameters!$X$3:$AA$3,0))),BH252*(1+INDEX(Response_Table!$L$4:$L$21,MATCH($F252&amp;"|high",Response_Table!$A$4:$A$21,0))*$R252*INDEX(Parameters!$X$12:$AA$12,1,MATCH($E252,Parameters!$X$3:$AA$3,0))))*(1+Inputs_General!$C$22*Parameters!$F$12)</f>
        <v>0.424249533163753</v>
      </c>
      <c r="BL252" s="45" t="n">
        <f aca="false">IF(BH252=0,0,BI252/BH252-1)</f>
        <v>-0.252437307313736</v>
      </c>
      <c r="BM252" s="46" t="n">
        <f aca="false">Parameters!$E$13*IF($N252="V",Parameters!$I$13,IF($N252="F",Parameters!$J$13,Parameters!$K$13))*(1-Parameters!$L$13*$P252)*IF($D252="V1",Parameters!$M$13,IF($D252="V2",Parameters!$N$13,Parameters!$O$13))</f>
        <v>0.284801517857143</v>
      </c>
      <c r="BN252" s="46" t="n">
        <f aca="false">BM252*(1+INDEX(Response_Table!$M$4:$M$21,MATCH($F252&amp;"|mid",Response_Table!$A$4:$A$21,0))*$R252*INDEX(Parameters!$X$13:$AA$13,1,MATCH($E252,Parameters!$X$3:$AA$3,0)))</f>
        <v>0.257852563251629</v>
      </c>
      <c r="BO252" s="46" t="n">
        <f aca="false">MAX(0,MIN(BM252*(1+INDEX(Response_Table!$M$4:$M$21,MATCH($F252&amp;"|low",Response_Table!$A$4:$A$21,0))*$R252*INDEX(Parameters!$X$13:$AA$13,1,MATCH($E252,Parameters!$X$3:$AA$3,0))),BM252*(1+INDEX(Response_Table!$M$4:$M$21,MATCH($F252&amp;"|high",Response_Table!$A$4:$A$21,0))*$R252*INDEX(Parameters!$X$13:$AA$13,1,MATCH($E252,Parameters!$X$3:$AA$3,0))))*(1-Inputs_General!$C$22*Parameters!$F$13))</f>
        <v>0.189540418994709</v>
      </c>
      <c r="BP252" s="46" t="n">
        <f aca="false">MAX(BM252*(1+INDEX(Response_Table!$M$4:$M$21,MATCH($F252&amp;"|low",Response_Table!$A$4:$A$21,0))*$R252*INDEX(Parameters!$X$13:$AA$13,1,MATCH($E252,Parameters!$X$3:$AA$3,0))),BM252*(1+INDEX(Response_Table!$M$4:$M$21,MATCH($F252&amp;"|high",Response_Table!$A$4:$A$21,0))*$R252*INDEX(Parameters!$X$13:$AA$13,1,MATCH($E252,Parameters!$X$3:$AA$3,0))))*(1+Inputs_General!$C$22*Parameters!$F$13)</f>
        <v>0.336182848410753</v>
      </c>
      <c r="BQ252" s="45" t="n">
        <f aca="false">IF(BM252=0,0,BN252/BM252-1)</f>
        <v>-0.0946236340602347</v>
      </c>
      <c r="BR252" s="44" t="n">
        <f aca="false">Parameters!$E$14*IF($N252="V",Parameters!$I$14,IF($N252="F",Parameters!$J$14,Parameters!$K$14))*(1-Parameters!$L$14*$P252)*IF($D252="V1",Parameters!$M$14,IF($D252="V2",Parameters!$N$14,Parameters!$O$14))*INDEX(Context!$AC$4:$AC$51,$K252)</f>
        <v>18.975</v>
      </c>
      <c r="BS252" s="44" t="n">
        <f aca="false">BR252*(1+INDEX(Response_Table!$N$4:$N$21,MATCH($F252&amp;"|mid",Response_Table!$A$4:$A$21,0))*$R252*INDEX(Parameters!$X$14:$AA$14,1,MATCH($E252,Parameters!$X$3:$AA$3,0)))</f>
        <v>24.2004522613943</v>
      </c>
      <c r="BT252" s="44" t="n">
        <f aca="false">MAX(0,MIN(BR252*(1+INDEX(Response_Table!$N$4:$N$21,MATCH($F252&amp;"|low",Response_Table!$A$4:$A$21,0))*$R252*INDEX(Parameters!$X$14:$AA$14,1,MATCH($E252,Parameters!$X$3:$AA$3,0))),BR252*(1+INDEX(Response_Table!$N$4:$N$21,MATCH($F252&amp;"|high",Response_Table!$A$4:$A$21,0))*$R252*INDEX(Parameters!$X$14:$AA$14,1,MATCH($E252,Parameters!$X$3:$AA$3,0))))*(1-Inputs_General!$C$22*Parameters!$F$14))</f>
        <v>11.393747193241</v>
      </c>
      <c r="BU252" s="44" t="n">
        <f aca="false">MAX(BR252*(1+INDEX(Response_Table!$N$4:$N$21,MATCH($F252&amp;"|low",Response_Table!$A$4:$A$21,0))*$R252*INDEX(Parameters!$X$14:$AA$14,1,MATCH($E252,Parameters!$X$3:$AA$3,0))),BR252*(1+INDEX(Response_Table!$N$4:$N$21,MATCH($F252&amp;"|high",Response_Table!$A$4:$A$21,0))*$R252*INDEX(Parameters!$X$14:$AA$14,1,MATCH($E252,Parameters!$X$3:$AA$3,0))))*(1+Inputs_General!$C$22*Parameters!$F$14)</f>
        <v>38.207937901523</v>
      </c>
      <c r="BV252" s="45" t="n">
        <f aca="false">IF(BR252=0,0,BS252/BR252-1)</f>
        <v>0.275386153433167</v>
      </c>
      <c r="BW252" s="43" t="n">
        <f aca="false">Parameters!$E$15*IF($N252="V",Parameters!$I$15,IF($N252="F",Parameters!$J$15,Parameters!$K$15))*(1-Parameters!$L$15*$P252)*IF($D252="V1",Parameters!$M$15,IF($D252="V2",Parameters!$N$15,Parameters!$O$15))</f>
        <v>11.6477537142857</v>
      </c>
      <c r="BX252" s="43" t="n">
        <f aca="false">BW252*(1+INDEX(Response_Table!$O$4:$O$21,MATCH($F252&amp;"|mid",Response_Table!$A$4:$A$21,0))*$R252*INDEX(Parameters!$X$15:$AA$15,1,MATCH($E252,Parameters!$X$3:$AA$3,0)))</f>
        <v>10.8458461914072</v>
      </c>
      <c r="BY252" s="43" t="n">
        <f aca="false">MAX(0,MIN(BW252*(1+INDEX(Response_Table!$O$4:$O$21,MATCH($F252&amp;"|low",Response_Table!$A$4:$A$21,0))*$R252*INDEX(Parameters!$X$15:$AA$15,1,MATCH($E252,Parameters!$X$3:$AA$3,0))),BW252*(1+INDEX(Response_Table!$O$4:$O$21,MATCH($F252&amp;"|high",Response_Table!$A$4:$A$21,0))*$R252*INDEX(Parameters!$X$15:$AA$15,1,MATCH($E252,Parameters!$X$3:$AA$3,0))))*(1-Inputs_General!$C$22*Parameters!$F$15))</f>
        <v>8.5346123399666</v>
      </c>
      <c r="BZ252" s="43" t="n">
        <f aca="false">MAX(BW252*(1+INDEX(Response_Table!$O$4:$O$21,MATCH($F252&amp;"|low",Response_Table!$A$4:$A$21,0))*$R252*INDEX(Parameters!$X$15:$AA$15,1,MATCH($E252,Parameters!$X$3:$AA$3,0))),BW252*(1+INDEX(Response_Table!$O$4:$O$21,MATCH($F252&amp;"|high",Response_Table!$A$4:$A$21,0))*$R252*INDEX(Parameters!$X$15:$AA$15,1,MATCH($E252,Parameters!$X$3:$AA$3,0))))*(1+Inputs_General!$C$22*Parameters!$F$15)</f>
        <v>13.3001911923163</v>
      </c>
      <c r="CA252" s="45" t="n">
        <f aca="false">IF(BW252=0,0,BX252/BW252-1)</f>
        <v>-0.0688465383582918</v>
      </c>
      <c r="CB252" s="46" t="n">
        <f aca="false">BD252+BI252</f>
        <v>1.13373328991906</v>
      </c>
      <c r="CC252" s="43" t="n">
        <f aca="false">BD252/BI252</f>
        <v>2.55248695763909</v>
      </c>
      <c r="CD252" s="46" t="n">
        <f aca="false">BN252/CB252</f>
        <v>0.227436704509258</v>
      </c>
      <c r="CE252" s="43" t="n">
        <f aca="false">AE252/AO252</f>
        <v>2.8620451943232</v>
      </c>
      <c r="CF252" s="44" t="n">
        <f aca="false">AE252/AJ252</f>
        <v>35.9902232265377</v>
      </c>
      <c r="CG252" s="44" t="n">
        <f aca="false">INDEX(Context!$V$4:$V$51,$K252)</f>
        <v>25.5785714285714</v>
      </c>
      <c r="CH252" s="44" t="n">
        <f aca="false">INDEX(Context!$Y$4:$Y$51,$K252)</f>
        <v>23.620522619794</v>
      </c>
      <c r="CI252" s="44" t="n">
        <f aca="false">INDEX(Context!$Z$4:$Z$51,$K252)</f>
        <v>29.5785714285714</v>
      </c>
      <c r="CJ252" s="43" t="n">
        <f aca="false">INDEX(Context!$AA$4:$AA$51,$K252)</f>
        <v>0.121160714285714</v>
      </c>
      <c r="CK252" s="43" t="n">
        <f aca="false">MAX(0,MIN(1,1-(1-CJ252)*AO252/AN252))</f>
        <v>0.355599947644915</v>
      </c>
      <c r="CL252" s="44" t="n">
        <f aca="false">CH252+CK252*(CI252-CH252)</f>
        <v>25.7392044642611</v>
      </c>
      <c r="CM252" s="44" t="n">
        <f aca="false">CH252+MAX(0,MIN(1,1-(1-CJ252)*AQ252/AN252))*(CI252-CH252)</f>
        <v>23.8169554425534</v>
      </c>
      <c r="CN252" s="44" t="n">
        <f aca="false">CH252+MAX(0,MIN(1,1-(1-CJ252)*AP252/AN252))*(CI252-CH252)</f>
        <v>27.22018736561</v>
      </c>
      <c r="CO252" s="44" t="n">
        <f aca="false">CL252-CG252</f>
        <v>0.160633035689678</v>
      </c>
      <c r="CP252" s="44" t="n">
        <f aca="false">CL252-(CH252+CJ252*(CI252-CH252))</f>
        <v>1.39680039504648</v>
      </c>
      <c r="CQ252" s="46" t="n">
        <f aca="false">CL252/CG252</f>
        <v>1.0062799846402</v>
      </c>
      <c r="CR252" s="43" t="n">
        <f aca="false">IF(CL252-CH252&lt;=0,"n/a",(CI252-CL252)/(CL252-CH252))</f>
        <v>1.81214889547327</v>
      </c>
      <c r="CS252" s="43" t="n">
        <f aca="false">IF(CI252-CL252&lt;=0,"n/a",(CL252-CH252)/(CI252-CL252))</f>
        <v>0.551831034689253</v>
      </c>
      <c r="CT252" s="43" t="n">
        <f aca="false">Inputs_General!$C$23+Inputs_General!$C$24*$I252</f>
        <v>0.96</v>
      </c>
      <c r="CU252" s="44" t="n">
        <f aca="false">3.29*CT252</f>
        <v>3.1584</v>
      </c>
    </row>
    <row r="253" customFormat="false" ht="15" hidden="false" customHeight="false" outlineLevel="0" collapsed="false">
      <c r="A253" s="9" t="str">
        <f aca="false">B253&amp;"|"&amp;E253&amp;"|"&amp;F253</f>
        <v>D4V2|24/02/2026|High</v>
      </c>
      <c r="B253" s="7" t="s">
        <v>353</v>
      </c>
      <c r="C253" s="9" t="s">
        <v>133</v>
      </c>
      <c r="D253" s="9" t="s">
        <v>146</v>
      </c>
      <c r="E253" s="9" t="s">
        <v>160</v>
      </c>
      <c r="F253" s="7" t="s">
        <v>283</v>
      </c>
      <c r="G253" s="9" t="s">
        <v>284</v>
      </c>
      <c r="H253" s="41" t="n">
        <f aca="false">INDEX(Severity_Classes!$C$4:$C$9,MATCH(F253,Severity_Classes!$A$4:$A$9,0))</f>
        <v>0.26</v>
      </c>
      <c r="I253" s="41" t="n">
        <f aca="false">INDEX(Severity_Classes!$D$4:$D$9,MATCH(F253,Severity_Classes!$A$4:$A$9,0))</f>
        <v>0.38</v>
      </c>
      <c r="J253" s="41" t="n">
        <f aca="false">INDEX(Severity_Classes!$E$4:$E$9,MATCH(F253,Severity_Classes!$A$4:$A$9,0))</f>
        <v>0.5</v>
      </c>
      <c r="K253" s="42" t="n">
        <f aca="false">MATCH(B253&amp;"|"&amp;E253,Context!$A$4:$A$51,0)</f>
        <v>42</v>
      </c>
      <c r="L253" s="42" t="n">
        <f aca="false">INDEX(Context!$H$4:$H$51,K253)</f>
        <v>46</v>
      </c>
      <c r="M253" s="42" t="n">
        <f aca="false">INDEX(Context!$I$4:$I$51,K253)</f>
        <v>19</v>
      </c>
      <c r="N253" s="9" t="str">
        <f aca="false">INDEX(Context!$L$4:$L$51,K253)</f>
        <v>V</v>
      </c>
      <c r="O253" s="9" t="str">
        <f aca="false">INDEX(Context!$M$4:$M$51,K253)</f>
        <v>3rd fully expanded leaf from top</v>
      </c>
      <c r="P253" s="43" t="n">
        <f aca="false">INDEX(Context!$R$4:$R$51,K253)</f>
        <v>0.0232142857142859</v>
      </c>
      <c r="Q253" s="43" t="n">
        <f aca="false">INDEX(Context!$U$4:$U$51,K253)</f>
        <v>1.19492600027053</v>
      </c>
      <c r="R253" s="43" t="n">
        <f aca="false">INDEX(Context!$AD$4:$AD$51,K253)</f>
        <v>1.1</v>
      </c>
      <c r="S253" s="9" t="str">
        <f aca="false">INDEX(Context!$AI$4:$AN$51,K253,MATCH(F253,Severity_Classes!$A$4:$A$9,0))</f>
        <v>Likely</v>
      </c>
      <c r="T253" s="44" t="n">
        <f aca="false">Parameters!$E$4*IF($N253="V",Parameters!$I$4,IF($N253="F",Parameters!$J$4,Parameters!$K$4))*(1-Parameters!$L$4*$P253)*IF($D253="V1",Parameters!$M$4,IF($D253="V2",Parameters!$N$4,Parameters!$O$4))</f>
        <v>85.9001785714286</v>
      </c>
      <c r="U253" s="44" t="n">
        <f aca="false">MIN(100,T253*(1+INDEX(Response_Table!$E$4:$E$21,MATCH($F253&amp;"|mid",Response_Table!$A$4:$A$21,0))*$R253*INDEX(Parameters!$X$4:$AA$4,1,MATCH($E253,Parameters!$X$3:$AA$3,0))))</f>
        <v>70.6357345867266</v>
      </c>
      <c r="V253" s="44" t="n">
        <f aca="false">MAX(0,MIN(T253*(1+INDEX(Response_Table!$E$4:$E$21,MATCH($F253&amp;"|low",Response_Table!$A$4:$A$21,0))*$R253*INDEX(Parameters!$X$4:$AA$4,1,MATCH($E253,Parameters!$X$3:$AA$3,0))),T253*(1+INDEX(Response_Table!$E$4:$E$21,MATCH($F253&amp;"|high",Response_Table!$A$4:$A$21,0))*$R253*INDEX(Parameters!$X$4:$AA$4,1,MATCH($E253,Parameters!$X$3:$AA$3,0))))*(1-Inputs_General!$C$22*Parameters!$F$4))</f>
        <v>59.9827661424417</v>
      </c>
      <c r="W253" s="44" t="n">
        <f aca="false">MIN(100,MAX(T253*(1+INDEX(Response_Table!$E$4:$E$21,MATCH($F253&amp;"|low",Response_Table!$A$4:$A$21,0))*$R253*INDEX(Parameters!$X$4:$AA$4,1,MATCH($E253,Parameters!$X$3:$AA$3,0))),T253*(1+INDEX(Response_Table!$E$4:$E$21,MATCH($F253&amp;"|high",Response_Table!$A$4:$A$21,0))*$R253*INDEX(Parameters!$X$4:$AA$4,1,MATCH($E253,Parameters!$X$3:$AA$3,0))))*(1+Inputs_General!$C$22*Parameters!$F$4))</f>
        <v>82.9700524043896</v>
      </c>
      <c r="X253" s="45" t="n">
        <f aca="false">IF(T253=0,0,U253/T253-1)</f>
        <v>-0.177699793394599</v>
      </c>
      <c r="Y253" s="44" t="n">
        <f aca="false">Parameters!$E$5*IF($N253="V",Parameters!$I$5,IF($N253="F",Parameters!$J$5,Parameters!$K$5))*(1-Parameters!$L$5*$P253)*IF($D253="V1",Parameters!$M$5,IF($D253="V2",Parameters!$N$5,Parameters!$O$5))</f>
        <v>71.7994285714286</v>
      </c>
      <c r="Z253" s="44" t="n">
        <f aca="false">MIN(100,Y253*(1+INDEX(Response_Table!$F$4:$F$21,MATCH($F253&amp;"|mid",Response_Table!$A$4:$A$21,0))*$R253*INDEX(Parameters!$X$5:$AA$5,1,MATCH($E253,Parameters!$X$3:$AA$3,0))))</f>
        <v>32.2866047629118</v>
      </c>
      <c r="AA253" s="44" t="n">
        <f aca="false">MAX(0,MIN(Y253*(1+INDEX(Response_Table!$F$4:$F$21,MATCH($F253&amp;"|low",Response_Table!$A$4:$A$21,0))*$R253*INDEX(Parameters!$X$5:$AA$5,1,MATCH($E253,Parameters!$X$3:$AA$3,0))),Y253*(1+INDEX(Response_Table!$F$4:$F$21,MATCH($F253&amp;"|high",Response_Table!$A$4:$A$21,0))*$R253*INDEX(Parameters!$X$5:$AA$5,1,MATCH($E253,Parameters!$X$3:$AA$3,0))))*(1-Inputs_General!$C$22*Parameters!$F$5))</f>
        <v>19.7887705558097</v>
      </c>
      <c r="AB253" s="44" t="n">
        <f aca="false">MIN(100,MAX(Y253*(1+INDEX(Response_Table!$F$4:$F$21,MATCH($F253&amp;"|low",Response_Table!$A$4:$A$21,0))*$R253*INDEX(Parameters!$X$5:$AA$5,1,MATCH($E253,Parameters!$X$3:$AA$3,0))),Y253*(1+INDEX(Response_Table!$F$4:$F$21,MATCH($F253&amp;"|high",Response_Table!$A$4:$A$21,0))*$R253*INDEX(Parameters!$X$5:$AA$5,1,MATCH($E253,Parameters!$X$3:$AA$3,0))))*(1+Inputs_General!$C$22*Parameters!$F$5))</f>
        <v>54.3749883644048</v>
      </c>
      <c r="AC253" s="45" t="n">
        <f aca="false">IF(Y253=0,0,Z253/Y253-1)</f>
        <v>-0.550322260144565</v>
      </c>
      <c r="AD253" s="44" t="n">
        <f aca="false">Parameters!$E$6*IF($N253="V",Parameters!$I$6,IF($N253="F",Parameters!$J$6,Parameters!$K$6))*(1-Parameters!$L$6*$P253)*IF($D253="V1",Parameters!$M$6,IF($D253="V2",Parameters!$N$6,Parameters!$O$6))</f>
        <v>18.9470714285714</v>
      </c>
      <c r="AE253" s="44" t="n">
        <f aca="false">AD253*(1+INDEX(Response_Table!$G$4:$G$21,MATCH($F253&amp;"|mid",Response_Table!$A$4:$A$21,0))*$R253*INDEX(Parameters!$X$6:$AA$6,1,MATCH($E253,Parameters!$X$3:$AA$3,0)))</f>
        <v>6.25241101976886</v>
      </c>
      <c r="AF253" s="44" t="n">
        <f aca="false">MAX(0,MIN(AD253*(1+INDEX(Response_Table!$G$4:$G$21,MATCH($F253&amp;"|low",Response_Table!$A$4:$A$21,0))*$R253*INDEX(Parameters!$X$6:$AA$6,1,MATCH($E253,Parameters!$X$3:$AA$3,0))),AD253*(1+INDEX(Response_Table!$G$4:$G$21,MATCH($F253&amp;"|high",Response_Table!$A$4:$A$21,0))*$R253*INDEX(Parameters!$X$6:$AA$6,1,MATCH($E253,Parameters!$X$3:$AA$3,0))))*(1-Inputs_General!$C$22*Parameters!$F$6))</f>
        <v>4.05131505550024</v>
      </c>
      <c r="AG253" s="44" t="n">
        <f aca="false">MAX(AD253*(1+INDEX(Response_Table!$G$4:$G$21,MATCH($F253&amp;"|low",Response_Table!$A$4:$A$21,0))*$R253*INDEX(Parameters!$X$6:$AA$6,1,MATCH($E253,Parameters!$X$3:$AA$3,0))),AD253*(1+INDEX(Response_Table!$G$4:$G$21,MATCH($F253&amp;"|high",Response_Table!$A$4:$A$21,0))*$R253*INDEX(Parameters!$X$6:$AA$6,1,MATCH($E253,Parameters!$X$3:$AA$3,0))))*(1+Inputs_General!$C$22*Parameters!$F$6)</f>
        <v>9.93240734609386</v>
      </c>
      <c r="AH253" s="45" t="n">
        <f aca="false">IF(AD253=0,0,AE253/AD253-1)</f>
        <v>-0.670006468105648</v>
      </c>
      <c r="AI253" s="46" t="n">
        <f aca="false">Parameters!$E$7*IF($N253="V",Parameters!$I$7,IF($N253="F",Parameters!$J$7,Parameters!$K$7))*(1-Parameters!$L$7*$P253)*IF($D253="V1",Parameters!$M$7,IF($D253="V2",Parameters!$N$7,Parameters!$O$7))*POWER($Q253/Inputs_General!$C$26,-Inputs_General!$C$25)</f>
        <v>0.411663164578586</v>
      </c>
      <c r="AJ253" s="46" t="n">
        <f aca="false">AI253*(1+INDEX(Response_Table!$H$4:$H$21,MATCH($F253&amp;"|mid",Response_Table!$A$4:$A$21,0))*$R253*INDEX(Parameters!$X$7:$AA$7,1,MATCH($E253,Parameters!$X$3:$AA$3,0)))</f>
        <v>0.211459264993426</v>
      </c>
      <c r="AK253" s="46" t="n">
        <f aca="false">MAX(0,MIN(AI253*(1+INDEX(Response_Table!$H$4:$H$21,MATCH($F253&amp;"|low",Response_Table!$A$4:$A$21,0))*$R253*INDEX(Parameters!$X$7:$AA$7,1,MATCH($E253,Parameters!$X$3:$AA$3,0))),AI253*(1+INDEX(Response_Table!$H$4:$H$21,MATCH($F253&amp;"|high",Response_Table!$A$4:$A$21,0))*$R253*INDEX(Parameters!$X$7:$AA$7,1,MATCH($E253,Parameters!$X$3:$AA$3,0))))*(1-Inputs_General!$C$22*Parameters!$F$7))</f>
        <v>0.128813662278162</v>
      </c>
      <c r="AL253" s="46" t="n">
        <f aca="false">MAX(AI253*(1+INDEX(Response_Table!$H$4:$H$21,MATCH($F253&amp;"|low",Response_Table!$A$4:$A$21,0))*$R253*INDEX(Parameters!$X$7:$AA$7,1,MATCH($E253,Parameters!$X$3:$AA$3,0))),AI253*(1+INDEX(Response_Table!$H$4:$H$21,MATCH($F253&amp;"|high",Response_Table!$A$4:$A$21,0))*$R253*INDEX(Parameters!$X$7:$AA$7,1,MATCH($E253,Parameters!$X$3:$AA$3,0))))*(1+Inputs_General!$C$22*Parameters!$F$7)</f>
        <v>0.326942318178776</v>
      </c>
      <c r="AM253" s="45" t="n">
        <f aca="false">IF(AI253=0,0,AJ253/AI253-1)</f>
        <v>-0.486329399401343</v>
      </c>
      <c r="AN253" s="43" t="n">
        <f aca="false">AI253*$Q253/Inputs_General!$C$13*1000</f>
        <v>4.95374641196979</v>
      </c>
      <c r="AO253" s="43" t="n">
        <f aca="false">AJ253*$Q253/Inputs_General!$C$13*1000*(1+Inputs_General!$C$21*$I253)</f>
        <v>2.78633031464171</v>
      </c>
      <c r="AP253" s="43" t="n">
        <f aca="false">AK253*$Q253/Inputs_General!$C$13*1000*(1+Inputs_General!$C$21*$H253)</f>
        <v>1.65083359387965</v>
      </c>
      <c r="AQ253" s="43" t="n">
        <f aca="false">AL253*$Q253/Inputs_General!$C$13*1000*(1+Inputs_General!$C$21*$J253)</f>
        <v>4.4260408978158</v>
      </c>
      <c r="AR253" s="45" t="n">
        <f aca="false">IF(AN253=0,0,AO253/AN253-1)</f>
        <v>-0.437530692344471</v>
      </c>
      <c r="AS253" s="42" t="n">
        <f aca="false">Parameters!$E$9*IF($N253="V",Parameters!$I$9,IF($N253="F",Parameters!$J$9,Parameters!$K$9))*(1-Parameters!$L$9*$P253)*IF($D253="V1",Parameters!$M$9,IF($D253="V2",Parameters!$N$9,Parameters!$O$9))</f>
        <v>285</v>
      </c>
      <c r="AT253" s="42" t="n">
        <f aca="false">AS253*(1+INDEX(Response_Table!$I$4:$I$21,MATCH($F253&amp;"|mid",Response_Table!$A$4:$A$21,0))*$R253*INDEX(Parameters!$X$9:$AA$9,1,MATCH($E253,Parameters!$X$3:$AA$3,0)))</f>
        <v>358.480147032144</v>
      </c>
      <c r="AU253" s="42" t="n">
        <f aca="false">MAX(0,MIN(AS253*(1+INDEX(Response_Table!$I$4:$I$21,MATCH($F253&amp;"|low",Response_Table!$A$4:$A$21,0))*$R253*INDEX(Parameters!$X$9:$AA$9,1,MATCH($E253,Parameters!$X$3:$AA$3,0))),AS253*(1+INDEX(Response_Table!$I$4:$I$21,MATCH($F253&amp;"|high",Response_Table!$A$4:$A$21,0))*$R253*INDEX(Parameters!$X$9:$AA$9,1,MATCH($E253,Parameters!$X$3:$AA$3,0))))*(1-Inputs_General!$C$22*Parameters!$F$9))</f>
        <v>311.676378308909</v>
      </c>
      <c r="AV253" s="42" t="n">
        <f aca="false">MAX(AS253*(1+INDEX(Response_Table!$I$4:$I$21,MATCH($F253&amp;"|low",Response_Table!$A$4:$A$21,0))*$R253*INDEX(Parameters!$X$9:$AA$9,1,MATCH($E253,Parameters!$X$3:$AA$3,0))),AS253*(1+INDEX(Response_Table!$I$4:$I$21,MATCH($F253&amp;"|high",Response_Table!$A$4:$A$21,0))*$R253*INDEX(Parameters!$X$9:$AA$9,1,MATCH($E253,Parameters!$X$3:$AA$3,0))))*(1+Inputs_General!$C$22*Parameters!$F$9)</f>
        <v>402.477670041161</v>
      </c>
      <c r="AW253" s="45" t="n">
        <f aca="false">IF(AS253=0,0,AT253/AS253-1)</f>
        <v>0.257825077305769</v>
      </c>
      <c r="AX253" s="43" t="n">
        <f aca="false">INDEX(Context!$AB$4:$AB$51,$K253)</f>
        <v>1.40851696565548</v>
      </c>
      <c r="AY253" s="43" t="n">
        <f aca="false">AX253*(1+INDEX(Response_Table!$J$4:$J$21,MATCH($F253&amp;"|mid",Response_Table!$A$4:$A$21,0))*$R253*INDEX(Parameters!$X$10:$AA$10,1,MATCH($E253,Parameters!$X$3:$AA$3,0)))</f>
        <v>0.980943057617082</v>
      </c>
      <c r="AZ253" s="43" t="n">
        <f aca="false">MAX(0,MIN(AX253*(1+INDEX(Response_Table!$J$4:$J$21,MATCH($F253&amp;"|low",Response_Table!$A$4:$A$21,0))*$R253*INDEX(Parameters!$X$10:$AA$10,1,MATCH($E253,Parameters!$X$3:$AA$3,0))),AX253*(1+INDEX(Response_Table!$J$4:$J$21,MATCH($F253&amp;"|high",Response_Table!$A$4:$A$21,0))*$R253*INDEX(Parameters!$X$10:$AA$10,1,MATCH($E253,Parameters!$X$3:$AA$3,0))))*(1-Inputs_General!$C$22*Parameters!$F$10))</f>
        <v>0.731214161097929</v>
      </c>
      <c r="BA253" s="43" t="n">
        <f aca="false">MAX(AX253*(1+INDEX(Response_Table!$J$4:$J$21,MATCH($F253&amp;"|low",Response_Table!$A$4:$A$21,0))*$R253*INDEX(Parameters!$X$10:$AA$10,1,MATCH($E253,Parameters!$X$3:$AA$3,0))),AX253*(1+INDEX(Response_Table!$J$4:$J$21,MATCH($F253&amp;"|high",Response_Table!$A$4:$A$21,0))*$R253*INDEX(Parameters!$X$10:$AA$10,1,MATCH($E253,Parameters!$X$3:$AA$3,0))))*(1+Inputs_General!$C$22*Parameters!$F$10)</f>
        <v>1.28753989206172</v>
      </c>
      <c r="BB253" s="45" t="n">
        <f aca="false">IF(AX253=0,0,AY253/AX253-1)</f>
        <v>-0.303563193390022</v>
      </c>
      <c r="BC253" s="46" t="n">
        <f aca="false">Parameters!$E$11*IF($N253="V",Parameters!$I$11,IF($N253="F",Parameters!$J$11,Parameters!$K$11))*(1-Parameters!$L$11*$P253)*IF($D253="V1",Parameters!$M$11,IF($D253="V2",Parameters!$N$11,Parameters!$O$11))</f>
        <v>1.18584598214286</v>
      </c>
      <c r="BD253" s="46" t="n">
        <f aca="false">BC253*(1+INDEX(Response_Table!$K$4:$K$21,MATCH($F253&amp;"|mid",Response_Table!$A$4:$A$21,0))*$R253*INDEX(Parameters!$X$11:$AA$11,1,MATCH($E253,Parameters!$X$3:$AA$3,0)))</f>
        <v>0.58928910669871</v>
      </c>
      <c r="BE253" s="46" t="n">
        <f aca="false">MAX(0,MIN(BC253*(1+INDEX(Response_Table!$K$4:$K$21,MATCH($F253&amp;"|low",Response_Table!$A$4:$A$21,0))*$R253*INDEX(Parameters!$X$11:$AA$11,1,MATCH($E253,Parameters!$X$3:$AA$3,0))),BC253*(1+INDEX(Response_Table!$K$4:$K$21,MATCH($F253&amp;"|high",Response_Table!$A$4:$A$21,0))*$R253*INDEX(Parameters!$X$11:$AA$11,1,MATCH($E253,Parameters!$X$3:$AA$3,0))))*(1-Inputs_General!$C$22*Parameters!$F$11))</f>
        <v>0.425394908384253</v>
      </c>
      <c r="BF253" s="46" t="n">
        <f aca="false">MAX(BC253*(1+INDEX(Response_Table!$K$4:$K$21,MATCH($F253&amp;"|low",Response_Table!$A$4:$A$21,0))*$R253*INDEX(Parameters!$X$11:$AA$11,1,MATCH($E253,Parameters!$X$3:$AA$3,0))),BC253*(1+INDEX(Response_Table!$K$4:$K$21,MATCH($F253&amp;"|high",Response_Table!$A$4:$A$21,0))*$R253*INDEX(Parameters!$X$11:$AA$11,1,MATCH($E253,Parameters!$X$3:$AA$3,0))))*(1+Inputs_General!$C$22*Parameters!$F$11)</f>
        <v>0.82323724798538</v>
      </c>
      <c r="BG253" s="45" t="n">
        <f aca="false">IF(BC253=0,0,BD253/BC253-1)</f>
        <v>-0.503064381401497</v>
      </c>
      <c r="BH253" s="46" t="n">
        <f aca="false">Parameters!$E$12*IF($N253="V",Parameters!$I$12,IF($N253="F",Parameters!$J$12,Parameters!$K$12))*(1-Parameters!$L$12*$P253)*IF($D253="V1",Parameters!$M$12,IF($D253="V2",Parameters!$N$12,Parameters!$O$12))</f>
        <v>0.426904553571429</v>
      </c>
      <c r="BI253" s="46" t="n">
        <f aca="false">BH253*(1+INDEX(Response_Table!$L$4:$L$21,MATCH($F253&amp;"|mid",Response_Table!$A$4:$A$21,0))*$R253*INDEX(Parameters!$X$12:$AA$12,1,MATCH($E253,Parameters!$X$3:$AA$3,0)))</f>
        <v>0.251229277683659</v>
      </c>
      <c r="BJ253" s="46" t="n">
        <f aca="false">MAX(0,MIN(BH253*(1+INDEX(Response_Table!$L$4:$L$21,MATCH($F253&amp;"|low",Response_Table!$A$4:$A$21,0))*$R253*INDEX(Parameters!$X$12:$AA$12,1,MATCH($E253,Parameters!$X$3:$AA$3,0))),BH253*(1+INDEX(Response_Table!$L$4:$L$21,MATCH($F253&amp;"|high",Response_Table!$A$4:$A$21,0))*$R253*INDEX(Parameters!$X$12:$AA$12,1,MATCH($E253,Parameters!$X$3:$AA$3,0))))*(1-Inputs_General!$C$22*Parameters!$F$12))</f>
        <v>0.181593662663481</v>
      </c>
      <c r="BK253" s="46" t="n">
        <f aca="false">MAX(BH253*(1+INDEX(Response_Table!$L$4:$L$21,MATCH($F253&amp;"|low",Response_Table!$A$4:$A$21,0))*$R253*INDEX(Parameters!$X$12:$AA$12,1,MATCH($E253,Parameters!$X$3:$AA$3,0))),BH253*(1+INDEX(Response_Table!$L$4:$L$21,MATCH($F253&amp;"|high",Response_Table!$A$4:$A$21,0))*$R253*INDEX(Parameters!$X$12:$AA$12,1,MATCH($E253,Parameters!$X$3:$AA$3,0))))*(1+Inputs_General!$C$22*Parameters!$F$12)</f>
        <v>0.343681513697509</v>
      </c>
      <c r="BL253" s="45" t="n">
        <f aca="false">IF(BH253=0,0,BI253/BH253-1)</f>
        <v>-0.411509491801136</v>
      </c>
      <c r="BM253" s="46" t="n">
        <f aca="false">Parameters!$E$13*IF($N253="V",Parameters!$I$13,IF($N253="F",Parameters!$J$13,Parameters!$K$13))*(1-Parameters!$L$13*$P253)*IF($D253="V1",Parameters!$M$13,IF($D253="V2",Parameters!$N$13,Parameters!$O$13))</f>
        <v>0.284801517857143</v>
      </c>
      <c r="BN253" s="46" t="n">
        <f aca="false">BM253*(1+INDEX(Response_Table!$M$4:$M$21,MATCH($F253&amp;"|mid",Response_Table!$A$4:$A$21,0))*$R253*INDEX(Parameters!$X$13:$AA$13,1,MATCH($E253,Parameters!$X$3:$AA$3,0)))</f>
        <v>0.206805482476382</v>
      </c>
      <c r="BO253" s="46" t="n">
        <f aca="false">MAX(0,MIN(BM253*(1+INDEX(Response_Table!$M$4:$M$21,MATCH($F253&amp;"|low",Response_Table!$A$4:$A$21,0))*$R253*INDEX(Parameters!$X$13:$AA$13,1,MATCH($E253,Parameters!$X$3:$AA$3,0))),BM253*(1+INDEX(Response_Table!$M$4:$M$21,MATCH($F253&amp;"|high",Response_Table!$A$4:$A$21,0))*$R253*INDEX(Parameters!$X$13:$AA$13,1,MATCH($E253,Parameters!$X$3:$AA$3,0))))*(1-Inputs_General!$C$22*Parameters!$F$13))</f>
        <v>0.152749919133523</v>
      </c>
      <c r="BP253" s="46" t="n">
        <f aca="false">MAX(BM253*(1+INDEX(Response_Table!$M$4:$M$21,MATCH($F253&amp;"|low",Response_Table!$A$4:$A$21,0))*$R253*INDEX(Parameters!$X$13:$AA$13,1,MATCH($E253,Parameters!$X$3:$AA$3,0))),BM253*(1+INDEX(Response_Table!$M$4:$M$21,MATCH($F253&amp;"|high",Response_Table!$A$4:$A$21,0))*$R253*INDEX(Parameters!$X$13:$AA$13,1,MATCH($E253,Parameters!$X$3:$AA$3,0))))*(1+Inputs_General!$C$22*Parameters!$F$13)</f>
        <v>0.279446882558935</v>
      </c>
      <c r="BQ253" s="45" t="n">
        <f aca="false">IF(BM253=0,0,BN253/BM253-1)</f>
        <v>-0.273861024223485</v>
      </c>
      <c r="BR253" s="44" t="n">
        <f aca="false">Parameters!$E$14*IF($N253="V",Parameters!$I$14,IF($N253="F",Parameters!$J$14,Parameters!$K$14))*(1-Parameters!$L$14*$P253)*IF($D253="V1",Parameters!$M$14,IF($D253="V2",Parameters!$N$14,Parameters!$O$14))*INDEX(Context!$AC$4:$AC$51,$K253)</f>
        <v>18.975</v>
      </c>
      <c r="BS253" s="44" t="n">
        <f aca="false">BR253*(1+INDEX(Response_Table!$N$4:$N$21,MATCH($F253&amp;"|mid",Response_Table!$A$4:$A$21,0))*$R253*INDEX(Parameters!$X$14:$AA$14,1,MATCH($E253,Parameters!$X$3:$AA$3,0)))</f>
        <v>27.4932464802835</v>
      </c>
      <c r="BT253" s="44" t="n">
        <f aca="false">MAX(0,MIN(BR253*(1+INDEX(Response_Table!$N$4:$N$21,MATCH($F253&amp;"|low",Response_Table!$A$4:$A$21,0))*$R253*INDEX(Parameters!$X$14:$AA$14,1,MATCH($E253,Parameters!$X$3:$AA$3,0))),BR253*(1+INDEX(Response_Table!$N$4:$N$21,MATCH($F253&amp;"|high",Response_Table!$A$4:$A$21,0))*$R253*INDEX(Parameters!$X$14:$AA$14,1,MATCH($E253,Parameters!$X$3:$AA$3,0))))*(1-Inputs_General!$C$22*Parameters!$F$14))</f>
        <v>13.0462508987727</v>
      </c>
      <c r="BU253" s="44" t="n">
        <f aca="false">MAX(BR253*(1+INDEX(Response_Table!$N$4:$N$21,MATCH($F253&amp;"|low",Response_Table!$A$4:$A$21,0))*$R253*INDEX(Parameters!$X$14:$AA$14,1,MATCH($E253,Parameters!$X$3:$AA$3,0))),BR253*(1+INDEX(Response_Table!$N$4:$N$21,MATCH($F253&amp;"|high",Response_Table!$A$4:$A$21,0))*$R253*INDEX(Parameters!$X$14:$AA$14,1,MATCH($E253,Parameters!$X$3:$AA$3,0))))*(1+Inputs_General!$C$22*Parameters!$F$14)</f>
        <v>42.8696173177157</v>
      </c>
      <c r="BV253" s="45" t="n">
        <f aca="false">IF(BR253=0,0,BS253/BR253-1)</f>
        <v>0.44891944560124</v>
      </c>
      <c r="BW253" s="43" t="n">
        <f aca="false">Parameters!$E$15*IF($N253="V",Parameters!$I$15,IF($N253="F",Parameters!$J$15,Parameters!$K$15))*(1-Parameters!$L$15*$P253)*IF($D253="V1",Parameters!$M$15,IF($D253="V2",Parameters!$N$15,Parameters!$O$15))</f>
        <v>11.6477537142857</v>
      </c>
      <c r="BX253" s="43" t="n">
        <f aca="false">BW253*(1+INDEX(Response_Table!$O$4:$O$21,MATCH($F253&amp;"|mid",Response_Table!$A$4:$A$21,0))*$R253*INDEX(Parameters!$X$15:$AA$15,1,MATCH($E253,Parameters!$X$3:$AA$3,0)))</f>
        <v>10.3405279293065</v>
      </c>
      <c r="BY253" s="43" t="n">
        <f aca="false">MAX(0,MIN(BW253*(1+INDEX(Response_Table!$O$4:$O$21,MATCH($F253&amp;"|low",Response_Table!$A$4:$A$21,0))*$R253*INDEX(Parameters!$X$15:$AA$15,1,MATCH($E253,Parameters!$X$3:$AA$3,0))),BW253*(1+INDEX(Response_Table!$O$4:$O$21,MATCH($F253&amp;"|high",Response_Table!$A$4:$A$21,0))*$R253*INDEX(Parameters!$X$15:$AA$15,1,MATCH($E253,Parameters!$X$3:$AA$3,0))))*(1-Inputs_General!$C$22*Parameters!$F$15))</f>
        <v>8.15016511052285</v>
      </c>
      <c r="BZ253" s="43" t="n">
        <f aca="false">MAX(BW253*(1+INDEX(Response_Table!$O$4:$O$21,MATCH($F253&amp;"|low",Response_Table!$A$4:$A$21,0))*$R253*INDEX(Parameters!$X$15:$AA$15,1,MATCH($E253,Parameters!$X$3:$AA$3,0))),BW253*(1+INDEX(Response_Table!$O$4:$O$21,MATCH($F253&amp;"|high",Response_Table!$A$4:$A$21,0))*$R253*INDEX(Parameters!$X$15:$AA$15,1,MATCH($E253,Parameters!$X$3:$AA$3,0))))*(1+Inputs_General!$C$22*Parameters!$F$15)</f>
        <v>12.7006726091875</v>
      </c>
      <c r="CA253" s="45" t="n">
        <f aca="false">IF(BW253=0,0,BX253/BW253-1)</f>
        <v>-0.11222986140031</v>
      </c>
      <c r="CB253" s="46" t="n">
        <f aca="false">BD253+BI253</f>
        <v>0.840518384382369</v>
      </c>
      <c r="CC253" s="43" t="n">
        <f aca="false">BD253/BI253</f>
        <v>2.34562274004038</v>
      </c>
      <c r="CD253" s="46" t="n">
        <f aca="false">BN253/CB253</f>
        <v>0.246045162508072</v>
      </c>
      <c r="CE253" s="43" t="n">
        <f aca="false">AE253/AO253</f>
        <v>2.24395901193533</v>
      </c>
      <c r="CF253" s="44" t="n">
        <f aca="false">AE253/AJ253</f>
        <v>29.56792184047</v>
      </c>
      <c r="CG253" s="44" t="n">
        <f aca="false">INDEX(Context!$V$4:$V$51,$K253)</f>
        <v>25.5785714285714</v>
      </c>
      <c r="CH253" s="44" t="n">
        <f aca="false">INDEX(Context!$Y$4:$Y$51,$K253)</f>
        <v>23.620522619794</v>
      </c>
      <c r="CI253" s="44" t="n">
        <f aca="false">INDEX(Context!$Z$4:$Z$51,$K253)</f>
        <v>29.5785714285714</v>
      </c>
      <c r="CJ253" s="43" t="n">
        <f aca="false">INDEX(Context!$AA$4:$AA$51,$K253)</f>
        <v>0.121160714285714</v>
      </c>
      <c r="CK253" s="43" t="n">
        <f aca="false">MAX(0,MIN(1,1-(1-CJ253)*AO253/AN253))</f>
        <v>0.505679875423806</v>
      </c>
      <c r="CL253" s="44" t="n">
        <f aca="false">CH253+CK253*(CI253-CH253)</f>
        <v>26.6333879991855</v>
      </c>
      <c r="CM253" s="44" t="n">
        <f aca="false">CH253+MAX(0,MIN(1,1-(1-CJ253)*AQ253/AN253))*(CI253-CH253)</f>
        <v>24.9001949125023</v>
      </c>
      <c r="CN253" s="44" t="n">
        <f aca="false">CH253+MAX(0,MIN(1,1-(1-CJ253)*AP253/AN253))*(CI253-CH253)</f>
        <v>27.8336211906837</v>
      </c>
      <c r="CO253" s="44" t="n">
        <f aca="false">CL253-CG253</f>
        <v>1.0548165706141</v>
      </c>
      <c r="CP253" s="44" t="n">
        <f aca="false">CL253-(CH253+CJ253*(CI253-CH253))</f>
        <v>2.2909839299709</v>
      </c>
      <c r="CQ253" s="46" t="n">
        <f aca="false">CL253/CG253</f>
        <v>1.04123829094833</v>
      </c>
      <c r="CR253" s="43" t="n">
        <f aca="false">IF(CL253-CH253&lt;=0,"n/a",(CI253-CL253)/(CL253-CH253))</f>
        <v>0.977535687300013</v>
      </c>
      <c r="CS253" s="43" t="n">
        <f aca="false">IF(CI253-CL253&lt;=0,"n/a",(CL253-CH253)/(CI253-CL253))</f>
        <v>1.02298055507522</v>
      </c>
      <c r="CT253" s="43" t="n">
        <f aca="false">Inputs_General!$C$23+Inputs_General!$C$24*$I253</f>
        <v>1.36</v>
      </c>
      <c r="CU253" s="44" t="n">
        <f aca="false">3.29*CT253</f>
        <v>4.4744</v>
      </c>
    </row>
    <row r="254" customFormat="false" ht="15" hidden="false" customHeight="false" outlineLevel="0" collapsed="false">
      <c r="A254" s="9" t="str">
        <f aca="false">B254&amp;"|"&amp;E254&amp;"|"&amp;F254</f>
        <v>D4V2|24/02/2026|Very high</v>
      </c>
      <c r="B254" s="7" t="s">
        <v>353</v>
      </c>
      <c r="C254" s="9" t="s">
        <v>133</v>
      </c>
      <c r="D254" s="9" t="s">
        <v>146</v>
      </c>
      <c r="E254" s="9" t="s">
        <v>160</v>
      </c>
      <c r="F254" s="7" t="s">
        <v>285</v>
      </c>
      <c r="G254" s="9" t="s">
        <v>286</v>
      </c>
      <c r="H254" s="41" t="n">
        <f aca="false">INDEX(Severity_Classes!$C$4:$C$9,MATCH(F254,Severity_Classes!$A$4:$A$9,0))</f>
        <v>0.51</v>
      </c>
      <c r="I254" s="41" t="n">
        <f aca="false">INDEX(Severity_Classes!$D$4:$D$9,MATCH(F254,Severity_Classes!$A$4:$A$9,0))</f>
        <v>0.65</v>
      </c>
      <c r="J254" s="41" t="n">
        <f aca="false">INDEX(Severity_Classes!$E$4:$E$9,MATCH(F254,Severity_Classes!$A$4:$A$9,0))</f>
        <v>0.85</v>
      </c>
      <c r="K254" s="42" t="n">
        <f aca="false">MATCH(B254&amp;"|"&amp;E254,Context!$A$4:$A$51,0)</f>
        <v>42</v>
      </c>
      <c r="L254" s="42" t="n">
        <f aca="false">INDEX(Context!$H$4:$H$51,K254)</f>
        <v>46</v>
      </c>
      <c r="M254" s="42" t="n">
        <f aca="false">INDEX(Context!$I$4:$I$51,K254)</f>
        <v>19</v>
      </c>
      <c r="N254" s="9" t="str">
        <f aca="false">INDEX(Context!$L$4:$L$51,K254)</f>
        <v>V</v>
      </c>
      <c r="O254" s="9" t="str">
        <f aca="false">INDEX(Context!$M$4:$M$51,K254)</f>
        <v>3rd fully expanded leaf from top</v>
      </c>
      <c r="P254" s="43" t="n">
        <f aca="false">INDEX(Context!$R$4:$R$51,K254)</f>
        <v>0.0232142857142859</v>
      </c>
      <c r="Q254" s="43" t="n">
        <f aca="false">INDEX(Context!$U$4:$U$51,K254)</f>
        <v>1.19492600027053</v>
      </c>
      <c r="R254" s="43" t="n">
        <f aca="false">INDEX(Context!$AD$4:$AD$51,K254)</f>
        <v>1.1</v>
      </c>
      <c r="S254" s="9" t="str">
        <f aca="false">INDEX(Context!$AI$4:$AN$51,K254,MATCH(F254,Severity_Classes!$A$4:$A$9,0))</f>
        <v>Possible</v>
      </c>
      <c r="T254" s="44" t="n">
        <f aca="false">Parameters!$E$4*IF($N254="V",Parameters!$I$4,IF($N254="F",Parameters!$J$4,Parameters!$K$4))*(1-Parameters!$L$4*$P254)*IF($D254="V1",Parameters!$M$4,IF($D254="V2",Parameters!$N$4,Parameters!$O$4))</f>
        <v>85.9001785714286</v>
      </c>
      <c r="U254" s="44" t="n">
        <f aca="false">MIN(100,T254*(1+INDEX(Response_Table!$E$4:$E$21,MATCH($F254&amp;"|mid",Response_Table!$A$4:$A$21,0))*$R254*INDEX(Parameters!$X$4:$AA$4,1,MATCH($E254,Parameters!$X$3:$AA$3,0))))</f>
        <v>59.8198398202083</v>
      </c>
      <c r="V254" s="44" t="n">
        <f aca="false">MAX(0,MIN(T254*(1+INDEX(Response_Table!$E$4:$E$21,MATCH($F254&amp;"|low",Response_Table!$A$4:$A$21,0))*$R254*INDEX(Parameters!$X$4:$AA$4,1,MATCH($E254,Parameters!$X$3:$AA$3,0))),T254*(1+INDEX(Response_Table!$E$4:$E$21,MATCH($F254&amp;"|high",Response_Table!$A$4:$A$21,0))*$R254*INDEX(Parameters!$X$4:$AA$4,1,MATCH($E254,Parameters!$X$3:$AA$3,0))))*(1-Inputs_General!$C$22*Parameters!$F$4))</f>
        <v>54.1923047358217</v>
      </c>
      <c r="W254" s="44" t="n">
        <f aca="false">MIN(100,MAX(T254*(1+INDEX(Response_Table!$E$4:$E$21,MATCH($F254&amp;"|low",Response_Table!$A$4:$A$21,0))*$R254*INDEX(Parameters!$X$4:$AA$4,1,MATCH($E254,Parameters!$X$3:$AA$3,0))),T254*(1+INDEX(Response_Table!$E$4:$E$21,MATCH($F254&amp;"|high",Response_Table!$A$4:$A$21,0))*$R254*INDEX(Parameters!$X$4:$AA$4,1,MATCH($E254,Parameters!$X$3:$AA$3,0))))*(1+Inputs_General!$C$22*Parameters!$F$4))</f>
        <v>67.9837116760033</v>
      </c>
      <c r="X254" s="45" t="n">
        <f aca="false">IF(T254=0,0,U254/T254-1)</f>
        <v>-0.30361215989247</v>
      </c>
      <c r="Y254" s="44" t="n">
        <f aca="false">Parameters!$E$5*IF($N254="V",Parameters!$I$5,IF($N254="F",Parameters!$J$5,Parameters!$K$5))*(1-Parameters!$L$5*$P254)*IF($D254="V1",Parameters!$M$5,IF($D254="V2",Parameters!$N$5,Parameters!$O$5))</f>
        <v>71.7994285714286</v>
      </c>
      <c r="Z254" s="44" t="n">
        <f aca="false">MIN(100,Y254*(1+INDEX(Response_Table!$F$4:$F$21,MATCH($F254&amp;"|mid",Response_Table!$A$4:$A$21,0))*$R254*INDEX(Parameters!$X$5:$AA$5,1,MATCH($E254,Parameters!$X$3:$AA$3,0))))</f>
        <v>17.9288575380542</v>
      </c>
      <c r="AA254" s="44" t="n">
        <f aca="false">MAX(0,MIN(Y254*(1+INDEX(Response_Table!$F$4:$F$21,MATCH($F254&amp;"|low",Response_Table!$A$4:$A$21,0))*$R254*INDEX(Parameters!$X$5:$AA$5,1,MATCH($E254,Parameters!$X$3:$AA$3,0))),Y254*(1+INDEX(Response_Table!$F$4:$F$21,MATCH($F254&amp;"|high",Response_Table!$A$4:$A$21,0))*$R254*INDEX(Parameters!$X$5:$AA$5,1,MATCH($E254,Parameters!$X$3:$AA$3,0))))*(1-Inputs_General!$C$22*Parameters!$F$5))</f>
        <v>14.7853538336057</v>
      </c>
      <c r="AB254" s="44" t="n">
        <f aca="false">MIN(100,MAX(Y254*(1+INDEX(Response_Table!$F$4:$F$21,MATCH($F254&amp;"|low",Response_Table!$A$4:$A$21,0))*$R254*INDEX(Parameters!$X$5:$AA$5,1,MATCH($E254,Parameters!$X$3:$AA$3,0))),Y254*(1+INDEX(Response_Table!$F$4:$F$21,MATCH($F254&amp;"|high",Response_Table!$A$4:$A$21,0))*$R254*INDEX(Parameters!$X$5:$AA$5,1,MATCH($E254,Parameters!$X$3:$AA$3,0))))*(1+Inputs_General!$C$22*Parameters!$F$5))</f>
        <v>24.3749492087107</v>
      </c>
      <c r="AC254" s="45" t="n">
        <f aca="false">IF(Y254=0,0,Z254/Y254-1)</f>
        <v>-0.750292475932201</v>
      </c>
      <c r="AD254" s="44" t="n">
        <f aca="false">Parameters!$E$6*IF($N254="V",Parameters!$I$6,IF($N254="F",Parameters!$J$6,Parameters!$K$6))*(1-Parameters!$L$6*$P254)*IF($D254="V1",Parameters!$M$6,IF($D254="V2",Parameters!$N$6,Parameters!$O$6))</f>
        <v>18.9470714285714</v>
      </c>
      <c r="AE254" s="44" t="n">
        <f aca="false">AD254*(1+INDEX(Response_Table!$G$4:$G$21,MATCH($F254&amp;"|mid",Response_Table!$A$4:$A$21,0))*$R254*INDEX(Parameters!$X$6:$AA$6,1,MATCH($E254,Parameters!$X$3:$AA$3,0)))</f>
        <v>4.21092461538482</v>
      </c>
      <c r="AF254" s="44" t="n">
        <f aca="false">MAX(0,MIN(AD254*(1+INDEX(Response_Table!$G$4:$G$21,MATCH($F254&amp;"|low",Response_Table!$A$4:$A$21,0))*$R254*INDEX(Parameters!$X$6:$AA$6,1,MATCH($E254,Parameters!$X$3:$AA$3,0))),AD254*(1+INDEX(Response_Table!$G$4:$G$21,MATCH($F254&amp;"|high",Response_Table!$A$4:$A$21,0))*$R254*INDEX(Parameters!$X$6:$AA$6,1,MATCH($E254,Parameters!$X$3:$AA$3,0))))*(1-Inputs_General!$C$22*Parameters!$F$6))</f>
        <v>2.95922297370269</v>
      </c>
      <c r="AG254" s="44" t="n">
        <f aca="false">MAX(AD254*(1+INDEX(Response_Table!$G$4:$G$21,MATCH($F254&amp;"|low",Response_Table!$A$4:$A$21,0))*$R254*INDEX(Parameters!$X$6:$AA$6,1,MATCH($E254,Parameters!$X$3:$AA$3,0))),AD254*(1+INDEX(Response_Table!$G$4:$G$21,MATCH($F254&amp;"|high",Response_Table!$A$4:$A$21,0))*$R254*INDEX(Parameters!$X$6:$AA$6,1,MATCH($E254,Parameters!$X$3:$AA$3,0))))*(1+Inputs_General!$C$22*Parameters!$F$6)</f>
        <v>5.95488917181569</v>
      </c>
      <c r="AH254" s="45" t="n">
        <f aca="false">IF(AD254=0,0,AE254/AD254-1)</f>
        <v>-0.77775327278099</v>
      </c>
      <c r="AI254" s="46" t="n">
        <f aca="false">Parameters!$E$7*IF($N254="V",Parameters!$I$7,IF($N254="F",Parameters!$J$7,Parameters!$K$7))*(1-Parameters!$L$7*$P254)*IF($D254="V1",Parameters!$M$7,IF($D254="V2",Parameters!$N$7,Parameters!$O$7))*POWER($Q254/Inputs_General!$C$26,-Inputs_General!$C$25)</f>
        <v>0.411663164578586</v>
      </c>
      <c r="AJ254" s="46" t="n">
        <f aca="false">AI254*(1+INDEX(Response_Table!$H$4:$H$21,MATCH($F254&amp;"|mid",Response_Table!$A$4:$A$21,0))*$R254*INDEX(Parameters!$X$7:$AA$7,1,MATCH($E254,Parameters!$X$3:$AA$3,0)))</f>
        <v>0.159200833005848</v>
      </c>
      <c r="AK254" s="46" t="n">
        <f aca="false">MAX(0,MIN(AI254*(1+INDEX(Response_Table!$H$4:$H$21,MATCH($F254&amp;"|low",Response_Table!$A$4:$A$21,0))*$R254*INDEX(Parameters!$X$7:$AA$7,1,MATCH($E254,Parameters!$X$3:$AA$3,0))),AI254*(1+INDEX(Response_Table!$H$4:$H$21,MATCH($F254&amp;"|high",Response_Table!$A$4:$A$21,0))*$R254*INDEX(Parameters!$X$7:$AA$7,1,MATCH($E254,Parameters!$X$3:$AA$3,0))))*(1-Inputs_General!$C$22*Parameters!$F$7))</f>
        <v>0.098761741194064</v>
      </c>
      <c r="AL254" s="46" t="n">
        <f aca="false">MAX(AI254*(1+INDEX(Response_Table!$H$4:$H$21,MATCH($F254&amp;"|low",Response_Table!$A$4:$A$21,0))*$R254*INDEX(Parameters!$X$7:$AA$7,1,MATCH($E254,Parameters!$X$3:$AA$3,0))),AI254*(1+INDEX(Response_Table!$H$4:$H$21,MATCH($F254&amp;"|high",Response_Table!$A$4:$A$21,0))*$R254*INDEX(Parameters!$X$7:$AA$7,1,MATCH($E254,Parameters!$X$3:$AA$3,0))))*(1+Inputs_General!$C$22*Parameters!$F$7)</f>
        <v>0.234670477762427</v>
      </c>
      <c r="AM254" s="45" t="n">
        <f aca="false">IF(AI254=0,0,AJ254/AI254-1)</f>
        <v>-0.613274038815643</v>
      </c>
      <c r="AN254" s="43" t="n">
        <f aca="false">AI254*$Q254/Inputs_General!$C$13*1000</f>
        <v>4.95374641196979</v>
      </c>
      <c r="AO254" s="43" t="n">
        <f aca="false">AJ254*$Q254/Inputs_General!$C$13*1000*(1+Inputs_General!$C$21*$I254)</f>
        <v>2.22705047331037</v>
      </c>
      <c r="AP254" s="43" t="n">
        <f aca="false">AK254*$Q254/Inputs_General!$C$13*1000*(1+Inputs_General!$C$21*$H254)</f>
        <v>1.33997609631254</v>
      </c>
      <c r="AQ254" s="43" t="n">
        <f aca="false">AL254*$Q254/Inputs_General!$C$13*1000*(1+Inputs_General!$C$21*$J254)</f>
        <v>3.42398589769644</v>
      </c>
      <c r="AR254" s="45" t="n">
        <f aca="false">IF(AN254=0,0,AO254/AN254-1)</f>
        <v>-0.550431070123185</v>
      </c>
      <c r="AS254" s="42" t="n">
        <f aca="false">Parameters!$E$9*IF($N254="V",Parameters!$I$9,IF($N254="F",Parameters!$J$9,Parameters!$K$9))*(1-Parameters!$L$9*$P254)*IF($D254="V1",Parameters!$M$9,IF($D254="V2",Parameters!$N$9,Parameters!$O$9))</f>
        <v>285</v>
      </c>
      <c r="AT254" s="42" t="n">
        <f aca="false">AS254*(1+INDEX(Response_Table!$I$4:$I$21,MATCH($F254&amp;"|mid",Response_Table!$A$4:$A$21,0))*$R254*INDEX(Parameters!$X$9:$AA$9,1,MATCH($E254,Parameters!$X$3:$AA$3,0)))</f>
        <v>372.064569968942</v>
      </c>
      <c r="AU254" s="42" t="n">
        <f aca="false">MAX(0,MIN(AS254*(1+INDEX(Response_Table!$I$4:$I$21,MATCH($F254&amp;"|low",Response_Table!$A$4:$A$21,0))*$R254*INDEX(Parameters!$X$9:$AA$9,1,MATCH($E254,Parameters!$X$3:$AA$3,0))),AS254*(1+INDEX(Response_Table!$I$4:$I$21,MATCH($F254&amp;"|high",Response_Table!$A$4:$A$21,0))*$R254*INDEX(Parameters!$X$9:$AA$9,1,MATCH($E254,Parameters!$X$3:$AA$3,0))))*(1-Inputs_General!$C$22*Parameters!$F$9))</f>
        <v>330.61558680736</v>
      </c>
      <c r="AV254" s="42" t="n">
        <f aca="false">MAX(AS254*(1+INDEX(Response_Table!$I$4:$I$21,MATCH($F254&amp;"|low",Response_Table!$A$4:$A$21,0))*$R254*INDEX(Parameters!$X$9:$AA$9,1,MATCH($E254,Parameters!$X$3:$AA$3,0))),AS254*(1+INDEX(Response_Table!$I$4:$I$21,MATCH($F254&amp;"|high",Response_Table!$A$4:$A$21,0))*$R254*INDEX(Parameters!$X$9:$AA$9,1,MATCH($E254,Parameters!$X$3:$AA$3,0))))*(1+Inputs_General!$C$22*Parameters!$F$9)</f>
        <v>413.013683739106</v>
      </c>
      <c r="AW254" s="45" t="n">
        <f aca="false">IF(AS254=0,0,AT254/AS254-1)</f>
        <v>0.30548971918927</v>
      </c>
      <c r="AX254" s="43" t="n">
        <f aca="false">INDEX(Context!$AB$4:$AB$51,$K254)</f>
        <v>1.40851696565548</v>
      </c>
      <c r="AY254" s="43" t="n">
        <f aca="false">AX254*(1+INDEX(Response_Table!$J$4:$J$21,MATCH($F254&amp;"|mid",Response_Table!$A$4:$A$21,0))*$R254*INDEX(Parameters!$X$10:$AA$10,1,MATCH($E254,Parameters!$X$3:$AA$3,0)))</f>
        <v>0.848591018110091</v>
      </c>
      <c r="AZ254" s="43" t="n">
        <f aca="false">MAX(0,MIN(AX254*(1+INDEX(Response_Table!$J$4:$J$21,MATCH($F254&amp;"|low",Response_Table!$A$4:$A$21,0))*$R254*INDEX(Parameters!$X$10:$AA$10,1,MATCH($E254,Parameters!$X$3:$AA$3,0))),AX254*(1+INDEX(Response_Table!$J$4:$J$21,MATCH($F254&amp;"|high",Response_Table!$A$4:$A$21,0))*$R254*INDEX(Parameters!$X$10:$AA$10,1,MATCH($E254,Parameters!$X$3:$AA$3,0))))*(1-Inputs_General!$C$22*Parameters!$F$10))</f>
        <v>0.637723191744353</v>
      </c>
      <c r="BA254" s="43" t="n">
        <f aca="false">MAX(AX254*(1+INDEX(Response_Table!$J$4:$J$21,MATCH($F254&amp;"|low",Response_Table!$A$4:$A$21,0))*$R254*INDEX(Parameters!$X$10:$AA$10,1,MATCH($E254,Parameters!$X$3:$AA$3,0))),AX254*(1+INDEX(Response_Table!$J$4:$J$21,MATCH($F254&amp;"|high",Response_Table!$A$4:$A$21,0))*$R254*INDEX(Parameters!$X$10:$AA$10,1,MATCH($E254,Parameters!$X$3:$AA$3,0))))*(1+Inputs_General!$C$22*Parameters!$F$10)</f>
        <v>1.0849938128812</v>
      </c>
      <c r="BB254" s="45" t="n">
        <f aca="false">IF(AX254=0,0,AY254/AX254-1)</f>
        <v>-0.397528720773924</v>
      </c>
      <c r="BC254" s="46" t="n">
        <f aca="false">Parameters!$E$11*IF($N254="V",Parameters!$I$11,IF($N254="F",Parameters!$J$11,Parameters!$K$11))*(1-Parameters!$L$11*$P254)*IF($D254="V1",Parameters!$M$11,IF($D254="V2",Parameters!$N$11,Parameters!$O$11))</f>
        <v>1.18584598214286</v>
      </c>
      <c r="BD254" s="46" t="n">
        <f aca="false">BC254*(1+INDEX(Response_Table!$K$4:$K$21,MATCH($F254&amp;"|mid",Response_Table!$A$4:$A$21,0))*$R254*INDEX(Parameters!$X$11:$AA$11,1,MATCH($E254,Parameters!$X$3:$AA$3,0)))</f>
        <v>0.443891917892234</v>
      </c>
      <c r="BE254" s="46" t="n">
        <f aca="false">MAX(0,MIN(BC254*(1+INDEX(Response_Table!$K$4:$K$21,MATCH($F254&amp;"|low",Response_Table!$A$4:$A$21,0))*$R254*INDEX(Parameters!$X$11:$AA$11,1,MATCH($E254,Parameters!$X$3:$AA$3,0))),BC254*(1+INDEX(Response_Table!$K$4:$K$21,MATCH($F254&amp;"|high",Response_Table!$A$4:$A$21,0))*$R254*INDEX(Parameters!$X$11:$AA$11,1,MATCH($E254,Parameters!$X$3:$AA$3,0))))*(1-Inputs_General!$C$22*Parameters!$F$11))</f>
        <v>0.329036596303206</v>
      </c>
      <c r="BF254" s="46" t="n">
        <f aca="false">MAX(BC254*(1+INDEX(Response_Table!$K$4:$K$21,MATCH($F254&amp;"|low",Response_Table!$A$4:$A$21,0))*$R254*INDEX(Parameters!$X$11:$AA$11,1,MATCH($E254,Parameters!$X$3:$AA$3,0))),BC254*(1+INDEX(Response_Table!$K$4:$K$21,MATCH($F254&amp;"|high",Response_Table!$A$4:$A$21,0))*$R254*INDEX(Parameters!$X$11:$AA$11,1,MATCH($E254,Parameters!$X$3:$AA$3,0))))*(1+Inputs_General!$C$22*Parameters!$F$11)</f>
        <v>0.586627274810826</v>
      </c>
      <c r="BG254" s="45" t="n">
        <f aca="false">IF(BC254=0,0,BD254/BC254-1)</f>
        <v>-0.625674898278014</v>
      </c>
      <c r="BH254" s="46" t="n">
        <f aca="false">Parameters!$E$12*IF($N254="V",Parameters!$I$12,IF($N254="F",Parameters!$J$12,Parameters!$K$12))*(1-Parameters!$L$12*$P254)*IF($D254="V1",Parameters!$M$12,IF($D254="V2",Parameters!$N$12,Parameters!$O$12))</f>
        <v>0.426904553571429</v>
      </c>
      <c r="BI254" s="46" t="n">
        <f aca="false">BH254*(1+INDEX(Response_Table!$L$4:$L$21,MATCH($F254&amp;"|mid",Response_Table!$A$4:$A$21,0))*$R254*INDEX(Parameters!$X$12:$AA$12,1,MATCH($E254,Parameters!$X$3:$AA$3,0)))</f>
        <v>0.205373455315049</v>
      </c>
      <c r="BJ254" s="46" t="n">
        <f aca="false">MAX(0,MIN(BH254*(1+INDEX(Response_Table!$L$4:$L$21,MATCH($F254&amp;"|low",Response_Table!$A$4:$A$21,0))*$R254*INDEX(Parameters!$X$12:$AA$12,1,MATCH($E254,Parameters!$X$3:$AA$3,0))),BH254*(1+INDEX(Response_Table!$L$4:$L$21,MATCH($F254&amp;"|high",Response_Table!$A$4:$A$21,0))*$R254*INDEX(Parameters!$X$12:$AA$12,1,MATCH($E254,Parameters!$X$3:$AA$3,0))))*(1-Inputs_General!$C$22*Parameters!$F$12))</f>
        <v>0.151526078055715</v>
      </c>
      <c r="BK254" s="46" t="n">
        <f aca="false">MAX(BH254*(1+INDEX(Response_Table!$L$4:$L$21,MATCH($F254&amp;"|low",Response_Table!$A$4:$A$21,0))*$R254*INDEX(Parameters!$X$12:$AA$12,1,MATCH($E254,Parameters!$X$3:$AA$3,0))),BH254*(1+INDEX(Response_Table!$L$4:$L$21,MATCH($F254&amp;"|high",Response_Table!$A$4:$A$21,0))*$R254*INDEX(Parameters!$X$12:$AA$12,1,MATCH($E254,Parameters!$X$3:$AA$3,0))))*(1+Inputs_General!$C$22*Parameters!$F$12)</f>
        <v>0.268880404491769</v>
      </c>
      <c r="BL254" s="45" t="n">
        <f aca="false">IF(BH254=0,0,BI254/BH254-1)</f>
        <v>-0.518924186690159</v>
      </c>
      <c r="BM254" s="46" t="n">
        <f aca="false">Parameters!$E$13*IF($N254="V",Parameters!$I$13,IF($N254="F",Parameters!$J$13,Parameters!$K$13))*(1-Parameters!$L$13*$P254)*IF($D254="V1",Parameters!$M$13,IF($D254="V2",Parameters!$N$13,Parameters!$O$13))</f>
        <v>0.284801517857143</v>
      </c>
      <c r="BN254" s="46" t="n">
        <f aca="false">BM254*(1+INDEX(Response_Table!$M$4:$M$21,MATCH($F254&amp;"|mid",Response_Table!$A$4:$A$21,0))*$R254*INDEX(Parameters!$X$13:$AA$13,1,MATCH($E254,Parameters!$X$3:$AA$3,0)))</f>
        <v>0.178149795354203</v>
      </c>
      <c r="BO254" s="46" t="n">
        <f aca="false">MAX(0,MIN(BM254*(1+INDEX(Response_Table!$M$4:$M$21,MATCH($F254&amp;"|low",Response_Table!$A$4:$A$21,0))*$R254*INDEX(Parameters!$X$13:$AA$13,1,MATCH($E254,Parameters!$X$3:$AA$3,0))),BM254*(1+INDEX(Response_Table!$M$4:$M$21,MATCH($F254&amp;"|high",Response_Table!$A$4:$A$21,0))*$R254*INDEX(Parameters!$X$13:$AA$13,1,MATCH($E254,Parameters!$X$3:$AA$3,0))))*(1-Inputs_General!$C$22*Parameters!$F$13))</f>
        <v>0.135977095870644</v>
      </c>
      <c r="BP254" s="46" t="n">
        <f aca="false">MAX(BM254*(1+INDEX(Response_Table!$M$4:$M$21,MATCH($F254&amp;"|low",Response_Table!$A$4:$A$21,0))*$R254*INDEX(Parameters!$X$13:$AA$13,1,MATCH($E254,Parameters!$X$3:$AA$3,0))),BM254*(1+INDEX(Response_Table!$M$4:$M$21,MATCH($F254&amp;"|high",Response_Table!$A$4:$A$21,0))*$R254*INDEX(Parameters!$X$13:$AA$13,1,MATCH($E254,Parameters!$X$3:$AA$3,0))))*(1+Inputs_General!$C$22*Parameters!$F$13)</f>
        <v>0.226633561214889</v>
      </c>
      <c r="BQ254" s="45" t="n">
        <f aca="false">IF(BM254=0,0,BN254/BM254-1)</f>
        <v>-0.374477366923432</v>
      </c>
      <c r="BR254" s="44" t="n">
        <f aca="false">Parameters!$E$14*IF($N254="V",Parameters!$I$14,IF($N254="F",Parameters!$J$14,Parameters!$K$14))*(1-Parameters!$L$14*$P254)*IF($D254="V1",Parameters!$M$14,IF($D254="V2",Parameters!$N$14,Parameters!$O$14))*INDEX(Context!$AC$4:$AC$51,$K254)</f>
        <v>18.975</v>
      </c>
      <c r="BS254" s="44" t="n">
        <f aca="false">BR254*(1+INDEX(Response_Table!$N$4:$N$21,MATCH($F254&amp;"|mid",Response_Table!$A$4:$A$21,0))*$R254*INDEX(Parameters!$X$14:$AA$14,1,MATCH($E254,Parameters!$X$3:$AA$3,0)))</f>
        <v>29.7167306644863</v>
      </c>
      <c r="BT254" s="44" t="n">
        <f aca="false">MAX(0,MIN(BR254*(1+INDEX(Response_Table!$N$4:$N$21,MATCH($F254&amp;"|low",Response_Table!$A$4:$A$21,0))*$R254*INDEX(Parameters!$X$14:$AA$14,1,MATCH($E254,Parameters!$X$3:$AA$3,0))),BR254*(1+INDEX(Response_Table!$N$4:$N$21,MATCH($F254&amp;"|high",Response_Table!$A$4:$A$21,0))*$R254*INDEX(Parameters!$X$14:$AA$14,1,MATCH($E254,Parameters!$X$3:$AA$3,0))))*(1-Inputs_General!$C$22*Parameters!$F$14))</f>
        <v>14.5804714363914</v>
      </c>
      <c r="BU254" s="44" t="n">
        <f aca="false">MAX(BR254*(1+INDEX(Response_Table!$N$4:$N$21,MATCH($F254&amp;"|low",Response_Table!$A$4:$A$21,0))*$R254*INDEX(Parameters!$X$14:$AA$14,1,MATCH($E254,Parameters!$X$3:$AA$3,0))),BR254*(1+INDEX(Response_Table!$N$4:$N$21,MATCH($F254&amp;"|high",Response_Table!$A$4:$A$21,0))*$R254*INDEX(Parameters!$X$14:$AA$14,1,MATCH($E254,Parameters!$X$3:$AA$3,0))))*(1+Inputs_General!$C$22*Parameters!$F$14)</f>
        <v>45.5825821960889</v>
      </c>
      <c r="BV254" s="45" t="n">
        <f aca="false">IF(BR254=0,0,BS254/BR254-1)</f>
        <v>0.566099112752901</v>
      </c>
      <c r="BW254" s="43" t="n">
        <f aca="false">Parameters!$E$15*IF($N254="V",Parameters!$I$15,IF($N254="F",Parameters!$J$15,Parameters!$K$15))*(1-Parameters!$L$15*$P254)*IF($D254="V1",Parameters!$M$15,IF($D254="V2",Parameters!$N$15,Parameters!$O$15))</f>
        <v>11.6477537142857</v>
      </c>
      <c r="BX254" s="43" t="n">
        <f aca="false">BW254*(1+INDEX(Response_Table!$O$4:$O$21,MATCH($F254&amp;"|mid",Response_Table!$A$4:$A$21,0))*$R254*INDEX(Parameters!$X$15:$AA$15,1,MATCH($E254,Parameters!$X$3:$AA$3,0)))</f>
        <v>9.99930795348035</v>
      </c>
      <c r="BY254" s="43" t="n">
        <f aca="false">MAX(0,MIN(BW254*(1+INDEX(Response_Table!$O$4:$O$21,MATCH($F254&amp;"|low",Response_Table!$A$4:$A$21,0))*$R254*INDEX(Parameters!$X$15:$AA$15,1,MATCH($E254,Parameters!$X$3:$AA$3,0))),BW254*(1+INDEX(Response_Table!$O$4:$O$21,MATCH($F254&amp;"|high",Response_Table!$A$4:$A$21,0))*$R254*INDEX(Parameters!$X$15:$AA$15,1,MATCH($E254,Parameters!$X$3:$AA$3,0))))*(1-Inputs_General!$C$22*Parameters!$F$15))</f>
        <v>7.92642775367118</v>
      </c>
      <c r="BZ254" s="43" t="n">
        <f aca="false">MAX(BW254*(1+INDEX(Response_Table!$O$4:$O$21,MATCH($F254&amp;"|low",Response_Table!$A$4:$A$21,0))*$R254*INDEX(Parameters!$X$15:$AA$15,1,MATCH($E254,Parameters!$X$3:$AA$3,0))),BW254*(1+INDEX(Response_Table!$O$4:$O$21,MATCH($F254&amp;"|high",Response_Table!$A$4:$A$21,0))*$R254*INDEX(Parameters!$X$15:$AA$15,1,MATCH($E254,Parameters!$X$3:$AA$3,0))))*(1+Inputs_General!$C$22*Parameters!$F$15)</f>
        <v>12.1440664606863</v>
      </c>
      <c r="CA254" s="45" t="n">
        <f aca="false">IF(BW254=0,0,BX254/BW254-1)</f>
        <v>-0.141524778188225</v>
      </c>
      <c r="CB254" s="46" t="n">
        <f aca="false">BD254+BI254</f>
        <v>0.649265373207283</v>
      </c>
      <c r="CC254" s="43" t="n">
        <f aca="false">BD254/BI254</f>
        <v>2.16138895463043</v>
      </c>
      <c r="CD254" s="46" t="n">
        <f aca="false">BN254/CB254</f>
        <v>0.274386718752869</v>
      </c>
      <c r="CE254" s="43" t="n">
        <f aca="false">AE254/AO254</f>
        <v>1.8908078940508</v>
      </c>
      <c r="CF254" s="44" t="n">
        <f aca="false">AE254/AJ254</f>
        <v>26.450393103346</v>
      </c>
      <c r="CG254" s="44" t="n">
        <f aca="false">INDEX(Context!$V$4:$V$51,$K254)</f>
        <v>25.5785714285714</v>
      </c>
      <c r="CH254" s="44" t="n">
        <f aca="false">INDEX(Context!$Y$4:$Y$51,$K254)</f>
        <v>23.620522619794</v>
      </c>
      <c r="CI254" s="44" t="n">
        <f aca="false">INDEX(Context!$Z$4:$Z$51,$K254)</f>
        <v>29.5785714285714</v>
      </c>
      <c r="CJ254" s="43" t="n">
        <f aca="false">INDEX(Context!$AA$4:$AA$51,$K254)</f>
        <v>0.121160714285714</v>
      </c>
      <c r="CK254" s="43" t="n">
        <f aca="false">MAX(0,MIN(1,1-(1-CJ254)*AO254/AN254))</f>
        <v>0.604901162787724</v>
      </c>
      <c r="CL254" s="44" t="n">
        <f aca="false">CH254+CK254*(CI254-CH254)</f>
        <v>27.2245532721695</v>
      </c>
      <c r="CM254" s="44" t="n">
        <f aca="false">CH254+MAX(0,MIN(1,1-(1-CJ254)*AQ254/AN254))*(CI254-CH254)</f>
        <v>25.9593786590152</v>
      </c>
      <c r="CN254" s="44" t="n">
        <f aca="false">CH254+MAX(0,MIN(1,1-(1-CJ254)*AP254/AN254))*(CI254-CH254)</f>
        <v>28.1622011676965</v>
      </c>
      <c r="CO254" s="44" t="n">
        <f aca="false">CL254-CG254</f>
        <v>1.64598184359805</v>
      </c>
      <c r="CP254" s="44" t="n">
        <f aca="false">CL254-(CH254+CJ254*(CI254-CH254))</f>
        <v>2.88214920295486</v>
      </c>
      <c r="CQ254" s="46" t="n">
        <f aca="false">CL254/CG254</f>
        <v>1.06435003018814</v>
      </c>
      <c r="CR254" s="43" t="n">
        <f aca="false">IF(CL254-CH254&lt;=0,"n/a",(CI254-CL254)/(CL254-CH254))</f>
        <v>0.653162634688019</v>
      </c>
      <c r="CS254" s="43" t="n">
        <f aca="false">IF(CI254-CL254&lt;=0,"n/a",(CL254-CH254)/(CI254-CL254))</f>
        <v>1.53101225773218</v>
      </c>
      <c r="CT254" s="43" t="n">
        <f aca="false">Inputs_General!$C$23+Inputs_General!$C$24*$I254</f>
        <v>1.9</v>
      </c>
      <c r="CU254" s="44" t="n">
        <f aca="false">3.29*CT254</f>
        <v>6.251</v>
      </c>
    </row>
    <row r="255" customFormat="false" ht="15" hidden="false" customHeight="false" outlineLevel="0" collapsed="false">
      <c r="A255" s="33" t="str">
        <f aca="false">B255&amp;"|"&amp;E255&amp;"|"&amp;F255</f>
        <v>D4V2|03/03/2026|Healthy</v>
      </c>
      <c r="B255" s="34" t="s">
        <v>353</v>
      </c>
      <c r="C255" s="33" t="s">
        <v>133</v>
      </c>
      <c r="D255" s="33" t="s">
        <v>146</v>
      </c>
      <c r="E255" s="33" t="s">
        <v>162</v>
      </c>
      <c r="F255" s="34" t="s">
        <v>275</v>
      </c>
      <c r="G255" s="33" t="s">
        <v>276</v>
      </c>
      <c r="H255" s="35" t="n">
        <f aca="false">INDEX(Severity_Classes!$C$4:$C$9,MATCH(F255,Severity_Classes!$A$4:$A$9,0))</f>
        <v>0</v>
      </c>
      <c r="I255" s="35" t="n">
        <f aca="false">INDEX(Severity_Classes!$D$4:$D$9,MATCH(F255,Severity_Classes!$A$4:$A$9,0))</f>
        <v>0</v>
      </c>
      <c r="J255" s="35" t="n">
        <f aca="false">INDEX(Severity_Classes!$E$4:$E$9,MATCH(F255,Severity_Classes!$A$4:$A$9,0))</f>
        <v>0</v>
      </c>
      <c r="K255" s="36" t="n">
        <f aca="false">MATCH(B255&amp;"|"&amp;E255,Context!$A$4:$A$51,0)</f>
        <v>43</v>
      </c>
      <c r="L255" s="36" t="n">
        <f aca="false">INDEX(Context!$H$4:$H$51,K255)</f>
        <v>53</v>
      </c>
      <c r="M255" s="36" t="n">
        <f aca="false">INDEX(Context!$I$4:$I$51,K255)</f>
        <v>26</v>
      </c>
      <c r="N255" s="33" t="str">
        <f aca="false">INDEX(Context!$L$4:$L$51,K255)</f>
        <v>F</v>
      </c>
      <c r="O255" s="33" t="str">
        <f aca="false">INDEX(Context!$M$4:$M$51,K255)</f>
        <v>5th fully expanded leaf from top</v>
      </c>
      <c r="P255" s="37" t="n">
        <f aca="false">INDEX(Context!$R$4:$R$51,K255)</f>
        <v>0.433928571428571</v>
      </c>
      <c r="Q255" s="37" t="n">
        <f aca="false">INDEX(Context!$U$4:$U$51,K255)</f>
        <v>1.73951545534029</v>
      </c>
      <c r="R255" s="37" t="n">
        <f aca="false">INDEX(Context!$AD$4:$AD$51,K255)</f>
        <v>1.1</v>
      </c>
      <c r="S255" s="33" t="str">
        <f aca="false">INDEX(Context!$AI$4:$AN$51,K255,MATCH(F255,Severity_Classes!$A$4:$A$9,0))</f>
        <v>Reference: healthy (uninoculated) control plot</v>
      </c>
      <c r="T255" s="38" t="n">
        <f aca="false">Parameters!$E$4*IF($N255="V",Parameters!$I$4,IF($N255="F",Parameters!$J$4,Parameters!$K$4))*(1-Parameters!$L$4*$P255)*IF($D255="V1",Parameters!$M$4,IF($D255="V2",Parameters!$N$4,Parameters!$O$4))</f>
        <v>83.2927660714286</v>
      </c>
      <c r="U255" s="38" t="n">
        <f aca="false">MIN(100,T255*(1+INDEX(Response_Table!$E$4:$E$21,MATCH($F255&amp;"|mid",Response_Table!$A$4:$A$21,0))*$R255*INDEX(Parameters!$X$4:$AA$4,1,MATCH($E255,Parameters!$X$3:$AA$3,0))))</f>
        <v>83.2927660714286</v>
      </c>
      <c r="V255" s="38" t="n">
        <f aca="false">MAX(0,MIN(T255*(1+INDEX(Response_Table!$E$4:$E$21,MATCH($F255&amp;"|low",Response_Table!$A$4:$A$21,0))*$R255*INDEX(Parameters!$X$4:$AA$4,1,MATCH($E255,Parameters!$X$3:$AA$3,0))),T255*(1+INDEX(Response_Table!$E$4:$E$21,MATCH($F255&amp;"|high",Response_Table!$A$4:$A$21,0))*$R255*INDEX(Parameters!$X$4:$AA$4,1,MATCH($E255,Parameters!$X$3:$AA$3,0))))*(1-Inputs_General!$C$22*Parameters!$F$4))</f>
        <v>77.8121020639286</v>
      </c>
      <c r="W255" s="38" t="n">
        <f aca="false">MIN(100,MAX(T255*(1+INDEX(Response_Table!$E$4:$E$21,MATCH($F255&amp;"|low",Response_Table!$A$4:$A$21,0))*$R255*INDEX(Parameters!$X$4:$AA$4,1,MATCH($E255,Parameters!$X$3:$AA$3,0))),T255*(1+INDEX(Response_Table!$E$4:$E$21,MATCH($F255&amp;"|high",Response_Table!$A$4:$A$21,0))*$R255*INDEX(Parameters!$X$4:$AA$4,1,MATCH($E255,Parameters!$X$3:$AA$3,0))))*(1+Inputs_General!$C$22*Parameters!$F$4))</f>
        <v>88.7734300789286</v>
      </c>
      <c r="X255" s="39" t="n">
        <f aca="false">IF(T255=0,0,U255/T255-1)</f>
        <v>0</v>
      </c>
      <c r="Y255" s="38" t="n">
        <f aca="false">Parameters!$E$5*IF($N255="V",Parameters!$I$5,IF($N255="F",Parameters!$J$5,Parameters!$K$5))*(1-Parameters!$L$5*$P255)*IF($D255="V1",Parameters!$M$5,IF($D255="V2",Parameters!$N$5,Parameters!$O$5))</f>
        <v>66.88584</v>
      </c>
      <c r="Z255" s="38" t="n">
        <f aca="false">MIN(100,Y255*(1+INDEX(Response_Table!$F$4:$F$21,MATCH($F255&amp;"|mid",Response_Table!$A$4:$A$21,0))*$R255*INDEX(Parameters!$X$5:$AA$5,1,MATCH($E255,Parameters!$X$3:$AA$3,0))))</f>
        <v>66.88584</v>
      </c>
      <c r="AA255" s="38" t="n">
        <f aca="false">MAX(0,MIN(Y255*(1+INDEX(Response_Table!$F$4:$F$21,MATCH($F255&amp;"|low",Response_Table!$A$4:$A$21,0))*$R255*INDEX(Parameters!$X$5:$AA$5,1,MATCH($E255,Parameters!$X$3:$AA$3,0))),Y255*(1+INDEX(Response_Table!$F$4:$F$21,MATCH($F255&amp;"|high",Response_Table!$A$4:$A$21,0))*$R255*INDEX(Parameters!$X$5:$AA$5,1,MATCH($E255,Parameters!$X$3:$AA$3,0))))*(1-Inputs_General!$C$22*Parameters!$F$5))</f>
        <v>59.183935524</v>
      </c>
      <c r="AB255" s="38" t="n">
        <f aca="false">MIN(100,MAX(Y255*(1+INDEX(Response_Table!$F$4:$F$21,MATCH($F255&amp;"|low",Response_Table!$A$4:$A$21,0))*$R255*INDEX(Parameters!$X$5:$AA$5,1,MATCH($E255,Parameters!$X$3:$AA$3,0))),Y255*(1+INDEX(Response_Table!$F$4:$F$21,MATCH($F255&amp;"|high",Response_Table!$A$4:$A$21,0))*$R255*INDEX(Parameters!$X$5:$AA$5,1,MATCH($E255,Parameters!$X$3:$AA$3,0))))*(1+Inputs_General!$C$22*Parameters!$F$5))</f>
        <v>74.587744476</v>
      </c>
      <c r="AC255" s="39" t="n">
        <f aca="false">IF(Y255=0,0,Z255/Y255-1)</f>
        <v>0</v>
      </c>
      <c r="AD255" s="38" t="n">
        <f aca="false">Parameters!$E$6*IF($N255="V",Parameters!$I$6,IF($N255="F",Parameters!$J$6,Parameters!$K$6))*(1-Parameters!$L$6*$P255)*IF($D255="V1",Parameters!$M$6,IF($D255="V2",Parameters!$N$6,Parameters!$O$6))</f>
        <v>18.0106428571429</v>
      </c>
      <c r="AE255" s="38" t="n">
        <f aca="false">AD255*(1+INDEX(Response_Table!$G$4:$G$21,MATCH($F255&amp;"|mid",Response_Table!$A$4:$A$21,0))*$R255*INDEX(Parameters!$X$6:$AA$6,1,MATCH($E255,Parameters!$X$3:$AA$3,0)))</f>
        <v>18.0106428571429</v>
      </c>
      <c r="AF255" s="38" t="n">
        <f aca="false">MAX(0,MIN(AD255*(1+INDEX(Response_Table!$G$4:$G$21,MATCH($F255&amp;"|low",Response_Table!$A$4:$A$21,0))*$R255*INDEX(Parameters!$X$6:$AA$6,1,MATCH($E255,Parameters!$X$3:$AA$3,0))),AD255*(1+INDEX(Response_Table!$G$4:$G$21,MATCH($F255&amp;"|high",Response_Table!$A$4:$A$21,0))*$R255*INDEX(Parameters!$X$6:$AA$6,1,MATCH($E255,Parameters!$X$3:$AA$3,0))))*(1-Inputs_General!$C$22*Parameters!$F$6))</f>
        <v>14.4553419571429</v>
      </c>
      <c r="AG255" s="38" t="n">
        <f aca="false">MAX(AD255*(1+INDEX(Response_Table!$G$4:$G$21,MATCH($F255&amp;"|low",Response_Table!$A$4:$A$21,0))*$R255*INDEX(Parameters!$X$6:$AA$6,1,MATCH($E255,Parameters!$X$3:$AA$3,0))),AD255*(1+INDEX(Response_Table!$G$4:$G$21,MATCH($F255&amp;"|high",Response_Table!$A$4:$A$21,0))*$R255*INDEX(Parameters!$X$6:$AA$6,1,MATCH($E255,Parameters!$X$3:$AA$3,0))))*(1+Inputs_General!$C$22*Parameters!$F$6)</f>
        <v>21.5659437571429</v>
      </c>
      <c r="AH255" s="39" t="n">
        <f aca="false">IF(AD255=0,0,AE255/AD255-1)</f>
        <v>0</v>
      </c>
      <c r="AI255" s="40" t="n">
        <f aca="false">Parameters!$E$7*IF($N255="V",Parameters!$I$7,IF($N255="F",Parameters!$J$7,Parameters!$K$7))*(1-Parameters!$L$7*$P255)*IF($D255="V1",Parameters!$M$7,IF($D255="V2",Parameters!$N$7,Parameters!$O$7))*POWER($Q255/Inputs_General!$C$26,-Inputs_General!$C$25)</f>
        <v>0.341191629407368</v>
      </c>
      <c r="AJ255" s="40" t="n">
        <f aca="false">AI255*(1+INDEX(Response_Table!$H$4:$H$21,MATCH($F255&amp;"|mid",Response_Table!$A$4:$A$21,0))*$R255*INDEX(Parameters!$X$7:$AA$7,1,MATCH($E255,Parameters!$X$3:$AA$3,0)))</f>
        <v>0.341191629407368</v>
      </c>
      <c r="AK255" s="40" t="n">
        <f aca="false">MAX(0,MIN(AI255*(1+INDEX(Response_Table!$H$4:$H$21,MATCH($F255&amp;"|low",Response_Table!$A$4:$A$21,0))*$R255*INDEX(Parameters!$X$7:$AA$7,1,MATCH($E255,Parameters!$X$3:$AA$3,0))),AI255*(1+INDEX(Response_Table!$H$4:$H$21,MATCH($F255&amp;"|high",Response_Table!$A$4:$A$21,0))*$R255*INDEX(Parameters!$X$7:$AA$7,1,MATCH($E255,Parameters!$X$3:$AA$3,0))))*(1-Inputs_General!$C$22*Parameters!$F$7))</f>
        <v>0.240164787939846</v>
      </c>
      <c r="AL255" s="40" t="n">
        <f aca="false">MAX(AI255*(1+INDEX(Response_Table!$H$4:$H$21,MATCH($F255&amp;"|low",Response_Table!$A$4:$A$21,0))*$R255*INDEX(Parameters!$X$7:$AA$7,1,MATCH($E255,Parameters!$X$3:$AA$3,0))),AI255*(1+INDEX(Response_Table!$H$4:$H$21,MATCH($F255&amp;"|high",Response_Table!$A$4:$A$21,0))*$R255*INDEX(Parameters!$X$7:$AA$7,1,MATCH($E255,Parameters!$X$3:$AA$3,0))))*(1+Inputs_General!$C$22*Parameters!$F$7)</f>
        <v>0.44221847087489</v>
      </c>
      <c r="AM255" s="39" t="n">
        <f aca="false">IF(AI255=0,0,AJ255/AI255-1)</f>
        <v>0</v>
      </c>
      <c r="AN255" s="37" t="n">
        <f aca="false">AI255*$Q255/Inputs_General!$C$13*1000</f>
        <v>5.97691956280819</v>
      </c>
      <c r="AO255" s="37" t="n">
        <f aca="false">AJ255*$Q255/Inputs_General!$C$13*1000*(1+Inputs_General!$C$21*$I255)</f>
        <v>5.97691956280819</v>
      </c>
      <c r="AP255" s="37" t="n">
        <f aca="false">AK255*$Q255/Inputs_General!$C$13*1000*(1+Inputs_General!$C$21*$H255)</f>
        <v>4.20715368026068</v>
      </c>
      <c r="AQ255" s="37" t="n">
        <f aca="false">AL255*$Q255/Inputs_General!$C$13*1000*(1+Inputs_General!$C$21*$J255)</f>
        <v>7.74668544535569</v>
      </c>
      <c r="AR255" s="39" t="n">
        <f aca="false">IF(AN255=0,0,AO255/AN255-1)</f>
        <v>0</v>
      </c>
      <c r="AS255" s="36" t="n">
        <f aca="false">Parameters!$E$9*IF($N255="V",Parameters!$I$9,IF($N255="F",Parameters!$J$9,Parameters!$K$9))*(1-Parameters!$L$9*$P255)*IF($D255="V1",Parameters!$M$9,IF($D255="V2",Parameters!$N$9,Parameters!$O$9))</f>
        <v>285</v>
      </c>
      <c r="AT255" s="36" t="n">
        <f aca="false">AS255*(1+INDEX(Response_Table!$I$4:$I$21,MATCH($F255&amp;"|mid",Response_Table!$A$4:$A$21,0))*$R255*INDEX(Parameters!$X$9:$AA$9,1,MATCH($E255,Parameters!$X$3:$AA$3,0)))</f>
        <v>285</v>
      </c>
      <c r="AU255" s="36" t="n">
        <f aca="false">MAX(0,MIN(AS255*(1+INDEX(Response_Table!$I$4:$I$21,MATCH($F255&amp;"|low",Response_Table!$A$4:$A$21,0))*$R255*INDEX(Parameters!$X$9:$AA$9,1,MATCH($E255,Parameters!$X$3:$AA$3,0))),AS255*(1+INDEX(Response_Table!$I$4:$I$21,MATCH($F255&amp;"|high",Response_Table!$A$4:$A$21,0))*$R255*INDEX(Parameters!$X$9:$AA$9,1,MATCH($E255,Parameters!$X$3:$AA$3,0))))*(1-Inputs_General!$C$22*Parameters!$F$9))</f>
        <v>256.8705</v>
      </c>
      <c r="AV255" s="36" t="n">
        <f aca="false">MAX(AS255*(1+INDEX(Response_Table!$I$4:$I$21,MATCH($F255&amp;"|low",Response_Table!$A$4:$A$21,0))*$R255*INDEX(Parameters!$X$9:$AA$9,1,MATCH($E255,Parameters!$X$3:$AA$3,0))),AS255*(1+INDEX(Response_Table!$I$4:$I$21,MATCH($F255&amp;"|high",Response_Table!$A$4:$A$21,0))*$R255*INDEX(Parameters!$X$9:$AA$9,1,MATCH($E255,Parameters!$X$3:$AA$3,0))))*(1+Inputs_General!$C$22*Parameters!$F$9)</f>
        <v>313.1295</v>
      </c>
      <c r="AW255" s="39" t="n">
        <f aca="false">IF(AS255=0,0,AT255/AS255-1)</f>
        <v>0</v>
      </c>
      <c r="AX255" s="37" t="n">
        <f aca="false">INDEX(Context!$AB$4:$AB$51,$K255)</f>
        <v>2.00148060787833</v>
      </c>
      <c r="AY255" s="37" t="n">
        <f aca="false">AX255*(1+INDEX(Response_Table!$J$4:$J$21,MATCH($F255&amp;"|mid",Response_Table!$A$4:$A$21,0))*$R255*INDEX(Parameters!$X$10:$AA$10,1,MATCH($E255,Parameters!$X$3:$AA$3,0)))</f>
        <v>2.00148060787833</v>
      </c>
      <c r="AZ255" s="37" t="n">
        <f aca="false">MAX(0,MIN(AX255*(1+INDEX(Response_Table!$J$4:$J$21,MATCH($F255&amp;"|low",Response_Table!$A$4:$A$21,0))*$R255*INDEX(Parameters!$X$10:$AA$10,1,MATCH($E255,Parameters!$X$3:$AA$3,0))),AX255*(1+INDEX(Response_Table!$J$4:$J$21,MATCH($F255&amp;"|high",Response_Table!$A$4:$A$21,0))*$R255*INDEX(Parameters!$X$10:$AA$10,1,MATCH($E255,Parameters!$X$3:$AA$3,0))))*(1-Inputs_General!$C$22*Parameters!$F$10))</f>
        <v>1.60638833588315</v>
      </c>
      <c r="BA255" s="37" t="n">
        <f aca="false">MAX(AX255*(1+INDEX(Response_Table!$J$4:$J$21,MATCH($F255&amp;"|low",Response_Table!$A$4:$A$21,0))*$R255*INDEX(Parameters!$X$10:$AA$10,1,MATCH($E255,Parameters!$X$3:$AA$3,0))),AX255*(1+INDEX(Response_Table!$J$4:$J$21,MATCH($F255&amp;"|high",Response_Table!$A$4:$A$21,0))*$R255*INDEX(Parameters!$X$10:$AA$10,1,MATCH($E255,Parameters!$X$3:$AA$3,0))))*(1+Inputs_General!$C$22*Parameters!$F$10)</f>
        <v>2.39657287987351</v>
      </c>
      <c r="BB255" s="39" t="n">
        <f aca="false">IF(AX255=0,0,AY255/AX255-1)</f>
        <v>0</v>
      </c>
      <c r="BC255" s="40" t="n">
        <f aca="false">Parameters!$E$11*IF($N255="V",Parameters!$I$11,IF($N255="F",Parameters!$J$11,Parameters!$K$11))*(1-Parameters!$L$11*$P255)*IF($D255="V1",Parameters!$M$11,IF($D255="V2",Parameters!$N$11,Parameters!$O$11))</f>
        <v>1.21745535714286</v>
      </c>
      <c r="BD255" s="40" t="n">
        <f aca="false">BC255*(1+INDEX(Response_Table!$K$4:$K$21,MATCH($F255&amp;"|mid",Response_Table!$A$4:$A$21,0))*$R255*INDEX(Parameters!$X$11:$AA$11,1,MATCH($E255,Parameters!$X$3:$AA$3,0)))</f>
        <v>1.21745535714286</v>
      </c>
      <c r="BE255" s="40" t="n">
        <f aca="false">MAX(0,MIN(BC255*(1+INDEX(Response_Table!$K$4:$K$21,MATCH($F255&amp;"|low",Response_Table!$A$4:$A$21,0))*$R255*INDEX(Parameters!$X$11:$AA$11,1,MATCH($E255,Parameters!$X$3:$AA$3,0))),BC255*(1+INDEX(Response_Table!$K$4:$K$21,MATCH($F255&amp;"|high",Response_Table!$A$4:$A$21,0))*$R255*INDEX(Parameters!$X$11:$AA$11,1,MATCH($E255,Parameters!$X$3:$AA$3,0))))*(1-Inputs_General!$C$22*Parameters!$F$11))</f>
        <v>1.01718395089286</v>
      </c>
      <c r="BF255" s="40" t="n">
        <f aca="false">MAX(BC255*(1+INDEX(Response_Table!$K$4:$K$21,MATCH($F255&amp;"|low",Response_Table!$A$4:$A$21,0))*$R255*INDEX(Parameters!$X$11:$AA$11,1,MATCH($E255,Parameters!$X$3:$AA$3,0))),BC255*(1+INDEX(Response_Table!$K$4:$K$21,MATCH($F255&amp;"|high",Response_Table!$A$4:$A$21,0))*$R255*INDEX(Parameters!$X$11:$AA$11,1,MATCH($E255,Parameters!$X$3:$AA$3,0))))*(1+Inputs_General!$C$22*Parameters!$F$11)</f>
        <v>1.41772676339286</v>
      </c>
      <c r="BG255" s="39" t="n">
        <f aca="false">IF(BC255=0,0,BD255/BC255-1)</f>
        <v>0</v>
      </c>
      <c r="BH255" s="40" t="n">
        <f aca="false">Parameters!$E$12*IF($N255="V",Parameters!$I$12,IF($N255="F",Parameters!$J$12,Parameters!$K$12))*(1-Parameters!$L$12*$P255)*IF($D255="V1",Parameters!$M$12,IF($D255="V2",Parameters!$N$12,Parameters!$O$12))</f>
        <v>0.438283928571429</v>
      </c>
      <c r="BI255" s="40" t="n">
        <f aca="false">BH255*(1+INDEX(Response_Table!$L$4:$L$21,MATCH($F255&amp;"|mid",Response_Table!$A$4:$A$21,0))*$R255*INDEX(Parameters!$X$12:$AA$12,1,MATCH($E255,Parameters!$X$3:$AA$3,0)))</f>
        <v>0.438283928571429</v>
      </c>
      <c r="BJ255" s="40" t="n">
        <f aca="false">MAX(0,MIN(BH255*(1+INDEX(Response_Table!$L$4:$L$21,MATCH($F255&amp;"|low",Response_Table!$A$4:$A$21,0))*$R255*INDEX(Parameters!$X$12:$AA$12,1,MATCH($E255,Parameters!$X$3:$AA$3,0))),BH255*(1+INDEX(Response_Table!$L$4:$L$21,MATCH($F255&amp;"|high",Response_Table!$A$4:$A$21,0))*$R255*INDEX(Parameters!$X$12:$AA$12,1,MATCH($E255,Parameters!$X$3:$AA$3,0))))*(1-Inputs_General!$C$22*Parameters!$F$12))</f>
        <v>0.351766681071429</v>
      </c>
      <c r="BK255" s="40" t="n">
        <f aca="false">MAX(BH255*(1+INDEX(Response_Table!$L$4:$L$21,MATCH($F255&amp;"|low",Response_Table!$A$4:$A$21,0))*$R255*INDEX(Parameters!$X$12:$AA$12,1,MATCH($E255,Parameters!$X$3:$AA$3,0))),BH255*(1+INDEX(Response_Table!$L$4:$L$21,MATCH($F255&amp;"|high",Response_Table!$A$4:$A$21,0))*$R255*INDEX(Parameters!$X$12:$AA$12,1,MATCH($E255,Parameters!$X$3:$AA$3,0))))*(1+Inputs_General!$C$22*Parameters!$F$12)</f>
        <v>0.524801176071429</v>
      </c>
      <c r="BL255" s="39" t="n">
        <f aca="false">IF(BH255=0,0,BI255/BH255-1)</f>
        <v>0</v>
      </c>
      <c r="BM255" s="40" t="n">
        <f aca="false">Parameters!$E$13*IF($N255="V",Parameters!$I$13,IF($N255="F",Parameters!$J$13,Parameters!$K$13))*(1-Parameters!$L$13*$P255)*IF($D255="V1",Parameters!$M$13,IF($D255="V2",Parameters!$N$13,Parameters!$O$13))</f>
        <v>0.296094642857143</v>
      </c>
      <c r="BN255" s="40" t="n">
        <f aca="false">BM255*(1+INDEX(Response_Table!$M$4:$M$21,MATCH($F255&amp;"|mid",Response_Table!$A$4:$A$21,0))*$R255*INDEX(Parameters!$X$13:$AA$13,1,MATCH($E255,Parameters!$X$3:$AA$3,0)))</f>
        <v>0.296094642857143</v>
      </c>
      <c r="BO255" s="40" t="n">
        <f aca="false">MAX(0,MIN(BM255*(1+INDEX(Response_Table!$M$4:$M$21,MATCH($F255&amp;"|low",Response_Table!$A$4:$A$21,0))*$R255*INDEX(Parameters!$X$13:$AA$13,1,MATCH($E255,Parameters!$X$3:$AA$3,0))),BM255*(1+INDEX(Response_Table!$M$4:$M$21,MATCH($F255&amp;"|high",Response_Table!$A$4:$A$21,0))*$R255*INDEX(Parameters!$X$13:$AA$13,1,MATCH($E255,Parameters!$X$3:$AA$3,0))))*(1-Inputs_General!$C$22*Parameters!$F$13))</f>
        <v>0.237645560357143</v>
      </c>
      <c r="BP255" s="40" t="n">
        <f aca="false">MAX(BM255*(1+INDEX(Response_Table!$M$4:$M$21,MATCH($F255&amp;"|low",Response_Table!$A$4:$A$21,0))*$R255*INDEX(Parameters!$X$13:$AA$13,1,MATCH($E255,Parameters!$X$3:$AA$3,0))),BM255*(1+INDEX(Response_Table!$M$4:$M$21,MATCH($F255&amp;"|high",Response_Table!$A$4:$A$21,0))*$R255*INDEX(Parameters!$X$13:$AA$13,1,MATCH($E255,Parameters!$X$3:$AA$3,0))))*(1+Inputs_General!$C$22*Parameters!$F$13)</f>
        <v>0.354543725357143</v>
      </c>
      <c r="BQ255" s="39" t="n">
        <f aca="false">IF(BM255=0,0,BN255/BM255-1)</f>
        <v>0</v>
      </c>
      <c r="BR255" s="38" t="n">
        <f aca="false">Parameters!$E$14*IF($N255="V",Parameters!$I$14,IF($N255="F",Parameters!$J$14,Parameters!$K$14))*(1-Parameters!$L$14*$P255)*IF($D255="V1",Parameters!$M$14,IF($D255="V2",Parameters!$N$14,Parameters!$O$14))*INDEX(Context!$AC$4:$AC$51,$K255)</f>
        <v>15</v>
      </c>
      <c r="BS255" s="38" t="n">
        <f aca="false">BR255*(1+INDEX(Response_Table!$N$4:$N$21,MATCH($F255&amp;"|mid",Response_Table!$A$4:$A$21,0))*$R255*INDEX(Parameters!$X$14:$AA$14,1,MATCH($E255,Parameters!$X$3:$AA$3,0)))</f>
        <v>15</v>
      </c>
      <c r="BT255" s="38" t="n">
        <f aca="false">MAX(0,MIN(BR255*(1+INDEX(Response_Table!$N$4:$N$21,MATCH($F255&amp;"|low",Response_Table!$A$4:$A$21,0))*$R255*INDEX(Parameters!$X$14:$AA$14,1,MATCH($E255,Parameters!$X$3:$AA$3,0))),BR255*(1+INDEX(Response_Table!$N$4:$N$21,MATCH($F255&amp;"|high",Response_Table!$A$4:$A$21,0))*$R255*INDEX(Parameters!$X$14:$AA$14,1,MATCH($E255,Parameters!$X$3:$AA$3,0))))*(1-Inputs_General!$C$22*Parameters!$F$14))</f>
        <v>7.5975</v>
      </c>
      <c r="BU255" s="38" t="n">
        <f aca="false">MAX(BR255*(1+INDEX(Response_Table!$N$4:$N$21,MATCH($F255&amp;"|low",Response_Table!$A$4:$A$21,0))*$R255*INDEX(Parameters!$X$14:$AA$14,1,MATCH($E255,Parameters!$X$3:$AA$3,0))),BR255*(1+INDEX(Response_Table!$N$4:$N$21,MATCH($F255&amp;"|high",Response_Table!$A$4:$A$21,0))*$R255*INDEX(Parameters!$X$14:$AA$14,1,MATCH($E255,Parameters!$X$3:$AA$3,0))))*(1+Inputs_General!$C$22*Parameters!$F$14)</f>
        <v>22.4025</v>
      </c>
      <c r="BV255" s="39" t="n">
        <f aca="false">IF(BR255=0,0,BS255/BR255-1)</f>
        <v>0</v>
      </c>
      <c r="BW255" s="37" t="n">
        <f aca="false">Parameters!$E$15*IF($N255="V",Parameters!$I$15,IF($N255="F",Parameters!$J$15,Parameters!$K$15))*(1-Parameters!$L$15*$P255)*IF($D255="V1",Parameters!$M$15,IF($D255="V2",Parameters!$N$15,Parameters!$O$15))</f>
        <v>10.5188142857143</v>
      </c>
      <c r="BX255" s="37" t="n">
        <f aca="false">BW255*(1+INDEX(Response_Table!$O$4:$O$21,MATCH($F255&amp;"|mid",Response_Table!$A$4:$A$21,0))*$R255*INDEX(Parameters!$X$15:$AA$15,1,MATCH($E255,Parameters!$X$3:$AA$3,0)))</f>
        <v>10.5188142857143</v>
      </c>
      <c r="BY255" s="37" t="n">
        <f aca="false">MAX(0,MIN(BW255*(1+INDEX(Response_Table!$O$4:$O$21,MATCH($F255&amp;"|low",Response_Table!$A$4:$A$21,0))*$R255*INDEX(Parameters!$X$15:$AA$15,1,MATCH($E255,Parameters!$X$3:$AA$3,0))),BW255*(1+INDEX(Response_Table!$O$4:$O$21,MATCH($F255&amp;"|high",Response_Table!$A$4:$A$21,0))*$R255*INDEX(Parameters!$X$15:$AA$15,1,MATCH($E255,Parameters!$X$3:$AA$3,0))))*(1-Inputs_General!$C$22*Parameters!$F$15))</f>
        <v>8.44240034571429</v>
      </c>
      <c r="BZ255" s="37" t="n">
        <f aca="false">MAX(BW255*(1+INDEX(Response_Table!$O$4:$O$21,MATCH($F255&amp;"|low",Response_Table!$A$4:$A$21,0))*$R255*INDEX(Parameters!$X$15:$AA$15,1,MATCH($E255,Parameters!$X$3:$AA$3,0))),BW255*(1+INDEX(Response_Table!$O$4:$O$21,MATCH($F255&amp;"|high",Response_Table!$A$4:$A$21,0))*$R255*INDEX(Parameters!$X$15:$AA$15,1,MATCH($E255,Parameters!$X$3:$AA$3,0))))*(1+Inputs_General!$C$22*Parameters!$F$15)</f>
        <v>12.5952282257143</v>
      </c>
      <c r="CA255" s="39" t="n">
        <f aca="false">IF(BW255=0,0,BX255/BW255-1)</f>
        <v>0</v>
      </c>
      <c r="CB255" s="40" t="n">
        <f aca="false">BD255+BI255</f>
        <v>1.65573928571429</v>
      </c>
      <c r="CC255" s="37" t="n">
        <f aca="false">BD255/BI255</f>
        <v>2.77777777777778</v>
      </c>
      <c r="CD255" s="40" t="n">
        <f aca="false">BN255/CB255</f>
        <v>0.178829267030049</v>
      </c>
      <c r="CE255" s="37" t="n">
        <f aca="false">AE255/AO255</f>
        <v>3.01336544149186</v>
      </c>
      <c r="CF255" s="38" t="n">
        <f aca="false">AE255/AJ255</f>
        <v>52.7874698697222</v>
      </c>
      <c r="CG255" s="38" t="n">
        <f aca="false">INDEX(Context!$V$4:$V$51,$K255)</f>
        <v>28.62</v>
      </c>
      <c r="CH255" s="38" t="n">
        <f aca="false">INDEX(Context!$Y$4:$Y$51,$K255)</f>
        <v>25.3060134606718</v>
      </c>
      <c r="CI255" s="38" t="n">
        <f aca="false">INDEX(Context!$Z$4:$Z$51,$K255)</f>
        <v>32.62</v>
      </c>
      <c r="CJ255" s="37" t="n">
        <f aca="false">INDEX(Context!$AA$4:$AA$51,$K255)</f>
        <v>0.221696428571429</v>
      </c>
      <c r="CK255" s="37" t="n">
        <f aca="false">MAX(0,MIN(1,1-(1-CJ255)*AO255/AN255))</f>
        <v>0.221696428571429</v>
      </c>
      <c r="CL255" s="38" t="n">
        <f aca="false">CH255+CK255*(CI255-CH255)</f>
        <v>26.9274981550603</v>
      </c>
      <c r="CM255" s="38" t="n">
        <f aca="false">CH255+MAX(0,MIN(1,1-(1-CJ255)*AQ255/AN255))*(CI255-CH255)</f>
        <v>25.3060134606718</v>
      </c>
      <c r="CN255" s="38" t="n">
        <f aca="false">CH255+MAX(0,MIN(1,1-(1-CJ255)*AP255/AN255))*(CI255-CH255)</f>
        <v>28.613047951347</v>
      </c>
      <c r="CO255" s="38" t="n">
        <f aca="false">CL255-CG255</f>
        <v>-1.69250184493966</v>
      </c>
      <c r="CP255" s="38" t="n">
        <f aca="false">CL255-(CH255+CJ255*(CI255-CH255))</f>
        <v>0</v>
      </c>
      <c r="CQ255" s="40" t="n">
        <f aca="false">CL255/CG255</f>
        <v>0.940862968380864</v>
      </c>
      <c r="CR255" s="37" t="n">
        <f aca="false">IF(CL255-CH255&lt;=0,"n/a",(CI255-CL255)/(CL255-CH255))</f>
        <v>3.5106725734998</v>
      </c>
      <c r="CS255" s="37" t="n">
        <f aca="false">IF(CI255-CL255&lt;=0,"n/a",(CL255-CH255)/(CI255-CL255))</f>
        <v>0.284845703797178</v>
      </c>
      <c r="CT255" s="37" t="n">
        <f aca="false">Inputs_General!$C$23+Inputs_General!$C$24*$I255</f>
        <v>0.6</v>
      </c>
      <c r="CU255" s="38" t="n">
        <f aca="false">3.29*CT255</f>
        <v>1.974</v>
      </c>
    </row>
    <row r="256" customFormat="false" ht="15" hidden="false" customHeight="false" outlineLevel="0" collapsed="false">
      <c r="A256" s="9" t="str">
        <f aca="false">B256&amp;"|"&amp;E256&amp;"|"&amp;F256</f>
        <v>D4V2|03/03/2026|Very low</v>
      </c>
      <c r="B256" s="7" t="s">
        <v>353</v>
      </c>
      <c r="C256" s="9" t="s">
        <v>133</v>
      </c>
      <c r="D256" s="9" t="s">
        <v>146</v>
      </c>
      <c r="E256" s="9" t="s">
        <v>162</v>
      </c>
      <c r="F256" s="7" t="s">
        <v>277</v>
      </c>
      <c r="G256" s="9" t="s">
        <v>278</v>
      </c>
      <c r="H256" s="41" t="n">
        <f aca="false">INDEX(Severity_Classes!$C$4:$C$9,MATCH(F256,Severity_Classes!$A$4:$A$9,0))</f>
        <v>0.01</v>
      </c>
      <c r="I256" s="41" t="n">
        <f aca="false">INDEX(Severity_Classes!$D$4:$D$9,MATCH(F256,Severity_Classes!$A$4:$A$9,0))</f>
        <v>0.03</v>
      </c>
      <c r="J256" s="41" t="n">
        <f aca="false">INDEX(Severity_Classes!$E$4:$E$9,MATCH(F256,Severity_Classes!$A$4:$A$9,0))</f>
        <v>0.05</v>
      </c>
      <c r="K256" s="42" t="n">
        <f aca="false">MATCH(B256&amp;"|"&amp;E256,Context!$A$4:$A$51,0)</f>
        <v>43</v>
      </c>
      <c r="L256" s="42" t="n">
        <f aca="false">INDEX(Context!$H$4:$H$51,K256)</f>
        <v>53</v>
      </c>
      <c r="M256" s="42" t="n">
        <f aca="false">INDEX(Context!$I$4:$I$51,K256)</f>
        <v>26</v>
      </c>
      <c r="N256" s="9" t="str">
        <f aca="false">INDEX(Context!$L$4:$L$51,K256)</f>
        <v>F</v>
      </c>
      <c r="O256" s="9" t="str">
        <f aca="false">INDEX(Context!$M$4:$M$51,K256)</f>
        <v>5th fully expanded leaf from top</v>
      </c>
      <c r="P256" s="43" t="n">
        <f aca="false">INDEX(Context!$R$4:$R$51,K256)</f>
        <v>0.433928571428571</v>
      </c>
      <c r="Q256" s="43" t="n">
        <f aca="false">INDEX(Context!$U$4:$U$51,K256)</f>
        <v>1.73951545534029</v>
      </c>
      <c r="R256" s="43" t="n">
        <f aca="false">INDEX(Context!$AD$4:$AD$51,K256)</f>
        <v>1.1</v>
      </c>
      <c r="S256" s="9" t="str">
        <f aca="false">INDEX(Context!$AI$4:$AN$51,K256,MATCH(F256,Severity_Classes!$A$4:$A$9,0))</f>
        <v>Possible</v>
      </c>
      <c r="T256" s="44" t="n">
        <f aca="false">Parameters!$E$4*IF($N256="V",Parameters!$I$4,IF($N256="F",Parameters!$J$4,Parameters!$K$4))*(1-Parameters!$L$4*$P256)*IF($D256="V1",Parameters!$M$4,IF($D256="V2",Parameters!$N$4,Parameters!$O$4))</f>
        <v>83.2927660714286</v>
      </c>
      <c r="U256" s="44" t="n">
        <f aca="false">MIN(100,T256*(1+INDEX(Response_Table!$E$4:$E$21,MATCH($F256&amp;"|mid",Response_Table!$A$4:$A$21,0))*$R256*INDEX(Parameters!$X$4:$AA$4,1,MATCH($E256,Parameters!$X$3:$AA$3,0))))</f>
        <v>82.8977524038264</v>
      </c>
      <c r="V256" s="44" t="n">
        <f aca="false">MAX(0,MIN(T256*(1+INDEX(Response_Table!$E$4:$E$21,MATCH($F256&amp;"|low",Response_Table!$A$4:$A$21,0))*$R256*INDEX(Parameters!$X$4:$AA$4,1,MATCH($E256,Parameters!$X$3:$AA$3,0))),T256*(1+INDEX(Response_Table!$E$4:$E$21,MATCH($F256&amp;"|high",Response_Table!$A$4:$A$21,0))*$R256*INDEX(Parameters!$X$4:$AA$4,1,MATCH($E256,Parameters!$X$3:$AA$3,0))))*(1-Inputs_General!$C$22*Parameters!$F$4))</f>
        <v>77.1483417033647</v>
      </c>
      <c r="W256" s="44" t="n">
        <f aca="false">MIN(100,MAX(T256*(1+INDEX(Response_Table!$E$4:$E$21,MATCH($F256&amp;"|low",Response_Table!$A$4:$A$21,0))*$R256*INDEX(Parameters!$X$4:$AA$4,1,MATCH($E256,Parameters!$X$3:$AA$3,0))),T256*(1+INDEX(Response_Table!$E$4:$E$21,MATCH($F256&amp;"|high",Response_Table!$A$4:$A$21,0))*$R256*INDEX(Parameters!$X$4:$AA$4,1,MATCH($E256,Parameters!$X$3:$AA$3,0))))*(1+Inputs_General!$C$22*Parameters!$F$4))</f>
        <v>88.6433160793479</v>
      </c>
      <c r="X256" s="45" t="n">
        <f aca="false">IF(T256=0,0,U256/T256-1)</f>
        <v>-0.00474247268080141</v>
      </c>
      <c r="Y256" s="44" t="n">
        <f aca="false">Parameters!$E$5*IF($N256="V",Parameters!$I$5,IF($N256="F",Parameters!$J$5,Parameters!$K$5))*(1-Parameters!$L$5*$P256)*IF($D256="V1",Parameters!$M$5,IF($D256="V2",Parameters!$N$5,Parameters!$O$5))</f>
        <v>66.88584</v>
      </c>
      <c r="Z256" s="44" t="n">
        <f aca="false">MIN(100,Y256*(1+INDEX(Response_Table!$F$4:$F$21,MATCH($F256&amp;"|mid",Response_Table!$A$4:$A$21,0))*$R256*INDEX(Parameters!$X$5:$AA$5,1,MATCH($E256,Parameters!$X$3:$AA$3,0))))</f>
        <v>65.8732542838952</v>
      </c>
      <c r="AA256" s="44" t="n">
        <f aca="false">MAX(0,MIN(Y256*(1+INDEX(Response_Table!$F$4:$F$21,MATCH($F256&amp;"|low",Response_Table!$A$4:$A$21,0))*$R256*INDEX(Parameters!$X$5:$AA$5,1,MATCH($E256,Parameters!$X$3:$AA$3,0))),Y256*(1+INDEX(Response_Table!$F$4:$F$21,MATCH($F256&amp;"|high",Response_Table!$A$4:$A$21,0))*$R256*INDEX(Parameters!$X$5:$AA$5,1,MATCH($E256,Parameters!$X$3:$AA$3,0))))*(1-Inputs_General!$C$22*Parameters!$F$5))</f>
        <v>57.5500061260851</v>
      </c>
      <c r="AB256" s="44" t="n">
        <f aca="false">MIN(100,MAX(Y256*(1+INDEX(Response_Table!$F$4:$F$21,MATCH($F256&amp;"|low",Response_Table!$A$4:$A$21,0))*$R256*INDEX(Parameters!$X$5:$AA$5,1,MATCH($E256,Parameters!$X$3:$AA$3,0))),Y256*(1+INDEX(Response_Table!$F$4:$F$21,MATCH($F256&amp;"|high",Response_Table!$A$4:$A$21,0))*$R256*INDEX(Parameters!$X$5:$AA$5,1,MATCH($E256,Parameters!$X$3:$AA$3,0))))*(1+Inputs_General!$C$22*Parameters!$F$5))</f>
        <v>74.2435679431691</v>
      </c>
      <c r="AC256" s="45" t="n">
        <f aca="false">IF(Y256=0,0,Z256/Y256-1)</f>
        <v>-0.0151390147167895</v>
      </c>
      <c r="AD256" s="44" t="n">
        <f aca="false">Parameters!$E$6*IF($N256="V",Parameters!$I$6,IF($N256="F",Parameters!$J$6,Parameters!$K$6))*(1-Parameters!$L$6*$P256)*IF($D256="V1",Parameters!$M$6,IF($D256="V2",Parameters!$N$6,Parameters!$O$6))</f>
        <v>18.0106428571429</v>
      </c>
      <c r="AE256" s="44" t="n">
        <f aca="false">AD256*(1+INDEX(Response_Table!$G$4:$G$21,MATCH($F256&amp;"|mid",Response_Table!$A$4:$A$21,0))*$R256*INDEX(Parameters!$X$6:$AA$6,1,MATCH($E256,Parameters!$X$3:$AA$3,0)))</f>
        <v>16.1732208638444</v>
      </c>
      <c r="AF256" s="44" t="n">
        <f aca="false">MAX(0,MIN(AD256*(1+INDEX(Response_Table!$G$4:$G$21,MATCH($F256&amp;"|low",Response_Table!$A$4:$A$21,0))*$R256*INDEX(Parameters!$X$6:$AA$6,1,MATCH($E256,Parameters!$X$3:$AA$3,0))),AD256*(1+INDEX(Response_Table!$G$4:$G$21,MATCH($F256&amp;"|high",Response_Table!$A$4:$A$21,0))*$R256*INDEX(Parameters!$X$6:$AA$6,1,MATCH($E256,Parameters!$X$3:$AA$3,0))))*(1-Inputs_General!$C$22*Parameters!$F$6))</f>
        <v>12.1002488550559</v>
      </c>
      <c r="AG256" s="44" t="n">
        <f aca="false">MAX(AD256*(1+INDEX(Response_Table!$G$4:$G$21,MATCH($F256&amp;"|low",Response_Table!$A$4:$A$21,0))*$R256*INDEX(Parameters!$X$6:$AA$6,1,MATCH($E256,Parameters!$X$3:$AA$3,0))),AD256*(1+INDEX(Response_Table!$G$4:$G$21,MATCH($F256&amp;"|high",Response_Table!$A$4:$A$21,0))*$R256*INDEX(Parameters!$X$6:$AA$6,1,MATCH($E256,Parameters!$X$3:$AA$3,0))))*(1+Inputs_General!$C$22*Parameters!$F$6)</f>
        <v>20.8000727181572</v>
      </c>
      <c r="AH256" s="45" t="n">
        <f aca="false">IF(AD256=0,0,AE256/AD256-1)</f>
        <v>-0.102018679059517</v>
      </c>
      <c r="AI256" s="46" t="n">
        <f aca="false">Parameters!$E$7*IF($N256="V",Parameters!$I$7,IF($N256="F",Parameters!$J$7,Parameters!$K$7))*(1-Parameters!$L$7*$P256)*IF($D256="V1",Parameters!$M$7,IF($D256="V2",Parameters!$N$7,Parameters!$O$7))*POWER($Q256/Inputs_General!$C$26,-Inputs_General!$C$25)</f>
        <v>0.341191629407368</v>
      </c>
      <c r="AJ256" s="46" t="n">
        <f aca="false">AI256*(1+INDEX(Response_Table!$H$4:$H$21,MATCH($F256&amp;"|mid",Response_Table!$A$4:$A$21,0))*$R256*INDEX(Parameters!$X$7:$AA$7,1,MATCH($E256,Parameters!$X$3:$AA$3,0)))</f>
        <v>0.320194968623362</v>
      </c>
      <c r="AK256" s="46" t="n">
        <f aca="false">MAX(0,MIN(AI256*(1+INDEX(Response_Table!$H$4:$H$21,MATCH($F256&amp;"|low",Response_Table!$A$4:$A$21,0))*$R256*INDEX(Parameters!$X$7:$AA$7,1,MATCH($E256,Parameters!$X$3:$AA$3,0))),AI256*(1+INDEX(Response_Table!$H$4:$H$21,MATCH($F256&amp;"|high",Response_Table!$A$4:$A$21,0))*$R256*INDEX(Parameters!$X$7:$AA$7,1,MATCH($E256,Parameters!$X$3:$AA$3,0))))*(1-Inputs_General!$C$22*Parameters!$F$7))</f>
        <v>0.216245864837781</v>
      </c>
      <c r="AL256" s="46" t="n">
        <f aca="false">MAX(AI256*(1+INDEX(Response_Table!$H$4:$H$21,MATCH($F256&amp;"|low",Response_Table!$A$4:$A$21,0))*$R256*INDEX(Parameters!$X$7:$AA$7,1,MATCH($E256,Parameters!$X$3:$AA$3,0))),AI256*(1+INDEX(Response_Table!$H$4:$H$21,MATCH($F256&amp;"|high",Response_Table!$A$4:$A$21,0))*$R256*INDEX(Parameters!$X$7:$AA$7,1,MATCH($E256,Parameters!$X$3:$AA$3,0))))*(1+Inputs_General!$C$22*Parameters!$F$7)</f>
        <v>0.432873756237273</v>
      </c>
      <c r="AM256" s="45" t="n">
        <f aca="false">IF(AI256=0,0,AJ256/AI256-1)</f>
        <v>-0.0615392025310718</v>
      </c>
      <c r="AN256" s="43" t="n">
        <f aca="false">AI256*$Q256/Inputs_General!$C$13*1000</f>
        <v>5.97691956280819</v>
      </c>
      <c r="AO256" s="43" t="n">
        <f aca="false">AJ256*$Q256/Inputs_General!$C$13*1000*(1+Inputs_General!$C$21*$I256)</f>
        <v>5.65117298456552</v>
      </c>
      <c r="AP256" s="43" t="n">
        <f aca="false">AK256*$Q256/Inputs_General!$C$13*1000*(1+Inputs_General!$C$21*$H256)</f>
        <v>3.79761763946469</v>
      </c>
      <c r="AQ256" s="43" t="n">
        <f aca="false">AL256*$Q256/Inputs_General!$C$13*1000*(1+Inputs_General!$C$21*$J256)</f>
        <v>7.6777741344488</v>
      </c>
      <c r="AR256" s="45" t="n">
        <f aca="false">IF(AN256=0,0,AO256/AN256-1)</f>
        <v>-0.0545007465500549</v>
      </c>
      <c r="AS256" s="42" t="n">
        <f aca="false">Parameters!$E$9*IF($N256="V",Parameters!$I$9,IF($N256="F",Parameters!$J$9,Parameters!$K$9))*(1-Parameters!$L$9*$P256)*IF($D256="V1",Parameters!$M$9,IF($D256="V2",Parameters!$N$9,Parameters!$O$9))</f>
        <v>285</v>
      </c>
      <c r="AT256" s="42" t="n">
        <f aca="false">AS256*(1+INDEX(Response_Table!$I$4:$I$21,MATCH($F256&amp;"|mid",Response_Table!$A$4:$A$21,0))*$R256*INDEX(Parameters!$X$9:$AA$9,1,MATCH($E256,Parameters!$X$3:$AA$3,0)))</f>
        <v>295.635132926751</v>
      </c>
      <c r="AU256" s="42" t="n">
        <f aca="false">MAX(0,MIN(AS256*(1+INDEX(Response_Table!$I$4:$I$21,MATCH($F256&amp;"|low",Response_Table!$A$4:$A$21,0))*$R256*INDEX(Parameters!$X$9:$AA$9,1,MATCH($E256,Parameters!$X$3:$AA$3,0))),AS256*(1+INDEX(Response_Table!$I$4:$I$21,MATCH($F256&amp;"|high",Response_Table!$A$4:$A$21,0))*$R256*INDEX(Parameters!$X$9:$AA$9,1,MATCH($E256,Parameters!$X$3:$AA$3,0))))*(1-Inputs_General!$C$22*Parameters!$F$9))</f>
        <v>260.194272002174</v>
      </c>
      <c r="AV256" s="42" t="n">
        <f aca="false">MAX(AS256*(1+INDEX(Response_Table!$I$4:$I$21,MATCH($F256&amp;"|low",Response_Table!$A$4:$A$21,0))*$R256*INDEX(Parameters!$X$9:$AA$9,1,MATCH($E256,Parameters!$X$3:$AA$3,0))),AS256*(1+INDEX(Response_Table!$I$4:$I$21,MATCH($F256&amp;"|high",Response_Table!$A$4:$A$21,0))*$R256*INDEX(Parameters!$X$9:$AA$9,1,MATCH($E256,Parameters!$X$3:$AA$3,0))))*(1+Inputs_General!$C$22*Parameters!$F$9)</f>
        <v>331.860547055842</v>
      </c>
      <c r="AW256" s="45" t="n">
        <f aca="false">IF(AS256=0,0,AT256/AS256-1)</f>
        <v>0.037316255883338</v>
      </c>
      <c r="AX256" s="43" t="n">
        <f aca="false">INDEX(Context!$AB$4:$AB$51,$K256)</f>
        <v>2.00148060787833</v>
      </c>
      <c r="AY256" s="43" t="n">
        <f aca="false">AX256*(1+INDEX(Response_Table!$J$4:$J$21,MATCH($F256&amp;"|mid",Response_Table!$A$4:$A$21,0))*$R256*INDEX(Parameters!$X$10:$AA$10,1,MATCH($E256,Parameters!$X$3:$AA$3,0)))</f>
        <v>1.92989370247971</v>
      </c>
      <c r="AZ256" s="43" t="n">
        <f aca="false">MAX(0,MIN(AX256*(1+INDEX(Response_Table!$J$4:$J$21,MATCH($F256&amp;"|low",Response_Table!$A$4:$A$21,0))*$R256*INDEX(Parameters!$X$10:$AA$10,1,MATCH($E256,Parameters!$X$3:$AA$3,0))),AX256*(1+INDEX(Response_Table!$J$4:$J$21,MATCH($F256&amp;"|high",Response_Table!$A$4:$A$21,0))*$R256*INDEX(Parameters!$X$10:$AA$10,1,MATCH($E256,Parameters!$X$3:$AA$3,0))))*(1-Inputs_General!$C$22*Parameters!$F$10))</f>
        <v>1.51295431134961</v>
      </c>
      <c r="BA256" s="43" t="n">
        <f aca="false">MAX(AX256*(1+INDEX(Response_Table!$J$4:$J$21,MATCH($F256&amp;"|low",Response_Table!$A$4:$A$21,0))*$R256*INDEX(Parameters!$X$10:$AA$10,1,MATCH($E256,Parameters!$X$3:$AA$3,0))),AX256*(1+INDEX(Response_Table!$J$4:$J$21,MATCH($F256&amp;"|high",Response_Table!$A$4:$A$21,0))*$R256*INDEX(Parameters!$X$10:$AA$10,1,MATCH($E256,Parameters!$X$3:$AA$3,0))))*(1+Inputs_General!$C$22*Parameters!$F$10)</f>
        <v>2.36728294023239</v>
      </c>
      <c r="BB256" s="45" t="n">
        <f aca="false">IF(AX256=0,0,AY256/AX256-1)</f>
        <v>-0.0357669742673663</v>
      </c>
      <c r="BC256" s="46" t="n">
        <f aca="false">Parameters!$E$11*IF($N256="V",Parameters!$I$11,IF($N256="F",Parameters!$J$11,Parameters!$K$11))*(1-Parameters!$L$11*$P256)*IF($D256="V1",Parameters!$M$11,IF($D256="V2",Parameters!$N$11,Parameters!$O$11))</f>
        <v>1.21745535714286</v>
      </c>
      <c r="BD256" s="46" t="n">
        <f aca="false">BC256*(1+INDEX(Response_Table!$K$4:$K$21,MATCH($F256&amp;"|mid",Response_Table!$A$4:$A$21,0))*$R256*INDEX(Parameters!$X$11:$AA$11,1,MATCH($E256,Parameters!$X$3:$AA$3,0)))</f>
        <v>1.13777506072678</v>
      </c>
      <c r="BE256" s="46" t="n">
        <f aca="false">MAX(0,MIN(BC256*(1+INDEX(Response_Table!$K$4:$K$21,MATCH($F256&amp;"|low",Response_Table!$A$4:$A$21,0))*$R256*INDEX(Parameters!$X$11:$AA$11,1,MATCH($E256,Parameters!$X$3:$AA$3,0))),BC256*(1+INDEX(Response_Table!$K$4:$K$21,MATCH($F256&amp;"|high",Response_Table!$A$4:$A$21,0))*$R256*INDEX(Parameters!$X$11:$AA$11,1,MATCH($E256,Parameters!$X$3:$AA$3,0))))*(1-Inputs_General!$C$22*Parameters!$F$11))</f>
        <v>0.909650120986928</v>
      </c>
      <c r="BF256" s="46" t="n">
        <f aca="false">MAX(BC256*(1+INDEX(Response_Table!$K$4:$K$21,MATCH($F256&amp;"|low",Response_Table!$A$4:$A$21,0))*$R256*INDEX(Parameters!$X$11:$AA$11,1,MATCH($E256,Parameters!$X$3:$AA$3,0))),BC256*(1+INDEX(Response_Table!$K$4:$K$21,MATCH($F256&amp;"|high",Response_Table!$A$4:$A$21,0))*$R256*INDEX(Parameters!$X$11:$AA$11,1,MATCH($E256,Parameters!$X$3:$AA$3,0))))*(1+Inputs_General!$C$22*Parameters!$F$11)</f>
        <v>1.38580268445108</v>
      </c>
      <c r="BG256" s="45" t="n">
        <f aca="false">IF(BC256=0,0,BD256/BC256-1)</f>
        <v>-0.0654482285108751</v>
      </c>
      <c r="BH256" s="46" t="n">
        <f aca="false">Parameters!$E$12*IF($N256="V",Parameters!$I$12,IF($N256="F",Parameters!$J$12,Parameters!$K$12))*(1-Parameters!$L$12*$P256)*IF($D256="V1",Parameters!$M$12,IF($D256="V2",Parameters!$N$12,Parameters!$O$12))</f>
        <v>0.438283928571429</v>
      </c>
      <c r="BI256" s="46" t="n">
        <f aca="false">BH256*(1+INDEX(Response_Table!$L$4:$L$21,MATCH($F256&amp;"|mid",Response_Table!$A$4:$A$21,0))*$R256*INDEX(Parameters!$X$12:$AA$12,1,MATCH($E256,Parameters!$X$3:$AA$3,0)))</f>
        <v>0.415461768732107</v>
      </c>
      <c r="BJ256" s="46" t="n">
        <f aca="false">MAX(0,MIN(BH256*(1+INDEX(Response_Table!$L$4:$L$21,MATCH($F256&amp;"|low",Response_Table!$A$4:$A$21,0))*$R256*INDEX(Parameters!$X$12:$AA$12,1,MATCH($E256,Parameters!$X$3:$AA$3,0))),BH256*(1+INDEX(Response_Table!$L$4:$L$21,MATCH($F256&amp;"|high",Response_Table!$A$4:$A$21,0))*$R256*INDEX(Parameters!$X$12:$AA$12,1,MATCH($E256,Parameters!$X$3:$AA$3,0))))*(1-Inputs_General!$C$22*Parameters!$F$12))</f>
        <v>0.322122713907657</v>
      </c>
      <c r="BK256" s="46" t="n">
        <f aca="false">MAX(BH256*(1+INDEX(Response_Table!$L$4:$L$21,MATCH($F256&amp;"|low",Response_Table!$A$4:$A$21,0))*$R256*INDEX(Parameters!$X$12:$AA$12,1,MATCH($E256,Parameters!$X$3:$AA$3,0))),BH256*(1+INDEX(Response_Table!$L$4:$L$21,MATCH($F256&amp;"|high",Response_Table!$A$4:$A$21,0))*$R256*INDEX(Parameters!$X$12:$AA$12,1,MATCH($E256,Parameters!$X$3:$AA$3,0))))*(1+Inputs_General!$C$22*Parameters!$F$12)</f>
        <v>0.515417493726525</v>
      </c>
      <c r="BL256" s="45" t="n">
        <f aca="false">IF(BH256=0,0,BI256/BH256-1)</f>
        <v>-0.052071632910907</v>
      </c>
      <c r="BM256" s="46" t="n">
        <f aca="false">Parameters!$E$13*IF($N256="V",Parameters!$I$13,IF($N256="F",Parameters!$J$13,Parameters!$K$13))*(1-Parameters!$L$13*$P256)*IF($D256="V1",Parameters!$M$13,IF($D256="V2",Parameters!$N$13,Parameters!$O$13))</f>
        <v>0.296094642857143</v>
      </c>
      <c r="BN256" s="46" t="n">
        <f aca="false">BM256*(1+INDEX(Response_Table!$M$4:$M$21,MATCH($F256&amp;"|mid",Response_Table!$A$4:$A$21,0))*$R256*INDEX(Parameters!$X$13:$AA$13,1,MATCH($E256,Parameters!$X$3:$AA$3,0)))</f>
        <v>0.304558082103307</v>
      </c>
      <c r="BO256" s="46" t="n">
        <f aca="false">MAX(0,MIN(BM256*(1+INDEX(Response_Table!$M$4:$M$21,MATCH($F256&amp;"|low",Response_Table!$A$4:$A$21,0))*$R256*INDEX(Parameters!$X$13:$AA$13,1,MATCH($E256,Parameters!$X$3:$AA$3,0))),BM256*(1+INDEX(Response_Table!$M$4:$M$21,MATCH($F256&amp;"|high",Response_Table!$A$4:$A$21,0))*$R256*INDEX(Parameters!$X$13:$AA$13,1,MATCH($E256,Parameters!$X$3:$AA$3,0))))*(1-Inputs_General!$C$22*Parameters!$F$13))</f>
        <v>0.240984877106815</v>
      </c>
      <c r="BP256" s="46" t="n">
        <f aca="false">MAX(BM256*(1+INDEX(Response_Table!$M$4:$M$21,MATCH($F256&amp;"|low",Response_Table!$A$4:$A$21,0))*$R256*INDEX(Parameters!$X$13:$AA$13,1,MATCH($E256,Parameters!$X$3:$AA$3,0))),BM256*(1+INDEX(Response_Table!$M$4:$M$21,MATCH($F256&amp;"|high",Response_Table!$A$4:$A$21,0))*$R256*INDEX(Parameters!$X$13:$AA$13,1,MATCH($E256,Parameters!$X$3:$AA$3,0))))*(1+Inputs_General!$C$22*Parameters!$F$13)</f>
        <v>0.36496418363522</v>
      </c>
      <c r="BQ256" s="45" t="n">
        <f aca="false">IF(BM256=0,0,BN256/BM256-1)</f>
        <v>0.0285835608658662</v>
      </c>
      <c r="BR256" s="44" t="n">
        <f aca="false">Parameters!$E$14*IF($N256="V",Parameters!$I$14,IF($N256="F",Parameters!$J$14,Parameters!$K$14))*(1-Parameters!$L$14*$P256)*IF($D256="V1",Parameters!$M$14,IF($D256="V2",Parameters!$N$14,Parameters!$O$14))*INDEX(Context!$AC$4:$AC$51,$K256)</f>
        <v>15</v>
      </c>
      <c r="BS256" s="44" t="n">
        <f aca="false">BR256*(1+INDEX(Response_Table!$N$4:$N$21,MATCH($F256&amp;"|mid",Response_Table!$A$4:$A$21,0))*$R256*INDEX(Parameters!$X$14:$AA$14,1,MATCH($E256,Parameters!$X$3:$AA$3,0)))</f>
        <v>15.8520812658148</v>
      </c>
      <c r="BT256" s="44" t="n">
        <f aca="false">MAX(0,MIN(BR256*(1+INDEX(Response_Table!$N$4:$N$21,MATCH($F256&amp;"|low",Response_Table!$A$4:$A$21,0))*$R256*INDEX(Parameters!$X$14:$AA$14,1,MATCH($E256,Parameters!$X$3:$AA$3,0))),BR256*(1+INDEX(Response_Table!$N$4:$N$21,MATCH($F256&amp;"|high",Response_Table!$A$4:$A$21,0))*$R256*INDEX(Parameters!$X$14:$AA$14,1,MATCH($E256,Parameters!$X$3:$AA$3,0))))*(1-Inputs_General!$C$22*Parameters!$F$14))</f>
        <v>7.74569643885104</v>
      </c>
      <c r="BU256" s="44" t="n">
        <f aca="false">MAX(BR256*(1+INDEX(Response_Table!$N$4:$N$21,MATCH($F256&amp;"|low",Response_Table!$A$4:$A$21,0))*$R256*INDEX(Parameters!$X$14:$AA$14,1,MATCH($E256,Parameters!$X$3:$AA$3,0))),BR256*(1+INDEX(Response_Table!$N$4:$N$21,MATCH($F256&amp;"|high",Response_Table!$A$4:$A$21,0))*$R256*INDEX(Parameters!$X$14:$AA$14,1,MATCH($E256,Parameters!$X$3:$AA$3,0))))*(1+Inputs_General!$C$22*Parameters!$F$14)</f>
        <v>24.4620231083708</v>
      </c>
      <c r="BV256" s="45" t="n">
        <f aca="false">IF(BR256=0,0,BS256/BR256-1)</f>
        <v>0.0568054177209894</v>
      </c>
      <c r="BW256" s="43" t="n">
        <f aca="false">Parameters!$E$15*IF($N256="V",Parameters!$I$15,IF($N256="F",Parameters!$J$15,Parameters!$K$15))*(1-Parameters!$L$15*$P256)*IF($D256="V1",Parameters!$M$15,IF($D256="V2",Parameters!$N$15,Parameters!$O$15))</f>
        <v>10.5188142857143</v>
      </c>
      <c r="BX256" s="43" t="n">
        <f aca="false">BW256*(1+INDEX(Response_Table!$O$4:$O$21,MATCH($F256&amp;"|mid",Response_Table!$A$4:$A$21,0))*$R256*INDEX(Parameters!$X$15:$AA$15,1,MATCH($E256,Parameters!$X$3:$AA$3,0)))</f>
        <v>10.3694328758569</v>
      </c>
      <c r="BY256" s="43" t="n">
        <f aca="false">MAX(0,MIN(BW256*(1+INDEX(Response_Table!$O$4:$O$21,MATCH($F256&amp;"|low",Response_Table!$A$4:$A$21,0))*$R256*INDEX(Parameters!$X$15:$AA$15,1,MATCH($E256,Parameters!$X$3:$AA$3,0))),BW256*(1+INDEX(Response_Table!$O$4:$O$21,MATCH($F256&amp;"|high",Response_Table!$A$4:$A$21,0))*$R256*INDEX(Parameters!$X$15:$AA$15,1,MATCH($E256,Parameters!$X$3:$AA$3,0))))*(1-Inputs_General!$C$22*Parameters!$F$15))</f>
        <v>8.24836710609687</v>
      </c>
      <c r="BZ256" s="43" t="n">
        <f aca="false">MAX(BW256*(1+INDEX(Response_Table!$O$4:$O$21,MATCH($F256&amp;"|low",Response_Table!$A$4:$A$21,0))*$R256*INDEX(Parameters!$X$15:$AA$15,1,MATCH($E256,Parameters!$X$3:$AA$3,0))),BW256*(1+INDEX(Response_Table!$O$4:$O$21,MATCH($F256&amp;"|high",Response_Table!$A$4:$A$21,0))*$R256*INDEX(Parameters!$X$15:$AA$15,1,MATCH($E256,Parameters!$X$3:$AA$3,0))))*(1+Inputs_General!$C$22*Parameters!$F$15)</f>
        <v>12.5338077594567</v>
      </c>
      <c r="CA256" s="45" t="n">
        <f aca="false">IF(BW256=0,0,BX256/BW256-1)</f>
        <v>-0.0142013544302474</v>
      </c>
      <c r="CB256" s="46" t="n">
        <f aca="false">BD256+BI256</f>
        <v>1.55323682945889</v>
      </c>
      <c r="CC256" s="43" t="n">
        <f aca="false">BD256/BI256</f>
        <v>2.73857944666969</v>
      </c>
      <c r="CD256" s="46" t="n">
        <f aca="false">BN256/CB256</f>
        <v>0.196079616660524</v>
      </c>
      <c r="CE256" s="43" t="n">
        <f aca="false">AE256/AO256</f>
        <v>2.8619228093029</v>
      </c>
      <c r="CF256" s="44" t="n">
        <f aca="false">AE256/AJ256</f>
        <v>50.5105402916828</v>
      </c>
      <c r="CG256" s="44" t="n">
        <f aca="false">INDEX(Context!$V$4:$V$51,$K256)</f>
        <v>28.62</v>
      </c>
      <c r="CH256" s="44" t="n">
        <f aca="false">INDEX(Context!$Y$4:$Y$51,$K256)</f>
        <v>25.3060134606718</v>
      </c>
      <c r="CI256" s="44" t="n">
        <f aca="false">INDEX(Context!$Z$4:$Z$51,$K256)</f>
        <v>32.62</v>
      </c>
      <c r="CJ256" s="43" t="n">
        <f aca="false">INDEX(Context!$AA$4:$AA$51,$K256)</f>
        <v>0.221696428571429</v>
      </c>
      <c r="CK256" s="43" t="n">
        <f aca="false">MAX(0,MIN(1,1-(1-CJ256)*AO256/AN256))</f>
        <v>0.26411455425686</v>
      </c>
      <c r="CL256" s="44" t="n">
        <f aca="false">CH256+CK256*(CI256-CH256)</f>
        <v>27.2377437553471</v>
      </c>
      <c r="CM256" s="44" t="n">
        <f aca="false">CH256+MAX(0,MIN(1,1-(1-CJ256)*AQ256/AN256))*(CI256-CH256)</f>
        <v>25.3075804557682</v>
      </c>
      <c r="CN256" s="44" t="n">
        <f aca="false">CH256+MAX(0,MIN(1,1-(1-CJ256)*AP256/AN256))*(CI256-CH256)</f>
        <v>29.0030958084918</v>
      </c>
      <c r="CO256" s="44" t="n">
        <f aca="false">CL256-CG256</f>
        <v>-1.38225624465289</v>
      </c>
      <c r="CP256" s="44" t="n">
        <f aca="false">CL256-(CH256+CJ256*(CI256-CH256))</f>
        <v>0.310245600286777</v>
      </c>
      <c r="CQ256" s="46" t="n">
        <f aca="false">CL256/CG256</f>
        <v>0.951703136105769</v>
      </c>
      <c r="CR256" s="43" t="n">
        <f aca="false">IF(CL256-CH256&lt;=0,"n/a",(CI256-CL256)/(CL256-CH256))</f>
        <v>2.78623587334558</v>
      </c>
      <c r="CS256" s="43" t="n">
        <f aca="false">IF(CI256-CL256&lt;=0,"n/a",(CL256-CH256)/(CI256-CL256))</f>
        <v>0.358907158423471</v>
      </c>
      <c r="CT256" s="43" t="n">
        <f aca="false">Inputs_General!$C$23+Inputs_General!$C$24*$I256</f>
        <v>0.66</v>
      </c>
      <c r="CU256" s="44" t="n">
        <f aca="false">3.29*CT256</f>
        <v>2.1714</v>
      </c>
    </row>
    <row r="257" customFormat="false" ht="15" hidden="false" customHeight="false" outlineLevel="0" collapsed="false">
      <c r="A257" s="9" t="str">
        <f aca="false">B257&amp;"|"&amp;E257&amp;"|"&amp;F257</f>
        <v>D4V2|03/03/2026|Low</v>
      </c>
      <c r="B257" s="7" t="s">
        <v>353</v>
      </c>
      <c r="C257" s="9" t="s">
        <v>133</v>
      </c>
      <c r="D257" s="9" t="s">
        <v>146</v>
      </c>
      <c r="E257" s="9" t="s">
        <v>162</v>
      </c>
      <c r="F257" s="7" t="s">
        <v>279</v>
      </c>
      <c r="G257" s="9" t="s">
        <v>280</v>
      </c>
      <c r="H257" s="41" t="n">
        <f aca="false">INDEX(Severity_Classes!$C$4:$C$9,MATCH(F257,Severity_Classes!$A$4:$A$9,0))</f>
        <v>0.06</v>
      </c>
      <c r="I257" s="41" t="n">
        <f aca="false">INDEX(Severity_Classes!$D$4:$D$9,MATCH(F257,Severity_Classes!$A$4:$A$9,0))</f>
        <v>0.08</v>
      </c>
      <c r="J257" s="41" t="n">
        <f aca="false">INDEX(Severity_Classes!$E$4:$E$9,MATCH(F257,Severity_Classes!$A$4:$A$9,0))</f>
        <v>0.1</v>
      </c>
      <c r="K257" s="42" t="n">
        <f aca="false">MATCH(B257&amp;"|"&amp;E257,Context!$A$4:$A$51,0)</f>
        <v>43</v>
      </c>
      <c r="L257" s="42" t="n">
        <f aca="false">INDEX(Context!$H$4:$H$51,K257)</f>
        <v>53</v>
      </c>
      <c r="M257" s="42" t="n">
        <f aca="false">INDEX(Context!$I$4:$I$51,K257)</f>
        <v>26</v>
      </c>
      <c r="N257" s="9" t="str">
        <f aca="false">INDEX(Context!$L$4:$L$51,K257)</f>
        <v>F</v>
      </c>
      <c r="O257" s="9" t="str">
        <f aca="false">INDEX(Context!$M$4:$M$51,K257)</f>
        <v>5th fully expanded leaf from top</v>
      </c>
      <c r="P257" s="43" t="n">
        <f aca="false">INDEX(Context!$R$4:$R$51,K257)</f>
        <v>0.433928571428571</v>
      </c>
      <c r="Q257" s="43" t="n">
        <f aca="false">INDEX(Context!$U$4:$U$51,K257)</f>
        <v>1.73951545534029</v>
      </c>
      <c r="R257" s="43" t="n">
        <f aca="false">INDEX(Context!$AD$4:$AD$51,K257)</f>
        <v>1.1</v>
      </c>
      <c r="S257" s="9" t="str">
        <f aca="false">INDEX(Context!$AI$4:$AN$51,K257,MATCH(F257,Severity_Classes!$A$4:$A$9,0))</f>
        <v>Likely</v>
      </c>
      <c r="T257" s="44" t="n">
        <f aca="false">Parameters!$E$4*IF($N257="V",Parameters!$I$4,IF($N257="F",Parameters!$J$4,Parameters!$K$4))*(1-Parameters!$L$4*$P257)*IF($D257="V1",Parameters!$M$4,IF($D257="V2",Parameters!$N$4,Parameters!$O$4))</f>
        <v>83.2927660714286</v>
      </c>
      <c r="U257" s="44" t="n">
        <f aca="false">MIN(100,T257*(1+INDEX(Response_Table!$E$4:$E$21,MATCH($F257&amp;"|mid",Response_Table!$A$4:$A$21,0))*$R257*INDEX(Parameters!$X$4:$AA$4,1,MATCH($E257,Parameters!$X$3:$AA$3,0))))</f>
        <v>82.0175131994377</v>
      </c>
      <c r="V257" s="44" t="n">
        <f aca="false">MAX(0,MIN(T257*(1+INDEX(Response_Table!$E$4:$E$21,MATCH($F257&amp;"|low",Response_Table!$A$4:$A$21,0))*$R257*INDEX(Parameters!$X$4:$AA$4,1,MATCH($E257,Parameters!$X$3:$AA$3,0))),T257*(1+INDEX(Response_Table!$E$4:$E$21,MATCH($F257&amp;"|high",Response_Table!$A$4:$A$21,0))*$R257*INDEX(Parameters!$X$4:$AA$4,1,MATCH($E257,Parameters!$X$3:$AA$3,0))))*(1-Inputs_General!$C$22*Parameters!$F$4))</f>
        <v>76.2045203833694</v>
      </c>
      <c r="W257" s="44" t="n">
        <f aca="false">MIN(100,MAX(T257*(1+INDEX(Response_Table!$E$4:$E$21,MATCH($F257&amp;"|low",Response_Table!$A$4:$A$21,0))*$R257*INDEX(Parameters!$X$4:$AA$4,1,MATCH($E257,Parameters!$X$3:$AA$3,0))),T257*(1+INDEX(Response_Table!$E$4:$E$21,MATCH($F257&amp;"|high",Response_Table!$A$4:$A$21,0))*$R257*INDEX(Parameters!$X$4:$AA$4,1,MATCH($E257,Parameters!$X$3:$AA$3,0))))*(1+Inputs_General!$C$22*Parameters!$F$4))</f>
        <v>87.8292652384713</v>
      </c>
      <c r="X257" s="45" t="n">
        <f aca="false">IF(T257=0,0,U257/T257-1)</f>
        <v>-0.0153104877186722</v>
      </c>
      <c r="Y257" s="44" t="n">
        <f aca="false">Parameters!$E$5*IF($N257="V",Parameters!$I$5,IF($N257="F",Parameters!$J$5,Parameters!$K$5))*(1-Parameters!$L$5*$P257)*IF($D257="V1",Parameters!$M$5,IF($D257="V2",Parameters!$N$5,Parameters!$O$5))</f>
        <v>66.88584</v>
      </c>
      <c r="Z257" s="44" t="n">
        <f aca="false">MIN(100,Y257*(1+INDEX(Response_Table!$F$4:$F$21,MATCH($F257&amp;"|mid",Response_Table!$A$4:$A$21,0))*$R257*INDEX(Parameters!$X$5:$AA$5,1,MATCH($E257,Parameters!$X$3:$AA$3,0))))</f>
        <v>63.5051601403664</v>
      </c>
      <c r="AA257" s="44" t="n">
        <f aca="false">MAX(0,MIN(Y257*(1+INDEX(Response_Table!$F$4:$F$21,MATCH($F257&amp;"|low",Response_Table!$A$4:$A$21,0))*$R257*INDEX(Parameters!$X$5:$AA$5,1,MATCH($E257,Parameters!$X$3:$AA$3,0))),Y257*(1+INDEX(Response_Table!$F$4:$F$21,MATCH($F257&amp;"|high",Response_Table!$A$4:$A$21,0))*$R257*INDEX(Parameters!$X$5:$AA$5,1,MATCH($E257,Parameters!$X$3:$AA$3,0))))*(1-Inputs_General!$C$22*Parameters!$F$5))</f>
        <v>55.09766531103</v>
      </c>
      <c r="AB257" s="44" t="n">
        <f aca="false">MIN(100,MAX(Y257*(1+INDEX(Response_Table!$F$4:$F$21,MATCH($F257&amp;"|low",Response_Table!$A$4:$A$21,0))*$R257*INDEX(Parameters!$X$5:$AA$5,1,MATCH($E257,Parameters!$X$3:$AA$3,0))),Y257*(1+INDEX(Response_Table!$F$4:$F$21,MATCH($F257&amp;"|high",Response_Table!$A$4:$A$21,0))*$R257*INDEX(Parameters!$X$5:$AA$5,1,MATCH($E257,Parameters!$X$3:$AA$3,0))))*(1+Inputs_General!$C$22*Parameters!$F$5))</f>
        <v>72.0029196029376</v>
      </c>
      <c r="AC257" s="45" t="n">
        <f aca="false">IF(Y257=0,0,Z257/Y257-1)</f>
        <v>-0.0505440293436337</v>
      </c>
      <c r="AD257" s="44" t="n">
        <f aca="false">Parameters!$E$6*IF($N257="V",Parameters!$I$6,IF($N257="F",Parameters!$J$6,Parameters!$K$6))*(1-Parameters!$L$6*$P257)*IF($D257="V1",Parameters!$M$6,IF($D257="V2",Parameters!$N$6,Parameters!$O$6))</f>
        <v>18.0106428571429</v>
      </c>
      <c r="AE257" s="44" t="n">
        <f aca="false">AD257*(1+INDEX(Response_Table!$G$4:$G$21,MATCH($F257&amp;"|mid",Response_Table!$A$4:$A$21,0))*$R257*INDEX(Parameters!$X$6:$AA$6,1,MATCH($E257,Parameters!$X$3:$AA$3,0)))</f>
        <v>13.6017473619911</v>
      </c>
      <c r="AF257" s="44" t="n">
        <f aca="false">MAX(0,MIN(AD257*(1+INDEX(Response_Table!$G$4:$G$21,MATCH($F257&amp;"|low",Response_Table!$A$4:$A$21,0))*$R257*INDEX(Parameters!$X$6:$AA$6,1,MATCH($E257,Parameters!$X$3:$AA$3,0))),AD257*(1+INDEX(Response_Table!$G$4:$G$21,MATCH($F257&amp;"|high",Response_Table!$A$4:$A$21,0))*$R257*INDEX(Parameters!$X$6:$AA$6,1,MATCH($E257,Parameters!$X$3:$AA$3,0))))*(1-Inputs_General!$C$22*Parameters!$F$6))</f>
        <v>10.2102423696793</v>
      </c>
      <c r="AG257" s="44" t="n">
        <f aca="false">MAX(AD257*(1+INDEX(Response_Table!$G$4:$G$21,MATCH($F257&amp;"|low",Response_Table!$A$4:$A$21,0))*$R257*INDEX(Parameters!$X$6:$AA$6,1,MATCH($E257,Parameters!$X$3:$AA$3,0))),AD257*(1+INDEX(Response_Table!$G$4:$G$21,MATCH($F257&amp;"|high",Response_Table!$A$4:$A$21,0))*$R257*INDEX(Parameters!$X$6:$AA$6,1,MATCH($E257,Parameters!$X$3:$AA$3,0))))*(1+Inputs_General!$C$22*Parameters!$F$6)</f>
        <v>17.4377513421486</v>
      </c>
      <c r="AH257" s="45" t="n">
        <f aca="false">IF(AD257=0,0,AE257/AD257-1)</f>
        <v>-0.244793899369519</v>
      </c>
      <c r="AI257" s="46" t="n">
        <f aca="false">Parameters!$E$7*IF($N257="V",Parameters!$I$7,IF($N257="F",Parameters!$J$7,Parameters!$K$7))*(1-Parameters!$L$7*$P257)*IF($D257="V1",Parameters!$M$7,IF($D257="V2",Parameters!$N$7,Parameters!$O$7))*POWER($Q257/Inputs_General!$C$26,-Inputs_General!$C$25)</f>
        <v>0.341191629407368</v>
      </c>
      <c r="AJ257" s="46" t="n">
        <f aca="false">AI257*(1+INDEX(Response_Table!$H$4:$H$21,MATCH($F257&amp;"|mid",Response_Table!$A$4:$A$21,0))*$R257*INDEX(Parameters!$X$7:$AA$7,1,MATCH($E257,Parameters!$X$3:$AA$3,0)))</f>
        <v>0.289139066164089</v>
      </c>
      <c r="AK257" s="46" t="n">
        <f aca="false">MAX(0,MIN(AI257*(1+INDEX(Response_Table!$H$4:$H$21,MATCH($F257&amp;"|low",Response_Table!$A$4:$A$21,0))*$R257*INDEX(Parameters!$X$7:$AA$7,1,MATCH($E257,Parameters!$X$3:$AA$3,0))),AI257*(1+INDEX(Response_Table!$H$4:$H$21,MATCH($F257&amp;"|high",Response_Table!$A$4:$A$21,0))*$R257*INDEX(Parameters!$X$7:$AA$7,1,MATCH($E257,Parameters!$X$3:$AA$3,0))))*(1-Inputs_General!$C$22*Parameters!$F$7))</f>
        <v>0.195658656936336</v>
      </c>
      <c r="AL257" s="46" t="n">
        <f aca="false">MAX(AI257*(1+INDEX(Response_Table!$H$4:$H$21,MATCH($F257&amp;"|low",Response_Table!$A$4:$A$21,0))*$R257*INDEX(Parameters!$X$7:$AA$7,1,MATCH($E257,Parameters!$X$3:$AA$3,0))),AI257*(1+INDEX(Response_Table!$H$4:$H$21,MATCH($F257&amp;"|high",Response_Table!$A$4:$A$21,0))*$R257*INDEX(Parameters!$X$7:$AA$7,1,MATCH($E257,Parameters!$X$3:$AA$3,0))))*(1+Inputs_General!$C$22*Parameters!$F$7)</f>
        <v>0.390133183894555</v>
      </c>
      <c r="AM257" s="45" t="n">
        <f aca="false">IF(AI257=0,0,AJ257/AI257-1)</f>
        <v>-0.152561079337414</v>
      </c>
      <c r="AN257" s="43" t="n">
        <f aca="false">AI257*$Q257/Inputs_General!$C$13*1000</f>
        <v>5.97691956280819</v>
      </c>
      <c r="AO257" s="43" t="n">
        <f aca="false">AJ257*$Q257/Inputs_General!$C$13*1000*(1+Inputs_General!$C$21*$I257)</f>
        <v>5.16637574845713</v>
      </c>
      <c r="AP257" s="43" t="n">
        <f aca="false">AK257*$Q257/Inputs_General!$C$13*1000*(1+Inputs_General!$C$21*$H257)</f>
        <v>3.47891768960279</v>
      </c>
      <c r="AQ257" s="43" t="n">
        <f aca="false">AL257*$Q257/Inputs_General!$C$13*1000*(1+Inputs_General!$C$21*$J257)</f>
        <v>7.00512357101044</v>
      </c>
      <c r="AR257" s="45" t="n">
        <f aca="false">IF(AN257=0,0,AO257/AN257-1)</f>
        <v>-0.135612300924163</v>
      </c>
      <c r="AS257" s="42" t="n">
        <f aca="false">Parameters!$E$9*IF($N257="V",Parameters!$I$9,IF($N257="F",Parameters!$J$9,Parameters!$K$9))*(1-Parameters!$L$9*$P257)*IF($D257="V1",Parameters!$M$9,IF($D257="V2",Parameters!$N$9,Parameters!$O$9))</f>
        <v>285</v>
      </c>
      <c r="AT257" s="42" t="n">
        <f aca="false">AS257*(1+INDEX(Response_Table!$I$4:$I$21,MATCH($F257&amp;"|mid",Response_Table!$A$4:$A$21,0))*$R257*INDEX(Parameters!$X$9:$AA$9,1,MATCH($E257,Parameters!$X$3:$AA$3,0)))</f>
        <v>310.755683063219</v>
      </c>
      <c r="AU257" s="42" t="n">
        <f aca="false">MAX(0,MIN(AS257*(1+INDEX(Response_Table!$I$4:$I$21,MATCH($F257&amp;"|low",Response_Table!$A$4:$A$21,0))*$R257*INDEX(Parameters!$X$9:$AA$9,1,MATCH($E257,Parameters!$X$3:$AA$3,0))),AS257*(1+INDEX(Response_Table!$I$4:$I$21,MATCH($F257&amp;"|high",Response_Table!$A$4:$A$21,0))*$R257*INDEX(Parameters!$X$9:$AA$9,1,MATCH($E257,Parameters!$X$3:$AA$3,0))))*(1-Inputs_General!$C$22*Parameters!$F$9))</f>
        <v>274.957472644588</v>
      </c>
      <c r="AV257" s="42" t="n">
        <f aca="false">MAX(AS257*(1+INDEX(Response_Table!$I$4:$I$21,MATCH($F257&amp;"|low",Response_Table!$A$4:$A$21,0))*$R257*INDEX(Parameters!$X$9:$AA$9,1,MATCH($E257,Parameters!$X$3:$AA$3,0))),AS257*(1+INDEX(Response_Table!$I$4:$I$21,MATCH($F257&amp;"|high",Response_Table!$A$4:$A$21,0))*$R257*INDEX(Parameters!$X$9:$AA$9,1,MATCH($E257,Parameters!$X$3:$AA$3,0))))*(1+Inputs_General!$C$22*Parameters!$F$9)</f>
        <v>347.196231317812</v>
      </c>
      <c r="AW257" s="45" t="n">
        <f aca="false">IF(AS257=0,0,AT257/AS257-1)</f>
        <v>0.0903708177656819</v>
      </c>
      <c r="AX257" s="43" t="n">
        <f aca="false">INDEX(Context!$AB$4:$AB$51,$K257)</f>
        <v>2.00148060787833</v>
      </c>
      <c r="AY257" s="43" t="n">
        <f aca="false">AX257*(1+INDEX(Response_Table!$J$4:$J$21,MATCH($F257&amp;"|mid",Response_Table!$A$4:$A$21,0))*$R257*INDEX(Parameters!$X$10:$AA$10,1,MATCH($E257,Parameters!$X$3:$AA$3,0)))</f>
        <v>1.82189120103136</v>
      </c>
      <c r="AZ257" s="43" t="n">
        <f aca="false">MAX(0,MIN(AX257*(1+INDEX(Response_Table!$J$4:$J$21,MATCH($F257&amp;"|low",Response_Table!$A$4:$A$21,0))*$R257*INDEX(Parameters!$X$10:$AA$10,1,MATCH($E257,Parameters!$X$3:$AA$3,0))),AX257*(1+INDEX(Response_Table!$J$4:$J$21,MATCH($F257&amp;"|high",Response_Table!$A$4:$A$21,0))*$R257*INDEX(Parameters!$X$10:$AA$10,1,MATCH($E257,Parameters!$X$3:$AA$3,0))))*(1-Inputs_General!$C$22*Parameters!$F$10))</f>
        <v>1.43049907410276</v>
      </c>
      <c r="BA257" s="43" t="n">
        <f aca="false">MAX(AX257*(1+INDEX(Response_Table!$J$4:$J$21,MATCH($F257&amp;"|low",Response_Table!$A$4:$A$21,0))*$R257*INDEX(Parameters!$X$10:$AA$10,1,MATCH($E257,Parameters!$X$3:$AA$3,0))),AX257*(1+INDEX(Response_Table!$J$4:$J$21,MATCH($F257&amp;"|high",Response_Table!$A$4:$A$21,0))*$R257*INDEX(Parameters!$X$10:$AA$10,1,MATCH($E257,Parameters!$X$3:$AA$3,0))))*(1+Inputs_General!$C$22*Parameters!$F$10)</f>
        <v>2.23133025426272</v>
      </c>
      <c r="BB257" s="45" t="n">
        <f aca="false">IF(AX257=0,0,AY257/AX257-1)</f>
        <v>-0.089728277226399</v>
      </c>
      <c r="BC257" s="46" t="n">
        <f aca="false">Parameters!$E$11*IF($N257="V",Parameters!$I$11,IF($N257="F",Parameters!$J$11,Parameters!$K$11))*(1-Parameters!$L$11*$P257)*IF($D257="V1",Parameters!$M$11,IF($D257="V2",Parameters!$N$11,Parameters!$O$11))</f>
        <v>1.21745535714286</v>
      </c>
      <c r="BD257" s="46" t="n">
        <f aca="false">BC257*(1+INDEX(Response_Table!$K$4:$K$21,MATCH($F257&amp;"|mid",Response_Table!$A$4:$A$21,0))*$R257*INDEX(Parameters!$X$11:$AA$11,1,MATCH($E257,Parameters!$X$3:$AA$3,0)))</f>
        <v>1.02085032705881</v>
      </c>
      <c r="BE257" s="46" t="n">
        <f aca="false">MAX(0,MIN(BC257*(1+INDEX(Response_Table!$K$4:$K$21,MATCH($F257&amp;"|low",Response_Table!$A$4:$A$21,0))*$R257*INDEX(Parameters!$X$11:$AA$11,1,MATCH($E257,Parameters!$X$3:$AA$3,0))),BC257*(1+INDEX(Response_Table!$K$4:$K$21,MATCH($F257&amp;"|high",Response_Table!$A$4:$A$21,0))*$R257*INDEX(Parameters!$X$11:$AA$11,1,MATCH($E257,Parameters!$X$3:$AA$3,0))))*(1-Inputs_General!$C$22*Parameters!$F$11))</f>
        <v>0.818015835728842</v>
      </c>
      <c r="BF257" s="46" t="n">
        <f aca="false">MAX(BC257*(1+INDEX(Response_Table!$K$4:$K$21,MATCH($F257&amp;"|low",Response_Table!$A$4:$A$21,0))*$R257*INDEX(Parameters!$X$11:$AA$11,1,MATCH($E257,Parameters!$X$3:$AA$3,0))),BC257*(1+INDEX(Response_Table!$K$4:$K$21,MATCH($F257&amp;"|high",Response_Table!$A$4:$A$21,0))*$R257*INDEX(Parameters!$X$11:$AA$11,1,MATCH($E257,Parameters!$X$3:$AA$3,0))))*(1+Inputs_General!$C$22*Parameters!$F$11)</f>
        <v>1.24064476692988</v>
      </c>
      <c r="BG257" s="45" t="n">
        <f aca="false">IF(BC257=0,0,BD257/BC257-1)</f>
        <v>-0.161488492313542</v>
      </c>
      <c r="BH257" s="46" t="n">
        <f aca="false">Parameters!$E$12*IF($N257="V",Parameters!$I$12,IF($N257="F",Parameters!$J$12,Parameters!$K$12))*(1-Parameters!$L$12*$P257)*IF($D257="V1",Parameters!$M$12,IF($D257="V2",Parameters!$N$12,Parameters!$O$12))</f>
        <v>0.438283928571429</v>
      </c>
      <c r="BI257" s="46" t="n">
        <f aca="false">BH257*(1+INDEX(Response_Table!$L$4:$L$21,MATCH($F257&amp;"|mid",Response_Table!$A$4:$A$21,0))*$R257*INDEX(Parameters!$X$12:$AA$12,1,MATCH($E257,Parameters!$X$3:$AA$3,0)))</f>
        <v>0.381705793095268</v>
      </c>
      <c r="BJ257" s="46" t="n">
        <f aca="false">MAX(0,MIN(BH257*(1+INDEX(Response_Table!$L$4:$L$21,MATCH($F257&amp;"|low",Response_Table!$A$4:$A$21,0))*$R257*INDEX(Parameters!$X$12:$AA$12,1,MATCH($E257,Parameters!$X$3:$AA$3,0))),BH257*(1+INDEX(Response_Table!$L$4:$L$21,MATCH($F257&amp;"|high",Response_Table!$A$4:$A$21,0))*$R257*INDEX(Parameters!$X$12:$AA$12,1,MATCH($E257,Parameters!$X$3:$AA$3,0))))*(1-Inputs_General!$C$22*Parameters!$F$12))</f>
        <v>0.296607914916916</v>
      </c>
      <c r="BK257" s="46" t="n">
        <f aca="false">MAX(BH257*(1+INDEX(Response_Table!$L$4:$L$21,MATCH($F257&amp;"|low",Response_Table!$A$4:$A$21,0))*$R257*INDEX(Parameters!$X$12:$AA$12,1,MATCH($E257,Parameters!$X$3:$AA$3,0))),BH257*(1+INDEX(Response_Table!$L$4:$L$21,MATCH($F257&amp;"|high",Response_Table!$A$4:$A$21,0))*$R257*INDEX(Parameters!$X$12:$AA$12,1,MATCH($E257,Parameters!$X$3:$AA$3,0))))*(1+Inputs_General!$C$22*Parameters!$F$12)</f>
        <v>0.472498692066284</v>
      </c>
      <c r="BL257" s="45" t="n">
        <f aca="false">IF(BH257=0,0,BI257/BH257-1)</f>
        <v>-0.129090144054735</v>
      </c>
      <c r="BM257" s="46" t="n">
        <f aca="false">Parameters!$E$13*IF($N257="V",Parameters!$I$13,IF($N257="F",Parameters!$J$13,Parameters!$K$13))*(1-Parameters!$L$13*$P257)*IF($D257="V1",Parameters!$M$13,IF($D257="V2",Parameters!$N$13,Parameters!$O$13))</f>
        <v>0.296094642857143</v>
      </c>
      <c r="BN257" s="46" t="n">
        <f aca="false">BM257*(1+INDEX(Response_Table!$M$4:$M$21,MATCH($F257&amp;"|mid",Response_Table!$A$4:$A$21,0))*$R257*INDEX(Parameters!$X$13:$AA$13,1,MATCH($E257,Parameters!$X$3:$AA$3,0)))</f>
        <v>0.300121441641621</v>
      </c>
      <c r="BO257" s="46" t="n">
        <f aca="false">MAX(0,MIN(BM257*(1+INDEX(Response_Table!$M$4:$M$21,MATCH($F257&amp;"|low",Response_Table!$A$4:$A$21,0))*$R257*INDEX(Parameters!$X$13:$AA$13,1,MATCH($E257,Parameters!$X$3:$AA$3,0))),BM257*(1+INDEX(Response_Table!$M$4:$M$21,MATCH($F257&amp;"|high",Response_Table!$A$4:$A$21,0))*$R257*INDEX(Parameters!$X$13:$AA$13,1,MATCH($E257,Parameters!$X$3:$AA$3,0))))*(1-Inputs_General!$C$22*Parameters!$F$13))</f>
        <v>0.236685476357029</v>
      </c>
      <c r="BP257" s="46" t="n">
        <f aca="false">MAX(BM257*(1+INDEX(Response_Table!$M$4:$M$21,MATCH($F257&amp;"|low",Response_Table!$A$4:$A$21,0))*$R257*INDEX(Parameters!$X$13:$AA$13,1,MATCH($E257,Parameters!$X$3:$AA$3,0))),BM257*(1+INDEX(Response_Table!$M$4:$M$21,MATCH($F257&amp;"|high",Response_Table!$A$4:$A$21,0))*$R257*INDEX(Parameters!$X$13:$AA$13,1,MATCH($E257,Parameters!$X$3:$AA$3,0))))*(1+Inputs_General!$C$22*Parameters!$F$13)</f>
        <v>0.363754531338965</v>
      </c>
      <c r="BQ257" s="45" t="n">
        <f aca="false">IF(BM257=0,0,BN257/BM257-1)</f>
        <v>0.0135997015873786</v>
      </c>
      <c r="BR257" s="44" t="n">
        <f aca="false">Parameters!$E$14*IF($N257="V",Parameters!$I$14,IF($N257="F",Parameters!$J$14,Parameters!$K$14))*(1-Parameters!$L$14*$P257)*IF($D257="V1",Parameters!$M$14,IF($D257="V2",Parameters!$N$14,Parameters!$O$14))*INDEX(Context!$AC$4:$AC$51,$K257)</f>
        <v>15</v>
      </c>
      <c r="BS257" s="44" t="n">
        <f aca="false">BR257*(1+INDEX(Response_Table!$N$4:$N$21,MATCH($F257&amp;"|mid",Response_Table!$A$4:$A$21,0))*$R257*INDEX(Parameters!$X$14:$AA$14,1,MATCH($E257,Parameters!$X$3:$AA$3,0)))</f>
        <v>17.1123841754411</v>
      </c>
      <c r="BT257" s="44" t="n">
        <f aca="false">MAX(0,MIN(BR257*(1+INDEX(Response_Table!$N$4:$N$21,MATCH($F257&amp;"|low",Response_Table!$A$4:$A$21,0))*$R257*INDEX(Parameters!$X$14:$AA$14,1,MATCH($E257,Parameters!$X$3:$AA$3,0))),BR257*(1+INDEX(Response_Table!$N$4:$N$21,MATCH($F257&amp;"|high",Response_Table!$A$4:$A$21,0))*$R257*INDEX(Parameters!$X$14:$AA$14,1,MATCH($E257,Parameters!$X$3:$AA$3,0))))*(1-Inputs_General!$C$22*Parameters!$F$14))</f>
        <v>8.42351281540989</v>
      </c>
      <c r="BU257" s="44" t="n">
        <f aca="false">MAX(BR257*(1+INDEX(Response_Table!$N$4:$N$21,MATCH($F257&amp;"|low",Response_Table!$A$4:$A$21,0))*$R257*INDEX(Parameters!$X$14:$AA$14,1,MATCH($E257,Parameters!$X$3:$AA$3,0))),BR257*(1+INDEX(Response_Table!$N$4:$N$21,MATCH($F257&amp;"|high",Response_Table!$A$4:$A$21,0))*$R257*INDEX(Parameters!$X$14:$AA$14,1,MATCH($E257,Parameters!$X$3:$AA$3,0))))*(1+Inputs_General!$C$22*Parameters!$F$14)</f>
        <v>26.2346710753774</v>
      </c>
      <c r="BV257" s="45" t="n">
        <f aca="false">IF(BR257=0,0,BS257/BR257-1)</f>
        <v>0.140825611696075</v>
      </c>
      <c r="BW257" s="43" t="n">
        <f aca="false">Parameters!$E$15*IF($N257="V",Parameters!$I$15,IF($N257="F",Parameters!$J$15,Parameters!$K$15))*(1-Parameters!$L$15*$P257)*IF($D257="V1",Parameters!$M$15,IF($D257="V2",Parameters!$N$15,Parameters!$O$15))</f>
        <v>10.5188142857143</v>
      </c>
      <c r="BX257" s="43" t="n">
        <f aca="false">BW257*(1+INDEX(Response_Table!$O$4:$O$21,MATCH($F257&amp;"|mid",Response_Table!$A$4:$A$21,0))*$R257*INDEX(Parameters!$X$15:$AA$15,1,MATCH($E257,Parameters!$X$3:$AA$3,0)))</f>
        <v>10.1484846716885</v>
      </c>
      <c r="BY257" s="43" t="n">
        <f aca="false">MAX(0,MIN(BW257*(1+INDEX(Response_Table!$O$4:$O$21,MATCH($F257&amp;"|low",Response_Table!$A$4:$A$21,0))*$R257*INDEX(Parameters!$X$15:$AA$15,1,MATCH($E257,Parameters!$X$3:$AA$3,0))),BW257*(1+INDEX(Response_Table!$O$4:$O$21,MATCH($F257&amp;"|high",Response_Table!$A$4:$A$21,0))*$R257*INDEX(Parameters!$X$15:$AA$15,1,MATCH($E257,Parameters!$X$3:$AA$3,0))))*(1-Inputs_General!$C$22*Parameters!$F$15))</f>
        <v>8.08136114906657</v>
      </c>
      <c r="BZ257" s="43" t="n">
        <f aca="false">MAX(BW257*(1+INDEX(Response_Table!$O$4:$O$21,MATCH($F257&amp;"|low",Response_Table!$A$4:$A$21,0))*$R257*INDEX(Parameters!$X$15:$AA$15,1,MATCH($E257,Parameters!$X$3:$AA$3,0))),BW257*(1+INDEX(Response_Table!$O$4:$O$21,MATCH($F257&amp;"|high",Response_Table!$A$4:$A$21,0))*$R257*INDEX(Parameters!$X$15:$AA$15,1,MATCH($E257,Parameters!$X$3:$AA$3,0))))*(1+Inputs_General!$C$22*Parameters!$F$15)</f>
        <v>12.2528846940443</v>
      </c>
      <c r="CA257" s="45" t="n">
        <f aca="false">IF(BW257=0,0,BX257/BW257-1)</f>
        <v>-0.0352064029240187</v>
      </c>
      <c r="CB257" s="46" t="n">
        <f aca="false">BD257+BI257</f>
        <v>1.40255612015408</v>
      </c>
      <c r="CC257" s="43" t="n">
        <f aca="false">BD257/BI257</f>
        <v>2.67444284452876</v>
      </c>
      <c r="CD257" s="46" t="n">
        <f aca="false">BN257/CB257</f>
        <v>0.213981770375542</v>
      </c>
      <c r="CE257" s="43" t="n">
        <f aca="false">AE257/AO257</f>
        <v>2.63274450489844</v>
      </c>
      <c r="CF257" s="44" t="n">
        <f aca="false">AE257/AJ257</f>
        <v>47.0422331455964</v>
      </c>
      <c r="CG257" s="44" t="n">
        <f aca="false">INDEX(Context!$V$4:$V$51,$K257)</f>
        <v>28.62</v>
      </c>
      <c r="CH257" s="44" t="n">
        <f aca="false">INDEX(Context!$Y$4:$Y$51,$K257)</f>
        <v>25.3060134606718</v>
      </c>
      <c r="CI257" s="44" t="n">
        <f aca="false">INDEX(Context!$Z$4:$Z$51,$K257)</f>
        <v>32.62</v>
      </c>
      <c r="CJ257" s="43" t="n">
        <f aca="false">INDEX(Context!$AA$4:$AA$51,$K257)</f>
        <v>0.221696428571429</v>
      </c>
      <c r="CK257" s="43" t="n">
        <f aca="false">MAX(0,MIN(1,1-(1-CJ257)*AO257/AN257))</f>
        <v>0.327243966710351</v>
      </c>
      <c r="CL257" s="44" t="n">
        <f aca="false">CH257+CK257*(CI257-CH257)</f>
        <v>27.6994714282676</v>
      </c>
      <c r="CM257" s="44" t="n">
        <f aca="false">CH257+MAX(0,MIN(1,1-(1-CJ257)*AQ257/AN257))*(CI257-CH257)</f>
        <v>25.9482222668442</v>
      </c>
      <c r="CN257" s="44" t="n">
        <f aca="false">CH257+MAX(0,MIN(1,1-(1-CJ257)*AP257/AN257))*(CI257-CH257)</f>
        <v>29.3066301012837</v>
      </c>
      <c r="CO257" s="44" t="n">
        <f aca="false">CL257-CG257</f>
        <v>-0.920528571732351</v>
      </c>
      <c r="CP257" s="44" t="n">
        <f aca="false">CL257-(CH257+CJ257*(CI257-CH257))</f>
        <v>0.771973273207312</v>
      </c>
      <c r="CQ257" s="46" t="n">
        <f aca="false">CL257/CG257</f>
        <v>0.967836178485942</v>
      </c>
      <c r="CR257" s="43" t="n">
        <f aca="false">IF(CL257-CH257&lt;=0,"n/a",(CI257-CL257)/(CL257-CH257))</f>
        <v>2.05582409983777</v>
      </c>
      <c r="CS257" s="43" t="n">
        <f aca="false">IF(CI257-CL257&lt;=0,"n/a",(CL257-CH257)/(CI257-CL257))</f>
        <v>0.486422938654582</v>
      </c>
      <c r="CT257" s="43" t="n">
        <f aca="false">Inputs_General!$C$23+Inputs_General!$C$24*$I257</f>
        <v>0.76</v>
      </c>
      <c r="CU257" s="44" t="n">
        <f aca="false">3.29*CT257</f>
        <v>2.5004</v>
      </c>
    </row>
    <row r="258" customFormat="false" ht="15" hidden="false" customHeight="false" outlineLevel="0" collapsed="false">
      <c r="A258" s="9" t="str">
        <f aca="false">B258&amp;"|"&amp;E258&amp;"|"&amp;F258</f>
        <v>D4V2|03/03/2026|Moderate</v>
      </c>
      <c r="B258" s="7" t="s">
        <v>353</v>
      </c>
      <c r="C258" s="9" t="s">
        <v>133</v>
      </c>
      <c r="D258" s="9" t="s">
        <v>146</v>
      </c>
      <c r="E258" s="9" t="s">
        <v>162</v>
      </c>
      <c r="F258" s="7" t="s">
        <v>281</v>
      </c>
      <c r="G258" s="9" t="s">
        <v>282</v>
      </c>
      <c r="H258" s="41" t="n">
        <f aca="false">INDEX(Severity_Classes!$C$4:$C$9,MATCH(F258,Severity_Classes!$A$4:$A$9,0))</f>
        <v>0.11</v>
      </c>
      <c r="I258" s="41" t="n">
        <f aca="false">INDEX(Severity_Classes!$D$4:$D$9,MATCH(F258,Severity_Classes!$A$4:$A$9,0))</f>
        <v>0.18</v>
      </c>
      <c r="J258" s="41" t="n">
        <f aca="false">INDEX(Severity_Classes!$E$4:$E$9,MATCH(F258,Severity_Classes!$A$4:$A$9,0))</f>
        <v>0.25</v>
      </c>
      <c r="K258" s="42" t="n">
        <f aca="false">MATCH(B258&amp;"|"&amp;E258,Context!$A$4:$A$51,0)</f>
        <v>43</v>
      </c>
      <c r="L258" s="42" t="n">
        <f aca="false">INDEX(Context!$H$4:$H$51,K258)</f>
        <v>53</v>
      </c>
      <c r="M258" s="42" t="n">
        <f aca="false">INDEX(Context!$I$4:$I$51,K258)</f>
        <v>26</v>
      </c>
      <c r="N258" s="9" t="str">
        <f aca="false">INDEX(Context!$L$4:$L$51,K258)</f>
        <v>F</v>
      </c>
      <c r="O258" s="9" t="str">
        <f aca="false">INDEX(Context!$M$4:$M$51,K258)</f>
        <v>5th fully expanded leaf from top</v>
      </c>
      <c r="P258" s="43" t="n">
        <f aca="false">INDEX(Context!$R$4:$R$51,K258)</f>
        <v>0.433928571428571</v>
      </c>
      <c r="Q258" s="43" t="n">
        <f aca="false">INDEX(Context!$U$4:$U$51,K258)</f>
        <v>1.73951545534029</v>
      </c>
      <c r="R258" s="43" t="n">
        <f aca="false">INDEX(Context!$AD$4:$AD$51,K258)</f>
        <v>1.1</v>
      </c>
      <c r="S258" s="9" t="str">
        <f aca="false">INDEX(Context!$AI$4:$AN$51,K258,MATCH(F258,Severity_Classes!$A$4:$A$9,0))</f>
        <v>Likely</v>
      </c>
      <c r="T258" s="44" t="n">
        <f aca="false">Parameters!$E$4*IF($N258="V",Parameters!$I$4,IF($N258="F",Parameters!$J$4,Parameters!$K$4))*(1-Parameters!$L$4*$P258)*IF($D258="V1",Parameters!$M$4,IF($D258="V2",Parameters!$N$4,Parameters!$O$4))</f>
        <v>83.2927660714286</v>
      </c>
      <c r="U258" s="44" t="n">
        <f aca="false">MIN(100,T258*(1+INDEX(Response_Table!$E$4:$E$21,MATCH($F258&amp;"|mid",Response_Table!$A$4:$A$21,0))*$R258*INDEX(Parameters!$X$4:$AA$4,1,MATCH($E258,Parameters!$X$3:$AA$3,0))))</f>
        <v>79.1248860721094</v>
      </c>
      <c r="V258" s="44" t="n">
        <f aca="false">MAX(0,MIN(T258*(1+INDEX(Response_Table!$E$4:$E$21,MATCH($F258&amp;"|low",Response_Table!$A$4:$A$21,0))*$R258*INDEX(Parameters!$X$4:$AA$4,1,MATCH($E258,Parameters!$X$3:$AA$3,0))),T258*(1+INDEX(Response_Table!$E$4:$E$21,MATCH($F258&amp;"|high",Response_Table!$A$4:$A$21,0))*$R258*INDEX(Parameters!$X$4:$AA$4,1,MATCH($E258,Parameters!$X$3:$AA$3,0))))*(1-Inputs_General!$C$22*Parameters!$F$4))</f>
        <v>71.0017791130182</v>
      </c>
      <c r="W258" s="44" t="n">
        <f aca="false">MIN(100,MAX(T258*(1+INDEX(Response_Table!$E$4:$E$21,MATCH($F258&amp;"|low",Response_Table!$A$4:$A$21,0))*$R258*INDEX(Parameters!$X$4:$AA$4,1,MATCH($E258,Parameters!$X$3:$AA$3,0))),T258*(1+INDEX(Response_Table!$E$4:$E$21,MATCH($F258&amp;"|high",Response_Table!$A$4:$A$21,0))*$R258*INDEX(Parameters!$X$4:$AA$4,1,MATCH($E258,Parameters!$X$3:$AA$3,0))))*(1+Inputs_General!$C$22*Parameters!$F$4))</f>
        <v>86.6776587121468</v>
      </c>
      <c r="X258" s="45" t="n">
        <f aca="false">IF(T258=0,0,U258/T258-1)</f>
        <v>-0.0500389192951635</v>
      </c>
      <c r="Y258" s="44" t="n">
        <f aca="false">Parameters!$E$5*IF($N258="V",Parameters!$I$5,IF($N258="F",Parameters!$J$5,Parameters!$K$5))*(1-Parameters!$L$5*$P258)*IF($D258="V1",Parameters!$M$5,IF($D258="V2",Parameters!$N$5,Parameters!$O$5))</f>
        <v>66.88584</v>
      </c>
      <c r="Z258" s="44" t="n">
        <f aca="false">MIN(100,Y258*(1+INDEX(Response_Table!$F$4:$F$21,MATCH($F258&amp;"|mid",Response_Table!$A$4:$A$21,0))*$R258*INDEX(Parameters!$X$5:$AA$5,1,MATCH($E258,Parameters!$X$3:$AA$3,0))))</f>
        <v>55.3243555722058</v>
      </c>
      <c r="AA258" s="44" t="n">
        <f aca="false">MAX(0,MIN(Y258*(1+INDEX(Response_Table!$F$4:$F$21,MATCH($F258&amp;"|low",Response_Table!$A$4:$A$21,0))*$R258*INDEX(Parameters!$X$5:$AA$5,1,MATCH($E258,Parameters!$X$3:$AA$3,0))),Y258*(1+INDEX(Response_Table!$F$4:$F$21,MATCH($F258&amp;"|high",Response_Table!$A$4:$A$21,0))*$R258*INDEX(Parameters!$X$5:$AA$5,1,MATCH($E258,Parameters!$X$3:$AA$3,0))))*(1-Inputs_General!$C$22*Parameters!$F$5))</f>
        <v>41.3824901759808</v>
      </c>
      <c r="AB258" s="44" t="n">
        <f aca="false">MIN(100,MAX(Y258*(1+INDEX(Response_Table!$F$4:$F$21,MATCH($F258&amp;"|low",Response_Table!$A$4:$A$21,0))*$R258*INDEX(Parameters!$X$5:$AA$5,1,MATCH($E258,Parameters!$X$3:$AA$3,0))),Y258*(1+INDEX(Response_Table!$F$4:$F$21,MATCH($F258&amp;"|high",Response_Table!$A$4:$A$21,0))*$R258*INDEX(Parameters!$X$5:$AA$5,1,MATCH($E258,Parameters!$X$3:$AA$3,0))))*(1+Inputs_General!$C$22*Parameters!$F$5))</f>
        <v>68.6694196332536</v>
      </c>
      <c r="AC258" s="45" t="n">
        <f aca="false">IF(Y258=0,0,Z258/Y258-1)</f>
        <v>-0.172853991634017</v>
      </c>
      <c r="AD258" s="44" t="n">
        <f aca="false">Parameters!$E$6*IF($N258="V",Parameters!$I$6,IF($N258="F",Parameters!$J$6,Parameters!$K$6))*(1-Parameters!$L$6*$P258)*IF($D258="V1",Parameters!$M$6,IF($D258="V2",Parameters!$N$6,Parameters!$O$6))</f>
        <v>18.0106428571429</v>
      </c>
      <c r="AE258" s="44" t="n">
        <f aca="false">AD258*(1+INDEX(Response_Table!$G$4:$G$21,MATCH($F258&amp;"|mid",Response_Table!$A$4:$A$21,0))*$R258*INDEX(Parameters!$X$6:$AA$6,1,MATCH($E258,Parameters!$X$3:$AA$3,0)))</f>
        <v>9.88196894724764</v>
      </c>
      <c r="AF258" s="44" t="n">
        <f aca="false">MAX(0,MIN(AD258*(1+INDEX(Response_Table!$G$4:$G$21,MATCH($F258&amp;"|low",Response_Table!$A$4:$A$21,0))*$R258*INDEX(Parameters!$X$6:$AA$6,1,MATCH($E258,Parameters!$X$3:$AA$3,0))),AD258*(1+INDEX(Response_Table!$G$4:$G$21,MATCH($F258&amp;"|high",Response_Table!$A$4:$A$21,0))*$R258*INDEX(Parameters!$X$6:$AA$6,1,MATCH($E258,Parameters!$X$3:$AA$3,0))))*(1-Inputs_General!$C$22*Parameters!$F$6))</f>
        <v>6.49939125006288</v>
      </c>
      <c r="AG258" s="44" t="n">
        <f aca="false">MAX(AD258*(1+INDEX(Response_Table!$G$4:$G$21,MATCH($F258&amp;"|low",Response_Table!$A$4:$A$21,0))*$R258*INDEX(Parameters!$X$6:$AA$6,1,MATCH($E258,Parameters!$X$3:$AA$3,0))),AD258*(1+INDEX(Response_Table!$G$4:$G$21,MATCH($F258&amp;"|high",Response_Table!$A$4:$A$21,0))*$R258*INDEX(Parameters!$X$6:$AA$6,1,MATCH($E258,Parameters!$X$3:$AA$3,0))))*(1+Inputs_General!$C$22*Parameters!$F$6)</f>
        <v>14.7394252331107</v>
      </c>
      <c r="AH258" s="45" t="n">
        <f aca="false">IF(AD258=0,0,AE258/AD258-1)</f>
        <v>-0.45132613945934</v>
      </c>
      <c r="AI258" s="46" t="n">
        <f aca="false">Parameters!$E$7*IF($N258="V",Parameters!$I$7,IF($N258="F",Parameters!$J$7,Parameters!$K$7))*(1-Parameters!$L$7*$P258)*IF($D258="V1",Parameters!$M$7,IF($D258="V2",Parameters!$N$7,Parameters!$O$7))*POWER($Q258/Inputs_General!$C$26,-Inputs_General!$C$25)</f>
        <v>0.341191629407368</v>
      </c>
      <c r="AJ258" s="46" t="n">
        <f aca="false">AI258*(1+INDEX(Response_Table!$H$4:$H$21,MATCH($F258&amp;"|mid",Response_Table!$A$4:$A$21,0))*$R258*INDEX(Parameters!$X$7:$AA$7,1,MATCH($E258,Parameters!$X$3:$AA$3,0)))</f>
        <v>0.239402224800771</v>
      </c>
      <c r="AK258" s="46" t="n">
        <f aca="false">MAX(0,MIN(AI258*(1+INDEX(Response_Table!$H$4:$H$21,MATCH($F258&amp;"|low",Response_Table!$A$4:$A$21,0))*$R258*INDEX(Parameters!$X$7:$AA$7,1,MATCH($E258,Parameters!$X$3:$AA$3,0))),AI258*(1+INDEX(Response_Table!$H$4:$H$21,MATCH($F258&amp;"|high",Response_Table!$A$4:$A$21,0))*$R258*INDEX(Parameters!$X$7:$AA$7,1,MATCH($E258,Parameters!$X$3:$AA$3,0))))*(1-Inputs_General!$C$22*Parameters!$F$7))</f>
        <v>0.149560720835635</v>
      </c>
      <c r="AL258" s="46" t="n">
        <f aca="false">MAX(AI258*(1+INDEX(Response_Table!$H$4:$H$21,MATCH($F258&amp;"|low",Response_Table!$A$4:$A$21,0))*$R258*INDEX(Parameters!$X$7:$AA$7,1,MATCH($E258,Parameters!$X$3:$AA$3,0))),AI258*(1+INDEX(Response_Table!$H$4:$H$21,MATCH($F258&amp;"|high",Response_Table!$A$4:$A$21,0))*$R258*INDEX(Parameters!$X$7:$AA$7,1,MATCH($E258,Parameters!$X$3:$AA$3,0))))*(1+Inputs_General!$C$22*Parameters!$F$7)</f>
        <v>0.353346032362206</v>
      </c>
      <c r="AM258" s="45" t="n">
        <f aca="false">IF(AI258=0,0,AJ258/AI258-1)</f>
        <v>-0.298334999552597</v>
      </c>
      <c r="AN258" s="43" t="n">
        <f aca="false">AI258*$Q258/Inputs_General!$C$13*1000</f>
        <v>5.97691956280819</v>
      </c>
      <c r="AO258" s="43" t="n">
        <f aca="false">AJ258*$Q258/Inputs_General!$C$13*1000*(1+Inputs_General!$C$21*$I258)</f>
        <v>4.38251605475893</v>
      </c>
      <c r="AP258" s="43" t="n">
        <f aca="false">AK258*$Q258/Inputs_General!$C$13*1000*(1+Inputs_General!$C$21*$H258)</f>
        <v>2.69202087617393</v>
      </c>
      <c r="AQ258" s="43" t="n">
        <f aca="false">AL258*$Q258/Inputs_General!$C$13*1000*(1+Inputs_General!$C$21*$J258)</f>
        <v>6.57670256445925</v>
      </c>
      <c r="AR258" s="45" t="n">
        <f aca="false">IF(AN258=0,0,AO258/AN258-1)</f>
        <v>-0.266760074532465</v>
      </c>
      <c r="AS258" s="42" t="n">
        <f aca="false">Parameters!$E$9*IF($N258="V",Parameters!$I$9,IF($N258="F",Parameters!$J$9,Parameters!$K$9))*(1-Parameters!$L$9*$P258)*IF($D258="V1",Parameters!$M$9,IF($D258="V2",Parameters!$N$9,Parameters!$O$9))</f>
        <v>285</v>
      </c>
      <c r="AT258" s="42" t="n">
        <f aca="false">AS258*(1+INDEX(Response_Table!$I$4:$I$21,MATCH($F258&amp;"|mid",Response_Table!$A$4:$A$21,0))*$R258*INDEX(Parameters!$X$9:$AA$9,1,MATCH($E258,Parameters!$X$3:$AA$3,0)))</f>
        <v>333.270950326965</v>
      </c>
      <c r="AU258" s="42" t="n">
        <f aca="false">MAX(0,MIN(AS258*(1+INDEX(Response_Table!$I$4:$I$21,MATCH($F258&amp;"|low",Response_Table!$A$4:$A$21,0))*$R258*INDEX(Parameters!$X$9:$AA$9,1,MATCH($E258,Parameters!$X$3:$AA$3,0))),AS258*(1+INDEX(Response_Table!$I$4:$I$21,MATCH($F258&amp;"|high",Response_Table!$A$4:$A$21,0))*$R258*INDEX(Parameters!$X$9:$AA$9,1,MATCH($E258,Parameters!$X$3:$AA$3,0))))*(1-Inputs_General!$C$22*Parameters!$F$9))</f>
        <v>287.044559024394</v>
      </c>
      <c r="AV258" s="42" t="n">
        <f aca="false">MAX(AS258*(1+INDEX(Response_Table!$I$4:$I$21,MATCH($F258&amp;"|low",Response_Table!$A$4:$A$21,0))*$R258*INDEX(Parameters!$X$9:$AA$9,1,MATCH($E258,Parameters!$X$3:$AA$3,0))),AS258*(1+INDEX(Response_Table!$I$4:$I$21,MATCH($F258&amp;"|high",Response_Table!$A$4:$A$21,0))*$R258*INDEX(Parameters!$X$9:$AA$9,1,MATCH($E258,Parameters!$X$3:$AA$3,0))))*(1+Inputs_General!$C$22*Parameters!$F$9)</f>
        <v>378.448246193483</v>
      </c>
      <c r="AW258" s="45" t="n">
        <f aca="false">IF(AS258=0,0,AT258/AS258-1)</f>
        <v>0.169371755533209</v>
      </c>
      <c r="AX258" s="43" t="n">
        <f aca="false">INDEX(Context!$AB$4:$AB$51,$K258)</f>
        <v>2.00148060787833</v>
      </c>
      <c r="AY258" s="43" t="n">
        <f aca="false">AX258*(1+INDEX(Response_Table!$J$4:$J$21,MATCH($F258&amp;"|mid",Response_Table!$A$4:$A$21,0))*$R258*INDEX(Parameters!$X$10:$AA$10,1,MATCH($E258,Parameters!$X$3:$AA$3,0)))</f>
        <v>1.64246689533016</v>
      </c>
      <c r="AZ258" s="43" t="n">
        <f aca="false">MAX(0,MIN(AX258*(1+INDEX(Response_Table!$J$4:$J$21,MATCH($F258&amp;"|low",Response_Table!$A$4:$A$21,0))*$R258*INDEX(Parameters!$X$10:$AA$10,1,MATCH($E258,Parameters!$X$3:$AA$3,0))),AX258*(1+INDEX(Response_Table!$J$4:$J$21,MATCH($F258&amp;"|high",Response_Table!$A$4:$A$21,0))*$R258*INDEX(Parameters!$X$10:$AA$10,1,MATCH($E258,Parameters!$X$3:$AA$3,0))))*(1-Inputs_General!$C$22*Parameters!$F$10))</f>
        <v>1.23684577875441</v>
      </c>
      <c r="BA258" s="43" t="n">
        <f aca="false">MAX(AX258*(1+INDEX(Response_Table!$J$4:$J$21,MATCH($F258&amp;"|low",Response_Table!$A$4:$A$21,0))*$R258*INDEX(Parameters!$X$10:$AA$10,1,MATCH($E258,Parameters!$X$3:$AA$3,0))),AX258*(1+INDEX(Response_Table!$J$4:$J$21,MATCH($F258&amp;"|high",Response_Table!$A$4:$A$21,0))*$R258*INDEX(Parameters!$X$10:$AA$10,1,MATCH($E258,Parameters!$X$3:$AA$3,0))))*(1+Inputs_General!$C$22*Parameters!$F$10)</f>
        <v>2.11135242999643</v>
      </c>
      <c r="BB258" s="45" t="n">
        <f aca="false">IF(AX258=0,0,AY258/AX258-1)</f>
        <v>-0.179374064947222</v>
      </c>
      <c r="BC258" s="46" t="n">
        <f aca="false">Parameters!$E$11*IF($N258="V",Parameters!$I$11,IF($N258="F",Parameters!$J$11,Parameters!$K$11))*(1-Parameters!$L$11*$P258)*IF($D258="V1",Parameters!$M$11,IF($D258="V2",Parameters!$N$11,Parameters!$O$11))</f>
        <v>1.21745535714286</v>
      </c>
      <c r="BD258" s="46" t="n">
        <f aca="false">BC258*(1+INDEX(Response_Table!$K$4:$K$21,MATCH($F258&amp;"|mid",Response_Table!$A$4:$A$21,0))*$R258*INDEX(Parameters!$X$11:$AA$11,1,MATCH($E258,Parameters!$X$3:$AA$3,0)))</f>
        <v>0.836308858724028</v>
      </c>
      <c r="BE258" s="46" t="n">
        <f aca="false">MAX(0,MIN(BC258*(1+INDEX(Response_Table!$K$4:$K$21,MATCH($F258&amp;"|low",Response_Table!$A$4:$A$21,0))*$R258*INDEX(Parameters!$X$11:$AA$11,1,MATCH($E258,Parameters!$X$3:$AA$3,0))),BC258*(1+INDEX(Response_Table!$K$4:$K$21,MATCH($F258&amp;"|high",Response_Table!$A$4:$A$21,0))*$R258*INDEX(Parameters!$X$11:$AA$11,1,MATCH($E258,Parameters!$X$3:$AA$3,0))))*(1-Inputs_General!$C$22*Parameters!$F$11))</f>
        <v>0.61668832684898</v>
      </c>
      <c r="BF258" s="46" t="n">
        <f aca="false">MAX(BC258*(1+INDEX(Response_Table!$K$4:$K$21,MATCH($F258&amp;"|low",Response_Table!$A$4:$A$21,0))*$R258*INDEX(Parameters!$X$11:$AA$11,1,MATCH($E258,Parameters!$X$3:$AA$3,0))),BC258*(1+INDEX(Response_Table!$K$4:$K$21,MATCH($F258&amp;"|high",Response_Table!$A$4:$A$21,0))*$R258*INDEX(Parameters!$X$11:$AA$11,1,MATCH($E258,Parameters!$X$3:$AA$3,0))))*(1+Inputs_General!$C$22*Parameters!$F$11)</f>
        <v>1.11694934909492</v>
      </c>
      <c r="BG258" s="45" t="n">
        <f aca="false">IF(BC258=0,0,BD258/BC258-1)</f>
        <v>-0.313068151684272</v>
      </c>
      <c r="BH258" s="46" t="n">
        <f aca="false">Parameters!$E$12*IF($N258="V",Parameters!$I$12,IF($N258="F",Parameters!$J$12,Parameters!$K$12))*(1-Parameters!$L$12*$P258)*IF($D258="V1",Parameters!$M$12,IF($D258="V2",Parameters!$N$12,Parameters!$O$12))</f>
        <v>0.438283928571429</v>
      </c>
      <c r="BI258" s="46" t="n">
        <f aca="false">BH258*(1+INDEX(Response_Table!$L$4:$L$21,MATCH($F258&amp;"|mid",Response_Table!$A$4:$A$21,0))*$R258*INDEX(Parameters!$X$12:$AA$12,1,MATCH($E258,Parameters!$X$3:$AA$3,0)))</f>
        <v>0.327644713803971</v>
      </c>
      <c r="BJ258" s="46" t="n">
        <f aca="false">MAX(0,MIN(BH258*(1+INDEX(Response_Table!$L$4:$L$21,MATCH($F258&amp;"|low",Response_Table!$A$4:$A$21,0))*$R258*INDEX(Parameters!$X$12:$AA$12,1,MATCH($E258,Parameters!$X$3:$AA$3,0))),BH258*(1+INDEX(Response_Table!$L$4:$L$21,MATCH($F258&amp;"|high",Response_Table!$A$4:$A$21,0))*$R258*INDEX(Parameters!$X$12:$AA$12,1,MATCH($E258,Parameters!$X$3:$AA$3,0))))*(1-Inputs_General!$C$22*Parameters!$F$12))</f>
        <v>0.239476341799864</v>
      </c>
      <c r="BK258" s="46" t="n">
        <f aca="false">MAX(BH258*(1+INDEX(Response_Table!$L$4:$L$21,MATCH($F258&amp;"|low",Response_Table!$A$4:$A$21,0))*$R258*INDEX(Parameters!$X$12:$AA$12,1,MATCH($E258,Parameters!$X$3:$AA$3,0))),BH258*(1+INDEX(Response_Table!$L$4:$L$21,MATCH($F258&amp;"|high",Response_Table!$A$4:$A$21,0))*$R258*INDEX(Parameters!$X$12:$AA$12,1,MATCH($E258,Parameters!$X$3:$AA$3,0))))*(1+Inputs_General!$C$22*Parameters!$F$12)</f>
        <v>0.43555813713871</v>
      </c>
      <c r="BL258" s="45" t="n">
        <f aca="false">IF(BH258=0,0,BI258/BH258-1)</f>
        <v>-0.252437307313736</v>
      </c>
      <c r="BM258" s="46" t="n">
        <f aca="false">Parameters!$E$13*IF($N258="V",Parameters!$I$13,IF($N258="F",Parameters!$J$13,Parameters!$K$13))*(1-Parameters!$L$13*$P258)*IF($D258="V1",Parameters!$M$13,IF($D258="V2",Parameters!$N$13,Parameters!$O$13))</f>
        <v>0.296094642857143</v>
      </c>
      <c r="BN258" s="46" t="n">
        <f aca="false">BM258*(1+INDEX(Response_Table!$M$4:$M$21,MATCH($F258&amp;"|mid",Response_Table!$A$4:$A$21,0))*$R258*INDEX(Parameters!$X$13:$AA$13,1,MATCH($E258,Parameters!$X$3:$AA$3,0)))</f>
        <v>0.268077091724233</v>
      </c>
      <c r="BO258" s="46" t="n">
        <f aca="false">MAX(0,MIN(BM258*(1+INDEX(Response_Table!$M$4:$M$21,MATCH($F258&amp;"|low",Response_Table!$A$4:$A$21,0))*$R258*INDEX(Parameters!$X$13:$AA$13,1,MATCH($E258,Parameters!$X$3:$AA$3,0))),BM258*(1+INDEX(Response_Table!$M$4:$M$21,MATCH($F258&amp;"|high",Response_Table!$A$4:$A$21,0))*$R258*INDEX(Parameters!$X$13:$AA$13,1,MATCH($E258,Parameters!$X$3:$AA$3,0))))*(1-Inputs_General!$C$22*Parameters!$F$13))</f>
        <v>0.197056192296638</v>
      </c>
      <c r="BP258" s="46" t="n">
        <f aca="false">MAX(BM258*(1+INDEX(Response_Table!$M$4:$M$21,MATCH($F258&amp;"|low",Response_Table!$A$4:$A$21,0))*$R258*INDEX(Parameters!$X$13:$AA$13,1,MATCH($E258,Parameters!$X$3:$AA$3,0))),BM258*(1+INDEX(Response_Table!$M$4:$M$21,MATCH($F258&amp;"|high",Response_Table!$A$4:$A$21,0))*$R258*INDEX(Parameters!$X$13:$AA$13,1,MATCH($E258,Parameters!$X$3:$AA$3,0))))*(1+Inputs_General!$C$22*Parameters!$F$13)</f>
        <v>0.349513377540387</v>
      </c>
      <c r="BQ258" s="45" t="n">
        <f aca="false">IF(BM258=0,0,BN258/BM258-1)</f>
        <v>-0.0946236340602347</v>
      </c>
      <c r="BR258" s="44" t="n">
        <f aca="false">Parameters!$E$14*IF($N258="V",Parameters!$I$14,IF($N258="F",Parameters!$J$14,Parameters!$K$14))*(1-Parameters!$L$14*$P258)*IF($D258="V1",Parameters!$M$14,IF($D258="V2",Parameters!$N$14,Parameters!$O$14))*INDEX(Context!$AC$4:$AC$51,$K258)</f>
        <v>15</v>
      </c>
      <c r="BS258" s="44" t="n">
        <f aca="false">BR258*(1+INDEX(Response_Table!$N$4:$N$21,MATCH($F258&amp;"|mid",Response_Table!$A$4:$A$21,0))*$R258*INDEX(Parameters!$X$14:$AA$14,1,MATCH($E258,Parameters!$X$3:$AA$3,0)))</f>
        <v>19.1307923014975</v>
      </c>
      <c r="BT258" s="44" t="n">
        <f aca="false">MAX(0,MIN(BR258*(1+INDEX(Response_Table!$N$4:$N$21,MATCH($F258&amp;"|low",Response_Table!$A$4:$A$21,0))*$R258*INDEX(Parameters!$X$14:$AA$14,1,MATCH($E258,Parameters!$X$3:$AA$3,0))),BR258*(1+INDEX(Response_Table!$N$4:$N$21,MATCH($F258&amp;"|high",Response_Table!$A$4:$A$21,0))*$R258*INDEX(Parameters!$X$14:$AA$14,1,MATCH($E258,Parameters!$X$3:$AA$3,0))))*(1-Inputs_General!$C$22*Parameters!$F$14))</f>
        <v>9.00691477726562</v>
      </c>
      <c r="BU258" s="44" t="n">
        <f aca="false">MAX(BR258*(1+INDEX(Response_Table!$N$4:$N$21,MATCH($F258&amp;"|low",Response_Table!$A$4:$A$21,0))*$R258*INDEX(Parameters!$X$14:$AA$14,1,MATCH($E258,Parameters!$X$3:$AA$3,0))),BR258*(1+INDEX(Response_Table!$N$4:$N$21,MATCH($F258&amp;"|high",Response_Table!$A$4:$A$21,0))*$R258*INDEX(Parameters!$X$14:$AA$14,1,MATCH($E258,Parameters!$X$3:$AA$3,0))))*(1+Inputs_General!$C$22*Parameters!$F$14)</f>
        <v>30.2039034794648</v>
      </c>
      <c r="BV258" s="45" t="n">
        <f aca="false">IF(BR258=0,0,BS258/BR258-1)</f>
        <v>0.275386153433167</v>
      </c>
      <c r="BW258" s="43" t="n">
        <f aca="false">Parameters!$E$15*IF($N258="V",Parameters!$I$15,IF($N258="F",Parameters!$J$15,Parameters!$K$15))*(1-Parameters!$L$15*$P258)*IF($D258="V1",Parameters!$M$15,IF($D258="V2",Parameters!$N$15,Parameters!$O$15))</f>
        <v>10.5188142857143</v>
      </c>
      <c r="BX258" s="43" t="n">
        <f aca="false">BW258*(1+INDEX(Response_Table!$O$4:$O$21,MATCH($F258&amp;"|mid",Response_Table!$A$4:$A$21,0))*$R258*INDEX(Parameters!$X$15:$AA$15,1,MATCH($E258,Parameters!$X$3:$AA$3,0)))</f>
        <v>9.79463033450911</v>
      </c>
      <c r="BY258" s="43" t="n">
        <f aca="false">MAX(0,MIN(BW258*(1+INDEX(Response_Table!$O$4:$O$21,MATCH($F258&amp;"|low",Response_Table!$A$4:$A$21,0))*$R258*INDEX(Parameters!$X$15:$AA$15,1,MATCH($E258,Parameters!$X$3:$AA$3,0))),BW258*(1+INDEX(Response_Table!$O$4:$O$21,MATCH($F258&amp;"|high",Response_Table!$A$4:$A$21,0))*$R258*INDEX(Parameters!$X$15:$AA$15,1,MATCH($E258,Parameters!$X$3:$AA$3,0))))*(1-Inputs_General!$C$22*Parameters!$F$15))</f>
        <v>7.70740903411859</v>
      </c>
      <c r="BZ258" s="43" t="n">
        <f aca="false">MAX(BW258*(1+INDEX(Response_Table!$O$4:$O$21,MATCH($F258&amp;"|low",Response_Table!$A$4:$A$21,0))*$R258*INDEX(Parameters!$X$15:$AA$15,1,MATCH($E258,Parameters!$X$3:$AA$3,0))),BW258*(1+INDEX(Response_Table!$O$4:$O$21,MATCH($F258&amp;"|high",Response_Table!$A$4:$A$21,0))*$R258*INDEX(Parameters!$X$15:$AA$15,1,MATCH($E258,Parameters!$X$3:$AA$3,0))))*(1+Inputs_General!$C$22*Parameters!$F$15)</f>
        <v>12.011091970882</v>
      </c>
      <c r="CA258" s="45" t="n">
        <f aca="false">IF(BW258=0,0,BX258/BW258-1)</f>
        <v>-0.0688465383582917</v>
      </c>
      <c r="CB258" s="46" t="n">
        <f aca="false">BD258+BI258</f>
        <v>1.163953572528</v>
      </c>
      <c r="CC258" s="43" t="n">
        <f aca="false">BD258/BI258</f>
        <v>2.55248695763909</v>
      </c>
      <c r="CD258" s="46" t="n">
        <f aca="false">BN258/CB258</f>
        <v>0.230315966247686</v>
      </c>
      <c r="CE258" s="43" t="n">
        <f aca="false">AE258/AO258</f>
        <v>2.25486200706941</v>
      </c>
      <c r="CF258" s="44" t="n">
        <f aca="false">AE258/AJ258</f>
        <v>41.2776821747223</v>
      </c>
      <c r="CG258" s="44" t="n">
        <f aca="false">INDEX(Context!$V$4:$V$51,$K258)</f>
        <v>28.62</v>
      </c>
      <c r="CH258" s="44" t="n">
        <f aca="false">INDEX(Context!$Y$4:$Y$51,$K258)</f>
        <v>25.3060134606718</v>
      </c>
      <c r="CI258" s="44" t="n">
        <f aca="false">INDEX(Context!$Z$4:$Z$51,$K258)</f>
        <v>32.62</v>
      </c>
      <c r="CJ258" s="43" t="n">
        <f aca="false">INDEX(Context!$AA$4:$AA$51,$K258)</f>
        <v>0.221696428571429</v>
      </c>
      <c r="CK258" s="43" t="n">
        <f aca="false">MAX(0,MIN(1,1-(1-CJ258)*AO258/AN258))</f>
        <v>0.429316747294598</v>
      </c>
      <c r="CL258" s="44" t="n">
        <f aca="false">CH258+CK258*(CI258-CH258)</f>
        <v>28.4460303714926</v>
      </c>
      <c r="CM258" s="44" t="n">
        <f aca="false">CH258+MAX(0,MIN(1,1-(1-CJ258)*AQ258/AN258))*(CI258-CH258)</f>
        <v>26.3562564296894</v>
      </c>
      <c r="CN258" s="44" t="n">
        <f aca="false">CH258+MAX(0,MIN(1,1-(1-CJ258)*AP258/AN258))*(CI258-CH258)</f>
        <v>30.0560816398479</v>
      </c>
      <c r="CO258" s="44" t="n">
        <f aca="false">CL258-CG258</f>
        <v>-0.173969628507365</v>
      </c>
      <c r="CP258" s="44" t="n">
        <f aca="false">CL258-(CH258+CJ258*(CI258-CH258))</f>
        <v>1.5185322164323</v>
      </c>
      <c r="CQ258" s="46" t="n">
        <f aca="false">CL258/CG258</f>
        <v>0.993921396627975</v>
      </c>
      <c r="CR258" s="43" t="n">
        <f aca="false">IF(CL258-CH258&lt;=0,"n/a",(CI258-CL258)/(CL258-CH258))</f>
        <v>1.32928253160783</v>
      </c>
      <c r="CS258" s="43" t="n">
        <f aca="false">IF(CI258-CL258&lt;=0,"n/a",(CL258-CH258)/(CI258-CL258))</f>
        <v>0.752285519610682</v>
      </c>
      <c r="CT258" s="43" t="n">
        <f aca="false">Inputs_General!$C$23+Inputs_General!$C$24*$I258</f>
        <v>0.96</v>
      </c>
      <c r="CU258" s="44" t="n">
        <f aca="false">3.29*CT258</f>
        <v>3.1584</v>
      </c>
    </row>
    <row r="259" customFormat="false" ht="15" hidden="false" customHeight="false" outlineLevel="0" collapsed="false">
      <c r="A259" s="9" t="str">
        <f aca="false">B259&amp;"|"&amp;E259&amp;"|"&amp;F259</f>
        <v>D4V2|03/03/2026|High</v>
      </c>
      <c r="B259" s="7" t="s">
        <v>353</v>
      </c>
      <c r="C259" s="9" t="s">
        <v>133</v>
      </c>
      <c r="D259" s="9" t="s">
        <v>146</v>
      </c>
      <c r="E259" s="9" t="s">
        <v>162</v>
      </c>
      <c r="F259" s="7" t="s">
        <v>283</v>
      </c>
      <c r="G259" s="9" t="s">
        <v>284</v>
      </c>
      <c r="H259" s="41" t="n">
        <f aca="false">INDEX(Severity_Classes!$C$4:$C$9,MATCH(F259,Severity_Classes!$A$4:$A$9,0))</f>
        <v>0.26</v>
      </c>
      <c r="I259" s="41" t="n">
        <f aca="false">INDEX(Severity_Classes!$D$4:$D$9,MATCH(F259,Severity_Classes!$A$4:$A$9,0))</f>
        <v>0.38</v>
      </c>
      <c r="J259" s="41" t="n">
        <f aca="false">INDEX(Severity_Classes!$E$4:$E$9,MATCH(F259,Severity_Classes!$A$4:$A$9,0))</f>
        <v>0.5</v>
      </c>
      <c r="K259" s="42" t="n">
        <f aca="false">MATCH(B259&amp;"|"&amp;E259,Context!$A$4:$A$51,0)</f>
        <v>43</v>
      </c>
      <c r="L259" s="42" t="n">
        <f aca="false">INDEX(Context!$H$4:$H$51,K259)</f>
        <v>53</v>
      </c>
      <c r="M259" s="42" t="n">
        <f aca="false">INDEX(Context!$I$4:$I$51,K259)</f>
        <v>26</v>
      </c>
      <c r="N259" s="9" t="str">
        <f aca="false">INDEX(Context!$L$4:$L$51,K259)</f>
        <v>F</v>
      </c>
      <c r="O259" s="9" t="str">
        <f aca="false">INDEX(Context!$M$4:$M$51,K259)</f>
        <v>5th fully expanded leaf from top</v>
      </c>
      <c r="P259" s="43" t="n">
        <f aca="false">INDEX(Context!$R$4:$R$51,K259)</f>
        <v>0.433928571428571</v>
      </c>
      <c r="Q259" s="43" t="n">
        <f aca="false">INDEX(Context!$U$4:$U$51,K259)</f>
        <v>1.73951545534029</v>
      </c>
      <c r="R259" s="43" t="n">
        <f aca="false">INDEX(Context!$AD$4:$AD$51,K259)</f>
        <v>1.1</v>
      </c>
      <c r="S259" s="9" t="str">
        <f aca="false">INDEX(Context!$AI$4:$AN$51,K259,MATCH(F259,Severity_Classes!$A$4:$A$9,0))</f>
        <v>Likely</v>
      </c>
      <c r="T259" s="44" t="n">
        <f aca="false">Parameters!$E$4*IF($N259="V",Parameters!$I$4,IF($N259="F",Parameters!$J$4,Parameters!$K$4))*(1-Parameters!$L$4*$P259)*IF($D259="V1",Parameters!$M$4,IF($D259="V2",Parameters!$N$4,Parameters!$O$4))</f>
        <v>83.2927660714286</v>
      </c>
      <c r="U259" s="44" t="n">
        <f aca="false">MIN(100,T259*(1+INDEX(Response_Table!$E$4:$E$21,MATCH($F259&amp;"|mid",Response_Table!$A$4:$A$21,0))*$R259*INDEX(Parameters!$X$4:$AA$4,1,MATCH($E259,Parameters!$X$3:$AA$3,0))))</f>
        <v>68.4916587492711</v>
      </c>
      <c r="V259" s="44" t="n">
        <f aca="false">MAX(0,MIN(T259*(1+INDEX(Response_Table!$E$4:$E$21,MATCH($F259&amp;"|low",Response_Table!$A$4:$A$21,0))*$R259*INDEX(Parameters!$X$4:$AA$4,1,MATCH($E259,Parameters!$X$3:$AA$3,0))),T259*(1+INDEX(Response_Table!$E$4:$E$21,MATCH($F259&amp;"|high",Response_Table!$A$4:$A$21,0))*$R259*INDEX(Parameters!$X$4:$AA$4,1,MATCH($E259,Parameters!$X$3:$AA$3,0))))*(1-Inputs_General!$C$22*Parameters!$F$4))</f>
        <v>58.1620503205959</v>
      </c>
      <c r="W259" s="44" t="n">
        <f aca="false">MIN(100,MAX(T259*(1+INDEX(Response_Table!$E$4:$E$21,MATCH($F259&amp;"|low",Response_Table!$A$4:$A$21,0))*$R259*INDEX(Parameters!$X$4:$AA$4,1,MATCH($E259,Parameters!$X$3:$AA$3,0))),T259*(1+INDEX(Response_Table!$E$4:$E$21,MATCH($F259&amp;"|high",Response_Table!$A$4:$A$21,0))*$R259*INDEX(Parameters!$X$4:$AA$4,1,MATCH($E259,Parameters!$X$3:$AA$3,0))))*(1+Inputs_General!$C$22*Parameters!$F$4))</f>
        <v>80.4515809022033</v>
      </c>
      <c r="X259" s="45" t="n">
        <f aca="false">IF(T259=0,0,U259/T259-1)</f>
        <v>-0.177699793394599</v>
      </c>
      <c r="Y259" s="44" t="n">
        <f aca="false">Parameters!$E$5*IF($N259="V",Parameters!$I$5,IF($N259="F",Parameters!$J$5,Parameters!$K$5))*(1-Parameters!$L$5*$P259)*IF($D259="V1",Parameters!$M$5,IF($D259="V2",Parameters!$N$5,Parameters!$O$5))</f>
        <v>66.88584</v>
      </c>
      <c r="Z259" s="44" t="n">
        <f aca="false">MIN(100,Y259*(1+INDEX(Response_Table!$F$4:$F$21,MATCH($F259&amp;"|mid",Response_Table!$A$4:$A$21,0))*$R259*INDEX(Parameters!$X$5:$AA$5,1,MATCH($E259,Parameters!$X$3:$AA$3,0))))</f>
        <v>30.0770733595323</v>
      </c>
      <c r="AA259" s="44" t="n">
        <f aca="false">MAX(0,MIN(Y259*(1+INDEX(Response_Table!$F$4:$F$21,MATCH($F259&amp;"|low",Response_Table!$A$4:$A$21,0))*$R259*INDEX(Parameters!$X$5:$AA$5,1,MATCH($E259,Parameters!$X$3:$AA$3,0))),Y259*(1+INDEX(Response_Table!$F$4:$F$21,MATCH($F259&amp;"|high",Response_Table!$A$4:$A$21,0))*$R259*INDEX(Parameters!$X$5:$AA$5,1,MATCH($E259,Parameters!$X$3:$AA$3,0))))*(1-Inputs_General!$C$22*Parameters!$F$5))</f>
        <v>18.4345275098652</v>
      </c>
      <c r="AB259" s="44" t="n">
        <f aca="false">MIN(100,MAX(Y259*(1+INDEX(Response_Table!$F$4:$F$21,MATCH($F259&amp;"|low",Response_Table!$A$4:$A$21,0))*$R259*INDEX(Parameters!$X$5:$AA$5,1,MATCH($E259,Parameters!$X$3:$AA$3,0))),Y259*(1+INDEX(Response_Table!$F$4:$F$21,MATCH($F259&amp;"|high",Response_Table!$A$4:$A$21,0))*$R259*INDEX(Parameters!$X$5:$AA$5,1,MATCH($E259,Parameters!$X$3:$AA$3,0))))*(1+Inputs_General!$C$22*Parameters!$F$5))</f>
        <v>50.6538400667815</v>
      </c>
      <c r="AC259" s="45" t="n">
        <f aca="false">IF(Y259=0,0,Z259/Y259-1)</f>
        <v>-0.550322260144565</v>
      </c>
      <c r="AD259" s="44" t="n">
        <f aca="false">Parameters!$E$6*IF($N259="V",Parameters!$I$6,IF($N259="F",Parameters!$J$6,Parameters!$K$6))*(1-Parameters!$L$6*$P259)*IF($D259="V1",Parameters!$M$6,IF($D259="V2",Parameters!$N$6,Parameters!$O$6))</f>
        <v>18.0106428571429</v>
      </c>
      <c r="AE259" s="44" t="n">
        <f aca="false">AD259*(1+INDEX(Response_Table!$G$4:$G$21,MATCH($F259&amp;"|mid",Response_Table!$A$4:$A$21,0))*$R259*INDEX(Parameters!$X$6:$AA$6,1,MATCH($E259,Parameters!$X$3:$AA$3,0)))</f>
        <v>5.94339564811636</v>
      </c>
      <c r="AF259" s="44" t="n">
        <f aca="false">MAX(0,MIN(AD259*(1+INDEX(Response_Table!$G$4:$G$21,MATCH($F259&amp;"|low",Response_Table!$A$4:$A$21,0))*$R259*INDEX(Parameters!$X$6:$AA$6,1,MATCH($E259,Parameters!$X$3:$AA$3,0))),AD259*(1+INDEX(Response_Table!$G$4:$G$21,MATCH($F259&amp;"|high",Response_Table!$A$4:$A$21,0))*$R259*INDEX(Parameters!$X$6:$AA$6,1,MATCH($E259,Parameters!$X$3:$AA$3,0))))*(1-Inputs_General!$C$22*Parameters!$F$6))</f>
        <v>3.85108531634867</v>
      </c>
      <c r="AG259" s="44" t="n">
        <f aca="false">MAX(AD259*(1+INDEX(Response_Table!$G$4:$G$21,MATCH($F259&amp;"|low",Response_Table!$A$4:$A$21,0))*$R259*INDEX(Parameters!$X$6:$AA$6,1,MATCH($E259,Parameters!$X$3:$AA$3,0))),AD259*(1+INDEX(Response_Table!$G$4:$G$21,MATCH($F259&amp;"|high",Response_Table!$A$4:$A$21,0))*$R259*INDEX(Parameters!$X$6:$AA$6,1,MATCH($E259,Parameters!$X$3:$AA$3,0))))*(1+Inputs_General!$C$22*Parameters!$F$6)</f>
        <v>9.44151406704474</v>
      </c>
      <c r="AH259" s="45" t="n">
        <f aca="false">IF(AD259=0,0,AE259/AD259-1)</f>
        <v>-0.670006468105648</v>
      </c>
      <c r="AI259" s="46" t="n">
        <f aca="false">Parameters!$E$7*IF($N259="V",Parameters!$I$7,IF($N259="F",Parameters!$J$7,Parameters!$K$7))*(1-Parameters!$L$7*$P259)*IF($D259="V1",Parameters!$M$7,IF($D259="V2",Parameters!$N$7,Parameters!$O$7))*POWER($Q259/Inputs_General!$C$26,-Inputs_General!$C$25)</f>
        <v>0.341191629407368</v>
      </c>
      <c r="AJ259" s="46" t="n">
        <f aca="false">AI259*(1+INDEX(Response_Table!$H$4:$H$21,MATCH($F259&amp;"|mid",Response_Table!$A$4:$A$21,0))*$R259*INDEX(Parameters!$X$7:$AA$7,1,MATCH($E259,Parameters!$X$3:$AA$3,0)))</f>
        <v>0.175260109196917</v>
      </c>
      <c r="AK259" s="46" t="n">
        <f aca="false">MAX(0,MIN(AI259*(1+INDEX(Response_Table!$H$4:$H$21,MATCH($F259&amp;"|low",Response_Table!$A$4:$A$21,0))*$R259*INDEX(Parameters!$X$7:$AA$7,1,MATCH($E259,Parameters!$X$3:$AA$3,0))),AI259*(1+INDEX(Response_Table!$H$4:$H$21,MATCH($F259&amp;"|high",Response_Table!$A$4:$A$21,0))*$R259*INDEX(Parameters!$X$7:$AA$7,1,MATCH($E259,Parameters!$X$3:$AA$3,0))))*(1-Inputs_General!$C$22*Parameters!$F$7))</f>
        <v>0.106762389993304</v>
      </c>
      <c r="AL259" s="46" t="n">
        <f aca="false">MAX(AI259*(1+INDEX(Response_Table!$H$4:$H$21,MATCH($F259&amp;"|low",Response_Table!$A$4:$A$21,0))*$R259*INDEX(Parameters!$X$7:$AA$7,1,MATCH($E259,Parameters!$X$3:$AA$3,0))),AI259*(1+INDEX(Response_Table!$H$4:$H$21,MATCH($F259&amp;"|high",Response_Table!$A$4:$A$21,0))*$R259*INDEX(Parameters!$X$7:$AA$7,1,MATCH($E259,Parameters!$X$3:$AA$3,0))))*(1+Inputs_General!$C$22*Parameters!$F$7)</f>
        <v>0.27097392203121</v>
      </c>
      <c r="AM259" s="45" t="n">
        <f aca="false">IF(AI259=0,0,AJ259/AI259-1)</f>
        <v>-0.486329399401343</v>
      </c>
      <c r="AN259" s="43" t="n">
        <f aca="false">AI259*$Q259/Inputs_General!$C$13*1000</f>
        <v>5.97691956280819</v>
      </c>
      <c r="AO259" s="43" t="n">
        <f aca="false">AJ259*$Q259/Inputs_General!$C$13*1000*(1+Inputs_General!$C$21*$I259)</f>
        <v>3.36183380840551</v>
      </c>
      <c r="AP259" s="43" t="n">
        <f aca="false">AK259*$Q259/Inputs_General!$C$13*1000*(1+Inputs_General!$C$21*$H259)</f>
        <v>1.9918055511196</v>
      </c>
      <c r="AQ259" s="43" t="n">
        <f aca="false">AL259*$Q259/Inputs_General!$C$13*1000*(1+Inputs_General!$C$21*$J259)</f>
        <v>5.34021894298486</v>
      </c>
      <c r="AR259" s="45" t="n">
        <f aca="false">IF(AN259=0,0,AO259/AN259-1)</f>
        <v>-0.43753069234447</v>
      </c>
      <c r="AS259" s="42" t="n">
        <f aca="false">Parameters!$E$9*IF($N259="V",Parameters!$I$9,IF($N259="F",Parameters!$J$9,Parameters!$K$9))*(1-Parameters!$L$9*$P259)*IF($D259="V1",Parameters!$M$9,IF($D259="V2",Parameters!$N$9,Parameters!$O$9))</f>
        <v>285</v>
      </c>
      <c r="AT259" s="42" t="n">
        <f aca="false">AS259*(1+INDEX(Response_Table!$I$4:$I$21,MATCH($F259&amp;"|mid",Response_Table!$A$4:$A$21,0))*$R259*INDEX(Parameters!$X$9:$AA$9,1,MATCH($E259,Parameters!$X$3:$AA$3,0)))</f>
        <v>358.480147032144</v>
      </c>
      <c r="AU259" s="42" t="n">
        <f aca="false">MAX(0,MIN(AS259*(1+INDEX(Response_Table!$I$4:$I$21,MATCH($F259&amp;"|low",Response_Table!$A$4:$A$21,0))*$R259*INDEX(Parameters!$X$9:$AA$9,1,MATCH($E259,Parameters!$X$3:$AA$3,0))),AS259*(1+INDEX(Response_Table!$I$4:$I$21,MATCH($F259&amp;"|high",Response_Table!$A$4:$A$21,0))*$R259*INDEX(Parameters!$X$9:$AA$9,1,MATCH($E259,Parameters!$X$3:$AA$3,0))))*(1-Inputs_General!$C$22*Parameters!$F$9))</f>
        <v>311.676378308909</v>
      </c>
      <c r="AV259" s="42" t="n">
        <f aca="false">MAX(AS259*(1+INDEX(Response_Table!$I$4:$I$21,MATCH($F259&amp;"|low",Response_Table!$A$4:$A$21,0))*$R259*INDEX(Parameters!$X$9:$AA$9,1,MATCH($E259,Parameters!$X$3:$AA$3,0))),AS259*(1+INDEX(Response_Table!$I$4:$I$21,MATCH($F259&amp;"|high",Response_Table!$A$4:$A$21,0))*$R259*INDEX(Parameters!$X$9:$AA$9,1,MATCH($E259,Parameters!$X$3:$AA$3,0))))*(1+Inputs_General!$C$22*Parameters!$F$9)</f>
        <v>402.477670041161</v>
      </c>
      <c r="AW259" s="45" t="n">
        <f aca="false">IF(AS259=0,0,AT259/AS259-1)</f>
        <v>0.257825077305769</v>
      </c>
      <c r="AX259" s="43" t="n">
        <f aca="false">INDEX(Context!$AB$4:$AB$51,$K259)</f>
        <v>2.00148060787833</v>
      </c>
      <c r="AY259" s="43" t="n">
        <f aca="false">AX259*(1+INDEX(Response_Table!$J$4:$J$21,MATCH($F259&amp;"|mid",Response_Table!$A$4:$A$21,0))*$R259*INDEX(Parameters!$X$10:$AA$10,1,MATCH($E259,Parameters!$X$3:$AA$3,0)))</f>
        <v>1.39390476304258</v>
      </c>
      <c r="AZ259" s="43" t="n">
        <f aca="false">MAX(0,MIN(AX259*(1+INDEX(Response_Table!$J$4:$J$21,MATCH($F259&amp;"|low",Response_Table!$A$4:$A$21,0))*$R259*INDEX(Parameters!$X$10:$AA$10,1,MATCH($E259,Parameters!$X$3:$AA$3,0))),AX259*(1+INDEX(Response_Table!$J$4:$J$21,MATCH($F259&amp;"|high",Response_Table!$A$4:$A$21,0))*$R259*INDEX(Parameters!$X$10:$AA$10,1,MATCH($E259,Parameters!$X$3:$AA$3,0))))*(1-Inputs_General!$C$22*Parameters!$F$10))</f>
        <v>1.03904390172713</v>
      </c>
      <c r="BA259" s="43" t="n">
        <f aca="false">MAX(AX259*(1+INDEX(Response_Table!$J$4:$J$21,MATCH($F259&amp;"|low",Response_Table!$A$4:$A$21,0))*$R259*INDEX(Parameters!$X$10:$AA$10,1,MATCH($E259,Parameters!$X$3:$AA$3,0))),AX259*(1+INDEX(Response_Table!$J$4:$J$21,MATCH($F259&amp;"|high",Response_Table!$A$4:$A$21,0))*$R259*INDEX(Parameters!$X$10:$AA$10,1,MATCH($E259,Parameters!$X$3:$AA$3,0))))*(1+Inputs_General!$C$22*Parameters!$F$10)</f>
        <v>1.82957407590191</v>
      </c>
      <c r="BB259" s="45" t="n">
        <f aca="false">IF(AX259=0,0,AY259/AX259-1)</f>
        <v>-0.303563193390022</v>
      </c>
      <c r="BC259" s="46" t="n">
        <f aca="false">Parameters!$E$11*IF($N259="V",Parameters!$I$11,IF($N259="F",Parameters!$J$11,Parameters!$K$11))*(1-Parameters!$L$11*$P259)*IF($D259="V1",Parameters!$M$11,IF($D259="V2",Parameters!$N$11,Parameters!$O$11))</f>
        <v>1.21745535714286</v>
      </c>
      <c r="BD259" s="46" t="n">
        <f aca="false">BC259*(1+INDEX(Response_Table!$K$4:$K$21,MATCH($F259&amp;"|mid",Response_Table!$A$4:$A$21,0))*$R259*INDEX(Parameters!$X$11:$AA$11,1,MATCH($E259,Parameters!$X$3:$AA$3,0)))</f>
        <v>0.604996931017847</v>
      </c>
      <c r="BE259" s="46" t="n">
        <f aca="false">MAX(0,MIN(BC259*(1+INDEX(Response_Table!$K$4:$K$21,MATCH($F259&amp;"|low",Response_Table!$A$4:$A$21,0))*$R259*INDEX(Parameters!$X$11:$AA$11,1,MATCH($E259,Parameters!$X$3:$AA$3,0))),BC259*(1+INDEX(Response_Table!$K$4:$K$21,MATCH($F259&amp;"|high",Response_Table!$A$4:$A$21,0))*$R259*INDEX(Parameters!$X$11:$AA$11,1,MATCH($E259,Parameters!$X$3:$AA$3,0))))*(1-Inputs_General!$C$22*Parameters!$F$11))</f>
        <v>0.436734042963864</v>
      </c>
      <c r="BF259" s="46" t="n">
        <f aca="false">MAX(BC259*(1+INDEX(Response_Table!$K$4:$K$21,MATCH($F259&amp;"|low",Response_Table!$A$4:$A$21,0))*$R259*INDEX(Parameters!$X$11:$AA$11,1,MATCH($E259,Parameters!$X$3:$AA$3,0))),BC259*(1+INDEX(Response_Table!$K$4:$K$21,MATCH($F259&amp;"|high",Response_Table!$A$4:$A$21,0))*$R259*INDEX(Parameters!$X$11:$AA$11,1,MATCH($E259,Parameters!$X$3:$AA$3,0))))*(1+Inputs_General!$C$22*Parameters!$F$11)</f>
        <v>0.845181088313207</v>
      </c>
      <c r="BG259" s="45" t="n">
        <f aca="false">IF(BC259=0,0,BD259/BC259-1)</f>
        <v>-0.503064381401497</v>
      </c>
      <c r="BH259" s="46" t="n">
        <f aca="false">Parameters!$E$12*IF($N259="V",Parameters!$I$12,IF($N259="F",Parameters!$J$12,Parameters!$K$12))*(1-Parameters!$L$12*$P259)*IF($D259="V1",Parameters!$M$12,IF($D259="V2",Parameters!$N$12,Parameters!$O$12))</f>
        <v>0.438283928571429</v>
      </c>
      <c r="BI259" s="46" t="n">
        <f aca="false">BH259*(1+INDEX(Response_Table!$L$4:$L$21,MATCH($F259&amp;"|mid",Response_Table!$A$4:$A$21,0))*$R259*INDEX(Parameters!$X$12:$AA$12,1,MATCH($E259,Parameters!$X$3:$AA$3,0)))</f>
        <v>0.257925931860395</v>
      </c>
      <c r="BJ259" s="46" t="n">
        <f aca="false">MAX(0,MIN(BH259*(1+INDEX(Response_Table!$L$4:$L$21,MATCH($F259&amp;"|low",Response_Table!$A$4:$A$21,0))*$R259*INDEX(Parameters!$X$12:$AA$12,1,MATCH($E259,Parameters!$X$3:$AA$3,0))),BH259*(1+INDEX(Response_Table!$L$4:$L$21,MATCH($F259&amp;"|high",Response_Table!$A$4:$A$21,0))*$R259*INDEX(Parameters!$X$12:$AA$12,1,MATCH($E259,Parameters!$X$3:$AA$3,0))))*(1-Inputs_General!$C$22*Parameters!$F$12))</f>
        <v>0.186434141332036</v>
      </c>
      <c r="BK259" s="46" t="n">
        <f aca="false">MAX(BH259*(1+INDEX(Response_Table!$L$4:$L$21,MATCH($F259&amp;"|low",Response_Table!$A$4:$A$21,0))*$R259*INDEX(Parameters!$X$12:$AA$12,1,MATCH($E259,Parameters!$X$3:$AA$3,0))),BH259*(1+INDEX(Response_Table!$L$4:$L$21,MATCH($F259&amp;"|high",Response_Table!$A$4:$A$21,0))*$R259*INDEX(Parameters!$X$12:$AA$12,1,MATCH($E259,Parameters!$X$3:$AA$3,0))))*(1+Inputs_General!$C$22*Parameters!$F$12)</f>
        <v>0.352842532928187</v>
      </c>
      <c r="BL259" s="45" t="n">
        <f aca="false">IF(BH259=0,0,BI259/BH259-1)</f>
        <v>-0.411509491801136</v>
      </c>
      <c r="BM259" s="46" t="n">
        <f aca="false">Parameters!$E$13*IF($N259="V",Parameters!$I$13,IF($N259="F",Parameters!$J$13,Parameters!$K$13))*(1-Parameters!$L$13*$P259)*IF($D259="V1",Parameters!$M$13,IF($D259="V2",Parameters!$N$13,Parameters!$O$13))</f>
        <v>0.296094642857143</v>
      </c>
      <c r="BN259" s="46" t="n">
        <f aca="false">BM259*(1+INDEX(Response_Table!$M$4:$M$21,MATCH($F259&amp;"|mid",Response_Table!$A$4:$A$21,0))*$R259*INDEX(Parameters!$X$13:$AA$13,1,MATCH($E259,Parameters!$X$3:$AA$3,0)))</f>
        <v>0.215005860697199</v>
      </c>
      <c r="BO259" s="46" t="n">
        <f aca="false">MAX(0,MIN(BM259*(1+INDEX(Response_Table!$M$4:$M$21,MATCH($F259&amp;"|low",Response_Table!$A$4:$A$21,0))*$R259*INDEX(Parameters!$X$13:$AA$13,1,MATCH($E259,Parameters!$X$3:$AA$3,0))),BM259*(1+INDEX(Response_Table!$M$4:$M$21,MATCH($F259&amp;"|high",Response_Table!$A$4:$A$21,0))*$R259*INDEX(Parameters!$X$13:$AA$13,1,MATCH($E259,Parameters!$X$3:$AA$3,0))))*(1-Inputs_General!$C$22*Parameters!$F$13))</f>
        <v>0.15880685290092</v>
      </c>
      <c r="BP259" s="46" t="n">
        <f aca="false">MAX(BM259*(1+INDEX(Response_Table!$M$4:$M$21,MATCH($F259&amp;"|low",Response_Table!$A$4:$A$21,0))*$R259*INDEX(Parameters!$X$13:$AA$13,1,MATCH($E259,Parameters!$X$3:$AA$3,0))),BM259*(1+INDEX(Response_Table!$M$4:$M$21,MATCH($F259&amp;"|high",Response_Table!$A$4:$A$21,0))*$R259*INDEX(Parameters!$X$13:$AA$13,1,MATCH($E259,Parameters!$X$3:$AA$3,0))))*(1+Inputs_General!$C$22*Parameters!$F$13)</f>
        <v>0.290527682265843</v>
      </c>
      <c r="BQ259" s="45" t="n">
        <f aca="false">IF(BM259=0,0,BN259/BM259-1)</f>
        <v>-0.273861024223485</v>
      </c>
      <c r="BR259" s="44" t="n">
        <f aca="false">Parameters!$E$14*IF($N259="V",Parameters!$I$14,IF($N259="F",Parameters!$J$14,Parameters!$K$14))*(1-Parameters!$L$14*$P259)*IF($D259="V1",Parameters!$M$14,IF($D259="V2",Parameters!$N$14,Parameters!$O$14))*INDEX(Context!$AC$4:$AC$51,$K259)</f>
        <v>15</v>
      </c>
      <c r="BS259" s="44" t="n">
        <f aca="false">BR259*(1+INDEX(Response_Table!$N$4:$N$21,MATCH($F259&amp;"|mid",Response_Table!$A$4:$A$21,0))*$R259*INDEX(Parameters!$X$14:$AA$14,1,MATCH($E259,Parameters!$X$3:$AA$3,0)))</f>
        <v>21.7337916840186</v>
      </c>
      <c r="BT259" s="44" t="n">
        <f aca="false">MAX(0,MIN(BR259*(1+INDEX(Response_Table!$N$4:$N$21,MATCH($F259&amp;"|low",Response_Table!$A$4:$A$21,0))*$R259*INDEX(Parameters!$X$14:$AA$14,1,MATCH($E259,Parameters!$X$3:$AA$3,0))),BR259*(1+INDEX(Response_Table!$N$4:$N$21,MATCH($F259&amp;"|high",Response_Table!$A$4:$A$21,0))*$R259*INDEX(Parameters!$X$14:$AA$14,1,MATCH($E259,Parameters!$X$3:$AA$3,0))))*(1-Inputs_General!$C$22*Parameters!$F$14))</f>
        <v>10.3132418172117</v>
      </c>
      <c r="BU259" s="44" t="n">
        <f aca="false">MAX(BR259*(1+INDEX(Response_Table!$N$4:$N$21,MATCH($F259&amp;"|low",Response_Table!$A$4:$A$21,0))*$R259*INDEX(Parameters!$X$14:$AA$14,1,MATCH($E259,Parameters!$X$3:$AA$3,0))),BR259*(1+INDEX(Response_Table!$N$4:$N$21,MATCH($F259&amp;"|high",Response_Table!$A$4:$A$21,0))*$R259*INDEX(Parameters!$X$14:$AA$14,1,MATCH($E259,Parameters!$X$3:$AA$3,0))))*(1+Inputs_General!$C$22*Parameters!$F$14)</f>
        <v>33.8890255476014</v>
      </c>
      <c r="BV259" s="45" t="n">
        <f aca="false">IF(BR259=0,0,BS259/BR259-1)</f>
        <v>0.448919445601239</v>
      </c>
      <c r="BW259" s="43" t="n">
        <f aca="false">Parameters!$E$15*IF($N259="V",Parameters!$I$15,IF($N259="F",Parameters!$J$15,Parameters!$K$15))*(1-Parameters!$L$15*$P259)*IF($D259="V1",Parameters!$M$15,IF($D259="V2",Parameters!$N$15,Parameters!$O$15))</f>
        <v>10.5188142857143</v>
      </c>
      <c r="BX259" s="43" t="n">
        <f aca="false">BW259*(1+INDEX(Response_Table!$O$4:$O$21,MATCH($F259&amp;"|mid",Response_Table!$A$4:$A$21,0))*$R259*INDEX(Parameters!$X$15:$AA$15,1,MATCH($E259,Parameters!$X$3:$AA$3,0)))</f>
        <v>9.33828921633297</v>
      </c>
      <c r="BY259" s="43" t="n">
        <f aca="false">MAX(0,MIN(BW259*(1+INDEX(Response_Table!$O$4:$O$21,MATCH($F259&amp;"|low",Response_Table!$A$4:$A$21,0))*$R259*INDEX(Parameters!$X$15:$AA$15,1,MATCH($E259,Parameters!$X$3:$AA$3,0))),BW259*(1+INDEX(Response_Table!$O$4:$O$21,MATCH($F259&amp;"|high",Response_Table!$A$4:$A$21,0))*$R259*INDEX(Parameters!$X$15:$AA$15,1,MATCH($E259,Parameters!$X$3:$AA$3,0))))*(1-Inputs_General!$C$22*Parameters!$F$15))</f>
        <v>7.36022372196553</v>
      </c>
      <c r="BZ259" s="43" t="n">
        <f aca="false">MAX(BW259*(1+INDEX(Response_Table!$O$4:$O$21,MATCH($F259&amp;"|low",Response_Table!$A$4:$A$21,0))*$R259*INDEX(Parameters!$X$15:$AA$15,1,MATCH($E259,Parameters!$X$3:$AA$3,0))),BW259*(1+INDEX(Response_Table!$O$4:$O$21,MATCH($F259&amp;"|high",Response_Table!$A$4:$A$21,0))*$R259*INDEX(Parameters!$X$15:$AA$15,1,MATCH($E259,Parameters!$X$3:$AA$3,0))))*(1+Inputs_General!$C$22*Parameters!$F$15)</f>
        <v>11.4696807433222</v>
      </c>
      <c r="CA259" s="45" t="n">
        <f aca="false">IF(BW259=0,0,BX259/BW259-1)</f>
        <v>-0.11222986140031</v>
      </c>
      <c r="CB259" s="46" t="n">
        <f aca="false">BD259+BI259</f>
        <v>0.862922862878242</v>
      </c>
      <c r="CC259" s="43" t="n">
        <f aca="false">BD259/BI259</f>
        <v>2.34562274004038</v>
      </c>
      <c r="CD259" s="46" t="n">
        <f aca="false">BN259/CB259</f>
        <v>0.249160000211439</v>
      </c>
      <c r="CE259" s="43" t="n">
        <f aca="false">AE259/AO259</f>
        <v>1.76790287290711</v>
      </c>
      <c r="CF259" s="44" t="n">
        <f aca="false">AE259/AJ259</f>
        <v>33.9118563565342</v>
      </c>
      <c r="CG259" s="44" t="n">
        <f aca="false">INDEX(Context!$V$4:$V$51,$K259)</f>
        <v>28.62</v>
      </c>
      <c r="CH259" s="44" t="n">
        <f aca="false">INDEX(Context!$Y$4:$Y$51,$K259)</f>
        <v>25.3060134606718</v>
      </c>
      <c r="CI259" s="44" t="n">
        <f aca="false">INDEX(Context!$Z$4:$Z$51,$K259)</f>
        <v>32.62</v>
      </c>
      <c r="CJ259" s="43" t="n">
        <f aca="false">INDEX(Context!$AA$4:$AA$51,$K259)</f>
        <v>0.221696428571429</v>
      </c>
      <c r="CK259" s="43" t="n">
        <f aca="false">MAX(0,MIN(1,1-(1-CJ259)*AO259/AN259))</f>
        <v>0.562228129032745</v>
      </c>
      <c r="CL259" s="44" t="n">
        <f aca="false">CH259+CK259*(CI259-CH259)</f>
        <v>29.418142428449</v>
      </c>
      <c r="CM259" s="44" t="n">
        <f aca="false">CH259+MAX(0,MIN(1,1-(1-CJ259)*AQ259/AN259))*(CI259-CH259)</f>
        <v>27.5339007366798</v>
      </c>
      <c r="CN259" s="44" t="n">
        <f aca="false">CH259+MAX(0,MIN(1,1-(1-CJ259)*AP259/AN259))*(CI259-CH259)</f>
        <v>30.7229765156849</v>
      </c>
      <c r="CO259" s="44" t="n">
        <f aca="false">CL259-CG259</f>
        <v>0.798142428448962</v>
      </c>
      <c r="CP259" s="44" t="n">
        <f aca="false">CL259-(CH259+CJ259*(CI259-CH259))</f>
        <v>2.49064427338863</v>
      </c>
      <c r="CQ259" s="46" t="n">
        <f aca="false">CL259/CG259</f>
        <v>1.02788757611632</v>
      </c>
      <c r="CR259" s="43" t="n">
        <f aca="false">IF(CL259-CH259&lt;=0,"n/a",(CI259-CL259)/(CL259-CH259))</f>
        <v>0.778637439788713</v>
      </c>
      <c r="CS259" s="43" t="n">
        <f aca="false">IF(CI259-CL259&lt;=0,"n/a",(CL259-CH259)/(CI259-CL259))</f>
        <v>1.28429478072793</v>
      </c>
      <c r="CT259" s="43" t="n">
        <f aca="false">Inputs_General!$C$23+Inputs_General!$C$24*$I259</f>
        <v>1.36</v>
      </c>
      <c r="CU259" s="44" t="n">
        <f aca="false">3.29*CT259</f>
        <v>4.4744</v>
      </c>
    </row>
    <row r="260" customFormat="false" ht="15" hidden="false" customHeight="false" outlineLevel="0" collapsed="false">
      <c r="A260" s="9" t="str">
        <f aca="false">B260&amp;"|"&amp;E260&amp;"|"&amp;F260</f>
        <v>D4V2|03/03/2026|Very high</v>
      </c>
      <c r="B260" s="7" t="s">
        <v>353</v>
      </c>
      <c r="C260" s="9" t="s">
        <v>133</v>
      </c>
      <c r="D260" s="9" t="s">
        <v>146</v>
      </c>
      <c r="E260" s="9" t="s">
        <v>162</v>
      </c>
      <c r="F260" s="7" t="s">
        <v>285</v>
      </c>
      <c r="G260" s="9" t="s">
        <v>286</v>
      </c>
      <c r="H260" s="41" t="n">
        <f aca="false">INDEX(Severity_Classes!$C$4:$C$9,MATCH(F260,Severity_Classes!$A$4:$A$9,0))</f>
        <v>0.51</v>
      </c>
      <c r="I260" s="41" t="n">
        <f aca="false">INDEX(Severity_Classes!$D$4:$D$9,MATCH(F260,Severity_Classes!$A$4:$A$9,0))</f>
        <v>0.65</v>
      </c>
      <c r="J260" s="41" t="n">
        <f aca="false">INDEX(Severity_Classes!$E$4:$E$9,MATCH(F260,Severity_Classes!$A$4:$A$9,0))</f>
        <v>0.85</v>
      </c>
      <c r="K260" s="42" t="n">
        <f aca="false">MATCH(B260&amp;"|"&amp;E260,Context!$A$4:$A$51,0)</f>
        <v>43</v>
      </c>
      <c r="L260" s="42" t="n">
        <f aca="false">INDEX(Context!$H$4:$H$51,K260)</f>
        <v>53</v>
      </c>
      <c r="M260" s="42" t="n">
        <f aca="false">INDEX(Context!$I$4:$I$51,K260)</f>
        <v>26</v>
      </c>
      <c r="N260" s="9" t="str">
        <f aca="false">INDEX(Context!$L$4:$L$51,K260)</f>
        <v>F</v>
      </c>
      <c r="O260" s="9" t="str">
        <f aca="false">INDEX(Context!$M$4:$M$51,K260)</f>
        <v>5th fully expanded leaf from top</v>
      </c>
      <c r="P260" s="43" t="n">
        <f aca="false">INDEX(Context!$R$4:$R$51,K260)</f>
        <v>0.433928571428571</v>
      </c>
      <c r="Q260" s="43" t="n">
        <f aca="false">INDEX(Context!$U$4:$U$51,K260)</f>
        <v>1.73951545534029</v>
      </c>
      <c r="R260" s="43" t="n">
        <f aca="false">INDEX(Context!$AD$4:$AD$51,K260)</f>
        <v>1.1</v>
      </c>
      <c r="S260" s="9" t="str">
        <f aca="false">INDEX(Context!$AI$4:$AN$51,K260,MATCH(F260,Severity_Classes!$A$4:$A$9,0))</f>
        <v>Possible</v>
      </c>
      <c r="T260" s="44" t="n">
        <f aca="false">Parameters!$E$4*IF($N260="V",Parameters!$I$4,IF($N260="F",Parameters!$J$4,Parameters!$K$4))*(1-Parameters!$L$4*$P260)*IF($D260="V1",Parameters!$M$4,IF($D260="V2",Parameters!$N$4,Parameters!$O$4))</f>
        <v>83.2927660714286</v>
      </c>
      <c r="U260" s="44" t="n">
        <f aca="false">MIN(100,T260*(1+INDEX(Response_Table!$E$4:$E$21,MATCH($F260&amp;"|mid",Response_Table!$A$4:$A$21,0))*$R260*INDEX(Parameters!$X$4:$AA$4,1,MATCH($E260,Parameters!$X$3:$AA$3,0))))</f>
        <v>58.0040694610639</v>
      </c>
      <c r="V260" s="44" t="n">
        <f aca="false">MAX(0,MIN(T260*(1+INDEX(Response_Table!$E$4:$E$21,MATCH($F260&amp;"|low",Response_Table!$A$4:$A$21,0))*$R260*INDEX(Parameters!$X$4:$AA$4,1,MATCH($E260,Parameters!$X$3:$AA$3,0))),T260*(1+INDEX(Response_Table!$E$4:$E$21,MATCH($F260&amp;"|high",Response_Table!$A$4:$A$21,0))*$R260*INDEX(Parameters!$X$4:$AA$4,1,MATCH($E260,Parameters!$X$3:$AA$3,0))))*(1-Inputs_General!$C$22*Parameters!$F$4))</f>
        <v>52.5473524770264</v>
      </c>
      <c r="W260" s="44" t="n">
        <f aca="false">MIN(100,MAX(T260*(1+INDEX(Response_Table!$E$4:$E$21,MATCH($F260&amp;"|low",Response_Table!$A$4:$A$21,0))*$R260*INDEX(Parameters!$X$4:$AA$4,1,MATCH($E260,Parameters!$X$3:$AA$3,0))),T260*(1+INDEX(Response_Table!$E$4:$E$21,MATCH($F260&amp;"|high",Response_Table!$A$4:$A$21,0))*$R260*INDEX(Parameters!$X$4:$AA$4,1,MATCH($E260,Parameters!$X$3:$AA$3,0))))*(1+Inputs_General!$C$22*Parameters!$F$4))</f>
        <v>65.9201352950414</v>
      </c>
      <c r="X260" s="45" t="n">
        <f aca="false">IF(T260=0,0,U260/T260-1)</f>
        <v>-0.30361215989247</v>
      </c>
      <c r="Y260" s="44" t="n">
        <f aca="false">Parameters!$E$5*IF($N260="V",Parameters!$I$5,IF($N260="F",Parameters!$J$5,Parameters!$K$5))*(1-Parameters!$L$5*$P260)*IF($D260="V1",Parameters!$M$5,IF($D260="V2",Parameters!$N$5,Parameters!$O$5))</f>
        <v>66.88584</v>
      </c>
      <c r="Z260" s="44" t="n">
        <f aca="false">MIN(100,Y260*(1+INDEX(Response_Table!$F$4:$F$21,MATCH($F260&amp;"|mid",Response_Table!$A$4:$A$21,0))*$R260*INDEX(Parameters!$X$5:$AA$5,1,MATCH($E260,Parameters!$X$3:$AA$3,0))))</f>
        <v>16.701897501595</v>
      </c>
      <c r="AA260" s="44" t="n">
        <f aca="false">MAX(0,MIN(Y260*(1+INDEX(Response_Table!$F$4:$F$21,MATCH($F260&amp;"|low",Response_Table!$A$4:$A$21,0))*$R260*INDEX(Parameters!$X$5:$AA$5,1,MATCH($E260,Parameters!$X$3:$AA$3,0))),Y260*(1+INDEX(Response_Table!$F$4:$F$21,MATCH($F260&amp;"|high",Response_Table!$A$4:$A$21,0))*$R260*INDEX(Parameters!$X$5:$AA$5,1,MATCH($E260,Parameters!$X$3:$AA$3,0))))*(1-Inputs_General!$C$22*Parameters!$F$5))</f>
        <v>13.7735192401164</v>
      </c>
      <c r="AB260" s="44" t="n">
        <f aca="false">MIN(100,MAX(Y260*(1+INDEX(Response_Table!$F$4:$F$21,MATCH($F260&amp;"|low",Response_Table!$A$4:$A$21,0))*$R260*INDEX(Parameters!$X$5:$AA$5,1,MATCH($E260,Parameters!$X$3:$AA$3,0))),Y260*(1+INDEX(Response_Table!$F$4:$F$21,MATCH($F260&amp;"|high",Response_Table!$A$4:$A$21,0))*$R260*INDEX(Parameters!$X$5:$AA$5,1,MATCH($E260,Parameters!$X$3:$AA$3,0))))*(1+Inputs_General!$C$22*Parameters!$F$5))</f>
        <v>22.7068513666516</v>
      </c>
      <c r="AC260" s="45" t="n">
        <f aca="false">IF(Y260=0,0,Z260/Y260-1)</f>
        <v>-0.750292475932201</v>
      </c>
      <c r="AD260" s="44" t="n">
        <f aca="false">Parameters!$E$6*IF($N260="V",Parameters!$I$6,IF($N260="F",Parameters!$J$6,Parameters!$K$6))*(1-Parameters!$L$6*$P260)*IF($D260="V1",Parameters!$M$6,IF($D260="V2",Parameters!$N$6,Parameters!$O$6))</f>
        <v>18.0106428571429</v>
      </c>
      <c r="AE260" s="44" t="n">
        <f aca="false">AD260*(1+INDEX(Response_Table!$G$4:$G$21,MATCH($F260&amp;"|mid",Response_Table!$A$4:$A$21,0))*$R260*INDEX(Parameters!$X$6:$AA$6,1,MATCH($E260,Parameters!$X$3:$AA$3,0)))</f>
        <v>4.00280643011045</v>
      </c>
      <c r="AF260" s="44" t="n">
        <f aca="false">MAX(0,MIN(AD260*(1+INDEX(Response_Table!$G$4:$G$21,MATCH($F260&amp;"|low",Response_Table!$A$4:$A$21,0))*$R260*INDEX(Parameters!$X$6:$AA$6,1,MATCH($E260,Parameters!$X$3:$AA$3,0))),AD260*(1+INDEX(Response_Table!$G$4:$G$21,MATCH($F260&amp;"|high",Response_Table!$A$4:$A$21,0))*$R260*INDEX(Parameters!$X$6:$AA$6,1,MATCH($E260,Parameters!$X$3:$AA$3,0))))*(1-Inputs_General!$C$22*Parameters!$F$6))</f>
        <v>2.81296813150981</v>
      </c>
      <c r="AG260" s="44" t="n">
        <f aca="false">MAX(AD260*(1+INDEX(Response_Table!$G$4:$G$21,MATCH($F260&amp;"|low",Response_Table!$A$4:$A$21,0))*$R260*INDEX(Parameters!$X$6:$AA$6,1,MATCH($E260,Parameters!$X$3:$AA$3,0))),AD260*(1+INDEX(Response_Table!$G$4:$G$21,MATCH($F260&amp;"|high",Response_Table!$A$4:$A$21,0))*$R260*INDEX(Parameters!$X$6:$AA$6,1,MATCH($E260,Parameters!$X$3:$AA$3,0))))*(1+Inputs_General!$C$22*Parameters!$F$6)</f>
        <v>5.66057833960075</v>
      </c>
      <c r="AH260" s="45" t="n">
        <f aca="false">IF(AD260=0,0,AE260/AD260-1)</f>
        <v>-0.77775327278099</v>
      </c>
      <c r="AI260" s="46" t="n">
        <f aca="false">Parameters!$E$7*IF($N260="V",Parameters!$I$7,IF($N260="F",Parameters!$J$7,Parameters!$K$7))*(1-Parameters!$L$7*$P260)*IF($D260="V1",Parameters!$M$7,IF($D260="V2",Parameters!$N$7,Parameters!$O$7))*POWER($Q260/Inputs_General!$C$26,-Inputs_General!$C$25)</f>
        <v>0.341191629407368</v>
      </c>
      <c r="AJ260" s="46" t="n">
        <f aca="false">AI260*(1+INDEX(Response_Table!$H$4:$H$21,MATCH($F260&amp;"|mid",Response_Table!$A$4:$A$21,0))*$R260*INDEX(Parameters!$X$7:$AA$7,1,MATCH($E260,Parameters!$X$3:$AA$3,0)))</f>
        <v>0.131947660830621</v>
      </c>
      <c r="AK260" s="46" t="n">
        <f aca="false">MAX(0,MIN(AI260*(1+INDEX(Response_Table!$H$4:$H$21,MATCH($F260&amp;"|low",Response_Table!$A$4:$A$21,0))*$R260*INDEX(Parameters!$X$7:$AA$7,1,MATCH($E260,Parameters!$X$3:$AA$3,0))),AI260*(1+INDEX(Response_Table!$H$4:$H$21,MATCH($F260&amp;"|high",Response_Table!$A$4:$A$21,0))*$R260*INDEX(Parameters!$X$7:$AA$7,1,MATCH($E260,Parameters!$X$3:$AA$3,0))))*(1-Inputs_General!$C$22*Parameters!$F$7))</f>
        <v>0.0818549782942233</v>
      </c>
      <c r="AL260" s="46" t="n">
        <f aca="false">MAX(AI260*(1+INDEX(Response_Table!$H$4:$H$21,MATCH($F260&amp;"|low",Response_Table!$A$4:$A$21,0))*$R260*INDEX(Parameters!$X$7:$AA$7,1,MATCH($E260,Parameters!$X$3:$AA$3,0))),AI260*(1+INDEX(Response_Table!$H$4:$H$21,MATCH($F260&amp;"|high",Response_Table!$A$4:$A$21,0))*$R260*INDEX(Parameters!$X$7:$AA$7,1,MATCH($E260,Parameters!$X$3:$AA$3,0))))*(1+Inputs_General!$C$22*Parameters!$F$7)</f>
        <v>0.19449785545795</v>
      </c>
      <c r="AM260" s="45" t="n">
        <f aca="false">IF(AI260=0,0,AJ260/AI260-1)</f>
        <v>-0.613274038815643</v>
      </c>
      <c r="AN260" s="43" t="n">
        <f aca="false">AI260*$Q260/Inputs_General!$C$13*1000</f>
        <v>5.97691956280819</v>
      </c>
      <c r="AO260" s="43" t="n">
        <f aca="false">AJ260*$Q260/Inputs_General!$C$13*1000*(1+Inputs_General!$C$21*$I260)</f>
        <v>2.68703733181148</v>
      </c>
      <c r="AP260" s="43" t="n">
        <f aca="false">AK260*$Q260/Inputs_General!$C$13*1000*(1+Inputs_General!$C$21*$H260)</f>
        <v>1.61674189142862</v>
      </c>
      <c r="AQ260" s="43" t="n">
        <f aca="false">AL260*$Q260/Inputs_General!$C$13*1000*(1+Inputs_General!$C$21*$J260)</f>
        <v>4.13119416958278</v>
      </c>
      <c r="AR260" s="45" t="n">
        <f aca="false">IF(AN260=0,0,AO260/AN260-1)</f>
        <v>-0.550431070123185</v>
      </c>
      <c r="AS260" s="42" t="n">
        <f aca="false">Parameters!$E$9*IF($N260="V",Parameters!$I$9,IF($N260="F",Parameters!$J$9,Parameters!$K$9))*(1-Parameters!$L$9*$P260)*IF($D260="V1",Parameters!$M$9,IF($D260="V2",Parameters!$N$9,Parameters!$O$9))</f>
        <v>285</v>
      </c>
      <c r="AT260" s="42" t="n">
        <f aca="false">AS260*(1+INDEX(Response_Table!$I$4:$I$21,MATCH($F260&amp;"|mid",Response_Table!$A$4:$A$21,0))*$R260*INDEX(Parameters!$X$9:$AA$9,1,MATCH($E260,Parameters!$X$3:$AA$3,0)))</f>
        <v>372.064569968942</v>
      </c>
      <c r="AU260" s="42" t="n">
        <f aca="false">MAX(0,MIN(AS260*(1+INDEX(Response_Table!$I$4:$I$21,MATCH($F260&amp;"|low",Response_Table!$A$4:$A$21,0))*$R260*INDEX(Parameters!$X$9:$AA$9,1,MATCH($E260,Parameters!$X$3:$AA$3,0))),AS260*(1+INDEX(Response_Table!$I$4:$I$21,MATCH($F260&amp;"|high",Response_Table!$A$4:$A$21,0))*$R260*INDEX(Parameters!$X$9:$AA$9,1,MATCH($E260,Parameters!$X$3:$AA$3,0))))*(1-Inputs_General!$C$22*Parameters!$F$9))</f>
        <v>330.61558680736</v>
      </c>
      <c r="AV260" s="42" t="n">
        <f aca="false">MAX(AS260*(1+INDEX(Response_Table!$I$4:$I$21,MATCH($F260&amp;"|low",Response_Table!$A$4:$A$21,0))*$R260*INDEX(Parameters!$X$9:$AA$9,1,MATCH($E260,Parameters!$X$3:$AA$3,0))),AS260*(1+INDEX(Response_Table!$I$4:$I$21,MATCH($F260&amp;"|high",Response_Table!$A$4:$A$21,0))*$R260*INDEX(Parameters!$X$9:$AA$9,1,MATCH($E260,Parameters!$X$3:$AA$3,0))))*(1+Inputs_General!$C$22*Parameters!$F$9)</f>
        <v>413.013683739106</v>
      </c>
      <c r="AW260" s="45" t="n">
        <f aca="false">IF(AS260=0,0,AT260/AS260-1)</f>
        <v>0.30548971918927</v>
      </c>
      <c r="AX260" s="43" t="n">
        <f aca="false">INDEX(Context!$AB$4:$AB$51,$K260)</f>
        <v>2.00148060787833</v>
      </c>
      <c r="AY260" s="43" t="n">
        <f aca="false">AX260*(1+INDEX(Response_Table!$J$4:$J$21,MATCH($F260&amp;"|mid",Response_Table!$A$4:$A$21,0))*$R260*INDEX(Parameters!$X$10:$AA$10,1,MATCH($E260,Parameters!$X$3:$AA$3,0)))</f>
        <v>1.20583458217464</v>
      </c>
      <c r="AZ260" s="43" t="n">
        <f aca="false">MAX(0,MIN(AX260*(1+INDEX(Response_Table!$J$4:$J$21,MATCH($F260&amp;"|low",Response_Table!$A$4:$A$21,0))*$R260*INDEX(Parameters!$X$10:$AA$10,1,MATCH($E260,Parameters!$X$3:$AA$3,0))),AX260*(1+INDEX(Response_Table!$J$4:$J$21,MATCH($F260&amp;"|high",Response_Table!$A$4:$A$21,0))*$R260*INDEX(Parameters!$X$10:$AA$10,1,MATCH($E260,Parameters!$X$3:$AA$3,0))))*(1-Inputs_General!$C$22*Parameters!$F$10))</f>
        <v>0.906194694557052</v>
      </c>
      <c r="BA260" s="43" t="n">
        <f aca="false">MAX(AX260*(1+INDEX(Response_Table!$J$4:$J$21,MATCH($F260&amp;"|low",Response_Table!$A$4:$A$21,0))*$R260*INDEX(Parameters!$X$10:$AA$10,1,MATCH($E260,Parameters!$X$3:$AA$3,0))),AX260*(1+INDEX(Response_Table!$J$4:$J$21,MATCH($F260&amp;"|high",Response_Table!$A$4:$A$21,0))*$R260*INDEX(Parameters!$X$10:$AA$10,1,MATCH($E260,Parameters!$X$3:$AA$3,0))))*(1+Inputs_General!$C$22*Parameters!$F$10)</f>
        <v>1.54175926105305</v>
      </c>
      <c r="BB260" s="45" t="n">
        <f aca="false">IF(AX260=0,0,AY260/AX260-1)</f>
        <v>-0.397528720773924</v>
      </c>
      <c r="BC260" s="46" t="n">
        <f aca="false">Parameters!$E$11*IF($N260="V",Parameters!$I$11,IF($N260="F",Parameters!$J$11,Parameters!$K$11))*(1-Parameters!$L$11*$P260)*IF($D260="V1",Parameters!$M$11,IF($D260="V2",Parameters!$N$11,Parameters!$O$11))</f>
        <v>1.21745535714286</v>
      </c>
      <c r="BD260" s="46" t="n">
        <f aca="false">BC260*(1+INDEX(Response_Table!$K$4:$K$21,MATCH($F260&amp;"|mid",Response_Table!$A$4:$A$21,0))*$R260*INDEX(Parameters!$X$11:$AA$11,1,MATCH($E260,Parameters!$X$3:$AA$3,0)))</f>
        <v>0.455724100404477</v>
      </c>
      <c r="BE260" s="46" t="n">
        <f aca="false">MAX(0,MIN(BC260*(1+INDEX(Response_Table!$K$4:$K$21,MATCH($F260&amp;"|low",Response_Table!$A$4:$A$21,0))*$R260*INDEX(Parameters!$X$11:$AA$11,1,MATCH($E260,Parameters!$X$3:$AA$3,0))),BC260*(1+INDEX(Response_Table!$K$4:$K$21,MATCH($F260&amp;"|high",Response_Table!$A$4:$A$21,0))*$R260*INDEX(Parameters!$X$11:$AA$11,1,MATCH($E260,Parameters!$X$3:$AA$3,0))))*(1-Inputs_General!$C$22*Parameters!$F$11))</f>
        <v>0.337807247229119</v>
      </c>
      <c r="BF260" s="46" t="n">
        <f aca="false">MAX(BC260*(1+INDEX(Response_Table!$K$4:$K$21,MATCH($F260&amp;"|low",Response_Table!$A$4:$A$21,0))*$R260*INDEX(Parameters!$X$11:$AA$11,1,MATCH($E260,Parameters!$X$3:$AA$3,0))),BC260*(1+INDEX(Response_Table!$K$4:$K$21,MATCH($F260&amp;"|high",Response_Table!$A$4:$A$21,0))*$R260*INDEX(Parameters!$X$11:$AA$11,1,MATCH($E260,Parameters!$X$3:$AA$3,0))))*(1+Inputs_General!$C$22*Parameters!$F$11)</f>
        <v>0.60226414654118</v>
      </c>
      <c r="BG260" s="45" t="n">
        <f aca="false">IF(BC260=0,0,BD260/BC260-1)</f>
        <v>-0.625674898278014</v>
      </c>
      <c r="BH260" s="46" t="n">
        <f aca="false">Parameters!$E$12*IF($N260="V",Parameters!$I$12,IF($N260="F",Parameters!$J$12,Parameters!$K$12))*(1-Parameters!$L$12*$P260)*IF($D260="V1",Parameters!$M$12,IF($D260="V2",Parameters!$N$12,Parameters!$O$12))</f>
        <v>0.438283928571429</v>
      </c>
      <c r="BI260" s="46" t="n">
        <f aca="false">BH260*(1+INDEX(Response_Table!$L$4:$L$21,MATCH($F260&amp;"|mid",Response_Table!$A$4:$A$21,0))*$R260*INDEX(Parameters!$X$12:$AA$12,1,MATCH($E260,Parameters!$X$3:$AA$3,0)))</f>
        <v>0.210847797398132</v>
      </c>
      <c r="BJ260" s="46" t="n">
        <f aca="false">MAX(0,MIN(BH260*(1+INDEX(Response_Table!$L$4:$L$21,MATCH($F260&amp;"|low",Response_Table!$A$4:$A$21,0))*$R260*INDEX(Parameters!$X$12:$AA$12,1,MATCH($E260,Parameters!$X$3:$AA$3,0))),BH260*(1+INDEX(Response_Table!$L$4:$L$21,MATCH($F260&amp;"|high",Response_Table!$A$4:$A$21,0))*$R260*INDEX(Parameters!$X$12:$AA$12,1,MATCH($E260,Parameters!$X$3:$AA$3,0))))*(1-Inputs_General!$C$22*Parameters!$F$12))</f>
        <v>0.155565088766775</v>
      </c>
      <c r="BK260" s="46" t="n">
        <f aca="false">MAX(BH260*(1+INDEX(Response_Table!$L$4:$L$21,MATCH($F260&amp;"|low",Response_Table!$A$4:$A$21,0))*$R260*INDEX(Parameters!$X$12:$AA$12,1,MATCH($E260,Parameters!$X$3:$AA$3,0))),BH260*(1+INDEX(Response_Table!$L$4:$L$21,MATCH($F260&amp;"|high",Response_Table!$A$4:$A$21,0))*$R260*INDEX(Parameters!$X$12:$AA$12,1,MATCH($E260,Parameters!$X$3:$AA$3,0))))*(1+Inputs_General!$C$22*Parameters!$F$12)</f>
        <v>0.27604755913387</v>
      </c>
      <c r="BL260" s="45" t="n">
        <f aca="false">IF(BH260=0,0,BI260/BH260-1)</f>
        <v>-0.518924186690159</v>
      </c>
      <c r="BM260" s="46" t="n">
        <f aca="false">Parameters!$E$13*IF($N260="V",Parameters!$I$13,IF($N260="F",Parameters!$J$13,Parameters!$K$13))*(1-Parameters!$L$13*$P260)*IF($D260="V1",Parameters!$M$13,IF($D260="V2",Parameters!$N$13,Parameters!$O$13))</f>
        <v>0.296094642857143</v>
      </c>
      <c r="BN260" s="46" t="n">
        <f aca="false">BM260*(1+INDEX(Response_Table!$M$4:$M$21,MATCH($F260&amp;"|mid",Response_Table!$A$4:$A$21,0))*$R260*INDEX(Parameters!$X$13:$AA$13,1,MATCH($E260,Parameters!$X$3:$AA$3,0)))</f>
        <v>0.185213900639866</v>
      </c>
      <c r="BO260" s="46" t="n">
        <f aca="false">MAX(0,MIN(BM260*(1+INDEX(Response_Table!$M$4:$M$21,MATCH($F260&amp;"|low",Response_Table!$A$4:$A$21,0))*$R260*INDEX(Parameters!$X$13:$AA$13,1,MATCH($E260,Parameters!$X$3:$AA$3,0))),BM260*(1+INDEX(Response_Table!$M$4:$M$21,MATCH($F260&amp;"|high",Response_Table!$A$4:$A$21,0))*$R260*INDEX(Parameters!$X$13:$AA$13,1,MATCH($E260,Parameters!$X$3:$AA$3,0))))*(1-Inputs_General!$C$22*Parameters!$F$13))</f>
        <v>0.141368943331143</v>
      </c>
      <c r="BP260" s="46" t="n">
        <f aca="false">MAX(BM260*(1+INDEX(Response_Table!$M$4:$M$21,MATCH($F260&amp;"|low",Response_Table!$A$4:$A$21,0))*$R260*INDEX(Parameters!$X$13:$AA$13,1,MATCH($E260,Parameters!$X$3:$AA$3,0))),BM260*(1+INDEX(Response_Table!$M$4:$M$21,MATCH($F260&amp;"|high",Response_Table!$A$4:$A$21,0))*$R260*INDEX(Parameters!$X$13:$AA$13,1,MATCH($E260,Parameters!$X$3:$AA$3,0))))*(1+Inputs_General!$C$22*Parameters!$F$13)</f>
        <v>0.235620174612359</v>
      </c>
      <c r="BQ260" s="45" t="n">
        <f aca="false">IF(BM260=0,0,BN260/BM260-1)</f>
        <v>-0.374477366923432</v>
      </c>
      <c r="BR260" s="44" t="n">
        <f aca="false">Parameters!$E$14*IF($N260="V",Parameters!$I$14,IF($N260="F",Parameters!$J$14,Parameters!$K$14))*(1-Parameters!$L$14*$P260)*IF($D260="V1",Parameters!$M$14,IF($D260="V2",Parameters!$N$14,Parameters!$O$14))*INDEX(Context!$AC$4:$AC$51,$K260)</f>
        <v>15</v>
      </c>
      <c r="BS260" s="44" t="n">
        <f aca="false">BR260*(1+INDEX(Response_Table!$N$4:$N$21,MATCH($F260&amp;"|mid",Response_Table!$A$4:$A$21,0))*$R260*INDEX(Parameters!$X$14:$AA$14,1,MATCH($E260,Parameters!$X$3:$AA$3,0)))</f>
        <v>23.4914866912935</v>
      </c>
      <c r="BT260" s="44" t="n">
        <f aca="false">MAX(0,MIN(BR260*(1+INDEX(Response_Table!$N$4:$N$21,MATCH($F260&amp;"|low",Response_Table!$A$4:$A$21,0))*$R260*INDEX(Parameters!$X$14:$AA$14,1,MATCH($E260,Parameters!$X$3:$AA$3,0))),BR260*(1+INDEX(Response_Table!$N$4:$N$21,MATCH($F260&amp;"|high",Response_Table!$A$4:$A$21,0))*$R260*INDEX(Parameters!$X$14:$AA$14,1,MATCH($E260,Parameters!$X$3:$AA$3,0))))*(1-Inputs_General!$C$22*Parameters!$F$14))</f>
        <v>11.526064376594</v>
      </c>
      <c r="BU260" s="44" t="n">
        <f aca="false">MAX(BR260*(1+INDEX(Response_Table!$N$4:$N$21,MATCH($F260&amp;"|low",Response_Table!$A$4:$A$21,0))*$R260*INDEX(Parameters!$X$14:$AA$14,1,MATCH($E260,Parameters!$X$3:$AA$3,0))),BR260*(1+INDEX(Response_Table!$N$4:$N$21,MATCH($F260&amp;"|high",Response_Table!$A$4:$A$21,0))*$R260*INDEX(Parameters!$X$14:$AA$14,1,MATCH($E260,Parameters!$X$3:$AA$3,0))))*(1+Inputs_General!$C$22*Parameters!$F$14)</f>
        <v>36.0336618150901</v>
      </c>
      <c r="BV260" s="45" t="n">
        <f aca="false">IF(BR260=0,0,BS260/BR260-1)</f>
        <v>0.566099112752901</v>
      </c>
      <c r="BW260" s="43" t="n">
        <f aca="false">Parameters!$E$15*IF($N260="V",Parameters!$I$15,IF($N260="F",Parameters!$J$15,Parameters!$K$15))*(1-Parameters!$L$15*$P260)*IF($D260="V1",Parameters!$M$15,IF($D260="V2",Parameters!$N$15,Parameters!$O$15))</f>
        <v>10.5188142857143</v>
      </c>
      <c r="BX260" s="43" t="n">
        <f aca="false">BW260*(1+INDEX(Response_Table!$O$4:$O$21,MATCH($F260&amp;"|mid",Response_Table!$A$4:$A$21,0))*$R260*INDEX(Parameters!$X$15:$AA$15,1,MATCH($E260,Parameters!$X$3:$AA$3,0)))</f>
        <v>9.03014142712544</v>
      </c>
      <c r="BY260" s="43" t="n">
        <f aca="false">MAX(0,MIN(BW260*(1+INDEX(Response_Table!$O$4:$O$21,MATCH($F260&amp;"|low",Response_Table!$A$4:$A$21,0))*$R260*INDEX(Parameters!$X$15:$AA$15,1,MATCH($E260,Parameters!$X$3:$AA$3,0))),BW260*(1+INDEX(Response_Table!$O$4:$O$21,MATCH($F260&amp;"|high",Response_Table!$A$4:$A$21,0))*$R260*INDEX(Parameters!$X$15:$AA$15,1,MATCH($E260,Parameters!$X$3:$AA$3,0))))*(1-Inputs_General!$C$22*Parameters!$F$15))</f>
        <v>7.15817174153837</v>
      </c>
      <c r="BZ260" s="43" t="n">
        <f aca="false">MAX(BW260*(1+INDEX(Response_Table!$O$4:$O$21,MATCH($F260&amp;"|low",Response_Table!$A$4:$A$21,0))*$R260*INDEX(Parameters!$X$15:$AA$15,1,MATCH($E260,Parameters!$X$3:$AA$3,0))),BW260*(1+INDEX(Response_Table!$O$4:$O$21,MATCH($F260&amp;"|high",Response_Table!$A$4:$A$21,0))*$R260*INDEX(Parameters!$X$15:$AA$15,1,MATCH($E260,Parameters!$X$3:$AA$3,0))))*(1+Inputs_General!$C$22*Parameters!$F$15)</f>
        <v>10.9670227330321</v>
      </c>
      <c r="CA260" s="45" t="n">
        <f aca="false">IF(BW260=0,0,BX260/BW260-1)</f>
        <v>-0.141524778188225</v>
      </c>
      <c r="CB260" s="46" t="n">
        <f aca="false">BD260+BI260</f>
        <v>0.666571897802609</v>
      </c>
      <c r="CC260" s="43" t="n">
        <f aca="false">BD260/BI260</f>
        <v>2.16138895463043</v>
      </c>
      <c r="CD260" s="46" t="n">
        <f aca="false">BN260/CB260</f>
        <v>0.277860349724364</v>
      </c>
      <c r="CE260" s="43" t="n">
        <f aca="false">AE260/AO260</f>
        <v>1.48967280161007</v>
      </c>
      <c r="CF260" s="44" t="n">
        <f aca="false">AE260/AJ260</f>
        <v>30.3363197567312</v>
      </c>
      <c r="CG260" s="44" t="n">
        <f aca="false">INDEX(Context!$V$4:$V$51,$K260)</f>
        <v>28.62</v>
      </c>
      <c r="CH260" s="44" t="n">
        <f aca="false">INDEX(Context!$Y$4:$Y$51,$K260)</f>
        <v>25.3060134606718</v>
      </c>
      <c r="CI260" s="44" t="n">
        <f aca="false">INDEX(Context!$Z$4:$Z$51,$K260)</f>
        <v>32.62</v>
      </c>
      <c r="CJ260" s="43" t="n">
        <f aca="false">INDEX(Context!$AA$4:$AA$51,$K260)</f>
        <v>0.221696428571429</v>
      </c>
      <c r="CK260" s="43" t="n">
        <f aca="false">MAX(0,MIN(1,1-(1-CJ260)*AO260/AN260))</f>
        <v>0.650098896273554</v>
      </c>
      <c r="CL260" s="44" t="n">
        <f aca="false">CH260+CK260*(CI260-CH260)</f>
        <v>30.0608280372487</v>
      </c>
      <c r="CM260" s="44" t="n">
        <f aca="false">CH260+MAX(0,MIN(1,1-(1-CJ260)*AQ260/AN260))*(CI260-CH260)</f>
        <v>28.6853928524504</v>
      </c>
      <c r="CN260" s="44" t="n">
        <f aca="false">CH260+MAX(0,MIN(1,1-(1-CJ260)*AP260/AN260))*(CI260-CH260)</f>
        <v>31.0801923945879</v>
      </c>
      <c r="CO260" s="44" t="n">
        <f aca="false">CL260-CG260</f>
        <v>1.44082803724868</v>
      </c>
      <c r="CP260" s="44" t="n">
        <f aca="false">CL260-(CH260+CJ260*(CI260-CH260))</f>
        <v>3.13332988218834</v>
      </c>
      <c r="CQ260" s="46" t="n">
        <f aca="false">CL260/CG260</f>
        <v>1.05034339752791</v>
      </c>
      <c r="CR260" s="43" t="n">
        <f aca="false">IF(CL260-CH260&lt;=0,"n/a",(CI260-CL260)/(CL260-CH260))</f>
        <v>0.538227500049796</v>
      </c>
      <c r="CS260" s="43" t="n">
        <f aca="false">IF(CI260-CL260&lt;=0,"n/a",(CL260-CH260)/(CI260-CL260))</f>
        <v>1.85795040184212</v>
      </c>
      <c r="CT260" s="43" t="n">
        <f aca="false">Inputs_General!$C$23+Inputs_General!$C$24*$I260</f>
        <v>1.9</v>
      </c>
      <c r="CU260" s="44" t="n">
        <f aca="false">3.29*CT260</f>
        <v>6.251</v>
      </c>
    </row>
    <row r="261" customFormat="false" ht="15" hidden="false" customHeight="false" outlineLevel="0" collapsed="false">
      <c r="A261" s="33" t="str">
        <f aca="false">B261&amp;"|"&amp;E261&amp;"|"&amp;F261</f>
        <v>D4V2|13/03/2026|Healthy</v>
      </c>
      <c r="B261" s="34" t="s">
        <v>353</v>
      </c>
      <c r="C261" s="33" t="s">
        <v>133</v>
      </c>
      <c r="D261" s="33" t="s">
        <v>146</v>
      </c>
      <c r="E261" s="33" t="s">
        <v>164</v>
      </c>
      <c r="F261" s="34" t="s">
        <v>275</v>
      </c>
      <c r="G261" s="33" t="s">
        <v>276</v>
      </c>
      <c r="H261" s="35" t="n">
        <f aca="false">INDEX(Severity_Classes!$C$4:$C$9,MATCH(F261,Severity_Classes!$A$4:$A$9,0))</f>
        <v>0</v>
      </c>
      <c r="I261" s="35" t="n">
        <f aca="false">INDEX(Severity_Classes!$D$4:$D$9,MATCH(F261,Severity_Classes!$A$4:$A$9,0))</f>
        <v>0</v>
      </c>
      <c r="J261" s="35" t="n">
        <f aca="false">INDEX(Severity_Classes!$E$4:$E$9,MATCH(F261,Severity_Classes!$A$4:$A$9,0))</f>
        <v>0</v>
      </c>
      <c r="K261" s="36" t="n">
        <f aca="false">MATCH(B261&amp;"|"&amp;E261,Context!$A$4:$A$51,0)</f>
        <v>44</v>
      </c>
      <c r="L261" s="36" t="n">
        <f aca="false">INDEX(Context!$H$4:$H$51,K261)</f>
        <v>63</v>
      </c>
      <c r="M261" s="36" t="n">
        <f aca="false">INDEX(Context!$I$4:$I$51,K261)</f>
        <v>36</v>
      </c>
      <c r="N261" s="33" t="str">
        <f aca="false">INDEX(Context!$L$4:$L$51,K261)</f>
        <v>F</v>
      </c>
      <c r="O261" s="33" t="str">
        <f aca="false">INDEX(Context!$M$4:$M$51,K261)</f>
        <v>5th fully expanded leaf from top</v>
      </c>
      <c r="P261" s="37" t="n">
        <f aca="false">INDEX(Context!$R$4:$R$51,K261)</f>
        <v>0.953571428571428</v>
      </c>
      <c r="Q261" s="37" t="n">
        <f aca="false">INDEX(Context!$U$4:$U$51,K261)</f>
        <v>2.18945736698217</v>
      </c>
      <c r="R261" s="37" t="n">
        <f aca="false">INDEX(Context!$AD$4:$AD$51,K261)</f>
        <v>1.1</v>
      </c>
      <c r="S261" s="33" t="str">
        <f aca="false">INDEX(Context!$AI$4:$AN$51,K261,MATCH(F261,Severity_Classes!$A$4:$A$9,0))</f>
        <v>Reference: healthy (uninoculated) control plot</v>
      </c>
      <c r="T261" s="38" t="n">
        <f aca="false">Parameters!$E$4*IF($N261="V",Parameters!$I$4,IF($N261="F",Parameters!$J$4,Parameters!$K$4))*(1-Parameters!$L$4*$P261)*IF($D261="V1",Parameters!$M$4,IF($D261="V2",Parameters!$N$4,Parameters!$O$4))</f>
        <v>81.0806464285714</v>
      </c>
      <c r="U261" s="38" t="n">
        <f aca="false">MIN(100,T261*(1+INDEX(Response_Table!$E$4:$E$21,MATCH($F261&amp;"|mid",Response_Table!$A$4:$A$21,0))*$R261*INDEX(Parameters!$X$4:$AA$4,1,MATCH($E261,Parameters!$X$3:$AA$3,0))))</f>
        <v>81.0806464285714</v>
      </c>
      <c r="V261" s="38" t="n">
        <f aca="false">MAX(0,MIN(T261*(1+INDEX(Response_Table!$E$4:$E$21,MATCH($F261&amp;"|low",Response_Table!$A$4:$A$21,0))*$R261*INDEX(Parameters!$X$4:$AA$4,1,MATCH($E261,Parameters!$X$3:$AA$3,0))),T261*(1+INDEX(Response_Table!$E$4:$E$21,MATCH($F261&amp;"|high",Response_Table!$A$4:$A$21,0))*$R261*INDEX(Parameters!$X$4:$AA$4,1,MATCH($E261,Parameters!$X$3:$AA$3,0))))*(1-Inputs_General!$C$22*Parameters!$F$4))</f>
        <v>75.7455398935714</v>
      </c>
      <c r="W261" s="38" t="n">
        <f aca="false">MIN(100,MAX(T261*(1+INDEX(Response_Table!$E$4:$E$21,MATCH($F261&amp;"|low",Response_Table!$A$4:$A$21,0))*$R261*INDEX(Parameters!$X$4:$AA$4,1,MATCH($E261,Parameters!$X$3:$AA$3,0))),T261*(1+INDEX(Response_Table!$E$4:$E$21,MATCH($F261&amp;"|high",Response_Table!$A$4:$A$21,0))*$R261*INDEX(Parameters!$X$4:$AA$4,1,MATCH($E261,Parameters!$X$3:$AA$3,0))))*(1+Inputs_General!$C$22*Parameters!$F$4))</f>
        <v>86.4157529635714</v>
      </c>
      <c r="X261" s="39" t="n">
        <f aca="false">IF(T261=0,0,U261/T261-1)</f>
        <v>0</v>
      </c>
      <c r="Y261" s="38" t="n">
        <f aca="false">Parameters!$E$5*IF($N261="V",Parameters!$I$5,IF($N261="F",Parameters!$J$5,Parameters!$K$5))*(1-Parameters!$L$5*$P261)*IF($D261="V1",Parameters!$M$5,IF($D261="V2",Parameters!$N$5,Parameters!$O$5))</f>
        <v>62.48592</v>
      </c>
      <c r="Z261" s="38" t="n">
        <f aca="false">MIN(100,Y261*(1+INDEX(Response_Table!$F$4:$F$21,MATCH($F261&amp;"|mid",Response_Table!$A$4:$A$21,0))*$R261*INDEX(Parameters!$X$5:$AA$5,1,MATCH($E261,Parameters!$X$3:$AA$3,0))))</f>
        <v>62.48592</v>
      </c>
      <c r="AA261" s="38" t="n">
        <f aca="false">MAX(0,MIN(Y261*(1+INDEX(Response_Table!$F$4:$F$21,MATCH($F261&amp;"|low",Response_Table!$A$4:$A$21,0))*$R261*INDEX(Parameters!$X$5:$AA$5,1,MATCH($E261,Parameters!$X$3:$AA$3,0))),Y261*(1+INDEX(Response_Table!$F$4:$F$21,MATCH($F261&amp;"|high",Response_Table!$A$4:$A$21,0))*$R261*INDEX(Parameters!$X$5:$AA$5,1,MATCH($E261,Parameters!$X$3:$AA$3,0))))*(1-Inputs_General!$C$22*Parameters!$F$5))</f>
        <v>55.290666312</v>
      </c>
      <c r="AB261" s="38" t="n">
        <f aca="false">MIN(100,MAX(Y261*(1+INDEX(Response_Table!$F$4:$F$21,MATCH($F261&amp;"|low",Response_Table!$A$4:$A$21,0))*$R261*INDEX(Parameters!$X$5:$AA$5,1,MATCH($E261,Parameters!$X$3:$AA$3,0))),Y261*(1+INDEX(Response_Table!$F$4:$F$21,MATCH($F261&amp;"|high",Response_Table!$A$4:$A$21,0))*$R261*INDEX(Parameters!$X$5:$AA$5,1,MATCH($E261,Parameters!$X$3:$AA$3,0))))*(1+Inputs_General!$C$22*Parameters!$F$5))</f>
        <v>69.681173688</v>
      </c>
      <c r="AC261" s="39" t="n">
        <f aca="false">IF(Y261=0,0,Z261/Y261-1)</f>
        <v>0</v>
      </c>
      <c r="AD261" s="38" t="n">
        <f aca="false">Parameters!$E$6*IF($N261="V",Parameters!$I$6,IF($N261="F",Parameters!$J$6,Parameters!$K$6))*(1-Parameters!$L$6*$P261)*IF($D261="V1",Parameters!$M$6,IF($D261="V2",Parameters!$N$6,Parameters!$O$6))</f>
        <v>16.8258571428571</v>
      </c>
      <c r="AE261" s="38" t="n">
        <f aca="false">AD261*(1+INDEX(Response_Table!$G$4:$G$21,MATCH($F261&amp;"|mid",Response_Table!$A$4:$A$21,0))*$R261*INDEX(Parameters!$X$6:$AA$6,1,MATCH($E261,Parameters!$X$3:$AA$3,0)))</f>
        <v>16.8258571428571</v>
      </c>
      <c r="AF261" s="38" t="n">
        <f aca="false">MAX(0,MIN(AD261*(1+INDEX(Response_Table!$G$4:$G$21,MATCH($F261&amp;"|low",Response_Table!$A$4:$A$21,0))*$R261*INDEX(Parameters!$X$6:$AA$6,1,MATCH($E261,Parameters!$X$3:$AA$3,0))),AD261*(1+INDEX(Response_Table!$G$4:$G$21,MATCH($F261&amp;"|high",Response_Table!$A$4:$A$21,0))*$R261*INDEX(Parameters!$X$6:$AA$6,1,MATCH($E261,Parameters!$X$3:$AA$3,0))))*(1-Inputs_General!$C$22*Parameters!$F$6))</f>
        <v>13.5044329428571</v>
      </c>
      <c r="AG261" s="38" t="n">
        <f aca="false">MAX(AD261*(1+INDEX(Response_Table!$G$4:$G$21,MATCH($F261&amp;"|low",Response_Table!$A$4:$A$21,0))*$R261*INDEX(Parameters!$X$6:$AA$6,1,MATCH($E261,Parameters!$X$3:$AA$3,0))),AD261*(1+INDEX(Response_Table!$G$4:$G$21,MATCH($F261&amp;"|high",Response_Table!$A$4:$A$21,0))*$R261*INDEX(Parameters!$X$6:$AA$6,1,MATCH($E261,Parameters!$X$3:$AA$3,0))))*(1+Inputs_General!$C$22*Parameters!$F$6)</f>
        <v>20.1472813428571</v>
      </c>
      <c r="AH261" s="39" t="n">
        <f aca="false">IF(AD261=0,0,AE261/AD261-1)</f>
        <v>0</v>
      </c>
      <c r="AI261" s="40" t="n">
        <f aca="false">Parameters!$E$7*IF($N261="V",Parameters!$I$7,IF($N261="F",Parameters!$J$7,Parameters!$K$7))*(1-Parameters!$L$7*$P261)*IF($D261="V1",Parameters!$M$7,IF($D261="V2",Parameters!$N$7,Parameters!$O$7))*POWER($Q261/Inputs_General!$C$26,-Inputs_General!$C$25)</f>
        <v>0.304119499618928</v>
      </c>
      <c r="AJ261" s="40" t="n">
        <f aca="false">AI261*(1+INDEX(Response_Table!$H$4:$H$21,MATCH($F261&amp;"|mid",Response_Table!$A$4:$A$21,0))*$R261*INDEX(Parameters!$X$7:$AA$7,1,MATCH($E261,Parameters!$X$3:$AA$3,0)))</f>
        <v>0.304119499618928</v>
      </c>
      <c r="AK261" s="40" t="n">
        <f aca="false">MAX(0,MIN(AI261*(1+INDEX(Response_Table!$H$4:$H$21,MATCH($F261&amp;"|low",Response_Table!$A$4:$A$21,0))*$R261*INDEX(Parameters!$X$7:$AA$7,1,MATCH($E261,Parameters!$X$3:$AA$3,0))),AI261*(1+INDEX(Response_Table!$H$4:$H$21,MATCH($F261&amp;"|high",Response_Table!$A$4:$A$21,0))*$R261*INDEX(Parameters!$X$7:$AA$7,1,MATCH($E261,Parameters!$X$3:$AA$3,0))))*(1-Inputs_General!$C$22*Parameters!$F$7))</f>
        <v>0.214069715781764</v>
      </c>
      <c r="AL261" s="40" t="n">
        <f aca="false">MAX(AI261*(1+INDEX(Response_Table!$H$4:$H$21,MATCH($F261&amp;"|low",Response_Table!$A$4:$A$21,0))*$R261*INDEX(Parameters!$X$7:$AA$7,1,MATCH($E261,Parameters!$X$3:$AA$3,0))),AI261*(1+INDEX(Response_Table!$H$4:$H$21,MATCH($F261&amp;"|high",Response_Table!$A$4:$A$21,0))*$R261*INDEX(Parameters!$X$7:$AA$7,1,MATCH($E261,Parameters!$X$3:$AA$3,0))))*(1+Inputs_General!$C$22*Parameters!$F$7)</f>
        <v>0.394169283456093</v>
      </c>
      <c r="AM261" s="39" t="n">
        <f aca="false">IF(AI261=0,0,AJ261/AI261-1)</f>
        <v>0</v>
      </c>
      <c r="AN261" s="37" t="n">
        <f aca="false">AI261*$Q261/Inputs_General!$C$13*1000</f>
        <v>6.70550532611877</v>
      </c>
      <c r="AO261" s="37" t="n">
        <f aca="false">AJ261*$Q261/Inputs_General!$C$13*1000*(1+Inputs_General!$C$21*$I261)</f>
        <v>6.70550532611877</v>
      </c>
      <c r="AP261" s="37" t="n">
        <f aca="false">AK261*$Q261/Inputs_General!$C$13*1000*(1+Inputs_General!$C$21*$H261)</f>
        <v>4.720005199055</v>
      </c>
      <c r="AQ261" s="37" t="n">
        <f aca="false">AL261*$Q261/Inputs_General!$C$13*1000*(1+Inputs_General!$C$21*$J261)</f>
        <v>8.69100545318254</v>
      </c>
      <c r="AR261" s="39" t="n">
        <f aca="false">IF(AN261=0,0,AO261/AN261-1)</f>
        <v>0</v>
      </c>
      <c r="AS261" s="36" t="n">
        <f aca="false">Parameters!$E$9*IF($N261="V",Parameters!$I$9,IF($N261="F",Parameters!$J$9,Parameters!$K$9))*(1-Parameters!$L$9*$P261)*IF($D261="V1",Parameters!$M$9,IF($D261="V2",Parameters!$N$9,Parameters!$O$9))</f>
        <v>285</v>
      </c>
      <c r="AT261" s="36" t="n">
        <f aca="false">AS261*(1+INDEX(Response_Table!$I$4:$I$21,MATCH($F261&amp;"|mid",Response_Table!$A$4:$A$21,0))*$R261*INDEX(Parameters!$X$9:$AA$9,1,MATCH($E261,Parameters!$X$3:$AA$3,0)))</f>
        <v>285</v>
      </c>
      <c r="AU261" s="36" t="n">
        <f aca="false">MAX(0,MIN(AS261*(1+INDEX(Response_Table!$I$4:$I$21,MATCH($F261&amp;"|low",Response_Table!$A$4:$A$21,0))*$R261*INDEX(Parameters!$X$9:$AA$9,1,MATCH($E261,Parameters!$X$3:$AA$3,0))),AS261*(1+INDEX(Response_Table!$I$4:$I$21,MATCH($F261&amp;"|high",Response_Table!$A$4:$A$21,0))*$R261*INDEX(Parameters!$X$9:$AA$9,1,MATCH($E261,Parameters!$X$3:$AA$3,0))))*(1-Inputs_General!$C$22*Parameters!$F$9))</f>
        <v>256.8705</v>
      </c>
      <c r="AV261" s="36" t="n">
        <f aca="false">MAX(AS261*(1+INDEX(Response_Table!$I$4:$I$21,MATCH($F261&amp;"|low",Response_Table!$A$4:$A$21,0))*$R261*INDEX(Parameters!$X$9:$AA$9,1,MATCH($E261,Parameters!$X$3:$AA$3,0))),AS261*(1+INDEX(Response_Table!$I$4:$I$21,MATCH($F261&amp;"|high",Response_Table!$A$4:$A$21,0))*$R261*INDEX(Parameters!$X$9:$AA$9,1,MATCH($E261,Parameters!$X$3:$AA$3,0))))*(1+Inputs_General!$C$22*Parameters!$F$9)</f>
        <v>313.1295</v>
      </c>
      <c r="AW261" s="39" t="n">
        <f aca="false">IF(AS261=0,0,AT261/AS261-1)</f>
        <v>0</v>
      </c>
      <c r="AX261" s="37" t="n">
        <f aca="false">INDEX(Context!$AB$4:$AB$51,$K261)</f>
        <v>2.41688422790131</v>
      </c>
      <c r="AY261" s="37" t="n">
        <f aca="false">AX261*(1+INDEX(Response_Table!$J$4:$J$21,MATCH($F261&amp;"|mid",Response_Table!$A$4:$A$21,0))*$R261*INDEX(Parameters!$X$10:$AA$10,1,MATCH($E261,Parameters!$X$3:$AA$3,0)))</f>
        <v>2.41688422790131</v>
      </c>
      <c r="AZ261" s="37" t="n">
        <f aca="false">MAX(0,MIN(AX261*(1+INDEX(Response_Table!$J$4:$J$21,MATCH($F261&amp;"|low",Response_Table!$A$4:$A$21,0))*$R261*INDEX(Parameters!$X$10:$AA$10,1,MATCH($E261,Parameters!$X$3:$AA$3,0))),AX261*(1+INDEX(Response_Table!$J$4:$J$21,MATCH($F261&amp;"|high",Response_Table!$A$4:$A$21,0))*$R261*INDEX(Parameters!$X$10:$AA$10,1,MATCH($E261,Parameters!$X$3:$AA$3,0))))*(1-Inputs_General!$C$22*Parameters!$F$10))</f>
        <v>1.9397912813136</v>
      </c>
      <c r="BA261" s="37" t="n">
        <f aca="false">MAX(AX261*(1+INDEX(Response_Table!$J$4:$J$21,MATCH($F261&amp;"|low",Response_Table!$A$4:$A$21,0))*$R261*INDEX(Parameters!$X$10:$AA$10,1,MATCH($E261,Parameters!$X$3:$AA$3,0))),AX261*(1+INDEX(Response_Table!$J$4:$J$21,MATCH($F261&amp;"|high",Response_Table!$A$4:$A$21,0))*$R261*INDEX(Parameters!$X$10:$AA$10,1,MATCH($E261,Parameters!$X$3:$AA$3,0))))*(1+Inputs_General!$C$22*Parameters!$F$10)</f>
        <v>2.89397717448903</v>
      </c>
      <c r="BB261" s="39" t="n">
        <f aca="false">IF(AX261=0,0,AY261/AX261-1)</f>
        <v>0</v>
      </c>
      <c r="BC261" s="40" t="n">
        <f aca="false">Parameters!$E$11*IF($N261="V",Parameters!$I$11,IF($N261="F",Parameters!$J$11,Parameters!$K$11))*(1-Parameters!$L$11*$P261)*IF($D261="V1",Parameters!$M$11,IF($D261="V2",Parameters!$N$11,Parameters!$O$11))</f>
        <v>1.17848214285714</v>
      </c>
      <c r="BD261" s="40" t="n">
        <f aca="false">BC261*(1+INDEX(Response_Table!$K$4:$K$21,MATCH($F261&amp;"|mid",Response_Table!$A$4:$A$21,0))*$R261*INDEX(Parameters!$X$11:$AA$11,1,MATCH($E261,Parameters!$X$3:$AA$3,0)))</f>
        <v>1.17848214285714</v>
      </c>
      <c r="BE261" s="40" t="n">
        <f aca="false">MAX(0,MIN(BC261*(1+INDEX(Response_Table!$K$4:$K$21,MATCH($F261&amp;"|low",Response_Table!$A$4:$A$21,0))*$R261*INDEX(Parameters!$X$11:$AA$11,1,MATCH($E261,Parameters!$X$3:$AA$3,0))),BC261*(1+INDEX(Response_Table!$K$4:$K$21,MATCH($F261&amp;"|high",Response_Table!$A$4:$A$21,0))*$R261*INDEX(Parameters!$X$11:$AA$11,1,MATCH($E261,Parameters!$X$3:$AA$3,0))))*(1-Inputs_General!$C$22*Parameters!$F$11))</f>
        <v>0.984621830357143</v>
      </c>
      <c r="BF261" s="40" t="n">
        <f aca="false">MAX(BC261*(1+INDEX(Response_Table!$K$4:$K$21,MATCH($F261&amp;"|low",Response_Table!$A$4:$A$21,0))*$R261*INDEX(Parameters!$X$11:$AA$11,1,MATCH($E261,Parameters!$X$3:$AA$3,0))),BC261*(1+INDEX(Response_Table!$K$4:$K$21,MATCH($F261&amp;"|high",Response_Table!$A$4:$A$21,0))*$R261*INDEX(Parameters!$X$11:$AA$11,1,MATCH($E261,Parameters!$X$3:$AA$3,0))))*(1+Inputs_General!$C$22*Parameters!$F$11)</f>
        <v>1.37234245535714</v>
      </c>
      <c r="BG261" s="39" t="n">
        <f aca="false">IF(BC261=0,0,BD261/BC261-1)</f>
        <v>0</v>
      </c>
      <c r="BH261" s="40" t="n">
        <f aca="false">Parameters!$E$12*IF($N261="V",Parameters!$I$12,IF($N261="F",Parameters!$J$12,Parameters!$K$12))*(1-Parameters!$L$12*$P261)*IF($D261="V1",Parameters!$M$12,IF($D261="V2",Parameters!$N$12,Parameters!$O$12))</f>
        <v>0.424253571428571</v>
      </c>
      <c r="BI261" s="40" t="n">
        <f aca="false">BH261*(1+INDEX(Response_Table!$L$4:$L$21,MATCH($F261&amp;"|mid",Response_Table!$A$4:$A$21,0))*$R261*INDEX(Parameters!$X$12:$AA$12,1,MATCH($E261,Parameters!$X$3:$AA$3,0)))</f>
        <v>0.424253571428571</v>
      </c>
      <c r="BJ261" s="40" t="n">
        <f aca="false">MAX(0,MIN(BH261*(1+INDEX(Response_Table!$L$4:$L$21,MATCH($F261&amp;"|low",Response_Table!$A$4:$A$21,0))*$R261*INDEX(Parameters!$X$12:$AA$12,1,MATCH($E261,Parameters!$X$3:$AA$3,0))),BH261*(1+INDEX(Response_Table!$L$4:$L$21,MATCH($F261&amp;"|high",Response_Table!$A$4:$A$21,0))*$R261*INDEX(Parameters!$X$12:$AA$12,1,MATCH($E261,Parameters!$X$3:$AA$3,0))))*(1-Inputs_General!$C$22*Parameters!$F$12))</f>
        <v>0.340505916428571</v>
      </c>
      <c r="BK261" s="40" t="n">
        <f aca="false">MAX(BH261*(1+INDEX(Response_Table!$L$4:$L$21,MATCH($F261&amp;"|low",Response_Table!$A$4:$A$21,0))*$R261*INDEX(Parameters!$X$12:$AA$12,1,MATCH($E261,Parameters!$X$3:$AA$3,0))),BH261*(1+INDEX(Response_Table!$L$4:$L$21,MATCH($F261&amp;"|high",Response_Table!$A$4:$A$21,0))*$R261*INDEX(Parameters!$X$12:$AA$12,1,MATCH($E261,Parameters!$X$3:$AA$3,0))))*(1+Inputs_General!$C$22*Parameters!$F$12)</f>
        <v>0.508001226428572</v>
      </c>
      <c r="BL261" s="39" t="n">
        <f aca="false">IF(BH261=0,0,BI261/BH261-1)</f>
        <v>0</v>
      </c>
      <c r="BM261" s="40" t="n">
        <f aca="false">Parameters!$E$13*IF($N261="V",Parameters!$I$13,IF($N261="F",Parameters!$J$13,Parameters!$K$13))*(1-Parameters!$L$13*$P261)*IF($D261="V1",Parameters!$M$13,IF($D261="V2",Parameters!$N$13,Parameters!$O$13))</f>
        <v>0.291417857142857</v>
      </c>
      <c r="BN261" s="40" t="n">
        <f aca="false">BM261*(1+INDEX(Response_Table!$M$4:$M$21,MATCH($F261&amp;"|mid",Response_Table!$A$4:$A$21,0))*$R261*INDEX(Parameters!$X$13:$AA$13,1,MATCH($E261,Parameters!$X$3:$AA$3,0)))</f>
        <v>0.291417857142857</v>
      </c>
      <c r="BO261" s="40" t="n">
        <f aca="false">MAX(0,MIN(BM261*(1+INDEX(Response_Table!$M$4:$M$21,MATCH($F261&amp;"|low",Response_Table!$A$4:$A$21,0))*$R261*INDEX(Parameters!$X$13:$AA$13,1,MATCH($E261,Parameters!$X$3:$AA$3,0))),BM261*(1+INDEX(Response_Table!$M$4:$M$21,MATCH($F261&amp;"|high",Response_Table!$A$4:$A$21,0))*$R261*INDEX(Parameters!$X$13:$AA$13,1,MATCH($E261,Parameters!$X$3:$AA$3,0))))*(1-Inputs_General!$C$22*Parameters!$F$13))</f>
        <v>0.233891972142857</v>
      </c>
      <c r="BP261" s="40" t="n">
        <f aca="false">MAX(BM261*(1+INDEX(Response_Table!$M$4:$M$21,MATCH($F261&amp;"|low",Response_Table!$A$4:$A$21,0))*$R261*INDEX(Parameters!$X$13:$AA$13,1,MATCH($E261,Parameters!$X$3:$AA$3,0))),BM261*(1+INDEX(Response_Table!$M$4:$M$21,MATCH($F261&amp;"|high",Response_Table!$A$4:$A$21,0))*$R261*INDEX(Parameters!$X$13:$AA$13,1,MATCH($E261,Parameters!$X$3:$AA$3,0))))*(1+Inputs_General!$C$22*Parameters!$F$13)</f>
        <v>0.348943742142857</v>
      </c>
      <c r="BQ261" s="39" t="n">
        <f aca="false">IF(BM261=0,0,BN261/BM261-1)</f>
        <v>0</v>
      </c>
      <c r="BR261" s="38" t="n">
        <f aca="false">Parameters!$E$14*IF($N261="V",Parameters!$I$14,IF($N261="F",Parameters!$J$14,Parameters!$K$14))*(1-Parameters!$L$14*$P261)*IF($D261="V1",Parameters!$M$14,IF($D261="V2",Parameters!$N$14,Parameters!$O$14))*INDEX(Context!$AC$4:$AC$51,$K261)</f>
        <v>15</v>
      </c>
      <c r="BS261" s="38" t="n">
        <f aca="false">BR261*(1+INDEX(Response_Table!$N$4:$N$21,MATCH($F261&amp;"|mid",Response_Table!$A$4:$A$21,0))*$R261*INDEX(Parameters!$X$14:$AA$14,1,MATCH($E261,Parameters!$X$3:$AA$3,0)))</f>
        <v>15</v>
      </c>
      <c r="BT261" s="38" t="n">
        <f aca="false">MAX(0,MIN(BR261*(1+INDEX(Response_Table!$N$4:$N$21,MATCH($F261&amp;"|low",Response_Table!$A$4:$A$21,0))*$R261*INDEX(Parameters!$X$14:$AA$14,1,MATCH($E261,Parameters!$X$3:$AA$3,0))),BR261*(1+INDEX(Response_Table!$N$4:$N$21,MATCH($F261&amp;"|high",Response_Table!$A$4:$A$21,0))*$R261*INDEX(Parameters!$X$14:$AA$14,1,MATCH($E261,Parameters!$X$3:$AA$3,0))))*(1-Inputs_General!$C$22*Parameters!$F$14))</f>
        <v>7.5975</v>
      </c>
      <c r="BU261" s="38" t="n">
        <f aca="false">MAX(BR261*(1+INDEX(Response_Table!$N$4:$N$21,MATCH($F261&amp;"|low",Response_Table!$A$4:$A$21,0))*$R261*INDEX(Parameters!$X$14:$AA$14,1,MATCH($E261,Parameters!$X$3:$AA$3,0))),BR261*(1+INDEX(Response_Table!$N$4:$N$21,MATCH($F261&amp;"|high",Response_Table!$A$4:$A$21,0))*$R261*INDEX(Parameters!$X$14:$AA$14,1,MATCH($E261,Parameters!$X$3:$AA$3,0))))*(1+Inputs_General!$C$22*Parameters!$F$14)</f>
        <v>22.4025</v>
      </c>
      <c r="BV261" s="39" t="n">
        <f aca="false">IF(BR261=0,0,BS261/BR261-1)</f>
        <v>0</v>
      </c>
      <c r="BW261" s="37" t="n">
        <f aca="false">Parameters!$E$15*IF($N261="V",Parameters!$I$15,IF($N261="F",Parameters!$J$15,Parameters!$K$15))*(1-Parameters!$L$15*$P261)*IF($D261="V1",Parameters!$M$15,IF($D261="V2",Parameters!$N$15,Parameters!$O$15))</f>
        <v>10.1820857142857</v>
      </c>
      <c r="BX261" s="37" t="n">
        <f aca="false">BW261*(1+INDEX(Response_Table!$O$4:$O$21,MATCH($F261&amp;"|mid",Response_Table!$A$4:$A$21,0))*$R261*INDEX(Parameters!$X$15:$AA$15,1,MATCH($E261,Parameters!$X$3:$AA$3,0)))</f>
        <v>10.1820857142857</v>
      </c>
      <c r="BY261" s="37" t="n">
        <f aca="false">MAX(0,MIN(BW261*(1+INDEX(Response_Table!$O$4:$O$21,MATCH($F261&amp;"|low",Response_Table!$A$4:$A$21,0))*$R261*INDEX(Parameters!$X$15:$AA$15,1,MATCH($E261,Parameters!$X$3:$AA$3,0))),BW261*(1+INDEX(Response_Table!$O$4:$O$21,MATCH($F261&amp;"|high",Response_Table!$A$4:$A$21,0))*$R261*INDEX(Parameters!$X$15:$AA$15,1,MATCH($E261,Parameters!$X$3:$AA$3,0))))*(1-Inputs_General!$C$22*Parameters!$F$15))</f>
        <v>8.17214199428571</v>
      </c>
      <c r="BZ261" s="37" t="n">
        <f aca="false">MAX(BW261*(1+INDEX(Response_Table!$O$4:$O$21,MATCH($F261&amp;"|low",Response_Table!$A$4:$A$21,0))*$R261*INDEX(Parameters!$X$15:$AA$15,1,MATCH($E261,Parameters!$X$3:$AA$3,0))),BW261*(1+INDEX(Response_Table!$O$4:$O$21,MATCH($F261&amp;"|high",Response_Table!$A$4:$A$21,0))*$R261*INDEX(Parameters!$X$15:$AA$15,1,MATCH($E261,Parameters!$X$3:$AA$3,0))))*(1+Inputs_General!$C$22*Parameters!$F$15)</f>
        <v>12.1920294342857</v>
      </c>
      <c r="CA261" s="39" t="n">
        <f aca="false">IF(BW261=0,0,BX261/BW261-1)</f>
        <v>0</v>
      </c>
      <c r="CB261" s="40" t="n">
        <f aca="false">BD261+BI261</f>
        <v>1.60273571428571</v>
      </c>
      <c r="CC261" s="37" t="n">
        <f aca="false">BD261/BI261</f>
        <v>2.77777777777778</v>
      </c>
      <c r="CD261" s="40" t="n">
        <f aca="false">BN261/CB261</f>
        <v>0.181825271968019</v>
      </c>
      <c r="CE261" s="37" t="n">
        <f aca="false">AE261/AO261</f>
        <v>2.5092601264991</v>
      </c>
      <c r="CF261" s="38" t="n">
        <f aca="false">AE261/AJ261</f>
        <v>55.3264659580872</v>
      </c>
      <c r="CG261" s="38" t="n">
        <f aca="false">INDEX(Context!$V$4:$V$51,$K261)</f>
        <v>32.7871428571429</v>
      </c>
      <c r="CH261" s="38" t="n">
        <f aca="false">INDEX(Context!$Y$4:$Y$51,$K261)</f>
        <v>28.36912210206</v>
      </c>
      <c r="CI261" s="38" t="n">
        <f aca="false">INDEX(Context!$Z$4:$Z$51,$K261)</f>
        <v>36.7871428571429</v>
      </c>
      <c r="CJ261" s="37" t="n">
        <f aca="false">INDEX(Context!$AA$4:$AA$51,$K261)</f>
        <v>0.247678571428571</v>
      </c>
      <c r="CK261" s="37" t="n">
        <f aca="false">MAX(0,MIN(1,1-(1-CJ261)*AO261/AN261))</f>
        <v>0.247678571428572</v>
      </c>
      <c r="CL261" s="38" t="n">
        <f aca="false">CH261+CK261*(CI261-CH261)</f>
        <v>30.454085456935</v>
      </c>
      <c r="CM261" s="38" t="n">
        <f aca="false">CH261+MAX(0,MIN(1,1-(1-CJ261)*AQ261/AN261))*(CI261-CH261)</f>
        <v>28.5788671607335</v>
      </c>
      <c r="CN261" s="38" t="n">
        <f aca="false">CH261+MAX(0,MIN(1,1-(1-CJ261)*AP261/AN261))*(CI261-CH261)</f>
        <v>32.3293037531366</v>
      </c>
      <c r="CO261" s="38" t="n">
        <f aca="false">CL261-CG261</f>
        <v>-2.33305740020784</v>
      </c>
      <c r="CP261" s="38" t="n">
        <f aca="false">CL261-(CH261+CJ261*(CI261-CH261))</f>
        <v>0</v>
      </c>
      <c r="CQ261" s="40" t="n">
        <f aca="false">CL261/CG261</f>
        <v>0.928842308389809</v>
      </c>
      <c r="CR261" s="37" t="n">
        <f aca="false">IF(CL261-CH261&lt;=0,"n/a",(CI261-CL261)/(CL261-CH261))</f>
        <v>3.03749098774333</v>
      </c>
      <c r="CS261" s="37" t="n">
        <f aca="false">IF(CI261-CL261&lt;=0,"n/a",(CL261-CH261)/(CI261-CL261))</f>
        <v>0.329219083788274</v>
      </c>
      <c r="CT261" s="37" t="n">
        <f aca="false">Inputs_General!$C$23+Inputs_General!$C$24*$I261</f>
        <v>0.6</v>
      </c>
      <c r="CU261" s="38" t="n">
        <f aca="false">3.29*CT261</f>
        <v>1.974</v>
      </c>
    </row>
    <row r="262" customFormat="false" ht="15" hidden="false" customHeight="false" outlineLevel="0" collapsed="false">
      <c r="A262" s="9" t="str">
        <f aca="false">B262&amp;"|"&amp;E262&amp;"|"&amp;F262</f>
        <v>D4V2|13/03/2026|Very low</v>
      </c>
      <c r="B262" s="7" t="s">
        <v>353</v>
      </c>
      <c r="C262" s="9" t="s">
        <v>133</v>
      </c>
      <c r="D262" s="9" t="s">
        <v>146</v>
      </c>
      <c r="E262" s="9" t="s">
        <v>164</v>
      </c>
      <c r="F262" s="7" t="s">
        <v>277</v>
      </c>
      <c r="G262" s="9" t="s">
        <v>278</v>
      </c>
      <c r="H262" s="41" t="n">
        <f aca="false">INDEX(Severity_Classes!$C$4:$C$9,MATCH(F262,Severity_Classes!$A$4:$A$9,0))</f>
        <v>0.01</v>
      </c>
      <c r="I262" s="41" t="n">
        <f aca="false">INDEX(Severity_Classes!$D$4:$D$9,MATCH(F262,Severity_Classes!$A$4:$A$9,0))</f>
        <v>0.03</v>
      </c>
      <c r="J262" s="41" t="n">
        <f aca="false">INDEX(Severity_Classes!$E$4:$E$9,MATCH(F262,Severity_Classes!$A$4:$A$9,0))</f>
        <v>0.05</v>
      </c>
      <c r="K262" s="42" t="n">
        <f aca="false">MATCH(B262&amp;"|"&amp;E262,Context!$A$4:$A$51,0)</f>
        <v>44</v>
      </c>
      <c r="L262" s="42" t="n">
        <f aca="false">INDEX(Context!$H$4:$H$51,K262)</f>
        <v>63</v>
      </c>
      <c r="M262" s="42" t="n">
        <f aca="false">INDEX(Context!$I$4:$I$51,K262)</f>
        <v>36</v>
      </c>
      <c r="N262" s="9" t="str">
        <f aca="false">INDEX(Context!$L$4:$L$51,K262)</f>
        <v>F</v>
      </c>
      <c r="O262" s="9" t="str">
        <f aca="false">INDEX(Context!$M$4:$M$51,K262)</f>
        <v>5th fully expanded leaf from top</v>
      </c>
      <c r="P262" s="43" t="n">
        <f aca="false">INDEX(Context!$R$4:$R$51,K262)</f>
        <v>0.953571428571428</v>
      </c>
      <c r="Q262" s="43" t="n">
        <f aca="false">INDEX(Context!$U$4:$U$51,K262)</f>
        <v>2.18945736698217</v>
      </c>
      <c r="R262" s="43" t="n">
        <f aca="false">INDEX(Context!$AD$4:$AD$51,K262)</f>
        <v>1.1</v>
      </c>
      <c r="S262" s="9" t="str">
        <f aca="false">INDEX(Context!$AI$4:$AN$51,K262,MATCH(F262,Severity_Classes!$A$4:$A$9,0))</f>
        <v>Possible</v>
      </c>
      <c r="T262" s="44" t="n">
        <f aca="false">Parameters!$E$4*IF($N262="V",Parameters!$I$4,IF($N262="F",Parameters!$J$4,Parameters!$K$4))*(1-Parameters!$L$4*$P262)*IF($D262="V1",Parameters!$M$4,IF($D262="V2",Parameters!$N$4,Parameters!$O$4))</f>
        <v>81.0806464285714</v>
      </c>
      <c r="U262" s="44" t="n">
        <f aca="false">MIN(100,T262*(1+INDEX(Response_Table!$E$4:$E$21,MATCH($F262&amp;"|mid",Response_Table!$A$4:$A$21,0))*$R262*INDEX(Parameters!$X$4:$AA$4,1,MATCH($E262,Parameters!$X$3:$AA$3,0))))</f>
        <v>80.6961236779422</v>
      </c>
      <c r="V262" s="44" t="n">
        <f aca="false">MAX(0,MIN(T262*(1+INDEX(Response_Table!$E$4:$E$21,MATCH($F262&amp;"|low",Response_Table!$A$4:$A$21,0))*$R262*INDEX(Parameters!$X$4:$AA$4,1,MATCH($E262,Parameters!$X$3:$AA$3,0))),T262*(1+INDEX(Response_Table!$E$4:$E$21,MATCH($F262&amp;"|high",Response_Table!$A$4:$A$21,0))*$R262*INDEX(Parameters!$X$4:$AA$4,1,MATCH($E262,Parameters!$X$3:$AA$3,0))))*(1-Inputs_General!$C$22*Parameters!$F$4))</f>
        <v>75.0994079226146</v>
      </c>
      <c r="W262" s="44" t="n">
        <f aca="false">MIN(100,MAX(T262*(1+INDEX(Response_Table!$E$4:$E$21,MATCH($F262&amp;"|low",Response_Table!$A$4:$A$21,0))*$R262*INDEX(Parameters!$X$4:$AA$4,1,MATCH($E262,Parameters!$X$3:$AA$3,0))),T262*(1+INDEX(Response_Table!$E$4:$E$21,MATCH($F262&amp;"|high",Response_Table!$A$4:$A$21,0))*$R262*INDEX(Parameters!$X$4:$AA$4,1,MATCH($E262,Parameters!$X$3:$AA$3,0))))*(1+Inputs_General!$C$22*Parameters!$F$4))</f>
        <v>86.2890945790202</v>
      </c>
      <c r="X262" s="45" t="n">
        <f aca="false">IF(T262=0,0,U262/T262-1)</f>
        <v>-0.00474247268080141</v>
      </c>
      <c r="Y262" s="44" t="n">
        <f aca="false">Parameters!$E$5*IF($N262="V",Parameters!$I$5,IF($N262="F",Parameters!$J$5,Parameters!$K$5))*(1-Parameters!$L$5*$P262)*IF($D262="V1",Parameters!$M$5,IF($D262="V2",Parameters!$N$5,Parameters!$O$5))</f>
        <v>62.48592</v>
      </c>
      <c r="Z262" s="44" t="n">
        <f aca="false">MIN(100,Y262*(1+INDEX(Response_Table!$F$4:$F$21,MATCH($F262&amp;"|mid",Response_Table!$A$4:$A$21,0))*$R262*INDEX(Parameters!$X$5:$AA$5,1,MATCH($E262,Parameters!$X$3:$AA$3,0))))</f>
        <v>61.5399447375279</v>
      </c>
      <c r="AA262" s="44" t="n">
        <f aca="false">MAX(0,MIN(Y262*(1+INDEX(Response_Table!$F$4:$F$21,MATCH($F262&amp;"|low",Response_Table!$A$4:$A$21,0))*$R262*INDEX(Parameters!$X$5:$AA$5,1,MATCH($E262,Parameters!$X$3:$AA$3,0))),Y262*(1+INDEX(Response_Table!$F$4:$F$21,MATCH($F262&amp;"|high",Response_Table!$A$4:$A$21,0))*$R262*INDEX(Parameters!$X$5:$AA$5,1,MATCH($E262,Parameters!$X$3:$AA$3,0))))*(1-Inputs_General!$C$22*Parameters!$F$5))</f>
        <v>53.7642209291842</v>
      </c>
      <c r="AB262" s="44" t="n">
        <f aca="false">MIN(100,MAX(Y262*(1+INDEX(Response_Table!$F$4:$F$21,MATCH($F262&amp;"|low",Response_Table!$A$4:$A$21,0))*$R262*INDEX(Parameters!$X$5:$AA$5,1,MATCH($E262,Parameters!$X$3:$AA$3,0))),Y262*(1+INDEX(Response_Table!$F$4:$F$21,MATCH($F262&amp;"|high",Response_Table!$A$4:$A$21,0))*$R262*INDEX(Parameters!$X$5:$AA$5,1,MATCH($E262,Parameters!$X$3:$AA$3,0))))*(1+Inputs_General!$C$22*Parameters!$F$5))</f>
        <v>69.3596379594161</v>
      </c>
      <c r="AC262" s="45" t="n">
        <f aca="false">IF(Y262=0,0,Z262/Y262-1)</f>
        <v>-0.0151390147167894</v>
      </c>
      <c r="AD262" s="44" t="n">
        <f aca="false">Parameters!$E$6*IF($N262="V",Parameters!$I$6,IF($N262="F",Parameters!$J$6,Parameters!$K$6))*(1-Parameters!$L$6*$P262)*IF($D262="V1",Parameters!$M$6,IF($D262="V2",Parameters!$N$6,Parameters!$O$6))</f>
        <v>16.8258571428571</v>
      </c>
      <c r="AE262" s="44" t="n">
        <f aca="false">AD262*(1+INDEX(Response_Table!$G$4:$G$21,MATCH($F262&amp;"|mid",Response_Table!$A$4:$A$21,0))*$R262*INDEX(Parameters!$X$6:$AA$6,1,MATCH($E262,Parameters!$X$3:$AA$3,0)))</f>
        <v>15.1093054230987</v>
      </c>
      <c r="AF262" s="44" t="n">
        <f aca="false">MAX(0,MIN(AD262*(1+INDEX(Response_Table!$G$4:$G$21,MATCH($F262&amp;"|low",Response_Table!$A$4:$A$21,0))*$R262*INDEX(Parameters!$X$6:$AA$6,1,MATCH($E262,Parameters!$X$3:$AA$3,0))),AD262*(1+INDEX(Response_Table!$G$4:$G$21,MATCH($F262&amp;"|high",Response_Table!$A$4:$A$21,0))*$R262*INDEX(Parameters!$X$6:$AA$6,1,MATCH($E262,Parameters!$X$3:$AA$3,0))))*(1-Inputs_General!$C$22*Parameters!$F$6))</f>
        <v>11.304263831285</v>
      </c>
      <c r="AG262" s="44" t="n">
        <f aca="false">MAX(AD262*(1+INDEX(Response_Table!$G$4:$G$21,MATCH($F262&amp;"|low",Response_Table!$A$4:$A$21,0))*$R262*INDEX(Parameters!$X$6:$AA$6,1,MATCH($E262,Parameters!$X$3:$AA$3,0))),AD262*(1+INDEX(Response_Table!$G$4:$G$21,MATCH($F262&amp;"|high",Response_Table!$A$4:$A$21,0))*$R262*INDEX(Parameters!$X$6:$AA$6,1,MATCH($E262,Parameters!$X$3:$AA$3,0))))*(1+Inputs_General!$C$22*Parameters!$F$6)</f>
        <v>19.4317912410303</v>
      </c>
      <c r="AH262" s="45" t="n">
        <f aca="false">IF(AD262=0,0,AE262/AD262-1)</f>
        <v>-0.102018679059517</v>
      </c>
      <c r="AI262" s="46" t="n">
        <f aca="false">Parameters!$E$7*IF($N262="V",Parameters!$I$7,IF($N262="F",Parameters!$J$7,Parameters!$K$7))*(1-Parameters!$L$7*$P262)*IF($D262="V1",Parameters!$M$7,IF($D262="V2",Parameters!$N$7,Parameters!$O$7))*POWER($Q262/Inputs_General!$C$26,-Inputs_General!$C$25)</f>
        <v>0.304119499618928</v>
      </c>
      <c r="AJ262" s="46" t="n">
        <f aca="false">AI262*(1+INDEX(Response_Table!$H$4:$H$21,MATCH($F262&amp;"|mid",Response_Table!$A$4:$A$21,0))*$R262*INDEX(Parameters!$X$7:$AA$7,1,MATCH($E262,Parameters!$X$3:$AA$3,0)))</f>
        <v>0.285404228138231</v>
      </c>
      <c r="AK262" s="46" t="n">
        <f aca="false">MAX(0,MIN(AI262*(1+INDEX(Response_Table!$H$4:$H$21,MATCH($F262&amp;"|low",Response_Table!$A$4:$A$21,0))*$R262*INDEX(Parameters!$X$7:$AA$7,1,MATCH($E262,Parameters!$X$3:$AA$3,0))),AI262*(1+INDEX(Response_Table!$H$4:$H$21,MATCH($F262&amp;"|high",Response_Table!$A$4:$A$21,0))*$R262*INDEX(Parameters!$X$7:$AA$7,1,MATCH($E262,Parameters!$X$3:$AA$3,0))))*(1-Inputs_General!$C$22*Parameters!$F$7))</f>
        <v>0.192749699995155</v>
      </c>
      <c r="AL262" s="46" t="n">
        <f aca="false">MAX(AI262*(1+INDEX(Response_Table!$H$4:$H$21,MATCH($F262&amp;"|low",Response_Table!$A$4:$A$21,0))*$R262*INDEX(Parameters!$X$7:$AA$7,1,MATCH($E262,Parameters!$X$3:$AA$3,0))),AI262*(1+INDEX(Response_Table!$H$4:$H$21,MATCH($F262&amp;"|high",Response_Table!$A$4:$A$21,0))*$R262*INDEX(Parameters!$X$7:$AA$7,1,MATCH($E262,Parameters!$X$3:$AA$3,0))))*(1+Inputs_General!$C$22*Parameters!$F$7)</f>
        <v>0.385839917508253</v>
      </c>
      <c r="AM262" s="45" t="n">
        <f aca="false">IF(AI262=0,0,AJ262/AI262-1)</f>
        <v>-0.0615392025310718</v>
      </c>
      <c r="AN262" s="43" t="n">
        <f aca="false">AI262*$Q262/Inputs_General!$C$13*1000</f>
        <v>6.70550532611877</v>
      </c>
      <c r="AO262" s="43" t="n">
        <f aca="false">AJ262*$Q262/Inputs_General!$C$13*1000*(1+Inputs_General!$C$21*$I262)</f>
        <v>6.34005027984993</v>
      </c>
      <c r="AP262" s="43" t="n">
        <f aca="false">AK262*$Q262/Inputs_General!$C$13*1000*(1+Inputs_General!$C$21*$H262)</f>
        <v>4.26054676500091</v>
      </c>
      <c r="AQ262" s="43" t="n">
        <f aca="false">AL262*$Q262/Inputs_General!$C$13*1000*(1+Inputs_General!$C$21*$J262)</f>
        <v>8.61369386190877</v>
      </c>
      <c r="AR262" s="45" t="n">
        <f aca="false">IF(AN262=0,0,AO262/AN262-1)</f>
        <v>-0.0545007465500548</v>
      </c>
      <c r="AS262" s="42" t="n">
        <f aca="false">Parameters!$E$9*IF($N262="V",Parameters!$I$9,IF($N262="F",Parameters!$J$9,Parameters!$K$9))*(1-Parameters!$L$9*$P262)*IF($D262="V1",Parameters!$M$9,IF($D262="V2",Parameters!$N$9,Parameters!$O$9))</f>
        <v>285</v>
      </c>
      <c r="AT262" s="42" t="n">
        <f aca="false">AS262*(1+INDEX(Response_Table!$I$4:$I$21,MATCH($F262&amp;"|mid",Response_Table!$A$4:$A$21,0))*$R262*INDEX(Parameters!$X$9:$AA$9,1,MATCH($E262,Parameters!$X$3:$AA$3,0)))</f>
        <v>295.635132926751</v>
      </c>
      <c r="AU262" s="42" t="n">
        <f aca="false">MAX(0,MIN(AS262*(1+INDEX(Response_Table!$I$4:$I$21,MATCH($F262&amp;"|low",Response_Table!$A$4:$A$21,0))*$R262*INDEX(Parameters!$X$9:$AA$9,1,MATCH($E262,Parameters!$X$3:$AA$3,0))),AS262*(1+INDEX(Response_Table!$I$4:$I$21,MATCH($F262&amp;"|high",Response_Table!$A$4:$A$21,0))*$R262*INDEX(Parameters!$X$9:$AA$9,1,MATCH($E262,Parameters!$X$3:$AA$3,0))))*(1-Inputs_General!$C$22*Parameters!$F$9))</f>
        <v>260.194272002174</v>
      </c>
      <c r="AV262" s="42" t="n">
        <f aca="false">MAX(AS262*(1+INDEX(Response_Table!$I$4:$I$21,MATCH($F262&amp;"|low",Response_Table!$A$4:$A$21,0))*$R262*INDEX(Parameters!$X$9:$AA$9,1,MATCH($E262,Parameters!$X$3:$AA$3,0))),AS262*(1+INDEX(Response_Table!$I$4:$I$21,MATCH($F262&amp;"|high",Response_Table!$A$4:$A$21,0))*$R262*INDEX(Parameters!$X$9:$AA$9,1,MATCH($E262,Parameters!$X$3:$AA$3,0))))*(1+Inputs_General!$C$22*Parameters!$F$9)</f>
        <v>331.860547055842</v>
      </c>
      <c r="AW262" s="45" t="n">
        <f aca="false">IF(AS262=0,0,AT262/AS262-1)</f>
        <v>0.037316255883338</v>
      </c>
      <c r="AX262" s="43" t="n">
        <f aca="false">INDEX(Context!$AB$4:$AB$51,$K262)</f>
        <v>2.41688422790131</v>
      </c>
      <c r="AY262" s="43" t="n">
        <f aca="false">AX262*(1+INDEX(Response_Table!$J$4:$J$21,MATCH($F262&amp;"|mid",Response_Table!$A$4:$A$21,0))*$R262*INDEX(Parameters!$X$10:$AA$10,1,MATCH($E262,Parameters!$X$3:$AA$3,0)))</f>
        <v>2.33043959191477</v>
      </c>
      <c r="AZ262" s="43" t="n">
        <f aca="false">MAX(0,MIN(AX262*(1+INDEX(Response_Table!$J$4:$J$21,MATCH($F262&amp;"|low",Response_Table!$A$4:$A$21,0))*$R262*INDEX(Parameters!$X$10:$AA$10,1,MATCH($E262,Parameters!$X$3:$AA$3,0))),AX262*(1+INDEX(Response_Table!$J$4:$J$21,MATCH($F262&amp;"|high",Response_Table!$A$4:$A$21,0))*$R262*INDEX(Parameters!$X$10:$AA$10,1,MATCH($E262,Parameters!$X$3:$AA$3,0))))*(1-Inputs_General!$C$22*Parameters!$F$10))</f>
        <v>1.82696519678619</v>
      </c>
      <c r="BA262" s="43" t="n">
        <f aca="false">MAX(AX262*(1+INDEX(Response_Table!$J$4:$J$21,MATCH($F262&amp;"|low",Response_Table!$A$4:$A$21,0))*$R262*INDEX(Parameters!$X$10:$AA$10,1,MATCH($E262,Parameters!$X$3:$AA$3,0))),AX262*(1+INDEX(Response_Table!$J$4:$J$21,MATCH($F262&amp;"|high",Response_Table!$A$4:$A$21,0))*$R262*INDEX(Parameters!$X$10:$AA$10,1,MATCH($E262,Parameters!$X$3:$AA$3,0))))*(1+Inputs_General!$C$22*Parameters!$F$10)</f>
        <v>2.8586081617311</v>
      </c>
      <c r="BB262" s="45" t="n">
        <f aca="false">IF(AX262=0,0,AY262/AX262-1)</f>
        <v>-0.0357669742673663</v>
      </c>
      <c r="BC262" s="46" t="n">
        <f aca="false">Parameters!$E$11*IF($N262="V",Parameters!$I$11,IF($N262="F",Parameters!$J$11,Parameters!$K$11))*(1-Parameters!$L$11*$P262)*IF($D262="V1",Parameters!$M$11,IF($D262="V2",Parameters!$N$11,Parameters!$O$11))</f>
        <v>1.17848214285714</v>
      </c>
      <c r="BD262" s="46" t="n">
        <f aca="false">BC262*(1+INDEX(Response_Table!$K$4:$K$21,MATCH($F262&amp;"|mid",Response_Table!$A$4:$A$21,0))*$R262*INDEX(Parameters!$X$11:$AA$11,1,MATCH($E262,Parameters!$X$3:$AA$3,0)))</f>
        <v>1.10135257427544</v>
      </c>
      <c r="BE262" s="46" t="n">
        <f aca="false">MAX(0,MIN(BC262*(1+INDEX(Response_Table!$K$4:$K$21,MATCH($F262&amp;"|low",Response_Table!$A$4:$A$21,0))*$R262*INDEX(Parameters!$X$11:$AA$11,1,MATCH($E262,Parameters!$X$3:$AA$3,0))),BC262*(1+INDEX(Response_Table!$K$4:$K$21,MATCH($F262&amp;"|high",Response_Table!$A$4:$A$21,0))*$R262*INDEX(Parameters!$X$11:$AA$11,1,MATCH($E262,Parameters!$X$3:$AA$3,0))))*(1-Inputs_General!$C$22*Parameters!$F$11))</f>
        <v>0.880530376363644</v>
      </c>
      <c r="BF262" s="46" t="n">
        <f aca="false">MAX(BC262*(1+INDEX(Response_Table!$K$4:$K$21,MATCH($F262&amp;"|low",Response_Table!$A$4:$A$21,0))*$R262*INDEX(Parameters!$X$11:$AA$11,1,MATCH($E262,Parameters!$X$3:$AA$3,0))),BC262*(1+INDEX(Response_Table!$K$4:$K$21,MATCH($F262&amp;"|high",Response_Table!$A$4:$A$21,0))*$R262*INDEX(Parameters!$X$11:$AA$11,1,MATCH($E262,Parameters!$X$3:$AA$3,0))))*(1+Inputs_General!$C$22*Parameters!$F$11)</f>
        <v>1.34144033090607</v>
      </c>
      <c r="BG262" s="45" t="n">
        <f aca="false">IF(BC262=0,0,BD262/BC262-1)</f>
        <v>-0.0654482285108751</v>
      </c>
      <c r="BH262" s="46" t="n">
        <f aca="false">Parameters!$E$12*IF($N262="V",Parameters!$I$12,IF($N262="F",Parameters!$J$12,Parameters!$K$12))*(1-Parameters!$L$12*$P262)*IF($D262="V1",Parameters!$M$12,IF($D262="V2",Parameters!$N$12,Parameters!$O$12))</f>
        <v>0.424253571428571</v>
      </c>
      <c r="BI262" s="46" t="n">
        <f aca="false">BH262*(1+INDEX(Response_Table!$L$4:$L$21,MATCH($F262&amp;"|mid",Response_Table!$A$4:$A$21,0))*$R262*INDEX(Parameters!$X$12:$AA$12,1,MATCH($E262,Parameters!$X$3:$AA$3,0)))</f>
        <v>0.402161995196002</v>
      </c>
      <c r="BJ262" s="46" t="n">
        <f aca="false">MAX(0,MIN(BH262*(1+INDEX(Response_Table!$L$4:$L$21,MATCH($F262&amp;"|low",Response_Table!$A$4:$A$21,0))*$R262*INDEX(Parameters!$X$12:$AA$12,1,MATCH($E262,Parameters!$X$3:$AA$3,0))),BH262*(1+INDEX(Response_Table!$L$4:$L$21,MATCH($F262&amp;"|high",Response_Table!$A$4:$A$21,0))*$R262*INDEX(Parameters!$X$12:$AA$12,1,MATCH($E262,Parameters!$X$3:$AA$3,0))))*(1-Inputs_General!$C$22*Parameters!$F$12))</f>
        <v>0.311810912754733</v>
      </c>
      <c r="BK262" s="46" t="n">
        <f aca="false">MAX(BH262*(1+INDEX(Response_Table!$L$4:$L$21,MATCH($F262&amp;"|low",Response_Table!$A$4:$A$21,0))*$R262*INDEX(Parameters!$X$12:$AA$12,1,MATCH($E262,Parameters!$X$3:$AA$3,0))),BH262*(1+INDEX(Response_Table!$L$4:$L$21,MATCH($F262&amp;"|high",Response_Table!$A$4:$A$21,0))*$R262*INDEX(Parameters!$X$12:$AA$12,1,MATCH($E262,Parameters!$X$3:$AA$3,0))))*(1+Inputs_General!$C$22*Parameters!$F$12)</f>
        <v>0.498917934780273</v>
      </c>
      <c r="BL262" s="45" t="n">
        <f aca="false">IF(BH262=0,0,BI262/BH262-1)</f>
        <v>-0.052071632910907</v>
      </c>
      <c r="BM262" s="46" t="n">
        <f aca="false">Parameters!$E$13*IF($N262="V",Parameters!$I$13,IF($N262="F",Parameters!$J$13,Parameters!$K$13))*(1-Parameters!$L$13*$P262)*IF($D262="V1",Parameters!$M$13,IF($D262="V2",Parameters!$N$13,Parameters!$O$13))</f>
        <v>0.291417857142857</v>
      </c>
      <c r="BN262" s="46" t="n">
        <f aca="false">BM262*(1+INDEX(Response_Table!$M$4:$M$21,MATCH($F262&amp;"|mid",Response_Table!$A$4:$A$21,0))*$R262*INDEX(Parameters!$X$13:$AA$13,1,MATCH($E262,Parameters!$X$3:$AA$3,0)))</f>
        <v>0.2997476171999</v>
      </c>
      <c r="BO262" s="46" t="n">
        <f aca="false">MAX(0,MIN(BM262*(1+INDEX(Response_Table!$M$4:$M$21,MATCH($F262&amp;"|low",Response_Table!$A$4:$A$21,0))*$R262*INDEX(Parameters!$X$13:$AA$13,1,MATCH($E262,Parameters!$X$3:$AA$3,0))),BM262*(1+INDEX(Response_Table!$M$4:$M$21,MATCH($F262&amp;"|high",Response_Table!$A$4:$A$21,0))*$R262*INDEX(Parameters!$X$13:$AA$13,1,MATCH($E262,Parameters!$X$3:$AA$3,0))))*(1-Inputs_General!$C$22*Parameters!$F$13))</f>
        <v>0.23717854471344</v>
      </c>
      <c r="BP262" s="46" t="n">
        <f aca="false">MAX(BM262*(1+INDEX(Response_Table!$M$4:$M$21,MATCH($F262&amp;"|low",Response_Table!$A$4:$A$21,0))*$R262*INDEX(Parameters!$X$13:$AA$13,1,MATCH($E262,Parameters!$X$3:$AA$3,0))),BM262*(1+INDEX(Response_Table!$M$4:$M$21,MATCH($F262&amp;"|high",Response_Table!$A$4:$A$21,0))*$R262*INDEX(Parameters!$X$13:$AA$13,1,MATCH($E262,Parameters!$X$3:$AA$3,0))))*(1+Inputs_General!$C$22*Parameters!$F$13)</f>
        <v>0.359199610309</v>
      </c>
      <c r="BQ262" s="45" t="n">
        <f aca="false">IF(BM262=0,0,BN262/BM262-1)</f>
        <v>0.0285835608658662</v>
      </c>
      <c r="BR262" s="44" t="n">
        <f aca="false">Parameters!$E$14*IF($N262="V",Parameters!$I$14,IF($N262="F",Parameters!$J$14,Parameters!$K$14))*(1-Parameters!$L$14*$P262)*IF($D262="V1",Parameters!$M$14,IF($D262="V2",Parameters!$N$14,Parameters!$O$14))*INDEX(Context!$AC$4:$AC$51,$K262)</f>
        <v>15</v>
      </c>
      <c r="BS262" s="44" t="n">
        <f aca="false">BR262*(1+INDEX(Response_Table!$N$4:$N$21,MATCH($F262&amp;"|mid",Response_Table!$A$4:$A$21,0))*$R262*INDEX(Parameters!$X$14:$AA$14,1,MATCH($E262,Parameters!$X$3:$AA$3,0)))</f>
        <v>15.8520812658148</v>
      </c>
      <c r="BT262" s="44" t="n">
        <f aca="false">MAX(0,MIN(BR262*(1+INDEX(Response_Table!$N$4:$N$21,MATCH($F262&amp;"|low",Response_Table!$A$4:$A$21,0))*$R262*INDEX(Parameters!$X$14:$AA$14,1,MATCH($E262,Parameters!$X$3:$AA$3,0))),BR262*(1+INDEX(Response_Table!$N$4:$N$21,MATCH($F262&amp;"|high",Response_Table!$A$4:$A$21,0))*$R262*INDEX(Parameters!$X$14:$AA$14,1,MATCH($E262,Parameters!$X$3:$AA$3,0))))*(1-Inputs_General!$C$22*Parameters!$F$14))</f>
        <v>7.74569643885104</v>
      </c>
      <c r="BU262" s="44" t="n">
        <f aca="false">MAX(BR262*(1+INDEX(Response_Table!$N$4:$N$21,MATCH($F262&amp;"|low",Response_Table!$A$4:$A$21,0))*$R262*INDEX(Parameters!$X$14:$AA$14,1,MATCH($E262,Parameters!$X$3:$AA$3,0))),BR262*(1+INDEX(Response_Table!$N$4:$N$21,MATCH($F262&amp;"|high",Response_Table!$A$4:$A$21,0))*$R262*INDEX(Parameters!$X$14:$AA$14,1,MATCH($E262,Parameters!$X$3:$AA$3,0))))*(1+Inputs_General!$C$22*Parameters!$F$14)</f>
        <v>24.4620231083708</v>
      </c>
      <c r="BV262" s="45" t="n">
        <f aca="false">IF(BR262=0,0,BS262/BR262-1)</f>
        <v>0.0568054177209894</v>
      </c>
      <c r="BW262" s="43" t="n">
        <f aca="false">Parameters!$E$15*IF($N262="V",Parameters!$I$15,IF($N262="F",Parameters!$J$15,Parameters!$K$15))*(1-Parameters!$L$15*$P262)*IF($D262="V1",Parameters!$M$15,IF($D262="V2",Parameters!$N$15,Parameters!$O$15))</f>
        <v>10.1820857142857</v>
      </c>
      <c r="BX262" s="43" t="n">
        <f aca="false">BW262*(1+INDEX(Response_Table!$O$4:$O$21,MATCH($F262&amp;"|mid",Response_Table!$A$4:$A$21,0))*$R262*INDEX(Parameters!$X$15:$AA$15,1,MATCH($E262,Parameters!$X$3:$AA$3,0)))</f>
        <v>10.037486306218</v>
      </c>
      <c r="BY262" s="43" t="n">
        <f aca="false">MAX(0,MIN(BW262*(1+INDEX(Response_Table!$O$4:$O$21,MATCH($F262&amp;"|low",Response_Table!$A$4:$A$21,0))*$R262*INDEX(Parameters!$X$15:$AA$15,1,MATCH($E262,Parameters!$X$3:$AA$3,0))),BW262*(1+INDEX(Response_Table!$O$4:$O$21,MATCH($F262&amp;"|high",Response_Table!$A$4:$A$21,0))*$R262*INDEX(Parameters!$X$15:$AA$15,1,MATCH($E262,Parameters!$X$3:$AA$3,0))))*(1-Inputs_General!$C$22*Parameters!$F$15))</f>
        <v>7.98432015205695</v>
      </c>
      <c r="BZ262" s="43" t="n">
        <f aca="false">MAX(BW262*(1+INDEX(Response_Table!$O$4:$O$21,MATCH($F262&amp;"|low",Response_Table!$A$4:$A$21,0))*$R262*INDEX(Parameters!$X$15:$AA$15,1,MATCH($E262,Parameters!$X$3:$AA$3,0))),BW262*(1+INDEX(Response_Table!$O$4:$O$21,MATCH($F262&amp;"|high",Response_Table!$A$4:$A$21,0))*$R262*INDEX(Parameters!$X$15:$AA$15,1,MATCH($E262,Parameters!$X$3:$AA$3,0))))*(1+Inputs_General!$C$22*Parameters!$F$15)</f>
        <v>12.1325751616787</v>
      </c>
      <c r="CA262" s="45" t="n">
        <f aca="false">IF(BW262=0,0,BX262/BW262-1)</f>
        <v>-0.0142013544302474</v>
      </c>
      <c r="CB262" s="46" t="n">
        <f aca="false">BD262+BI262</f>
        <v>1.50351456947144</v>
      </c>
      <c r="CC262" s="43" t="n">
        <f aca="false">BD262/BI262</f>
        <v>2.73857944666969</v>
      </c>
      <c r="CD262" s="46" t="n">
        <f aca="false">BN262/CB262</f>
        <v>0.199364624251879</v>
      </c>
      <c r="CE262" s="43" t="n">
        <f aca="false">AE262/AO262</f>
        <v>2.38315230261176</v>
      </c>
      <c r="CF262" s="44" t="n">
        <f aca="false">AE262/AJ262</f>
        <v>52.9400195703505</v>
      </c>
      <c r="CG262" s="44" t="n">
        <f aca="false">INDEX(Context!$V$4:$V$51,$K262)</f>
        <v>32.7871428571429</v>
      </c>
      <c r="CH262" s="44" t="n">
        <f aca="false">INDEX(Context!$Y$4:$Y$51,$K262)</f>
        <v>28.36912210206</v>
      </c>
      <c r="CI262" s="44" t="n">
        <f aca="false">INDEX(Context!$Z$4:$Z$51,$K262)</f>
        <v>36.7871428571429</v>
      </c>
      <c r="CJ262" s="43" t="n">
        <f aca="false">INDEX(Context!$AA$4:$AA$51,$K262)</f>
        <v>0.247678571428571</v>
      </c>
      <c r="CK262" s="43" t="n">
        <f aca="false">MAX(0,MIN(1,1-(1-CJ262)*AO262/AN262))</f>
        <v>0.288680650931318</v>
      </c>
      <c r="CL262" s="44" t="n">
        <f aca="false">CH262+CK262*(CI262-CH262)</f>
        <v>30.7992418131907</v>
      </c>
      <c r="CM262" s="44" t="n">
        <f aca="false">CH262+MAX(0,MIN(1,1-(1-CJ262)*AQ262/AN262))*(CI262-CH262)</f>
        <v>28.6518845876724</v>
      </c>
      <c r="CN262" s="44" t="n">
        <f aca="false">CH262+MAX(0,MIN(1,1-(1-CJ262)*AP262/AN262))*(CI262-CH262)</f>
        <v>32.7632422103234</v>
      </c>
      <c r="CO262" s="44" t="n">
        <f aca="false">CL262-CG262</f>
        <v>-1.98790104395217</v>
      </c>
      <c r="CP262" s="44" t="n">
        <f aca="false">CL262-(CH262+CJ262*(CI262-CH262))</f>
        <v>0.345156356255675</v>
      </c>
      <c r="CQ262" s="46" t="n">
        <f aca="false">CL262/CG262</f>
        <v>0.939369494542002</v>
      </c>
      <c r="CR262" s="43" t="n">
        <f aca="false">IF(CL262-CH262&lt;=0,"n/a",(CI262-CL262)/(CL262-CH262))</f>
        <v>2.46403542036462</v>
      </c>
      <c r="CS262" s="43" t="n">
        <f aca="false">IF(CI262-CL262&lt;=0,"n/a",(CL262-CH262)/(CI262-CL262))</f>
        <v>0.405838321858223</v>
      </c>
      <c r="CT262" s="43" t="n">
        <f aca="false">Inputs_General!$C$23+Inputs_General!$C$24*$I262</f>
        <v>0.66</v>
      </c>
      <c r="CU262" s="44" t="n">
        <f aca="false">3.29*CT262</f>
        <v>2.1714</v>
      </c>
    </row>
    <row r="263" customFormat="false" ht="15" hidden="false" customHeight="false" outlineLevel="0" collapsed="false">
      <c r="A263" s="9" t="str">
        <f aca="false">B263&amp;"|"&amp;E263&amp;"|"&amp;F263</f>
        <v>D4V2|13/03/2026|Low</v>
      </c>
      <c r="B263" s="7" t="s">
        <v>353</v>
      </c>
      <c r="C263" s="9" t="s">
        <v>133</v>
      </c>
      <c r="D263" s="9" t="s">
        <v>146</v>
      </c>
      <c r="E263" s="9" t="s">
        <v>164</v>
      </c>
      <c r="F263" s="7" t="s">
        <v>279</v>
      </c>
      <c r="G263" s="9" t="s">
        <v>280</v>
      </c>
      <c r="H263" s="41" t="n">
        <f aca="false">INDEX(Severity_Classes!$C$4:$C$9,MATCH(F263,Severity_Classes!$A$4:$A$9,0))</f>
        <v>0.06</v>
      </c>
      <c r="I263" s="41" t="n">
        <f aca="false">INDEX(Severity_Classes!$D$4:$D$9,MATCH(F263,Severity_Classes!$A$4:$A$9,0))</f>
        <v>0.08</v>
      </c>
      <c r="J263" s="41" t="n">
        <f aca="false">INDEX(Severity_Classes!$E$4:$E$9,MATCH(F263,Severity_Classes!$A$4:$A$9,0))</f>
        <v>0.1</v>
      </c>
      <c r="K263" s="42" t="n">
        <f aca="false">MATCH(B263&amp;"|"&amp;E263,Context!$A$4:$A$51,0)</f>
        <v>44</v>
      </c>
      <c r="L263" s="42" t="n">
        <f aca="false">INDEX(Context!$H$4:$H$51,K263)</f>
        <v>63</v>
      </c>
      <c r="M263" s="42" t="n">
        <f aca="false">INDEX(Context!$I$4:$I$51,K263)</f>
        <v>36</v>
      </c>
      <c r="N263" s="9" t="str">
        <f aca="false">INDEX(Context!$L$4:$L$51,K263)</f>
        <v>F</v>
      </c>
      <c r="O263" s="9" t="str">
        <f aca="false">INDEX(Context!$M$4:$M$51,K263)</f>
        <v>5th fully expanded leaf from top</v>
      </c>
      <c r="P263" s="43" t="n">
        <f aca="false">INDEX(Context!$R$4:$R$51,K263)</f>
        <v>0.953571428571428</v>
      </c>
      <c r="Q263" s="43" t="n">
        <f aca="false">INDEX(Context!$U$4:$U$51,K263)</f>
        <v>2.18945736698217</v>
      </c>
      <c r="R263" s="43" t="n">
        <f aca="false">INDEX(Context!$AD$4:$AD$51,K263)</f>
        <v>1.1</v>
      </c>
      <c r="S263" s="9" t="str">
        <f aca="false">INDEX(Context!$AI$4:$AN$51,K263,MATCH(F263,Severity_Classes!$A$4:$A$9,0))</f>
        <v>Likely</v>
      </c>
      <c r="T263" s="44" t="n">
        <f aca="false">Parameters!$E$4*IF($N263="V",Parameters!$I$4,IF($N263="F",Parameters!$J$4,Parameters!$K$4))*(1-Parameters!$L$4*$P263)*IF($D263="V1",Parameters!$M$4,IF($D263="V2",Parameters!$N$4,Parameters!$O$4))</f>
        <v>81.0806464285714</v>
      </c>
      <c r="U263" s="44" t="n">
        <f aca="false">MIN(100,T263*(1+INDEX(Response_Table!$E$4:$E$21,MATCH($F263&amp;"|mid",Response_Table!$A$4:$A$21,0))*$R263*INDEX(Parameters!$X$4:$AA$4,1,MATCH($E263,Parameters!$X$3:$AA$3,0))))</f>
        <v>79.8392621872048</v>
      </c>
      <c r="V263" s="44" t="n">
        <f aca="false">MAX(0,MIN(T263*(1+INDEX(Response_Table!$E$4:$E$21,MATCH($F263&amp;"|low",Response_Table!$A$4:$A$21,0))*$R263*INDEX(Parameters!$X$4:$AA$4,1,MATCH($E263,Parameters!$X$3:$AA$3,0))),T263*(1+INDEX(Response_Table!$E$4:$E$21,MATCH($F263&amp;"|high",Response_Table!$A$4:$A$21,0))*$R263*INDEX(Parameters!$X$4:$AA$4,1,MATCH($E263,Parameters!$X$3:$AA$3,0))))*(1-Inputs_General!$C$22*Parameters!$F$4))</f>
        <v>74.1806529532735</v>
      </c>
      <c r="W263" s="44" t="n">
        <f aca="false">MIN(100,MAX(T263*(1+INDEX(Response_Table!$E$4:$E$21,MATCH($F263&amp;"|low",Response_Table!$A$4:$A$21,0))*$R263*INDEX(Parameters!$X$4:$AA$4,1,MATCH($E263,Parameters!$X$3:$AA$3,0))),T263*(1+INDEX(Response_Table!$E$4:$E$21,MATCH($F263&amp;"|high",Response_Table!$A$4:$A$21,0))*$R263*INDEX(Parameters!$X$4:$AA$4,1,MATCH($E263,Parameters!$X$3:$AA$3,0))))*(1+Inputs_General!$C$22*Parameters!$F$4))</f>
        <v>85.49666359711</v>
      </c>
      <c r="X263" s="45" t="n">
        <f aca="false">IF(T263=0,0,U263/T263-1)</f>
        <v>-0.0153104877186722</v>
      </c>
      <c r="Y263" s="44" t="n">
        <f aca="false">Parameters!$E$5*IF($N263="V",Parameters!$I$5,IF($N263="F",Parameters!$J$5,Parameters!$K$5))*(1-Parameters!$L$5*$P263)*IF($D263="V1",Parameters!$M$5,IF($D263="V2",Parameters!$N$5,Parameters!$O$5))</f>
        <v>62.48592</v>
      </c>
      <c r="Z263" s="44" t="n">
        <f aca="false">MIN(100,Y263*(1+INDEX(Response_Table!$F$4:$F$21,MATCH($F263&amp;"|mid",Response_Table!$A$4:$A$21,0))*$R263*INDEX(Parameters!$X$5:$AA$5,1,MATCH($E263,Parameters!$X$3:$AA$3,0))))</f>
        <v>59.3276298259561</v>
      </c>
      <c r="AA263" s="44" t="n">
        <f aca="false">MAX(0,MIN(Y263*(1+INDEX(Response_Table!$F$4:$F$21,MATCH($F263&amp;"|low",Response_Table!$A$4:$A$21,0))*$R263*INDEX(Parameters!$X$5:$AA$5,1,MATCH($E263,Parameters!$X$3:$AA$3,0))),Y263*(1+INDEX(Response_Table!$F$4:$F$21,MATCH($F263&amp;"|high",Response_Table!$A$4:$A$21,0))*$R263*INDEX(Parameters!$X$5:$AA$5,1,MATCH($E263,Parameters!$X$3:$AA$3,0))))*(1-Inputs_General!$C$22*Parameters!$F$5))</f>
        <v>51.4732013055647</v>
      </c>
      <c r="AB263" s="44" t="n">
        <f aca="false">MIN(100,MAX(Y263*(1+INDEX(Response_Table!$F$4:$F$21,MATCH($F263&amp;"|low",Response_Table!$A$4:$A$21,0))*$R263*INDEX(Parameters!$X$5:$AA$5,1,MATCH($E263,Parameters!$X$3:$AA$3,0))),Y263*(1+INDEX(Response_Table!$F$4:$F$21,MATCH($F263&amp;"|high",Response_Table!$A$4:$A$21,0))*$R263*INDEX(Parameters!$X$5:$AA$5,1,MATCH($E263,Parameters!$X$3:$AA$3,0))))*(1+Inputs_General!$C$22*Parameters!$F$5))</f>
        <v>67.2663851433366</v>
      </c>
      <c r="AC263" s="45" t="n">
        <f aca="false">IF(Y263=0,0,Z263/Y263-1)</f>
        <v>-0.0505440293436337</v>
      </c>
      <c r="AD263" s="44" t="n">
        <f aca="false">Parameters!$E$6*IF($N263="V",Parameters!$I$6,IF($N263="F",Parameters!$J$6,Parameters!$K$6))*(1-Parameters!$L$6*$P263)*IF($D263="V1",Parameters!$M$6,IF($D263="V2",Parameters!$N$6,Parameters!$O$6))</f>
        <v>16.8258571428571</v>
      </c>
      <c r="AE263" s="44" t="n">
        <f aca="false">AD263*(1+INDEX(Response_Table!$G$4:$G$21,MATCH($F263&amp;"|mid",Response_Table!$A$4:$A$21,0))*$R263*INDEX(Parameters!$X$6:$AA$6,1,MATCH($E263,Parameters!$X$3:$AA$3,0)))</f>
        <v>12.7069899626227</v>
      </c>
      <c r="AF263" s="44" t="n">
        <f aca="false">MAX(0,MIN(AD263*(1+INDEX(Response_Table!$G$4:$G$21,MATCH($F263&amp;"|low",Response_Table!$A$4:$A$21,0))*$R263*INDEX(Parameters!$X$6:$AA$6,1,MATCH($E263,Parameters!$X$3:$AA$3,0))),AD263*(1+INDEX(Response_Table!$G$4:$G$21,MATCH($F263&amp;"|high",Response_Table!$A$4:$A$21,0))*$R263*INDEX(Parameters!$X$6:$AA$6,1,MATCH($E263,Parameters!$X$3:$AA$3,0))))*(1-Inputs_General!$C$22*Parameters!$F$6))</f>
        <v>9.53858676055186</v>
      </c>
      <c r="AG263" s="44" t="n">
        <f aca="false">MAX(AD263*(1+INDEX(Response_Table!$G$4:$G$21,MATCH($F263&amp;"|low",Response_Table!$A$4:$A$21,0))*$R263*INDEX(Parameters!$X$6:$AA$6,1,MATCH($E263,Parameters!$X$3:$AA$3,0))),AD263*(1+INDEX(Response_Table!$G$4:$G$21,MATCH($F263&amp;"|high",Response_Table!$A$4:$A$21,0))*$R263*INDEX(Parameters!$X$6:$AA$6,1,MATCH($E263,Parameters!$X$3:$AA$3,0))))*(1+Inputs_General!$C$22*Parameters!$F$6)</f>
        <v>16.2906518830502</v>
      </c>
      <c r="AH263" s="45" t="n">
        <f aca="false">IF(AD263=0,0,AE263/AD263-1)</f>
        <v>-0.244793899369519</v>
      </c>
      <c r="AI263" s="46" t="n">
        <f aca="false">Parameters!$E$7*IF($N263="V",Parameters!$I$7,IF($N263="F",Parameters!$J$7,Parameters!$K$7))*(1-Parameters!$L$7*$P263)*IF($D263="V1",Parameters!$M$7,IF($D263="V2",Parameters!$N$7,Parameters!$O$7))*POWER($Q263/Inputs_General!$C$26,-Inputs_General!$C$25)</f>
        <v>0.304119499618928</v>
      </c>
      <c r="AJ263" s="46" t="n">
        <f aca="false">AI263*(1+INDEX(Response_Table!$H$4:$H$21,MATCH($F263&amp;"|mid",Response_Table!$A$4:$A$21,0))*$R263*INDEX(Parameters!$X$7:$AA$7,1,MATCH($E263,Parameters!$X$3:$AA$3,0)))</f>
        <v>0.25772270050951</v>
      </c>
      <c r="AK263" s="46" t="n">
        <f aca="false">MAX(0,MIN(AI263*(1+INDEX(Response_Table!$H$4:$H$21,MATCH($F263&amp;"|low",Response_Table!$A$4:$A$21,0))*$R263*INDEX(Parameters!$X$7:$AA$7,1,MATCH($E263,Parameters!$X$3:$AA$3,0))),AI263*(1+INDEX(Response_Table!$H$4:$H$21,MATCH($F263&amp;"|high",Response_Table!$A$4:$A$21,0))*$R263*INDEX(Parameters!$X$7:$AA$7,1,MATCH($E263,Parameters!$X$3:$AA$3,0))))*(1-Inputs_General!$C$22*Parameters!$F$7))</f>
        <v>0.174399392350113</v>
      </c>
      <c r="AL263" s="46" t="n">
        <f aca="false">MAX(AI263*(1+INDEX(Response_Table!$H$4:$H$21,MATCH($F263&amp;"|low",Response_Table!$A$4:$A$21,0))*$R263*INDEX(Parameters!$X$7:$AA$7,1,MATCH($E263,Parameters!$X$3:$AA$3,0))),AI263*(1+INDEX(Response_Table!$H$4:$H$21,MATCH($F263&amp;"|high",Response_Table!$A$4:$A$21,0))*$R263*INDEX(Parameters!$X$7:$AA$7,1,MATCH($E263,Parameters!$X$3:$AA$3,0))))*(1+Inputs_General!$C$22*Parameters!$F$7)</f>
        <v>0.34774331620279</v>
      </c>
      <c r="AM263" s="45" t="n">
        <f aca="false">IF(AI263=0,0,AJ263/AI263-1)</f>
        <v>-0.152561079337414</v>
      </c>
      <c r="AN263" s="43" t="n">
        <f aca="false">AI263*$Q263/Inputs_General!$C$13*1000</f>
        <v>6.70550532611877</v>
      </c>
      <c r="AO263" s="43" t="n">
        <f aca="false">AJ263*$Q263/Inputs_General!$C$13*1000*(1+Inputs_General!$C$21*$I263)</f>
        <v>5.79615631998458</v>
      </c>
      <c r="AP263" s="43" t="n">
        <f aca="false">AK263*$Q263/Inputs_General!$C$13*1000*(1+Inputs_General!$C$21*$H263)</f>
        <v>3.90299733025016</v>
      </c>
      <c r="AQ263" s="43" t="n">
        <f aca="false">AL263*$Q263/Inputs_General!$C$13*1000*(1+Inputs_General!$C$21*$J263)</f>
        <v>7.85904727709953</v>
      </c>
      <c r="AR263" s="45" t="n">
        <f aca="false">IF(AN263=0,0,AO263/AN263-1)</f>
        <v>-0.135612300924163</v>
      </c>
      <c r="AS263" s="42" t="n">
        <f aca="false">Parameters!$E$9*IF($N263="V",Parameters!$I$9,IF($N263="F",Parameters!$J$9,Parameters!$K$9))*(1-Parameters!$L$9*$P263)*IF($D263="V1",Parameters!$M$9,IF($D263="V2",Parameters!$N$9,Parameters!$O$9))</f>
        <v>285</v>
      </c>
      <c r="AT263" s="42" t="n">
        <f aca="false">AS263*(1+INDEX(Response_Table!$I$4:$I$21,MATCH($F263&amp;"|mid",Response_Table!$A$4:$A$21,0))*$R263*INDEX(Parameters!$X$9:$AA$9,1,MATCH($E263,Parameters!$X$3:$AA$3,0)))</f>
        <v>310.755683063219</v>
      </c>
      <c r="AU263" s="42" t="n">
        <f aca="false">MAX(0,MIN(AS263*(1+INDEX(Response_Table!$I$4:$I$21,MATCH($F263&amp;"|low",Response_Table!$A$4:$A$21,0))*$R263*INDEX(Parameters!$X$9:$AA$9,1,MATCH($E263,Parameters!$X$3:$AA$3,0))),AS263*(1+INDEX(Response_Table!$I$4:$I$21,MATCH($F263&amp;"|high",Response_Table!$A$4:$A$21,0))*$R263*INDEX(Parameters!$X$9:$AA$9,1,MATCH($E263,Parameters!$X$3:$AA$3,0))))*(1-Inputs_General!$C$22*Parameters!$F$9))</f>
        <v>274.957472644588</v>
      </c>
      <c r="AV263" s="42" t="n">
        <f aca="false">MAX(AS263*(1+INDEX(Response_Table!$I$4:$I$21,MATCH($F263&amp;"|low",Response_Table!$A$4:$A$21,0))*$R263*INDEX(Parameters!$X$9:$AA$9,1,MATCH($E263,Parameters!$X$3:$AA$3,0))),AS263*(1+INDEX(Response_Table!$I$4:$I$21,MATCH($F263&amp;"|high",Response_Table!$A$4:$A$21,0))*$R263*INDEX(Parameters!$X$9:$AA$9,1,MATCH($E263,Parameters!$X$3:$AA$3,0))))*(1+Inputs_General!$C$22*Parameters!$F$9)</f>
        <v>347.196231317812</v>
      </c>
      <c r="AW263" s="45" t="n">
        <f aca="false">IF(AS263=0,0,AT263/AS263-1)</f>
        <v>0.0903708177656819</v>
      </c>
      <c r="AX263" s="43" t="n">
        <f aca="false">INDEX(Context!$AB$4:$AB$51,$K263)</f>
        <v>2.41688422790131</v>
      </c>
      <c r="AY263" s="43" t="n">
        <f aca="false">AX263*(1+INDEX(Response_Table!$J$4:$J$21,MATCH($F263&amp;"|mid",Response_Table!$A$4:$A$21,0))*$R263*INDEX(Parameters!$X$10:$AA$10,1,MATCH($E263,Parameters!$X$3:$AA$3,0)))</f>
        <v>2.20002136987607</v>
      </c>
      <c r="AZ263" s="43" t="n">
        <f aca="false">MAX(0,MIN(AX263*(1+INDEX(Response_Table!$J$4:$J$21,MATCH($F263&amp;"|low",Response_Table!$A$4:$A$21,0))*$R263*INDEX(Parameters!$X$10:$AA$10,1,MATCH($E263,Parameters!$X$3:$AA$3,0))),AX263*(1+INDEX(Response_Table!$J$4:$J$21,MATCH($F263&amp;"|high",Response_Table!$A$4:$A$21,0))*$R263*INDEX(Parameters!$X$10:$AA$10,1,MATCH($E263,Parameters!$X$3:$AA$3,0))))*(1-Inputs_General!$C$22*Parameters!$F$10))</f>
        <v>1.72739652666001</v>
      </c>
      <c r="BA263" s="43" t="n">
        <f aca="false">MAX(AX263*(1+INDEX(Response_Table!$J$4:$J$21,MATCH($F263&amp;"|low",Response_Table!$A$4:$A$21,0))*$R263*INDEX(Parameters!$X$10:$AA$10,1,MATCH($E263,Parameters!$X$3:$AA$3,0))),AX263*(1+INDEX(Response_Table!$J$4:$J$21,MATCH($F263&amp;"|high",Response_Table!$A$4:$A$21,0))*$R263*INDEX(Parameters!$X$10:$AA$10,1,MATCH($E263,Parameters!$X$3:$AA$3,0))))*(1+Inputs_General!$C$22*Parameters!$F$10)</f>
        <v>2.69443874576597</v>
      </c>
      <c r="BB263" s="45" t="n">
        <f aca="false">IF(AX263=0,0,AY263/AX263-1)</f>
        <v>-0.089728277226399</v>
      </c>
      <c r="BC263" s="46" t="n">
        <f aca="false">Parameters!$E$11*IF($N263="V",Parameters!$I$11,IF($N263="F",Parameters!$J$11,Parameters!$K$11))*(1-Parameters!$L$11*$P263)*IF($D263="V1",Parameters!$M$11,IF($D263="V2",Parameters!$N$11,Parameters!$O$11))</f>
        <v>1.17848214285714</v>
      </c>
      <c r="BD263" s="46" t="n">
        <f aca="false">BC263*(1+INDEX(Response_Table!$K$4:$K$21,MATCH($F263&amp;"|mid",Response_Table!$A$4:$A$21,0))*$R263*INDEX(Parameters!$X$11:$AA$11,1,MATCH($E263,Parameters!$X$3:$AA$3,0)))</f>
        <v>0.98817083838871</v>
      </c>
      <c r="BE263" s="46" t="n">
        <f aca="false">MAX(0,MIN(BC263*(1+INDEX(Response_Table!$K$4:$K$21,MATCH($F263&amp;"|low",Response_Table!$A$4:$A$21,0))*$R263*INDEX(Parameters!$X$11:$AA$11,1,MATCH($E263,Parameters!$X$3:$AA$3,0))),BC263*(1+INDEX(Response_Table!$K$4:$K$21,MATCH($F263&amp;"|high",Response_Table!$A$4:$A$21,0))*$R263*INDEX(Parameters!$X$11:$AA$11,1,MATCH($E263,Parameters!$X$3:$AA$3,0))))*(1-Inputs_General!$C$22*Parameters!$F$11))</f>
        <v>0.791829490358621</v>
      </c>
      <c r="BF263" s="46" t="n">
        <f aca="false">MAX(BC263*(1+INDEX(Response_Table!$K$4:$K$21,MATCH($F263&amp;"|low",Response_Table!$A$4:$A$21,0))*$R263*INDEX(Parameters!$X$11:$AA$11,1,MATCH($E263,Parameters!$X$3:$AA$3,0))),BC263*(1+INDEX(Response_Table!$K$4:$K$21,MATCH($F263&amp;"|high",Response_Table!$A$4:$A$21,0))*$R263*INDEX(Parameters!$X$11:$AA$11,1,MATCH($E263,Parameters!$X$3:$AA$3,0))))*(1+Inputs_General!$C$22*Parameters!$F$11)</f>
        <v>1.20092921262201</v>
      </c>
      <c r="BG263" s="45" t="n">
        <f aca="false">IF(BC263=0,0,BD263/BC263-1)</f>
        <v>-0.161488492313542</v>
      </c>
      <c r="BH263" s="46" t="n">
        <f aca="false">Parameters!$E$12*IF($N263="V",Parameters!$I$12,IF($N263="F",Parameters!$J$12,Parameters!$K$12))*(1-Parameters!$L$12*$P263)*IF($D263="V1",Parameters!$M$12,IF($D263="V2",Parameters!$N$12,Parameters!$O$12))</f>
        <v>0.424253571428571</v>
      </c>
      <c r="BI263" s="46" t="n">
        <f aca="false">BH263*(1+INDEX(Response_Table!$L$4:$L$21,MATCH($F263&amp;"|mid",Response_Table!$A$4:$A$21,0))*$R263*INDEX(Parameters!$X$12:$AA$12,1,MATCH($E263,Parameters!$X$3:$AA$3,0)))</f>
        <v>0.369486616777121</v>
      </c>
      <c r="BJ263" s="46" t="n">
        <f aca="false">MAX(0,MIN(BH263*(1+INDEX(Response_Table!$L$4:$L$21,MATCH($F263&amp;"|low",Response_Table!$A$4:$A$21,0))*$R263*INDEX(Parameters!$X$12:$AA$12,1,MATCH($E263,Parameters!$X$3:$AA$3,0))),BH263*(1+INDEX(Response_Table!$L$4:$L$21,MATCH($F263&amp;"|high",Response_Table!$A$4:$A$21,0))*$R263*INDEX(Parameters!$X$12:$AA$12,1,MATCH($E263,Parameters!$X$3:$AA$3,0))))*(1-Inputs_General!$C$22*Parameters!$F$12))</f>
        <v>0.287112894209114</v>
      </c>
      <c r="BK263" s="46" t="n">
        <f aca="false">MAX(BH263*(1+INDEX(Response_Table!$L$4:$L$21,MATCH($F263&amp;"|low",Response_Table!$A$4:$A$21,0))*$R263*INDEX(Parameters!$X$12:$AA$12,1,MATCH($E263,Parameters!$X$3:$AA$3,0))),BH263*(1+INDEX(Response_Table!$L$4:$L$21,MATCH($F263&amp;"|high",Response_Table!$A$4:$A$21,0))*$R263*INDEX(Parameters!$X$12:$AA$12,1,MATCH($E263,Parameters!$X$3:$AA$3,0))))*(1+Inputs_General!$C$22*Parameters!$F$12)</f>
        <v>0.457373050975974</v>
      </c>
      <c r="BL263" s="45" t="n">
        <f aca="false">IF(BH263=0,0,BI263/BH263-1)</f>
        <v>-0.129090144054735</v>
      </c>
      <c r="BM263" s="46" t="n">
        <f aca="false">Parameters!$E$13*IF($N263="V",Parameters!$I$13,IF($N263="F",Parameters!$J$13,Parameters!$K$13))*(1-Parameters!$L$13*$P263)*IF($D263="V1",Parameters!$M$13,IF($D263="V2",Parameters!$N$13,Parameters!$O$13))</f>
        <v>0.291417857142857</v>
      </c>
      <c r="BN263" s="46" t="n">
        <f aca="false">BM263*(1+INDEX(Response_Table!$M$4:$M$21,MATCH($F263&amp;"|mid",Response_Table!$A$4:$A$21,0))*$R263*INDEX(Parameters!$X$13:$AA$13,1,MATCH($E263,Parameters!$X$3:$AA$3,0)))</f>
        <v>0.295381053037233</v>
      </c>
      <c r="BO263" s="46" t="n">
        <f aca="false">MAX(0,MIN(BM263*(1+INDEX(Response_Table!$M$4:$M$21,MATCH($F263&amp;"|low",Response_Table!$A$4:$A$21,0))*$R263*INDEX(Parameters!$X$13:$AA$13,1,MATCH($E263,Parameters!$X$3:$AA$3,0))),BM263*(1+INDEX(Response_Table!$M$4:$M$21,MATCH($F263&amp;"|high",Response_Table!$A$4:$A$21,0))*$R263*INDEX(Parameters!$X$13:$AA$13,1,MATCH($E263,Parameters!$X$3:$AA$3,0))))*(1-Inputs_General!$C$22*Parameters!$F$13))</f>
        <v>0.232947052574942</v>
      </c>
      <c r="BP263" s="46" t="n">
        <f aca="false">MAX(BM263*(1+INDEX(Response_Table!$M$4:$M$21,MATCH($F263&amp;"|low",Response_Table!$A$4:$A$21,0))*$R263*INDEX(Parameters!$X$13:$AA$13,1,MATCH($E263,Parameters!$X$3:$AA$3,0))),BM263*(1+INDEX(Response_Table!$M$4:$M$21,MATCH($F263&amp;"|high",Response_Table!$A$4:$A$21,0))*$R263*INDEX(Parameters!$X$13:$AA$13,1,MATCH($E263,Parameters!$X$3:$AA$3,0))))*(1+Inputs_General!$C$22*Parameters!$F$13)</f>
        <v>0.358009064351595</v>
      </c>
      <c r="BQ263" s="45" t="n">
        <f aca="false">IF(BM263=0,0,BN263/BM263-1)</f>
        <v>0.0135997015873786</v>
      </c>
      <c r="BR263" s="44" t="n">
        <f aca="false">Parameters!$E$14*IF($N263="V",Parameters!$I$14,IF($N263="F",Parameters!$J$14,Parameters!$K$14))*(1-Parameters!$L$14*$P263)*IF($D263="V1",Parameters!$M$14,IF($D263="V2",Parameters!$N$14,Parameters!$O$14))*INDEX(Context!$AC$4:$AC$51,$K263)</f>
        <v>15</v>
      </c>
      <c r="BS263" s="44" t="n">
        <f aca="false">BR263*(1+INDEX(Response_Table!$N$4:$N$21,MATCH($F263&amp;"|mid",Response_Table!$A$4:$A$21,0))*$R263*INDEX(Parameters!$X$14:$AA$14,1,MATCH($E263,Parameters!$X$3:$AA$3,0)))</f>
        <v>17.1123841754411</v>
      </c>
      <c r="BT263" s="44" t="n">
        <f aca="false">MAX(0,MIN(BR263*(1+INDEX(Response_Table!$N$4:$N$21,MATCH($F263&amp;"|low",Response_Table!$A$4:$A$21,0))*$R263*INDEX(Parameters!$X$14:$AA$14,1,MATCH($E263,Parameters!$X$3:$AA$3,0))),BR263*(1+INDEX(Response_Table!$N$4:$N$21,MATCH($F263&amp;"|high",Response_Table!$A$4:$A$21,0))*$R263*INDEX(Parameters!$X$14:$AA$14,1,MATCH($E263,Parameters!$X$3:$AA$3,0))))*(1-Inputs_General!$C$22*Parameters!$F$14))</f>
        <v>8.42351281540989</v>
      </c>
      <c r="BU263" s="44" t="n">
        <f aca="false">MAX(BR263*(1+INDEX(Response_Table!$N$4:$N$21,MATCH($F263&amp;"|low",Response_Table!$A$4:$A$21,0))*$R263*INDEX(Parameters!$X$14:$AA$14,1,MATCH($E263,Parameters!$X$3:$AA$3,0))),BR263*(1+INDEX(Response_Table!$N$4:$N$21,MATCH($F263&amp;"|high",Response_Table!$A$4:$A$21,0))*$R263*INDEX(Parameters!$X$14:$AA$14,1,MATCH($E263,Parameters!$X$3:$AA$3,0))))*(1+Inputs_General!$C$22*Parameters!$F$14)</f>
        <v>26.2346710753774</v>
      </c>
      <c r="BV263" s="45" t="n">
        <f aca="false">IF(BR263=0,0,BS263/BR263-1)</f>
        <v>0.140825611696075</v>
      </c>
      <c r="BW263" s="43" t="n">
        <f aca="false">Parameters!$E$15*IF($N263="V",Parameters!$I$15,IF($N263="F",Parameters!$J$15,Parameters!$K$15))*(1-Parameters!$L$15*$P263)*IF($D263="V1",Parameters!$M$15,IF($D263="V2",Parameters!$N$15,Parameters!$O$15))</f>
        <v>10.1820857142857</v>
      </c>
      <c r="BX263" s="43" t="n">
        <f aca="false">BW263*(1+INDEX(Response_Table!$O$4:$O$21,MATCH($F263&amp;"|mid",Response_Table!$A$4:$A$21,0))*$R263*INDEX(Parameters!$X$15:$AA$15,1,MATCH($E263,Parameters!$X$3:$AA$3,0)))</f>
        <v>9.82361110202168</v>
      </c>
      <c r="BY263" s="43" t="n">
        <f aca="false">MAX(0,MIN(BW263*(1+INDEX(Response_Table!$O$4:$O$21,MATCH($F263&amp;"|low",Response_Table!$A$4:$A$21,0))*$R263*INDEX(Parameters!$X$15:$AA$15,1,MATCH($E263,Parameters!$X$3:$AA$3,0))),BW263*(1+INDEX(Response_Table!$O$4:$O$21,MATCH($F263&amp;"|high",Response_Table!$A$4:$A$21,0))*$R263*INDEX(Parameters!$X$15:$AA$15,1,MATCH($E263,Parameters!$X$3:$AA$3,0))))*(1-Inputs_General!$C$22*Parameters!$F$15))</f>
        <v>7.82266039430381</v>
      </c>
      <c r="BZ263" s="43" t="n">
        <f aca="false">MAX(BW263*(1+INDEX(Response_Table!$O$4:$O$21,MATCH($F263&amp;"|low",Response_Table!$A$4:$A$21,0))*$R263*INDEX(Parameters!$X$15:$AA$15,1,MATCH($E263,Parameters!$X$3:$AA$3,0))),BW263*(1+INDEX(Response_Table!$O$4:$O$21,MATCH($F263&amp;"|high",Response_Table!$A$4:$A$21,0))*$R263*INDEX(Parameters!$X$15:$AA$15,1,MATCH($E263,Parameters!$X$3:$AA$3,0))))*(1+Inputs_General!$C$22*Parameters!$F$15)</f>
        <v>11.8606450131414</v>
      </c>
      <c r="CA263" s="45" t="n">
        <f aca="false">IF(BW263=0,0,BX263/BW263-1)</f>
        <v>-0.0352064029240188</v>
      </c>
      <c r="CB263" s="46" t="n">
        <f aca="false">BD263+BI263</f>
        <v>1.35765745516583</v>
      </c>
      <c r="CC263" s="43" t="n">
        <f aca="false">BD263/BI263</f>
        <v>2.67444284452875</v>
      </c>
      <c r="CD263" s="46" t="n">
        <f aca="false">BN263/CB263</f>
        <v>0.217566700579237</v>
      </c>
      <c r="CE263" s="43" t="n">
        <f aca="false">AE263/AO263</f>
        <v>2.19231319190102</v>
      </c>
      <c r="CF263" s="44" t="n">
        <f aca="false">AE263/AJ263</f>
        <v>49.304892186452</v>
      </c>
      <c r="CG263" s="44" t="n">
        <f aca="false">INDEX(Context!$V$4:$V$51,$K263)</f>
        <v>32.7871428571429</v>
      </c>
      <c r="CH263" s="44" t="n">
        <f aca="false">INDEX(Context!$Y$4:$Y$51,$K263)</f>
        <v>28.36912210206</v>
      </c>
      <c r="CI263" s="44" t="n">
        <f aca="false">INDEX(Context!$Z$4:$Z$51,$K263)</f>
        <v>36.7871428571429</v>
      </c>
      <c r="CJ263" s="43" t="n">
        <f aca="false">INDEX(Context!$AA$4:$AA$51,$K263)</f>
        <v>0.247678571428571</v>
      </c>
      <c r="CK263" s="43" t="n">
        <f aca="false">MAX(0,MIN(1,1-(1-CJ263)*AO263/AN263))</f>
        <v>0.349702611391696</v>
      </c>
      <c r="CL263" s="44" t="n">
        <f aca="false">CH263+CK263*(CI263-CH263)</f>
        <v>31.312925942862</v>
      </c>
      <c r="CM263" s="44" t="n">
        <f aca="false">CH263+MAX(0,MIN(1,1-(1-CJ263)*AQ263/AN263))*(CI263-CH263)</f>
        <v>29.3646153821513</v>
      </c>
      <c r="CN263" s="44" t="n">
        <f aca="false">CH263+MAX(0,MIN(1,1-(1-CJ263)*AP263/AN263))*(CI263-CH263)</f>
        <v>33.1009320612088</v>
      </c>
      <c r="CO263" s="44" t="n">
        <f aca="false">CL263-CG263</f>
        <v>-1.47421691428086</v>
      </c>
      <c r="CP263" s="44" t="n">
        <f aca="false">CL263-(CH263+CJ263*(CI263-CH263))</f>
        <v>0.858840485926983</v>
      </c>
      <c r="CQ263" s="46" t="n">
        <f aca="false">CL263/CG263</f>
        <v>0.955036737397211</v>
      </c>
      <c r="CR263" s="43" t="n">
        <f aca="false">IF(CL263-CH263&lt;=0,"n/a",(CI263-CL263)/(CL263-CH263))</f>
        <v>1.85957258374578</v>
      </c>
      <c r="CS263" s="43" t="n">
        <f aca="false">IF(CI263-CL263&lt;=0,"n/a",(CL263-CH263)/(CI263-CL263))</f>
        <v>0.537757981990504</v>
      </c>
      <c r="CT263" s="43" t="n">
        <f aca="false">Inputs_General!$C$23+Inputs_General!$C$24*$I263</f>
        <v>0.76</v>
      </c>
      <c r="CU263" s="44" t="n">
        <f aca="false">3.29*CT263</f>
        <v>2.5004</v>
      </c>
    </row>
    <row r="264" customFormat="false" ht="15" hidden="false" customHeight="false" outlineLevel="0" collapsed="false">
      <c r="A264" s="9" t="str">
        <f aca="false">B264&amp;"|"&amp;E264&amp;"|"&amp;F264</f>
        <v>D4V2|13/03/2026|Moderate</v>
      </c>
      <c r="B264" s="7" t="s">
        <v>353</v>
      </c>
      <c r="C264" s="9" t="s">
        <v>133</v>
      </c>
      <c r="D264" s="9" t="s">
        <v>146</v>
      </c>
      <c r="E264" s="9" t="s">
        <v>164</v>
      </c>
      <c r="F264" s="7" t="s">
        <v>281</v>
      </c>
      <c r="G264" s="9" t="s">
        <v>282</v>
      </c>
      <c r="H264" s="41" t="n">
        <f aca="false">INDEX(Severity_Classes!$C$4:$C$9,MATCH(F264,Severity_Classes!$A$4:$A$9,0))</f>
        <v>0.11</v>
      </c>
      <c r="I264" s="41" t="n">
        <f aca="false">INDEX(Severity_Classes!$D$4:$D$9,MATCH(F264,Severity_Classes!$A$4:$A$9,0))</f>
        <v>0.18</v>
      </c>
      <c r="J264" s="41" t="n">
        <f aca="false">INDEX(Severity_Classes!$E$4:$E$9,MATCH(F264,Severity_Classes!$A$4:$A$9,0))</f>
        <v>0.25</v>
      </c>
      <c r="K264" s="42" t="n">
        <f aca="false">MATCH(B264&amp;"|"&amp;E264,Context!$A$4:$A$51,0)</f>
        <v>44</v>
      </c>
      <c r="L264" s="42" t="n">
        <f aca="false">INDEX(Context!$H$4:$H$51,K264)</f>
        <v>63</v>
      </c>
      <c r="M264" s="42" t="n">
        <f aca="false">INDEX(Context!$I$4:$I$51,K264)</f>
        <v>36</v>
      </c>
      <c r="N264" s="9" t="str">
        <f aca="false">INDEX(Context!$L$4:$L$51,K264)</f>
        <v>F</v>
      </c>
      <c r="O264" s="9" t="str">
        <f aca="false">INDEX(Context!$M$4:$M$51,K264)</f>
        <v>5th fully expanded leaf from top</v>
      </c>
      <c r="P264" s="43" t="n">
        <f aca="false">INDEX(Context!$R$4:$R$51,K264)</f>
        <v>0.953571428571428</v>
      </c>
      <c r="Q264" s="43" t="n">
        <f aca="false">INDEX(Context!$U$4:$U$51,K264)</f>
        <v>2.18945736698217</v>
      </c>
      <c r="R264" s="43" t="n">
        <f aca="false">INDEX(Context!$AD$4:$AD$51,K264)</f>
        <v>1.1</v>
      </c>
      <c r="S264" s="9" t="str">
        <f aca="false">INDEX(Context!$AI$4:$AN$51,K264,MATCH(F264,Severity_Classes!$A$4:$A$9,0))</f>
        <v>Likely</v>
      </c>
      <c r="T264" s="44" t="n">
        <f aca="false">Parameters!$E$4*IF($N264="V",Parameters!$I$4,IF($N264="F",Parameters!$J$4,Parameters!$K$4))*(1-Parameters!$L$4*$P264)*IF($D264="V1",Parameters!$M$4,IF($D264="V2",Parameters!$N$4,Parameters!$O$4))</f>
        <v>81.0806464285714</v>
      </c>
      <c r="U264" s="44" t="n">
        <f aca="false">MIN(100,T264*(1+INDEX(Response_Table!$E$4:$E$21,MATCH($F264&amp;"|mid",Response_Table!$A$4:$A$21,0))*$R264*INDEX(Parameters!$X$4:$AA$4,1,MATCH($E264,Parameters!$X$3:$AA$3,0))))</f>
        <v>77.0234585055325</v>
      </c>
      <c r="V264" s="44" t="n">
        <f aca="false">MAX(0,MIN(T264*(1+INDEX(Response_Table!$E$4:$E$21,MATCH($F264&amp;"|low",Response_Table!$A$4:$A$21,0))*$R264*INDEX(Parameters!$X$4:$AA$4,1,MATCH($E264,Parameters!$X$3:$AA$3,0))),T264*(1+INDEX(Response_Table!$E$4:$E$21,MATCH($F264&amp;"|high",Response_Table!$A$4:$A$21,0))*$R264*INDEX(Parameters!$X$4:$AA$4,1,MATCH($E264,Parameters!$X$3:$AA$3,0))))*(1-Inputs_General!$C$22*Parameters!$F$4))</f>
        <v>69.1160879820619</v>
      </c>
      <c r="W264" s="44" t="n">
        <f aca="false">MIN(100,MAX(T264*(1+INDEX(Response_Table!$E$4:$E$21,MATCH($F264&amp;"|low",Response_Table!$A$4:$A$21,0))*$R264*INDEX(Parameters!$X$4:$AA$4,1,MATCH($E264,Parameters!$X$3:$AA$3,0))),T264*(1+INDEX(Response_Table!$E$4:$E$21,MATCH($F264&amp;"|high",Response_Table!$A$4:$A$21,0))*$R264*INDEX(Parameters!$X$4:$AA$4,1,MATCH($E264,Parameters!$X$3:$AA$3,0))))*(1+Inputs_General!$C$22*Parameters!$F$4))</f>
        <v>84.3756418566905</v>
      </c>
      <c r="X264" s="45" t="n">
        <f aca="false">IF(T264=0,0,U264/T264-1)</f>
        <v>-0.0500389192951635</v>
      </c>
      <c r="Y264" s="44" t="n">
        <f aca="false">Parameters!$E$5*IF($N264="V",Parameters!$I$5,IF($N264="F",Parameters!$J$5,Parameters!$K$5))*(1-Parameters!$L$5*$P264)*IF($D264="V1",Parameters!$M$5,IF($D264="V2",Parameters!$N$5,Parameters!$O$5))</f>
        <v>62.48592</v>
      </c>
      <c r="Z264" s="44" t="n">
        <f aca="false">MIN(100,Y264*(1+INDEX(Response_Table!$F$4:$F$21,MATCH($F264&amp;"|mid",Response_Table!$A$4:$A$21,0))*$R264*INDEX(Parameters!$X$5:$AA$5,1,MATCH($E264,Parameters!$X$3:$AA$3,0))))</f>
        <v>51.6849793070761</v>
      </c>
      <c r="AA264" s="44" t="n">
        <f aca="false">MAX(0,MIN(Y264*(1+INDEX(Response_Table!$F$4:$F$21,MATCH($F264&amp;"|low",Response_Table!$A$4:$A$21,0))*$R264*INDEX(Parameters!$X$5:$AA$5,1,MATCH($E264,Parameters!$X$3:$AA$3,0))),Y264*(1+INDEX(Response_Table!$F$4:$F$21,MATCH($F264&amp;"|high",Response_Table!$A$4:$A$21,0))*$R264*INDEX(Parameters!$X$5:$AA$5,1,MATCH($E264,Parameters!$X$3:$AA$3,0))))*(1-Inputs_General!$C$22*Parameters!$F$5))</f>
        <v>38.6602451361472</v>
      </c>
      <c r="AB264" s="44" t="n">
        <f aca="false">MIN(100,MAX(Y264*(1+INDEX(Response_Table!$F$4:$F$21,MATCH($F264&amp;"|low",Response_Table!$A$4:$A$21,0))*$R264*INDEX(Parameters!$X$5:$AA$5,1,MATCH($E264,Parameters!$X$3:$AA$3,0))),Y264*(1+INDEX(Response_Table!$F$4:$F$21,MATCH($F264&amp;"|high",Response_Table!$A$4:$A$21,0))*$R264*INDEX(Parameters!$X$5:$AA$5,1,MATCH($E264,Parameters!$X$3:$AA$3,0))))*(1+Inputs_General!$C$22*Parameters!$F$5))</f>
        <v>64.1521712465585</v>
      </c>
      <c r="AC264" s="45" t="n">
        <f aca="false">IF(Y264=0,0,Z264/Y264-1)</f>
        <v>-0.172853991634017</v>
      </c>
      <c r="AD264" s="44" t="n">
        <f aca="false">Parameters!$E$6*IF($N264="V",Parameters!$I$6,IF($N264="F",Parameters!$J$6,Parameters!$K$6))*(1-Parameters!$L$6*$P264)*IF($D264="V1",Parameters!$M$6,IF($D264="V2",Parameters!$N$6,Parameters!$O$6))</f>
        <v>16.8258571428571</v>
      </c>
      <c r="AE264" s="44" t="n">
        <f aca="false">AD264*(1+INDEX(Response_Table!$G$4:$G$21,MATCH($F264&amp;"|mid",Response_Table!$A$4:$A$21,0))*$R264*INDEX(Parameters!$X$6:$AA$6,1,MATCH($E264,Parameters!$X$3:$AA$3,0)))</f>
        <v>9.23190799547707</v>
      </c>
      <c r="AF264" s="44" t="n">
        <f aca="false">MAX(0,MIN(AD264*(1+INDEX(Response_Table!$G$4:$G$21,MATCH($F264&amp;"|low",Response_Table!$A$4:$A$21,0))*$R264*INDEX(Parameters!$X$6:$AA$6,1,MATCH($E264,Parameters!$X$3:$AA$3,0))),AD264*(1+INDEX(Response_Table!$G$4:$G$21,MATCH($F264&amp;"|high",Response_Table!$A$4:$A$21,0))*$R264*INDEX(Parameters!$X$6:$AA$6,1,MATCH($E264,Parameters!$X$3:$AA$3,0))))*(1-Inputs_General!$C$22*Parameters!$F$6))</f>
        <v>6.07184482844394</v>
      </c>
      <c r="AG264" s="44" t="n">
        <f aca="false">MAX(AD264*(1+INDEX(Response_Table!$G$4:$G$21,MATCH($F264&amp;"|low",Response_Table!$A$4:$A$21,0))*$R264*INDEX(Parameters!$X$6:$AA$6,1,MATCH($E264,Parameters!$X$3:$AA$3,0))),AD264*(1+INDEX(Response_Table!$G$4:$G$21,MATCH($F264&amp;"|high",Response_Table!$A$4:$A$21,0))*$R264*INDEX(Parameters!$X$6:$AA$6,1,MATCH($E264,Parameters!$X$3:$AA$3,0))))*(1+Inputs_General!$C$22*Parameters!$F$6)</f>
        <v>13.7698285012513</v>
      </c>
      <c r="AH264" s="45" t="n">
        <f aca="false">IF(AD264=0,0,AE264/AD264-1)</f>
        <v>-0.45132613945934</v>
      </c>
      <c r="AI264" s="46" t="n">
        <f aca="false">Parameters!$E$7*IF($N264="V",Parameters!$I$7,IF($N264="F",Parameters!$J$7,Parameters!$K$7))*(1-Parameters!$L$7*$P264)*IF($D264="V1",Parameters!$M$7,IF($D264="V2",Parameters!$N$7,Parameters!$O$7))*POWER($Q264/Inputs_General!$C$26,-Inputs_General!$C$25)</f>
        <v>0.304119499618928</v>
      </c>
      <c r="AJ264" s="46" t="n">
        <f aca="false">AI264*(1+INDEX(Response_Table!$H$4:$H$21,MATCH($F264&amp;"|mid",Response_Table!$A$4:$A$21,0))*$R264*INDEX(Parameters!$X$7:$AA$7,1,MATCH($E264,Parameters!$X$3:$AA$3,0)))</f>
        <v>0.213390008836179</v>
      </c>
      <c r="AK264" s="46" t="n">
        <f aca="false">MAX(0,MIN(AI264*(1+INDEX(Response_Table!$H$4:$H$21,MATCH($F264&amp;"|low",Response_Table!$A$4:$A$21,0))*$R264*INDEX(Parameters!$X$7:$AA$7,1,MATCH($E264,Parameters!$X$3:$AA$3,0))),AI264*(1+INDEX(Response_Table!$H$4:$H$21,MATCH($F264&amp;"|high",Response_Table!$A$4:$A$21,0))*$R264*INDEX(Parameters!$X$7:$AA$7,1,MATCH($E264,Parameters!$X$3:$AA$3,0))))*(1-Inputs_General!$C$22*Parameters!$F$7))</f>
        <v>0.13331022118621</v>
      </c>
      <c r="AL264" s="46" t="n">
        <f aca="false">MAX(AI264*(1+INDEX(Response_Table!$H$4:$H$21,MATCH($F264&amp;"|low",Response_Table!$A$4:$A$21,0))*$R264*INDEX(Parameters!$X$7:$AA$7,1,MATCH($E264,Parameters!$X$3:$AA$3,0))),AI264*(1+INDEX(Response_Table!$H$4:$H$21,MATCH($F264&amp;"|high",Response_Table!$A$4:$A$21,0))*$R264*INDEX(Parameters!$X$7:$AA$7,1,MATCH($E264,Parameters!$X$3:$AA$3,0))))*(1+Inputs_General!$C$22*Parameters!$F$7)</f>
        <v>0.314953267584492</v>
      </c>
      <c r="AM264" s="45" t="n">
        <f aca="false">IF(AI264=0,0,AJ264/AI264-1)</f>
        <v>-0.298334999552597</v>
      </c>
      <c r="AN264" s="43" t="n">
        <f aca="false">AI264*$Q264/Inputs_General!$C$13*1000</f>
        <v>6.70550532611877</v>
      </c>
      <c r="AO264" s="43" t="n">
        <f aca="false">AJ264*$Q264/Inputs_General!$C$13*1000*(1+Inputs_General!$C$21*$I264)</f>
        <v>4.91674422554549</v>
      </c>
      <c r="AP264" s="43" t="n">
        <f aca="false">AK264*$Q264/Inputs_General!$C$13*1000*(1+Inputs_General!$C$21*$H264)</f>
        <v>3.0201778915569</v>
      </c>
      <c r="AQ264" s="43" t="n">
        <f aca="false">AL264*$Q264/Inputs_General!$C$13*1000*(1+Inputs_General!$C$21*$J264)</f>
        <v>7.37840180227564</v>
      </c>
      <c r="AR264" s="45" t="n">
        <f aca="false">IF(AN264=0,0,AO264/AN264-1)</f>
        <v>-0.266760074532464</v>
      </c>
      <c r="AS264" s="42" t="n">
        <f aca="false">Parameters!$E$9*IF($N264="V",Parameters!$I$9,IF($N264="F",Parameters!$J$9,Parameters!$K$9))*(1-Parameters!$L$9*$P264)*IF($D264="V1",Parameters!$M$9,IF($D264="V2",Parameters!$N$9,Parameters!$O$9))</f>
        <v>285</v>
      </c>
      <c r="AT264" s="42" t="n">
        <f aca="false">AS264*(1+INDEX(Response_Table!$I$4:$I$21,MATCH($F264&amp;"|mid",Response_Table!$A$4:$A$21,0))*$R264*INDEX(Parameters!$X$9:$AA$9,1,MATCH($E264,Parameters!$X$3:$AA$3,0)))</f>
        <v>333.270950326965</v>
      </c>
      <c r="AU264" s="42" t="n">
        <f aca="false">MAX(0,MIN(AS264*(1+INDEX(Response_Table!$I$4:$I$21,MATCH($F264&amp;"|low",Response_Table!$A$4:$A$21,0))*$R264*INDEX(Parameters!$X$9:$AA$9,1,MATCH($E264,Parameters!$X$3:$AA$3,0))),AS264*(1+INDEX(Response_Table!$I$4:$I$21,MATCH($F264&amp;"|high",Response_Table!$A$4:$A$21,0))*$R264*INDEX(Parameters!$X$9:$AA$9,1,MATCH($E264,Parameters!$X$3:$AA$3,0))))*(1-Inputs_General!$C$22*Parameters!$F$9))</f>
        <v>287.044559024394</v>
      </c>
      <c r="AV264" s="42" t="n">
        <f aca="false">MAX(AS264*(1+INDEX(Response_Table!$I$4:$I$21,MATCH($F264&amp;"|low",Response_Table!$A$4:$A$21,0))*$R264*INDEX(Parameters!$X$9:$AA$9,1,MATCH($E264,Parameters!$X$3:$AA$3,0))),AS264*(1+INDEX(Response_Table!$I$4:$I$21,MATCH($F264&amp;"|high",Response_Table!$A$4:$A$21,0))*$R264*INDEX(Parameters!$X$9:$AA$9,1,MATCH($E264,Parameters!$X$3:$AA$3,0))))*(1+Inputs_General!$C$22*Parameters!$F$9)</f>
        <v>378.448246193483</v>
      </c>
      <c r="AW264" s="45" t="n">
        <f aca="false">IF(AS264=0,0,AT264/AS264-1)</f>
        <v>0.169371755533209</v>
      </c>
      <c r="AX264" s="43" t="n">
        <f aca="false">INDEX(Context!$AB$4:$AB$51,$K264)</f>
        <v>2.41688422790131</v>
      </c>
      <c r="AY264" s="43" t="n">
        <f aca="false">AX264*(1+INDEX(Response_Table!$J$4:$J$21,MATCH($F264&amp;"|mid",Response_Table!$A$4:$A$21,0))*$R264*INDEX(Parameters!$X$10:$AA$10,1,MATCH($E264,Parameters!$X$3:$AA$3,0)))</f>
        <v>1.98335787943583</v>
      </c>
      <c r="AZ264" s="43" t="n">
        <f aca="false">MAX(0,MIN(AX264*(1+INDEX(Response_Table!$J$4:$J$21,MATCH($F264&amp;"|low",Response_Table!$A$4:$A$21,0))*$R264*INDEX(Parameters!$X$10:$AA$10,1,MATCH($E264,Parameters!$X$3:$AA$3,0))),AX264*(1+INDEX(Response_Table!$J$4:$J$21,MATCH($F264&amp;"|high",Response_Table!$A$4:$A$21,0))*$R264*INDEX(Parameters!$X$10:$AA$10,1,MATCH($E264,Parameters!$X$3:$AA$3,0))))*(1-Inputs_General!$C$22*Parameters!$F$10))</f>
        <v>1.49355084593434</v>
      </c>
      <c r="BA264" s="43" t="n">
        <f aca="false">MAX(AX264*(1+INDEX(Response_Table!$J$4:$J$21,MATCH($F264&amp;"|low",Response_Table!$A$4:$A$21,0))*$R264*INDEX(Parameters!$X$10:$AA$10,1,MATCH($E264,Parameters!$X$3:$AA$3,0))),AX264*(1+INDEX(Response_Table!$J$4:$J$21,MATCH($F264&amp;"|high",Response_Table!$A$4:$A$21,0))*$R264*INDEX(Parameters!$X$10:$AA$10,1,MATCH($E264,Parameters!$X$3:$AA$3,0))))*(1+Inputs_General!$C$22*Parameters!$F$10)</f>
        <v>2.54955974467762</v>
      </c>
      <c r="BB264" s="45" t="n">
        <f aca="false">IF(AX264=0,0,AY264/AX264-1)</f>
        <v>-0.179374064947222</v>
      </c>
      <c r="BC264" s="46" t="n">
        <f aca="false">Parameters!$E$11*IF($N264="V",Parameters!$I$11,IF($N264="F",Parameters!$J$11,Parameters!$K$11))*(1-Parameters!$L$11*$P264)*IF($D264="V1",Parameters!$M$11,IF($D264="V2",Parameters!$N$11,Parameters!$O$11))</f>
        <v>1.17848214285714</v>
      </c>
      <c r="BD264" s="46" t="n">
        <f aca="false">BC264*(1+INDEX(Response_Table!$K$4:$K$21,MATCH($F264&amp;"|mid",Response_Table!$A$4:$A$21,0))*$R264*INDEX(Parameters!$X$11:$AA$11,1,MATCH($E264,Parameters!$X$3:$AA$3,0)))</f>
        <v>0.809536916599937</v>
      </c>
      <c r="BE264" s="46" t="n">
        <f aca="false">MAX(0,MIN(BC264*(1+INDEX(Response_Table!$K$4:$K$21,MATCH($F264&amp;"|low",Response_Table!$A$4:$A$21,0))*$R264*INDEX(Parameters!$X$11:$AA$11,1,MATCH($E264,Parameters!$X$3:$AA$3,0))),BC264*(1+INDEX(Response_Table!$K$4:$K$21,MATCH($F264&amp;"|high",Response_Table!$A$4:$A$21,0))*$R264*INDEX(Parameters!$X$11:$AA$11,1,MATCH($E264,Parameters!$X$3:$AA$3,0))))*(1-Inputs_General!$C$22*Parameters!$F$11))</f>
        <v>0.596946883215114</v>
      </c>
      <c r="BF264" s="46" t="n">
        <f aca="false">MAX(BC264*(1+INDEX(Response_Table!$K$4:$K$21,MATCH($F264&amp;"|low",Response_Table!$A$4:$A$21,0))*$R264*INDEX(Parameters!$X$11:$AA$11,1,MATCH($E264,Parameters!$X$3:$AA$3,0))),BC264*(1+INDEX(Response_Table!$K$4:$K$21,MATCH($F264&amp;"|high",Response_Table!$A$4:$A$21,0))*$R264*INDEX(Parameters!$X$11:$AA$11,1,MATCH($E264,Parameters!$X$3:$AA$3,0))))*(1+Inputs_General!$C$22*Parameters!$F$11)</f>
        <v>1.08119353589556</v>
      </c>
      <c r="BG264" s="45" t="n">
        <f aca="false">IF(BC264=0,0,BD264/BC264-1)</f>
        <v>-0.313068151684272</v>
      </c>
      <c r="BH264" s="46" t="n">
        <f aca="false">Parameters!$E$12*IF($N264="V",Parameters!$I$12,IF($N264="F",Parameters!$J$12,Parameters!$K$12))*(1-Parameters!$L$12*$P264)*IF($D264="V1",Parameters!$M$12,IF($D264="V2",Parameters!$N$12,Parameters!$O$12))</f>
        <v>0.424253571428571</v>
      </c>
      <c r="BI264" s="46" t="n">
        <f aca="false">BH264*(1+INDEX(Response_Table!$L$4:$L$21,MATCH($F264&amp;"|mid",Response_Table!$A$4:$A$21,0))*$R264*INDEX(Parameters!$X$12:$AA$12,1,MATCH($E264,Parameters!$X$3:$AA$3,0)))</f>
        <v>0.317156142238907</v>
      </c>
      <c r="BJ264" s="46" t="n">
        <f aca="false">MAX(0,MIN(BH264*(1+INDEX(Response_Table!$L$4:$L$21,MATCH($F264&amp;"|low",Response_Table!$A$4:$A$21,0))*$R264*INDEX(Parameters!$X$12:$AA$12,1,MATCH($E264,Parameters!$X$3:$AA$3,0))),BH264*(1+INDEX(Response_Table!$L$4:$L$21,MATCH($F264&amp;"|high",Response_Table!$A$4:$A$21,0))*$R264*INDEX(Parameters!$X$12:$AA$12,1,MATCH($E264,Parameters!$X$3:$AA$3,0))))*(1-Inputs_General!$C$22*Parameters!$F$12))</f>
        <v>0.231810218577713</v>
      </c>
      <c r="BK264" s="46" t="n">
        <f aca="false">MAX(BH264*(1+INDEX(Response_Table!$L$4:$L$21,MATCH($F264&amp;"|low",Response_Table!$A$4:$A$21,0))*$R264*INDEX(Parameters!$X$12:$AA$12,1,MATCH($E264,Parameters!$X$3:$AA$3,0))),BH264*(1+INDEX(Response_Table!$L$4:$L$21,MATCH($F264&amp;"|high",Response_Table!$A$4:$A$21,0))*$R264*INDEX(Parameters!$X$12:$AA$12,1,MATCH($E264,Parameters!$X$3:$AA$3,0))))*(1+Inputs_General!$C$22*Parameters!$F$12)</f>
        <v>0.421615038105961</v>
      </c>
      <c r="BL264" s="45" t="n">
        <f aca="false">IF(BH264=0,0,BI264/BH264-1)</f>
        <v>-0.252437307313736</v>
      </c>
      <c r="BM264" s="46" t="n">
        <f aca="false">Parameters!$E$13*IF($N264="V",Parameters!$I$13,IF($N264="F",Parameters!$J$13,Parameters!$K$13))*(1-Parameters!$L$13*$P264)*IF($D264="V1",Parameters!$M$13,IF($D264="V2",Parameters!$N$13,Parameters!$O$13))</f>
        <v>0.291417857142857</v>
      </c>
      <c r="BN264" s="46" t="n">
        <f aca="false">BM264*(1+INDEX(Response_Table!$M$4:$M$21,MATCH($F264&amp;"|mid",Response_Table!$A$4:$A$21,0))*$R264*INDEX(Parameters!$X$13:$AA$13,1,MATCH($E264,Parameters!$X$3:$AA$3,0)))</f>
        <v>0.263842840469954</v>
      </c>
      <c r="BO264" s="46" t="n">
        <f aca="false">MAX(0,MIN(BM264*(1+INDEX(Response_Table!$M$4:$M$21,MATCH($F264&amp;"|low",Response_Table!$A$4:$A$21,0))*$R264*INDEX(Parameters!$X$13:$AA$13,1,MATCH($E264,Parameters!$X$3:$AA$3,0))),BM264*(1+INDEX(Response_Table!$M$4:$M$21,MATCH($F264&amp;"|high",Response_Table!$A$4:$A$21,0))*$R264*INDEX(Parameters!$X$13:$AA$13,1,MATCH($E264,Parameters!$X$3:$AA$3,0))))*(1-Inputs_General!$C$22*Parameters!$F$13))</f>
        <v>0.193943709152223</v>
      </c>
      <c r="BP264" s="46" t="n">
        <f aca="false">MAX(BM264*(1+INDEX(Response_Table!$M$4:$M$21,MATCH($F264&amp;"|low",Response_Table!$A$4:$A$21,0))*$R264*INDEX(Parameters!$X$13:$AA$13,1,MATCH($E264,Parameters!$X$3:$AA$3,0))),BM264*(1+INDEX(Response_Table!$M$4:$M$21,MATCH($F264&amp;"|high",Response_Table!$A$4:$A$21,0))*$R264*INDEX(Parameters!$X$13:$AA$13,1,MATCH($E264,Parameters!$X$3:$AA$3,0))))*(1+Inputs_General!$C$22*Parameters!$F$13)</f>
        <v>0.343992848174304</v>
      </c>
      <c r="BQ264" s="45" t="n">
        <f aca="false">IF(BM264=0,0,BN264/BM264-1)</f>
        <v>-0.0946236340602347</v>
      </c>
      <c r="BR264" s="44" t="n">
        <f aca="false">Parameters!$E$14*IF($N264="V",Parameters!$I$14,IF($N264="F",Parameters!$J$14,Parameters!$K$14))*(1-Parameters!$L$14*$P264)*IF($D264="V1",Parameters!$M$14,IF($D264="V2",Parameters!$N$14,Parameters!$O$14))*INDEX(Context!$AC$4:$AC$51,$K264)</f>
        <v>15</v>
      </c>
      <c r="BS264" s="44" t="n">
        <f aca="false">BR264*(1+INDEX(Response_Table!$N$4:$N$21,MATCH($F264&amp;"|mid",Response_Table!$A$4:$A$21,0))*$R264*INDEX(Parameters!$X$14:$AA$14,1,MATCH($E264,Parameters!$X$3:$AA$3,0)))</f>
        <v>19.1307923014975</v>
      </c>
      <c r="BT264" s="44" t="n">
        <f aca="false">MAX(0,MIN(BR264*(1+INDEX(Response_Table!$N$4:$N$21,MATCH($F264&amp;"|low",Response_Table!$A$4:$A$21,0))*$R264*INDEX(Parameters!$X$14:$AA$14,1,MATCH($E264,Parameters!$X$3:$AA$3,0))),BR264*(1+INDEX(Response_Table!$N$4:$N$21,MATCH($F264&amp;"|high",Response_Table!$A$4:$A$21,0))*$R264*INDEX(Parameters!$X$14:$AA$14,1,MATCH($E264,Parameters!$X$3:$AA$3,0))))*(1-Inputs_General!$C$22*Parameters!$F$14))</f>
        <v>9.00691477726562</v>
      </c>
      <c r="BU264" s="44" t="n">
        <f aca="false">MAX(BR264*(1+INDEX(Response_Table!$N$4:$N$21,MATCH($F264&amp;"|low",Response_Table!$A$4:$A$21,0))*$R264*INDEX(Parameters!$X$14:$AA$14,1,MATCH($E264,Parameters!$X$3:$AA$3,0))),BR264*(1+INDEX(Response_Table!$N$4:$N$21,MATCH($F264&amp;"|high",Response_Table!$A$4:$A$21,0))*$R264*INDEX(Parameters!$X$14:$AA$14,1,MATCH($E264,Parameters!$X$3:$AA$3,0))))*(1+Inputs_General!$C$22*Parameters!$F$14)</f>
        <v>30.2039034794648</v>
      </c>
      <c r="BV264" s="45" t="n">
        <f aca="false">IF(BR264=0,0,BS264/BR264-1)</f>
        <v>0.275386153433167</v>
      </c>
      <c r="BW264" s="43" t="n">
        <f aca="false">Parameters!$E$15*IF($N264="V",Parameters!$I$15,IF($N264="F",Parameters!$J$15,Parameters!$K$15))*(1-Parameters!$L$15*$P264)*IF($D264="V1",Parameters!$M$15,IF($D264="V2",Parameters!$N$15,Parameters!$O$15))</f>
        <v>10.1820857142857</v>
      </c>
      <c r="BX264" s="43" t="n">
        <f aca="false">BW264*(1+INDEX(Response_Table!$O$4:$O$21,MATCH($F264&amp;"|mid",Response_Table!$A$4:$A$21,0))*$R264*INDEX(Parameters!$X$15:$AA$15,1,MATCH($E264,Parameters!$X$3:$AA$3,0)))</f>
        <v>9.48108435958973</v>
      </c>
      <c r="BY264" s="43" t="n">
        <f aca="false">MAX(0,MIN(BW264*(1+INDEX(Response_Table!$O$4:$O$21,MATCH($F264&amp;"|low",Response_Table!$A$4:$A$21,0))*$R264*INDEX(Parameters!$X$15:$AA$15,1,MATCH($E264,Parameters!$X$3:$AA$3,0))),BW264*(1+INDEX(Response_Table!$O$4:$O$21,MATCH($F264&amp;"|high",Response_Table!$A$4:$A$21,0))*$R264*INDEX(Parameters!$X$15:$AA$15,1,MATCH($E264,Parameters!$X$3:$AA$3,0))))*(1-Inputs_General!$C$22*Parameters!$F$15))</f>
        <v>7.46067924471646</v>
      </c>
      <c r="BZ264" s="43" t="n">
        <f aca="false">MAX(BW264*(1+INDEX(Response_Table!$O$4:$O$21,MATCH($F264&amp;"|low",Response_Table!$A$4:$A$21,0))*$R264*INDEX(Parameters!$X$15:$AA$15,1,MATCH($E264,Parameters!$X$3:$AA$3,0))),BW264*(1+INDEX(Response_Table!$O$4:$O$21,MATCH($F264&amp;"|high",Response_Table!$A$4:$A$21,0))*$R264*INDEX(Parameters!$X$15:$AA$15,1,MATCH($E264,Parameters!$X$3:$AA$3,0))))*(1+Inputs_General!$C$22*Parameters!$F$15)</f>
        <v>11.626592565265</v>
      </c>
      <c r="CA264" s="45" t="n">
        <f aca="false">IF(BW264=0,0,BX264/BW264-1)</f>
        <v>-0.0688465383582916</v>
      </c>
      <c r="CB264" s="46" t="n">
        <f aca="false">BD264+BI264</f>
        <v>1.12669305883884</v>
      </c>
      <c r="CC264" s="43" t="n">
        <f aca="false">BD264/BI264</f>
        <v>2.55248695763909</v>
      </c>
      <c r="CD264" s="46" t="n">
        <f aca="false">BN264/CB264</f>
        <v>0.234174550380089</v>
      </c>
      <c r="CE264" s="43" t="n">
        <f aca="false">AE264/AO264</f>
        <v>1.87764658318236</v>
      </c>
      <c r="CF264" s="44" t="n">
        <f aca="false">AE264/AJ264</f>
        <v>43.2630751825146</v>
      </c>
      <c r="CG264" s="44" t="n">
        <f aca="false">INDEX(Context!$V$4:$V$51,$K264)</f>
        <v>32.7871428571429</v>
      </c>
      <c r="CH264" s="44" t="n">
        <f aca="false">INDEX(Context!$Y$4:$Y$51,$K264)</f>
        <v>28.36912210206</v>
      </c>
      <c r="CI264" s="44" t="n">
        <f aca="false">INDEX(Context!$Z$4:$Z$51,$K264)</f>
        <v>36.7871428571429</v>
      </c>
      <c r="CJ264" s="43" t="n">
        <f aca="false">INDEX(Context!$AA$4:$AA$51,$K264)</f>
        <v>0.247678571428571</v>
      </c>
      <c r="CK264" s="43" t="n">
        <f aca="false">MAX(0,MIN(1,1-(1-CJ264)*AO264/AN264))</f>
        <v>0.448367891786656</v>
      </c>
      <c r="CL264" s="44" t="n">
        <f aca="false">CH264+CK264*(CI264-CH264)</f>
        <v>32.1434923210328</v>
      </c>
      <c r="CM264" s="44" t="n">
        <f aca="false">CH264+MAX(0,MIN(1,1-(1-CJ264)*AQ264/AN264))*(CI264-CH264)</f>
        <v>29.8185640755262</v>
      </c>
      <c r="CN264" s="44" t="n">
        <f aca="false">CH264+MAX(0,MIN(1,1-(1-CJ264)*AP264/AN264))*(CI264-CH264)</f>
        <v>33.9347165274572</v>
      </c>
      <c r="CO264" s="44" t="n">
        <f aca="false">CL264-CG264</f>
        <v>-0.643650536110023</v>
      </c>
      <c r="CP264" s="44" t="n">
        <f aca="false">CL264-(CH264+CJ264*(CI264-CH264))</f>
        <v>1.68940686409782</v>
      </c>
      <c r="CQ264" s="46" t="n">
        <f aca="false">CL264/CG264</f>
        <v>0.980368812893686</v>
      </c>
      <c r="CR264" s="43" t="n">
        <f aca="false">IF(CL264-CH264&lt;=0,"n/a",(CI264-CL264)/(CL264-CH264))</f>
        <v>1.23031135439962</v>
      </c>
      <c r="CS264" s="43" t="n">
        <f aca="false">IF(CI264-CL264&lt;=0,"n/a",(CL264-CH264)/(CI264-CL264))</f>
        <v>0.812802382440815</v>
      </c>
      <c r="CT264" s="43" t="n">
        <f aca="false">Inputs_General!$C$23+Inputs_General!$C$24*$I264</f>
        <v>0.96</v>
      </c>
      <c r="CU264" s="44" t="n">
        <f aca="false">3.29*CT264</f>
        <v>3.1584</v>
      </c>
    </row>
    <row r="265" customFormat="false" ht="15" hidden="false" customHeight="false" outlineLevel="0" collapsed="false">
      <c r="A265" s="9" t="str">
        <f aca="false">B265&amp;"|"&amp;E265&amp;"|"&amp;F265</f>
        <v>D4V2|13/03/2026|High</v>
      </c>
      <c r="B265" s="7" t="s">
        <v>353</v>
      </c>
      <c r="C265" s="9" t="s">
        <v>133</v>
      </c>
      <c r="D265" s="9" t="s">
        <v>146</v>
      </c>
      <c r="E265" s="9" t="s">
        <v>164</v>
      </c>
      <c r="F265" s="7" t="s">
        <v>283</v>
      </c>
      <c r="G265" s="9" t="s">
        <v>284</v>
      </c>
      <c r="H265" s="41" t="n">
        <f aca="false">INDEX(Severity_Classes!$C$4:$C$9,MATCH(F265,Severity_Classes!$A$4:$A$9,0))</f>
        <v>0.26</v>
      </c>
      <c r="I265" s="41" t="n">
        <f aca="false">INDEX(Severity_Classes!$D$4:$D$9,MATCH(F265,Severity_Classes!$A$4:$A$9,0))</f>
        <v>0.38</v>
      </c>
      <c r="J265" s="41" t="n">
        <f aca="false">INDEX(Severity_Classes!$E$4:$E$9,MATCH(F265,Severity_Classes!$A$4:$A$9,0))</f>
        <v>0.5</v>
      </c>
      <c r="K265" s="42" t="n">
        <f aca="false">MATCH(B265&amp;"|"&amp;E265,Context!$A$4:$A$51,0)</f>
        <v>44</v>
      </c>
      <c r="L265" s="42" t="n">
        <f aca="false">INDEX(Context!$H$4:$H$51,K265)</f>
        <v>63</v>
      </c>
      <c r="M265" s="42" t="n">
        <f aca="false">INDEX(Context!$I$4:$I$51,K265)</f>
        <v>36</v>
      </c>
      <c r="N265" s="9" t="str">
        <f aca="false">INDEX(Context!$L$4:$L$51,K265)</f>
        <v>F</v>
      </c>
      <c r="O265" s="9" t="str">
        <f aca="false">INDEX(Context!$M$4:$M$51,K265)</f>
        <v>5th fully expanded leaf from top</v>
      </c>
      <c r="P265" s="43" t="n">
        <f aca="false">INDEX(Context!$R$4:$R$51,K265)</f>
        <v>0.953571428571428</v>
      </c>
      <c r="Q265" s="43" t="n">
        <f aca="false">INDEX(Context!$U$4:$U$51,K265)</f>
        <v>2.18945736698217</v>
      </c>
      <c r="R265" s="43" t="n">
        <f aca="false">INDEX(Context!$AD$4:$AD$51,K265)</f>
        <v>1.1</v>
      </c>
      <c r="S265" s="9" t="str">
        <f aca="false">INDEX(Context!$AI$4:$AN$51,K265,MATCH(F265,Severity_Classes!$A$4:$A$9,0))</f>
        <v>Likely</v>
      </c>
      <c r="T265" s="44" t="n">
        <f aca="false">Parameters!$E$4*IF($N265="V",Parameters!$I$4,IF($N265="F",Parameters!$J$4,Parameters!$K$4))*(1-Parameters!$L$4*$P265)*IF($D265="V1",Parameters!$M$4,IF($D265="V2",Parameters!$N$4,Parameters!$O$4))</f>
        <v>81.0806464285714</v>
      </c>
      <c r="U265" s="44" t="n">
        <f aca="false">MIN(100,T265*(1+INDEX(Response_Table!$E$4:$E$21,MATCH($F265&amp;"|mid",Response_Table!$A$4:$A$21,0))*$R265*INDEX(Parameters!$X$4:$AA$4,1,MATCH($E265,Parameters!$X$3:$AA$3,0))))</f>
        <v>66.6726323099138</v>
      </c>
      <c r="V265" s="44" t="n">
        <f aca="false">MAX(0,MIN(T265*(1+INDEX(Response_Table!$E$4:$E$21,MATCH($F265&amp;"|low",Response_Table!$A$4:$A$21,0))*$R265*INDEX(Parameters!$X$4:$AA$4,1,MATCH($E265,Parameters!$X$3:$AA$3,0))),T265*(1+INDEX(Response_Table!$E$4:$E$21,MATCH($F265&amp;"|high",Response_Table!$A$4:$A$21,0))*$R265*INDEX(Parameters!$X$4:$AA$4,1,MATCH($E265,Parameters!$X$3:$AA$3,0))))*(1-Inputs_General!$C$22*Parameters!$F$4))</f>
        <v>56.6173613871932</v>
      </c>
      <c r="W265" s="44" t="n">
        <f aca="false">MIN(100,MAX(T265*(1+INDEX(Response_Table!$E$4:$E$21,MATCH($F265&amp;"|low",Response_Table!$A$4:$A$21,0))*$R265*INDEX(Parameters!$X$4:$AA$4,1,MATCH($E265,Parameters!$X$3:$AA$3,0))),T265*(1+INDEX(Response_Table!$E$4:$E$21,MATCH($F265&amp;"|high",Response_Table!$A$4:$A$21,0))*$R265*INDEX(Parameters!$X$4:$AA$4,1,MATCH($E265,Parameters!$X$3:$AA$3,0))))*(1+Inputs_General!$C$22*Parameters!$F$4))</f>
        <v>78.3149184907274</v>
      </c>
      <c r="X265" s="45" t="n">
        <f aca="false">IF(T265=0,0,U265/T265-1)</f>
        <v>-0.177699793394599</v>
      </c>
      <c r="Y265" s="44" t="n">
        <f aca="false">Parameters!$E$5*IF($N265="V",Parameters!$I$5,IF($N265="F",Parameters!$J$5,Parameters!$K$5))*(1-Parameters!$L$5*$P265)*IF($D265="V1",Parameters!$M$5,IF($D265="V2",Parameters!$N$5,Parameters!$O$5))</f>
        <v>62.48592</v>
      </c>
      <c r="Z265" s="44" t="n">
        <f aca="false">MIN(100,Y265*(1+INDEX(Response_Table!$F$4:$F$21,MATCH($F265&amp;"|mid",Response_Table!$A$4:$A$21,0))*$R265*INDEX(Parameters!$X$5:$AA$5,1,MATCH($E265,Parameters!$X$3:$AA$3,0))))</f>
        <v>28.0985272783875</v>
      </c>
      <c r="AA265" s="44" t="n">
        <f aca="false">MAX(0,MIN(Y265*(1+INDEX(Response_Table!$F$4:$F$21,MATCH($F265&amp;"|low",Response_Table!$A$4:$A$21,0))*$R265*INDEX(Parameters!$X$5:$AA$5,1,MATCH($E265,Parameters!$X$3:$AA$3,0))),Y265*(1+INDEX(Response_Table!$F$4:$F$21,MATCH($F265&amp;"|high",Response_Table!$A$4:$A$21,0))*$R265*INDEX(Parameters!$X$5:$AA$5,1,MATCH($E265,Parameters!$X$3:$AA$3,0))))*(1-Inputs_General!$C$22*Parameters!$F$5))</f>
        <v>17.221857589278</v>
      </c>
      <c r="AB265" s="44" t="n">
        <f aca="false">MIN(100,MAX(Y265*(1+INDEX(Response_Table!$F$4:$F$21,MATCH($F265&amp;"|low",Response_Table!$A$4:$A$21,0))*$R265*INDEX(Parameters!$X$5:$AA$5,1,MATCH($E265,Parameters!$X$3:$AA$3,0))),Y265*(1+INDEX(Response_Table!$F$4:$F$21,MATCH($F265&amp;"|high",Response_Table!$A$4:$A$21,0))*$R265*INDEX(Parameters!$X$5:$AA$5,1,MATCH($E265,Parameters!$X$3:$AA$3,0))))*(1+Inputs_General!$C$22*Parameters!$F$5))</f>
        <v>47.3217021436182</v>
      </c>
      <c r="AC265" s="45" t="n">
        <f aca="false">IF(Y265=0,0,Z265/Y265-1)</f>
        <v>-0.550322260144565</v>
      </c>
      <c r="AD265" s="44" t="n">
        <f aca="false">Parameters!$E$6*IF($N265="V",Parameters!$I$6,IF($N265="F",Parameters!$J$6,Parameters!$K$6))*(1-Parameters!$L$6*$P265)*IF($D265="V1",Parameters!$M$6,IF($D265="V2",Parameters!$N$6,Parameters!$O$6))</f>
        <v>16.8258571428571</v>
      </c>
      <c r="AE265" s="44" t="n">
        <f aca="false">AD265*(1+INDEX(Response_Table!$G$4:$G$21,MATCH($F265&amp;"|mid",Response_Table!$A$4:$A$21,0))*$R265*INDEX(Parameters!$X$6:$AA$6,1,MATCH($E265,Parameters!$X$3:$AA$3,0)))</f>
        <v>5.55242402572124</v>
      </c>
      <c r="AF265" s="44" t="n">
        <f aca="false">MAX(0,MIN(AD265*(1+INDEX(Response_Table!$G$4:$G$21,MATCH($F265&amp;"|low",Response_Table!$A$4:$A$21,0))*$R265*INDEX(Parameters!$X$6:$AA$6,1,MATCH($E265,Parameters!$X$3:$AA$3,0))),AD265*(1+INDEX(Response_Table!$G$4:$G$21,MATCH($F265&amp;"|high",Response_Table!$A$4:$A$21,0))*$R265*INDEX(Parameters!$X$6:$AA$6,1,MATCH($E265,Parameters!$X$3:$AA$3,0))))*(1-Inputs_General!$C$22*Parameters!$F$6))</f>
        <v>3.59775116811776</v>
      </c>
      <c r="AG265" s="44" t="n">
        <f aca="false">MAX(AD265*(1+INDEX(Response_Table!$G$4:$G$21,MATCH($F265&amp;"|low",Response_Table!$A$4:$A$21,0))*$R265*INDEX(Parameters!$X$6:$AA$6,1,MATCH($E265,Parameters!$X$3:$AA$3,0))),AD265*(1+INDEX(Response_Table!$G$4:$G$21,MATCH($F265&amp;"|high",Response_Table!$A$4:$A$21,0))*$R265*INDEX(Parameters!$X$6:$AA$6,1,MATCH($E265,Parameters!$X$3:$AA$3,0))))*(1+Inputs_General!$C$22*Parameters!$F$6)</f>
        <v>8.82042735311738</v>
      </c>
      <c r="AH265" s="45" t="n">
        <f aca="false">IF(AD265=0,0,AE265/AD265-1)</f>
        <v>-0.670006468105648</v>
      </c>
      <c r="AI265" s="46" t="n">
        <f aca="false">Parameters!$E$7*IF($N265="V",Parameters!$I$7,IF($N265="F",Parameters!$J$7,Parameters!$K$7))*(1-Parameters!$L$7*$P265)*IF($D265="V1",Parameters!$M$7,IF($D265="V2",Parameters!$N$7,Parameters!$O$7))*POWER($Q265/Inputs_General!$C$26,-Inputs_General!$C$25)</f>
        <v>0.304119499618928</v>
      </c>
      <c r="AJ265" s="46" t="n">
        <f aca="false">AI265*(1+INDEX(Response_Table!$H$4:$H$21,MATCH($F265&amp;"|mid",Response_Table!$A$4:$A$21,0))*$R265*INDEX(Parameters!$X$7:$AA$7,1,MATCH($E265,Parameters!$X$3:$AA$3,0)))</f>
        <v>0.156217246023018</v>
      </c>
      <c r="AK265" s="46" t="n">
        <f aca="false">MAX(0,MIN(AI265*(1+INDEX(Response_Table!$H$4:$H$21,MATCH($F265&amp;"|low",Response_Table!$A$4:$A$21,0))*$R265*INDEX(Parameters!$X$7:$AA$7,1,MATCH($E265,Parameters!$X$3:$AA$3,0))),AI265*(1+INDEX(Response_Table!$H$4:$H$21,MATCH($F265&amp;"|high",Response_Table!$A$4:$A$21,0))*$R265*INDEX(Parameters!$X$7:$AA$7,1,MATCH($E265,Parameters!$X$3:$AA$3,0))))*(1-Inputs_General!$C$22*Parameters!$F$7))</f>
        <v>0.095162137123002</v>
      </c>
      <c r="AL265" s="46" t="n">
        <f aca="false">MAX(AI265*(1+INDEX(Response_Table!$H$4:$H$21,MATCH($F265&amp;"|low",Response_Table!$A$4:$A$21,0))*$R265*INDEX(Parameters!$X$7:$AA$7,1,MATCH($E265,Parameters!$X$3:$AA$3,0))),AI265*(1+INDEX(Response_Table!$H$4:$H$21,MATCH($F265&amp;"|high",Response_Table!$A$4:$A$21,0))*$R265*INDEX(Parameters!$X$7:$AA$7,1,MATCH($E265,Parameters!$X$3:$AA$3,0))))*(1+Inputs_General!$C$22*Parameters!$F$7)</f>
        <v>0.241531287625811</v>
      </c>
      <c r="AM265" s="45" t="n">
        <f aca="false">IF(AI265=0,0,AJ265/AI265-1)</f>
        <v>-0.486329399401343</v>
      </c>
      <c r="AN265" s="43" t="n">
        <f aca="false">AI265*$Q265/Inputs_General!$C$13*1000</f>
        <v>6.70550532611877</v>
      </c>
      <c r="AO265" s="43" t="n">
        <f aca="false">AJ265*$Q265/Inputs_General!$C$13*1000*(1+Inputs_General!$C$21*$I265)</f>
        <v>3.77164093826249</v>
      </c>
      <c r="AP265" s="43" t="n">
        <f aca="false">AK265*$Q265/Inputs_General!$C$13*1000*(1+Inputs_General!$C$21*$H265)</f>
        <v>2.23460640406381</v>
      </c>
      <c r="AQ265" s="43" t="n">
        <f aca="false">AL265*$Q265/Inputs_General!$C$13*1000*(1+Inputs_General!$C$21*$J265)</f>
        <v>5.99119097865204</v>
      </c>
      <c r="AR265" s="45" t="n">
        <f aca="false">IF(AN265=0,0,AO265/AN265-1)</f>
        <v>-0.43753069234447</v>
      </c>
      <c r="AS265" s="42" t="n">
        <f aca="false">Parameters!$E$9*IF($N265="V",Parameters!$I$9,IF($N265="F",Parameters!$J$9,Parameters!$K$9))*(1-Parameters!$L$9*$P265)*IF($D265="V1",Parameters!$M$9,IF($D265="V2",Parameters!$N$9,Parameters!$O$9))</f>
        <v>285</v>
      </c>
      <c r="AT265" s="42" t="n">
        <f aca="false">AS265*(1+INDEX(Response_Table!$I$4:$I$21,MATCH($F265&amp;"|mid",Response_Table!$A$4:$A$21,0))*$R265*INDEX(Parameters!$X$9:$AA$9,1,MATCH($E265,Parameters!$X$3:$AA$3,0)))</f>
        <v>358.480147032144</v>
      </c>
      <c r="AU265" s="42" t="n">
        <f aca="false">MAX(0,MIN(AS265*(1+INDEX(Response_Table!$I$4:$I$21,MATCH($F265&amp;"|low",Response_Table!$A$4:$A$21,0))*$R265*INDEX(Parameters!$X$9:$AA$9,1,MATCH($E265,Parameters!$X$3:$AA$3,0))),AS265*(1+INDEX(Response_Table!$I$4:$I$21,MATCH($F265&amp;"|high",Response_Table!$A$4:$A$21,0))*$R265*INDEX(Parameters!$X$9:$AA$9,1,MATCH($E265,Parameters!$X$3:$AA$3,0))))*(1-Inputs_General!$C$22*Parameters!$F$9))</f>
        <v>311.676378308909</v>
      </c>
      <c r="AV265" s="42" t="n">
        <f aca="false">MAX(AS265*(1+INDEX(Response_Table!$I$4:$I$21,MATCH($F265&amp;"|low",Response_Table!$A$4:$A$21,0))*$R265*INDEX(Parameters!$X$9:$AA$9,1,MATCH($E265,Parameters!$X$3:$AA$3,0))),AS265*(1+INDEX(Response_Table!$I$4:$I$21,MATCH($F265&amp;"|high",Response_Table!$A$4:$A$21,0))*$R265*INDEX(Parameters!$X$9:$AA$9,1,MATCH($E265,Parameters!$X$3:$AA$3,0))))*(1+Inputs_General!$C$22*Parameters!$F$9)</f>
        <v>402.477670041161</v>
      </c>
      <c r="AW265" s="45" t="n">
        <f aca="false">IF(AS265=0,0,AT265/AS265-1)</f>
        <v>0.257825077305769</v>
      </c>
      <c r="AX265" s="43" t="n">
        <f aca="false">INDEX(Context!$AB$4:$AB$51,$K265)</f>
        <v>2.41688422790131</v>
      </c>
      <c r="AY265" s="43" t="n">
        <f aca="false">AX265*(1+INDEX(Response_Table!$J$4:$J$21,MATCH($F265&amp;"|mid",Response_Table!$A$4:$A$21,0))*$R265*INDEX(Parameters!$X$10:$AA$10,1,MATCH($E265,Parameters!$X$3:$AA$3,0)))</f>
        <v>1.68320713362561</v>
      </c>
      <c r="AZ265" s="43" t="n">
        <f aca="false">MAX(0,MIN(AX265*(1+INDEX(Response_Table!$J$4:$J$21,MATCH($F265&amp;"|low",Response_Table!$A$4:$A$21,0))*$R265*INDEX(Parameters!$X$10:$AA$10,1,MATCH($E265,Parameters!$X$3:$AA$3,0))),AX265*(1+INDEX(Response_Table!$J$4:$J$21,MATCH($F265&amp;"|high",Response_Table!$A$4:$A$21,0))*$R265*INDEX(Parameters!$X$10:$AA$10,1,MATCH($E265,Parameters!$X$3:$AA$3,0))))*(1-Inputs_General!$C$22*Parameters!$F$10))</f>
        <v>1.25469555303031</v>
      </c>
      <c r="BA265" s="43" t="n">
        <f aca="false">MAX(AX265*(1+INDEX(Response_Table!$J$4:$J$21,MATCH($F265&amp;"|low",Response_Table!$A$4:$A$21,0))*$R265*INDEX(Parameters!$X$10:$AA$10,1,MATCH($E265,Parameters!$X$3:$AA$3,0))),AX265*(1+INDEX(Response_Table!$J$4:$J$21,MATCH($F265&amp;"|high",Response_Table!$A$4:$A$21,0))*$R265*INDEX(Parameters!$X$10:$AA$10,1,MATCH($E265,Parameters!$X$3:$AA$3,0))))*(1+Inputs_General!$C$22*Parameters!$F$10)</f>
        <v>2.20929881129943</v>
      </c>
      <c r="BB265" s="45" t="n">
        <f aca="false">IF(AX265=0,0,AY265/AX265-1)</f>
        <v>-0.303563193390022</v>
      </c>
      <c r="BC265" s="46" t="n">
        <f aca="false">Parameters!$E$11*IF($N265="V",Parameters!$I$11,IF($N265="F",Parameters!$J$11,Parameters!$K$11))*(1-Parameters!$L$11*$P265)*IF($D265="V1",Parameters!$M$11,IF($D265="V2",Parameters!$N$11,Parameters!$O$11))</f>
        <v>1.17848214285714</v>
      </c>
      <c r="BD265" s="46" t="n">
        <f aca="false">BC265*(1+INDEX(Response_Table!$K$4:$K$21,MATCH($F265&amp;"|mid",Response_Table!$A$4:$A$21,0))*$R265*INDEX(Parameters!$X$11:$AA$11,1,MATCH($E265,Parameters!$X$3:$AA$3,0)))</f>
        <v>0.585629752668004</v>
      </c>
      <c r="BE265" s="46" t="n">
        <f aca="false">MAX(0,MIN(BC265*(1+INDEX(Response_Table!$K$4:$K$21,MATCH($F265&amp;"|low",Response_Table!$A$4:$A$21,0))*$R265*INDEX(Parameters!$X$11:$AA$11,1,MATCH($E265,Parameters!$X$3:$AA$3,0))),BC265*(1+INDEX(Response_Table!$K$4:$K$21,MATCH($F265&amp;"|high",Response_Table!$A$4:$A$21,0))*$R265*INDEX(Parameters!$X$11:$AA$11,1,MATCH($E265,Parameters!$X$3:$AA$3,0))))*(1-Inputs_General!$C$22*Parameters!$F$11))</f>
        <v>0.422753300801587</v>
      </c>
      <c r="BF265" s="46" t="n">
        <f aca="false">MAX(BC265*(1+INDEX(Response_Table!$K$4:$K$21,MATCH($F265&amp;"|low",Response_Table!$A$4:$A$21,0))*$R265*INDEX(Parameters!$X$11:$AA$11,1,MATCH($E265,Parameters!$X$3:$AA$3,0))),BC265*(1+INDEX(Response_Table!$K$4:$K$21,MATCH($F265&amp;"|high",Response_Table!$A$4:$A$21,0))*$R265*INDEX(Parameters!$X$11:$AA$11,1,MATCH($E265,Parameters!$X$3:$AA$3,0))))*(1+Inputs_General!$C$22*Parameters!$F$11)</f>
        <v>0.818125128132157</v>
      </c>
      <c r="BG265" s="45" t="n">
        <f aca="false">IF(BC265=0,0,BD265/BC265-1)</f>
        <v>-0.503064381401497</v>
      </c>
      <c r="BH265" s="46" t="n">
        <f aca="false">Parameters!$E$12*IF($N265="V",Parameters!$I$12,IF($N265="F",Parameters!$J$12,Parameters!$K$12))*(1-Parameters!$L$12*$P265)*IF($D265="V1",Parameters!$M$12,IF($D265="V2",Parameters!$N$12,Parameters!$O$12))</f>
        <v>0.424253571428571</v>
      </c>
      <c r="BI265" s="46" t="n">
        <f aca="false">BH265*(1+INDEX(Response_Table!$L$4:$L$21,MATCH($F265&amp;"|mid",Response_Table!$A$4:$A$21,0))*$R265*INDEX(Parameters!$X$12:$AA$12,1,MATCH($E265,Parameters!$X$3:$AA$3,0)))</f>
        <v>0.249669199855183</v>
      </c>
      <c r="BJ265" s="46" t="n">
        <f aca="false">MAX(0,MIN(BH265*(1+INDEX(Response_Table!$L$4:$L$21,MATCH($F265&amp;"|low",Response_Table!$A$4:$A$21,0))*$R265*INDEX(Parameters!$X$12:$AA$12,1,MATCH($E265,Parameters!$X$3:$AA$3,0))),BH265*(1+INDEX(Response_Table!$L$4:$L$21,MATCH($F265&amp;"|high",Response_Table!$A$4:$A$21,0))*$R265*INDEX(Parameters!$X$12:$AA$12,1,MATCH($E265,Parameters!$X$3:$AA$3,0))))*(1-Inputs_General!$C$22*Parameters!$F$12))</f>
        <v>0.180466006486124</v>
      </c>
      <c r="BK265" s="46" t="n">
        <f aca="false">MAX(BH265*(1+INDEX(Response_Table!$L$4:$L$21,MATCH($F265&amp;"|low",Response_Table!$A$4:$A$21,0))*$R265*INDEX(Parameters!$X$12:$AA$12,1,MATCH($E265,Parameters!$X$3:$AA$3,0))),BH265*(1+INDEX(Response_Table!$L$4:$L$21,MATCH($F265&amp;"|high",Response_Table!$A$4:$A$21,0))*$R265*INDEX(Parameters!$X$12:$AA$12,1,MATCH($E265,Parameters!$X$3:$AA$3,0))))*(1+Inputs_General!$C$22*Parameters!$F$12)</f>
        <v>0.341547328086182</v>
      </c>
      <c r="BL265" s="45" t="n">
        <f aca="false">IF(BH265=0,0,BI265/BH265-1)</f>
        <v>-0.411509491801136</v>
      </c>
      <c r="BM265" s="46" t="n">
        <f aca="false">Parameters!$E$13*IF($N265="V",Parameters!$I$13,IF($N265="F",Parameters!$J$13,Parameters!$K$13))*(1-Parameters!$L$13*$P265)*IF($D265="V1",Parameters!$M$13,IF($D265="V2",Parameters!$N$13,Parameters!$O$13))</f>
        <v>0.291417857142857</v>
      </c>
      <c r="BN265" s="46" t="n">
        <f aca="false">BM265*(1+INDEX(Response_Table!$M$4:$M$21,MATCH($F265&amp;"|mid",Response_Table!$A$4:$A$21,0))*$R265*INDEX(Parameters!$X$13:$AA$13,1,MATCH($E265,Parameters!$X$3:$AA$3,0)))</f>
        <v>0.211609864308701</v>
      </c>
      <c r="BO265" s="46" t="n">
        <f aca="false">MAX(0,MIN(BM265*(1+INDEX(Response_Table!$M$4:$M$21,MATCH($F265&amp;"|low",Response_Table!$A$4:$A$21,0))*$R265*INDEX(Parameters!$X$13:$AA$13,1,MATCH($E265,Parameters!$X$3:$AA$3,0))),BM265*(1+INDEX(Response_Table!$M$4:$M$21,MATCH($F265&amp;"|high",Response_Table!$A$4:$A$21,0))*$R265*INDEX(Parameters!$X$13:$AA$13,1,MATCH($E265,Parameters!$X$3:$AA$3,0))))*(1-Inputs_General!$C$22*Parameters!$F$13))</f>
        <v>0.156298514304142</v>
      </c>
      <c r="BP265" s="46" t="n">
        <f aca="false">MAX(BM265*(1+INDEX(Response_Table!$M$4:$M$21,MATCH($F265&amp;"|low",Response_Table!$A$4:$A$21,0))*$R265*INDEX(Parameters!$X$13:$AA$13,1,MATCH($E265,Parameters!$X$3:$AA$3,0))),BM265*(1+INDEX(Response_Table!$M$4:$M$21,MATCH($F265&amp;"|high",Response_Table!$A$4:$A$21,0))*$R265*INDEX(Parameters!$X$13:$AA$13,1,MATCH($E265,Parameters!$X$3:$AA$3,0))))*(1+Inputs_General!$C$22*Parameters!$F$13)</f>
        <v>0.28593882614567</v>
      </c>
      <c r="BQ265" s="45" t="n">
        <f aca="false">IF(BM265=0,0,BN265/BM265-1)</f>
        <v>-0.273861024223485</v>
      </c>
      <c r="BR265" s="44" t="n">
        <f aca="false">Parameters!$E$14*IF($N265="V",Parameters!$I$14,IF($N265="F",Parameters!$J$14,Parameters!$K$14))*(1-Parameters!$L$14*$P265)*IF($D265="V1",Parameters!$M$14,IF($D265="V2",Parameters!$N$14,Parameters!$O$14))*INDEX(Context!$AC$4:$AC$51,$K265)</f>
        <v>15</v>
      </c>
      <c r="BS265" s="44" t="n">
        <f aca="false">BR265*(1+INDEX(Response_Table!$N$4:$N$21,MATCH($F265&amp;"|mid",Response_Table!$A$4:$A$21,0))*$R265*INDEX(Parameters!$X$14:$AA$14,1,MATCH($E265,Parameters!$X$3:$AA$3,0)))</f>
        <v>21.7337916840186</v>
      </c>
      <c r="BT265" s="44" t="n">
        <f aca="false">MAX(0,MIN(BR265*(1+INDEX(Response_Table!$N$4:$N$21,MATCH($F265&amp;"|low",Response_Table!$A$4:$A$21,0))*$R265*INDEX(Parameters!$X$14:$AA$14,1,MATCH($E265,Parameters!$X$3:$AA$3,0))),BR265*(1+INDEX(Response_Table!$N$4:$N$21,MATCH($F265&amp;"|high",Response_Table!$A$4:$A$21,0))*$R265*INDEX(Parameters!$X$14:$AA$14,1,MATCH($E265,Parameters!$X$3:$AA$3,0))))*(1-Inputs_General!$C$22*Parameters!$F$14))</f>
        <v>10.3132418172117</v>
      </c>
      <c r="BU265" s="44" t="n">
        <f aca="false">MAX(BR265*(1+INDEX(Response_Table!$N$4:$N$21,MATCH($F265&amp;"|low",Response_Table!$A$4:$A$21,0))*$R265*INDEX(Parameters!$X$14:$AA$14,1,MATCH($E265,Parameters!$X$3:$AA$3,0))),BR265*(1+INDEX(Response_Table!$N$4:$N$21,MATCH($F265&amp;"|high",Response_Table!$A$4:$A$21,0))*$R265*INDEX(Parameters!$X$14:$AA$14,1,MATCH($E265,Parameters!$X$3:$AA$3,0))))*(1+Inputs_General!$C$22*Parameters!$F$14)</f>
        <v>33.8890255476014</v>
      </c>
      <c r="BV265" s="45" t="n">
        <f aca="false">IF(BR265=0,0,BS265/BR265-1)</f>
        <v>0.448919445601239</v>
      </c>
      <c r="BW265" s="43" t="n">
        <f aca="false">Parameters!$E$15*IF($N265="V",Parameters!$I$15,IF($N265="F",Parameters!$J$15,Parameters!$K$15))*(1-Parameters!$L$15*$P265)*IF($D265="V1",Parameters!$M$15,IF($D265="V2",Parameters!$N$15,Parameters!$O$15))</f>
        <v>10.1820857142857</v>
      </c>
      <c r="BX265" s="43" t="n">
        <f aca="false">BW265*(1+INDEX(Response_Table!$O$4:$O$21,MATCH($F265&amp;"|mid",Response_Table!$A$4:$A$21,0))*$R265*INDEX(Parameters!$X$15:$AA$15,1,MATCH($E265,Parameters!$X$3:$AA$3,0)))</f>
        <v>9.03935164580535</v>
      </c>
      <c r="BY265" s="43" t="n">
        <f aca="false">MAX(0,MIN(BW265*(1+INDEX(Response_Table!$O$4:$O$21,MATCH($F265&amp;"|low",Response_Table!$A$4:$A$21,0))*$R265*INDEX(Parameters!$X$15:$AA$15,1,MATCH($E265,Parameters!$X$3:$AA$3,0))),BW265*(1+INDEX(Response_Table!$O$4:$O$21,MATCH($F265&amp;"|high",Response_Table!$A$4:$A$21,0))*$R265*INDEX(Parameters!$X$15:$AA$15,1,MATCH($E265,Parameters!$X$3:$AA$3,0))))*(1-Inputs_General!$C$22*Parameters!$F$15))</f>
        <v>7.12460803829878</v>
      </c>
      <c r="BZ265" s="43" t="n">
        <f aca="false">MAX(BW265*(1+INDEX(Response_Table!$O$4:$O$21,MATCH($F265&amp;"|low",Response_Table!$A$4:$A$21,0))*$R265*INDEX(Parameters!$X$15:$AA$15,1,MATCH($E265,Parameters!$X$3:$AA$3,0))),BW265*(1+INDEX(Response_Table!$O$4:$O$21,MATCH($F265&amp;"|high",Response_Table!$A$4:$A$21,0))*$R265*INDEX(Parameters!$X$15:$AA$15,1,MATCH($E265,Parameters!$X$3:$AA$3,0))))*(1+Inputs_General!$C$22*Parameters!$F$15)</f>
        <v>11.1025130087719</v>
      </c>
      <c r="CA265" s="45" t="n">
        <f aca="false">IF(BW265=0,0,BX265/BW265-1)</f>
        <v>-0.11222986140031</v>
      </c>
      <c r="CB265" s="46" t="n">
        <f aca="false">BD265+BI265</f>
        <v>0.835298952523187</v>
      </c>
      <c r="CC265" s="43" t="n">
        <f aca="false">BD265/BI265</f>
        <v>2.34562274004038</v>
      </c>
      <c r="CD265" s="46" t="n">
        <f aca="false">BN265/CB265</f>
        <v>0.253334286688007</v>
      </c>
      <c r="CE265" s="43" t="n">
        <f aca="false">AE265/AO265</f>
        <v>1.47215074727636</v>
      </c>
      <c r="CF265" s="44" t="n">
        <f aca="false">AE265/AJ265</f>
        <v>35.5429644746337</v>
      </c>
      <c r="CG265" s="44" t="n">
        <f aca="false">INDEX(Context!$V$4:$V$51,$K265)</f>
        <v>32.7871428571429</v>
      </c>
      <c r="CH265" s="44" t="n">
        <f aca="false">INDEX(Context!$Y$4:$Y$51,$K265)</f>
        <v>28.36912210206</v>
      </c>
      <c r="CI265" s="44" t="n">
        <f aca="false">INDEX(Context!$Z$4:$Z$51,$K265)</f>
        <v>36.7871428571429</v>
      </c>
      <c r="CJ265" s="43" t="n">
        <f aca="false">INDEX(Context!$AA$4:$AA$51,$K265)</f>
        <v>0.247678571428571</v>
      </c>
      <c r="CK265" s="43" t="n">
        <f aca="false">MAX(0,MIN(1,1-(1-CJ265)*AO265/AN265))</f>
        <v>0.57684228693701</v>
      </c>
      <c r="CL265" s="44" t="n">
        <f aca="false">CH265+CK265*(CI265-CH265)</f>
        <v>33.2249924459052</v>
      </c>
      <c r="CM265" s="44" t="n">
        <f aca="false">CH265+MAX(0,MIN(1,1-(1-CJ265)*AQ265/AN265))*(CI265-CH265)</f>
        <v>31.1287242118515</v>
      </c>
      <c r="CN265" s="44" t="n">
        <f aca="false">CH265+MAX(0,MIN(1,1-(1-CJ265)*AP265/AN265))*(CI265-CH265)</f>
        <v>34.6766545441018</v>
      </c>
      <c r="CO265" s="44" t="n">
        <f aca="false">CL265-CG265</f>
        <v>0.437849588762369</v>
      </c>
      <c r="CP265" s="44" t="n">
        <f aca="false">CL265-(CH265+CJ265*(CI265-CH265))</f>
        <v>2.77090698897021</v>
      </c>
      <c r="CQ265" s="46" t="n">
        <f aca="false">CL265/CG265</f>
        <v>1.01335430753055</v>
      </c>
      <c r="CR265" s="43" t="n">
        <f aca="false">IF(CL265-CH265&lt;=0,"n/a",(CI265-CL265)/(CL265-CH265))</f>
        <v>0.733576096353696</v>
      </c>
      <c r="CS265" s="43" t="n">
        <f aca="false">IF(CI265-CL265&lt;=0,"n/a",(CL265-CH265)/(CI265-CL265))</f>
        <v>1.3631850941853</v>
      </c>
      <c r="CT265" s="43" t="n">
        <f aca="false">Inputs_General!$C$23+Inputs_General!$C$24*$I265</f>
        <v>1.36</v>
      </c>
      <c r="CU265" s="44" t="n">
        <f aca="false">3.29*CT265</f>
        <v>4.4744</v>
      </c>
    </row>
    <row r="266" customFormat="false" ht="15" hidden="false" customHeight="false" outlineLevel="0" collapsed="false">
      <c r="A266" s="9" t="str">
        <f aca="false">B266&amp;"|"&amp;E266&amp;"|"&amp;F266</f>
        <v>D4V2|13/03/2026|Very high</v>
      </c>
      <c r="B266" s="7" t="s">
        <v>353</v>
      </c>
      <c r="C266" s="9" t="s">
        <v>133</v>
      </c>
      <c r="D266" s="9" t="s">
        <v>146</v>
      </c>
      <c r="E266" s="9" t="s">
        <v>164</v>
      </c>
      <c r="F266" s="7" t="s">
        <v>285</v>
      </c>
      <c r="G266" s="9" t="s">
        <v>286</v>
      </c>
      <c r="H266" s="41" t="n">
        <f aca="false">INDEX(Severity_Classes!$C$4:$C$9,MATCH(F266,Severity_Classes!$A$4:$A$9,0))</f>
        <v>0.51</v>
      </c>
      <c r="I266" s="41" t="n">
        <f aca="false">INDEX(Severity_Classes!$D$4:$D$9,MATCH(F266,Severity_Classes!$A$4:$A$9,0))</f>
        <v>0.65</v>
      </c>
      <c r="J266" s="41" t="n">
        <f aca="false">INDEX(Severity_Classes!$E$4:$E$9,MATCH(F266,Severity_Classes!$A$4:$A$9,0))</f>
        <v>0.85</v>
      </c>
      <c r="K266" s="42" t="n">
        <f aca="false">MATCH(B266&amp;"|"&amp;E266,Context!$A$4:$A$51,0)</f>
        <v>44</v>
      </c>
      <c r="L266" s="42" t="n">
        <f aca="false">INDEX(Context!$H$4:$H$51,K266)</f>
        <v>63</v>
      </c>
      <c r="M266" s="42" t="n">
        <f aca="false">INDEX(Context!$I$4:$I$51,K266)</f>
        <v>36</v>
      </c>
      <c r="N266" s="9" t="str">
        <f aca="false">INDEX(Context!$L$4:$L$51,K266)</f>
        <v>F</v>
      </c>
      <c r="O266" s="9" t="str">
        <f aca="false">INDEX(Context!$M$4:$M$51,K266)</f>
        <v>5th fully expanded leaf from top</v>
      </c>
      <c r="P266" s="43" t="n">
        <f aca="false">INDEX(Context!$R$4:$R$51,K266)</f>
        <v>0.953571428571428</v>
      </c>
      <c r="Q266" s="43" t="n">
        <f aca="false">INDEX(Context!$U$4:$U$51,K266)</f>
        <v>2.18945736698217</v>
      </c>
      <c r="R266" s="43" t="n">
        <f aca="false">INDEX(Context!$AD$4:$AD$51,K266)</f>
        <v>1.1</v>
      </c>
      <c r="S266" s="9" t="str">
        <f aca="false">INDEX(Context!$AI$4:$AN$51,K266,MATCH(F266,Severity_Classes!$A$4:$A$9,0))</f>
        <v>Possible</v>
      </c>
      <c r="T266" s="44" t="n">
        <f aca="false">Parameters!$E$4*IF($N266="V",Parameters!$I$4,IF($N266="F",Parameters!$J$4,Parameters!$K$4))*(1-Parameters!$L$4*$P266)*IF($D266="V1",Parameters!$M$4,IF($D266="V2",Parameters!$N$4,Parameters!$O$4))</f>
        <v>81.0806464285714</v>
      </c>
      <c r="U266" s="44" t="n">
        <f aca="false">MIN(100,T266*(1+INDEX(Response_Table!$E$4:$E$21,MATCH($F266&amp;"|mid",Response_Table!$A$4:$A$21,0))*$R266*INDEX(Parameters!$X$4:$AA$4,1,MATCH($E266,Parameters!$X$3:$AA$3,0))))</f>
        <v>56.4635762409152</v>
      </c>
      <c r="V266" s="44" t="n">
        <f aca="false">MAX(0,MIN(T266*(1+INDEX(Response_Table!$E$4:$E$21,MATCH($F266&amp;"|low",Response_Table!$A$4:$A$21,0))*$R266*INDEX(Parameters!$X$4:$AA$4,1,MATCH($E266,Parameters!$X$3:$AA$3,0))),T266*(1+INDEX(Response_Table!$E$4:$E$21,MATCH($F266&amp;"|high",Response_Table!$A$4:$A$21,0))*$R266*INDEX(Parameters!$X$4:$AA$4,1,MATCH($E266,Parameters!$X$3:$AA$3,0))))*(1-Inputs_General!$C$22*Parameters!$F$4))</f>
        <v>51.1517807355995</v>
      </c>
      <c r="W266" s="44" t="n">
        <f aca="false">MIN(100,MAX(T266*(1+INDEX(Response_Table!$E$4:$E$21,MATCH($F266&amp;"|low",Response_Table!$A$4:$A$21,0))*$R266*INDEX(Parameters!$X$4:$AA$4,1,MATCH($E266,Parameters!$X$3:$AA$3,0))),T266*(1+INDEX(Response_Table!$E$4:$E$21,MATCH($F266&amp;"|high",Response_Table!$A$4:$A$21,0))*$R266*INDEX(Parameters!$X$4:$AA$4,1,MATCH($E266,Parameters!$X$3:$AA$3,0))))*(1+Inputs_General!$C$22*Parameters!$F$4))</f>
        <v>64.1694043129426</v>
      </c>
      <c r="X266" s="45" t="n">
        <f aca="false">IF(T266=0,0,U266/T266-1)</f>
        <v>-0.30361215989247</v>
      </c>
      <c r="Y266" s="44" t="n">
        <f aca="false">Parameters!$E$5*IF($N266="V",Parameters!$I$5,IF($N266="F",Parameters!$J$5,Parameters!$K$5))*(1-Parameters!$L$5*$P266)*IF($D266="V1",Parameters!$M$5,IF($D266="V2",Parameters!$N$5,Parameters!$O$5))</f>
        <v>62.48592</v>
      </c>
      <c r="Z266" s="44" t="n">
        <f aca="false">MIN(100,Y266*(1+INDEX(Response_Table!$F$4:$F$21,MATCH($F266&amp;"|mid",Response_Table!$A$4:$A$21,0))*$R266*INDEX(Parameters!$X$5:$AA$5,1,MATCH($E266,Parameters!$X$3:$AA$3,0))))</f>
        <v>15.6032043722986</v>
      </c>
      <c r="AA266" s="44" t="n">
        <f aca="false">MAX(0,MIN(Y266*(1+INDEX(Response_Table!$F$4:$F$21,MATCH($F266&amp;"|low",Response_Table!$A$4:$A$21,0))*$R266*INDEX(Parameters!$X$5:$AA$5,1,MATCH($E266,Parameters!$X$3:$AA$3,0))),Y266*(1+INDEX(Response_Table!$F$4:$F$21,MATCH($F266&amp;"|high",Response_Table!$A$4:$A$21,0))*$R266*INDEX(Parameters!$X$5:$AA$5,1,MATCH($E266,Parameters!$X$3:$AA$3,0))))*(1-Inputs_General!$C$22*Parameters!$F$5))</f>
        <v>12.8674622514478</v>
      </c>
      <c r="AB266" s="44" t="n">
        <f aca="false">MIN(100,MAX(Y266*(1+INDEX(Response_Table!$F$4:$F$21,MATCH($F266&amp;"|low",Response_Table!$A$4:$A$21,0))*$R266*INDEX(Parameters!$X$5:$AA$5,1,MATCH($E266,Parameters!$X$3:$AA$3,0))),Y266*(1+INDEX(Response_Table!$F$4:$F$21,MATCH($F266&amp;"|high",Response_Table!$A$4:$A$21,0))*$R266*INDEX(Parameters!$X$5:$AA$5,1,MATCH($E266,Parameters!$X$3:$AA$3,0))))*(1+Inputs_General!$C$22*Parameters!$F$5))</f>
        <v>21.2131371595017</v>
      </c>
      <c r="AC266" s="45" t="n">
        <f aca="false">IF(Y266=0,0,Z266/Y266-1)</f>
        <v>-0.750292475932201</v>
      </c>
      <c r="AD266" s="44" t="n">
        <f aca="false">Parameters!$E$6*IF($N266="V",Parameters!$I$6,IF($N266="F",Parameters!$J$6,Parameters!$K$6))*(1-Parameters!$L$6*$P266)*IF($D266="V1",Parameters!$M$6,IF($D266="V2",Parameters!$N$6,Parameters!$O$6))</f>
        <v>16.8258571428571</v>
      </c>
      <c r="AE266" s="44" t="n">
        <f aca="false">AD266*(1+INDEX(Response_Table!$G$4:$G$21,MATCH($F266&amp;"|mid",Response_Table!$A$4:$A$21,0))*$R266*INDEX(Parameters!$X$6:$AA$6,1,MATCH($E266,Parameters!$X$3:$AA$3,0)))</f>
        <v>3.73949168265461</v>
      </c>
      <c r="AF266" s="44" t="n">
        <f aca="false">MAX(0,MIN(AD266*(1+INDEX(Response_Table!$G$4:$G$21,MATCH($F266&amp;"|low",Response_Table!$A$4:$A$21,0))*$R266*INDEX(Parameters!$X$6:$AA$6,1,MATCH($E266,Parameters!$X$3:$AA$3,0))),AD266*(1+INDEX(Response_Table!$G$4:$G$21,MATCH($F266&amp;"|high",Response_Table!$A$4:$A$21,0))*$R266*INDEX(Parameters!$X$6:$AA$6,1,MATCH($E266,Parameters!$X$3:$AA$3,0))))*(1-Inputs_General!$C$22*Parameters!$F$6))</f>
        <v>2.6279239616049</v>
      </c>
      <c r="AG266" s="44" t="n">
        <f aca="false">MAX(AD266*(1+INDEX(Response_Table!$G$4:$G$21,MATCH($F266&amp;"|low",Response_Table!$A$4:$A$21,0))*$R266*INDEX(Parameters!$X$6:$AA$6,1,MATCH($E266,Parameters!$X$3:$AA$3,0))),AD266*(1+INDEX(Response_Table!$G$4:$G$21,MATCH($F266&amp;"|high",Response_Table!$A$4:$A$21,0))*$R266*INDEX(Parameters!$X$6:$AA$6,1,MATCH($E266,Parameters!$X$3:$AA$3,0))))*(1+Inputs_General!$C$22*Parameters!$F$6)</f>
        <v>5.28821115623315</v>
      </c>
      <c r="AH266" s="45" t="n">
        <f aca="false">IF(AD266=0,0,AE266/AD266-1)</f>
        <v>-0.77775327278099</v>
      </c>
      <c r="AI266" s="46" t="n">
        <f aca="false">Parameters!$E$7*IF($N266="V",Parameters!$I$7,IF($N266="F",Parameters!$J$7,Parameters!$K$7))*(1-Parameters!$L$7*$P266)*IF($D266="V1",Parameters!$M$7,IF($D266="V2",Parameters!$N$7,Parameters!$O$7))*POWER($Q266/Inputs_General!$C$26,-Inputs_General!$C$25)</f>
        <v>0.304119499618928</v>
      </c>
      <c r="AJ266" s="46" t="n">
        <f aca="false">AI266*(1+INDEX(Response_Table!$H$4:$H$21,MATCH($F266&amp;"|mid",Response_Table!$A$4:$A$21,0))*$R266*INDEX(Parameters!$X$7:$AA$7,1,MATCH($E266,Parameters!$X$3:$AA$3,0)))</f>
        <v>0.117610905805036</v>
      </c>
      <c r="AK266" s="46" t="n">
        <f aca="false">MAX(0,MIN(AI266*(1+INDEX(Response_Table!$H$4:$H$21,MATCH($F266&amp;"|low",Response_Table!$A$4:$A$21,0))*$R266*INDEX(Parameters!$X$7:$AA$7,1,MATCH($E266,Parameters!$X$3:$AA$3,0))),AI266*(1+INDEX(Response_Table!$H$4:$H$21,MATCH($F266&amp;"|high",Response_Table!$A$4:$A$21,0))*$R266*INDEX(Parameters!$X$7:$AA$7,1,MATCH($E266,Parameters!$X$3:$AA$3,0))))*(1-Inputs_General!$C$22*Parameters!$F$7))</f>
        <v>0.0729610368325755</v>
      </c>
      <c r="AL266" s="46" t="n">
        <f aca="false">MAX(AI266*(1+INDEX(Response_Table!$H$4:$H$21,MATCH($F266&amp;"|low",Response_Table!$A$4:$A$21,0))*$R266*INDEX(Parameters!$X$7:$AA$7,1,MATCH($E266,Parameters!$X$3:$AA$3,0))),AI266*(1+INDEX(Response_Table!$H$4:$H$21,MATCH($F266&amp;"|high",Response_Table!$A$4:$A$21,0))*$R266*INDEX(Parameters!$X$7:$AA$7,1,MATCH($E266,Parameters!$X$3:$AA$3,0))))*(1+Inputs_General!$C$22*Parameters!$F$7)</f>
        <v>0.173364717597462</v>
      </c>
      <c r="AM266" s="45" t="n">
        <f aca="false">IF(AI266=0,0,AJ266/AI266-1)</f>
        <v>-0.613274038815643</v>
      </c>
      <c r="AN266" s="43" t="n">
        <f aca="false">AI266*$Q266/Inputs_General!$C$13*1000</f>
        <v>6.70550532611877</v>
      </c>
      <c r="AO266" s="43" t="n">
        <f aca="false">AJ266*$Q266/Inputs_General!$C$13*1000*(1+Inputs_General!$C$21*$I266)</f>
        <v>3.0145868537465</v>
      </c>
      <c r="AP266" s="43" t="n">
        <f aca="false">AK266*$Q266/Inputs_General!$C$13*1000*(1+Inputs_General!$C$21*$H266)</f>
        <v>1.81382253015304</v>
      </c>
      <c r="AQ266" s="43" t="n">
        <f aca="false">AL266*$Q266/Inputs_General!$C$13*1000*(1+Inputs_General!$C$21*$J266)</f>
        <v>4.63478623332063</v>
      </c>
      <c r="AR266" s="45" t="n">
        <f aca="false">IF(AN266=0,0,AO266/AN266-1)</f>
        <v>-0.550431070123185</v>
      </c>
      <c r="AS266" s="42" t="n">
        <f aca="false">Parameters!$E$9*IF($N266="V",Parameters!$I$9,IF($N266="F",Parameters!$J$9,Parameters!$K$9))*(1-Parameters!$L$9*$P266)*IF($D266="V1",Parameters!$M$9,IF($D266="V2",Parameters!$N$9,Parameters!$O$9))</f>
        <v>285</v>
      </c>
      <c r="AT266" s="42" t="n">
        <f aca="false">AS266*(1+INDEX(Response_Table!$I$4:$I$21,MATCH($F266&amp;"|mid",Response_Table!$A$4:$A$21,0))*$R266*INDEX(Parameters!$X$9:$AA$9,1,MATCH($E266,Parameters!$X$3:$AA$3,0)))</f>
        <v>372.064569968942</v>
      </c>
      <c r="AU266" s="42" t="n">
        <f aca="false">MAX(0,MIN(AS266*(1+INDEX(Response_Table!$I$4:$I$21,MATCH($F266&amp;"|low",Response_Table!$A$4:$A$21,0))*$R266*INDEX(Parameters!$X$9:$AA$9,1,MATCH($E266,Parameters!$X$3:$AA$3,0))),AS266*(1+INDEX(Response_Table!$I$4:$I$21,MATCH($F266&amp;"|high",Response_Table!$A$4:$A$21,0))*$R266*INDEX(Parameters!$X$9:$AA$9,1,MATCH($E266,Parameters!$X$3:$AA$3,0))))*(1-Inputs_General!$C$22*Parameters!$F$9))</f>
        <v>330.61558680736</v>
      </c>
      <c r="AV266" s="42" t="n">
        <f aca="false">MAX(AS266*(1+INDEX(Response_Table!$I$4:$I$21,MATCH($F266&amp;"|low",Response_Table!$A$4:$A$21,0))*$R266*INDEX(Parameters!$X$9:$AA$9,1,MATCH($E266,Parameters!$X$3:$AA$3,0))),AS266*(1+INDEX(Response_Table!$I$4:$I$21,MATCH($F266&amp;"|high",Response_Table!$A$4:$A$21,0))*$R266*INDEX(Parameters!$X$9:$AA$9,1,MATCH($E266,Parameters!$X$3:$AA$3,0))))*(1+Inputs_General!$C$22*Parameters!$F$9)</f>
        <v>413.013683739106</v>
      </c>
      <c r="AW266" s="45" t="n">
        <f aca="false">IF(AS266=0,0,AT266/AS266-1)</f>
        <v>0.30548971918927</v>
      </c>
      <c r="AX266" s="43" t="n">
        <f aca="false">INDEX(Context!$AB$4:$AB$51,$K266)</f>
        <v>2.41688422790131</v>
      </c>
      <c r="AY266" s="43" t="n">
        <f aca="false">AX266*(1+INDEX(Response_Table!$J$4:$J$21,MATCH($F266&amp;"|mid",Response_Table!$A$4:$A$21,0))*$R266*INDEX(Parameters!$X$10:$AA$10,1,MATCH($E266,Parameters!$X$3:$AA$3,0)))</f>
        <v>1.45610333252503</v>
      </c>
      <c r="AZ266" s="43" t="n">
        <f aca="false">MAX(0,MIN(AX266*(1+INDEX(Response_Table!$J$4:$J$21,MATCH($F266&amp;"|low",Response_Table!$A$4:$A$21,0))*$R266*INDEX(Parameters!$X$10:$AA$10,1,MATCH($E266,Parameters!$X$3:$AA$3,0))),AX266*(1+INDEX(Response_Table!$J$4:$J$21,MATCH($F266&amp;"|high",Response_Table!$A$4:$A$21,0))*$R266*INDEX(Parameters!$X$10:$AA$10,1,MATCH($E266,Parameters!$X$3:$AA$3,0))))*(1-Inputs_General!$C$22*Parameters!$F$10))</f>
        <v>1.09427373718323</v>
      </c>
      <c r="BA266" s="43" t="n">
        <f aca="false">MAX(AX266*(1+INDEX(Response_Table!$J$4:$J$21,MATCH($F266&amp;"|low",Response_Table!$A$4:$A$21,0))*$R266*INDEX(Parameters!$X$10:$AA$10,1,MATCH($E266,Parameters!$X$3:$AA$3,0))),AX266*(1+INDEX(Response_Table!$J$4:$J$21,MATCH($F266&amp;"|high",Response_Table!$A$4:$A$21,0))*$R266*INDEX(Parameters!$X$10:$AA$10,1,MATCH($E266,Parameters!$X$3:$AA$3,0))))*(1+Inputs_General!$C$22*Parameters!$F$10)</f>
        <v>1.86174856083663</v>
      </c>
      <c r="BB266" s="45" t="n">
        <f aca="false">IF(AX266=0,0,AY266/AX266-1)</f>
        <v>-0.397528720773924</v>
      </c>
      <c r="BC266" s="46" t="n">
        <f aca="false">Parameters!$E$11*IF($N266="V",Parameters!$I$11,IF($N266="F",Parameters!$J$11,Parameters!$K$11))*(1-Parameters!$L$11*$P266)*IF($D266="V1",Parameters!$M$11,IF($D266="V2",Parameters!$N$11,Parameters!$O$11))</f>
        <v>1.17848214285714</v>
      </c>
      <c r="BD266" s="46" t="n">
        <f aca="false">BC266*(1+INDEX(Response_Table!$K$4:$K$21,MATCH($F266&amp;"|mid",Response_Table!$A$4:$A$21,0))*$R266*INDEX(Parameters!$X$11:$AA$11,1,MATCH($E266,Parameters!$X$3:$AA$3,0)))</f>
        <v>0.441135448002545</v>
      </c>
      <c r="BE266" s="46" t="n">
        <f aca="false">MAX(0,MIN(BC266*(1+INDEX(Response_Table!$K$4:$K$21,MATCH($F266&amp;"|low",Response_Table!$A$4:$A$21,0))*$R266*INDEX(Parameters!$X$11:$AA$11,1,MATCH($E266,Parameters!$X$3:$AA$3,0))),BC266*(1+INDEX(Response_Table!$K$4:$K$21,MATCH($F266&amp;"|high",Response_Table!$A$4:$A$21,0))*$R266*INDEX(Parameters!$X$11:$AA$11,1,MATCH($E266,Parameters!$X$3:$AA$3,0))))*(1-Inputs_General!$C$22*Parameters!$F$11))</f>
        <v>0.326993352365307</v>
      </c>
      <c r="BF266" s="46" t="n">
        <f aca="false">MAX(BC266*(1+INDEX(Response_Table!$K$4:$K$21,MATCH($F266&amp;"|low",Response_Table!$A$4:$A$21,0))*$R266*INDEX(Parameters!$X$11:$AA$11,1,MATCH($E266,Parameters!$X$3:$AA$3,0))),BC266*(1+INDEX(Response_Table!$K$4:$K$21,MATCH($F266&amp;"|high",Response_Table!$A$4:$A$21,0))*$R266*INDEX(Parameters!$X$11:$AA$11,1,MATCH($E266,Parameters!$X$3:$AA$3,0))))*(1+Inputs_General!$C$22*Parameters!$F$11)</f>
        <v>0.58298445016296</v>
      </c>
      <c r="BG266" s="45" t="n">
        <f aca="false">IF(BC266=0,0,BD266/BC266-1)</f>
        <v>-0.625674898278014</v>
      </c>
      <c r="BH266" s="46" t="n">
        <f aca="false">Parameters!$E$12*IF($N266="V",Parameters!$I$12,IF($N266="F",Parameters!$J$12,Parameters!$K$12))*(1-Parameters!$L$12*$P266)*IF($D266="V1",Parameters!$M$12,IF($D266="V2",Parameters!$N$12,Parameters!$O$12))</f>
        <v>0.424253571428571</v>
      </c>
      <c r="BI266" s="46" t="n">
        <f aca="false">BH266*(1+INDEX(Response_Table!$L$4:$L$21,MATCH($F266&amp;"|mid",Response_Table!$A$4:$A$21,0))*$R266*INDEX(Parameters!$X$12:$AA$12,1,MATCH($E266,Parameters!$X$3:$AA$3,0)))</f>
        <v>0.204098131924605</v>
      </c>
      <c r="BJ266" s="46" t="n">
        <f aca="false">MAX(0,MIN(BH266*(1+INDEX(Response_Table!$L$4:$L$21,MATCH($F266&amp;"|low",Response_Table!$A$4:$A$21,0))*$R266*INDEX(Parameters!$X$12:$AA$12,1,MATCH($E266,Parameters!$X$3:$AA$3,0))),BH266*(1+INDEX(Response_Table!$L$4:$L$21,MATCH($F266&amp;"|high",Response_Table!$A$4:$A$21,0))*$R266*INDEX(Parameters!$X$12:$AA$12,1,MATCH($E266,Parameters!$X$3:$AA$3,0))))*(1-Inputs_General!$C$22*Parameters!$F$12))</f>
        <v>0.150585134878271</v>
      </c>
      <c r="BK266" s="46" t="n">
        <f aca="false">MAX(BH266*(1+INDEX(Response_Table!$L$4:$L$21,MATCH($F266&amp;"|low",Response_Table!$A$4:$A$21,0))*$R266*INDEX(Parameters!$X$12:$AA$12,1,MATCH($E266,Parameters!$X$3:$AA$3,0))),BH266*(1+INDEX(Response_Table!$L$4:$L$21,MATCH($F266&amp;"|high",Response_Table!$A$4:$A$21,0))*$R266*INDEX(Parameters!$X$12:$AA$12,1,MATCH($E266,Parameters!$X$3:$AA$3,0))))*(1+Inputs_General!$C$22*Parameters!$F$12)</f>
        <v>0.267210717099332</v>
      </c>
      <c r="BL266" s="45" t="n">
        <f aca="false">IF(BH266=0,0,BI266/BH266-1)</f>
        <v>-0.518924186690159</v>
      </c>
      <c r="BM266" s="46" t="n">
        <f aca="false">Parameters!$E$13*IF($N266="V",Parameters!$I$13,IF($N266="F",Parameters!$J$13,Parameters!$K$13))*(1-Parameters!$L$13*$P266)*IF($D266="V1",Parameters!$M$13,IF($D266="V2",Parameters!$N$13,Parameters!$O$13))</f>
        <v>0.291417857142857</v>
      </c>
      <c r="BN266" s="46" t="n">
        <f aca="false">BM266*(1+INDEX(Response_Table!$M$4:$M$21,MATCH($F266&amp;"|mid",Response_Table!$A$4:$A$21,0))*$R266*INDEX(Parameters!$X$13:$AA$13,1,MATCH($E266,Parameters!$X$3:$AA$3,0)))</f>
        <v>0.182288465325531</v>
      </c>
      <c r="BO266" s="46" t="n">
        <f aca="false">MAX(0,MIN(BM266*(1+INDEX(Response_Table!$M$4:$M$21,MATCH($F266&amp;"|low",Response_Table!$A$4:$A$21,0))*$R266*INDEX(Parameters!$X$13:$AA$13,1,MATCH($E266,Parameters!$X$3:$AA$3,0))),BM266*(1+INDEX(Response_Table!$M$4:$M$21,MATCH($F266&amp;"|high",Response_Table!$A$4:$A$21,0))*$R266*INDEX(Parameters!$X$13:$AA$13,1,MATCH($E266,Parameters!$X$3:$AA$3,0))))*(1-Inputs_General!$C$22*Parameters!$F$13))</f>
        <v>0.139136034798131</v>
      </c>
      <c r="BP266" s="46" t="n">
        <f aca="false">MAX(BM266*(1+INDEX(Response_Table!$M$4:$M$21,MATCH($F266&amp;"|low",Response_Table!$A$4:$A$21,0))*$R266*INDEX(Parameters!$X$13:$AA$13,1,MATCH($E266,Parameters!$X$3:$AA$3,0))),BM266*(1+INDEX(Response_Table!$M$4:$M$21,MATCH($F266&amp;"|high",Response_Table!$A$4:$A$21,0))*$R266*INDEX(Parameters!$X$13:$AA$13,1,MATCH($E266,Parameters!$X$3:$AA$3,0))))*(1+Inputs_General!$C$22*Parameters!$F$13)</f>
        <v>0.231898577166383</v>
      </c>
      <c r="BQ266" s="45" t="n">
        <f aca="false">IF(BM266=0,0,BN266/BM266-1)</f>
        <v>-0.374477366923432</v>
      </c>
      <c r="BR266" s="44" t="n">
        <f aca="false">Parameters!$E$14*IF($N266="V",Parameters!$I$14,IF($N266="F",Parameters!$J$14,Parameters!$K$14))*(1-Parameters!$L$14*$P266)*IF($D266="V1",Parameters!$M$14,IF($D266="V2",Parameters!$N$14,Parameters!$O$14))*INDEX(Context!$AC$4:$AC$51,$K266)</f>
        <v>15</v>
      </c>
      <c r="BS266" s="44" t="n">
        <f aca="false">BR266*(1+INDEX(Response_Table!$N$4:$N$21,MATCH($F266&amp;"|mid",Response_Table!$A$4:$A$21,0))*$R266*INDEX(Parameters!$X$14:$AA$14,1,MATCH($E266,Parameters!$X$3:$AA$3,0)))</f>
        <v>23.4914866912935</v>
      </c>
      <c r="BT266" s="44" t="n">
        <f aca="false">MAX(0,MIN(BR266*(1+INDEX(Response_Table!$N$4:$N$21,MATCH($F266&amp;"|low",Response_Table!$A$4:$A$21,0))*$R266*INDEX(Parameters!$X$14:$AA$14,1,MATCH($E266,Parameters!$X$3:$AA$3,0))),BR266*(1+INDEX(Response_Table!$N$4:$N$21,MATCH($F266&amp;"|high",Response_Table!$A$4:$A$21,0))*$R266*INDEX(Parameters!$X$14:$AA$14,1,MATCH($E266,Parameters!$X$3:$AA$3,0))))*(1-Inputs_General!$C$22*Parameters!$F$14))</f>
        <v>11.526064376594</v>
      </c>
      <c r="BU266" s="44" t="n">
        <f aca="false">MAX(BR266*(1+INDEX(Response_Table!$N$4:$N$21,MATCH($F266&amp;"|low",Response_Table!$A$4:$A$21,0))*$R266*INDEX(Parameters!$X$14:$AA$14,1,MATCH($E266,Parameters!$X$3:$AA$3,0))),BR266*(1+INDEX(Response_Table!$N$4:$N$21,MATCH($F266&amp;"|high",Response_Table!$A$4:$A$21,0))*$R266*INDEX(Parameters!$X$14:$AA$14,1,MATCH($E266,Parameters!$X$3:$AA$3,0))))*(1+Inputs_General!$C$22*Parameters!$F$14)</f>
        <v>36.0336618150901</v>
      </c>
      <c r="BV266" s="45" t="n">
        <f aca="false">IF(BR266=0,0,BS266/BR266-1)</f>
        <v>0.566099112752901</v>
      </c>
      <c r="BW266" s="43" t="n">
        <f aca="false">Parameters!$E$15*IF($N266="V",Parameters!$I$15,IF($N266="F",Parameters!$J$15,Parameters!$K$15))*(1-Parameters!$L$15*$P266)*IF($D266="V1",Parameters!$M$15,IF($D266="V2",Parameters!$N$15,Parameters!$O$15))</f>
        <v>10.1820857142857</v>
      </c>
      <c r="BX266" s="43" t="n">
        <f aca="false">BW266*(1+INDEX(Response_Table!$O$4:$O$21,MATCH($F266&amp;"|mid",Response_Table!$A$4:$A$21,0))*$R266*INDEX(Parameters!$X$15:$AA$15,1,MATCH($E266,Parameters!$X$3:$AA$3,0)))</f>
        <v>8.74106829207793</v>
      </c>
      <c r="BY266" s="43" t="n">
        <f aca="false">MAX(0,MIN(BW266*(1+INDEX(Response_Table!$O$4:$O$21,MATCH($F266&amp;"|low",Response_Table!$A$4:$A$21,0))*$R266*INDEX(Parameters!$X$15:$AA$15,1,MATCH($E266,Parameters!$X$3:$AA$3,0))),BW266*(1+INDEX(Response_Table!$O$4:$O$21,MATCH($F266&amp;"|high",Response_Table!$A$4:$A$21,0))*$R266*INDEX(Parameters!$X$15:$AA$15,1,MATCH($E266,Parameters!$X$3:$AA$3,0))))*(1-Inputs_General!$C$22*Parameters!$F$15))</f>
        <v>6.92902415141102</v>
      </c>
      <c r="BZ266" s="43" t="n">
        <f aca="false">MAX(BW266*(1+INDEX(Response_Table!$O$4:$O$21,MATCH($F266&amp;"|low",Response_Table!$A$4:$A$21,0))*$R266*INDEX(Parameters!$X$15:$AA$15,1,MATCH($E266,Parameters!$X$3:$AA$3,0))),BW266*(1+INDEX(Response_Table!$O$4:$O$21,MATCH($F266&amp;"|high",Response_Table!$A$4:$A$21,0))*$R266*INDEX(Parameters!$X$15:$AA$15,1,MATCH($E266,Parameters!$X$3:$AA$3,0))))*(1+Inputs_General!$C$22*Parameters!$F$15)</f>
        <v>10.6159461004943</v>
      </c>
      <c r="CA266" s="45" t="n">
        <f aca="false">IF(BW266=0,0,BX266/BW266-1)</f>
        <v>-0.141524778188225</v>
      </c>
      <c r="CB266" s="46" t="n">
        <f aca="false">BD266+BI266</f>
        <v>0.645233579927149</v>
      </c>
      <c r="CC266" s="43" t="n">
        <f aca="false">BD266/BI266</f>
        <v>2.16138895463043</v>
      </c>
      <c r="CD266" s="46" t="n">
        <f aca="false">BN266/CB266</f>
        <v>0.282515465711057</v>
      </c>
      <c r="CE266" s="43" t="n">
        <f aca="false">AE266/AO266</f>
        <v>1.24046573015709</v>
      </c>
      <c r="CF266" s="44" t="n">
        <f aca="false">AE266/AJ266</f>
        <v>31.7954500652651</v>
      </c>
      <c r="CG266" s="44" t="n">
        <f aca="false">INDEX(Context!$V$4:$V$51,$K266)</f>
        <v>32.7871428571429</v>
      </c>
      <c r="CH266" s="44" t="n">
        <f aca="false">INDEX(Context!$Y$4:$Y$51,$K266)</f>
        <v>28.36912210206</v>
      </c>
      <c r="CI266" s="44" t="n">
        <f aca="false">INDEX(Context!$Z$4:$Z$51,$K266)</f>
        <v>36.7871428571429</v>
      </c>
      <c r="CJ266" s="43" t="n">
        <f aca="false">INDEX(Context!$AA$4:$AA$51,$K266)</f>
        <v>0.247678571428571</v>
      </c>
      <c r="CK266" s="43" t="n">
        <f aca="false">MAX(0,MIN(1,1-(1-CJ266)*AO266/AN266))</f>
        <v>0.661779660433746</v>
      </c>
      <c r="CL266" s="44" t="n">
        <f aca="false">CH266+CK266*(CI266-CH266)</f>
        <v>33.939997018883</v>
      </c>
      <c r="CM266" s="44" t="n">
        <f aca="false">CH266+MAX(0,MIN(1,1-(1-CJ266)*AQ266/AN266))*(CI266-CH266)</f>
        <v>32.409789350468</v>
      </c>
      <c r="CN266" s="44" t="n">
        <f aca="false">CH266+MAX(0,MIN(1,1-(1-CJ266)*AP266/AN266))*(CI266-CH266)</f>
        <v>35.0740665655611</v>
      </c>
      <c r="CO266" s="44" t="n">
        <f aca="false">CL266-CG266</f>
        <v>1.15285416174012</v>
      </c>
      <c r="CP266" s="44" t="n">
        <f aca="false">CL266-(CH266+CJ266*(CI266-CH266))</f>
        <v>3.48591156194796</v>
      </c>
      <c r="CQ266" s="46" t="n">
        <f aca="false">CL266/CG266</f>
        <v>1.03516177566198</v>
      </c>
      <c r="CR266" s="43" t="n">
        <f aca="false">IF(CL266-CH266&lt;=0,"n/a",(CI266-CL266)/(CL266-CH266))</f>
        <v>0.51107696381085</v>
      </c>
      <c r="CS266" s="43" t="n">
        <f aca="false">IF(CI266-CL266&lt;=0,"n/a",(CL266-CH266)/(CI266-CL266))</f>
        <v>1.95665246295488</v>
      </c>
      <c r="CT266" s="43" t="n">
        <f aca="false">Inputs_General!$C$23+Inputs_General!$C$24*$I266</f>
        <v>1.9</v>
      </c>
      <c r="CU266" s="44" t="n">
        <f aca="false">3.29*CT266</f>
        <v>6.251</v>
      </c>
    </row>
    <row r="267" customFormat="false" ht="15" hidden="false" customHeight="false" outlineLevel="0" collapsed="false">
      <c r="A267" s="33" t="str">
        <f aca="false">B267&amp;"|"&amp;E267&amp;"|"&amp;F267</f>
        <v>D4V3|11/02/2026|Healthy</v>
      </c>
      <c r="B267" s="34" t="s">
        <v>354</v>
      </c>
      <c r="C267" s="33" t="s">
        <v>133</v>
      </c>
      <c r="D267" s="33" t="s">
        <v>150</v>
      </c>
      <c r="E267" s="33" t="s">
        <v>158</v>
      </c>
      <c r="F267" s="34" t="s">
        <v>275</v>
      </c>
      <c r="G267" s="33" t="s">
        <v>276</v>
      </c>
      <c r="H267" s="35" t="n">
        <f aca="false">INDEX(Severity_Classes!$C$4:$C$9,MATCH(F267,Severity_Classes!$A$4:$A$9,0))</f>
        <v>0</v>
      </c>
      <c r="I267" s="35" t="n">
        <f aca="false">INDEX(Severity_Classes!$D$4:$D$9,MATCH(F267,Severity_Classes!$A$4:$A$9,0))</f>
        <v>0</v>
      </c>
      <c r="J267" s="35" t="n">
        <f aca="false">INDEX(Severity_Classes!$E$4:$E$9,MATCH(F267,Severity_Classes!$A$4:$A$9,0))</f>
        <v>0</v>
      </c>
      <c r="K267" s="36" t="n">
        <f aca="false">MATCH(B267&amp;"|"&amp;E267,Context!$A$4:$A$51,0)</f>
        <v>45</v>
      </c>
      <c r="L267" s="36" t="n">
        <f aca="false">INDEX(Context!$H$4:$H$51,K267)</f>
        <v>33</v>
      </c>
      <c r="M267" s="36" t="n">
        <f aca="false">INDEX(Context!$I$4:$I$51,K267)</f>
        <v>6</v>
      </c>
      <c r="N267" s="33" t="str">
        <f aca="false">INDEX(Context!$L$4:$L$51,K267)</f>
        <v>V</v>
      </c>
      <c r="O267" s="33" t="str">
        <f aca="false">INDEX(Context!$M$4:$M$51,K267)</f>
        <v>3rd fully expanded leaf from top</v>
      </c>
      <c r="P267" s="37" t="n">
        <f aca="false">INDEX(Context!$R$4:$R$51,K267)</f>
        <v>0</v>
      </c>
      <c r="Q267" s="37" t="n">
        <f aca="false">INDEX(Context!$U$4:$U$51,K267)</f>
        <v>0.937791824040773</v>
      </c>
      <c r="R267" s="37" t="n">
        <f aca="false">INDEX(Context!$AD$4:$AD$51,K267)</f>
        <v>0.85</v>
      </c>
      <c r="S267" s="33" t="str">
        <f aca="false">INDEX(Context!$AI$4:$AN$51,K267,MATCH(F267,Severity_Classes!$A$4:$A$9,0))</f>
        <v>Reference: healthy (uninoculated) control plot</v>
      </c>
      <c r="T267" s="38" t="n">
        <f aca="false">Parameters!$E$4*IF($N267="V",Parameters!$I$4,IF($N267="F",Parameters!$J$4,Parameters!$K$4))*(1-Parameters!$L$4*$P267)*IF($D267="V1",Parameters!$M$4,IF($D267="V2",Parameters!$N$4,Parameters!$O$4))</f>
        <v>86</v>
      </c>
      <c r="U267" s="38" t="n">
        <f aca="false">MIN(100,T267*(1+INDEX(Response_Table!$E$4:$E$21,MATCH($F267&amp;"|mid",Response_Table!$A$4:$A$21,0))*$R267*INDEX(Parameters!$X$4:$AA$4,1,MATCH($E267,Parameters!$X$3:$AA$3,0))))</f>
        <v>86</v>
      </c>
      <c r="V267" s="38" t="n">
        <f aca="false">MAX(0,MIN(T267*(1+INDEX(Response_Table!$E$4:$E$21,MATCH($F267&amp;"|low",Response_Table!$A$4:$A$21,0))*$R267*INDEX(Parameters!$X$4:$AA$4,1,MATCH($E267,Parameters!$X$3:$AA$3,0))),T267*(1+INDEX(Response_Table!$E$4:$E$21,MATCH($F267&amp;"|high",Response_Table!$A$4:$A$21,0))*$R267*INDEX(Parameters!$X$4:$AA$4,1,MATCH($E267,Parameters!$X$3:$AA$3,0))))*(1-Inputs_General!$C$22*Parameters!$F$4))</f>
        <v>80.3412</v>
      </c>
      <c r="W267" s="38" t="n">
        <f aca="false">MIN(100,MAX(T267*(1+INDEX(Response_Table!$E$4:$E$21,MATCH($F267&amp;"|low",Response_Table!$A$4:$A$21,0))*$R267*INDEX(Parameters!$X$4:$AA$4,1,MATCH($E267,Parameters!$X$3:$AA$3,0))),T267*(1+INDEX(Response_Table!$E$4:$E$21,MATCH($F267&amp;"|high",Response_Table!$A$4:$A$21,0))*$R267*INDEX(Parameters!$X$4:$AA$4,1,MATCH($E267,Parameters!$X$3:$AA$3,0))))*(1+Inputs_General!$C$22*Parameters!$F$4))</f>
        <v>91.6588</v>
      </c>
      <c r="X267" s="39" t="n">
        <f aca="false">IF(T267=0,0,U267/T267-1)</f>
        <v>0</v>
      </c>
      <c r="Y267" s="38" t="n">
        <f aca="false">Parameters!$E$5*IF($N267="V",Parameters!$I$5,IF($N267="F",Parameters!$J$5,Parameters!$K$5))*(1-Parameters!$L$5*$P267)*IF($D267="V1",Parameters!$M$5,IF($D267="V2",Parameters!$N$5,Parameters!$O$5))</f>
        <v>72</v>
      </c>
      <c r="Z267" s="38" t="n">
        <f aca="false">MIN(100,Y267*(1+INDEX(Response_Table!$F$4:$F$21,MATCH($F267&amp;"|mid",Response_Table!$A$4:$A$21,0))*$R267*INDEX(Parameters!$X$5:$AA$5,1,MATCH($E267,Parameters!$X$3:$AA$3,0))))</f>
        <v>72</v>
      </c>
      <c r="AA267" s="38" t="n">
        <f aca="false">MAX(0,MIN(Y267*(1+INDEX(Response_Table!$F$4:$F$21,MATCH($F267&amp;"|low",Response_Table!$A$4:$A$21,0))*$R267*INDEX(Parameters!$X$5:$AA$5,1,MATCH($E267,Parameters!$X$3:$AA$3,0))),Y267*(1+INDEX(Response_Table!$F$4:$F$21,MATCH($F267&amp;"|high",Response_Table!$A$4:$A$21,0))*$R267*INDEX(Parameters!$X$5:$AA$5,1,MATCH($E267,Parameters!$X$3:$AA$3,0))))*(1-Inputs_General!$C$22*Parameters!$F$5))</f>
        <v>63.7092</v>
      </c>
      <c r="AB267" s="38" t="n">
        <f aca="false">MIN(100,MAX(Y267*(1+INDEX(Response_Table!$F$4:$F$21,MATCH($F267&amp;"|low",Response_Table!$A$4:$A$21,0))*$R267*INDEX(Parameters!$X$5:$AA$5,1,MATCH($E267,Parameters!$X$3:$AA$3,0))),Y267*(1+INDEX(Response_Table!$F$4:$F$21,MATCH($F267&amp;"|high",Response_Table!$A$4:$A$21,0))*$R267*INDEX(Parameters!$X$5:$AA$5,1,MATCH($E267,Parameters!$X$3:$AA$3,0))))*(1+Inputs_General!$C$22*Parameters!$F$5))</f>
        <v>80.2908</v>
      </c>
      <c r="AC267" s="39" t="n">
        <f aca="false">IF(Y267=0,0,Z267/Y267-1)</f>
        <v>0</v>
      </c>
      <c r="AD267" s="38" t="n">
        <f aca="false">Parameters!$E$6*IF($N267="V",Parameters!$I$6,IF($N267="F",Parameters!$J$6,Parameters!$K$6))*(1-Parameters!$L$6*$P267)*IF($D267="V1",Parameters!$M$6,IF($D267="V2",Parameters!$N$6,Parameters!$O$6))</f>
        <v>19.57</v>
      </c>
      <c r="AE267" s="38" t="n">
        <f aca="false">AD267*(1+INDEX(Response_Table!$G$4:$G$21,MATCH($F267&amp;"|mid",Response_Table!$A$4:$A$21,0))*$R267*INDEX(Parameters!$X$6:$AA$6,1,MATCH($E267,Parameters!$X$3:$AA$3,0)))</f>
        <v>19.57</v>
      </c>
      <c r="AF267" s="38" t="n">
        <f aca="false">MAX(0,MIN(AD267*(1+INDEX(Response_Table!$G$4:$G$21,MATCH($F267&amp;"|low",Response_Table!$A$4:$A$21,0))*$R267*INDEX(Parameters!$X$6:$AA$6,1,MATCH($E267,Parameters!$X$3:$AA$3,0))),AD267*(1+INDEX(Response_Table!$G$4:$G$21,MATCH($F267&amp;"|high",Response_Table!$A$4:$A$21,0))*$R267*INDEX(Parameters!$X$6:$AA$6,1,MATCH($E267,Parameters!$X$3:$AA$3,0))))*(1-Inputs_General!$C$22*Parameters!$F$6))</f>
        <v>15.706882</v>
      </c>
      <c r="AG267" s="38" t="n">
        <f aca="false">MAX(AD267*(1+INDEX(Response_Table!$G$4:$G$21,MATCH($F267&amp;"|low",Response_Table!$A$4:$A$21,0))*$R267*INDEX(Parameters!$X$6:$AA$6,1,MATCH($E267,Parameters!$X$3:$AA$3,0))),AD267*(1+INDEX(Response_Table!$G$4:$G$21,MATCH($F267&amp;"|high",Response_Table!$A$4:$A$21,0))*$R267*INDEX(Parameters!$X$6:$AA$6,1,MATCH($E267,Parameters!$X$3:$AA$3,0))))*(1+Inputs_General!$C$22*Parameters!$F$6)</f>
        <v>23.433118</v>
      </c>
      <c r="AH267" s="39" t="n">
        <f aca="false">IF(AD267=0,0,AE267/AD267-1)</f>
        <v>0</v>
      </c>
      <c r="AI267" s="40" t="n">
        <f aca="false">Parameters!$E$7*IF($N267="V",Parameters!$I$7,IF($N267="F",Parameters!$J$7,Parameters!$K$7))*(1-Parameters!$L$7*$P267)*IF($D267="V1",Parameters!$M$7,IF($D267="V2",Parameters!$N$7,Parameters!$O$7))*POWER($Q267/Inputs_General!$C$26,-Inputs_General!$C$25)</f>
        <v>0.464685683730118</v>
      </c>
      <c r="AJ267" s="40" t="n">
        <f aca="false">AI267*(1+INDEX(Response_Table!$H$4:$H$21,MATCH($F267&amp;"|mid",Response_Table!$A$4:$A$21,0))*$R267*INDEX(Parameters!$X$7:$AA$7,1,MATCH($E267,Parameters!$X$3:$AA$3,0)))</f>
        <v>0.464685683730118</v>
      </c>
      <c r="AK267" s="40" t="n">
        <f aca="false">MAX(0,MIN(AI267*(1+INDEX(Response_Table!$H$4:$H$21,MATCH($F267&amp;"|low",Response_Table!$A$4:$A$21,0))*$R267*INDEX(Parameters!$X$7:$AA$7,1,MATCH($E267,Parameters!$X$3:$AA$3,0))),AI267*(1+INDEX(Response_Table!$H$4:$H$21,MATCH($F267&amp;"|high",Response_Table!$A$4:$A$21,0))*$R267*INDEX(Parameters!$X$7:$AA$7,1,MATCH($E267,Parameters!$X$3:$AA$3,0))))*(1-Inputs_General!$C$22*Parameters!$F$7))</f>
        <v>0.32709225277763</v>
      </c>
      <c r="AL267" s="40" t="n">
        <f aca="false">MAX(AI267*(1+INDEX(Response_Table!$H$4:$H$21,MATCH($F267&amp;"|low",Response_Table!$A$4:$A$21,0))*$R267*INDEX(Parameters!$X$7:$AA$7,1,MATCH($E267,Parameters!$X$3:$AA$3,0))),AI267*(1+INDEX(Response_Table!$H$4:$H$21,MATCH($F267&amp;"|high",Response_Table!$A$4:$A$21,0))*$R267*INDEX(Parameters!$X$7:$AA$7,1,MATCH($E267,Parameters!$X$3:$AA$3,0))))*(1+Inputs_General!$C$22*Parameters!$F$7)</f>
        <v>0.602279114682606</v>
      </c>
      <c r="AM267" s="39" t="n">
        <f aca="false">IF(AI267=0,0,AJ267/AI267-1)</f>
        <v>0</v>
      </c>
      <c r="AN267" s="37" t="n">
        <f aca="false">AI267*$Q267/Inputs_General!$C$13*1000</f>
        <v>4.38850387664553</v>
      </c>
      <c r="AO267" s="37" t="n">
        <f aca="false">AJ267*$Q267/Inputs_General!$C$13*1000*(1+Inputs_General!$C$21*$I267)</f>
        <v>4.38850387664553</v>
      </c>
      <c r="AP267" s="37" t="n">
        <f aca="false">AK267*$Q267/Inputs_General!$C$13*1000*(1+Inputs_General!$C$21*$H267)</f>
        <v>3.08906787877079</v>
      </c>
      <c r="AQ267" s="37" t="n">
        <f aca="false">AL267*$Q267/Inputs_General!$C$13*1000*(1+Inputs_General!$C$21*$J267)</f>
        <v>5.68793987452027</v>
      </c>
      <c r="AR267" s="39" t="n">
        <f aca="false">IF(AN267=0,0,AO267/AN267-1)</f>
        <v>0</v>
      </c>
      <c r="AS267" s="36" t="n">
        <f aca="false">Parameters!$E$9*IF($N267="V",Parameters!$I$9,IF($N267="F",Parameters!$J$9,Parameters!$K$9))*(1-Parameters!$L$9*$P267)*IF($D267="V1",Parameters!$M$9,IF($D267="V2",Parameters!$N$9,Parameters!$O$9))</f>
        <v>285</v>
      </c>
      <c r="AT267" s="36" t="n">
        <f aca="false">AS267*(1+INDEX(Response_Table!$I$4:$I$21,MATCH($F267&amp;"|mid",Response_Table!$A$4:$A$21,0))*$R267*INDEX(Parameters!$X$9:$AA$9,1,MATCH($E267,Parameters!$X$3:$AA$3,0)))</f>
        <v>285</v>
      </c>
      <c r="AU267" s="36" t="n">
        <f aca="false">MAX(0,MIN(AS267*(1+INDEX(Response_Table!$I$4:$I$21,MATCH($F267&amp;"|low",Response_Table!$A$4:$A$21,0))*$R267*INDEX(Parameters!$X$9:$AA$9,1,MATCH($E267,Parameters!$X$3:$AA$3,0))),AS267*(1+INDEX(Response_Table!$I$4:$I$21,MATCH($F267&amp;"|high",Response_Table!$A$4:$A$21,0))*$R267*INDEX(Parameters!$X$9:$AA$9,1,MATCH($E267,Parameters!$X$3:$AA$3,0))))*(1-Inputs_General!$C$22*Parameters!$F$9))</f>
        <v>256.8705</v>
      </c>
      <c r="AV267" s="36" t="n">
        <f aca="false">MAX(AS267*(1+INDEX(Response_Table!$I$4:$I$21,MATCH($F267&amp;"|low",Response_Table!$A$4:$A$21,0))*$R267*INDEX(Parameters!$X$9:$AA$9,1,MATCH($E267,Parameters!$X$3:$AA$3,0))),AS267*(1+INDEX(Response_Table!$I$4:$I$21,MATCH($F267&amp;"|high",Response_Table!$A$4:$A$21,0))*$R267*INDEX(Parameters!$X$9:$AA$9,1,MATCH($E267,Parameters!$X$3:$AA$3,0))))*(1+Inputs_General!$C$22*Parameters!$F$9)</f>
        <v>313.1295</v>
      </c>
      <c r="AW267" s="39" t="n">
        <f aca="false">IF(AS267=0,0,AT267/AS267-1)</f>
        <v>0</v>
      </c>
      <c r="AX267" s="37" t="n">
        <f aca="false">INDEX(Context!$AB$4:$AB$51,$K267)</f>
        <v>0.458305270557464</v>
      </c>
      <c r="AY267" s="37" t="n">
        <f aca="false">AX267*(1+INDEX(Response_Table!$J$4:$J$21,MATCH($F267&amp;"|mid",Response_Table!$A$4:$A$21,0))*$R267*INDEX(Parameters!$X$10:$AA$10,1,MATCH($E267,Parameters!$X$3:$AA$3,0)))</f>
        <v>0.458305270557464</v>
      </c>
      <c r="AZ267" s="37" t="n">
        <f aca="false">MAX(0,MIN(AX267*(1+INDEX(Response_Table!$J$4:$J$21,MATCH($F267&amp;"|low",Response_Table!$A$4:$A$21,0))*$R267*INDEX(Parameters!$X$10:$AA$10,1,MATCH($E267,Parameters!$X$3:$AA$3,0))),AX267*(1+INDEX(Response_Table!$J$4:$J$21,MATCH($F267&amp;"|high",Response_Table!$A$4:$A$21,0))*$R267*INDEX(Parameters!$X$10:$AA$10,1,MATCH($E267,Parameters!$X$3:$AA$3,0))))*(1-Inputs_General!$C$22*Parameters!$F$10))</f>
        <v>0.367835810149421</v>
      </c>
      <c r="BA267" s="37" t="n">
        <f aca="false">MAX(AX267*(1+INDEX(Response_Table!$J$4:$J$21,MATCH($F267&amp;"|low",Response_Table!$A$4:$A$21,0))*$R267*INDEX(Parameters!$X$10:$AA$10,1,MATCH($E267,Parameters!$X$3:$AA$3,0))),AX267*(1+INDEX(Response_Table!$J$4:$J$21,MATCH($F267&amp;"|high",Response_Table!$A$4:$A$21,0))*$R267*INDEX(Parameters!$X$10:$AA$10,1,MATCH($E267,Parameters!$X$3:$AA$3,0))))*(1+Inputs_General!$C$22*Parameters!$F$10)</f>
        <v>0.548774730965507</v>
      </c>
      <c r="BB267" s="39" t="n">
        <f aca="false">IF(AX267=0,0,AY267/AX267-1)</f>
        <v>0</v>
      </c>
      <c r="BC267" s="40" t="n">
        <f aca="false">Parameters!$E$11*IF($N267="V",Parameters!$I$11,IF($N267="F",Parameters!$J$11,Parameters!$K$11))*(1-Parameters!$L$11*$P267)*IF($D267="V1",Parameters!$M$11,IF($D267="V2",Parameters!$N$11,Parameters!$O$11))</f>
        <v>1.223125</v>
      </c>
      <c r="BD267" s="40" t="n">
        <f aca="false">BC267*(1+INDEX(Response_Table!$K$4:$K$21,MATCH($F267&amp;"|mid",Response_Table!$A$4:$A$21,0))*$R267*INDEX(Parameters!$X$11:$AA$11,1,MATCH($E267,Parameters!$X$3:$AA$3,0)))</f>
        <v>1.223125</v>
      </c>
      <c r="BE267" s="40" t="n">
        <f aca="false">MAX(0,MIN(BC267*(1+INDEX(Response_Table!$K$4:$K$21,MATCH($F267&amp;"|low",Response_Table!$A$4:$A$21,0))*$R267*INDEX(Parameters!$X$11:$AA$11,1,MATCH($E267,Parameters!$X$3:$AA$3,0))),BC267*(1+INDEX(Response_Table!$K$4:$K$21,MATCH($F267&amp;"|high",Response_Table!$A$4:$A$21,0))*$R267*INDEX(Parameters!$X$11:$AA$11,1,MATCH($E267,Parameters!$X$3:$AA$3,0))))*(1-Inputs_General!$C$22*Parameters!$F$11))</f>
        <v>1.0219209375</v>
      </c>
      <c r="BF267" s="40" t="n">
        <f aca="false">MAX(BC267*(1+INDEX(Response_Table!$K$4:$K$21,MATCH($F267&amp;"|low",Response_Table!$A$4:$A$21,0))*$R267*INDEX(Parameters!$X$11:$AA$11,1,MATCH($E267,Parameters!$X$3:$AA$3,0))),BC267*(1+INDEX(Response_Table!$K$4:$K$21,MATCH($F267&amp;"|high",Response_Table!$A$4:$A$21,0))*$R267*INDEX(Parameters!$X$11:$AA$11,1,MATCH($E267,Parameters!$X$3:$AA$3,0))))*(1+Inputs_General!$C$22*Parameters!$F$11)</f>
        <v>1.4243290625</v>
      </c>
      <c r="BG267" s="39" t="n">
        <f aca="false">IF(BC267=0,0,BD267/BC267-1)</f>
        <v>0</v>
      </c>
      <c r="BH267" s="40" t="n">
        <f aca="false">Parameters!$E$12*IF($N267="V",Parameters!$I$12,IF($N267="F",Parameters!$J$12,Parameters!$K$12))*(1-Parameters!$L$12*$P267)*IF($D267="V1",Parameters!$M$12,IF($D267="V2",Parameters!$N$12,Parameters!$O$12))</f>
        <v>0.440325</v>
      </c>
      <c r="BI267" s="40" t="n">
        <f aca="false">BH267*(1+INDEX(Response_Table!$L$4:$L$21,MATCH($F267&amp;"|mid",Response_Table!$A$4:$A$21,0))*$R267*INDEX(Parameters!$X$12:$AA$12,1,MATCH($E267,Parameters!$X$3:$AA$3,0)))</f>
        <v>0.440325</v>
      </c>
      <c r="BJ267" s="40" t="n">
        <f aca="false">MAX(0,MIN(BH267*(1+INDEX(Response_Table!$L$4:$L$21,MATCH($F267&amp;"|low",Response_Table!$A$4:$A$21,0))*$R267*INDEX(Parameters!$X$12:$AA$12,1,MATCH($E267,Parameters!$X$3:$AA$3,0))),BH267*(1+INDEX(Response_Table!$L$4:$L$21,MATCH($F267&amp;"|high",Response_Table!$A$4:$A$21,0))*$R267*INDEX(Parameters!$X$12:$AA$12,1,MATCH($E267,Parameters!$X$3:$AA$3,0))))*(1-Inputs_General!$C$22*Parameters!$F$12))</f>
        <v>0.353404845</v>
      </c>
      <c r="BK267" s="40" t="n">
        <f aca="false">MAX(BH267*(1+INDEX(Response_Table!$L$4:$L$21,MATCH($F267&amp;"|low",Response_Table!$A$4:$A$21,0))*$R267*INDEX(Parameters!$X$12:$AA$12,1,MATCH($E267,Parameters!$X$3:$AA$3,0))),BH267*(1+INDEX(Response_Table!$L$4:$L$21,MATCH($F267&amp;"|high",Response_Table!$A$4:$A$21,0))*$R267*INDEX(Parameters!$X$12:$AA$12,1,MATCH($E267,Parameters!$X$3:$AA$3,0))))*(1+Inputs_General!$C$22*Parameters!$F$12)</f>
        <v>0.527245155</v>
      </c>
      <c r="BL267" s="39" t="n">
        <f aca="false">IF(BH267=0,0,BI267/BH267-1)</f>
        <v>0</v>
      </c>
      <c r="BM267" s="40" t="n">
        <f aca="false">Parameters!$E$13*IF($N267="V",Parameters!$I$13,IF($N267="F",Parameters!$J$13,Parameters!$K$13))*(1-Parameters!$L$13*$P267)*IF($D267="V1",Parameters!$M$13,IF($D267="V2",Parameters!$N$13,Parameters!$O$13))</f>
        <v>0.29355</v>
      </c>
      <c r="BN267" s="40" t="n">
        <f aca="false">BM267*(1+INDEX(Response_Table!$M$4:$M$21,MATCH($F267&amp;"|mid",Response_Table!$A$4:$A$21,0))*$R267*INDEX(Parameters!$X$13:$AA$13,1,MATCH($E267,Parameters!$X$3:$AA$3,0)))</f>
        <v>0.29355</v>
      </c>
      <c r="BO267" s="40" t="n">
        <f aca="false">MAX(0,MIN(BM267*(1+INDEX(Response_Table!$M$4:$M$21,MATCH($F267&amp;"|low",Response_Table!$A$4:$A$21,0))*$R267*INDEX(Parameters!$X$13:$AA$13,1,MATCH($E267,Parameters!$X$3:$AA$3,0))),BM267*(1+INDEX(Response_Table!$M$4:$M$21,MATCH($F267&amp;"|high",Response_Table!$A$4:$A$21,0))*$R267*INDEX(Parameters!$X$13:$AA$13,1,MATCH($E267,Parameters!$X$3:$AA$3,0))))*(1-Inputs_General!$C$22*Parameters!$F$13))</f>
        <v>0.23560323</v>
      </c>
      <c r="BP267" s="40" t="n">
        <f aca="false">MAX(BM267*(1+INDEX(Response_Table!$M$4:$M$21,MATCH($F267&amp;"|low",Response_Table!$A$4:$A$21,0))*$R267*INDEX(Parameters!$X$13:$AA$13,1,MATCH($E267,Parameters!$X$3:$AA$3,0))),BM267*(1+INDEX(Response_Table!$M$4:$M$21,MATCH($F267&amp;"|high",Response_Table!$A$4:$A$21,0))*$R267*INDEX(Parameters!$X$13:$AA$13,1,MATCH($E267,Parameters!$X$3:$AA$3,0))))*(1+Inputs_General!$C$22*Parameters!$F$13)</f>
        <v>0.35149677</v>
      </c>
      <c r="BQ267" s="39" t="n">
        <f aca="false">IF(BM267=0,0,BN267/BM267-1)</f>
        <v>0</v>
      </c>
      <c r="BR267" s="38" t="n">
        <f aca="false">Parameters!$E$14*IF($N267="V",Parameters!$I$14,IF($N267="F",Parameters!$J$14,Parameters!$K$14))*(1-Parameters!$L$14*$P267)*IF($D267="V1",Parameters!$M$14,IF($D267="V2",Parameters!$N$14,Parameters!$O$14))*INDEX(Context!$AC$4:$AC$51,$K267)</f>
        <v>23.1</v>
      </c>
      <c r="BS267" s="38" t="n">
        <f aca="false">BR267*(1+INDEX(Response_Table!$N$4:$N$21,MATCH($F267&amp;"|mid",Response_Table!$A$4:$A$21,0))*$R267*INDEX(Parameters!$X$14:$AA$14,1,MATCH($E267,Parameters!$X$3:$AA$3,0)))</f>
        <v>23.1</v>
      </c>
      <c r="BT267" s="38" t="n">
        <f aca="false">MAX(0,MIN(BR267*(1+INDEX(Response_Table!$N$4:$N$21,MATCH($F267&amp;"|low",Response_Table!$A$4:$A$21,0))*$R267*INDEX(Parameters!$X$14:$AA$14,1,MATCH($E267,Parameters!$X$3:$AA$3,0))),BR267*(1+INDEX(Response_Table!$N$4:$N$21,MATCH($F267&amp;"|high",Response_Table!$A$4:$A$21,0))*$R267*INDEX(Parameters!$X$14:$AA$14,1,MATCH($E267,Parameters!$X$3:$AA$3,0))))*(1-Inputs_General!$C$22*Parameters!$F$14))</f>
        <v>11.70015</v>
      </c>
      <c r="BU267" s="38" t="n">
        <f aca="false">MAX(BR267*(1+INDEX(Response_Table!$N$4:$N$21,MATCH($F267&amp;"|low",Response_Table!$A$4:$A$21,0))*$R267*INDEX(Parameters!$X$14:$AA$14,1,MATCH($E267,Parameters!$X$3:$AA$3,0))),BR267*(1+INDEX(Response_Table!$N$4:$N$21,MATCH($F267&amp;"|high",Response_Table!$A$4:$A$21,0))*$R267*INDEX(Parameters!$X$14:$AA$14,1,MATCH($E267,Parameters!$X$3:$AA$3,0))))*(1+Inputs_General!$C$22*Parameters!$F$14)</f>
        <v>34.49985</v>
      </c>
      <c r="BV267" s="39" t="n">
        <f aca="false">IF(BR267=0,0,BS267/BR267-1)</f>
        <v>0</v>
      </c>
      <c r="BW267" s="37" t="n">
        <f aca="false">Parameters!$E$15*IF($N267="V",Parameters!$I$15,IF($N267="F",Parameters!$J$15,Parameters!$K$15))*(1-Parameters!$L$15*$P267)*IF($D267="V1",Parameters!$M$15,IF($D267="V2",Parameters!$N$15,Parameters!$O$15))</f>
        <v>10.8</v>
      </c>
      <c r="BX267" s="37" t="n">
        <f aca="false">BW267*(1+INDEX(Response_Table!$O$4:$O$21,MATCH($F267&amp;"|mid",Response_Table!$A$4:$A$21,0))*$R267*INDEX(Parameters!$X$15:$AA$15,1,MATCH($E267,Parameters!$X$3:$AA$3,0)))</f>
        <v>10.8</v>
      </c>
      <c r="BY267" s="37" t="n">
        <f aca="false">MAX(0,MIN(BW267*(1+INDEX(Response_Table!$O$4:$O$21,MATCH($F267&amp;"|low",Response_Table!$A$4:$A$21,0))*$R267*INDEX(Parameters!$X$15:$AA$15,1,MATCH($E267,Parameters!$X$3:$AA$3,0))),BW267*(1+INDEX(Response_Table!$O$4:$O$21,MATCH($F267&amp;"|high",Response_Table!$A$4:$A$21,0))*$R267*INDEX(Parameters!$X$15:$AA$15,1,MATCH($E267,Parameters!$X$3:$AA$3,0))))*(1-Inputs_General!$C$22*Parameters!$F$15))</f>
        <v>8.66808</v>
      </c>
      <c r="BZ267" s="37" t="n">
        <f aca="false">MAX(BW267*(1+INDEX(Response_Table!$O$4:$O$21,MATCH($F267&amp;"|low",Response_Table!$A$4:$A$21,0))*$R267*INDEX(Parameters!$X$15:$AA$15,1,MATCH($E267,Parameters!$X$3:$AA$3,0))),BW267*(1+INDEX(Response_Table!$O$4:$O$21,MATCH($F267&amp;"|high",Response_Table!$A$4:$A$21,0))*$R267*INDEX(Parameters!$X$15:$AA$15,1,MATCH($E267,Parameters!$X$3:$AA$3,0))))*(1+Inputs_General!$C$22*Parameters!$F$15)</f>
        <v>12.93192</v>
      </c>
      <c r="CA267" s="39" t="n">
        <f aca="false">IF(BW267=0,0,BX267/BW267-1)</f>
        <v>0</v>
      </c>
      <c r="CB267" s="40" t="n">
        <f aca="false">BD267+BI267</f>
        <v>1.66345</v>
      </c>
      <c r="CC267" s="37" t="n">
        <f aca="false">BD267/BI267</f>
        <v>2.77777777777778</v>
      </c>
      <c r="CD267" s="40" t="n">
        <f aca="false">BN267/CB267</f>
        <v>0.176470588235294</v>
      </c>
      <c r="CE267" s="37" t="n">
        <f aca="false">AE267/AO267</f>
        <v>4.45937853767122</v>
      </c>
      <c r="CF267" s="38" t="n">
        <f aca="false">AE267/AJ267</f>
        <v>42.1144887505636</v>
      </c>
      <c r="CG267" s="38" t="n">
        <f aca="false">INDEX(Context!$V$4:$V$51,$K267)</f>
        <v>22.6257142857143</v>
      </c>
      <c r="CH267" s="38" t="n">
        <f aca="false">INDEX(Context!$Y$4:$Y$51,$K267)</f>
        <v>21.3177449518561</v>
      </c>
      <c r="CI267" s="38" t="n">
        <f aca="false">INDEX(Context!$Z$4:$Z$51,$K267)</f>
        <v>26.6257142857143</v>
      </c>
      <c r="CJ267" s="37" t="n">
        <f aca="false">INDEX(Context!$AA$4:$AA$51,$K267)</f>
        <v>0.12</v>
      </c>
      <c r="CK267" s="37" t="n">
        <f aca="false">MAX(0,MIN(1,1-(1-CJ267)*AO267/AN267))</f>
        <v>0.12</v>
      </c>
      <c r="CL267" s="38" t="n">
        <f aca="false">CH267+CK267*(CI267-CH267)</f>
        <v>21.954701271919</v>
      </c>
      <c r="CM267" s="38" t="n">
        <f aca="false">CH267+MAX(0,MIN(1,1-(1-CJ267)*AQ267/AN267))*(CI267-CH267)</f>
        <v>21.3177449518561</v>
      </c>
      <c r="CN267" s="38" t="n">
        <f aca="false">CH267+MAX(0,MIN(1,1-(1-CJ267)*AP267/AN267))*(CI267-CH267)</f>
        <v>23.3377882253038</v>
      </c>
      <c r="CO267" s="38" t="n">
        <f aca="false">CL267-CG267</f>
        <v>-0.67101301379525</v>
      </c>
      <c r="CP267" s="38" t="n">
        <f aca="false">CL267-(CH267+CJ267*(CI267-CH267))</f>
        <v>0</v>
      </c>
      <c r="CQ267" s="40" t="n">
        <f aca="false">CL267/CG267</f>
        <v>0.970342902534621</v>
      </c>
      <c r="CR267" s="37" t="n">
        <f aca="false">IF(CL267-CH267&lt;=0,"n/a",(CI267-CL267)/(CL267-CH267))</f>
        <v>7.33333333333333</v>
      </c>
      <c r="CS267" s="37" t="n">
        <f aca="false">IF(CI267-CL267&lt;=0,"n/a",(CL267-CH267)/(CI267-CL267))</f>
        <v>0.136363636363636</v>
      </c>
      <c r="CT267" s="37" t="n">
        <f aca="false">Inputs_General!$C$23+Inputs_General!$C$24*$I267</f>
        <v>0.6</v>
      </c>
      <c r="CU267" s="38" t="n">
        <f aca="false">3.29*CT267</f>
        <v>1.974</v>
      </c>
    </row>
    <row r="268" customFormat="false" ht="15" hidden="false" customHeight="false" outlineLevel="0" collapsed="false">
      <c r="A268" s="9" t="str">
        <f aca="false">B268&amp;"|"&amp;E268&amp;"|"&amp;F268</f>
        <v>D4V3|11/02/2026|Very low</v>
      </c>
      <c r="B268" s="7" t="s">
        <v>354</v>
      </c>
      <c r="C268" s="9" t="s">
        <v>133</v>
      </c>
      <c r="D268" s="9" t="s">
        <v>150</v>
      </c>
      <c r="E268" s="9" t="s">
        <v>158</v>
      </c>
      <c r="F268" s="7" t="s">
        <v>277</v>
      </c>
      <c r="G268" s="9" t="s">
        <v>278</v>
      </c>
      <c r="H268" s="41" t="n">
        <f aca="false">INDEX(Severity_Classes!$C$4:$C$9,MATCH(F268,Severity_Classes!$A$4:$A$9,0))</f>
        <v>0.01</v>
      </c>
      <c r="I268" s="41" t="n">
        <f aca="false">INDEX(Severity_Classes!$D$4:$D$9,MATCH(F268,Severity_Classes!$A$4:$A$9,0))</f>
        <v>0.03</v>
      </c>
      <c r="J268" s="41" t="n">
        <f aca="false">INDEX(Severity_Classes!$E$4:$E$9,MATCH(F268,Severity_Classes!$A$4:$A$9,0))</f>
        <v>0.05</v>
      </c>
      <c r="K268" s="42" t="n">
        <f aca="false">MATCH(B268&amp;"|"&amp;E268,Context!$A$4:$A$51,0)</f>
        <v>45</v>
      </c>
      <c r="L268" s="42" t="n">
        <f aca="false">INDEX(Context!$H$4:$H$51,K268)</f>
        <v>33</v>
      </c>
      <c r="M268" s="42" t="n">
        <f aca="false">INDEX(Context!$I$4:$I$51,K268)</f>
        <v>6</v>
      </c>
      <c r="N268" s="9" t="str">
        <f aca="false">INDEX(Context!$L$4:$L$51,K268)</f>
        <v>V</v>
      </c>
      <c r="O268" s="9" t="str">
        <f aca="false">INDEX(Context!$M$4:$M$51,K268)</f>
        <v>3rd fully expanded leaf from top</v>
      </c>
      <c r="P268" s="43" t="n">
        <f aca="false">INDEX(Context!$R$4:$R$51,K268)</f>
        <v>0</v>
      </c>
      <c r="Q268" s="43" t="n">
        <f aca="false">INDEX(Context!$U$4:$U$51,K268)</f>
        <v>0.937791824040773</v>
      </c>
      <c r="R268" s="43" t="n">
        <f aca="false">INDEX(Context!$AD$4:$AD$51,K268)</f>
        <v>0.85</v>
      </c>
      <c r="S268" s="9" t="str">
        <f aca="false">INDEX(Context!$AI$4:$AN$51,K268,MATCH(F268,Severity_Classes!$A$4:$A$9,0))</f>
        <v>Likely</v>
      </c>
      <c r="T268" s="44" t="n">
        <f aca="false">Parameters!$E$4*IF($N268="V",Parameters!$I$4,IF($N268="F",Parameters!$J$4,Parameters!$K$4))*(1-Parameters!$L$4*$P268)*IF($D268="V1",Parameters!$M$4,IF($D268="V2",Parameters!$N$4,Parameters!$O$4))</f>
        <v>86</v>
      </c>
      <c r="U268" s="44" t="n">
        <f aca="false">MIN(100,T268*(1+INDEX(Response_Table!$E$4:$E$21,MATCH($F268&amp;"|mid",Response_Table!$A$4:$A$21,0))*$R268*INDEX(Parameters!$X$4:$AA$4,1,MATCH($E268,Parameters!$X$3:$AA$3,0))))</f>
        <v>85.8424205668334</v>
      </c>
      <c r="V268" s="44" t="n">
        <f aca="false">MAX(0,MIN(T268*(1+INDEX(Response_Table!$E$4:$E$21,MATCH($F268&amp;"|low",Response_Table!$A$4:$A$21,0))*$R268*INDEX(Parameters!$X$4:$AA$4,1,MATCH($E268,Parameters!$X$3:$AA$3,0))),T268*(1+INDEX(Response_Table!$E$4:$E$21,MATCH($F268&amp;"|high",Response_Table!$A$4:$A$21,0))*$R268*INDEX(Parameters!$X$4:$AA$4,1,MATCH($E268,Parameters!$X$3:$AA$3,0))))*(1-Inputs_General!$C$22*Parameters!$F$4))</f>
        <v>80.076411740872</v>
      </c>
      <c r="W268" s="44" t="n">
        <f aca="false">MIN(100,MAX(T268*(1+INDEX(Response_Table!$E$4:$E$21,MATCH($F268&amp;"|low",Response_Table!$A$4:$A$21,0))*$R268*INDEX(Parameters!$X$4:$AA$4,1,MATCH($E268,Parameters!$X$3:$AA$3,0))),T268*(1+INDEX(Response_Table!$E$4:$E$21,MATCH($F268&amp;"|high",Response_Table!$A$4:$A$21,0))*$R268*INDEX(Parameters!$X$4:$AA$4,1,MATCH($E268,Parameters!$X$3:$AA$3,0))))*(1+Inputs_General!$C$22*Parameters!$F$4))</f>
        <v>91.6068947319483</v>
      </c>
      <c r="X268" s="45" t="n">
        <f aca="false">IF(T268=0,0,U268/T268-1)</f>
        <v>-0.00183231899030967</v>
      </c>
      <c r="Y268" s="44" t="n">
        <f aca="false">Parameters!$E$5*IF($N268="V",Parameters!$I$5,IF($N268="F",Parameters!$J$5,Parameters!$K$5))*(1-Parameters!$L$5*$P268)*IF($D268="V1",Parameters!$M$5,IF($D268="V2",Parameters!$N$5,Parameters!$O$5))</f>
        <v>72</v>
      </c>
      <c r="Z268" s="44" t="n">
        <f aca="false">MIN(100,Y268*(1+INDEX(Response_Table!$F$4:$F$21,MATCH($F268&amp;"|mid",Response_Table!$A$4:$A$21,0))*$R268*INDEX(Parameters!$X$5:$AA$5,1,MATCH($E268,Parameters!$X$3:$AA$3,0))))</f>
        <v>71.5788601360602</v>
      </c>
      <c r="AA268" s="44" t="n">
        <f aca="false">MAX(0,MIN(Y268*(1+INDEX(Response_Table!$F$4:$F$21,MATCH($F268&amp;"|low",Response_Table!$A$4:$A$21,0))*$R268*INDEX(Parameters!$X$5:$AA$5,1,MATCH($E268,Parameters!$X$3:$AA$3,0))),Y268*(1+INDEX(Response_Table!$F$4:$F$21,MATCH($F268&amp;"|high",Response_Table!$A$4:$A$21,0))*$R268*INDEX(Parameters!$X$5:$AA$5,1,MATCH($E268,Parameters!$X$3:$AA$3,0))))*(1-Inputs_General!$C$22*Parameters!$F$5))</f>
        <v>63.0296399455958</v>
      </c>
      <c r="AB268" s="44" t="n">
        <f aca="false">MIN(100,MAX(Y268*(1+INDEX(Response_Table!$F$4:$F$21,MATCH($F268&amp;"|low",Response_Table!$A$4:$A$21,0))*$R268*INDEX(Parameters!$X$5:$AA$5,1,MATCH($E268,Parameters!$X$3:$AA$3,0))),Y268*(1+INDEX(Response_Table!$F$4:$F$21,MATCH($F268&amp;"|high",Response_Table!$A$4:$A$21,0))*$R268*INDEX(Parameters!$X$5:$AA$5,1,MATCH($E268,Parameters!$X$3:$AA$3,0))))*(1+Inputs_General!$C$22*Parameters!$F$5))</f>
        <v>80.1476551225814</v>
      </c>
      <c r="AC268" s="45" t="n">
        <f aca="false">IF(Y268=0,0,Z268/Y268-1)</f>
        <v>-0.00584916477694142</v>
      </c>
      <c r="AD268" s="44" t="n">
        <f aca="false">Parameters!$E$6*IF($N268="V",Parameters!$I$6,IF($N268="F",Parameters!$J$6,Parameters!$K$6))*(1-Parameters!$L$6*$P268)*IF($D268="V1",Parameters!$M$6,IF($D268="V2",Parameters!$N$6,Parameters!$O$6))</f>
        <v>19.57</v>
      </c>
      <c r="AE268" s="44" t="n">
        <f aca="false">AD268*(1+INDEX(Response_Table!$G$4:$G$21,MATCH($F268&amp;"|mid",Response_Table!$A$4:$A$21,0))*$R268*INDEX(Parameters!$X$6:$AA$6,1,MATCH($E268,Parameters!$X$3:$AA$3,0)))</f>
        <v>18.3357965695887</v>
      </c>
      <c r="AF268" s="44" t="n">
        <f aca="false">MAX(0,MIN(AD268*(1+INDEX(Response_Table!$G$4:$G$21,MATCH($F268&amp;"|low",Response_Table!$A$4:$A$21,0))*$R268*INDEX(Parameters!$X$6:$AA$6,1,MATCH($E268,Parameters!$X$3:$AA$3,0))),AD268*(1+INDEX(Response_Table!$G$4:$G$21,MATCH($F268&amp;"|high",Response_Table!$A$4:$A$21,0))*$R268*INDEX(Parameters!$X$6:$AA$6,1,MATCH($E268,Parameters!$X$3:$AA$3,0))))*(1-Inputs_General!$C$22*Parameters!$F$6))</f>
        <v>14.124956891813</v>
      </c>
      <c r="AG268" s="44" t="n">
        <f aca="false">MAX(AD268*(1+INDEX(Response_Table!$G$4:$G$21,MATCH($F268&amp;"|low",Response_Table!$A$4:$A$21,0))*$R268*INDEX(Parameters!$X$6:$AA$6,1,MATCH($E268,Parameters!$X$3:$AA$3,0))),AD268*(1+INDEX(Response_Table!$G$4:$G$21,MATCH($F268&amp;"|high",Response_Table!$A$4:$A$21,0))*$R268*INDEX(Parameters!$X$6:$AA$6,1,MATCH($E268,Parameters!$X$3:$AA$3,0))))*(1+Inputs_General!$C$22*Parameters!$F$6)</f>
        <v>22.9186794730768</v>
      </c>
      <c r="AH268" s="45" t="n">
        <f aca="false">IF(AD268=0,0,AE268/AD268-1)</f>
        <v>-0.0630660925095196</v>
      </c>
      <c r="AI268" s="46" t="n">
        <f aca="false">Parameters!$E$7*IF($N268="V",Parameters!$I$7,IF($N268="F",Parameters!$J$7,Parameters!$K$7))*(1-Parameters!$L$7*$P268)*IF($D268="V1",Parameters!$M$7,IF($D268="V2",Parameters!$N$7,Parameters!$O$7))*POWER($Q268/Inputs_General!$C$26,-Inputs_General!$C$25)</f>
        <v>0.464685683730118</v>
      </c>
      <c r="AJ268" s="46" t="n">
        <f aca="false">AI268*(1+INDEX(Response_Table!$H$4:$H$21,MATCH($F268&amp;"|mid",Response_Table!$A$4:$A$21,0))*$R268*INDEX(Parameters!$X$7:$AA$7,1,MATCH($E268,Parameters!$X$3:$AA$3,0)))</f>
        <v>0.447007917589242</v>
      </c>
      <c r="AK268" s="46" t="n">
        <f aca="false">MAX(0,MIN(AI268*(1+INDEX(Response_Table!$H$4:$H$21,MATCH($F268&amp;"|low",Response_Table!$A$4:$A$21,0))*$R268*INDEX(Parameters!$X$7:$AA$7,1,MATCH($E268,Parameters!$X$3:$AA$3,0))),AI268*(1+INDEX(Response_Table!$H$4:$H$21,MATCH($F268&amp;"|high",Response_Table!$A$4:$A$21,0))*$R268*INDEX(Parameters!$X$7:$AA$7,1,MATCH($E268,Parameters!$X$3:$AA$3,0))))*(1-Inputs_General!$C$22*Parameters!$F$7))</f>
        <v>0.306954139708623</v>
      </c>
      <c r="AL268" s="46" t="n">
        <f aca="false">MAX(AI268*(1+INDEX(Response_Table!$H$4:$H$21,MATCH($F268&amp;"|low",Response_Table!$A$4:$A$21,0))*$R268*INDEX(Parameters!$X$7:$AA$7,1,MATCH($E268,Parameters!$X$3:$AA$3,0))),AI268*(1+INDEX(Response_Table!$H$4:$H$21,MATCH($F268&amp;"|high",Response_Table!$A$4:$A$21,0))*$R268*INDEX(Parameters!$X$7:$AA$7,1,MATCH($E268,Parameters!$X$3:$AA$3,0))))*(1+Inputs_General!$C$22*Parameters!$F$7)</f>
        <v>0.594411497935526</v>
      </c>
      <c r="AM268" s="45" t="n">
        <f aca="false">IF(AI268=0,0,AJ268/AI268-1)</f>
        <v>-0.0380424161101172</v>
      </c>
      <c r="AN268" s="43" t="n">
        <f aca="false">AI268*$Q268/Inputs_General!$C$13*1000</f>
        <v>4.38850387664553</v>
      </c>
      <c r="AO268" s="43" t="n">
        <f aca="false">AJ268*$Q268/Inputs_General!$C$13*1000*(1+Inputs_General!$C$21*$I268)</f>
        <v>4.25321624546484</v>
      </c>
      <c r="AP268" s="43" t="n">
        <f aca="false">AK268*$Q268/Inputs_General!$C$13*1000*(1+Inputs_General!$C$21*$H268)</f>
        <v>2.90613021430666</v>
      </c>
      <c r="AQ268" s="43" t="n">
        <f aca="false">AL268*$Q268/Inputs_General!$C$13*1000*(1+Inputs_General!$C$21*$J268)</f>
        <v>5.68380836773174</v>
      </c>
      <c r="AR268" s="45" t="n">
        <f aca="false">IF(AN268=0,0,AO268/AN268-1)</f>
        <v>-0.0308277342309431</v>
      </c>
      <c r="AS268" s="42" t="n">
        <f aca="false">Parameters!$E$9*IF($N268="V",Parameters!$I$9,IF($N268="F",Parameters!$J$9,Parameters!$K$9))*(1-Parameters!$L$9*$P268)*IF($D268="V1",Parameters!$M$9,IF($D268="V2",Parameters!$N$9,Parameters!$O$9))</f>
        <v>285</v>
      </c>
      <c r="AT268" s="42" t="n">
        <f aca="false">AS268*(1+INDEX(Response_Table!$I$4:$I$21,MATCH($F268&amp;"|mid",Response_Table!$A$4:$A$21,0))*$R268*INDEX(Parameters!$X$9:$AA$9,1,MATCH($E268,Parameters!$X$3:$AA$3,0)))</f>
        <v>291.574445809265</v>
      </c>
      <c r="AU268" s="42" t="n">
        <f aca="false">MAX(0,MIN(AS268*(1+INDEX(Response_Table!$I$4:$I$21,MATCH($F268&amp;"|low",Response_Table!$A$4:$A$21,0))*$R268*INDEX(Parameters!$X$9:$AA$9,1,MATCH($E268,Parameters!$X$3:$AA$3,0))),AS268*(1+INDEX(Response_Table!$I$4:$I$21,MATCH($F268&amp;"|high",Response_Table!$A$4:$A$21,0))*$R268*INDEX(Parameters!$X$9:$AA$9,1,MATCH($E268,Parameters!$X$3:$AA$3,0))))*(1-Inputs_General!$C$22*Parameters!$F$9))</f>
        <v>258.925195419526</v>
      </c>
      <c r="AV268" s="42" t="n">
        <f aca="false">MAX(AS268*(1+INDEX(Response_Table!$I$4:$I$21,MATCH($F268&amp;"|low",Response_Table!$A$4:$A$21,0))*$R268*INDEX(Parameters!$X$9:$AA$9,1,MATCH($E268,Parameters!$X$3:$AA$3,0))),AS268*(1+INDEX(Response_Table!$I$4:$I$21,MATCH($F268&amp;"|high",Response_Table!$A$4:$A$21,0))*$R268*INDEX(Parameters!$X$9:$AA$9,1,MATCH($E268,Parameters!$X$3:$AA$3,0))))*(1+Inputs_General!$C$22*Parameters!$F$9)</f>
        <v>324.70869272543</v>
      </c>
      <c r="AW268" s="45" t="n">
        <f aca="false">IF(AS268=0,0,AT268/AS268-1)</f>
        <v>0.0230682309096999</v>
      </c>
      <c r="AX268" s="43" t="n">
        <f aca="false">INDEX(Context!$AB$4:$AB$51,$K268)</f>
        <v>0.458305270557464</v>
      </c>
      <c r="AY268" s="43" t="n">
        <f aca="false">AX268*(1+INDEX(Response_Table!$J$4:$J$21,MATCH($F268&amp;"|mid",Response_Table!$A$4:$A$21,0))*$R268*INDEX(Parameters!$X$10:$AA$10,1,MATCH($E268,Parameters!$X$3:$AA$3,0)))</f>
        <v>0.451971923332085</v>
      </c>
      <c r="AZ268" s="43" t="n">
        <f aca="false">MAX(0,MIN(AX268*(1+INDEX(Response_Table!$J$4:$J$21,MATCH($F268&amp;"|low",Response_Table!$A$4:$A$21,0))*$R268*INDEX(Parameters!$X$10:$AA$10,1,MATCH($E268,Parameters!$X$3:$AA$3,0))),AX268*(1+INDEX(Response_Table!$J$4:$J$21,MATCH($F268&amp;"|high",Response_Table!$A$4:$A$21,0))*$R268*INDEX(Parameters!$X$10:$AA$10,1,MATCH($E268,Parameters!$X$3:$AA$3,0))))*(1-Inputs_General!$C$22*Parameters!$F$10))</f>
        <v>0.359569631904386</v>
      </c>
      <c r="BA268" s="43" t="n">
        <f aca="false">MAX(AX268*(1+INDEX(Response_Table!$J$4:$J$21,MATCH($F268&amp;"|low",Response_Table!$A$4:$A$21,0))*$R268*INDEX(Parameters!$X$10:$AA$10,1,MATCH($E268,Parameters!$X$3:$AA$3,0))),AX268*(1+INDEX(Response_Table!$J$4:$J$21,MATCH($F268&amp;"|high",Response_Table!$A$4:$A$21,0))*$R268*INDEX(Parameters!$X$10:$AA$10,1,MATCH($E268,Parameters!$X$3:$AA$3,0))))*(1+Inputs_General!$C$22*Parameters!$F$10)</f>
        <v>0.546183428032036</v>
      </c>
      <c r="BB268" s="45" t="n">
        <f aca="false">IF(AX268=0,0,AY268/AX268-1)</f>
        <v>-0.0138190582396642</v>
      </c>
      <c r="BC268" s="46" t="n">
        <f aca="false">Parameters!$E$11*IF($N268="V",Parameters!$I$11,IF($N268="F",Parameters!$J$11,Parameters!$K$11))*(1-Parameters!$L$11*$P268)*IF($D268="V1",Parameters!$M$11,IF($D268="V2",Parameters!$N$11,Parameters!$O$11))</f>
        <v>1.223125</v>
      </c>
      <c r="BD268" s="46" t="n">
        <f aca="false">BC268*(1+INDEX(Response_Table!$K$4:$K$21,MATCH($F268&amp;"|mid",Response_Table!$A$4:$A$21,0))*$R268*INDEX(Parameters!$X$11:$AA$11,1,MATCH($E268,Parameters!$X$3:$AA$3,0)))</f>
        <v>1.19219606371693</v>
      </c>
      <c r="BE268" s="46" t="n">
        <f aca="false">MAX(0,MIN(BC268*(1+INDEX(Response_Table!$K$4:$K$21,MATCH($F268&amp;"|low",Response_Table!$A$4:$A$21,0))*$R268*INDEX(Parameters!$X$11:$AA$11,1,MATCH($E268,Parameters!$X$3:$AA$3,0))),BC268*(1+INDEX(Response_Table!$K$4:$K$21,MATCH($F268&amp;"|high",Response_Table!$A$4:$A$21,0))*$R268*INDEX(Parameters!$X$11:$AA$11,1,MATCH($E268,Parameters!$X$3:$AA$3,0))))*(1-Inputs_General!$C$22*Parameters!$F$11))</f>
        <v>0.980180292409174</v>
      </c>
      <c r="BF268" s="46" t="n">
        <f aca="false">MAX(BC268*(1+INDEX(Response_Table!$K$4:$K$21,MATCH($F268&amp;"|low",Response_Table!$A$4:$A$21,0))*$R268*INDEX(Parameters!$X$11:$AA$11,1,MATCH($E268,Parameters!$X$3:$AA$3,0))),BC268*(1+INDEX(Response_Table!$K$4:$K$21,MATCH($F268&amp;"|high",Response_Table!$A$4:$A$21,0))*$R268*INDEX(Parameters!$X$11:$AA$11,1,MATCH($E268,Parameters!$X$3:$AA$3,0))))*(1+Inputs_General!$C$22*Parameters!$F$11)</f>
        <v>1.41193731889591</v>
      </c>
      <c r="BG268" s="45" t="n">
        <f aca="false">IF(BC268=0,0,BD268/BC268-1)</f>
        <v>-0.0252868155610199</v>
      </c>
      <c r="BH268" s="46" t="n">
        <f aca="false">Parameters!$E$12*IF($N268="V",Parameters!$I$12,IF($N268="F",Parameters!$J$12,Parameters!$K$12))*(1-Parameters!$L$12*$P268)*IF($D268="V1",Parameters!$M$12,IF($D268="V2",Parameters!$N$12,Parameters!$O$12))</f>
        <v>0.440325</v>
      </c>
      <c r="BI268" s="46" t="n">
        <f aca="false">BH268*(1+INDEX(Response_Table!$L$4:$L$21,MATCH($F268&amp;"|mid",Response_Table!$A$4:$A$21,0))*$R268*INDEX(Parameters!$X$12:$AA$12,1,MATCH($E268,Parameters!$X$3:$AA$3,0)))</f>
        <v>0.431466283864877</v>
      </c>
      <c r="BJ268" s="46" t="n">
        <f aca="false">MAX(0,MIN(BH268*(1+INDEX(Response_Table!$L$4:$L$21,MATCH($F268&amp;"|low",Response_Table!$A$4:$A$21,0))*$R268*INDEX(Parameters!$X$12:$AA$12,1,MATCH($E268,Parameters!$X$3:$AA$3,0))),BH268*(1+INDEX(Response_Table!$L$4:$L$21,MATCH($F268&amp;"|high",Response_Table!$A$4:$A$21,0))*$R268*INDEX(Parameters!$X$12:$AA$12,1,MATCH($E268,Parameters!$X$3:$AA$3,0))))*(1-Inputs_General!$C$22*Parameters!$F$12))</f>
        <v>0.34189815623471</v>
      </c>
      <c r="BK268" s="46" t="n">
        <f aca="false">MAX(BH268*(1+INDEX(Response_Table!$L$4:$L$21,MATCH($F268&amp;"|low",Response_Table!$A$4:$A$21,0))*$R268*INDEX(Parameters!$X$12:$AA$12,1,MATCH($E268,Parameters!$X$3:$AA$3,0))),BH268*(1+INDEX(Response_Table!$L$4:$L$21,MATCH($F268&amp;"|high",Response_Table!$A$4:$A$21,0))*$R268*INDEX(Parameters!$X$12:$AA$12,1,MATCH($E268,Parameters!$X$3:$AA$3,0))))*(1+Inputs_General!$C$22*Parameters!$F$12)</f>
        <v>0.523602757488944</v>
      </c>
      <c r="BL268" s="45" t="n">
        <f aca="false">IF(BH268=0,0,BI268/BH268-1)</f>
        <v>-0.0201185854428505</v>
      </c>
      <c r="BM268" s="46" t="n">
        <f aca="false">Parameters!$E$13*IF($N268="V",Parameters!$I$13,IF($N268="F",Parameters!$J$13,Parameters!$K$13))*(1-Parameters!$L$13*$P268)*IF($D268="V1",Parameters!$M$13,IF($D268="V2",Parameters!$N$13,Parameters!$O$13))</f>
        <v>0.29355</v>
      </c>
      <c r="BN268" s="46" t="n">
        <f aca="false">BM268*(1+INDEX(Response_Table!$M$4:$M$21,MATCH($F268&amp;"|mid",Response_Table!$A$4:$A$21,0))*$R268*INDEX(Parameters!$X$13:$AA$13,1,MATCH($E268,Parameters!$X$3:$AA$3,0)))</f>
        <v>0.296791863021977</v>
      </c>
      <c r="BO268" s="46" t="n">
        <f aca="false">MAX(0,MIN(BM268*(1+INDEX(Response_Table!$M$4:$M$21,MATCH($F268&amp;"|low",Response_Table!$A$4:$A$21,0))*$R268*INDEX(Parameters!$X$13:$AA$13,1,MATCH($E268,Parameters!$X$3:$AA$3,0))),BM268*(1+INDEX(Response_Table!$M$4:$M$21,MATCH($F268&amp;"|high",Response_Table!$A$4:$A$21,0))*$R268*INDEX(Parameters!$X$13:$AA$13,1,MATCH($E268,Parameters!$X$3:$AA$3,0))))*(1-Inputs_General!$C$22*Parameters!$F$13))</f>
        <v>0.23688233264073</v>
      </c>
      <c r="BP268" s="46" t="n">
        <f aca="false">MAX(BM268*(1+INDEX(Response_Table!$M$4:$M$21,MATCH($F268&amp;"|low",Response_Table!$A$4:$A$21,0))*$R268*INDEX(Parameters!$X$13:$AA$13,1,MATCH($E268,Parameters!$X$3:$AA$3,0))),BM268*(1+INDEX(Response_Table!$M$4:$M$21,MATCH($F268&amp;"|high",Response_Table!$A$4:$A$21,0))*$R268*INDEX(Parameters!$X$13:$AA$13,1,MATCH($E268,Parameters!$X$3:$AA$3,0))))*(1+Inputs_General!$C$22*Parameters!$F$13)</f>
        <v>0.355488255893759</v>
      </c>
      <c r="BQ268" s="45" t="n">
        <f aca="false">IF(BM268=0,0,BN268/BM268-1)</f>
        <v>0.0110436485163574</v>
      </c>
      <c r="BR268" s="44" t="n">
        <f aca="false">Parameters!$E$14*IF($N268="V",Parameters!$I$14,IF($N268="F",Parameters!$J$14,Parameters!$K$14))*(1-Parameters!$L$14*$P268)*IF($D268="V1",Parameters!$M$14,IF($D268="V2",Parameters!$N$14,Parameters!$O$14))*INDEX(Context!$AC$4:$AC$51,$K268)</f>
        <v>23.1</v>
      </c>
      <c r="BS268" s="44" t="n">
        <f aca="false">BR268*(1+INDEX(Response_Table!$N$4:$N$21,MATCH($F268&amp;"|mid",Response_Table!$A$4:$A$21,0))*$R268*INDEX(Parameters!$X$14:$AA$14,1,MATCH($E268,Parameters!$X$3:$AA$3,0)))</f>
        <v>23.6069883531598</v>
      </c>
      <c r="BT268" s="44" t="n">
        <f aca="false">MAX(0,MIN(BR268*(1+INDEX(Response_Table!$N$4:$N$21,MATCH($F268&amp;"|low",Response_Table!$A$4:$A$21,0))*$R268*INDEX(Parameters!$X$14:$AA$14,1,MATCH($E268,Parameters!$X$3:$AA$3,0))),BR268*(1+INDEX(Response_Table!$N$4:$N$21,MATCH($F268&amp;"|high",Response_Table!$A$4:$A$21,0))*$R268*INDEX(Parameters!$X$14:$AA$14,1,MATCH($E268,Parameters!$X$3:$AA$3,0))))*(1-Inputs_General!$C$22*Parameters!$F$14))</f>
        <v>11.7883268811164</v>
      </c>
      <c r="BU268" s="44" t="n">
        <f aca="false">MAX(BR268*(1+INDEX(Response_Table!$N$4:$N$21,MATCH($F268&amp;"|low",Response_Table!$A$4:$A$21,0))*$R268*INDEX(Parameters!$X$14:$AA$14,1,MATCH($E268,Parameters!$X$3:$AA$3,0))),BR268*(1+INDEX(Response_Table!$N$4:$N$21,MATCH($F268&amp;"|high",Response_Table!$A$4:$A$21,0))*$R268*INDEX(Parameters!$X$14:$AA$14,1,MATCH($E268,Parameters!$X$3:$AA$3,0))))*(1+Inputs_General!$C$22*Parameters!$F$14)</f>
        <v>35.7252662494807</v>
      </c>
      <c r="BV268" s="45" t="n">
        <f aca="false">IF(BR268=0,0,BS268/BR268-1)</f>
        <v>0.0219475477558369</v>
      </c>
      <c r="BW268" s="43" t="n">
        <f aca="false">Parameters!$E$15*IF($N268="V",Parameters!$I$15,IF($N268="F",Parameters!$J$15,Parameters!$K$15))*(1-Parameters!$L$15*$P268)*IF($D268="V1",Parameters!$M$15,IF($D268="V2",Parameters!$N$15,Parameters!$O$15))</f>
        <v>10.8</v>
      </c>
      <c r="BX268" s="43" t="n">
        <f aca="false">BW268*(1+INDEX(Response_Table!$O$4:$O$21,MATCH($F268&amp;"|mid",Response_Table!$A$4:$A$21,0))*$R268*INDEX(Parameters!$X$15:$AA$15,1,MATCH($E268,Parameters!$X$3:$AA$3,0)))</f>
        <v>10.7407416210592</v>
      </c>
      <c r="BY268" s="43" t="n">
        <f aca="false">MAX(0,MIN(BW268*(1+INDEX(Response_Table!$O$4:$O$21,MATCH($F268&amp;"|low",Response_Table!$A$4:$A$21,0))*$R268*INDEX(Parameters!$X$15:$AA$15,1,MATCH($E268,Parameters!$X$3:$AA$3,0))),BW268*(1+INDEX(Response_Table!$O$4:$O$21,MATCH($F268&amp;"|high",Response_Table!$A$4:$A$21,0))*$R268*INDEX(Parameters!$X$15:$AA$15,1,MATCH($E268,Parameters!$X$3:$AA$3,0))))*(1-Inputs_General!$C$22*Parameters!$F$15))</f>
        <v>8.59110860676352</v>
      </c>
      <c r="BZ268" s="43" t="n">
        <f aca="false">MAX(BW268*(1+INDEX(Response_Table!$O$4:$O$21,MATCH($F268&amp;"|low",Response_Table!$A$4:$A$21,0))*$R268*INDEX(Parameters!$X$15:$AA$15,1,MATCH($E268,Parameters!$X$3:$AA$3,0))),BW268*(1+INDEX(Response_Table!$O$4:$O$21,MATCH($F268&amp;"|high",Response_Table!$A$4:$A$21,0))*$R268*INDEX(Parameters!$X$15:$AA$15,1,MATCH($E268,Parameters!$X$3:$AA$3,0))))*(1+Inputs_General!$C$22*Parameters!$F$15)</f>
        <v>12.9075550052682</v>
      </c>
      <c r="CA268" s="45" t="n">
        <f aca="false">IF(BW268=0,0,BX268/BW268-1)</f>
        <v>-0.00548688693895916</v>
      </c>
      <c r="CB268" s="46" t="n">
        <f aca="false">BD268+BI268</f>
        <v>1.6236623475818</v>
      </c>
      <c r="CC268" s="43" t="n">
        <f aca="false">BD268/BI268</f>
        <v>2.76312682659183</v>
      </c>
      <c r="CD268" s="46" t="n">
        <f aca="false">BN268/CB268</f>
        <v>0.182791615180338</v>
      </c>
      <c r="CE268" s="43" t="n">
        <f aca="false">AE268/AO268</f>
        <v>4.31104263488601</v>
      </c>
      <c r="CF268" s="44" t="n">
        <f aca="false">AE268/AJ268</f>
        <v>41.0189525690629</v>
      </c>
      <c r="CG268" s="44" t="n">
        <f aca="false">INDEX(Context!$V$4:$V$51,$K268)</f>
        <v>22.6257142857143</v>
      </c>
      <c r="CH268" s="44" t="n">
        <f aca="false">INDEX(Context!$Y$4:$Y$51,$K268)</f>
        <v>21.3177449518561</v>
      </c>
      <c r="CI268" s="44" t="n">
        <f aca="false">INDEX(Context!$Z$4:$Z$51,$K268)</f>
        <v>26.6257142857143</v>
      </c>
      <c r="CJ268" s="43" t="n">
        <f aca="false">INDEX(Context!$AA$4:$AA$51,$K268)</f>
        <v>0.12</v>
      </c>
      <c r="CK268" s="43" t="n">
        <f aca="false">MAX(0,MIN(1,1-(1-CJ268)*AO268/AN268))</f>
        <v>0.14712840612323</v>
      </c>
      <c r="CL268" s="44" t="n">
        <f aca="false">CH268+CK268*(CI268-CH268)</f>
        <v>22.0986980196976</v>
      </c>
      <c r="CM268" s="44" t="n">
        <f aca="false">CH268+MAX(0,MIN(1,1-(1-CJ268)*AQ268/AN268))*(CI268-CH268)</f>
        <v>21.3177449518561</v>
      </c>
      <c r="CN268" s="44" t="n">
        <f aca="false">CH268+MAX(0,MIN(1,1-(1-CJ268)*AP268/AN268))*(CI268-CH268)</f>
        <v>23.5325024685731</v>
      </c>
      <c r="CO268" s="44" t="n">
        <f aca="false">CL268-CG268</f>
        <v>-0.527016266016695</v>
      </c>
      <c r="CP268" s="44" t="n">
        <f aca="false">CL268-(CH268+CJ268*(CI268-CH268))</f>
        <v>0.143996747778555</v>
      </c>
      <c r="CQ268" s="46" t="n">
        <f aca="false">CL268/CG268</f>
        <v>0.976707198749104</v>
      </c>
      <c r="CR268" s="43" t="n">
        <f aca="false">IF(CL268-CH268&lt;=0,"n/a",(CI268-CL268)/(CL268-CH268))</f>
        <v>5.79678402253902</v>
      </c>
      <c r="CS268" s="43" t="n">
        <f aca="false">IF(CI268-CL268&lt;=0,"n/a",(CL268-CH268)/(CI268-CL268))</f>
        <v>0.172509445946547</v>
      </c>
      <c r="CT268" s="43" t="n">
        <f aca="false">Inputs_General!$C$23+Inputs_General!$C$24*$I268</f>
        <v>0.66</v>
      </c>
      <c r="CU268" s="44" t="n">
        <f aca="false">3.29*CT268</f>
        <v>2.1714</v>
      </c>
    </row>
    <row r="269" customFormat="false" ht="15" hidden="false" customHeight="false" outlineLevel="0" collapsed="false">
      <c r="A269" s="9" t="str">
        <f aca="false">B269&amp;"|"&amp;E269&amp;"|"&amp;F269</f>
        <v>D4V3|11/02/2026|Low</v>
      </c>
      <c r="B269" s="7" t="s">
        <v>354</v>
      </c>
      <c r="C269" s="9" t="s">
        <v>133</v>
      </c>
      <c r="D269" s="9" t="s">
        <v>150</v>
      </c>
      <c r="E269" s="9" t="s">
        <v>158</v>
      </c>
      <c r="F269" s="7" t="s">
        <v>279</v>
      </c>
      <c r="G269" s="9" t="s">
        <v>280</v>
      </c>
      <c r="H269" s="41" t="n">
        <f aca="false">INDEX(Severity_Classes!$C$4:$C$9,MATCH(F269,Severity_Classes!$A$4:$A$9,0))</f>
        <v>0.06</v>
      </c>
      <c r="I269" s="41" t="n">
        <f aca="false">INDEX(Severity_Classes!$D$4:$D$9,MATCH(F269,Severity_Classes!$A$4:$A$9,0))</f>
        <v>0.08</v>
      </c>
      <c r="J269" s="41" t="n">
        <f aca="false">INDEX(Severity_Classes!$E$4:$E$9,MATCH(F269,Severity_Classes!$A$4:$A$9,0))</f>
        <v>0.1</v>
      </c>
      <c r="K269" s="42" t="n">
        <f aca="false">MATCH(B269&amp;"|"&amp;E269,Context!$A$4:$A$51,0)</f>
        <v>45</v>
      </c>
      <c r="L269" s="42" t="n">
        <f aca="false">INDEX(Context!$H$4:$H$51,K269)</f>
        <v>33</v>
      </c>
      <c r="M269" s="42" t="n">
        <f aca="false">INDEX(Context!$I$4:$I$51,K269)</f>
        <v>6</v>
      </c>
      <c r="N269" s="9" t="str">
        <f aca="false">INDEX(Context!$L$4:$L$51,K269)</f>
        <v>V</v>
      </c>
      <c r="O269" s="9" t="str">
        <f aca="false">INDEX(Context!$M$4:$M$51,K269)</f>
        <v>3rd fully expanded leaf from top</v>
      </c>
      <c r="P269" s="43" t="n">
        <f aca="false">INDEX(Context!$R$4:$R$51,K269)</f>
        <v>0</v>
      </c>
      <c r="Q269" s="43" t="n">
        <f aca="false">INDEX(Context!$U$4:$U$51,K269)</f>
        <v>0.937791824040773</v>
      </c>
      <c r="R269" s="43" t="n">
        <f aca="false">INDEX(Context!$AD$4:$AD$51,K269)</f>
        <v>0.85</v>
      </c>
      <c r="S269" s="9" t="str">
        <f aca="false">INDEX(Context!$AI$4:$AN$51,K269,MATCH(F269,Severity_Classes!$A$4:$A$9,0))</f>
        <v>Likely</v>
      </c>
      <c r="T269" s="44" t="n">
        <f aca="false">Parameters!$E$4*IF($N269="V",Parameters!$I$4,IF($N269="F",Parameters!$J$4,Parameters!$K$4))*(1-Parameters!$L$4*$P269)*IF($D269="V1",Parameters!$M$4,IF($D269="V2",Parameters!$N$4,Parameters!$O$4))</f>
        <v>86</v>
      </c>
      <c r="U269" s="44" t="n">
        <f aca="false">MIN(100,T269*(1+INDEX(Response_Table!$E$4:$E$21,MATCH($F269&amp;"|mid",Response_Table!$A$4:$A$21,0))*$R269*INDEX(Parameters!$X$4:$AA$4,1,MATCH($E269,Parameters!$X$3:$AA$3,0))))</f>
        <v>85.4912742489841</v>
      </c>
      <c r="V269" s="44" t="n">
        <f aca="false">MAX(0,MIN(T269*(1+INDEX(Response_Table!$E$4:$E$21,MATCH($F269&amp;"|low",Response_Table!$A$4:$A$21,0))*$R269*INDEX(Parameters!$X$4:$AA$4,1,MATCH($E269,Parameters!$X$3:$AA$3,0))),T269*(1+INDEX(Response_Table!$E$4:$E$21,MATCH($F269&amp;"|high",Response_Table!$A$4:$A$21,0))*$R269*INDEX(Parameters!$X$4:$AA$4,1,MATCH($E269,Parameters!$X$3:$AA$3,0))))*(1-Inputs_General!$C$22*Parameters!$F$4))</f>
        <v>79.6999011519644</v>
      </c>
      <c r="W269" s="44" t="n">
        <f aca="false">MIN(100,MAX(T269*(1+INDEX(Response_Table!$E$4:$E$21,MATCH($F269&amp;"|low",Response_Table!$A$4:$A$21,0))*$R269*INDEX(Parameters!$X$4:$AA$4,1,MATCH($E269,Parameters!$X$3:$AA$3,0))),T269*(1+INDEX(Response_Table!$E$4:$E$21,MATCH($F269&amp;"|high",Response_Table!$A$4:$A$21,0))*$R269*INDEX(Parameters!$X$4:$AA$4,1,MATCH($E269,Parameters!$X$3:$AA$3,0))))*(1+Inputs_General!$C$22*Parameters!$F$4))</f>
        <v>91.2821523734045</v>
      </c>
      <c r="X269" s="45" t="n">
        <f aca="false">IF(T269=0,0,U269/T269-1)</f>
        <v>-0.00591541570948695</v>
      </c>
      <c r="Y269" s="44" t="n">
        <f aca="false">Parameters!$E$5*IF($N269="V",Parameters!$I$5,IF($N269="F",Parameters!$J$5,Parameters!$K$5))*(1-Parameters!$L$5*$P269)*IF($D269="V1",Parameters!$M$5,IF($D269="V2",Parameters!$N$5,Parameters!$O$5))</f>
        <v>72</v>
      </c>
      <c r="Z269" s="44" t="n">
        <f aca="false">MIN(100,Y269*(1+INDEX(Response_Table!$F$4:$F$21,MATCH($F269&amp;"|mid",Response_Table!$A$4:$A$21,0))*$R269*INDEX(Parameters!$X$5:$AA$5,1,MATCH($E269,Parameters!$X$3:$AA$3,0))))</f>
        <v>70.5939570018953</v>
      </c>
      <c r="AA269" s="44" t="n">
        <f aca="false">MAX(0,MIN(Y269*(1+INDEX(Response_Table!$F$4:$F$21,MATCH($F269&amp;"|low",Response_Table!$A$4:$A$21,0))*$R269*INDEX(Parameters!$X$5:$AA$5,1,MATCH($E269,Parameters!$X$3:$AA$3,0))),Y269*(1+INDEX(Response_Table!$F$4:$F$21,MATCH($F269&amp;"|high",Response_Table!$A$4:$A$21,0))*$R269*INDEX(Parameters!$X$5:$AA$5,1,MATCH($E269,Parameters!$X$3:$AA$3,0))))*(1-Inputs_General!$C$22*Parameters!$F$5))</f>
        <v>62.0096981660899</v>
      </c>
      <c r="AB269" s="44" t="n">
        <f aca="false">MIN(100,MAX(Y269*(1+INDEX(Response_Table!$F$4:$F$21,MATCH($F269&amp;"|low",Response_Table!$A$4:$A$21,0))*$R269*INDEX(Parameters!$X$5:$AA$5,1,MATCH($E269,Parameters!$X$3:$AA$3,0))),Y269*(1+INDEX(Response_Table!$F$4:$F$21,MATCH($F269&amp;"|high",Response_Table!$A$4:$A$21,0))*$R269*INDEX(Parameters!$X$5:$AA$5,1,MATCH($E269,Parameters!$X$3:$AA$3,0))))*(1+Inputs_General!$C$22*Parameters!$F$5))</f>
        <v>79.2157573857933</v>
      </c>
      <c r="AC269" s="45" t="n">
        <f aca="false">IF(Y269=0,0,Z269/Y269-1)</f>
        <v>-0.0195283749736768</v>
      </c>
      <c r="AD269" s="44" t="n">
        <f aca="false">Parameters!$E$6*IF($N269="V",Parameters!$I$6,IF($N269="F",Parameters!$J$6,Parameters!$K$6))*(1-Parameters!$L$6*$P269)*IF($D269="V1",Parameters!$M$6,IF($D269="V2",Parameters!$N$6,Parameters!$O$6))</f>
        <v>19.57</v>
      </c>
      <c r="AE269" s="44" t="n">
        <f aca="false">AD269*(1+INDEX(Response_Table!$G$4:$G$21,MATCH($F269&amp;"|mid",Response_Table!$A$4:$A$21,0))*$R269*INDEX(Parameters!$X$6:$AA$6,1,MATCH($E269,Parameters!$X$3:$AA$3,0)))</f>
        <v>16.6085279134093</v>
      </c>
      <c r="AF269" s="44" t="n">
        <f aca="false">MAX(0,MIN(AD269*(1+INDEX(Response_Table!$G$4:$G$21,MATCH($F269&amp;"|low",Response_Table!$A$4:$A$21,0))*$R269*INDEX(Parameters!$X$6:$AA$6,1,MATCH($E269,Parameters!$X$3:$AA$3,0))),AD269*(1+INDEX(Response_Table!$G$4:$G$21,MATCH($F269&amp;"|high",Response_Table!$A$4:$A$21,0))*$R269*INDEX(Parameters!$X$6:$AA$6,1,MATCH($E269,Parameters!$X$3:$AA$3,0))))*(1-Inputs_General!$C$22*Parameters!$F$6))</f>
        <v>12.8554322555242</v>
      </c>
      <c r="AG269" s="44" t="n">
        <f aca="false">MAX(AD269*(1+INDEX(Response_Table!$G$4:$G$21,MATCH($F269&amp;"|low",Response_Table!$A$4:$A$21,0))*$R269*INDEX(Parameters!$X$6:$AA$6,1,MATCH($E269,Parameters!$X$3:$AA$3,0))),AD269*(1+INDEX(Response_Table!$G$4:$G$21,MATCH($F269&amp;"|high",Response_Table!$A$4:$A$21,0))*$R269*INDEX(Parameters!$X$6:$AA$6,1,MATCH($E269,Parameters!$X$3:$AA$3,0))))*(1+Inputs_General!$C$22*Parameters!$F$6)</f>
        <v>20.6601952535832</v>
      </c>
      <c r="AH269" s="45" t="n">
        <f aca="false">IF(AD269=0,0,AE269/AD269-1)</f>
        <v>-0.151327137792066</v>
      </c>
      <c r="AI269" s="46" t="n">
        <f aca="false">Parameters!$E$7*IF($N269="V",Parameters!$I$7,IF($N269="F",Parameters!$J$7,Parameters!$K$7))*(1-Parameters!$L$7*$P269)*IF($D269="V1",Parameters!$M$7,IF($D269="V2",Parameters!$N$7,Parameters!$O$7))*POWER($Q269/Inputs_General!$C$26,-Inputs_General!$C$25)</f>
        <v>0.464685683730118</v>
      </c>
      <c r="AJ269" s="46" t="n">
        <f aca="false">AI269*(1+INDEX(Response_Table!$H$4:$H$21,MATCH($F269&amp;"|mid",Response_Table!$A$4:$A$21,0))*$R269*INDEX(Parameters!$X$7:$AA$7,1,MATCH($E269,Parameters!$X$3:$AA$3,0)))</f>
        <v>0.420860951335111</v>
      </c>
      <c r="AK269" s="46" t="n">
        <f aca="false">MAX(0,MIN(AI269*(1+INDEX(Response_Table!$H$4:$H$21,MATCH($F269&amp;"|low",Response_Table!$A$4:$A$21,0))*$R269*INDEX(Parameters!$X$7:$AA$7,1,MATCH($E269,Parameters!$X$3:$AA$3,0))),AI269*(1+INDEX(Response_Table!$H$4:$H$21,MATCH($F269&amp;"|high",Response_Table!$A$4:$A$21,0))*$R269*INDEX(Parameters!$X$7:$AA$7,1,MATCH($E269,Parameters!$X$3:$AA$3,0))))*(1-Inputs_General!$C$22*Parameters!$F$7))</f>
        <v>0.28962110515998</v>
      </c>
      <c r="AL269" s="46" t="n">
        <f aca="false">MAX(AI269*(1+INDEX(Response_Table!$H$4:$H$21,MATCH($F269&amp;"|low",Response_Table!$A$4:$A$21,0))*$R269*INDEX(Parameters!$X$7:$AA$7,1,MATCH($E269,Parameters!$X$3:$AA$3,0))),AI269*(1+INDEX(Response_Table!$H$4:$H$21,MATCH($F269&amp;"|high",Response_Table!$A$4:$A$21,0))*$R269*INDEX(Parameters!$X$7:$AA$7,1,MATCH($E269,Parameters!$X$3:$AA$3,0))))*(1+Inputs_General!$C$22*Parameters!$F$7)</f>
        <v>0.558426831117588</v>
      </c>
      <c r="AM269" s="45" t="n">
        <f aca="false">IF(AI269=0,0,AJ269/AI269-1)</f>
        <v>-0.0943104854085833</v>
      </c>
      <c r="AN269" s="43" t="n">
        <f aca="false">AI269*$Q269/Inputs_General!$C$13*1000</f>
        <v>4.38850387664553</v>
      </c>
      <c r="AO269" s="43" t="n">
        <f aca="false">AJ269*$Q269/Inputs_General!$C$13*1000*(1+Inputs_General!$C$21*$I269)</f>
        <v>4.05411438473807</v>
      </c>
      <c r="AP269" s="43" t="n">
        <f aca="false">AK269*$Q269/Inputs_General!$C$13*1000*(1+Inputs_General!$C$21*$H269)</f>
        <v>2.77621721103738</v>
      </c>
      <c r="AQ269" s="43" t="n">
        <f aca="false">AL269*$Q269/Inputs_General!$C$13*1000*(1+Inputs_General!$C$21*$J269)</f>
        <v>5.40564269346171</v>
      </c>
      <c r="AR269" s="45" t="n">
        <f aca="false">IF(AN269=0,0,AO269/AN269-1)</f>
        <v>-0.0761966951167549</v>
      </c>
      <c r="AS269" s="42" t="n">
        <f aca="false">Parameters!$E$9*IF($N269="V",Parameters!$I$9,IF($N269="F",Parameters!$J$9,Parameters!$K$9))*(1-Parameters!$L$9*$P269)*IF($D269="V1",Parameters!$M$9,IF($D269="V2",Parameters!$N$9,Parameters!$O$9))</f>
        <v>285</v>
      </c>
      <c r="AT269" s="42" t="n">
        <f aca="false">AS269*(1+INDEX(Response_Table!$I$4:$I$21,MATCH($F269&amp;"|mid",Response_Table!$A$4:$A$21,0))*$R269*INDEX(Parameters!$X$9:$AA$9,1,MATCH($E269,Parameters!$X$3:$AA$3,0)))</f>
        <v>300.921694984536</v>
      </c>
      <c r="AU269" s="42" t="n">
        <f aca="false">MAX(0,MIN(AS269*(1+INDEX(Response_Table!$I$4:$I$21,MATCH($F269&amp;"|low",Response_Table!$A$4:$A$21,0))*$R269*INDEX(Parameters!$X$9:$AA$9,1,MATCH($E269,Parameters!$X$3:$AA$3,0))),AS269*(1+INDEX(Response_Table!$I$4:$I$21,MATCH($F269&amp;"|high",Response_Table!$A$4:$A$21,0))*$R269*INDEX(Parameters!$X$9:$AA$9,1,MATCH($E269,Parameters!$X$3:$AA$3,0))))*(1-Inputs_General!$C$22*Parameters!$F$9))</f>
        <v>268.051537634836</v>
      </c>
      <c r="AV269" s="42" t="n">
        <f aca="false">MAX(AS269*(1+INDEX(Response_Table!$I$4:$I$21,MATCH($F269&amp;"|low",Response_Table!$A$4:$A$21,0))*$R269*INDEX(Parameters!$X$9:$AA$9,1,MATCH($E269,Parameters!$X$3:$AA$3,0))),AS269*(1+INDEX(Response_Table!$I$4:$I$21,MATCH($F269&amp;"|high",Response_Table!$A$4:$A$21,0))*$R269*INDEX(Parameters!$X$9:$AA$9,1,MATCH($E269,Parameters!$X$3:$AA$3,0))))*(1+Inputs_General!$C$22*Parameters!$F$9)</f>
        <v>334.188933905556</v>
      </c>
      <c r="AW269" s="45" t="n">
        <f aca="false">IF(AS269=0,0,AT269/AS269-1)</f>
        <v>0.055865596436967</v>
      </c>
      <c r="AX269" s="43" t="n">
        <f aca="false">INDEX(Context!$AB$4:$AB$51,$K269)</f>
        <v>0.458305270557464</v>
      </c>
      <c r="AY269" s="43" t="n">
        <f aca="false">AX269*(1+INDEX(Response_Table!$J$4:$J$21,MATCH($F269&amp;"|mid",Response_Table!$A$4:$A$21,0))*$R269*INDEX(Parameters!$X$10:$AA$10,1,MATCH($E269,Parameters!$X$3:$AA$3,0)))</f>
        <v>0.442416861005071</v>
      </c>
      <c r="AZ269" s="43" t="n">
        <f aca="false">MAX(0,MIN(AX269*(1+INDEX(Response_Table!$J$4:$J$21,MATCH($F269&amp;"|low",Response_Table!$A$4:$A$21,0))*$R269*INDEX(Parameters!$X$10:$AA$10,1,MATCH($E269,Parameters!$X$3:$AA$3,0))),AX269*(1+INDEX(Response_Table!$J$4:$J$21,MATCH($F269&amp;"|high",Response_Table!$A$4:$A$21,0))*$R269*INDEX(Parameters!$X$10:$AA$10,1,MATCH($E269,Parameters!$X$3:$AA$3,0))))*(1-Inputs_General!$C$22*Parameters!$F$10))</f>
        <v>0.35227475520693</v>
      </c>
      <c r="BA269" s="43" t="n">
        <f aca="false">MAX(AX269*(1+INDEX(Response_Table!$J$4:$J$21,MATCH($F269&amp;"|low",Response_Table!$A$4:$A$21,0))*$R269*INDEX(Parameters!$X$10:$AA$10,1,MATCH($E269,Parameters!$X$3:$AA$3,0))),AX269*(1+INDEX(Response_Table!$J$4:$J$21,MATCH($F269&amp;"|high",Response_Table!$A$4:$A$21,0))*$R269*INDEX(Parameters!$X$10:$AA$10,1,MATCH($E269,Parameters!$X$3:$AA$3,0))))*(1+Inputs_General!$C$22*Parameters!$F$10)</f>
        <v>0.534155591912087</v>
      </c>
      <c r="BB269" s="45" t="n">
        <f aca="false">IF(AX269=0,0,AY269/AX269-1)</f>
        <v>-0.0346677434738359</v>
      </c>
      <c r="BC269" s="46" t="n">
        <f aca="false">Parameters!$E$11*IF($N269="V",Parameters!$I$11,IF($N269="F",Parameters!$J$11,Parameters!$K$11))*(1-Parameters!$L$11*$P269)*IF($D269="V1",Parameters!$M$11,IF($D269="V2",Parameters!$N$11,Parameters!$O$11))</f>
        <v>1.223125</v>
      </c>
      <c r="BD269" s="46" t="n">
        <f aca="false">BC269*(1+INDEX(Response_Table!$K$4:$K$21,MATCH($F269&amp;"|mid",Response_Table!$A$4:$A$21,0))*$R269*INDEX(Parameters!$X$11:$AA$11,1,MATCH($E269,Parameters!$X$3:$AA$3,0)))</f>
        <v>1.1468102180287</v>
      </c>
      <c r="BE269" s="46" t="n">
        <f aca="false">MAX(0,MIN(BC269*(1+INDEX(Response_Table!$K$4:$K$21,MATCH($F269&amp;"|low",Response_Table!$A$4:$A$21,0))*$R269*INDEX(Parameters!$X$11:$AA$11,1,MATCH($E269,Parameters!$X$3:$AA$3,0))),BC269*(1+INDEX(Response_Table!$K$4:$K$21,MATCH($F269&amp;"|high",Response_Table!$A$4:$A$21,0))*$R269*INDEX(Parameters!$X$11:$AA$11,1,MATCH($E269,Parameters!$X$3:$AA$3,0))))*(1-Inputs_General!$C$22*Parameters!$F$11))</f>
        <v>0.944611260947583</v>
      </c>
      <c r="BF269" s="46" t="n">
        <f aca="false">MAX(BC269*(1+INDEX(Response_Table!$K$4:$K$21,MATCH($F269&amp;"|low",Response_Table!$A$4:$A$21,0))*$R269*INDEX(Parameters!$X$11:$AA$11,1,MATCH($E269,Parameters!$X$3:$AA$3,0))),BC269*(1+INDEX(Response_Table!$K$4:$K$21,MATCH($F269&amp;"|high",Response_Table!$A$4:$A$21,0))*$R269*INDEX(Parameters!$X$11:$AA$11,1,MATCH($E269,Parameters!$X$3:$AA$3,0))))*(1+Inputs_General!$C$22*Parameters!$F$11)</f>
        <v>1.35559239820745</v>
      </c>
      <c r="BG269" s="45" t="n">
        <f aca="false">IF(BC269=0,0,BD269/BC269-1)</f>
        <v>-0.0623932811211415</v>
      </c>
      <c r="BH269" s="46" t="n">
        <f aca="false">Parameters!$E$12*IF($N269="V",Parameters!$I$12,IF($N269="F",Parameters!$J$12,Parameters!$K$12))*(1-Parameters!$L$12*$P269)*IF($D269="V1",Parameters!$M$12,IF($D269="V2",Parameters!$N$12,Parameters!$O$12))</f>
        <v>0.440325</v>
      </c>
      <c r="BI269" s="46" t="n">
        <f aca="false">BH269*(1+INDEX(Response_Table!$L$4:$L$21,MATCH($F269&amp;"|mid",Response_Table!$A$4:$A$21,0))*$R269*INDEX(Parameters!$X$12:$AA$12,1,MATCH($E269,Parameters!$X$3:$AA$3,0)))</f>
        <v>0.418363465896016</v>
      </c>
      <c r="BJ269" s="46" t="n">
        <f aca="false">MAX(0,MIN(BH269*(1+INDEX(Response_Table!$L$4:$L$21,MATCH($F269&amp;"|low",Response_Table!$A$4:$A$21,0))*$R269*INDEX(Parameters!$X$12:$AA$12,1,MATCH($E269,Parameters!$X$3:$AA$3,0))),BH269*(1+INDEX(Response_Table!$L$4:$L$21,MATCH($F269&amp;"|high",Response_Table!$A$4:$A$21,0))*$R269*INDEX(Parameters!$X$12:$AA$12,1,MATCH($E269,Parameters!$X$3:$AA$3,0))))*(1-Inputs_General!$C$22*Parameters!$F$12))</f>
        <v>0.331994257432185</v>
      </c>
      <c r="BK269" s="46" t="n">
        <f aca="false">MAX(BH269*(1+INDEX(Response_Table!$L$4:$L$21,MATCH($F269&amp;"|low",Response_Table!$A$4:$A$21,0))*$R269*INDEX(Parameters!$X$12:$AA$12,1,MATCH($E269,Parameters!$X$3:$AA$3,0))),BH269*(1+INDEX(Response_Table!$L$4:$L$21,MATCH($F269&amp;"|high",Response_Table!$A$4:$A$21,0))*$R269*INDEX(Parameters!$X$12:$AA$12,1,MATCH($E269,Parameters!$X$3:$AA$3,0))))*(1+Inputs_General!$C$22*Parameters!$F$12)</f>
        <v>0.506943270243015</v>
      </c>
      <c r="BL269" s="45" t="n">
        <f aca="false">IF(BH269=0,0,BI269/BH269-1)</f>
        <v>-0.0498757374756931</v>
      </c>
      <c r="BM269" s="46" t="n">
        <f aca="false">Parameters!$E$13*IF($N269="V",Parameters!$I$13,IF($N269="F",Parameters!$J$13,Parameters!$K$13))*(1-Parameters!$L$13*$P269)*IF($D269="V1",Parameters!$M$13,IF($D269="V2",Parameters!$N$13,Parameters!$O$13))</f>
        <v>0.29355</v>
      </c>
      <c r="BN269" s="46" t="n">
        <f aca="false">BM269*(1+INDEX(Response_Table!$M$4:$M$21,MATCH($F269&amp;"|mid",Response_Table!$A$4:$A$21,0))*$R269*INDEX(Parameters!$X$13:$AA$13,1,MATCH($E269,Parameters!$X$3:$AA$3,0)))</f>
        <v>0.295092437973104</v>
      </c>
      <c r="BO269" s="46" t="n">
        <f aca="false">MAX(0,MIN(BM269*(1+INDEX(Response_Table!$M$4:$M$21,MATCH($F269&amp;"|low",Response_Table!$A$4:$A$21,0))*$R269*INDEX(Parameters!$X$13:$AA$13,1,MATCH($E269,Parameters!$X$3:$AA$3,0))),BM269*(1+INDEX(Response_Table!$M$4:$M$21,MATCH($F269&amp;"|high",Response_Table!$A$4:$A$21,0))*$R269*INDEX(Parameters!$X$13:$AA$13,1,MATCH($E269,Parameters!$X$3:$AA$3,0))))*(1-Inputs_General!$C$22*Parameters!$F$13))</f>
        <v>0.235235476333029</v>
      </c>
      <c r="BP269" s="46" t="n">
        <f aca="false">MAX(BM269*(1+INDEX(Response_Table!$M$4:$M$21,MATCH($F269&amp;"|low",Response_Table!$A$4:$A$21,0))*$R269*INDEX(Parameters!$X$13:$AA$13,1,MATCH($E269,Parameters!$X$3:$AA$3,0))),BM269*(1+INDEX(Response_Table!$M$4:$M$21,MATCH($F269&amp;"|high",Response_Table!$A$4:$A$21,0))*$R269*INDEX(Parameters!$X$13:$AA$13,1,MATCH($E269,Parameters!$X$3:$AA$3,0))))*(1+Inputs_General!$C$22*Parameters!$F$13)</f>
        <v>0.355024906782999</v>
      </c>
      <c r="BQ269" s="45" t="n">
        <f aca="false">IF(BM269=0,0,BN269/BM269-1)</f>
        <v>0.00525443015875982</v>
      </c>
      <c r="BR269" s="44" t="n">
        <f aca="false">Parameters!$E$14*IF($N269="V",Parameters!$I$14,IF($N269="F",Parameters!$J$14,Parameters!$K$14))*(1-Parameters!$L$14*$P269)*IF($D269="V1",Parameters!$M$14,IF($D269="V2",Parameters!$N$14,Parameters!$O$14))*INDEX(Context!$AC$4:$AC$51,$K269)</f>
        <v>23.1</v>
      </c>
      <c r="BS269" s="44" t="n">
        <f aca="false">BR269*(1+INDEX(Response_Table!$N$4:$N$21,MATCH($F269&amp;"|mid",Response_Table!$A$4:$A$21,0))*$R269*INDEX(Parameters!$X$14:$AA$14,1,MATCH($E269,Parameters!$X$3:$AA$3,0)))</f>
        <v>24.3568685843875</v>
      </c>
      <c r="BT269" s="44" t="n">
        <f aca="false">MAX(0,MIN(BR269*(1+INDEX(Response_Table!$N$4:$N$21,MATCH($F269&amp;"|low",Response_Table!$A$4:$A$21,0))*$R269*INDEX(Parameters!$X$14:$AA$14,1,MATCH($E269,Parameters!$X$3:$AA$3,0))),BR269*(1+INDEX(Response_Table!$N$4:$N$21,MATCH($F269&amp;"|high",Response_Table!$A$4:$A$21,0))*$R269*INDEX(Parameters!$X$14:$AA$14,1,MATCH($E269,Parameters!$X$3:$AA$3,0))))*(1-Inputs_General!$C$22*Parameters!$F$14))</f>
        <v>12.1916276251689</v>
      </c>
      <c r="BU269" s="44" t="n">
        <f aca="false">MAX(BR269*(1+INDEX(Response_Table!$N$4:$N$21,MATCH($F269&amp;"|low",Response_Table!$A$4:$A$21,0))*$R269*INDEX(Parameters!$X$14:$AA$14,1,MATCH($E269,Parameters!$X$3:$AA$3,0))),BR269*(1+INDEX(Response_Table!$N$4:$N$21,MATCH($F269&amp;"|high",Response_Table!$A$4:$A$21,0))*$R269*INDEX(Parameters!$X$14:$AA$14,1,MATCH($E269,Parameters!$X$3:$AA$3,0))))*(1+Inputs_General!$C$22*Parameters!$F$14)</f>
        <v>36.7799917898495</v>
      </c>
      <c r="BV269" s="45" t="n">
        <f aca="false">IF(BR269=0,0,BS269/BR269-1)</f>
        <v>0.0544098954280288</v>
      </c>
      <c r="BW269" s="43" t="n">
        <f aca="false">Parameters!$E$15*IF($N269="V",Parameters!$I$15,IF($N269="F",Parameters!$J$15,Parameters!$K$15))*(1-Parameters!$L$15*$P269)*IF($D269="V1",Parameters!$M$15,IF($D269="V2",Parameters!$N$15,Parameters!$O$15))</f>
        <v>10.8</v>
      </c>
      <c r="BX269" s="43" t="n">
        <f aca="false">BW269*(1+INDEX(Response_Table!$O$4:$O$21,MATCH($F269&amp;"|mid",Response_Table!$A$4:$A$21,0))*$R269*INDEX(Parameters!$X$15:$AA$15,1,MATCH($E269,Parameters!$X$3:$AA$3,0)))</f>
        <v>10.6530932823443</v>
      </c>
      <c r="BY269" s="43" t="n">
        <f aca="false">MAX(0,MIN(BW269*(1+INDEX(Response_Table!$O$4:$O$21,MATCH($F269&amp;"|low",Response_Table!$A$4:$A$21,0))*$R269*INDEX(Parameters!$X$15:$AA$15,1,MATCH($E269,Parameters!$X$3:$AA$3,0))),BW269*(1+INDEX(Response_Table!$O$4:$O$21,MATCH($F269&amp;"|high",Response_Table!$A$4:$A$21,0))*$R269*INDEX(Parameters!$X$15:$AA$15,1,MATCH($E269,Parameters!$X$3:$AA$3,0))))*(1-Inputs_General!$C$22*Parameters!$F$15))</f>
        <v>8.52485871464833</v>
      </c>
      <c r="BZ269" s="43" t="n">
        <f aca="false">MAX(BW269*(1+INDEX(Response_Table!$O$4:$O$21,MATCH($F269&amp;"|low",Response_Table!$A$4:$A$21,0))*$R269*INDEX(Parameters!$X$15:$AA$15,1,MATCH($E269,Parameters!$X$3:$AA$3,0))),BW269*(1+INDEX(Response_Table!$O$4:$O$21,MATCH($F269&amp;"|high",Response_Table!$A$4:$A$21,0))*$R269*INDEX(Parameters!$X$15:$AA$15,1,MATCH($E269,Parameters!$X$3:$AA$3,0))))*(1+Inputs_General!$C$22*Parameters!$F$15)</f>
        <v>12.7961151314625</v>
      </c>
      <c r="CA269" s="45" t="n">
        <f aca="false">IF(BW269=0,0,BX269/BW269-1)</f>
        <v>-0.0136024738570073</v>
      </c>
      <c r="CB269" s="46" t="n">
        <f aca="false">BD269+BI269</f>
        <v>1.56517368392472</v>
      </c>
      <c r="CC269" s="43" t="n">
        <f aca="false">BD269/BI269</f>
        <v>2.74118155984907</v>
      </c>
      <c r="CD269" s="46" t="n">
        <f aca="false">BN269/CB269</f>
        <v>0.188536544540636</v>
      </c>
      <c r="CE269" s="43" t="n">
        <f aca="false">AE269/AO269</f>
        <v>4.09670925318066</v>
      </c>
      <c r="CF269" s="44" t="n">
        <f aca="false">AE269/AJ269</f>
        <v>39.4632190530423</v>
      </c>
      <c r="CG269" s="44" t="n">
        <f aca="false">INDEX(Context!$V$4:$V$51,$K269)</f>
        <v>22.6257142857143</v>
      </c>
      <c r="CH269" s="44" t="n">
        <f aca="false">INDEX(Context!$Y$4:$Y$51,$K269)</f>
        <v>21.3177449518561</v>
      </c>
      <c r="CI269" s="44" t="n">
        <f aca="false">INDEX(Context!$Z$4:$Z$51,$K269)</f>
        <v>26.6257142857143</v>
      </c>
      <c r="CJ269" s="43" t="n">
        <f aca="false">INDEX(Context!$AA$4:$AA$51,$K269)</f>
        <v>0.12</v>
      </c>
      <c r="CK269" s="43" t="n">
        <f aca="false">MAX(0,MIN(1,1-(1-CJ269)*AO269/AN269))</f>
        <v>0.187053091702744</v>
      </c>
      <c r="CL269" s="44" t="n">
        <f aca="false">CH269+CK269*(CI269-CH269)</f>
        <v>22.3106170264176</v>
      </c>
      <c r="CM269" s="44" t="n">
        <f aca="false">CH269+MAX(0,MIN(1,1-(1-CJ269)*AQ269/AN269))*(CI269-CH269)</f>
        <v>21.3177449518561</v>
      </c>
      <c r="CN269" s="44" t="n">
        <f aca="false">CH269+MAX(0,MIN(1,1-(1-CJ269)*AP269/AN269))*(CI269-CH269)</f>
        <v>23.6707785977481</v>
      </c>
      <c r="CO269" s="44" t="n">
        <f aca="false">CL269-CG269</f>
        <v>-0.315097259296699</v>
      </c>
      <c r="CP269" s="44" t="n">
        <f aca="false">CL269-(CH269+CJ269*(CI269-CH269))</f>
        <v>0.35591575449855</v>
      </c>
      <c r="CQ269" s="46" t="n">
        <f aca="false">CL269/CG269</f>
        <v>0.986073488981709</v>
      </c>
      <c r="CR269" s="43" t="n">
        <f aca="false">IF(CL269-CH269&lt;=0,"n/a",(CI269-CL269)/(CL269-CH269))</f>
        <v>4.34607576328731</v>
      </c>
      <c r="CS269" s="43" t="n">
        <f aca="false">IF(CI269-CL269&lt;=0,"n/a",(CL269-CH269)/(CI269-CL269))</f>
        <v>0.230092629412335</v>
      </c>
      <c r="CT269" s="43" t="n">
        <f aca="false">Inputs_General!$C$23+Inputs_General!$C$24*$I269</f>
        <v>0.76</v>
      </c>
      <c r="CU269" s="44" t="n">
        <f aca="false">3.29*CT269</f>
        <v>2.5004</v>
      </c>
    </row>
    <row r="270" customFormat="false" ht="15" hidden="false" customHeight="false" outlineLevel="0" collapsed="false">
      <c r="A270" s="9" t="str">
        <f aca="false">B270&amp;"|"&amp;E270&amp;"|"&amp;F270</f>
        <v>D4V3|11/02/2026|Moderate</v>
      </c>
      <c r="B270" s="7" t="s">
        <v>354</v>
      </c>
      <c r="C270" s="9" t="s">
        <v>133</v>
      </c>
      <c r="D270" s="9" t="s">
        <v>150</v>
      </c>
      <c r="E270" s="9" t="s">
        <v>158</v>
      </c>
      <c r="F270" s="7" t="s">
        <v>281</v>
      </c>
      <c r="G270" s="9" t="s">
        <v>282</v>
      </c>
      <c r="H270" s="41" t="n">
        <f aca="false">INDEX(Severity_Classes!$C$4:$C$9,MATCH(F270,Severity_Classes!$A$4:$A$9,0))</f>
        <v>0.11</v>
      </c>
      <c r="I270" s="41" t="n">
        <f aca="false">INDEX(Severity_Classes!$D$4:$D$9,MATCH(F270,Severity_Classes!$A$4:$A$9,0))</f>
        <v>0.18</v>
      </c>
      <c r="J270" s="41" t="n">
        <f aca="false">INDEX(Severity_Classes!$E$4:$E$9,MATCH(F270,Severity_Classes!$A$4:$A$9,0))</f>
        <v>0.25</v>
      </c>
      <c r="K270" s="42" t="n">
        <f aca="false">MATCH(B270&amp;"|"&amp;E270,Context!$A$4:$A$51,0)</f>
        <v>45</v>
      </c>
      <c r="L270" s="42" t="n">
        <f aca="false">INDEX(Context!$H$4:$H$51,K270)</f>
        <v>33</v>
      </c>
      <c r="M270" s="42" t="n">
        <f aca="false">INDEX(Context!$I$4:$I$51,K270)</f>
        <v>6</v>
      </c>
      <c r="N270" s="9" t="str">
        <f aca="false">INDEX(Context!$L$4:$L$51,K270)</f>
        <v>V</v>
      </c>
      <c r="O270" s="9" t="str">
        <f aca="false">INDEX(Context!$M$4:$M$51,K270)</f>
        <v>3rd fully expanded leaf from top</v>
      </c>
      <c r="P270" s="43" t="n">
        <f aca="false">INDEX(Context!$R$4:$R$51,K270)</f>
        <v>0</v>
      </c>
      <c r="Q270" s="43" t="n">
        <f aca="false">INDEX(Context!$U$4:$U$51,K270)</f>
        <v>0.937791824040773</v>
      </c>
      <c r="R270" s="43" t="n">
        <f aca="false">INDEX(Context!$AD$4:$AD$51,K270)</f>
        <v>0.85</v>
      </c>
      <c r="S270" s="9" t="str">
        <f aca="false">INDEX(Context!$AI$4:$AN$51,K270,MATCH(F270,Severity_Classes!$A$4:$A$9,0))</f>
        <v>Unlikely (only via pre-inoculation natural infection)</v>
      </c>
      <c r="T270" s="44" t="n">
        <f aca="false">Parameters!$E$4*IF($N270="V",Parameters!$I$4,IF($N270="F",Parameters!$J$4,Parameters!$K$4))*(1-Parameters!$L$4*$P270)*IF($D270="V1",Parameters!$M$4,IF($D270="V2",Parameters!$N$4,Parameters!$O$4))</f>
        <v>86</v>
      </c>
      <c r="U270" s="44" t="n">
        <f aca="false">MIN(100,T270*(1+INDEX(Response_Table!$E$4:$E$21,MATCH($F270&amp;"|mid",Response_Table!$A$4:$A$21,0))*$R270*INDEX(Parameters!$X$4:$AA$4,1,MATCH($E270,Parameters!$X$3:$AA$3,0))))</f>
        <v>84.3373431816016</v>
      </c>
      <c r="V270" s="44" t="n">
        <f aca="false">MAX(0,MIN(T270*(1+INDEX(Response_Table!$E$4:$E$21,MATCH($F270&amp;"|low",Response_Table!$A$4:$A$21,0))*$R270*INDEX(Parameters!$X$4:$AA$4,1,MATCH($E270,Parameters!$X$3:$AA$3,0))),T270*(1+INDEX(Response_Table!$E$4:$E$21,MATCH($F270&amp;"|high",Response_Table!$A$4:$A$21,0))*$R270*INDEX(Parameters!$X$4:$AA$4,1,MATCH($E270,Parameters!$X$3:$AA$3,0))))*(1-Inputs_General!$C$22*Parameters!$F$4))</f>
        <v>77.6244159535121</v>
      </c>
      <c r="W270" s="44" t="n">
        <f aca="false">MIN(100,MAX(T270*(1+INDEX(Response_Table!$E$4:$E$21,MATCH($F270&amp;"|low",Response_Table!$A$4:$A$21,0))*$R270*INDEX(Parameters!$X$4:$AA$4,1,MATCH($E270,Parameters!$X$3:$AA$3,0))),T270*(1+INDEX(Response_Table!$E$4:$E$21,MATCH($F270&amp;"|high",Response_Table!$A$4:$A$21,0))*$R270*INDEX(Parameters!$X$4:$AA$4,1,MATCH($E270,Parameters!$X$3:$AA$3,0))))*(1+Inputs_General!$C$22*Parameters!$F$4))</f>
        <v>90.8227518044298</v>
      </c>
      <c r="X270" s="45" t="n">
        <f aca="false">IF(T270=0,0,U270/T270-1)</f>
        <v>-0.019333218818586</v>
      </c>
      <c r="Y270" s="44" t="n">
        <f aca="false">Parameters!$E$5*IF($N270="V",Parameters!$I$5,IF($N270="F",Parameters!$J$5,Parameters!$K$5))*(1-Parameters!$L$5*$P270)*IF($D270="V1",Parameters!$M$5,IF($D270="V2",Parameters!$N$5,Parameters!$O$5))</f>
        <v>72</v>
      </c>
      <c r="Z270" s="44" t="n">
        <f aca="false">MIN(100,Y270*(1+INDEX(Response_Table!$F$4:$F$21,MATCH($F270&amp;"|mid",Response_Table!$A$4:$A$21,0))*$R270*INDEX(Parameters!$X$5:$AA$5,1,MATCH($E270,Parameters!$X$3:$AA$3,0))))</f>
        <v>67.1915162327264</v>
      </c>
      <c r="AA270" s="44" t="n">
        <f aca="false">MAX(0,MIN(Y270*(1+INDEX(Response_Table!$F$4:$F$21,MATCH($F270&amp;"|low",Response_Table!$A$4:$A$21,0))*$R270*INDEX(Parameters!$X$5:$AA$5,1,MATCH($E270,Parameters!$X$3:$AA$3,0))),Y270*(1+INDEX(Response_Table!$F$4:$F$21,MATCH($F270&amp;"|high",Response_Table!$A$4:$A$21,0))*$R270*INDEX(Parameters!$X$5:$AA$5,1,MATCH($E270,Parameters!$X$3:$AA$3,0))))*(1-Inputs_General!$C$22*Parameters!$F$5))</f>
        <v>56.3054828108666</v>
      </c>
      <c r="AB270" s="44" t="n">
        <f aca="false">MIN(100,MAX(Y270*(1+INDEX(Response_Table!$F$4:$F$21,MATCH($F270&amp;"|low",Response_Table!$A$4:$A$21,0))*$R270*INDEX(Parameters!$X$5:$AA$5,1,MATCH($E270,Parameters!$X$3:$AA$3,0))),Y270*(1+INDEX(Response_Table!$F$4:$F$21,MATCH($F270&amp;"|high",Response_Table!$A$4:$A$21,0))*$R270*INDEX(Parameters!$X$5:$AA$5,1,MATCH($E270,Parameters!$X$3:$AA$3,0))))*(1+Inputs_General!$C$22*Parameters!$F$5))</f>
        <v>77.8293367585339</v>
      </c>
      <c r="AC270" s="45" t="n">
        <f aca="false">IF(Y270=0,0,Z270/Y270-1)</f>
        <v>-0.0667844967676885</v>
      </c>
      <c r="AD270" s="44" t="n">
        <f aca="false">Parameters!$E$6*IF($N270="V",Parameters!$I$6,IF($N270="F",Parameters!$J$6,Parameters!$K$6))*(1-Parameters!$L$6*$P270)*IF($D270="V1",Parameters!$M$6,IF($D270="V2",Parameters!$N$6,Parameters!$O$6))</f>
        <v>19.57</v>
      </c>
      <c r="AE270" s="44" t="n">
        <f aca="false">AD270*(1+INDEX(Response_Table!$G$4:$G$21,MATCH($F270&amp;"|mid",Response_Table!$A$4:$A$21,0))*$R270*INDEX(Parameters!$X$6:$AA$6,1,MATCH($E270,Parameters!$X$3:$AA$3,0)))</f>
        <v>14.109938424119</v>
      </c>
      <c r="AF270" s="44" t="n">
        <f aca="false">MAX(0,MIN(AD270*(1+INDEX(Response_Table!$G$4:$G$21,MATCH($F270&amp;"|low",Response_Table!$A$4:$A$21,0))*$R270*INDEX(Parameters!$X$6:$AA$6,1,MATCH($E270,Parameters!$X$3:$AA$3,0))),AD270*(1+INDEX(Response_Table!$G$4:$G$21,MATCH($F270&amp;"|high",Response_Table!$A$4:$A$21,0))*$R270*INDEX(Parameters!$X$6:$AA$6,1,MATCH($E270,Parameters!$X$3:$AA$3,0))))*(1-Inputs_General!$C$22*Parameters!$F$6))</f>
        <v>10.3628392647575</v>
      </c>
      <c r="AG270" s="44" t="n">
        <f aca="false">MAX(AD270*(1+INDEX(Response_Table!$G$4:$G$21,MATCH($F270&amp;"|low",Response_Table!$A$4:$A$21,0))*$R270*INDEX(Parameters!$X$6:$AA$6,1,MATCH($E270,Parameters!$X$3:$AA$3,0))),AD270*(1+INDEX(Response_Table!$G$4:$G$21,MATCH($F270&amp;"|high",Response_Table!$A$4:$A$21,0))*$R270*INDEX(Parameters!$X$6:$AA$6,1,MATCH($E270,Parameters!$X$3:$AA$3,0))))*(1+Inputs_General!$C$22*Parameters!$F$6)</f>
        <v>18.8477192125379</v>
      </c>
      <c r="AH270" s="45" t="n">
        <f aca="false">IF(AD270=0,0,AE270/AD270-1)</f>
        <v>-0.279001613483956</v>
      </c>
      <c r="AI270" s="46" t="n">
        <f aca="false">Parameters!$E$7*IF($N270="V",Parameters!$I$7,IF($N270="F",Parameters!$J$7,Parameters!$K$7))*(1-Parameters!$L$7*$P270)*IF($D270="V1",Parameters!$M$7,IF($D270="V2",Parameters!$N$7,Parameters!$O$7))*POWER($Q270/Inputs_General!$C$26,-Inputs_General!$C$25)</f>
        <v>0.464685683730118</v>
      </c>
      <c r="AJ270" s="46" t="n">
        <f aca="false">AI270*(1+INDEX(Response_Table!$H$4:$H$21,MATCH($F270&amp;"|mid",Response_Table!$A$4:$A$21,0))*$R270*INDEX(Parameters!$X$7:$AA$7,1,MATCH($E270,Parameters!$X$3:$AA$3,0)))</f>
        <v>0.378985899904253</v>
      </c>
      <c r="AK270" s="46" t="n">
        <f aca="false">MAX(0,MIN(AI270*(1+INDEX(Response_Table!$H$4:$H$21,MATCH($F270&amp;"|low",Response_Table!$A$4:$A$21,0))*$R270*INDEX(Parameters!$X$7:$AA$7,1,MATCH($E270,Parameters!$X$3:$AA$3,0))),AI270*(1+INDEX(Response_Table!$H$4:$H$21,MATCH($F270&amp;"|high",Response_Table!$A$4:$A$21,0))*$R270*INDEX(Parameters!$X$7:$AA$7,1,MATCH($E270,Parameters!$X$3:$AA$3,0))))*(1-Inputs_General!$C$22*Parameters!$F$7))</f>
        <v>0.250809765473722</v>
      </c>
      <c r="AL270" s="46" t="n">
        <f aca="false">MAX(AI270*(1+INDEX(Response_Table!$H$4:$H$21,MATCH($F270&amp;"|low",Response_Table!$A$4:$A$21,0))*$R270*INDEX(Parameters!$X$7:$AA$7,1,MATCH($E270,Parameters!$X$3:$AA$3,0))),AI270*(1+INDEX(Response_Table!$H$4:$H$21,MATCH($F270&amp;"|high",Response_Table!$A$4:$A$21,0))*$R270*INDEX(Parameters!$X$7:$AA$7,1,MATCH($E270,Parameters!$X$3:$AA$3,0))))*(1+Inputs_General!$C$22*Parameters!$F$7)</f>
        <v>0.527454541358391</v>
      </c>
      <c r="AM270" s="45" t="n">
        <f aca="false">IF(AI270=0,0,AJ270/AI270-1)</f>
        <v>-0.184425272450697</v>
      </c>
      <c r="AN270" s="43" t="n">
        <f aca="false">AI270*$Q270/Inputs_General!$C$13*1000</f>
        <v>4.38850387664553</v>
      </c>
      <c r="AO270" s="43" t="n">
        <f aca="false">AJ270*$Q270/Inputs_General!$C$13*1000*(1+Inputs_General!$C$21*$I270)</f>
        <v>3.74021473195373</v>
      </c>
      <c r="AP270" s="43" t="n">
        <f aca="false">AK270*$Q270/Inputs_General!$C$13*1000*(1+Inputs_General!$C$21*$H270)</f>
        <v>2.43379203933272</v>
      </c>
      <c r="AQ270" s="43" t="n">
        <f aca="false">AL270*$Q270/Inputs_General!$C$13*1000*(1+Inputs_General!$C$21*$J270)</f>
        <v>5.29262554095183</v>
      </c>
      <c r="AR270" s="45" t="n">
        <f aca="false">IF(AN270=0,0,AO270/AN270-1)</f>
        <v>-0.147724409710978</v>
      </c>
      <c r="AS270" s="42" t="n">
        <f aca="false">Parameters!$E$9*IF($N270="V",Parameters!$I$9,IF($N270="F",Parameters!$J$9,Parameters!$K$9))*(1-Parameters!$L$9*$P270)*IF($D270="V1",Parameters!$M$9,IF($D270="V2",Parameters!$N$9,Parameters!$O$9))</f>
        <v>285</v>
      </c>
      <c r="AT270" s="42" t="n">
        <f aca="false">AS270*(1+INDEX(Response_Table!$I$4:$I$21,MATCH($F270&amp;"|mid",Response_Table!$A$4:$A$21,0))*$R270*INDEX(Parameters!$X$9:$AA$9,1,MATCH($E270,Parameters!$X$3:$AA$3,0)))</f>
        <v>314.840223838487</v>
      </c>
      <c r="AU270" s="42" t="n">
        <f aca="false">MAX(0,MIN(AS270*(1+INDEX(Response_Table!$I$4:$I$21,MATCH($F270&amp;"|low",Response_Table!$A$4:$A$21,0))*$R270*INDEX(Parameters!$X$9:$AA$9,1,MATCH($E270,Parameters!$X$3:$AA$3,0))),AS270*(1+INDEX(Response_Table!$I$4:$I$21,MATCH($F270&amp;"|high",Response_Table!$A$4:$A$21,0))*$R270*INDEX(Parameters!$X$9:$AA$9,1,MATCH($E270,Parameters!$X$3:$AA$3,0))))*(1-Inputs_General!$C$22*Parameters!$F$9))</f>
        <v>275.523554669625</v>
      </c>
      <c r="AV270" s="42" t="n">
        <f aca="false">MAX(AS270*(1+INDEX(Response_Table!$I$4:$I$21,MATCH($F270&amp;"|low",Response_Table!$A$4:$A$21,0))*$R270*INDEX(Parameters!$X$9:$AA$9,1,MATCH($E270,Parameters!$X$3:$AA$3,0))),AS270*(1+INDEX(Response_Table!$I$4:$I$21,MATCH($F270&amp;"|high",Response_Table!$A$4:$A$21,0))*$R270*INDEX(Parameters!$X$9:$AA$9,1,MATCH($E270,Parameters!$X$3:$AA$3,0))))*(1+Inputs_General!$C$22*Parameters!$F$9)</f>
        <v>353.508361283244</v>
      </c>
      <c r="AW270" s="45" t="n">
        <f aca="false">IF(AS270=0,0,AT270/AS270-1)</f>
        <v>0.104702539784166</v>
      </c>
      <c r="AX270" s="43" t="n">
        <f aca="false">INDEX(Context!$AB$4:$AB$51,$K270)</f>
        <v>0.458305270557464</v>
      </c>
      <c r="AY270" s="43" t="n">
        <f aca="false">AX270*(1+INDEX(Response_Table!$J$4:$J$21,MATCH($F270&amp;"|mid",Response_Table!$A$4:$A$21,0))*$R270*INDEX(Parameters!$X$10:$AA$10,1,MATCH($E270,Parameters!$X$3:$AA$3,0)))</f>
        <v>0.426543058074903</v>
      </c>
      <c r="AZ270" s="43" t="n">
        <f aca="false">MAX(0,MIN(AX270*(1+INDEX(Response_Table!$J$4:$J$21,MATCH($F270&amp;"|low",Response_Table!$A$4:$A$21,0))*$R270*INDEX(Parameters!$X$10:$AA$10,1,MATCH($E270,Parameters!$X$3:$AA$3,0))),AX270*(1+INDEX(Response_Table!$J$4:$J$21,MATCH($F270&amp;"|high",Response_Table!$A$4:$A$21,0))*$R270*INDEX(Parameters!$X$10:$AA$10,1,MATCH($E270,Parameters!$X$3:$AA$3,0))))*(1-Inputs_General!$C$22*Parameters!$F$10))</f>
        <v>0.335142102888039</v>
      </c>
      <c r="BA270" s="43" t="n">
        <f aca="false">MAX(AX270*(1+INDEX(Response_Table!$J$4:$J$21,MATCH($F270&amp;"|low",Response_Table!$A$4:$A$21,0))*$R270*INDEX(Parameters!$X$10:$AA$10,1,MATCH($E270,Parameters!$X$3:$AA$3,0))),AX270*(1+INDEX(Response_Table!$J$4:$J$21,MATCH($F270&amp;"|high",Response_Table!$A$4:$A$21,0))*$R270*INDEX(Parameters!$X$10:$AA$10,1,MATCH($E270,Parameters!$X$3:$AA$3,0))))*(1+Inputs_General!$C$22*Parameters!$F$10)</f>
        <v>0.523541063791438</v>
      </c>
      <c r="BB270" s="45" t="n">
        <f aca="false">IF(AX270=0,0,AY270/AX270-1)</f>
        <v>-0.0693036160023358</v>
      </c>
      <c r="BC270" s="46" t="n">
        <f aca="false">Parameters!$E$11*IF($N270="V",Parameters!$I$11,IF($N270="F",Parameters!$J$11,Parameters!$K$11))*(1-Parameters!$L$11*$P270)*IF($D270="V1",Parameters!$M$11,IF($D270="V2",Parameters!$N$11,Parameters!$O$11))</f>
        <v>1.223125</v>
      </c>
      <c r="BD270" s="46" t="n">
        <f aca="false">BC270*(1+INDEX(Response_Table!$K$4:$K$21,MATCH($F270&amp;"|mid",Response_Table!$A$4:$A$21,0))*$R270*INDEX(Parameters!$X$11:$AA$11,1,MATCH($E270,Parameters!$X$3:$AA$3,0)))</f>
        <v>1.07517806337523</v>
      </c>
      <c r="BE270" s="46" t="n">
        <f aca="false">MAX(0,MIN(BC270*(1+INDEX(Response_Table!$K$4:$K$21,MATCH($F270&amp;"|low",Response_Table!$A$4:$A$21,0))*$R270*INDEX(Parameters!$X$11:$AA$11,1,MATCH($E270,Parameters!$X$3:$AA$3,0))),BC270*(1+INDEX(Response_Table!$K$4:$K$21,MATCH($F270&amp;"|high",Response_Table!$A$4:$A$21,0))*$R270*INDEX(Parameters!$X$11:$AA$11,1,MATCH($E270,Parameters!$X$3:$AA$3,0))))*(1-Inputs_General!$C$22*Parameters!$F$11))</f>
        <v>0.866463387831504</v>
      </c>
      <c r="BF270" s="46" t="n">
        <f aca="false">MAX(BC270*(1+INDEX(Response_Table!$K$4:$K$21,MATCH($F270&amp;"|low",Response_Table!$A$4:$A$21,0))*$R270*INDEX(Parameters!$X$11:$AA$11,1,MATCH($E270,Parameters!$X$3:$AA$3,0))),BC270*(1+INDEX(Response_Table!$K$4:$K$21,MATCH($F270&amp;"|high",Response_Table!$A$4:$A$21,0))*$R270*INDEX(Parameters!$X$11:$AA$11,1,MATCH($E270,Parameters!$X$3:$AA$3,0))))*(1+Inputs_General!$C$22*Parameters!$F$11)</f>
        <v>1.30757842400299</v>
      </c>
      <c r="BG270" s="45" t="n">
        <f aca="false">IF(BC270=0,0,BD270/BC270-1)</f>
        <v>-0.120958149514378</v>
      </c>
      <c r="BH270" s="46" t="n">
        <f aca="false">Parameters!$E$12*IF($N270="V",Parameters!$I$12,IF($N270="F",Parameters!$J$12,Parameters!$K$12))*(1-Parameters!$L$12*$P270)*IF($D270="V1",Parameters!$M$12,IF($D270="V2",Parameters!$N$12,Parameters!$O$12))</f>
        <v>0.440325</v>
      </c>
      <c r="BI270" s="46" t="n">
        <f aca="false">BH270*(1+INDEX(Response_Table!$L$4:$L$21,MATCH($F270&amp;"|mid",Response_Table!$A$4:$A$21,0))*$R270*INDEX(Parameters!$X$12:$AA$12,1,MATCH($E270,Parameters!$X$3:$AA$3,0)))</f>
        <v>0.397378959662962</v>
      </c>
      <c r="BJ270" s="46" t="n">
        <f aca="false">MAX(0,MIN(BH270*(1+INDEX(Response_Table!$L$4:$L$21,MATCH($F270&amp;"|low",Response_Table!$A$4:$A$21,0))*$R270*INDEX(Parameters!$X$12:$AA$12,1,MATCH($E270,Parameters!$X$3:$AA$3,0))),BH270*(1+INDEX(Response_Table!$L$4:$L$21,MATCH($F270&amp;"|high",Response_Table!$A$4:$A$21,0))*$R270*INDEX(Parameters!$X$12:$AA$12,1,MATCH($E270,Parameters!$X$3:$AA$3,0))))*(1-Inputs_General!$C$22*Parameters!$F$12))</f>
        <v>0.309817899359143</v>
      </c>
      <c r="BK270" s="46" t="n">
        <f aca="false">MAX(BH270*(1+INDEX(Response_Table!$L$4:$L$21,MATCH($F270&amp;"|low",Response_Table!$A$4:$A$21,0))*$R270*INDEX(Parameters!$X$12:$AA$12,1,MATCH($E270,Parameters!$X$3:$AA$3,0))),BH270*(1+INDEX(Response_Table!$L$4:$L$21,MATCH($F270&amp;"|high",Response_Table!$A$4:$A$21,0))*$R270*INDEX(Parameters!$X$12:$AA$12,1,MATCH($E270,Parameters!$X$3:$AA$3,0))))*(1+Inputs_General!$C$22*Parameters!$F$12)</f>
        <v>0.492604316687293</v>
      </c>
      <c r="BL270" s="45" t="n">
        <f aca="false">IF(BH270=0,0,BI270/BH270-1)</f>
        <v>-0.0975325960075799</v>
      </c>
      <c r="BM270" s="46" t="n">
        <f aca="false">Parameters!$E$13*IF($N270="V",Parameters!$I$13,IF($N270="F",Parameters!$J$13,Parameters!$K$13))*(1-Parameters!$L$13*$P270)*IF($D270="V1",Parameters!$M$13,IF($D270="V2",Parameters!$N$13,Parameters!$O$13))</f>
        <v>0.29355</v>
      </c>
      <c r="BN270" s="46" t="n">
        <f aca="false">BM270*(1+INDEX(Response_Table!$M$4:$M$21,MATCH($F270&amp;"|mid",Response_Table!$A$4:$A$21,0))*$R270*INDEX(Parameters!$X$13:$AA$13,1,MATCH($E270,Parameters!$X$3:$AA$3,0)))</f>
        <v>0.282818066994716</v>
      </c>
      <c r="BO270" s="46" t="n">
        <f aca="false">MAX(0,MIN(BM270*(1+INDEX(Response_Table!$M$4:$M$21,MATCH($F270&amp;"|low",Response_Table!$A$4:$A$21,0))*$R270*INDEX(Parameters!$X$13:$AA$13,1,MATCH($E270,Parameters!$X$3:$AA$3,0))),BM270*(1+INDEX(Response_Table!$M$4:$M$21,MATCH($F270&amp;"|high",Response_Table!$A$4:$A$21,0))*$R270*INDEX(Parameters!$X$13:$AA$13,1,MATCH($E270,Parameters!$X$3:$AA$3,0))))*(1-Inputs_General!$C$22*Parameters!$F$13))</f>
        <v>0.220055747756255</v>
      </c>
      <c r="BP270" s="46" t="n">
        <f aca="false">MAX(BM270*(1+INDEX(Response_Table!$M$4:$M$21,MATCH($F270&amp;"|low",Response_Table!$A$4:$A$21,0))*$R270*INDEX(Parameters!$X$13:$AA$13,1,MATCH($E270,Parameters!$X$3:$AA$3,0))),BM270*(1+INDEX(Response_Table!$M$4:$M$21,MATCH($F270&amp;"|high",Response_Table!$A$4:$A$21,0))*$R270*INDEX(Parameters!$X$13:$AA$13,1,MATCH($E270,Parameters!$X$3:$AA$3,0))))*(1+Inputs_General!$C$22*Parameters!$F$13)</f>
        <v>0.349569929374044</v>
      </c>
      <c r="BQ270" s="45" t="n">
        <f aca="false">IF(BM270=0,0,BN270/BM270-1)</f>
        <v>-0.0365591313414543</v>
      </c>
      <c r="BR270" s="44" t="n">
        <f aca="false">Parameters!$E$14*IF($N270="V",Parameters!$I$14,IF($N270="F",Parameters!$J$14,Parameters!$K$14))*(1-Parameters!$L$14*$P270)*IF($D270="V1",Parameters!$M$14,IF($D270="V2",Parameters!$N$14,Parameters!$O$14))*INDEX(Context!$AC$4:$AC$51,$K270)</f>
        <v>23.1</v>
      </c>
      <c r="BS270" s="44" t="n">
        <f aca="false">BR270*(1+INDEX(Response_Table!$N$4:$N$21,MATCH($F270&amp;"|mid",Response_Table!$A$4:$A$21,0))*$R270*INDEX(Parameters!$X$14:$AA$14,1,MATCH($E270,Parameters!$X$3:$AA$3,0)))</f>
        <v>25.557821419391</v>
      </c>
      <c r="BT270" s="44" t="n">
        <f aca="false">MAX(0,MIN(BR270*(1+INDEX(Response_Table!$N$4:$N$21,MATCH($F270&amp;"|low",Response_Table!$A$4:$A$21,0))*$R270*INDEX(Parameters!$X$14:$AA$14,1,MATCH($E270,Parameters!$X$3:$AA$3,0))),BR270*(1+INDEX(Response_Table!$N$4:$N$21,MATCH($F270&amp;"|high",Response_Table!$A$4:$A$21,0))*$R270*INDEX(Parameters!$X$14:$AA$14,1,MATCH($E270,Parameters!$X$3:$AA$3,0))))*(1-Inputs_General!$C$22*Parameters!$F$14))</f>
        <v>12.538751792473</v>
      </c>
      <c r="BU270" s="44" t="n">
        <f aca="false">MAX(BR270*(1+INDEX(Response_Table!$N$4:$N$21,MATCH($F270&amp;"|low",Response_Table!$A$4:$A$21,0))*$R270*INDEX(Parameters!$X$14:$AA$14,1,MATCH($E270,Parameters!$X$3:$AA$3,0))),BR270*(1+INDEX(Response_Table!$N$4:$N$21,MATCH($F270&amp;"|high",Response_Table!$A$4:$A$21,0))*$R270*INDEX(Parameters!$X$14:$AA$14,1,MATCH($E270,Parameters!$X$3:$AA$3,0))))*(1+Inputs_General!$C$22*Parameters!$F$14)</f>
        <v>39.1416850702816</v>
      </c>
      <c r="BV270" s="45" t="n">
        <f aca="false">IF(BR270=0,0,BS270/BR270-1)</f>
        <v>0.106399195644633</v>
      </c>
      <c r="BW270" s="43" t="n">
        <f aca="false">Parameters!$E$15*IF($N270="V",Parameters!$I$15,IF($N270="F",Parameters!$J$15,Parameters!$K$15))*(1-Parameters!$L$15*$P270)*IF($D270="V1",Parameters!$M$15,IF($D270="V2",Parameters!$N$15,Parameters!$O$15))</f>
        <v>10.8</v>
      </c>
      <c r="BX270" s="43" t="n">
        <f aca="false">BW270*(1+INDEX(Response_Table!$O$4:$O$21,MATCH($F270&amp;"|mid",Response_Table!$A$4:$A$21,0))*$R270*INDEX(Parameters!$X$15:$AA$15,1,MATCH($E270,Parameters!$X$3:$AA$3,0)))</f>
        <v>10.5127221717595</v>
      </c>
      <c r="BY270" s="43" t="n">
        <f aca="false">MAX(0,MIN(BW270*(1+INDEX(Response_Table!$O$4:$O$21,MATCH($F270&amp;"|low",Response_Table!$A$4:$A$21,0))*$R270*INDEX(Parameters!$X$15:$AA$15,1,MATCH($E270,Parameters!$X$3:$AA$3,0))),BW270*(1+INDEX(Response_Table!$O$4:$O$21,MATCH($F270&amp;"|high",Response_Table!$A$4:$A$21,0))*$R270*INDEX(Parameters!$X$15:$AA$15,1,MATCH($E270,Parameters!$X$3:$AA$3,0))))*(1-Inputs_General!$C$22*Parameters!$F$15))</f>
        <v>8.37651498061582</v>
      </c>
      <c r="BZ270" s="43" t="n">
        <f aca="false">MAX(BW270*(1+INDEX(Response_Table!$O$4:$O$21,MATCH($F270&amp;"|low",Response_Table!$A$4:$A$21,0))*$R270*INDEX(Parameters!$X$15:$AA$15,1,MATCH($E270,Parameters!$X$3:$AA$3,0))),BW270*(1+INDEX(Response_Table!$O$4:$O$21,MATCH($F270&amp;"|high",Response_Table!$A$4:$A$21,0))*$R270*INDEX(Parameters!$X$15:$AA$15,1,MATCH($E270,Parameters!$X$3:$AA$3,0))))*(1+Inputs_General!$C$22*Parameters!$F$15)</f>
        <v>12.7001979431862</v>
      </c>
      <c r="CA270" s="45" t="n">
        <f aca="false">IF(BW270=0,0,BX270/BW270-1)</f>
        <v>-0.0265997989111582</v>
      </c>
      <c r="CB270" s="46" t="n">
        <f aca="false">BD270+BI270</f>
        <v>1.47255702303819</v>
      </c>
      <c r="CC270" s="43" t="n">
        <f aca="false">BD270/BI270</f>
        <v>2.70567436254587</v>
      </c>
      <c r="CD270" s="46" t="n">
        <f aca="false">BN270/CB270</f>
        <v>0.192059161424665</v>
      </c>
      <c r="CE270" s="43" t="n">
        <f aca="false">AE270/AO270</f>
        <v>3.77249421098038</v>
      </c>
      <c r="CF270" s="44" t="n">
        <f aca="false">AE270/AJ270</f>
        <v>37.2307740939273</v>
      </c>
      <c r="CG270" s="44" t="n">
        <f aca="false">INDEX(Context!$V$4:$V$51,$K270)</f>
        <v>22.6257142857143</v>
      </c>
      <c r="CH270" s="44" t="n">
        <f aca="false">INDEX(Context!$Y$4:$Y$51,$K270)</f>
        <v>21.3177449518561</v>
      </c>
      <c r="CI270" s="44" t="n">
        <f aca="false">INDEX(Context!$Z$4:$Z$51,$K270)</f>
        <v>26.6257142857143</v>
      </c>
      <c r="CJ270" s="43" t="n">
        <f aca="false">INDEX(Context!$AA$4:$AA$51,$K270)</f>
        <v>0.12</v>
      </c>
      <c r="CK270" s="43" t="n">
        <f aca="false">MAX(0,MIN(1,1-(1-CJ270)*AO270/AN270))</f>
        <v>0.249997480545661</v>
      </c>
      <c r="CL270" s="44" t="n">
        <f aca="false">CH270+CK270*(CI270-CH270)</f>
        <v>22.6447239121342</v>
      </c>
      <c r="CM270" s="44" t="n">
        <f aca="false">CH270+MAX(0,MIN(1,1-(1-CJ270)*AQ270/AN270))*(CI270-CH270)</f>
        <v>21.3177449518561</v>
      </c>
      <c r="CN270" s="44" t="n">
        <f aca="false">CH270+MAX(0,MIN(1,1-(1-CJ270)*AP270/AN270))*(CI270-CH270)</f>
        <v>24.0352473274661</v>
      </c>
      <c r="CO270" s="44" t="n">
        <f aca="false">CL270-CG270</f>
        <v>0.0190096264199475</v>
      </c>
      <c r="CP270" s="44" t="n">
        <f aca="false">CL270-(CH270+CJ270*(CI270-CH270))</f>
        <v>0.690022640215197</v>
      </c>
      <c r="CQ270" s="46" t="n">
        <f aca="false">CL270/CG270</f>
        <v>1.00084017795769</v>
      </c>
      <c r="CR270" s="43" t="n">
        <f aca="false">IF(CL270-CH270&lt;=0,"n/a",(CI270-CL270)/(CL270-CH270))</f>
        <v>3.00004031167569</v>
      </c>
      <c r="CS270" s="43" t="n">
        <f aca="false">IF(CI270-CL270&lt;=0,"n/a",(CL270-CH270)/(CI270-CL270))</f>
        <v>0.333328854318442</v>
      </c>
      <c r="CT270" s="43" t="n">
        <f aca="false">Inputs_General!$C$23+Inputs_General!$C$24*$I270</f>
        <v>0.96</v>
      </c>
      <c r="CU270" s="44" t="n">
        <f aca="false">3.29*CT270</f>
        <v>3.1584</v>
      </c>
    </row>
    <row r="271" customFormat="false" ht="15" hidden="false" customHeight="false" outlineLevel="0" collapsed="false">
      <c r="A271" s="9" t="str">
        <f aca="false">B271&amp;"|"&amp;E271&amp;"|"&amp;F271</f>
        <v>D4V3|11/02/2026|High</v>
      </c>
      <c r="B271" s="7" t="s">
        <v>354</v>
      </c>
      <c r="C271" s="9" t="s">
        <v>133</v>
      </c>
      <c r="D271" s="9" t="s">
        <v>150</v>
      </c>
      <c r="E271" s="9" t="s">
        <v>158</v>
      </c>
      <c r="F271" s="7" t="s">
        <v>283</v>
      </c>
      <c r="G271" s="9" t="s">
        <v>284</v>
      </c>
      <c r="H271" s="41" t="n">
        <f aca="false">INDEX(Severity_Classes!$C$4:$C$9,MATCH(F271,Severity_Classes!$A$4:$A$9,0))</f>
        <v>0.26</v>
      </c>
      <c r="I271" s="41" t="n">
        <f aca="false">INDEX(Severity_Classes!$D$4:$D$9,MATCH(F271,Severity_Classes!$A$4:$A$9,0))</f>
        <v>0.38</v>
      </c>
      <c r="J271" s="41" t="n">
        <f aca="false">INDEX(Severity_Classes!$E$4:$E$9,MATCH(F271,Severity_Classes!$A$4:$A$9,0))</f>
        <v>0.5</v>
      </c>
      <c r="K271" s="42" t="n">
        <f aca="false">MATCH(B271&amp;"|"&amp;E271,Context!$A$4:$A$51,0)</f>
        <v>45</v>
      </c>
      <c r="L271" s="42" t="n">
        <f aca="false">INDEX(Context!$H$4:$H$51,K271)</f>
        <v>33</v>
      </c>
      <c r="M271" s="42" t="n">
        <f aca="false">INDEX(Context!$I$4:$I$51,K271)</f>
        <v>6</v>
      </c>
      <c r="N271" s="9" t="str">
        <f aca="false">INDEX(Context!$L$4:$L$51,K271)</f>
        <v>V</v>
      </c>
      <c r="O271" s="9" t="str">
        <f aca="false">INDEX(Context!$M$4:$M$51,K271)</f>
        <v>3rd fully expanded leaf from top</v>
      </c>
      <c r="P271" s="43" t="n">
        <f aca="false">INDEX(Context!$R$4:$R$51,K271)</f>
        <v>0</v>
      </c>
      <c r="Q271" s="43" t="n">
        <f aca="false">INDEX(Context!$U$4:$U$51,K271)</f>
        <v>0.937791824040773</v>
      </c>
      <c r="R271" s="43" t="n">
        <f aca="false">INDEX(Context!$AD$4:$AD$51,K271)</f>
        <v>0.85</v>
      </c>
      <c r="S271" s="9" t="str">
        <f aca="false">INDEX(Context!$AI$4:$AN$51,K271,MATCH(F271,Severity_Classes!$A$4:$A$9,0))</f>
        <v>Unlikely (only via pre-inoculation natural infection)</v>
      </c>
      <c r="T271" s="44" t="n">
        <f aca="false">Parameters!$E$4*IF($N271="V",Parameters!$I$4,IF($N271="F",Parameters!$J$4,Parameters!$K$4))*(1-Parameters!$L$4*$P271)*IF($D271="V1",Parameters!$M$4,IF($D271="V2",Parameters!$N$4,Parameters!$O$4))</f>
        <v>86</v>
      </c>
      <c r="U271" s="44" t="n">
        <f aca="false">MIN(100,T271*(1+INDEX(Response_Table!$E$4:$E$21,MATCH($F271&amp;"|mid",Response_Table!$A$4:$A$21,0))*$R271*INDEX(Parameters!$X$4:$AA$4,1,MATCH($E271,Parameters!$X$3:$AA$3,0))))</f>
        <v>80.0955205012977</v>
      </c>
      <c r="V271" s="44" t="n">
        <f aca="false">MAX(0,MIN(T271*(1+INDEX(Response_Table!$E$4:$E$21,MATCH($F271&amp;"|low",Response_Table!$A$4:$A$21,0))*$R271*INDEX(Parameters!$X$4:$AA$4,1,MATCH($E271,Parameters!$X$3:$AA$3,0))),T271*(1+INDEX(Response_Table!$E$4:$E$21,MATCH($F271&amp;"|high",Response_Table!$A$4:$A$21,0))*$R271*INDEX(Parameters!$X$4:$AA$4,1,MATCH($E271,Parameters!$X$3:$AA$3,0))))*(1-Inputs_General!$C$22*Parameters!$F$4))</f>
        <v>72.5023724621942</v>
      </c>
      <c r="W271" s="44" t="n">
        <f aca="false">MIN(100,MAX(T271*(1+INDEX(Response_Table!$E$4:$E$21,MATCH($F271&amp;"|low",Response_Table!$A$4:$A$21,0))*$R271*INDEX(Parameters!$X$4:$AA$4,1,MATCH($E271,Parameters!$X$3:$AA$3,0))),T271*(1+INDEX(Response_Table!$E$4:$E$21,MATCH($F271&amp;"|high",Response_Table!$A$4:$A$21,0))*$R271*INDEX(Parameters!$X$4:$AA$4,1,MATCH($E271,Parameters!$X$3:$AA$3,0))))*(1+Inputs_General!$C$22*Parameters!$F$4))</f>
        <v>88.3390356887373</v>
      </c>
      <c r="X271" s="45" t="n">
        <f aca="false">IF(T271=0,0,U271/T271-1)</f>
        <v>-0.068656738357004</v>
      </c>
      <c r="Y271" s="44" t="n">
        <f aca="false">Parameters!$E$5*IF($N271="V",Parameters!$I$5,IF($N271="F",Parameters!$J$5,Parameters!$K$5))*(1-Parameters!$L$5*$P271)*IF($D271="V1",Parameters!$M$5,IF($D271="V2",Parameters!$N$5,Parameters!$O$5))</f>
        <v>72</v>
      </c>
      <c r="Z271" s="44" t="n">
        <f aca="false">MIN(100,Y271*(1+INDEX(Response_Table!$F$4:$F$21,MATCH($F271&amp;"|mid",Response_Table!$A$4:$A$21,0))*$R271*INDEX(Parameters!$X$5:$AA$5,1,MATCH($E271,Parameters!$X$3:$AA$3,0))))</f>
        <v>56.6910353087058</v>
      </c>
      <c r="AA271" s="44" t="n">
        <f aca="false">MAX(0,MIN(Y271*(1+INDEX(Response_Table!$F$4:$F$21,MATCH($F271&amp;"|low",Response_Table!$A$4:$A$21,0))*$R271*INDEX(Parameters!$X$5:$AA$5,1,MATCH($E271,Parameters!$X$3:$AA$3,0))),Y271*(1+INDEX(Response_Table!$F$4:$F$21,MATCH($F271&amp;"|high",Response_Table!$A$4:$A$21,0))*$R271*INDEX(Parameters!$X$5:$AA$5,1,MATCH($E271,Parameters!$X$3:$AA$3,0))))*(1-Inputs_General!$C$22*Parameters!$F$5))</f>
        <v>46.7613012949755</v>
      </c>
      <c r="AB271" s="44" t="n">
        <f aca="false">MIN(100,MAX(Y271*(1+INDEX(Response_Table!$F$4:$F$21,MATCH($F271&amp;"|low",Response_Table!$A$4:$A$21,0))*$R271*INDEX(Parameters!$X$5:$AA$5,1,MATCH($E271,Parameters!$X$3:$AA$3,0))),Y271*(1+INDEX(Response_Table!$F$4:$F$21,MATCH($F271&amp;"|high",Response_Table!$A$4:$A$21,0))*$R271*INDEX(Parameters!$X$5:$AA$5,1,MATCH($E271,Parameters!$X$3:$AA$3,0))))*(1+Inputs_General!$C$22*Parameters!$F$5))</f>
        <v>70.3365599923299</v>
      </c>
      <c r="AC271" s="45" t="n">
        <f aca="false">IF(Y271=0,0,Z271/Y271-1)</f>
        <v>-0.212624509601309</v>
      </c>
      <c r="AD271" s="44" t="n">
        <f aca="false">Parameters!$E$6*IF($N271="V",Parameters!$I$6,IF($N271="F",Parameters!$J$6,Parameters!$K$6))*(1-Parameters!$L$6*$P271)*IF($D271="V1",Parameters!$M$6,IF($D271="V2",Parameters!$N$6,Parameters!$O$6))</f>
        <v>19.57</v>
      </c>
      <c r="AE271" s="44" t="n">
        <f aca="false">AD271*(1+INDEX(Response_Table!$G$4:$G$21,MATCH($F271&amp;"|mid",Response_Table!$A$4:$A$21,0))*$R271*INDEX(Parameters!$X$6:$AA$6,1,MATCH($E271,Parameters!$X$3:$AA$3,0)))</f>
        <v>11.4643835682157</v>
      </c>
      <c r="AF271" s="44" t="n">
        <f aca="false">MAX(0,MIN(AD271*(1+INDEX(Response_Table!$G$4:$G$21,MATCH($F271&amp;"|low",Response_Table!$A$4:$A$21,0))*$R271*INDEX(Parameters!$X$6:$AA$6,1,MATCH($E271,Parameters!$X$3:$AA$3,0))),AD271*(1+INDEX(Response_Table!$G$4:$G$21,MATCH($F271&amp;"|high",Response_Table!$A$4:$A$21,0))*$R271*INDEX(Parameters!$X$6:$AA$6,1,MATCH($E271,Parameters!$X$3:$AA$3,0))))*(1-Inputs_General!$C$22*Parameters!$F$6))</f>
        <v>8.58396196814849</v>
      </c>
      <c r="AG271" s="44" t="n">
        <f aca="false">MAX(AD271*(1+INDEX(Response_Table!$G$4:$G$21,MATCH($F271&amp;"|low",Response_Table!$A$4:$A$21,0))*$R271*INDEX(Parameters!$X$6:$AA$6,1,MATCH($E271,Parameters!$X$3:$AA$3,0))),AD271*(1+INDEX(Response_Table!$G$4:$G$21,MATCH($F271&amp;"|high",Response_Table!$A$4:$A$21,0))*$R271*INDEX(Parameters!$X$6:$AA$6,1,MATCH($E271,Parameters!$X$3:$AA$3,0))))*(1+Inputs_General!$C$22*Parameters!$F$6)</f>
        <v>15.2890918754204</v>
      </c>
      <c r="AH271" s="45" t="n">
        <f aca="false">IF(AD271=0,0,AE271/AD271-1)</f>
        <v>-0.414185816647128</v>
      </c>
      <c r="AI271" s="46" t="n">
        <f aca="false">Parameters!$E$7*IF($N271="V",Parameters!$I$7,IF($N271="F",Parameters!$J$7,Parameters!$K$7))*(1-Parameters!$L$7*$P271)*IF($D271="V1",Parameters!$M$7,IF($D271="V2",Parameters!$N$7,Parameters!$O$7))*POWER($Q271/Inputs_General!$C$26,-Inputs_General!$C$25)</f>
        <v>0.464685683730118</v>
      </c>
      <c r="AJ271" s="46" t="n">
        <f aca="false">AI271*(1+INDEX(Response_Table!$H$4:$H$21,MATCH($F271&amp;"|mid",Response_Table!$A$4:$A$21,0))*$R271*INDEX(Parameters!$X$7:$AA$7,1,MATCH($E271,Parameters!$X$3:$AA$3,0)))</f>
        <v>0.324982583324998</v>
      </c>
      <c r="AK271" s="46" t="n">
        <f aca="false">MAX(0,MIN(AI271*(1+INDEX(Response_Table!$H$4:$H$21,MATCH($F271&amp;"|low",Response_Table!$A$4:$A$21,0))*$R271*INDEX(Parameters!$X$7:$AA$7,1,MATCH($E271,Parameters!$X$3:$AA$3,0))),AI271*(1+INDEX(Response_Table!$H$4:$H$21,MATCH($F271&amp;"|high",Response_Table!$A$4:$A$21,0))*$R271*INDEX(Parameters!$X$7:$AA$7,1,MATCH($E271,Parameters!$X$3:$AA$3,0))))*(1-Inputs_General!$C$22*Parameters!$F$7))</f>
        <v>0.214776469911465</v>
      </c>
      <c r="AL271" s="46" t="n">
        <f aca="false">MAX(AI271*(1+INDEX(Response_Table!$H$4:$H$21,MATCH($F271&amp;"|low",Response_Table!$A$4:$A$21,0))*$R271*INDEX(Parameters!$X$7:$AA$7,1,MATCH($E271,Parameters!$X$3:$AA$3,0))),AI271*(1+INDEX(Response_Table!$H$4:$H$21,MATCH($F271&amp;"|high",Response_Table!$A$4:$A$21,0))*$R271*INDEX(Parameters!$X$7:$AA$7,1,MATCH($E271,Parameters!$X$3:$AA$3,0))))*(1+Inputs_General!$C$22*Parameters!$F$7)</f>
        <v>0.458102804054004</v>
      </c>
      <c r="AM271" s="45" t="n">
        <f aca="false">IF(AI271=0,0,AJ271/AI271-1)</f>
        <v>-0.300639992357194</v>
      </c>
      <c r="AN271" s="43" t="n">
        <f aca="false">AI271*$Q271/Inputs_General!$C$13*1000</f>
        <v>4.38850387664553</v>
      </c>
      <c r="AO271" s="43" t="n">
        <f aca="false">AJ271*$Q271/Inputs_General!$C$13*1000*(1+Inputs_General!$C$21*$I271)</f>
        <v>3.36071279465888</v>
      </c>
      <c r="AP271" s="43" t="n">
        <f aca="false">AK271*$Q271/Inputs_General!$C$13*1000*(1+Inputs_General!$C$21*$H271)</f>
        <v>2.16019771012554</v>
      </c>
      <c r="AQ271" s="43" t="n">
        <f aca="false">AL271*$Q271/Inputs_General!$C$13*1000*(1+Inputs_General!$C$21*$J271)</f>
        <v>4.86712686040782</v>
      </c>
      <c r="AR271" s="45" t="n">
        <f aca="false">IF(AN271=0,0,AO271/AN271-1)</f>
        <v>-0.234200791631127</v>
      </c>
      <c r="AS271" s="42" t="n">
        <f aca="false">Parameters!$E$9*IF($N271="V",Parameters!$I$9,IF($N271="F",Parameters!$J$9,Parameters!$K$9))*(1-Parameters!$L$9*$P271)*IF($D271="V1",Parameters!$M$9,IF($D271="V2",Parameters!$N$9,Parameters!$O$9))</f>
        <v>285</v>
      </c>
      <c r="AT271" s="42" t="n">
        <f aca="false">AS271*(1+INDEX(Response_Table!$I$4:$I$21,MATCH($F271&amp;"|mid",Response_Table!$A$4:$A$21,0))*$R271*INDEX(Parameters!$X$9:$AA$9,1,MATCH($E271,Parameters!$X$3:$AA$3,0)))</f>
        <v>330.424090892598</v>
      </c>
      <c r="AU271" s="42" t="n">
        <f aca="false">MAX(0,MIN(AS271*(1+INDEX(Response_Table!$I$4:$I$21,MATCH($F271&amp;"|low",Response_Table!$A$4:$A$21,0))*$R271*INDEX(Parameters!$X$9:$AA$9,1,MATCH($E271,Parameters!$X$3:$AA$3,0))),AS271*(1+INDEX(Response_Table!$I$4:$I$21,MATCH($F271&amp;"|high",Response_Table!$A$4:$A$21,0))*$R271*INDEX(Parameters!$X$9:$AA$9,1,MATCH($E271,Parameters!$X$3:$AA$3,0))))*(1-Inputs_General!$C$22*Parameters!$F$9))</f>
        <v>290.750497500053</v>
      </c>
      <c r="AV271" s="42" t="n">
        <f aca="false">MAX(AS271*(1+INDEX(Response_Table!$I$4:$I$21,MATCH($F271&amp;"|low",Response_Table!$A$4:$A$21,0))*$R271*INDEX(Parameters!$X$9:$AA$9,1,MATCH($E271,Parameters!$X$3:$AA$3,0))),AS271*(1+INDEX(Response_Table!$I$4:$I$21,MATCH($F271&amp;"|high",Response_Table!$A$4:$A$21,0))*$R271*INDEX(Parameters!$X$9:$AA$9,1,MATCH($E271,Parameters!$X$3:$AA$3,0))))*(1+Inputs_General!$C$22*Parameters!$F$9)</f>
        <v>368.362914207263</v>
      </c>
      <c r="AW271" s="45" t="n">
        <f aca="false">IF(AS271=0,0,AT271/AS271-1)</f>
        <v>0.159382775061748</v>
      </c>
      <c r="AX271" s="43" t="n">
        <f aca="false">INDEX(Context!$AB$4:$AB$51,$K271)</f>
        <v>0.458305270557464</v>
      </c>
      <c r="AY271" s="43" t="n">
        <f aca="false">AX271*(1+INDEX(Response_Table!$J$4:$J$21,MATCH($F271&amp;"|mid",Response_Table!$A$4:$A$21,0))*$R271*INDEX(Parameters!$X$10:$AA$10,1,MATCH($E271,Parameters!$X$3:$AA$3,0)))</f>
        <v>0.404552579759184</v>
      </c>
      <c r="AZ271" s="43" t="n">
        <f aca="false">MAX(0,MIN(AX271*(1+INDEX(Response_Table!$J$4:$J$21,MATCH($F271&amp;"|low",Response_Table!$A$4:$A$21,0))*$R271*INDEX(Parameters!$X$10:$AA$10,1,MATCH($E271,Parameters!$X$3:$AA$3,0))),AX271*(1+INDEX(Response_Table!$J$4:$J$21,MATCH($F271&amp;"|high",Response_Table!$A$4:$A$21,0))*$R271*INDEX(Parameters!$X$10:$AA$10,1,MATCH($E271,Parameters!$X$3:$AA$3,0))))*(1-Inputs_General!$C$22*Parameters!$F$10))</f>
        <v>0.31764242243573</v>
      </c>
      <c r="BA271" s="43" t="n">
        <f aca="false">MAX(AX271*(1+INDEX(Response_Table!$J$4:$J$21,MATCH($F271&amp;"|low",Response_Table!$A$4:$A$21,0))*$R271*INDEX(Parameters!$X$10:$AA$10,1,MATCH($E271,Parameters!$X$3:$AA$3,0))),AX271*(1+INDEX(Response_Table!$J$4:$J$21,MATCH($F271&amp;"|high",Response_Table!$A$4:$A$21,0))*$R271*INDEX(Parameters!$X$10:$AA$10,1,MATCH($E271,Parameters!$X$3:$AA$3,0))))*(1+Inputs_General!$C$22*Parameters!$F$10)</f>
        <v>0.498611921413525</v>
      </c>
      <c r="BB271" s="45" t="n">
        <f aca="false">IF(AX271=0,0,AY271/AX271-1)</f>
        <v>-0.117285779264327</v>
      </c>
      <c r="BC271" s="46" t="n">
        <f aca="false">Parameters!$E$11*IF($N271="V",Parameters!$I$11,IF($N271="F",Parameters!$J$11,Parameters!$K$11))*(1-Parameters!$L$11*$P271)*IF($D271="V1",Parameters!$M$11,IF($D271="V2",Parameters!$N$11,Parameters!$O$11))</f>
        <v>1.223125</v>
      </c>
      <c r="BD271" s="46" t="n">
        <f aca="false">BC271*(1+INDEX(Response_Table!$K$4:$K$21,MATCH($F271&amp;"|mid",Response_Table!$A$4:$A$21,0))*$R271*INDEX(Parameters!$X$11:$AA$11,1,MATCH($E271,Parameters!$X$3:$AA$3,0)))</f>
        <v>0.985391350783432</v>
      </c>
      <c r="BE271" s="46" t="n">
        <f aca="false">MAX(0,MIN(BC271*(1+INDEX(Response_Table!$K$4:$K$21,MATCH($F271&amp;"|low",Response_Table!$A$4:$A$21,0))*$R271*INDEX(Parameters!$X$11:$AA$11,1,MATCH($E271,Parameters!$X$3:$AA$3,0))),BC271*(1+INDEX(Response_Table!$K$4:$K$21,MATCH($F271&amp;"|high",Response_Table!$A$4:$A$21,0))*$R271*INDEX(Parameters!$X$11:$AA$11,1,MATCH($E271,Parameters!$X$3:$AA$3,0))))*(1-Inputs_General!$C$22*Parameters!$F$11))</f>
        <v>0.796611808074757</v>
      </c>
      <c r="BF271" s="46" t="n">
        <f aca="false">MAX(BC271*(1+INDEX(Response_Table!$K$4:$K$21,MATCH($F271&amp;"|low",Response_Table!$A$4:$A$21,0))*$R271*INDEX(Parameters!$X$11:$AA$11,1,MATCH($E271,Parameters!$X$3:$AA$3,0))),BC271*(1+INDEX(Response_Table!$K$4:$K$21,MATCH($F271&amp;"|high",Response_Table!$A$4:$A$21,0))*$R271*INDEX(Parameters!$X$11:$AA$11,1,MATCH($E271,Parameters!$X$3:$AA$3,0))))*(1+Inputs_General!$C$22*Parameters!$F$11)</f>
        <v>1.20208806315408</v>
      </c>
      <c r="BG271" s="45" t="n">
        <f aca="false">IF(BC271=0,0,BD271/BC271-1)</f>
        <v>-0.194365783723306</v>
      </c>
      <c r="BH271" s="46" t="n">
        <f aca="false">Parameters!$E$12*IF($N271="V",Parameters!$I$12,IF($N271="F",Parameters!$J$12,Parameters!$K$12))*(1-Parameters!$L$12*$P271)*IF($D271="V1",Parameters!$M$12,IF($D271="V2",Parameters!$N$12,Parameters!$O$12))</f>
        <v>0.440325</v>
      </c>
      <c r="BI271" s="46" t="n">
        <f aca="false">BH271*(1+INDEX(Response_Table!$L$4:$L$21,MATCH($F271&amp;"|mid",Response_Table!$A$4:$A$21,0))*$R271*INDEX(Parameters!$X$12:$AA$12,1,MATCH($E271,Parameters!$X$3:$AA$3,0)))</f>
        <v>0.37031671389512</v>
      </c>
      <c r="BJ271" s="46" t="n">
        <f aca="false">MAX(0,MIN(BH271*(1+INDEX(Response_Table!$L$4:$L$21,MATCH($F271&amp;"|low",Response_Table!$A$4:$A$21,0))*$R271*INDEX(Parameters!$X$12:$AA$12,1,MATCH($E271,Parameters!$X$3:$AA$3,0))),BH271*(1+INDEX(Response_Table!$L$4:$L$21,MATCH($F271&amp;"|high",Response_Table!$A$4:$A$21,0))*$R271*INDEX(Parameters!$X$12:$AA$12,1,MATCH($E271,Parameters!$X$3:$AA$3,0))))*(1-Inputs_General!$C$22*Parameters!$F$12))</f>
        <v>0.289228884102261</v>
      </c>
      <c r="BK271" s="46" t="n">
        <f aca="false">MAX(BH271*(1+INDEX(Response_Table!$L$4:$L$21,MATCH($F271&amp;"|low",Response_Table!$A$4:$A$21,0))*$R271*INDEX(Parameters!$X$12:$AA$12,1,MATCH($E271,Parameters!$X$3:$AA$3,0))),BH271*(1+INDEX(Response_Table!$L$4:$L$21,MATCH($F271&amp;"|high",Response_Table!$A$4:$A$21,0))*$R271*INDEX(Parameters!$X$12:$AA$12,1,MATCH($E271,Parameters!$X$3:$AA$3,0))))*(1+Inputs_General!$C$22*Parameters!$F$12)</f>
        <v>0.460497186476781</v>
      </c>
      <c r="BL271" s="45" t="n">
        <f aca="false">IF(BH271=0,0,BI271/BH271-1)</f>
        <v>-0.158992303650439</v>
      </c>
      <c r="BM271" s="46" t="n">
        <f aca="false">Parameters!$E$13*IF($N271="V",Parameters!$I$13,IF($N271="F",Parameters!$J$13,Parameters!$K$13))*(1-Parameters!$L$13*$P271)*IF($D271="V1",Parameters!$M$13,IF($D271="V2",Parameters!$N$13,Parameters!$O$13))</f>
        <v>0.29355</v>
      </c>
      <c r="BN271" s="46" t="n">
        <f aca="false">BM271*(1+INDEX(Response_Table!$M$4:$M$21,MATCH($F271&amp;"|mid",Response_Table!$A$4:$A$21,0))*$R271*INDEX(Parameters!$X$13:$AA$13,1,MATCH($E271,Parameters!$X$3:$AA$3,0)))</f>
        <v>0.262489491767417</v>
      </c>
      <c r="BO271" s="46" t="n">
        <f aca="false">MAX(0,MIN(BM271*(1+INDEX(Response_Table!$M$4:$M$21,MATCH($F271&amp;"|low",Response_Table!$A$4:$A$21,0))*$R271*INDEX(Parameters!$X$13:$AA$13,1,MATCH($E271,Parameters!$X$3:$AA$3,0))),BM271*(1+INDEX(Response_Table!$M$4:$M$21,MATCH($F271&amp;"|high",Response_Table!$A$4:$A$21,0))*$R271*INDEX(Parameters!$X$13:$AA$13,1,MATCH($E271,Parameters!$X$3:$AA$3,0))))*(1-Inputs_General!$C$22*Parameters!$F$13))</f>
        <v>0.205404597627397</v>
      </c>
      <c r="BP271" s="46" t="n">
        <f aca="false">MAX(BM271*(1+INDEX(Response_Table!$M$4:$M$21,MATCH($F271&amp;"|low",Response_Table!$A$4:$A$21,0))*$R271*INDEX(Parameters!$X$13:$AA$13,1,MATCH($E271,Parameters!$X$3:$AA$3,0))),BM271*(1+INDEX(Response_Table!$M$4:$M$21,MATCH($F271&amp;"|high",Response_Table!$A$4:$A$21,0))*$R271*INDEX(Parameters!$X$13:$AA$13,1,MATCH($E271,Parameters!$X$3:$AA$3,0))))*(1+Inputs_General!$C$22*Parameters!$F$13)</f>
        <v>0.326975858716208</v>
      </c>
      <c r="BQ271" s="45" t="n">
        <f aca="false">IF(BM271=0,0,BN271/BM271-1)</f>
        <v>-0.105809941177256</v>
      </c>
      <c r="BR271" s="44" t="n">
        <f aca="false">Parameters!$E$14*IF($N271="V",Parameters!$I$14,IF($N271="F",Parameters!$J$14,Parameters!$K$14))*(1-Parameters!$L$14*$P271)*IF($D271="V1",Parameters!$M$14,IF($D271="V2",Parameters!$N$14,Parameters!$O$14))*INDEX(Context!$AC$4:$AC$51,$K271)</f>
        <v>23.1</v>
      </c>
      <c r="BS271" s="44" t="n">
        <f aca="false">BR271*(1+INDEX(Response_Table!$N$4:$N$21,MATCH($F271&amp;"|mid",Response_Table!$A$4:$A$21,0))*$R271*INDEX(Parameters!$X$14:$AA$14,1,MATCH($E271,Parameters!$X$3:$AA$3,0)))</f>
        <v>27.1066060519911</v>
      </c>
      <c r="BT271" s="44" t="n">
        <f aca="false">MAX(0,MIN(BR271*(1+INDEX(Response_Table!$N$4:$N$21,MATCH($F271&amp;"|low",Response_Table!$A$4:$A$21,0))*$R271*INDEX(Parameters!$X$14:$AA$14,1,MATCH($E271,Parameters!$X$3:$AA$3,0))),BR271*(1+INDEX(Response_Table!$N$4:$N$21,MATCH($F271&amp;"|high",Response_Table!$A$4:$A$21,0))*$R271*INDEX(Parameters!$X$14:$AA$14,1,MATCH($E271,Parameters!$X$3:$AA$3,0))))*(1-Inputs_General!$C$22*Parameters!$F$14))</f>
        <v>13.3160163812409</v>
      </c>
      <c r="BU271" s="44" t="n">
        <f aca="false">MAX(BR271*(1+INDEX(Response_Table!$N$4:$N$21,MATCH($F271&amp;"|low",Response_Table!$A$4:$A$21,0))*$R271*INDEX(Parameters!$X$14:$AA$14,1,MATCH($E271,Parameters!$X$3:$AA$3,0))),BR271*(1+INDEX(Response_Table!$N$4:$N$21,MATCH($F271&amp;"|high",Response_Table!$A$4:$A$21,0))*$R271*INDEX(Parameters!$X$14:$AA$14,1,MATCH($E271,Parameters!$X$3:$AA$3,0))))*(1+Inputs_General!$C$22*Parameters!$F$14)</f>
        <v>41.3343327008228</v>
      </c>
      <c r="BV271" s="45" t="n">
        <f aca="false">IF(BR271=0,0,BS271/BR271-1)</f>
        <v>0.173446149436842</v>
      </c>
      <c r="BW271" s="43" t="n">
        <f aca="false">Parameters!$E$15*IF($N271="V",Parameters!$I$15,IF($N271="F",Parameters!$J$15,Parameters!$K$15))*(1-Parameters!$L$15*$P271)*IF($D271="V1",Parameters!$M$15,IF($D271="V2",Parameters!$N$15,Parameters!$O$15))</f>
        <v>10.8</v>
      </c>
      <c r="BX271" s="43" t="n">
        <f aca="false">BW271*(1+INDEX(Response_Table!$O$4:$O$21,MATCH($F271&amp;"|mid",Response_Table!$A$4:$A$21,0))*$R271*INDEX(Parameters!$X$15:$AA$15,1,MATCH($E271,Parameters!$X$3:$AA$3,0)))</f>
        <v>10.3316953965205</v>
      </c>
      <c r="BY271" s="43" t="n">
        <f aca="false">MAX(0,MIN(BW271*(1+INDEX(Response_Table!$O$4:$O$21,MATCH($F271&amp;"|low",Response_Table!$A$4:$A$21,0))*$R271*INDEX(Parameters!$X$15:$AA$15,1,MATCH($E271,Parameters!$X$3:$AA$3,0))),BW271*(1+INDEX(Response_Table!$O$4:$O$21,MATCH($F271&amp;"|high",Response_Table!$A$4:$A$21,0))*$R271*INDEX(Parameters!$X$15:$AA$15,1,MATCH($E271,Parameters!$X$3:$AA$3,0))))*(1-Inputs_General!$C$22*Parameters!$F$15))</f>
        <v>8.23878941750944</v>
      </c>
      <c r="BZ271" s="43" t="n">
        <f aca="false">MAX(BW271*(1+INDEX(Response_Table!$O$4:$O$21,MATCH($F271&amp;"|low",Response_Table!$A$4:$A$21,0))*$R271*INDEX(Parameters!$X$15:$AA$15,1,MATCH($E271,Parameters!$X$3:$AA$3,0))),BW271*(1+INDEX(Response_Table!$O$4:$O$21,MATCH($F271&amp;"|high",Response_Table!$A$4:$A$21,0))*$R271*INDEX(Parameters!$X$15:$AA$15,1,MATCH($E271,Parameters!$X$3:$AA$3,0))))*(1+Inputs_General!$C$22*Parameters!$F$15)</f>
        <v>12.4854245539395</v>
      </c>
      <c r="CA271" s="45" t="n">
        <f aca="false">IF(BW271=0,0,BX271/BW271-1)</f>
        <v>-0.0433615373592108</v>
      </c>
      <c r="CB271" s="46" t="n">
        <f aca="false">BD271+BI271</f>
        <v>1.35570806467855</v>
      </c>
      <c r="CC271" s="43" t="n">
        <f aca="false">BD271/BI271</f>
        <v>2.66094214441131</v>
      </c>
      <c r="CD271" s="46" t="n">
        <f aca="false">BN271/CB271</f>
        <v>0.193618005680046</v>
      </c>
      <c r="CE271" s="43" t="n">
        <f aca="false">AE271/AO271</f>
        <v>3.41129524261516</v>
      </c>
      <c r="CF271" s="44" t="n">
        <f aca="false">AE271/AJ271</f>
        <v>35.2769168455738</v>
      </c>
      <c r="CG271" s="44" t="n">
        <f aca="false">INDEX(Context!$V$4:$V$51,$K271)</f>
        <v>22.6257142857143</v>
      </c>
      <c r="CH271" s="44" t="n">
        <f aca="false">INDEX(Context!$Y$4:$Y$51,$K271)</f>
        <v>21.3177449518561</v>
      </c>
      <c r="CI271" s="44" t="n">
        <f aca="false">INDEX(Context!$Z$4:$Z$51,$K271)</f>
        <v>26.6257142857143</v>
      </c>
      <c r="CJ271" s="43" t="n">
        <f aca="false">INDEX(Context!$AA$4:$AA$51,$K271)</f>
        <v>0.12</v>
      </c>
      <c r="CK271" s="43" t="n">
        <f aca="false">MAX(0,MIN(1,1-(1-CJ271)*AO271/AN271))</f>
        <v>0.326096696635392</v>
      </c>
      <c r="CL271" s="44" t="n">
        <f aca="false">CH271+CK271*(CI271-CH271)</f>
        <v>23.0486562174692</v>
      </c>
      <c r="CM271" s="44" t="n">
        <f aca="false">CH271+MAX(0,MIN(1,1-(1-CJ271)*AQ271/AN271))*(CI271-CH271)</f>
        <v>21.4452670208175</v>
      </c>
      <c r="CN271" s="44" t="n">
        <f aca="false">CH271+MAX(0,MIN(1,1-(1-CJ271)*AP271/AN271))*(CI271-CH271)</f>
        <v>24.3264542417469</v>
      </c>
      <c r="CO271" s="44" t="n">
        <f aca="false">CL271-CG271</f>
        <v>0.422941931754892</v>
      </c>
      <c r="CP271" s="44" t="n">
        <f aca="false">CL271-(CH271+CJ271*(CI271-CH271))</f>
        <v>1.09395494555014</v>
      </c>
      <c r="CQ271" s="46" t="n">
        <f aca="false">CL271/CG271</f>
        <v>1.01869297589522</v>
      </c>
      <c r="CR271" s="43" t="n">
        <f aca="false">IF(CL271-CH271&lt;=0,"n/a",(CI271-CL271)/(CL271-CH271))</f>
        <v>2.06657506904493</v>
      </c>
      <c r="CS271" s="43" t="n">
        <f aca="false">IF(CI271-CL271&lt;=0,"n/a",(CL271-CH271)/(CI271-CL271))</f>
        <v>0.483892414545652</v>
      </c>
      <c r="CT271" s="43" t="n">
        <f aca="false">Inputs_General!$C$23+Inputs_General!$C$24*$I271</f>
        <v>1.36</v>
      </c>
      <c r="CU271" s="44" t="n">
        <f aca="false">3.29*CT271</f>
        <v>4.4744</v>
      </c>
    </row>
    <row r="272" customFormat="false" ht="15" hidden="false" customHeight="false" outlineLevel="0" collapsed="false">
      <c r="A272" s="9" t="str">
        <f aca="false">B272&amp;"|"&amp;E272&amp;"|"&amp;F272</f>
        <v>D4V3|11/02/2026|Very high</v>
      </c>
      <c r="B272" s="7" t="s">
        <v>354</v>
      </c>
      <c r="C272" s="9" t="s">
        <v>133</v>
      </c>
      <c r="D272" s="9" t="s">
        <v>150</v>
      </c>
      <c r="E272" s="9" t="s">
        <v>158</v>
      </c>
      <c r="F272" s="7" t="s">
        <v>285</v>
      </c>
      <c r="G272" s="9" t="s">
        <v>286</v>
      </c>
      <c r="H272" s="41" t="n">
        <f aca="false">INDEX(Severity_Classes!$C$4:$C$9,MATCH(F272,Severity_Classes!$A$4:$A$9,0))</f>
        <v>0.51</v>
      </c>
      <c r="I272" s="41" t="n">
        <f aca="false">INDEX(Severity_Classes!$D$4:$D$9,MATCH(F272,Severity_Classes!$A$4:$A$9,0))</f>
        <v>0.65</v>
      </c>
      <c r="J272" s="41" t="n">
        <f aca="false">INDEX(Severity_Classes!$E$4:$E$9,MATCH(F272,Severity_Classes!$A$4:$A$9,0))</f>
        <v>0.85</v>
      </c>
      <c r="K272" s="42" t="n">
        <f aca="false">MATCH(B272&amp;"|"&amp;E272,Context!$A$4:$A$51,0)</f>
        <v>45</v>
      </c>
      <c r="L272" s="42" t="n">
        <f aca="false">INDEX(Context!$H$4:$H$51,K272)</f>
        <v>33</v>
      </c>
      <c r="M272" s="42" t="n">
        <f aca="false">INDEX(Context!$I$4:$I$51,K272)</f>
        <v>6</v>
      </c>
      <c r="N272" s="9" t="str">
        <f aca="false">INDEX(Context!$L$4:$L$51,K272)</f>
        <v>V</v>
      </c>
      <c r="O272" s="9" t="str">
        <f aca="false">INDEX(Context!$M$4:$M$51,K272)</f>
        <v>3rd fully expanded leaf from top</v>
      </c>
      <c r="P272" s="43" t="n">
        <f aca="false">INDEX(Context!$R$4:$R$51,K272)</f>
        <v>0</v>
      </c>
      <c r="Q272" s="43" t="n">
        <f aca="false">INDEX(Context!$U$4:$U$51,K272)</f>
        <v>0.937791824040773</v>
      </c>
      <c r="R272" s="43" t="n">
        <f aca="false">INDEX(Context!$AD$4:$AD$51,K272)</f>
        <v>0.85</v>
      </c>
      <c r="S272" s="9" t="str">
        <f aca="false">INDEX(Context!$AI$4:$AN$51,K272,MATCH(F272,Severity_Classes!$A$4:$A$9,0))</f>
        <v>Unlikely (only via pre-inoculation natural infection)</v>
      </c>
      <c r="T272" s="44" t="n">
        <f aca="false">Parameters!$E$4*IF($N272="V",Parameters!$I$4,IF($N272="F",Parameters!$J$4,Parameters!$K$4))*(1-Parameters!$L$4*$P272)*IF($D272="V1",Parameters!$M$4,IF($D272="V2",Parameters!$N$4,Parameters!$O$4))</f>
        <v>86</v>
      </c>
      <c r="U272" s="44" t="n">
        <f aca="false">MIN(100,T272*(1+INDEX(Response_Table!$E$4:$E$21,MATCH($F272&amp;"|mid",Response_Table!$A$4:$A$21,0))*$R272*INDEX(Parameters!$X$4:$AA$4,1,MATCH($E272,Parameters!$X$3:$AA$3,0))))</f>
        <v>75.9117959599366</v>
      </c>
      <c r="V272" s="44" t="n">
        <f aca="false">MAX(0,MIN(T272*(1+INDEX(Response_Table!$E$4:$E$21,MATCH($F272&amp;"|low",Response_Table!$A$4:$A$21,0))*$R272*INDEX(Parameters!$X$4:$AA$4,1,MATCH($E272,Parameters!$X$3:$AA$3,0))),T272*(1+INDEX(Response_Table!$E$4:$E$21,MATCH($F272&amp;"|high",Response_Table!$A$4:$A$21,0))*$R272*INDEX(Parameters!$X$4:$AA$4,1,MATCH($E272,Parameters!$X$3:$AA$3,0))))*(1-Inputs_General!$C$22*Parameters!$F$4))</f>
        <v>70.2625489417515</v>
      </c>
      <c r="W272" s="44" t="n">
        <f aca="false">MIN(100,MAX(T272*(1+INDEX(Response_Table!$E$4:$E$21,MATCH($F272&amp;"|low",Response_Table!$A$4:$A$21,0))*$R272*INDEX(Parameters!$X$4:$AA$4,1,MATCH($E272,Parameters!$X$3:$AA$3,0))),T272*(1+INDEX(Response_Table!$E$4:$E$21,MATCH($F272&amp;"|high",Response_Table!$A$4:$A$21,0))*$R272*INDEX(Parameters!$X$4:$AA$4,1,MATCH($E272,Parameters!$X$3:$AA$3,0))))*(1+Inputs_General!$C$22*Parameters!$F$4))</f>
        <v>82.5421300379317</v>
      </c>
      <c r="X272" s="45" t="n">
        <f aca="false">IF(T272=0,0,U272/T272-1)</f>
        <v>-0.117304698140272</v>
      </c>
      <c r="Y272" s="44" t="n">
        <f aca="false">Parameters!$E$5*IF($N272="V",Parameters!$I$5,IF($N272="F",Parameters!$J$5,Parameters!$K$5))*(1-Parameters!$L$5*$P272)*IF($D272="V1",Parameters!$M$5,IF($D272="V2",Parameters!$N$5,Parameters!$O$5))</f>
        <v>72</v>
      </c>
      <c r="Z272" s="44" t="n">
        <f aca="false">MIN(100,Y272*(1+INDEX(Response_Table!$F$4:$F$21,MATCH($F272&amp;"|mid",Response_Table!$A$4:$A$21,0))*$R272*INDEX(Parameters!$X$5:$AA$5,1,MATCH($E272,Parameters!$X$3:$AA$3,0))))</f>
        <v>51.1282274877042</v>
      </c>
      <c r="AA272" s="44" t="n">
        <f aca="false">MAX(0,MIN(Y272*(1+INDEX(Response_Table!$F$4:$F$21,MATCH($F272&amp;"|low",Response_Table!$A$4:$A$21,0))*$R272*INDEX(Parameters!$X$5:$AA$5,1,MATCH($E272,Parameters!$X$3:$AA$3,0))),Y272*(1+INDEX(Response_Table!$F$4:$F$21,MATCH($F272&amp;"|high",Response_Table!$A$4:$A$21,0))*$R272*INDEX(Parameters!$X$5:$AA$5,1,MATCH($E272,Parameters!$X$3:$AA$3,0))))*(1-Inputs_General!$C$22*Parameters!$F$5))</f>
        <v>44.8227628015676</v>
      </c>
      <c r="AB272" s="44" t="n">
        <f aca="false">MIN(100,MAX(Y272*(1+INDEX(Response_Table!$F$4:$F$21,MATCH($F272&amp;"|low",Response_Table!$A$4:$A$21,0))*$R272*INDEX(Parameters!$X$5:$AA$5,1,MATCH($E272,Parameters!$X$3:$AA$3,0))),Y272*(1+INDEX(Response_Table!$F$4:$F$21,MATCH($F272&amp;"|high",Response_Table!$A$4:$A$21,0))*$R272*INDEX(Parameters!$X$5:$AA$5,1,MATCH($E272,Parameters!$X$3:$AA$3,0))))*(1+Inputs_General!$C$22*Parameters!$F$5))</f>
        <v>58.7132565706956</v>
      </c>
      <c r="AC272" s="45" t="n">
        <f aca="false">IF(Y272=0,0,Z272/Y272-1)</f>
        <v>-0.289885729337441</v>
      </c>
      <c r="AD272" s="44" t="n">
        <f aca="false">Parameters!$E$6*IF($N272="V",Parameters!$I$6,IF($N272="F",Parameters!$J$6,Parameters!$K$6))*(1-Parameters!$L$6*$P272)*IF($D272="V1",Parameters!$M$6,IF($D272="V2",Parameters!$N$6,Parameters!$O$6))</f>
        <v>19.57</v>
      </c>
      <c r="AE272" s="44" t="n">
        <f aca="false">AD272*(1+INDEX(Response_Table!$G$4:$G$21,MATCH($F272&amp;"|mid",Response_Table!$A$4:$A$21,0))*$R272*INDEX(Parameters!$X$6:$AA$6,1,MATCH($E272,Parameters!$X$3:$AA$3,0)))</f>
        <v>10.1608823155816</v>
      </c>
      <c r="AF272" s="44" t="n">
        <f aca="false">MAX(0,MIN(AD272*(1+INDEX(Response_Table!$G$4:$G$21,MATCH($F272&amp;"|low",Response_Table!$A$4:$A$21,0))*$R272*INDEX(Parameters!$X$6:$AA$6,1,MATCH($E272,Parameters!$X$3:$AA$3,0))),AD272*(1+INDEX(Response_Table!$G$4:$G$21,MATCH($F272&amp;"|high",Response_Table!$A$4:$A$21,0))*$R272*INDEX(Parameters!$X$6:$AA$6,1,MATCH($E272,Parameters!$X$3:$AA$3,0))))*(1-Inputs_General!$C$22*Parameters!$F$6))</f>
        <v>7.88665465639861</v>
      </c>
      <c r="AG272" s="44" t="n">
        <f aca="false">MAX(AD272*(1+INDEX(Response_Table!$G$4:$G$21,MATCH($F272&amp;"|low",Response_Table!$A$4:$A$21,0))*$R272*INDEX(Parameters!$X$6:$AA$6,1,MATCH($E272,Parameters!$X$3:$AA$3,0))),AD272*(1+INDEX(Response_Table!$G$4:$G$21,MATCH($F272&amp;"|high",Response_Table!$A$4:$A$21,0))*$R272*INDEX(Parameters!$X$6:$AA$6,1,MATCH($E272,Parameters!$X$3:$AA$3,0))))*(1+Inputs_General!$C$22*Parameters!$F$6)</f>
        <v>12.749422783619</v>
      </c>
      <c r="AH272" s="45" t="n">
        <f aca="false">IF(AD272=0,0,AE272/AD272-1)</f>
        <v>-0.480792932264612</v>
      </c>
      <c r="AI272" s="46" t="n">
        <f aca="false">Parameters!$E$7*IF($N272="V",Parameters!$I$7,IF($N272="F",Parameters!$J$7,Parameters!$K$7))*(1-Parameters!$L$7*$P272)*IF($D272="V1",Parameters!$M$7,IF($D272="V2",Parameters!$N$7,Parameters!$O$7))*POWER($Q272/Inputs_General!$C$26,-Inputs_General!$C$25)</f>
        <v>0.464685683730118</v>
      </c>
      <c r="AJ272" s="46" t="n">
        <f aca="false">AI272*(1+INDEX(Response_Table!$H$4:$H$21,MATCH($F272&amp;"|mid",Response_Table!$A$4:$A$21,0))*$R272*INDEX(Parameters!$X$7:$AA$7,1,MATCH($E272,Parameters!$X$3:$AA$3,0)))</f>
        <v>0.288516435632059</v>
      </c>
      <c r="AK272" s="46" t="n">
        <f aca="false">MAX(0,MIN(AI272*(1+INDEX(Response_Table!$H$4:$H$21,MATCH($F272&amp;"|low",Response_Table!$A$4:$A$21,0))*$R272*INDEX(Parameters!$X$7:$AA$7,1,MATCH($E272,Parameters!$X$3:$AA$3,0))),AI272*(1+INDEX(Response_Table!$H$4:$H$21,MATCH($F272&amp;"|high",Response_Table!$A$4:$A$21,0))*$R272*INDEX(Parameters!$X$7:$AA$7,1,MATCH($E272,Parameters!$X$3:$AA$3,0))))*(1-Inputs_General!$C$22*Parameters!$F$7))</f>
        <v>0.19380611640048</v>
      </c>
      <c r="AL272" s="46" t="n">
        <f aca="false">MAX(AI272*(1+INDEX(Response_Table!$H$4:$H$21,MATCH($F272&amp;"|low",Response_Table!$A$4:$A$21,0))*$R272*INDEX(Parameters!$X$7:$AA$7,1,MATCH($E272,Parameters!$X$3:$AA$3,0))),AI272*(1+INDEX(Response_Table!$H$4:$H$21,MATCH($F272&amp;"|high",Response_Table!$A$4:$A$21,0))*$R272*INDEX(Parameters!$X$7:$AA$7,1,MATCH($E272,Parameters!$X$3:$AA$3,0))))*(1+Inputs_General!$C$22*Parameters!$F$7)</f>
        <v>0.393715136216559</v>
      </c>
      <c r="AM272" s="45" t="n">
        <f aca="false">IF(AI272=0,0,AJ272/AI272-1)</f>
        <v>-0.379114860358761</v>
      </c>
      <c r="AN272" s="43" t="n">
        <f aca="false">AI272*$Q272/Inputs_General!$C$13*1000</f>
        <v>4.38850387664553</v>
      </c>
      <c r="AO272" s="43" t="n">
        <f aca="false">AJ272*$Q272/Inputs_General!$C$13*1000*(1+Inputs_General!$C$21*$I272)</f>
        <v>3.16752982913559</v>
      </c>
      <c r="AP272" s="43" t="n">
        <f aca="false">AK272*$Q272/Inputs_General!$C$13*1000*(1+Inputs_General!$C$21*$H272)</f>
        <v>2.06367462048511</v>
      </c>
      <c r="AQ272" s="43" t="n">
        <f aca="false">AL272*$Q272/Inputs_General!$C$13*1000*(1+Inputs_General!$C$21*$J272)</f>
        <v>4.50838558248538</v>
      </c>
      <c r="AR272" s="45" t="n">
        <f aca="false">IF(AN272=0,0,AO272/AN272-1)</f>
        <v>-0.27822102516706</v>
      </c>
      <c r="AS272" s="42" t="n">
        <f aca="false">Parameters!$E$9*IF($N272="V",Parameters!$I$9,IF($N272="F",Parameters!$J$9,Parameters!$K$9))*(1-Parameters!$L$9*$P272)*IF($D272="V1",Parameters!$M$9,IF($D272="V2",Parameters!$N$9,Parameters!$O$9))</f>
        <v>285</v>
      </c>
      <c r="AT272" s="42" t="n">
        <f aca="false">AS272*(1+INDEX(Response_Table!$I$4:$I$21,MATCH($F272&amp;"|mid",Response_Table!$A$4:$A$21,0))*$R272*INDEX(Parameters!$X$9:$AA$9,1,MATCH($E272,Parameters!$X$3:$AA$3,0)))</f>
        <v>338.821734162619</v>
      </c>
      <c r="AU272" s="42" t="n">
        <f aca="false">MAX(0,MIN(AS272*(1+INDEX(Response_Table!$I$4:$I$21,MATCH($F272&amp;"|low",Response_Table!$A$4:$A$21,0))*$R272*INDEX(Parameters!$X$9:$AA$9,1,MATCH($E272,Parameters!$X$3:$AA$3,0))),AS272*(1+INDEX(Response_Table!$I$4:$I$21,MATCH($F272&amp;"|high",Response_Table!$A$4:$A$21,0))*$R272*INDEX(Parameters!$X$9:$AA$9,1,MATCH($E272,Parameters!$X$3:$AA$3,0))))*(1-Inputs_General!$C$22*Parameters!$F$9))</f>
        <v>302.45837184455</v>
      </c>
      <c r="AV272" s="42" t="n">
        <f aca="false">MAX(AS272*(1+INDEX(Response_Table!$I$4:$I$21,MATCH($F272&amp;"|low",Response_Table!$A$4:$A$21,0))*$R272*INDEX(Parameters!$X$9:$AA$9,1,MATCH($E272,Parameters!$X$3:$AA$3,0))),AS272*(1+INDEX(Response_Table!$I$4:$I$21,MATCH($F272&amp;"|high",Response_Table!$A$4:$A$21,0))*$R272*INDEX(Parameters!$X$9:$AA$9,1,MATCH($E272,Parameters!$X$3:$AA$3,0))))*(1+Inputs_General!$C$22*Parameters!$F$9)</f>
        <v>374.876086311447</v>
      </c>
      <c r="AW272" s="45" t="n">
        <f aca="false">IF(AS272=0,0,AT272/AS272-1)</f>
        <v>0.188848190044276</v>
      </c>
      <c r="AX272" s="43" t="n">
        <f aca="false">INDEX(Context!$AB$4:$AB$51,$K272)</f>
        <v>0.458305270557464</v>
      </c>
      <c r="AY272" s="43" t="n">
        <f aca="false">AX272*(1+INDEX(Response_Table!$J$4:$J$21,MATCH($F272&amp;"|mid",Response_Table!$A$4:$A$21,0))*$R272*INDEX(Parameters!$X$10:$AA$10,1,MATCH($E272,Parameters!$X$3:$AA$3,0)))</f>
        <v>0.387913869766847</v>
      </c>
      <c r="AZ272" s="43" t="n">
        <f aca="false">MAX(0,MIN(AX272*(1+INDEX(Response_Table!$J$4:$J$21,MATCH($F272&amp;"|low",Response_Table!$A$4:$A$21,0))*$R272*INDEX(Parameters!$X$10:$AA$10,1,MATCH($E272,Parameters!$X$3:$AA$3,0))),AX272*(1+INDEX(Response_Table!$J$4:$J$21,MATCH($F272&amp;"|high",Response_Table!$A$4:$A$21,0))*$R272*INDEX(Parameters!$X$10:$AA$10,1,MATCH($E272,Parameters!$X$3:$AA$3,0))))*(1-Inputs_General!$C$22*Parameters!$F$10))</f>
        <v>0.305889153413423</v>
      </c>
      <c r="BA272" s="43" t="n">
        <f aca="false">MAX(AX272*(1+INDEX(Response_Table!$J$4:$J$21,MATCH($F272&amp;"|low",Response_Table!$A$4:$A$21,0))*$R272*INDEX(Parameters!$X$10:$AA$10,1,MATCH($E272,Parameters!$X$3:$AA$3,0))),AX272*(1+INDEX(Response_Table!$J$4:$J$21,MATCH($F272&amp;"|high",Response_Table!$A$4:$A$21,0))*$R272*INDEX(Parameters!$X$10:$AA$10,1,MATCH($E272,Parameters!$X$3:$AA$3,0))))*(1+Inputs_General!$C$22*Parameters!$F$10)</f>
        <v>0.473148728824101</v>
      </c>
      <c r="BB272" s="45" t="n">
        <f aca="false">IF(AX272=0,0,AY272/AX272-1)</f>
        <v>-0.153590642117198</v>
      </c>
      <c r="BC272" s="46" t="n">
        <f aca="false">Parameters!$E$11*IF($N272="V",Parameters!$I$11,IF($N272="F",Parameters!$J$11,Parameters!$K$11))*(1-Parameters!$L$11*$P272)*IF($D272="V1",Parameters!$M$11,IF($D272="V2",Parameters!$N$11,Parameters!$O$11))</f>
        <v>1.223125</v>
      </c>
      <c r="BD272" s="46" t="n">
        <f aca="false">BC272*(1+INDEX(Response_Table!$K$4:$K$21,MATCH($F272&amp;"|mid",Response_Table!$A$4:$A$21,0))*$R272*INDEX(Parameters!$X$11:$AA$11,1,MATCH($E272,Parameters!$X$3:$AA$3,0)))</f>
        <v>0.927449173425977</v>
      </c>
      <c r="BE272" s="46" t="n">
        <f aca="false">MAX(0,MIN(BC272*(1+INDEX(Response_Table!$K$4:$K$21,MATCH($F272&amp;"|low",Response_Table!$A$4:$A$21,0))*$R272*INDEX(Parameters!$X$11:$AA$11,1,MATCH($E272,Parameters!$X$3:$AA$3,0))),BC272*(1+INDEX(Response_Table!$K$4:$K$21,MATCH($F272&amp;"|high",Response_Table!$A$4:$A$21,0))*$R272*INDEX(Parameters!$X$11:$AA$11,1,MATCH($E272,Parameters!$X$3:$AA$3,0))))*(1-Inputs_General!$C$22*Parameters!$F$11))</f>
        <v>0.758212094474405</v>
      </c>
      <c r="BF272" s="46" t="n">
        <f aca="false">MAX(BC272*(1+INDEX(Response_Table!$K$4:$K$21,MATCH($F272&amp;"|low",Response_Table!$A$4:$A$21,0))*$R272*INDEX(Parameters!$X$11:$AA$11,1,MATCH($E272,Parameters!$X$3:$AA$3,0))),BC272*(1+INDEX(Response_Table!$K$4:$K$21,MATCH($F272&amp;"|high",Response_Table!$A$4:$A$21,0))*$R272*INDEX(Parameters!$X$11:$AA$11,1,MATCH($E272,Parameters!$X$3:$AA$3,0))))*(1+Inputs_General!$C$22*Parameters!$F$11)</f>
        <v>1.10779671445084</v>
      </c>
      <c r="BG272" s="45" t="n">
        <f aca="false">IF(BC272=0,0,BD272/BC272-1)</f>
        <v>-0.241738028880142</v>
      </c>
      <c r="BH272" s="46" t="n">
        <f aca="false">Parameters!$E$12*IF($N272="V",Parameters!$I$12,IF($N272="F",Parameters!$J$12,Parameters!$K$12))*(1-Parameters!$L$12*$P272)*IF($D272="V1",Parameters!$M$12,IF($D272="V2",Parameters!$N$12,Parameters!$O$12))</f>
        <v>0.440325</v>
      </c>
      <c r="BI272" s="46" t="n">
        <f aca="false">BH272*(1+INDEX(Response_Table!$L$4:$L$21,MATCH($F272&amp;"|mid",Response_Table!$A$4:$A$21,0))*$R272*INDEX(Parameters!$X$12:$AA$12,1,MATCH($E272,Parameters!$X$3:$AA$3,0)))</f>
        <v>0.352042727896049</v>
      </c>
      <c r="BJ272" s="46" t="n">
        <f aca="false">MAX(0,MIN(BH272*(1+INDEX(Response_Table!$L$4:$L$21,MATCH($F272&amp;"|low",Response_Table!$A$4:$A$21,0))*$R272*INDEX(Parameters!$X$12:$AA$12,1,MATCH($E272,Parameters!$X$3:$AA$3,0))),BH272*(1+INDEX(Response_Table!$L$4:$L$21,MATCH($F272&amp;"|high",Response_Table!$A$4:$A$21,0))*$R272*INDEX(Parameters!$X$12:$AA$12,1,MATCH($E272,Parameters!$X$3:$AA$3,0))))*(1-Inputs_General!$C$22*Parameters!$F$12))</f>
        <v>0.277246662613975</v>
      </c>
      <c r="BK272" s="46" t="n">
        <f aca="false">MAX(BH272*(1+INDEX(Response_Table!$L$4:$L$21,MATCH($F272&amp;"|low",Response_Table!$A$4:$A$21,0))*$R272*INDEX(Parameters!$X$12:$AA$12,1,MATCH($E272,Parameters!$X$3:$AA$3,0))),BH272*(1+INDEX(Response_Table!$L$4:$L$21,MATCH($F272&amp;"|high",Response_Table!$A$4:$A$21,0))*$R272*INDEX(Parameters!$X$12:$AA$12,1,MATCH($E272,Parameters!$X$3:$AA$3,0))))*(1+Inputs_General!$C$22*Parameters!$F$12)</f>
        <v>0.430688225439012</v>
      </c>
      <c r="BL272" s="45" t="n">
        <f aca="false">IF(BH272=0,0,BI272/BH272-1)</f>
        <v>-0.200493435766652</v>
      </c>
      <c r="BM272" s="46" t="n">
        <f aca="false">Parameters!$E$13*IF($N272="V",Parameters!$I$13,IF($N272="F",Parameters!$J$13,Parameters!$K$13))*(1-Parameters!$L$13*$P272)*IF($D272="V1",Parameters!$M$13,IF($D272="V2",Parameters!$N$13,Parameters!$O$13))</f>
        <v>0.29355</v>
      </c>
      <c r="BN272" s="46" t="n">
        <f aca="false">BM272*(1+INDEX(Response_Table!$M$4:$M$21,MATCH($F272&amp;"|mid",Response_Table!$A$4:$A$21,0))*$R272*INDEX(Parameters!$X$13:$AA$13,1,MATCH($E272,Parameters!$X$3:$AA$3,0)))</f>
        <v>0.251077883453947</v>
      </c>
      <c r="BO272" s="46" t="n">
        <f aca="false">MAX(0,MIN(BM272*(1+INDEX(Response_Table!$M$4:$M$21,MATCH($F272&amp;"|low",Response_Table!$A$4:$A$21,0))*$R272*INDEX(Parameters!$X$13:$AA$13,1,MATCH($E272,Parameters!$X$3:$AA$3,0))),BM272*(1+INDEX(Response_Table!$M$4:$M$21,MATCH($F272&amp;"|high",Response_Table!$A$4:$A$21,0))*$R272*INDEX(Parameters!$X$13:$AA$13,1,MATCH($E272,Parameters!$X$3:$AA$3,0))))*(1-Inputs_General!$C$22*Parameters!$F$13))</f>
        <v>0.198725124593966</v>
      </c>
      <c r="BP272" s="46" t="n">
        <f aca="false">MAX(BM272*(1+INDEX(Response_Table!$M$4:$M$21,MATCH($F272&amp;"|low",Response_Table!$A$4:$A$21,0))*$R272*INDEX(Parameters!$X$13:$AA$13,1,MATCH($E272,Parameters!$X$3:$AA$3,0))),BM272*(1+INDEX(Response_Table!$M$4:$M$21,MATCH($F272&amp;"|high",Response_Table!$A$4:$A$21,0))*$R272*INDEX(Parameters!$X$13:$AA$13,1,MATCH($E272,Parameters!$X$3:$AA$3,0))))*(1+Inputs_General!$C$22*Parameters!$F$13)</f>
        <v>0.305943910176918</v>
      </c>
      <c r="BQ272" s="45" t="n">
        <f aca="false">IF(BM272=0,0,BN272/BM272-1)</f>
        <v>-0.144684437220417</v>
      </c>
      <c r="BR272" s="44" t="n">
        <f aca="false">Parameters!$E$14*IF($N272="V",Parameters!$I$14,IF($N272="F",Parameters!$J$14,Parameters!$K$14))*(1-Parameters!$L$14*$P272)*IF($D272="V1",Parameters!$M$14,IF($D272="V2",Parameters!$N$14,Parameters!$O$14))*INDEX(Context!$AC$4:$AC$51,$K272)</f>
        <v>23.1</v>
      </c>
      <c r="BS272" s="44" t="n">
        <f aca="false">BR272*(1+INDEX(Response_Table!$N$4:$N$21,MATCH($F272&amp;"|mid",Response_Table!$A$4:$A$21,0))*$R272*INDEX(Parameters!$X$14:$AA$14,1,MATCH($E272,Parameters!$X$3:$AA$3,0)))</f>
        <v>28.1524345813196</v>
      </c>
      <c r="BT272" s="44" t="n">
        <f aca="false">MAX(0,MIN(BR272*(1+INDEX(Response_Table!$N$4:$N$21,MATCH($F272&amp;"|low",Response_Table!$A$4:$A$21,0))*$R272*INDEX(Parameters!$X$14:$AA$14,1,MATCH($E272,Parameters!$X$3:$AA$3,0))),BR272*(1+INDEX(Response_Table!$N$4:$N$21,MATCH($F272&amp;"|high",Response_Table!$A$4:$A$21,0))*$R272*INDEX(Parameters!$X$14:$AA$14,1,MATCH($E272,Parameters!$X$3:$AA$3,0))))*(1-Inputs_General!$C$22*Parameters!$F$14))</f>
        <v>14.0376458040734</v>
      </c>
      <c r="BU272" s="44" t="n">
        <f aca="false">MAX(BR272*(1+INDEX(Response_Table!$N$4:$N$21,MATCH($F272&amp;"|low",Response_Table!$A$4:$A$21,0))*$R272*INDEX(Parameters!$X$14:$AA$14,1,MATCH($E272,Parameters!$X$3:$AA$3,0))),BR272*(1+INDEX(Response_Table!$N$4:$N$21,MATCH($F272&amp;"|high",Response_Table!$A$4:$A$21,0))*$R272*INDEX(Parameters!$X$14:$AA$14,1,MATCH($E272,Parameters!$X$3:$AA$3,0))))*(1+Inputs_General!$C$22*Parameters!$F$14)</f>
        <v>42.6103912799786</v>
      </c>
      <c r="BV272" s="45" t="n">
        <f aca="false">IF(BR272=0,0,BS272/BR272-1)</f>
        <v>0.218720111745439</v>
      </c>
      <c r="BW272" s="43" t="n">
        <f aca="false">Parameters!$E$15*IF($N272="V",Parameters!$I$15,IF($N272="F",Parameters!$J$15,Parameters!$K$15))*(1-Parameters!$L$15*$P272)*IF($D272="V1",Parameters!$M$15,IF($D272="V2",Parameters!$N$15,Parameters!$O$15))</f>
        <v>10.8</v>
      </c>
      <c r="BX272" s="43" t="n">
        <f aca="false">BW272*(1+INDEX(Response_Table!$O$4:$O$21,MATCH($F272&amp;"|mid",Response_Table!$A$4:$A$21,0))*$R272*INDEX(Parameters!$X$15:$AA$15,1,MATCH($E272,Parameters!$X$3:$AA$3,0)))</f>
        <v>10.2094556982873</v>
      </c>
      <c r="BY272" s="43" t="n">
        <f aca="false">MAX(0,MIN(BW272*(1+INDEX(Response_Table!$O$4:$O$21,MATCH($F272&amp;"|low",Response_Table!$A$4:$A$21,0))*$R272*INDEX(Parameters!$X$15:$AA$15,1,MATCH($E272,Parameters!$X$3:$AA$3,0))),BW272*(1+INDEX(Response_Table!$O$4:$O$21,MATCH($F272&amp;"|high",Response_Table!$A$4:$A$21,0))*$R272*INDEX(Parameters!$X$15:$AA$15,1,MATCH($E272,Parameters!$X$3:$AA$3,0))))*(1-Inputs_General!$C$22*Parameters!$F$15))</f>
        <v>8.15863705562374</v>
      </c>
      <c r="BZ272" s="43" t="n">
        <f aca="false">MAX(BW272*(1+INDEX(Response_Table!$O$4:$O$21,MATCH($F272&amp;"|low",Response_Table!$A$4:$A$21,0))*$R272*INDEX(Parameters!$X$15:$AA$15,1,MATCH($E272,Parameters!$X$3:$AA$3,0))),BW272*(1+INDEX(Response_Table!$O$4:$O$21,MATCH($F272&amp;"|high",Response_Table!$A$4:$A$21,0))*$R272*INDEX(Parameters!$X$15:$AA$15,1,MATCH($E272,Parameters!$X$3:$AA$3,0))))*(1+Inputs_General!$C$22*Parameters!$F$15)</f>
        <v>12.2860242478384</v>
      </c>
      <c r="CA272" s="45" t="n">
        <f aca="false">IF(BW272=0,0,BX272/BW272-1)</f>
        <v>-0.0546800279363597</v>
      </c>
      <c r="CB272" s="46" t="n">
        <f aca="false">BD272+BI272</f>
        <v>1.27949190132203</v>
      </c>
      <c r="CC272" s="43" t="n">
        <f aca="false">BD272/BI272</f>
        <v>2.63447899909421</v>
      </c>
      <c r="CD272" s="46" t="n">
        <f aca="false">BN272/CB272</f>
        <v>0.196232491346387</v>
      </c>
      <c r="CE272" s="43" t="n">
        <f aca="false">AE272/AO272</f>
        <v>3.20782529721414</v>
      </c>
      <c r="CF272" s="44" t="n">
        <f aca="false">AE272/AJ272</f>
        <v>35.2176897420832</v>
      </c>
      <c r="CG272" s="44" t="n">
        <f aca="false">INDEX(Context!$V$4:$V$51,$K272)</f>
        <v>22.6257142857143</v>
      </c>
      <c r="CH272" s="44" t="n">
        <f aca="false">INDEX(Context!$Y$4:$Y$51,$K272)</f>
        <v>21.3177449518561</v>
      </c>
      <c r="CI272" s="44" t="n">
        <f aca="false">INDEX(Context!$Z$4:$Z$51,$K272)</f>
        <v>26.6257142857143</v>
      </c>
      <c r="CJ272" s="43" t="n">
        <f aca="false">INDEX(Context!$AA$4:$AA$51,$K272)</f>
        <v>0.12</v>
      </c>
      <c r="CK272" s="43" t="n">
        <f aca="false">MAX(0,MIN(1,1-(1-CJ272)*AO272/AN272))</f>
        <v>0.364834502147012</v>
      </c>
      <c r="CL272" s="44" t="n">
        <f aca="false">CH272+CK272*(CI272-CH272)</f>
        <v>23.2542753011858</v>
      </c>
      <c r="CM272" s="44" t="n">
        <f aca="false">CH272+MAX(0,MIN(1,1-(1-CJ272)*AQ272/AN272))*(CI272-CH272)</f>
        <v>21.827102203117</v>
      </c>
      <c r="CN272" s="44" t="n">
        <f aca="false">CH272+MAX(0,MIN(1,1-(1-CJ272)*AP272/AN272))*(CI272-CH272)</f>
        <v>24.4291909876893</v>
      </c>
      <c r="CO272" s="44" t="n">
        <f aca="false">CL272-CG272</f>
        <v>0.62856101547154</v>
      </c>
      <c r="CP272" s="44" t="n">
        <f aca="false">CL272-(CH272+CJ272*(CI272-CH272))</f>
        <v>1.29957402926679</v>
      </c>
      <c r="CQ272" s="46" t="n">
        <f aca="false">CL272/CG272</f>
        <v>1.02778082528287</v>
      </c>
      <c r="CR272" s="43" t="n">
        <f aca="false">IF(CL272-CH272&lt;=0,"n/a",(CI272-CL272)/(CL272-CH272))</f>
        <v>1.74096883412919</v>
      </c>
      <c r="CS272" s="43" t="n">
        <f aca="false">IF(CI272-CL272&lt;=0,"n/a",(CL272-CH272)/(CI272-CL272))</f>
        <v>0.57439282105253</v>
      </c>
      <c r="CT272" s="43" t="n">
        <f aca="false">Inputs_General!$C$23+Inputs_General!$C$24*$I272</f>
        <v>1.9</v>
      </c>
      <c r="CU272" s="44" t="n">
        <f aca="false">3.29*CT272</f>
        <v>6.251</v>
      </c>
    </row>
    <row r="273" customFormat="false" ht="15" hidden="false" customHeight="false" outlineLevel="0" collapsed="false">
      <c r="A273" s="33" t="str">
        <f aca="false">B273&amp;"|"&amp;E273&amp;"|"&amp;F273</f>
        <v>D4V3|24/02/2026|Healthy</v>
      </c>
      <c r="B273" s="34" t="s">
        <v>354</v>
      </c>
      <c r="C273" s="33" t="s">
        <v>133</v>
      </c>
      <c r="D273" s="33" t="s">
        <v>150</v>
      </c>
      <c r="E273" s="33" t="s">
        <v>160</v>
      </c>
      <c r="F273" s="34" t="s">
        <v>275</v>
      </c>
      <c r="G273" s="33" t="s">
        <v>276</v>
      </c>
      <c r="H273" s="35" t="n">
        <f aca="false">INDEX(Severity_Classes!$C$4:$C$9,MATCH(F273,Severity_Classes!$A$4:$A$9,0))</f>
        <v>0</v>
      </c>
      <c r="I273" s="35" t="n">
        <f aca="false">INDEX(Severity_Classes!$D$4:$D$9,MATCH(F273,Severity_Classes!$A$4:$A$9,0))</f>
        <v>0</v>
      </c>
      <c r="J273" s="35" t="n">
        <f aca="false">INDEX(Severity_Classes!$E$4:$E$9,MATCH(F273,Severity_Classes!$A$4:$A$9,0))</f>
        <v>0</v>
      </c>
      <c r="K273" s="36" t="n">
        <f aca="false">MATCH(B273&amp;"|"&amp;E273,Context!$A$4:$A$51,0)</f>
        <v>46</v>
      </c>
      <c r="L273" s="36" t="n">
        <f aca="false">INDEX(Context!$H$4:$H$51,K273)</f>
        <v>46</v>
      </c>
      <c r="M273" s="36" t="n">
        <f aca="false">INDEX(Context!$I$4:$I$51,K273)</f>
        <v>19</v>
      </c>
      <c r="N273" s="33" t="str">
        <f aca="false">INDEX(Context!$L$4:$L$51,K273)</f>
        <v>V</v>
      </c>
      <c r="O273" s="33" t="str">
        <f aca="false">INDEX(Context!$M$4:$M$51,K273)</f>
        <v>3rd fully expanded leaf from top</v>
      </c>
      <c r="P273" s="37" t="n">
        <f aca="false">INDEX(Context!$R$4:$R$51,K273)</f>
        <v>0.0232142857142859</v>
      </c>
      <c r="Q273" s="37" t="n">
        <f aca="false">INDEX(Context!$U$4:$U$51,K273)</f>
        <v>1.19492600027053</v>
      </c>
      <c r="R273" s="37" t="n">
        <f aca="false">INDEX(Context!$AD$4:$AD$51,K273)</f>
        <v>0.85</v>
      </c>
      <c r="S273" s="33" t="str">
        <f aca="false">INDEX(Context!$AI$4:$AN$51,K273,MATCH(F273,Severity_Classes!$A$4:$A$9,0))</f>
        <v>Reference: healthy (uninoculated) control plot</v>
      </c>
      <c r="T273" s="38" t="n">
        <f aca="false">Parameters!$E$4*IF($N273="V",Parameters!$I$4,IF($N273="F",Parameters!$J$4,Parameters!$K$4))*(1-Parameters!$L$4*$P273)*IF($D273="V1",Parameters!$M$4,IF($D273="V2",Parameters!$N$4,Parameters!$O$4))</f>
        <v>85.9001785714286</v>
      </c>
      <c r="U273" s="38" t="n">
        <f aca="false">MIN(100,T273*(1+INDEX(Response_Table!$E$4:$E$21,MATCH($F273&amp;"|mid",Response_Table!$A$4:$A$21,0))*$R273*INDEX(Parameters!$X$4:$AA$4,1,MATCH($E273,Parameters!$X$3:$AA$3,0))))</f>
        <v>85.9001785714286</v>
      </c>
      <c r="V273" s="38" t="n">
        <f aca="false">MAX(0,MIN(T273*(1+INDEX(Response_Table!$E$4:$E$21,MATCH($F273&amp;"|low",Response_Table!$A$4:$A$21,0))*$R273*INDEX(Parameters!$X$4:$AA$4,1,MATCH($E273,Parameters!$X$3:$AA$3,0))),T273*(1+INDEX(Response_Table!$E$4:$E$21,MATCH($F273&amp;"|high",Response_Table!$A$4:$A$21,0))*$R273*INDEX(Parameters!$X$4:$AA$4,1,MATCH($E273,Parameters!$X$3:$AA$3,0))))*(1-Inputs_General!$C$22*Parameters!$F$4))</f>
        <v>80.2479468214286</v>
      </c>
      <c r="W273" s="38" t="n">
        <f aca="false">MIN(100,MAX(T273*(1+INDEX(Response_Table!$E$4:$E$21,MATCH($F273&amp;"|low",Response_Table!$A$4:$A$21,0))*$R273*INDEX(Parameters!$X$4:$AA$4,1,MATCH($E273,Parameters!$X$3:$AA$3,0))),T273*(1+INDEX(Response_Table!$E$4:$E$21,MATCH($F273&amp;"|high",Response_Table!$A$4:$A$21,0))*$R273*INDEX(Parameters!$X$4:$AA$4,1,MATCH($E273,Parameters!$X$3:$AA$3,0))))*(1+Inputs_General!$C$22*Parameters!$F$4))</f>
        <v>91.5524103214286</v>
      </c>
      <c r="X273" s="39" t="n">
        <f aca="false">IF(T273=0,0,U273/T273-1)</f>
        <v>0</v>
      </c>
      <c r="Y273" s="38" t="n">
        <f aca="false">Parameters!$E$5*IF($N273="V",Parameters!$I$5,IF($N273="F",Parameters!$J$5,Parameters!$K$5))*(1-Parameters!$L$5*$P273)*IF($D273="V1",Parameters!$M$5,IF($D273="V2",Parameters!$N$5,Parameters!$O$5))</f>
        <v>71.7994285714286</v>
      </c>
      <c r="Z273" s="38" t="n">
        <f aca="false">MIN(100,Y273*(1+INDEX(Response_Table!$F$4:$F$21,MATCH($F273&amp;"|mid",Response_Table!$A$4:$A$21,0))*$R273*INDEX(Parameters!$X$5:$AA$5,1,MATCH($E273,Parameters!$X$3:$AA$3,0))))</f>
        <v>71.7994285714286</v>
      </c>
      <c r="AA273" s="38" t="n">
        <f aca="false">MAX(0,MIN(Y273*(1+INDEX(Response_Table!$F$4:$F$21,MATCH($F273&amp;"|low",Response_Table!$A$4:$A$21,0))*$R273*INDEX(Parameters!$X$5:$AA$5,1,MATCH($E273,Parameters!$X$3:$AA$3,0))),Y273*(1+INDEX(Response_Table!$F$4:$F$21,MATCH($F273&amp;"|high",Response_Table!$A$4:$A$21,0))*$R273*INDEX(Parameters!$X$5:$AA$5,1,MATCH($E273,Parameters!$X$3:$AA$3,0))))*(1-Inputs_General!$C$22*Parameters!$F$5))</f>
        <v>63.5317243714286</v>
      </c>
      <c r="AB273" s="38" t="n">
        <f aca="false">MIN(100,MAX(Y273*(1+INDEX(Response_Table!$F$4:$F$21,MATCH($F273&amp;"|low",Response_Table!$A$4:$A$21,0))*$R273*INDEX(Parameters!$X$5:$AA$5,1,MATCH($E273,Parameters!$X$3:$AA$3,0))),Y273*(1+INDEX(Response_Table!$F$4:$F$21,MATCH($F273&amp;"|high",Response_Table!$A$4:$A$21,0))*$R273*INDEX(Parameters!$X$5:$AA$5,1,MATCH($E273,Parameters!$X$3:$AA$3,0))))*(1+Inputs_General!$C$22*Parameters!$F$5))</f>
        <v>80.0671327714286</v>
      </c>
      <c r="AC273" s="39" t="n">
        <f aca="false">IF(Y273=0,0,Z273/Y273-1)</f>
        <v>0</v>
      </c>
      <c r="AD273" s="38" t="n">
        <f aca="false">Parameters!$E$6*IF($N273="V",Parameters!$I$6,IF($N273="F",Parameters!$J$6,Parameters!$K$6))*(1-Parameters!$L$6*$P273)*IF($D273="V1",Parameters!$M$6,IF($D273="V2",Parameters!$N$6,Parameters!$O$6))</f>
        <v>19.5154835714286</v>
      </c>
      <c r="AE273" s="38" t="n">
        <f aca="false">AD273*(1+INDEX(Response_Table!$G$4:$G$21,MATCH($F273&amp;"|mid",Response_Table!$A$4:$A$21,0))*$R273*INDEX(Parameters!$X$6:$AA$6,1,MATCH($E273,Parameters!$X$3:$AA$3,0)))</f>
        <v>19.5154835714286</v>
      </c>
      <c r="AF273" s="38" t="n">
        <f aca="false">MAX(0,MIN(AD273*(1+INDEX(Response_Table!$G$4:$G$21,MATCH($F273&amp;"|low",Response_Table!$A$4:$A$21,0))*$R273*INDEX(Parameters!$X$6:$AA$6,1,MATCH($E273,Parameters!$X$3:$AA$3,0))),AD273*(1+INDEX(Response_Table!$G$4:$G$21,MATCH($F273&amp;"|high",Response_Table!$A$4:$A$21,0))*$R273*INDEX(Parameters!$X$6:$AA$6,1,MATCH($E273,Parameters!$X$3:$AA$3,0))))*(1-Inputs_General!$C$22*Parameters!$F$6))</f>
        <v>15.6631271144286</v>
      </c>
      <c r="AG273" s="38" t="n">
        <f aca="false">MAX(AD273*(1+INDEX(Response_Table!$G$4:$G$21,MATCH($F273&amp;"|low",Response_Table!$A$4:$A$21,0))*$R273*INDEX(Parameters!$X$6:$AA$6,1,MATCH($E273,Parameters!$X$3:$AA$3,0))),AD273*(1+INDEX(Response_Table!$G$4:$G$21,MATCH($F273&amp;"|high",Response_Table!$A$4:$A$21,0))*$R273*INDEX(Parameters!$X$6:$AA$6,1,MATCH($E273,Parameters!$X$3:$AA$3,0))))*(1+Inputs_General!$C$22*Parameters!$F$6)</f>
        <v>23.3678400284286</v>
      </c>
      <c r="AH273" s="39" t="n">
        <f aca="false">IF(AD273=0,0,AE273/AD273-1)</f>
        <v>0</v>
      </c>
      <c r="AI273" s="40" t="n">
        <f aca="false">Parameters!$E$7*IF($N273="V",Parameters!$I$7,IF($N273="F",Parameters!$J$7,Parameters!$K$7))*(1-Parameters!$L$7*$P273)*IF($D273="V1",Parameters!$M$7,IF($D273="V2",Parameters!$N$7,Parameters!$O$7))*POWER($Q273/Inputs_General!$C$26,-Inputs_General!$C$25)</f>
        <v>0.411663164578586</v>
      </c>
      <c r="AJ273" s="40" t="n">
        <f aca="false">AI273*(1+INDEX(Response_Table!$H$4:$H$21,MATCH($F273&amp;"|mid",Response_Table!$A$4:$A$21,0))*$R273*INDEX(Parameters!$X$7:$AA$7,1,MATCH($E273,Parameters!$X$3:$AA$3,0)))</f>
        <v>0.411663164578586</v>
      </c>
      <c r="AK273" s="40" t="n">
        <f aca="false">MAX(0,MIN(AI273*(1+INDEX(Response_Table!$H$4:$H$21,MATCH($F273&amp;"|low",Response_Table!$A$4:$A$21,0))*$R273*INDEX(Parameters!$X$7:$AA$7,1,MATCH($E273,Parameters!$X$3:$AA$3,0))),AI273*(1+INDEX(Response_Table!$H$4:$H$21,MATCH($F273&amp;"|high",Response_Table!$A$4:$A$21,0))*$R273*INDEX(Parameters!$X$7:$AA$7,1,MATCH($E273,Parameters!$X$3:$AA$3,0))))*(1-Inputs_General!$C$22*Parameters!$F$7))</f>
        <v>0.289769701546867</v>
      </c>
      <c r="AL273" s="40" t="n">
        <f aca="false">MAX(AI273*(1+INDEX(Response_Table!$H$4:$H$21,MATCH($F273&amp;"|low",Response_Table!$A$4:$A$21,0))*$R273*INDEX(Parameters!$X$7:$AA$7,1,MATCH($E273,Parameters!$X$3:$AA$3,0))),AI273*(1+INDEX(Response_Table!$H$4:$H$21,MATCH($F273&amp;"|high",Response_Table!$A$4:$A$21,0))*$R273*INDEX(Parameters!$X$7:$AA$7,1,MATCH($E273,Parameters!$X$3:$AA$3,0))))*(1+Inputs_General!$C$22*Parameters!$F$7)</f>
        <v>0.533556627610306</v>
      </c>
      <c r="AM273" s="39" t="n">
        <f aca="false">IF(AI273=0,0,AJ273/AI273-1)</f>
        <v>0</v>
      </c>
      <c r="AN273" s="37" t="n">
        <f aca="false">AI273*$Q273/Inputs_General!$C$13*1000</f>
        <v>4.95374641196979</v>
      </c>
      <c r="AO273" s="37" t="n">
        <f aca="false">AJ273*$Q273/Inputs_General!$C$13*1000*(1+Inputs_General!$C$21*$I273)</f>
        <v>4.95374641196979</v>
      </c>
      <c r="AP273" s="37" t="n">
        <f aca="false">AK273*$Q273/Inputs_General!$C$13*1000*(1+Inputs_General!$C$21*$H273)</f>
        <v>3.48694209938553</v>
      </c>
      <c r="AQ273" s="37" t="n">
        <f aca="false">AL273*$Q273/Inputs_General!$C$13*1000*(1+Inputs_General!$C$21*$J273)</f>
        <v>6.42055072455404</v>
      </c>
      <c r="AR273" s="39" t="n">
        <f aca="false">IF(AN273=0,0,AO273/AN273-1)</f>
        <v>0</v>
      </c>
      <c r="AS273" s="36" t="n">
        <f aca="false">Parameters!$E$9*IF($N273="V",Parameters!$I$9,IF($N273="F",Parameters!$J$9,Parameters!$K$9))*(1-Parameters!$L$9*$P273)*IF($D273="V1",Parameters!$M$9,IF($D273="V2",Parameters!$N$9,Parameters!$O$9))</f>
        <v>285</v>
      </c>
      <c r="AT273" s="36" t="n">
        <f aca="false">AS273*(1+INDEX(Response_Table!$I$4:$I$21,MATCH($F273&amp;"|mid",Response_Table!$A$4:$A$21,0))*$R273*INDEX(Parameters!$X$9:$AA$9,1,MATCH($E273,Parameters!$X$3:$AA$3,0)))</f>
        <v>285</v>
      </c>
      <c r="AU273" s="36" t="n">
        <f aca="false">MAX(0,MIN(AS273*(1+INDEX(Response_Table!$I$4:$I$21,MATCH($F273&amp;"|low",Response_Table!$A$4:$A$21,0))*$R273*INDEX(Parameters!$X$9:$AA$9,1,MATCH($E273,Parameters!$X$3:$AA$3,0))),AS273*(1+INDEX(Response_Table!$I$4:$I$21,MATCH($F273&amp;"|high",Response_Table!$A$4:$A$21,0))*$R273*INDEX(Parameters!$X$9:$AA$9,1,MATCH($E273,Parameters!$X$3:$AA$3,0))))*(1-Inputs_General!$C$22*Parameters!$F$9))</f>
        <v>256.8705</v>
      </c>
      <c r="AV273" s="36" t="n">
        <f aca="false">MAX(AS273*(1+INDEX(Response_Table!$I$4:$I$21,MATCH($F273&amp;"|low",Response_Table!$A$4:$A$21,0))*$R273*INDEX(Parameters!$X$9:$AA$9,1,MATCH($E273,Parameters!$X$3:$AA$3,0))),AS273*(1+INDEX(Response_Table!$I$4:$I$21,MATCH($F273&amp;"|high",Response_Table!$A$4:$A$21,0))*$R273*INDEX(Parameters!$X$9:$AA$9,1,MATCH($E273,Parameters!$X$3:$AA$3,0))))*(1+Inputs_General!$C$22*Parameters!$F$9)</f>
        <v>313.1295</v>
      </c>
      <c r="AW273" s="39" t="n">
        <f aca="false">IF(AS273=0,0,AT273/AS273-1)</f>
        <v>0</v>
      </c>
      <c r="AX273" s="37" t="n">
        <f aca="false">INDEX(Context!$AB$4:$AB$51,$K273)</f>
        <v>1.40851696565548</v>
      </c>
      <c r="AY273" s="37" t="n">
        <f aca="false">AX273*(1+INDEX(Response_Table!$J$4:$J$21,MATCH($F273&amp;"|mid",Response_Table!$A$4:$A$21,0))*$R273*INDEX(Parameters!$X$10:$AA$10,1,MATCH($E273,Parameters!$X$3:$AA$3,0)))</f>
        <v>1.40851696565548</v>
      </c>
      <c r="AZ273" s="37" t="n">
        <f aca="false">MAX(0,MIN(AX273*(1+INDEX(Response_Table!$J$4:$J$21,MATCH($F273&amp;"|low",Response_Table!$A$4:$A$21,0))*$R273*INDEX(Parameters!$X$10:$AA$10,1,MATCH($E273,Parameters!$X$3:$AA$3,0))),AX273*(1+INDEX(Response_Table!$J$4:$J$21,MATCH($F273&amp;"|high",Response_Table!$A$4:$A$21,0))*$R273*INDEX(Parameters!$X$10:$AA$10,1,MATCH($E273,Parameters!$X$3:$AA$3,0))))*(1-Inputs_General!$C$22*Parameters!$F$10))</f>
        <v>1.13047571663509</v>
      </c>
      <c r="BA273" s="37" t="n">
        <f aca="false">MAX(AX273*(1+INDEX(Response_Table!$J$4:$J$21,MATCH($F273&amp;"|low",Response_Table!$A$4:$A$21,0))*$R273*INDEX(Parameters!$X$10:$AA$10,1,MATCH($E273,Parameters!$X$3:$AA$3,0))),AX273*(1+INDEX(Response_Table!$J$4:$J$21,MATCH($F273&amp;"|high",Response_Table!$A$4:$A$21,0))*$R273*INDEX(Parameters!$X$10:$AA$10,1,MATCH($E273,Parameters!$X$3:$AA$3,0))))*(1+Inputs_General!$C$22*Parameters!$F$10)</f>
        <v>1.68655821467588</v>
      </c>
      <c r="BB273" s="39" t="n">
        <f aca="false">IF(AX273=0,0,AY273/AX273-1)</f>
        <v>0</v>
      </c>
      <c r="BC273" s="40" t="n">
        <f aca="false">Parameters!$E$11*IF($N273="V",Parameters!$I$11,IF($N273="F",Parameters!$J$11,Parameters!$K$11))*(1-Parameters!$L$11*$P273)*IF($D273="V1",Parameters!$M$11,IF($D273="V2",Parameters!$N$11,Parameters!$O$11))</f>
        <v>1.22142136160714</v>
      </c>
      <c r="BD273" s="40" t="n">
        <f aca="false">BC273*(1+INDEX(Response_Table!$K$4:$K$21,MATCH($F273&amp;"|mid",Response_Table!$A$4:$A$21,0))*$R273*INDEX(Parameters!$X$11:$AA$11,1,MATCH($E273,Parameters!$X$3:$AA$3,0)))</f>
        <v>1.22142136160714</v>
      </c>
      <c r="BE273" s="40" t="n">
        <f aca="false">MAX(0,MIN(BC273*(1+INDEX(Response_Table!$K$4:$K$21,MATCH($F273&amp;"|low",Response_Table!$A$4:$A$21,0))*$R273*INDEX(Parameters!$X$11:$AA$11,1,MATCH($E273,Parameters!$X$3:$AA$3,0))),BC273*(1+INDEX(Response_Table!$K$4:$K$21,MATCH($F273&amp;"|high",Response_Table!$A$4:$A$21,0))*$R273*INDEX(Parameters!$X$11:$AA$11,1,MATCH($E273,Parameters!$X$3:$AA$3,0))))*(1-Inputs_General!$C$22*Parameters!$F$11))</f>
        <v>1.02049754762277</v>
      </c>
      <c r="BF273" s="40" t="n">
        <f aca="false">MAX(BC273*(1+INDEX(Response_Table!$K$4:$K$21,MATCH($F273&amp;"|low",Response_Table!$A$4:$A$21,0))*$R273*INDEX(Parameters!$X$11:$AA$11,1,MATCH($E273,Parameters!$X$3:$AA$3,0))),BC273*(1+INDEX(Response_Table!$K$4:$K$21,MATCH($F273&amp;"|high",Response_Table!$A$4:$A$21,0))*$R273*INDEX(Parameters!$X$11:$AA$11,1,MATCH($E273,Parameters!$X$3:$AA$3,0))))*(1+Inputs_General!$C$22*Parameters!$F$11)</f>
        <v>1.42234517559152</v>
      </c>
      <c r="BG273" s="39" t="n">
        <f aca="false">IF(BC273=0,0,BD273/BC273-1)</f>
        <v>0</v>
      </c>
      <c r="BH273" s="40" t="n">
        <f aca="false">Parameters!$E$12*IF($N273="V",Parameters!$I$12,IF($N273="F",Parameters!$J$12,Parameters!$K$12))*(1-Parameters!$L$12*$P273)*IF($D273="V1",Parameters!$M$12,IF($D273="V2",Parameters!$N$12,Parameters!$O$12))</f>
        <v>0.439711690178571</v>
      </c>
      <c r="BI273" s="40" t="n">
        <f aca="false">BH273*(1+INDEX(Response_Table!$L$4:$L$21,MATCH($F273&amp;"|mid",Response_Table!$A$4:$A$21,0))*$R273*INDEX(Parameters!$X$12:$AA$12,1,MATCH($E273,Parameters!$X$3:$AA$3,0)))</f>
        <v>0.439711690178571</v>
      </c>
      <c r="BJ273" s="40" t="n">
        <f aca="false">MAX(0,MIN(BH273*(1+INDEX(Response_Table!$L$4:$L$21,MATCH($F273&amp;"|low",Response_Table!$A$4:$A$21,0))*$R273*INDEX(Parameters!$X$12:$AA$12,1,MATCH($E273,Parameters!$X$3:$AA$3,0))),BH273*(1+INDEX(Response_Table!$L$4:$L$21,MATCH($F273&amp;"|high",Response_Table!$A$4:$A$21,0))*$R273*INDEX(Parameters!$X$12:$AA$12,1,MATCH($E273,Parameters!$X$3:$AA$3,0))))*(1-Inputs_General!$C$22*Parameters!$F$12))</f>
        <v>0.352912602537321</v>
      </c>
      <c r="BK273" s="40" t="n">
        <f aca="false">MAX(BH273*(1+INDEX(Response_Table!$L$4:$L$21,MATCH($F273&amp;"|low",Response_Table!$A$4:$A$21,0))*$R273*INDEX(Parameters!$X$12:$AA$12,1,MATCH($E273,Parameters!$X$3:$AA$3,0))),BH273*(1+INDEX(Response_Table!$L$4:$L$21,MATCH($F273&amp;"|high",Response_Table!$A$4:$A$21,0))*$R273*INDEX(Parameters!$X$12:$AA$12,1,MATCH($E273,Parameters!$X$3:$AA$3,0))))*(1+Inputs_General!$C$22*Parameters!$F$12)</f>
        <v>0.526510777819822</v>
      </c>
      <c r="BL273" s="39" t="n">
        <f aca="false">IF(BH273=0,0,BI273/BH273-1)</f>
        <v>0</v>
      </c>
      <c r="BM273" s="40" t="n">
        <f aca="false">Parameters!$E$13*IF($N273="V",Parameters!$I$13,IF($N273="F",Parameters!$J$13,Parameters!$K$13))*(1-Parameters!$L$13*$P273)*IF($D273="V1",Parameters!$M$13,IF($D273="V2",Parameters!$N$13,Parameters!$O$13))</f>
        <v>0.293345563392857</v>
      </c>
      <c r="BN273" s="40" t="n">
        <f aca="false">BM273*(1+INDEX(Response_Table!$M$4:$M$21,MATCH($F273&amp;"|mid",Response_Table!$A$4:$A$21,0))*$R273*INDEX(Parameters!$X$13:$AA$13,1,MATCH($E273,Parameters!$X$3:$AA$3,0)))</f>
        <v>0.293345563392857</v>
      </c>
      <c r="BO273" s="40" t="n">
        <f aca="false">MAX(0,MIN(BM273*(1+INDEX(Response_Table!$M$4:$M$21,MATCH($F273&amp;"|low",Response_Table!$A$4:$A$21,0))*$R273*INDEX(Parameters!$X$13:$AA$13,1,MATCH($E273,Parameters!$X$3:$AA$3,0))),BM273*(1+INDEX(Response_Table!$M$4:$M$21,MATCH($F273&amp;"|high",Response_Table!$A$4:$A$21,0))*$R273*INDEX(Parameters!$X$13:$AA$13,1,MATCH($E273,Parameters!$X$3:$AA$3,0))))*(1-Inputs_General!$C$22*Parameters!$F$13))</f>
        <v>0.235439149179107</v>
      </c>
      <c r="BP273" s="40" t="n">
        <f aca="false">MAX(BM273*(1+INDEX(Response_Table!$M$4:$M$21,MATCH($F273&amp;"|low",Response_Table!$A$4:$A$21,0))*$R273*INDEX(Parameters!$X$13:$AA$13,1,MATCH($E273,Parameters!$X$3:$AA$3,0))),BM273*(1+INDEX(Response_Table!$M$4:$M$21,MATCH($F273&amp;"|high",Response_Table!$A$4:$A$21,0))*$R273*INDEX(Parameters!$X$13:$AA$13,1,MATCH($E273,Parameters!$X$3:$AA$3,0))))*(1+Inputs_General!$C$22*Parameters!$F$13)</f>
        <v>0.351251977606607</v>
      </c>
      <c r="BQ273" s="39" t="n">
        <f aca="false">IF(BM273=0,0,BN273/BM273-1)</f>
        <v>0</v>
      </c>
      <c r="BR273" s="38" t="n">
        <f aca="false">Parameters!$E$14*IF($N273="V",Parameters!$I$14,IF($N273="F",Parameters!$J$14,Parameters!$K$14))*(1-Parameters!$L$14*$P273)*IF($D273="V1",Parameters!$M$14,IF($D273="V2",Parameters!$N$14,Parameters!$O$14))*INDEX(Context!$AC$4:$AC$51,$K273)</f>
        <v>18.975</v>
      </c>
      <c r="BS273" s="38" t="n">
        <f aca="false">BR273*(1+INDEX(Response_Table!$N$4:$N$21,MATCH($F273&amp;"|mid",Response_Table!$A$4:$A$21,0))*$R273*INDEX(Parameters!$X$14:$AA$14,1,MATCH($E273,Parameters!$X$3:$AA$3,0)))</f>
        <v>18.975</v>
      </c>
      <c r="BT273" s="38" t="n">
        <f aca="false">MAX(0,MIN(BR273*(1+INDEX(Response_Table!$N$4:$N$21,MATCH($F273&amp;"|low",Response_Table!$A$4:$A$21,0))*$R273*INDEX(Parameters!$X$14:$AA$14,1,MATCH($E273,Parameters!$X$3:$AA$3,0))),BR273*(1+INDEX(Response_Table!$N$4:$N$21,MATCH($F273&amp;"|high",Response_Table!$A$4:$A$21,0))*$R273*INDEX(Parameters!$X$14:$AA$14,1,MATCH($E273,Parameters!$X$3:$AA$3,0))))*(1-Inputs_General!$C$22*Parameters!$F$14))</f>
        <v>9.6108375</v>
      </c>
      <c r="BU273" s="38" t="n">
        <f aca="false">MAX(BR273*(1+INDEX(Response_Table!$N$4:$N$21,MATCH($F273&amp;"|low",Response_Table!$A$4:$A$21,0))*$R273*INDEX(Parameters!$X$14:$AA$14,1,MATCH($E273,Parameters!$X$3:$AA$3,0))),BR273*(1+INDEX(Response_Table!$N$4:$N$21,MATCH($F273&amp;"|high",Response_Table!$A$4:$A$21,0))*$R273*INDEX(Parameters!$X$14:$AA$14,1,MATCH($E273,Parameters!$X$3:$AA$3,0))))*(1+Inputs_General!$C$22*Parameters!$F$14)</f>
        <v>28.3391625</v>
      </c>
      <c r="BV273" s="39" t="n">
        <f aca="false">IF(BR273=0,0,BS273/BR273-1)</f>
        <v>0</v>
      </c>
      <c r="BW273" s="37" t="n">
        <f aca="false">Parameters!$E$15*IF($N273="V",Parameters!$I$15,IF($N273="F",Parameters!$J$15,Parameters!$K$15))*(1-Parameters!$L$15*$P273)*IF($D273="V1",Parameters!$M$15,IF($D273="V2",Parameters!$N$15,Parameters!$O$15))</f>
        <v>10.7849571428571</v>
      </c>
      <c r="BX273" s="37" t="n">
        <f aca="false">BW273*(1+INDEX(Response_Table!$O$4:$O$21,MATCH($F273&amp;"|mid",Response_Table!$A$4:$A$21,0))*$R273*INDEX(Parameters!$X$15:$AA$15,1,MATCH($E273,Parameters!$X$3:$AA$3,0)))</f>
        <v>10.7849571428571</v>
      </c>
      <c r="BY273" s="37" t="n">
        <f aca="false">MAX(0,MIN(BW273*(1+INDEX(Response_Table!$O$4:$O$21,MATCH($F273&amp;"|low",Response_Table!$A$4:$A$21,0))*$R273*INDEX(Parameters!$X$15:$AA$15,1,MATCH($E273,Parameters!$X$3:$AA$3,0))),BW273*(1+INDEX(Response_Table!$O$4:$O$21,MATCH($F273&amp;"|high",Response_Table!$A$4:$A$21,0))*$R273*INDEX(Parameters!$X$15:$AA$15,1,MATCH($E273,Parameters!$X$3:$AA$3,0))))*(1-Inputs_General!$C$22*Parameters!$F$15))</f>
        <v>8.65600660285714</v>
      </c>
      <c r="BZ273" s="37" t="n">
        <f aca="false">MAX(BW273*(1+INDEX(Response_Table!$O$4:$O$21,MATCH($F273&amp;"|low",Response_Table!$A$4:$A$21,0))*$R273*INDEX(Parameters!$X$15:$AA$15,1,MATCH($E273,Parameters!$X$3:$AA$3,0))),BW273*(1+INDEX(Response_Table!$O$4:$O$21,MATCH($F273&amp;"|high",Response_Table!$A$4:$A$21,0))*$R273*INDEX(Parameters!$X$15:$AA$15,1,MATCH($E273,Parameters!$X$3:$AA$3,0))))*(1+Inputs_General!$C$22*Parameters!$F$15)</f>
        <v>12.9139076828571</v>
      </c>
      <c r="CA273" s="39" t="n">
        <f aca="false">IF(BW273=0,0,BX273/BW273-1)</f>
        <v>0</v>
      </c>
      <c r="CB273" s="40" t="n">
        <f aca="false">BD273+BI273</f>
        <v>1.66113305178571</v>
      </c>
      <c r="CC273" s="37" t="n">
        <f aca="false">BD273/BI273</f>
        <v>2.77777777777778</v>
      </c>
      <c r="CD273" s="40" t="n">
        <f aca="false">BN273/CB273</f>
        <v>0.176593658814694</v>
      </c>
      <c r="CE273" s="37" t="n">
        <f aca="false">AE273/AO273</f>
        <v>3.93954028899685</v>
      </c>
      <c r="CF273" s="38" t="n">
        <f aca="false">AE273/AJ273</f>
        <v>47.4064362581634</v>
      </c>
      <c r="CG273" s="38" t="n">
        <f aca="false">INDEX(Context!$V$4:$V$51,$K273)</f>
        <v>25.5785714285714</v>
      </c>
      <c r="CH273" s="38" t="n">
        <f aca="false">INDEX(Context!$Y$4:$Y$51,$K273)</f>
        <v>23.620522619794</v>
      </c>
      <c r="CI273" s="38" t="n">
        <f aca="false">INDEX(Context!$Z$4:$Z$51,$K273)</f>
        <v>29.5785714285714</v>
      </c>
      <c r="CJ273" s="37" t="n">
        <f aca="false">INDEX(Context!$AA$4:$AA$51,$K273)</f>
        <v>0.121160714285714</v>
      </c>
      <c r="CK273" s="37" t="n">
        <f aca="false">MAX(0,MIN(1,1-(1-CJ273)*AO273/AN273))</f>
        <v>0.121160714285714</v>
      </c>
      <c r="CL273" s="38" t="n">
        <f aca="false">CH273+CK273*(CI273-CH273)</f>
        <v>24.3424040692146</v>
      </c>
      <c r="CM273" s="38" t="n">
        <f aca="false">CH273+MAX(0,MIN(1,1-(1-CJ273)*AQ273/AN273))*(CI273-CH273)</f>
        <v>23.620522619794</v>
      </c>
      <c r="CN273" s="38" t="n">
        <f aca="false">CH273+MAX(0,MIN(1,1-(1-CJ273)*AP273/AN273))*(CI273-CH273)</f>
        <v>25.8928332243202</v>
      </c>
      <c r="CO273" s="38" t="n">
        <f aca="false">CL273-CG273</f>
        <v>-1.2361673593568</v>
      </c>
      <c r="CP273" s="38" t="n">
        <f aca="false">CL273-(CH273+CJ273*(CI273-CH273))</f>
        <v>0</v>
      </c>
      <c r="CQ273" s="40" t="n">
        <f aca="false">CL273/CG273</f>
        <v>0.951671759198561</v>
      </c>
      <c r="CR273" s="37" t="n">
        <f aca="false">IF(CL273-CH273&lt;=0,"n/a",(CI273-CL273)/(CL273-CH273))</f>
        <v>7.25350036845984</v>
      </c>
      <c r="CS273" s="37" t="n">
        <f aca="false">IF(CI273-CL273&lt;=0,"n/a",(CL273-CH273)/(CI273-CL273))</f>
        <v>0.137864472213756</v>
      </c>
      <c r="CT273" s="37" t="n">
        <f aca="false">Inputs_General!$C$23+Inputs_General!$C$24*$I273</f>
        <v>0.6</v>
      </c>
      <c r="CU273" s="38" t="n">
        <f aca="false">3.29*CT273</f>
        <v>1.974</v>
      </c>
    </row>
    <row r="274" customFormat="false" ht="15" hidden="false" customHeight="false" outlineLevel="0" collapsed="false">
      <c r="A274" s="9" t="str">
        <f aca="false">B274&amp;"|"&amp;E274&amp;"|"&amp;F274</f>
        <v>D4V3|24/02/2026|Very low</v>
      </c>
      <c r="B274" s="7" t="s">
        <v>354</v>
      </c>
      <c r="C274" s="9" t="s">
        <v>133</v>
      </c>
      <c r="D274" s="9" t="s">
        <v>150</v>
      </c>
      <c r="E274" s="9" t="s">
        <v>160</v>
      </c>
      <c r="F274" s="7" t="s">
        <v>277</v>
      </c>
      <c r="G274" s="9" t="s">
        <v>278</v>
      </c>
      <c r="H274" s="41" t="n">
        <f aca="false">INDEX(Severity_Classes!$C$4:$C$9,MATCH(F274,Severity_Classes!$A$4:$A$9,0))</f>
        <v>0.01</v>
      </c>
      <c r="I274" s="41" t="n">
        <f aca="false">INDEX(Severity_Classes!$D$4:$D$9,MATCH(F274,Severity_Classes!$A$4:$A$9,0))</f>
        <v>0.03</v>
      </c>
      <c r="J274" s="41" t="n">
        <f aca="false">INDEX(Severity_Classes!$E$4:$E$9,MATCH(F274,Severity_Classes!$A$4:$A$9,0))</f>
        <v>0.05</v>
      </c>
      <c r="K274" s="42" t="n">
        <f aca="false">MATCH(B274&amp;"|"&amp;E274,Context!$A$4:$A$51,0)</f>
        <v>46</v>
      </c>
      <c r="L274" s="42" t="n">
        <f aca="false">INDEX(Context!$H$4:$H$51,K274)</f>
        <v>46</v>
      </c>
      <c r="M274" s="42" t="n">
        <f aca="false">INDEX(Context!$I$4:$I$51,K274)</f>
        <v>19</v>
      </c>
      <c r="N274" s="9" t="str">
        <f aca="false">INDEX(Context!$L$4:$L$51,K274)</f>
        <v>V</v>
      </c>
      <c r="O274" s="9" t="str">
        <f aca="false">INDEX(Context!$M$4:$M$51,K274)</f>
        <v>3rd fully expanded leaf from top</v>
      </c>
      <c r="P274" s="43" t="n">
        <f aca="false">INDEX(Context!$R$4:$R$51,K274)</f>
        <v>0.0232142857142859</v>
      </c>
      <c r="Q274" s="43" t="n">
        <f aca="false">INDEX(Context!$U$4:$U$51,K274)</f>
        <v>1.19492600027053</v>
      </c>
      <c r="R274" s="43" t="n">
        <f aca="false">INDEX(Context!$AD$4:$AD$51,K274)</f>
        <v>0.85</v>
      </c>
      <c r="S274" s="9" t="str">
        <f aca="false">INDEX(Context!$AI$4:$AN$51,K274,MATCH(F274,Severity_Classes!$A$4:$A$9,0))</f>
        <v>Likely</v>
      </c>
      <c r="T274" s="44" t="n">
        <f aca="false">Parameters!$E$4*IF($N274="V",Parameters!$I$4,IF($N274="F",Parameters!$J$4,Parameters!$K$4))*(1-Parameters!$L$4*$P274)*IF($D274="V1",Parameters!$M$4,IF($D274="V2",Parameters!$N$4,Parameters!$O$4))</f>
        <v>85.9001785714286</v>
      </c>
      <c r="U274" s="44" t="n">
        <f aca="false">MIN(100,T274*(1+INDEX(Response_Table!$E$4:$E$21,MATCH($F274&amp;"|mid",Response_Table!$A$4:$A$21,0))*$R274*INDEX(Parameters!$X$4:$AA$4,1,MATCH($E274,Parameters!$X$3:$AA$3,0))))</f>
        <v>85.5853855144937</v>
      </c>
      <c r="V274" s="44" t="n">
        <f aca="false">MAX(0,MIN(T274*(1+INDEX(Response_Table!$E$4:$E$21,MATCH($F274&amp;"|low",Response_Table!$A$4:$A$21,0))*$R274*INDEX(Parameters!$X$4:$AA$4,1,MATCH($E274,Parameters!$X$3:$AA$3,0))),T274*(1+INDEX(Response_Table!$E$4:$E$21,MATCH($F274&amp;"|high",Response_Table!$A$4:$A$21,0))*$R274*INDEX(Parameters!$X$4:$AA$4,1,MATCH($E274,Parameters!$X$3:$AA$3,0))))*(1-Inputs_General!$C$22*Parameters!$F$4))</f>
        <v>79.7189849902027</v>
      </c>
      <c r="W274" s="44" t="n">
        <f aca="false">MIN(100,MAX(T274*(1+INDEX(Response_Table!$E$4:$E$21,MATCH($F274&amp;"|low",Response_Table!$A$4:$A$21,0))*$R274*INDEX(Parameters!$X$4:$AA$4,1,MATCH($E274,Parameters!$X$3:$AA$3,0))),T274*(1+INDEX(Response_Table!$E$4:$E$21,MATCH($F274&amp;"|high",Response_Table!$A$4:$A$21,0))*$R274*INDEX(Parameters!$X$4:$AA$4,1,MATCH($E274,Parameters!$X$3:$AA$3,0))))*(1+Inputs_General!$C$22*Parameters!$F$4))</f>
        <v>91.4487202796975</v>
      </c>
      <c r="X274" s="45" t="n">
        <f aca="false">IF(T274=0,0,U274/T274-1)</f>
        <v>-0.00366463798061945</v>
      </c>
      <c r="Y274" s="44" t="n">
        <f aca="false">Parameters!$E$5*IF($N274="V",Parameters!$I$5,IF($N274="F",Parameters!$J$5,Parameters!$K$5))*(1-Parameters!$L$5*$P274)*IF($D274="V1",Parameters!$M$5,IF($D274="V2",Parameters!$N$5,Parameters!$O$5))</f>
        <v>71.7994285714286</v>
      </c>
      <c r="Z274" s="44" t="n">
        <f aca="false">MIN(100,Y274*(1+INDEX(Response_Table!$F$4:$F$21,MATCH($F274&amp;"|mid",Response_Table!$A$4:$A$21,0))*$R274*INDEX(Parameters!$X$5:$AA$5,1,MATCH($E274,Parameters!$X$3:$AA$3,0))))</f>
        <v>70.9594951942195</v>
      </c>
      <c r="AA274" s="44" t="n">
        <f aca="false">MAX(0,MIN(Y274*(1+INDEX(Response_Table!$F$4:$F$21,MATCH($F274&amp;"|low",Response_Table!$A$4:$A$21,0))*$R274*INDEX(Parameters!$X$5:$AA$5,1,MATCH($E274,Parameters!$X$3:$AA$3,0))),Y274*(1+INDEX(Response_Table!$F$4:$F$21,MATCH($F274&amp;"|high",Response_Table!$A$4:$A$21,0))*$R274*INDEX(Parameters!$X$5:$AA$5,1,MATCH($E274,Parameters!$X$3:$AA$3,0))))*(1-Inputs_General!$C$22*Parameters!$F$5))</f>
        <v>62.1763903829233</v>
      </c>
      <c r="AB274" s="44" t="n">
        <f aca="false">MIN(100,MAX(Y274*(1+INDEX(Response_Table!$F$4:$F$21,MATCH($F274&amp;"|low",Response_Table!$A$4:$A$21,0))*$R274*INDEX(Parameters!$X$5:$AA$5,1,MATCH($E274,Parameters!$X$3:$AA$3,0))),Y274*(1+INDEX(Response_Table!$F$4:$F$21,MATCH($F274&amp;"|high",Response_Table!$A$4:$A$21,0))*$R274*INDEX(Parameters!$X$5:$AA$5,1,MATCH($E274,Parameters!$X$3:$AA$3,0))))*(1+Inputs_General!$C$22*Parameters!$F$5))</f>
        <v>79.7816405380512</v>
      </c>
      <c r="AC274" s="45" t="n">
        <f aca="false">IF(Y274=0,0,Z274/Y274-1)</f>
        <v>-0.0116983295538827</v>
      </c>
      <c r="AD274" s="44" t="n">
        <f aca="false">Parameters!$E$6*IF($N274="V",Parameters!$I$6,IF($N274="F",Parameters!$J$6,Parameters!$K$6))*(1-Parameters!$L$6*$P274)*IF($D274="V1",Parameters!$M$6,IF($D274="V2",Parameters!$N$6,Parameters!$O$6))</f>
        <v>19.5154835714286</v>
      </c>
      <c r="AE274" s="44" t="n">
        <f aca="false">AD274*(1+INDEX(Response_Table!$G$4:$G$21,MATCH($F274&amp;"|mid",Response_Table!$A$4:$A$21,0))*$R274*INDEX(Parameters!$X$6:$AA$6,1,MATCH($E274,Parameters!$X$3:$AA$3,0)))</f>
        <v>17.9770269560739</v>
      </c>
      <c r="AF274" s="44" t="n">
        <f aca="false">MAX(0,MIN(AD274*(1+INDEX(Response_Table!$G$4:$G$21,MATCH($F274&amp;"|low",Response_Table!$A$4:$A$21,0))*$R274*INDEX(Parameters!$X$6:$AA$6,1,MATCH($E274,Parameters!$X$3:$AA$3,0))),AD274*(1+INDEX(Response_Table!$G$4:$G$21,MATCH($F274&amp;"|high",Response_Table!$A$4:$A$21,0))*$R274*INDEX(Parameters!$X$6:$AA$6,1,MATCH($E274,Parameters!$X$3:$AA$3,0))))*(1-Inputs_General!$C$22*Parameters!$F$6))</f>
        <v>13.6912292184109</v>
      </c>
      <c r="AG274" s="44" t="n">
        <f aca="false">MAX(AD274*(1+INDEX(Response_Table!$G$4:$G$21,MATCH($F274&amp;"|low",Response_Table!$A$4:$A$21,0))*$R274*INDEX(Parameters!$X$6:$AA$6,1,MATCH($E274,Parameters!$X$3:$AA$3,0))),AD274*(1+INDEX(Response_Table!$G$4:$G$21,MATCH($F274&amp;"|high",Response_Table!$A$4:$A$21,0))*$R274*INDEX(Parameters!$X$6:$AA$6,1,MATCH($E274,Parameters!$X$3:$AA$3,0))))*(1+Inputs_General!$C$22*Parameters!$F$6)</f>
        <v>22.7265832182165</v>
      </c>
      <c r="AH274" s="45" t="n">
        <f aca="false">IF(AD274=0,0,AE274/AD274-1)</f>
        <v>-0.0788326156368996</v>
      </c>
      <c r="AI274" s="46" t="n">
        <f aca="false">Parameters!$E$7*IF($N274="V",Parameters!$I$7,IF($N274="F",Parameters!$J$7,Parameters!$K$7))*(1-Parameters!$L$7*$P274)*IF($D274="V1",Parameters!$M$7,IF($D274="V2",Parameters!$N$7,Parameters!$O$7))*POWER($Q274/Inputs_General!$C$26,-Inputs_General!$C$25)</f>
        <v>0.411663164578586</v>
      </c>
      <c r="AJ274" s="46" t="n">
        <f aca="false">AI274*(1+INDEX(Response_Table!$H$4:$H$21,MATCH($F274&amp;"|mid",Response_Table!$A$4:$A$21,0))*$R274*INDEX(Parameters!$X$7:$AA$7,1,MATCH($E274,Parameters!$X$3:$AA$3,0)))</f>
        <v>0.392087337823454</v>
      </c>
      <c r="AK274" s="46" t="n">
        <f aca="false">MAX(0,MIN(AI274*(1+INDEX(Response_Table!$H$4:$H$21,MATCH($F274&amp;"|low",Response_Table!$A$4:$A$21,0))*$R274*INDEX(Parameters!$X$7:$AA$7,1,MATCH($E274,Parameters!$X$3:$AA$3,0))),AI274*(1+INDEX(Response_Table!$H$4:$H$21,MATCH($F274&amp;"|high",Response_Table!$A$4:$A$21,0))*$R274*INDEX(Parameters!$X$7:$AA$7,1,MATCH($E274,Parameters!$X$3:$AA$3,0))))*(1-Inputs_General!$C$22*Parameters!$F$7))</f>
        <v>0.267469360572075</v>
      </c>
      <c r="AL274" s="46" t="n">
        <f aca="false">MAX(AI274*(1+INDEX(Response_Table!$H$4:$H$21,MATCH($F274&amp;"|low",Response_Table!$A$4:$A$21,0))*$R274*INDEX(Parameters!$X$7:$AA$7,1,MATCH($E274,Parameters!$X$3:$AA$3,0))),AI274*(1+INDEX(Response_Table!$H$4:$H$21,MATCH($F274&amp;"|high",Response_Table!$A$4:$A$21,0))*$R274*INDEX(Parameters!$X$7:$AA$7,1,MATCH($E274,Parameters!$X$3:$AA$3,0))))*(1+Inputs_General!$C$22*Parameters!$F$7)</f>
        <v>0.524844265358805</v>
      </c>
      <c r="AM274" s="45" t="n">
        <f aca="false">IF(AI274=0,0,AJ274/AI274-1)</f>
        <v>-0.0475530201376464</v>
      </c>
      <c r="AN274" s="43" t="n">
        <f aca="false">AI274*$Q274/Inputs_General!$C$13*1000</f>
        <v>4.95374641196979</v>
      </c>
      <c r="AO274" s="43" t="n">
        <f aca="false">AJ274*$Q274/Inputs_General!$C$13*1000*(1+Inputs_General!$C$21*$I274)</f>
        <v>4.75356716515273</v>
      </c>
      <c r="AP274" s="43" t="n">
        <f aca="false">AK274*$Q274/Inputs_General!$C$13*1000*(1+Inputs_General!$C$21*$H274)</f>
        <v>3.22663754739542</v>
      </c>
      <c r="AQ274" s="43" t="n">
        <f aca="false">AL274*$Q274/Inputs_General!$C$13*1000*(1+Inputs_General!$C$21*$J274)</f>
        <v>6.39465694365306</v>
      </c>
      <c r="AR274" s="45" t="n">
        <f aca="false">IF(AN274=0,0,AO274/AN274-1)</f>
        <v>-0.0404096677886785</v>
      </c>
      <c r="AS274" s="42" t="n">
        <f aca="false">Parameters!$E$9*IF($N274="V",Parameters!$I$9,IF($N274="F",Parameters!$J$9,Parameters!$K$9))*(1-Parameters!$L$9*$P274)*IF($D274="V1",Parameters!$M$9,IF($D274="V2",Parameters!$N$9,Parameters!$O$9))</f>
        <v>285</v>
      </c>
      <c r="AT274" s="42" t="n">
        <f aca="false">AS274*(1+INDEX(Response_Table!$I$4:$I$21,MATCH($F274&amp;"|mid",Response_Table!$A$4:$A$21,0))*$R274*INDEX(Parameters!$X$9:$AA$9,1,MATCH($E274,Parameters!$X$3:$AA$3,0)))</f>
        <v>293.218057261581</v>
      </c>
      <c r="AU274" s="42" t="n">
        <f aca="false">MAX(0,MIN(AS274*(1+INDEX(Response_Table!$I$4:$I$21,MATCH($F274&amp;"|low",Response_Table!$A$4:$A$21,0))*$R274*INDEX(Parameters!$X$9:$AA$9,1,MATCH($E274,Parameters!$X$3:$AA$3,0))),AS274*(1+INDEX(Response_Table!$I$4:$I$21,MATCH($F274&amp;"|high",Response_Table!$A$4:$A$21,0))*$R274*INDEX(Parameters!$X$9:$AA$9,1,MATCH($E274,Parameters!$X$3:$AA$3,0))))*(1-Inputs_General!$C$22*Parameters!$F$9))</f>
        <v>259.438869274407</v>
      </c>
      <c r="AV274" s="42" t="n">
        <f aca="false">MAX(AS274*(1+INDEX(Response_Table!$I$4:$I$21,MATCH($F274&amp;"|low",Response_Table!$A$4:$A$21,0))*$R274*INDEX(Parameters!$X$9:$AA$9,1,MATCH($E274,Parameters!$X$3:$AA$3,0))),AS274*(1+INDEX(Response_Table!$I$4:$I$21,MATCH($F274&amp;"|high",Response_Table!$A$4:$A$21,0))*$R274*INDEX(Parameters!$X$9:$AA$9,1,MATCH($E274,Parameters!$X$3:$AA$3,0))))*(1+Inputs_General!$C$22*Parameters!$F$9)</f>
        <v>327.603490906787</v>
      </c>
      <c r="AW274" s="45" t="n">
        <f aca="false">IF(AS274=0,0,AT274/AS274-1)</f>
        <v>0.0288352886371248</v>
      </c>
      <c r="AX274" s="43" t="n">
        <f aca="false">INDEX(Context!$AB$4:$AB$51,$K274)</f>
        <v>1.40851696565548</v>
      </c>
      <c r="AY274" s="43" t="n">
        <f aca="false">AX274*(1+INDEX(Response_Table!$J$4:$J$21,MATCH($F274&amp;"|mid",Response_Table!$A$4:$A$21,0))*$R274*INDEX(Parameters!$X$10:$AA$10,1,MATCH($E274,Parameters!$X$3:$AA$3,0)))</f>
        <v>1.36958820969559</v>
      </c>
      <c r="AZ274" s="43" t="n">
        <f aca="false">MAX(0,MIN(AX274*(1+INDEX(Response_Table!$J$4:$J$21,MATCH($F274&amp;"|low",Response_Table!$A$4:$A$21,0))*$R274*INDEX(Parameters!$X$10:$AA$10,1,MATCH($E274,Parameters!$X$3:$AA$3,0))),AX274*(1+INDEX(Response_Table!$J$4:$J$21,MATCH($F274&amp;"|high",Response_Table!$A$4:$A$21,0))*$R274*INDEX(Parameters!$X$10:$AA$10,1,MATCH($E274,Parameters!$X$3:$AA$3,0))))*(1-Inputs_General!$C$22*Parameters!$F$10))</f>
        <v>1.07966655930159</v>
      </c>
      <c r="BA274" s="43" t="n">
        <f aca="false">MAX(AX274*(1+INDEX(Response_Table!$J$4:$J$21,MATCH($F274&amp;"|low",Response_Table!$A$4:$A$21,0))*$R274*INDEX(Parameters!$X$10:$AA$10,1,MATCH($E274,Parameters!$X$3:$AA$3,0))),AX274*(1+INDEX(Response_Table!$J$4:$J$21,MATCH($F274&amp;"|high",Response_Table!$A$4:$A$21,0))*$R274*INDEX(Parameters!$X$10:$AA$10,1,MATCH($E274,Parameters!$X$3:$AA$3,0))))*(1+Inputs_General!$C$22*Parameters!$F$10)</f>
        <v>1.67063042863707</v>
      </c>
      <c r="BB274" s="45" t="n">
        <f aca="false">IF(AX274=0,0,AY274/AX274-1)</f>
        <v>-0.0276381164793286</v>
      </c>
      <c r="BC274" s="46" t="n">
        <f aca="false">Parameters!$E$11*IF($N274="V",Parameters!$I$11,IF($N274="F",Parameters!$J$11,Parameters!$K$11))*(1-Parameters!$L$11*$P274)*IF($D274="V1",Parameters!$M$11,IF($D274="V2",Parameters!$N$11,Parameters!$O$11))</f>
        <v>1.22142136160714</v>
      </c>
      <c r="BD274" s="46" t="n">
        <f aca="false">BC274*(1+INDEX(Response_Table!$K$4:$K$21,MATCH($F274&amp;"|mid",Response_Table!$A$4:$A$21,0))*$R274*INDEX(Parameters!$X$11:$AA$11,1,MATCH($E274,Parameters!$X$3:$AA$3,0)))</f>
        <v>1.15964964822064</v>
      </c>
      <c r="BE274" s="46" t="n">
        <f aca="false">MAX(0,MIN(BC274*(1+INDEX(Response_Table!$K$4:$K$21,MATCH($F274&amp;"|low",Response_Table!$A$4:$A$21,0))*$R274*INDEX(Parameters!$X$11:$AA$11,1,MATCH($E274,Parameters!$X$3:$AA$3,0))),BC274*(1+INDEX(Response_Table!$K$4:$K$21,MATCH($F274&amp;"|high",Response_Table!$A$4:$A$21,0))*$R274*INDEX(Parameters!$X$11:$AA$11,1,MATCH($E274,Parameters!$X$3:$AA$3,0))))*(1-Inputs_General!$C$22*Parameters!$F$11))</f>
        <v>0.937132534952439</v>
      </c>
      <c r="BF274" s="46" t="n">
        <f aca="false">MAX(BC274*(1+INDEX(Response_Table!$K$4:$K$21,MATCH($F274&amp;"|low",Response_Table!$A$4:$A$21,0))*$R274*INDEX(Parameters!$X$11:$AA$11,1,MATCH($E274,Parameters!$X$3:$AA$3,0))),BC274*(1+INDEX(Response_Table!$K$4:$K$21,MATCH($F274&amp;"|high",Response_Table!$A$4:$A$21,0))*$R274*INDEX(Parameters!$X$11:$AA$11,1,MATCH($E274,Parameters!$X$3:$AA$3,0))))*(1+Inputs_General!$C$22*Parameters!$F$11)</f>
        <v>1.39759620824051</v>
      </c>
      <c r="BG274" s="45" t="n">
        <f aca="false">IF(BC274=0,0,BD274/BC274-1)</f>
        <v>-0.0505736311220398</v>
      </c>
      <c r="BH274" s="46" t="n">
        <f aca="false">Parameters!$E$12*IF($N274="V",Parameters!$I$12,IF($N274="F",Parameters!$J$12,Parameters!$K$12))*(1-Parameters!$L$12*$P274)*IF($D274="V1",Parameters!$M$12,IF($D274="V2",Parameters!$N$12,Parameters!$O$12))</f>
        <v>0.439711690178571</v>
      </c>
      <c r="BI274" s="46" t="n">
        <f aca="false">BH274*(1+INDEX(Response_Table!$L$4:$L$21,MATCH($F274&amp;"|mid",Response_Table!$A$4:$A$21,0))*$R274*INDEX(Parameters!$X$12:$AA$12,1,MATCH($E274,Parameters!$X$3:$AA$3,0)))</f>
        <v>0.422018935760416</v>
      </c>
      <c r="BJ274" s="46" t="n">
        <f aca="false">MAX(0,MIN(BH274*(1+INDEX(Response_Table!$L$4:$L$21,MATCH($F274&amp;"|low",Response_Table!$A$4:$A$21,0))*$R274*INDEX(Parameters!$X$12:$AA$12,1,MATCH($E274,Parameters!$X$3:$AA$3,0))),BH274*(1+INDEX(Response_Table!$L$4:$L$21,MATCH($F274&amp;"|high",Response_Table!$A$4:$A$21,0))*$R274*INDEX(Parameters!$X$12:$AA$12,1,MATCH($E274,Parameters!$X$3:$AA$3,0))))*(1-Inputs_General!$C$22*Parameters!$F$12))</f>
        <v>0.329931279354017</v>
      </c>
      <c r="BK274" s="46" t="n">
        <f aca="false">MAX(BH274*(1+INDEX(Response_Table!$L$4:$L$21,MATCH($F274&amp;"|low",Response_Table!$A$4:$A$21,0))*$R274*INDEX(Parameters!$X$12:$AA$12,1,MATCH($E274,Parameters!$X$3:$AA$3,0))),BH274*(1+INDEX(Response_Table!$L$4:$L$21,MATCH($F274&amp;"|high",Response_Table!$A$4:$A$21,0))*$R274*INDEX(Parameters!$X$12:$AA$12,1,MATCH($E274,Parameters!$X$3:$AA$3,0))))*(1+Inputs_General!$C$22*Parameters!$F$12)</f>
        <v>0.51923612947649</v>
      </c>
      <c r="BL274" s="45" t="n">
        <f aca="false">IF(BH274=0,0,BI274/BH274-1)</f>
        <v>-0.0402371708857008</v>
      </c>
      <c r="BM274" s="46" t="n">
        <f aca="false">Parameters!$E$13*IF($N274="V",Parameters!$I$13,IF($N274="F",Parameters!$J$13,Parameters!$K$13))*(1-Parameters!$L$13*$P274)*IF($D274="V1",Parameters!$M$13,IF($D274="V2",Parameters!$N$13,Parameters!$O$13))</f>
        <v>0.293345563392857</v>
      </c>
      <c r="BN274" s="46" t="n">
        <f aca="false">BM274*(1+INDEX(Response_Table!$M$4:$M$21,MATCH($F274&amp;"|mid",Response_Table!$A$4:$A$21,0))*$R274*INDEX(Parameters!$X$13:$AA$13,1,MATCH($E274,Parameters!$X$3:$AA$3,0)))</f>
        <v>0.299824773984744</v>
      </c>
      <c r="BO274" s="46" t="n">
        <f aca="false">MAX(0,MIN(BM274*(1+INDEX(Response_Table!$M$4:$M$21,MATCH($F274&amp;"|low",Response_Table!$A$4:$A$21,0))*$R274*INDEX(Parameters!$X$13:$AA$13,1,MATCH($E274,Parameters!$X$3:$AA$3,0))),BM274*(1+INDEX(Response_Table!$M$4:$M$21,MATCH($F274&amp;"|high",Response_Table!$A$4:$A$21,0))*$R274*INDEX(Parameters!$X$13:$AA$13,1,MATCH($E274,Parameters!$X$3:$AA$3,0))))*(1-Inputs_General!$C$22*Parameters!$F$13))</f>
        <v>0.237995572853318</v>
      </c>
      <c r="BP274" s="46" t="n">
        <f aca="false">MAX(BM274*(1+INDEX(Response_Table!$M$4:$M$21,MATCH($F274&amp;"|low",Response_Table!$A$4:$A$21,0))*$R274*INDEX(Parameters!$X$13:$AA$13,1,MATCH($E274,Parameters!$X$3:$AA$3,0))),BM274*(1+INDEX(Response_Table!$M$4:$M$21,MATCH($F274&amp;"|high",Response_Table!$A$4:$A$21,0))*$R274*INDEX(Parameters!$X$13:$AA$13,1,MATCH($E274,Parameters!$X$3:$AA$3,0))))*(1+Inputs_General!$C$22*Parameters!$F$13)</f>
        <v>0.359229389824487</v>
      </c>
      <c r="BQ274" s="45" t="n">
        <f aca="false">IF(BM274=0,0,BN274/BM274-1)</f>
        <v>0.0220872970327148</v>
      </c>
      <c r="BR274" s="44" t="n">
        <f aca="false">Parameters!$E$14*IF($N274="V",Parameters!$I$14,IF($N274="F",Parameters!$J$14,Parameters!$K$14))*(1-Parameters!$L$14*$P274)*IF($D274="V1",Parameters!$M$14,IF($D274="V2",Parameters!$N$14,Parameters!$O$14))*INDEX(Context!$AC$4:$AC$51,$K274)</f>
        <v>18.975</v>
      </c>
      <c r="BS274" s="44" t="n">
        <f aca="false">BR274*(1+INDEX(Response_Table!$N$4:$N$21,MATCH($F274&amp;"|mid",Response_Table!$A$4:$A$21,0))*$R274*INDEX(Parameters!$X$14:$AA$14,1,MATCH($E274,Parameters!$X$3:$AA$3,0)))</f>
        <v>19.807909437334</v>
      </c>
      <c r="BT274" s="44" t="n">
        <f aca="false">MAX(0,MIN(BR274*(1+INDEX(Response_Table!$N$4:$N$21,MATCH($F274&amp;"|low",Response_Table!$A$4:$A$21,0))*$R274*INDEX(Parameters!$X$14:$AA$14,1,MATCH($E274,Parameters!$X$3:$AA$3,0))),BR274*(1+INDEX(Response_Table!$N$4:$N$21,MATCH($F274&amp;"|high",Response_Table!$A$4:$A$21,0))*$R274*INDEX(Parameters!$X$14:$AA$14,1,MATCH($E274,Parameters!$X$3:$AA$3,0))))*(1-Inputs_General!$C$22*Parameters!$F$14))</f>
        <v>9.75569951897689</v>
      </c>
      <c r="BU274" s="44" t="n">
        <f aca="false">MAX(BR274*(1+INDEX(Response_Table!$N$4:$N$21,MATCH($F274&amp;"|low",Response_Table!$A$4:$A$21,0))*$R274*INDEX(Parameters!$X$14:$AA$14,1,MATCH($E274,Parameters!$X$3:$AA$3,0))),BR274*(1+INDEX(Response_Table!$N$4:$N$21,MATCH($F274&amp;"|high",Response_Table!$A$4:$A$21,0))*$R274*INDEX(Parameters!$X$14:$AA$14,1,MATCH($E274,Parameters!$X$3:$AA$3,0))))*(1+Inputs_General!$C$22*Parameters!$F$14)</f>
        <v>30.3523463384325</v>
      </c>
      <c r="BV274" s="45" t="n">
        <f aca="false">IF(BR274=0,0,BS274/BR274-1)</f>
        <v>0.0438950955116737</v>
      </c>
      <c r="BW274" s="43" t="n">
        <f aca="false">Parameters!$E$15*IF($N274="V",Parameters!$I$15,IF($N274="F",Parameters!$J$15,Parameters!$K$15))*(1-Parameters!$L$15*$P274)*IF($D274="V1",Parameters!$M$15,IF($D274="V2",Parameters!$N$15,Parameters!$O$15))</f>
        <v>10.7849571428571</v>
      </c>
      <c r="BX274" s="43" t="n">
        <f aca="false">BW274*(1+INDEX(Response_Table!$O$4:$O$21,MATCH($F274&amp;"|mid",Response_Table!$A$4:$A$21,0))*$R274*INDEX(Parameters!$X$15:$AA$15,1,MATCH($E274,Parameters!$X$3:$AA$3,0)))</f>
        <v>10.6666054618884</v>
      </c>
      <c r="BY274" s="43" t="n">
        <f aca="false">MAX(0,MIN(BW274*(1+INDEX(Response_Table!$O$4:$O$21,MATCH($F274&amp;"|low",Response_Table!$A$4:$A$21,0))*$R274*INDEX(Parameters!$X$15:$AA$15,1,MATCH($E274,Parameters!$X$3:$AA$3,0))),BW274*(1+INDEX(Response_Table!$O$4:$O$21,MATCH($F274&amp;"|high",Response_Table!$A$4:$A$21,0))*$R274*INDEX(Parameters!$X$15:$AA$15,1,MATCH($E274,Parameters!$X$3:$AA$3,0))))*(1-Inputs_General!$C$22*Parameters!$F$15))</f>
        <v>8.50227823669392</v>
      </c>
      <c r="BZ274" s="43" t="n">
        <f aca="false">MAX(BW274*(1+INDEX(Response_Table!$O$4:$O$21,MATCH($F274&amp;"|low",Response_Table!$A$4:$A$21,0))*$R274*INDEX(Parameters!$X$15:$AA$15,1,MATCH($E274,Parameters!$X$3:$AA$3,0))),BW274*(1+INDEX(Response_Table!$O$4:$O$21,MATCH($F274&amp;"|high",Response_Table!$A$4:$A$21,0))*$R274*INDEX(Parameters!$X$15:$AA$15,1,MATCH($E274,Parameters!$X$3:$AA$3,0))))*(1+Inputs_General!$C$22*Parameters!$F$15)</f>
        <v>12.8652455673074</v>
      </c>
      <c r="CA274" s="45" t="n">
        <f aca="false">IF(BW274=0,0,BX274/BW274-1)</f>
        <v>-0.0109737738779184</v>
      </c>
      <c r="CB274" s="46" t="n">
        <f aca="false">BD274+BI274</f>
        <v>1.58166858398106</v>
      </c>
      <c r="CC274" s="43" t="n">
        <f aca="false">BD274/BI274</f>
        <v>2.74786164779816</v>
      </c>
      <c r="CD274" s="46" t="n">
        <f aca="false">BN274/CB274</f>
        <v>0.189562324889886</v>
      </c>
      <c r="CE274" s="43" t="n">
        <f aca="false">AE274/AO274</f>
        <v>3.78179719177195</v>
      </c>
      <c r="CF274" s="44" t="n">
        <f aca="false">AE274/AJ274</f>
        <v>45.849547337763</v>
      </c>
      <c r="CG274" s="44" t="n">
        <f aca="false">INDEX(Context!$V$4:$V$51,$K274)</f>
        <v>25.5785714285714</v>
      </c>
      <c r="CH274" s="44" t="n">
        <f aca="false">INDEX(Context!$Y$4:$Y$51,$K274)</f>
        <v>23.620522619794</v>
      </c>
      <c r="CI274" s="44" t="n">
        <f aca="false">INDEX(Context!$Z$4:$Z$51,$K274)</f>
        <v>29.5785714285714</v>
      </c>
      <c r="CJ274" s="43" t="n">
        <f aca="false">INDEX(Context!$AA$4:$AA$51,$K274)</f>
        <v>0.121160714285714</v>
      </c>
      <c r="CK274" s="43" t="n">
        <f aca="false">MAX(0,MIN(1,1-(1-CJ274)*AO274/AN274))</f>
        <v>0.156674317861068</v>
      </c>
      <c r="CL274" s="44" t="n">
        <f aca="false">CH274+CK274*(CI274-CH274)</f>
        <v>24.5539958526922</v>
      </c>
      <c r="CM274" s="44" t="n">
        <f aca="false">CH274+MAX(0,MIN(1,1-(1-CJ274)*AQ274/AN274))*(CI274-CH274)</f>
        <v>23.620522619794</v>
      </c>
      <c r="CN274" s="44" t="n">
        <f aca="false">CH274+MAX(0,MIN(1,1-(1-CJ274)*AP274/AN274))*(CI274-CH274)</f>
        <v>26.1679781520721</v>
      </c>
      <c r="CO274" s="44" t="n">
        <f aca="false">CL274-CG274</f>
        <v>-1.02457557587927</v>
      </c>
      <c r="CP274" s="44" t="n">
        <f aca="false">CL274-(CH274+CJ274*(CI274-CH274))</f>
        <v>0.21159178347753</v>
      </c>
      <c r="CQ274" s="46" t="n">
        <f aca="false">CL274/CG274</f>
        <v>0.959943987538928</v>
      </c>
      <c r="CR274" s="43" t="n">
        <f aca="false">IF(CL274-CH274&lt;=0,"n/a",(CI274-CL274)/(CL274-CH274))</f>
        <v>5.38266701047173</v>
      </c>
      <c r="CS274" s="43" t="n">
        <f aca="false">IF(CI274-CL274&lt;=0,"n/a",(CL274-CH274)/(CI274-CL274))</f>
        <v>0.185781509065032</v>
      </c>
      <c r="CT274" s="43" t="n">
        <f aca="false">Inputs_General!$C$23+Inputs_General!$C$24*$I274</f>
        <v>0.66</v>
      </c>
      <c r="CU274" s="44" t="n">
        <f aca="false">3.29*CT274</f>
        <v>2.1714</v>
      </c>
    </row>
    <row r="275" customFormat="false" ht="15" hidden="false" customHeight="false" outlineLevel="0" collapsed="false">
      <c r="A275" s="9" t="str">
        <f aca="false">B275&amp;"|"&amp;E275&amp;"|"&amp;F275</f>
        <v>D4V3|24/02/2026|Low</v>
      </c>
      <c r="B275" s="7" t="s">
        <v>354</v>
      </c>
      <c r="C275" s="9" t="s">
        <v>133</v>
      </c>
      <c r="D275" s="9" t="s">
        <v>150</v>
      </c>
      <c r="E275" s="9" t="s">
        <v>160</v>
      </c>
      <c r="F275" s="7" t="s">
        <v>279</v>
      </c>
      <c r="G275" s="9" t="s">
        <v>280</v>
      </c>
      <c r="H275" s="41" t="n">
        <f aca="false">INDEX(Severity_Classes!$C$4:$C$9,MATCH(F275,Severity_Classes!$A$4:$A$9,0))</f>
        <v>0.06</v>
      </c>
      <c r="I275" s="41" t="n">
        <f aca="false">INDEX(Severity_Classes!$D$4:$D$9,MATCH(F275,Severity_Classes!$A$4:$A$9,0))</f>
        <v>0.08</v>
      </c>
      <c r="J275" s="41" t="n">
        <f aca="false">INDEX(Severity_Classes!$E$4:$E$9,MATCH(F275,Severity_Classes!$A$4:$A$9,0))</f>
        <v>0.1</v>
      </c>
      <c r="K275" s="42" t="n">
        <f aca="false">MATCH(B275&amp;"|"&amp;E275,Context!$A$4:$A$51,0)</f>
        <v>46</v>
      </c>
      <c r="L275" s="42" t="n">
        <f aca="false">INDEX(Context!$H$4:$H$51,K275)</f>
        <v>46</v>
      </c>
      <c r="M275" s="42" t="n">
        <f aca="false">INDEX(Context!$I$4:$I$51,K275)</f>
        <v>19</v>
      </c>
      <c r="N275" s="9" t="str">
        <f aca="false">INDEX(Context!$L$4:$L$51,K275)</f>
        <v>V</v>
      </c>
      <c r="O275" s="9" t="str">
        <f aca="false">INDEX(Context!$M$4:$M$51,K275)</f>
        <v>3rd fully expanded leaf from top</v>
      </c>
      <c r="P275" s="43" t="n">
        <f aca="false">INDEX(Context!$R$4:$R$51,K275)</f>
        <v>0.0232142857142859</v>
      </c>
      <c r="Q275" s="43" t="n">
        <f aca="false">INDEX(Context!$U$4:$U$51,K275)</f>
        <v>1.19492600027053</v>
      </c>
      <c r="R275" s="43" t="n">
        <f aca="false">INDEX(Context!$AD$4:$AD$51,K275)</f>
        <v>0.85</v>
      </c>
      <c r="S275" s="9" t="str">
        <f aca="false">INDEX(Context!$AI$4:$AN$51,K275,MATCH(F275,Severity_Classes!$A$4:$A$9,0))</f>
        <v>Likely</v>
      </c>
      <c r="T275" s="44" t="n">
        <f aca="false">Parameters!$E$4*IF($N275="V",Parameters!$I$4,IF($N275="F",Parameters!$J$4,Parameters!$K$4))*(1-Parameters!$L$4*$P275)*IF($D275="V1",Parameters!$M$4,IF($D275="V2",Parameters!$N$4,Parameters!$O$4))</f>
        <v>85.9001785714286</v>
      </c>
      <c r="U275" s="44" t="n">
        <f aca="false">MIN(100,T275*(1+INDEX(Response_Table!$E$4:$E$21,MATCH($F275&amp;"|mid",Response_Table!$A$4:$A$21,0))*$R275*INDEX(Parameters!$X$4:$AA$4,1,MATCH($E275,Parameters!$X$3:$AA$3,0))))</f>
        <v>84.8839080398902</v>
      </c>
      <c r="V275" s="44" t="n">
        <f aca="false">MAX(0,MIN(T275*(1+INDEX(Response_Table!$E$4:$E$21,MATCH($F275&amp;"|low",Response_Table!$A$4:$A$21,0))*$R275*INDEX(Parameters!$X$4:$AA$4,1,MATCH($E275,Parameters!$X$3:$AA$3,0))),T275*(1+INDEX(Response_Table!$E$4:$E$21,MATCH($F275&amp;"|high",Response_Table!$A$4:$A$21,0))*$R275*INDEX(Parameters!$X$4:$AA$4,1,MATCH($E275,Parameters!$X$3:$AA$3,0))))*(1-Inputs_General!$C$22*Parameters!$F$4))</f>
        <v>78.966837854826</v>
      </c>
      <c r="W275" s="44" t="n">
        <f aca="false">MIN(100,MAX(T275*(1+INDEX(Response_Table!$E$4:$E$21,MATCH($F275&amp;"|low",Response_Table!$A$4:$A$21,0))*$R275*INDEX(Parameters!$X$4:$AA$4,1,MATCH($E275,Parameters!$X$3:$AA$3,0))),T275*(1+INDEX(Response_Table!$E$4:$E$21,MATCH($F275&amp;"|high",Response_Table!$A$4:$A$21,0))*$R275*INDEX(Parameters!$X$4:$AA$4,1,MATCH($E275,Parameters!$X$3:$AA$3,0))))*(1+Inputs_General!$C$22*Parameters!$F$4))</f>
        <v>90.7999894287993</v>
      </c>
      <c r="X275" s="45" t="n">
        <f aca="false">IF(T275=0,0,U275/T275-1)</f>
        <v>-0.0118308314189739</v>
      </c>
      <c r="Y275" s="44" t="n">
        <f aca="false">Parameters!$E$5*IF($N275="V",Parameters!$I$5,IF($N275="F",Parameters!$J$5,Parameters!$K$5))*(1-Parameters!$L$5*$P275)*IF($D275="V1",Parameters!$M$5,IF($D275="V2",Parameters!$N$5,Parameters!$O$5))</f>
        <v>71.7994285714286</v>
      </c>
      <c r="Z275" s="44" t="n">
        <f aca="false">MIN(100,Y275*(1+INDEX(Response_Table!$F$4:$F$21,MATCH($F275&amp;"|mid",Response_Table!$A$4:$A$21,0))*$R275*INDEX(Parameters!$X$5:$AA$5,1,MATCH($E275,Parameters!$X$3:$AA$3,0))))</f>
        <v>68.9951762433514</v>
      </c>
      <c r="AA275" s="44" t="n">
        <f aca="false">MAX(0,MIN(Y275*(1+INDEX(Response_Table!$F$4:$F$21,MATCH($F275&amp;"|low",Response_Table!$A$4:$A$21,0))*$R275*INDEX(Parameters!$X$5:$AA$5,1,MATCH($E275,Parameters!$X$3:$AA$3,0))),Y275*(1+INDEX(Response_Table!$F$4:$F$21,MATCH($F275&amp;"|high",Response_Table!$A$4:$A$21,0))*$R275*INDEX(Parameters!$X$5:$AA$5,1,MATCH($E275,Parameters!$X$3:$AA$3,0))))*(1-Inputs_General!$C$22*Parameters!$F$5))</f>
        <v>60.1421893566829</v>
      </c>
      <c r="AB275" s="44" t="n">
        <f aca="false">MIN(100,MAX(Y275*(1+INDEX(Response_Table!$F$4:$F$21,MATCH($F275&amp;"|low",Response_Table!$A$4:$A$21,0))*$R275*INDEX(Parameters!$X$5:$AA$5,1,MATCH($E275,Parameters!$X$3:$AA$3,0))),Y275*(1+INDEX(Response_Table!$F$4:$F$21,MATCH($F275&amp;"|high",Response_Table!$A$4:$A$21,0))*$R275*INDEX(Parameters!$X$5:$AA$5,1,MATCH($E275,Parameters!$X$3:$AA$3,0))))*(1+Inputs_General!$C$22*Parameters!$F$5))</f>
        <v>77.9230370661516</v>
      </c>
      <c r="AC275" s="45" t="n">
        <f aca="false">IF(Y275=0,0,Z275/Y275-1)</f>
        <v>-0.0390567499473533</v>
      </c>
      <c r="AD275" s="44" t="n">
        <f aca="false">Parameters!$E$6*IF($N275="V",Parameters!$I$6,IF($N275="F",Parameters!$J$6,Parameters!$K$6))*(1-Parameters!$L$6*$P275)*IF($D275="V1",Parameters!$M$6,IF($D275="V2",Parameters!$N$6,Parameters!$O$6))</f>
        <v>19.5154835714286</v>
      </c>
      <c r="AE275" s="44" t="n">
        <f aca="false">AD275*(1+INDEX(Response_Table!$G$4:$G$21,MATCH($F275&amp;"|mid",Response_Table!$A$4:$A$21,0))*$R275*INDEX(Parameters!$X$6:$AA$6,1,MATCH($E275,Parameters!$X$3:$AA$3,0)))</f>
        <v>15.8239557320631</v>
      </c>
      <c r="AF275" s="44" t="n">
        <f aca="false">MAX(0,MIN(AD275*(1+INDEX(Response_Table!$G$4:$G$21,MATCH($F275&amp;"|low",Response_Table!$A$4:$A$21,0))*$R275*INDEX(Parameters!$X$6:$AA$6,1,MATCH($E275,Parameters!$X$3:$AA$3,0))),AD275*(1+INDEX(Response_Table!$G$4:$G$21,MATCH($F275&amp;"|high",Response_Table!$A$4:$A$21,0))*$R275*INDEX(Parameters!$X$6:$AA$6,1,MATCH($E275,Parameters!$X$3:$AA$3,0))))*(1-Inputs_General!$C$22*Parameters!$F$6))</f>
        <v>12.108744089194</v>
      </c>
      <c r="AG275" s="44" t="n">
        <f aca="false">MAX(AD275*(1+INDEX(Response_Table!$G$4:$G$21,MATCH($F275&amp;"|low",Response_Table!$A$4:$A$21,0))*$R275*INDEX(Parameters!$X$6:$AA$6,1,MATCH($E275,Parameters!$X$3:$AA$3,0))),AD275*(1+INDEX(Response_Table!$G$4:$G$21,MATCH($F275&amp;"|high",Response_Table!$A$4:$A$21,0))*$R275*INDEX(Parameters!$X$6:$AA$6,1,MATCH($E275,Parameters!$X$3:$AA$3,0))))*(1+Inputs_General!$C$22*Parameters!$F$6)</f>
        <v>19.9113423085424</v>
      </c>
      <c r="AH275" s="45" t="n">
        <f aca="false">IF(AD275=0,0,AE275/AD275-1)</f>
        <v>-0.189158922240083</v>
      </c>
      <c r="AI275" s="46" t="n">
        <f aca="false">Parameters!$E$7*IF($N275="V",Parameters!$I$7,IF($N275="F",Parameters!$J$7,Parameters!$K$7))*(1-Parameters!$L$7*$P275)*IF($D275="V1",Parameters!$M$7,IF($D275="V2",Parameters!$N$7,Parameters!$O$7))*POWER($Q275/Inputs_General!$C$26,-Inputs_General!$C$25)</f>
        <v>0.411663164578586</v>
      </c>
      <c r="AJ275" s="46" t="n">
        <f aca="false">AI275*(1+INDEX(Response_Table!$H$4:$H$21,MATCH($F275&amp;"|mid",Response_Table!$A$4:$A$21,0))*$R275*INDEX(Parameters!$X$7:$AA$7,1,MATCH($E275,Parameters!$X$3:$AA$3,0)))</f>
        <v>0.363132973483286</v>
      </c>
      <c r="AK275" s="46" t="n">
        <f aca="false">MAX(0,MIN(AI275*(1+INDEX(Response_Table!$H$4:$H$21,MATCH($F275&amp;"|low",Response_Table!$A$4:$A$21,0))*$R275*INDEX(Parameters!$X$7:$AA$7,1,MATCH($E275,Parameters!$X$3:$AA$3,0))),AI275*(1+INDEX(Response_Table!$H$4:$H$21,MATCH($F275&amp;"|high",Response_Table!$A$4:$A$21,0))*$R275*INDEX(Parameters!$X$7:$AA$7,1,MATCH($E275,Parameters!$X$3:$AA$3,0))))*(1-Inputs_General!$C$22*Parameters!$F$7))</f>
        <v>0.248275279218074</v>
      </c>
      <c r="AL275" s="46" t="n">
        <f aca="false">MAX(AI275*(1+INDEX(Response_Table!$H$4:$H$21,MATCH($F275&amp;"|low",Response_Table!$A$4:$A$21,0))*$R275*INDEX(Parameters!$X$7:$AA$7,1,MATCH($E275,Parameters!$X$3:$AA$3,0))),AI275*(1+INDEX(Response_Table!$H$4:$H$21,MATCH($F275&amp;"|high",Response_Table!$A$4:$A$21,0))*$R275*INDEX(Parameters!$X$7:$AA$7,1,MATCH($E275,Parameters!$X$3:$AA$3,0))))*(1+Inputs_General!$C$22*Parameters!$F$7)</f>
        <v>0.484995927177642</v>
      </c>
      <c r="AM275" s="45" t="n">
        <f aca="false">IF(AI275=0,0,AJ275/AI275-1)</f>
        <v>-0.117888106760729</v>
      </c>
      <c r="AN275" s="43" t="n">
        <f aca="false">AI275*$Q275/Inputs_General!$C$13*1000</f>
        <v>4.95374641196979</v>
      </c>
      <c r="AO275" s="43" t="n">
        <f aca="false">AJ275*$Q275/Inputs_General!$C$13*1000*(1+Inputs_General!$C$21*$I275)</f>
        <v>4.45715379861171</v>
      </c>
      <c r="AP275" s="43" t="n">
        <f aca="false">AK275*$Q275/Inputs_General!$C$13*1000*(1+Inputs_General!$C$21*$H275)</f>
        <v>3.03243348597718</v>
      </c>
      <c r="AQ275" s="43" t="n">
        <f aca="false">AL275*$Q275/Inputs_General!$C$13*1000*(1+Inputs_General!$C$21*$J275)</f>
        <v>5.98210069985019</v>
      </c>
      <c r="AR275" s="45" t="n">
        <f aca="false">IF(AN275=0,0,AO275/AN275-1)</f>
        <v>-0.100245868895944</v>
      </c>
      <c r="AS275" s="42" t="n">
        <f aca="false">Parameters!$E$9*IF($N275="V",Parameters!$I$9,IF($N275="F",Parameters!$J$9,Parameters!$K$9))*(1-Parameters!$L$9*$P275)*IF($D275="V1",Parameters!$M$9,IF($D275="V2",Parameters!$N$9,Parameters!$O$9))</f>
        <v>285</v>
      </c>
      <c r="AT275" s="42" t="n">
        <f aca="false">AS275*(1+INDEX(Response_Table!$I$4:$I$21,MATCH($F275&amp;"|mid",Response_Table!$A$4:$A$21,0))*$R275*INDEX(Parameters!$X$9:$AA$9,1,MATCH($E275,Parameters!$X$3:$AA$3,0)))</f>
        <v>304.90211873067</v>
      </c>
      <c r="AU275" s="42" t="n">
        <f aca="false">MAX(0,MIN(AS275*(1+INDEX(Response_Table!$I$4:$I$21,MATCH($F275&amp;"|low",Response_Table!$A$4:$A$21,0))*$R275*INDEX(Parameters!$X$9:$AA$9,1,MATCH($E275,Parameters!$X$3:$AA$3,0))),AS275*(1+INDEX(Response_Table!$I$4:$I$21,MATCH($F275&amp;"|high",Response_Table!$A$4:$A$21,0))*$R275*INDEX(Parameters!$X$9:$AA$9,1,MATCH($E275,Parameters!$X$3:$AA$3,0))))*(1-Inputs_General!$C$22*Parameters!$F$9))</f>
        <v>270.846797043545</v>
      </c>
      <c r="AV275" s="42" t="n">
        <f aca="false">MAX(AS275*(1+INDEX(Response_Table!$I$4:$I$21,MATCH($F275&amp;"|low",Response_Table!$A$4:$A$21,0))*$R275*INDEX(Parameters!$X$9:$AA$9,1,MATCH($E275,Parameters!$X$3:$AA$3,0))),AS275*(1+INDEX(Response_Table!$I$4:$I$21,MATCH($F275&amp;"|high",Response_Table!$A$4:$A$21,0))*$R275*INDEX(Parameters!$X$9:$AA$9,1,MATCH($E275,Parameters!$X$3:$AA$3,0))))*(1+Inputs_General!$C$22*Parameters!$F$9)</f>
        <v>339.453792381945</v>
      </c>
      <c r="AW275" s="45" t="n">
        <f aca="false">IF(AS275=0,0,AT275/AS275-1)</f>
        <v>0.0698319955462088</v>
      </c>
      <c r="AX275" s="43" t="n">
        <f aca="false">INDEX(Context!$AB$4:$AB$51,$K275)</f>
        <v>1.40851696565548</v>
      </c>
      <c r="AY275" s="43" t="n">
        <f aca="false">AX275*(1+INDEX(Response_Table!$J$4:$J$21,MATCH($F275&amp;"|mid",Response_Table!$A$4:$A$21,0))*$R275*INDEX(Parameters!$X$10:$AA$10,1,MATCH($E275,Parameters!$X$3:$AA$3,0)))</f>
        <v>1.3108567559677</v>
      </c>
      <c r="AZ275" s="43" t="n">
        <f aca="false">MAX(0,MIN(AX275*(1+INDEX(Response_Table!$J$4:$J$21,MATCH($F275&amp;"|low",Response_Table!$A$4:$A$21,0))*$R275*INDEX(Parameters!$X$10:$AA$10,1,MATCH($E275,Parameters!$X$3:$AA$3,0))),AX275*(1+INDEX(Response_Table!$J$4:$J$21,MATCH($F275&amp;"|high",Response_Table!$A$4:$A$21,0))*$R275*INDEX(Parameters!$X$10:$AA$10,1,MATCH($E275,Parameters!$X$3:$AA$3,0))))*(1-Inputs_General!$C$22*Parameters!$F$10))</f>
        <v>1.03482763533184</v>
      </c>
      <c r="BA275" s="43" t="n">
        <f aca="false">MAX(AX275*(1+INDEX(Response_Table!$J$4:$J$21,MATCH($F275&amp;"|low",Response_Table!$A$4:$A$21,0))*$R275*INDEX(Parameters!$X$10:$AA$10,1,MATCH($E275,Parameters!$X$3:$AA$3,0))),AX275*(1+INDEX(Response_Table!$J$4:$J$21,MATCH($F275&amp;"|high",Response_Table!$A$4:$A$21,0))*$R275*INDEX(Parameters!$X$10:$AA$10,1,MATCH($E275,Parameters!$X$3:$AA$3,0))))*(1+Inputs_General!$C$22*Parameters!$F$10)</f>
        <v>1.5966997439017</v>
      </c>
      <c r="BB275" s="45" t="n">
        <f aca="false">IF(AX275=0,0,AY275/AX275-1)</f>
        <v>-0.069335486947672</v>
      </c>
      <c r="BC275" s="46" t="n">
        <f aca="false">Parameters!$E$11*IF($N275="V",Parameters!$I$11,IF($N275="F",Parameters!$J$11,Parameters!$K$11))*(1-Parameters!$L$11*$P275)*IF($D275="V1",Parameters!$M$11,IF($D275="V2",Parameters!$N$11,Parameters!$O$11))</f>
        <v>1.22142136160714</v>
      </c>
      <c r="BD275" s="46" t="n">
        <f aca="false">BC275*(1+INDEX(Response_Table!$K$4:$K$21,MATCH($F275&amp;"|mid",Response_Table!$A$4:$A$21,0))*$R275*INDEX(Parameters!$X$11:$AA$11,1,MATCH($E275,Parameters!$X$3:$AA$3,0)))</f>
        <v>1.0690043888429</v>
      </c>
      <c r="BE275" s="46" t="n">
        <f aca="false">MAX(0,MIN(BC275*(1+INDEX(Response_Table!$K$4:$K$21,MATCH($F275&amp;"|low",Response_Table!$A$4:$A$21,0))*$R275*INDEX(Parameters!$X$11:$AA$11,1,MATCH($E275,Parameters!$X$3:$AA$3,0))),BC275*(1+INDEX(Response_Table!$K$4:$K$21,MATCH($F275&amp;"|high",Response_Table!$A$4:$A$21,0))*$R275*INDEX(Parameters!$X$11:$AA$11,1,MATCH($E275,Parameters!$X$3:$AA$3,0))))*(1-Inputs_General!$C$22*Parameters!$F$11))</f>
        <v>0.866093557188329</v>
      </c>
      <c r="BF275" s="46" t="n">
        <f aca="false">MAX(BC275*(1+INDEX(Response_Table!$K$4:$K$21,MATCH($F275&amp;"|low",Response_Table!$A$4:$A$21,0))*$R275*INDEX(Parameters!$X$11:$AA$11,1,MATCH($E275,Parameters!$X$3:$AA$3,0))),BC275*(1+INDEX(Response_Table!$K$4:$K$21,MATCH($F275&amp;"|high",Response_Table!$A$4:$A$21,0))*$R275*INDEX(Parameters!$X$11:$AA$11,1,MATCH($E275,Parameters!$X$3:$AA$3,0))))*(1+Inputs_General!$C$22*Parameters!$F$11)</f>
        <v>1.28506332771409</v>
      </c>
      <c r="BG275" s="45" t="n">
        <f aca="false">IF(BC275=0,0,BD275/BC275-1)</f>
        <v>-0.124786562242283</v>
      </c>
      <c r="BH275" s="46" t="n">
        <f aca="false">Parameters!$E$12*IF($N275="V",Parameters!$I$12,IF($N275="F",Parameters!$J$12,Parameters!$K$12))*(1-Parameters!$L$12*$P275)*IF($D275="V1",Parameters!$M$12,IF($D275="V2",Parameters!$N$12,Parameters!$O$12))</f>
        <v>0.439711690178571</v>
      </c>
      <c r="BI275" s="46" t="n">
        <f aca="false">BH275*(1+INDEX(Response_Table!$L$4:$L$21,MATCH($F275&amp;"|mid",Response_Table!$A$4:$A$21,0))*$R275*INDEX(Parameters!$X$12:$AA$12,1,MATCH($E275,Parameters!$X$3:$AA$3,0)))</f>
        <v>0.395849800529892</v>
      </c>
      <c r="BJ275" s="46" t="n">
        <f aca="false">MAX(0,MIN(BH275*(1+INDEX(Response_Table!$L$4:$L$21,MATCH($F275&amp;"|low",Response_Table!$A$4:$A$21,0))*$R275*INDEX(Parameters!$X$12:$AA$12,1,MATCH($E275,Parameters!$X$3:$AA$3,0))),BH275*(1+INDEX(Response_Table!$L$4:$L$21,MATCH($F275&amp;"|high",Response_Table!$A$4:$A$21,0))*$R275*INDEX(Parameters!$X$12:$AA$12,1,MATCH($E275,Parameters!$X$3:$AA$3,0))))*(1-Inputs_General!$C$22*Parameters!$F$12))</f>
        <v>0.310151071181345</v>
      </c>
      <c r="BK275" s="46" t="n">
        <f aca="false">MAX(BH275*(1+INDEX(Response_Table!$L$4:$L$21,MATCH($F275&amp;"|low",Response_Table!$A$4:$A$21,0))*$R275*INDEX(Parameters!$X$12:$AA$12,1,MATCH($E275,Parameters!$X$3:$AA$3,0))),BH275*(1+INDEX(Response_Table!$L$4:$L$21,MATCH($F275&amp;"|high",Response_Table!$A$4:$A$21,0))*$R275*INDEX(Parameters!$X$12:$AA$12,1,MATCH($E275,Parameters!$X$3:$AA$3,0))))*(1+Inputs_General!$C$22*Parameters!$F$12)</f>
        <v>0.485963563556247</v>
      </c>
      <c r="BL275" s="45" t="n">
        <f aca="false">IF(BH275=0,0,BI275/BH275-1)</f>
        <v>-0.0997514749513863</v>
      </c>
      <c r="BM275" s="46" t="n">
        <f aca="false">Parameters!$E$13*IF($N275="V",Parameters!$I$13,IF($N275="F",Parameters!$J$13,Parameters!$K$13))*(1-Parameters!$L$13*$P275)*IF($D275="V1",Parameters!$M$13,IF($D275="V2",Parameters!$N$13,Parameters!$O$13))</f>
        <v>0.293345563392857</v>
      </c>
      <c r="BN275" s="46" t="n">
        <f aca="false">BM275*(1+INDEX(Response_Table!$M$4:$M$21,MATCH($F275&amp;"|mid",Response_Table!$A$4:$A$21,0))*$R275*INDEX(Parameters!$X$13:$AA$13,1,MATCH($E275,Parameters!$X$3:$AA$3,0)))</f>
        <v>0.296428290943317</v>
      </c>
      <c r="BO275" s="46" t="n">
        <f aca="false">MAX(0,MIN(BM275*(1+INDEX(Response_Table!$M$4:$M$21,MATCH($F275&amp;"|low",Response_Table!$A$4:$A$21,0))*$R275*INDEX(Parameters!$X$13:$AA$13,1,MATCH($E275,Parameters!$X$3:$AA$3,0))),BM275*(1+INDEX(Response_Table!$M$4:$M$21,MATCH($F275&amp;"|high",Response_Table!$A$4:$A$21,0))*$R275*INDEX(Parameters!$X$13:$AA$13,1,MATCH($E275,Parameters!$X$3:$AA$3,0))))*(1-Inputs_General!$C$22*Parameters!$F$13))</f>
        <v>0.234704154073487</v>
      </c>
      <c r="BP275" s="46" t="n">
        <f aca="false">MAX(BM275*(1+INDEX(Response_Table!$M$4:$M$21,MATCH($F275&amp;"|low",Response_Table!$A$4:$A$21,0))*$R275*INDEX(Parameters!$X$13:$AA$13,1,MATCH($E275,Parameters!$X$3:$AA$3,0))),BM275*(1+INDEX(Response_Table!$M$4:$M$21,MATCH($F275&amp;"|high",Response_Table!$A$4:$A$21,0))*$R275*INDEX(Parameters!$X$13:$AA$13,1,MATCH($E275,Parameters!$X$3:$AA$3,0))))*(1+Inputs_General!$C$22*Parameters!$F$13)</f>
        <v>0.358303336982087</v>
      </c>
      <c r="BQ275" s="45" t="n">
        <f aca="false">IF(BM275=0,0,BN275/BM275-1)</f>
        <v>0.0105088603175196</v>
      </c>
      <c r="BR275" s="44" t="n">
        <f aca="false">Parameters!$E$14*IF($N275="V",Parameters!$I$14,IF($N275="F",Parameters!$J$14,Parameters!$K$14))*(1-Parameters!$L$14*$P275)*IF($D275="V1",Parameters!$M$14,IF($D275="V2",Parameters!$N$14,Parameters!$O$14))*INDEX(Context!$AC$4:$AC$51,$K275)</f>
        <v>18.975</v>
      </c>
      <c r="BS275" s="44" t="n">
        <f aca="false">BR275*(1+INDEX(Response_Table!$N$4:$N$21,MATCH($F275&amp;"|mid",Response_Table!$A$4:$A$21,0))*$R275*INDEX(Parameters!$X$14:$AA$14,1,MATCH($E275,Parameters!$X$3:$AA$3,0)))</f>
        <v>21.0398555314937</v>
      </c>
      <c r="BT275" s="44" t="n">
        <f aca="false">MAX(0,MIN(BR275*(1+INDEX(Response_Table!$N$4:$N$21,MATCH($F275&amp;"|low",Response_Table!$A$4:$A$21,0))*$R275*INDEX(Parameters!$X$14:$AA$14,1,MATCH($E275,Parameters!$X$3:$AA$3,0))),BR275*(1+INDEX(Response_Table!$N$4:$N$21,MATCH($F275&amp;"|high",Response_Table!$A$4:$A$21,0))*$R275*INDEX(Parameters!$X$14:$AA$14,1,MATCH($E275,Parameters!$X$3:$AA$3,0))))*(1-Inputs_General!$C$22*Parameters!$F$14))</f>
        <v>10.4182650270632</v>
      </c>
      <c r="BU275" s="44" t="n">
        <f aca="false">MAX(BR275*(1+INDEX(Response_Table!$N$4:$N$21,MATCH($F275&amp;"|low",Response_Table!$A$4:$A$21,0))*$R275*INDEX(Parameters!$X$14:$AA$14,1,MATCH($E275,Parameters!$X$3:$AA$3,0))),BR275*(1+INDEX(Response_Table!$N$4:$N$21,MATCH($F275&amp;"|high",Response_Table!$A$4:$A$21,0))*$R275*INDEX(Parameters!$X$14:$AA$14,1,MATCH($E275,Parameters!$X$3:$AA$3,0))))*(1+Inputs_General!$C$22*Parameters!$F$14)</f>
        <v>32.0851097261814</v>
      </c>
      <c r="BV275" s="45" t="n">
        <f aca="false">IF(BR275=0,0,BS275/BR275-1)</f>
        <v>0.108819790856058</v>
      </c>
      <c r="BW275" s="43" t="n">
        <f aca="false">Parameters!$E$15*IF($N275="V",Parameters!$I$15,IF($N275="F",Parameters!$J$15,Parameters!$K$15))*(1-Parameters!$L$15*$P275)*IF($D275="V1",Parameters!$M$15,IF($D275="V2",Parameters!$N$15,Parameters!$O$15))</f>
        <v>10.7849571428571</v>
      </c>
      <c r="BX275" s="43" t="n">
        <f aca="false">BW275*(1+INDEX(Response_Table!$O$4:$O$21,MATCH($F275&amp;"|mid",Response_Table!$A$4:$A$21,0))*$R275*INDEX(Parameters!$X$15:$AA$15,1,MATCH($E275,Parameters!$X$3:$AA$3,0)))</f>
        <v>10.4915529476878</v>
      </c>
      <c r="BY275" s="43" t="n">
        <f aca="false">MAX(0,MIN(BW275*(1+INDEX(Response_Table!$O$4:$O$21,MATCH($F275&amp;"|low",Response_Table!$A$4:$A$21,0))*$R275*INDEX(Parameters!$X$15:$AA$15,1,MATCH($E275,Parameters!$X$3:$AA$3,0))),BW275*(1+INDEX(Response_Table!$O$4:$O$21,MATCH($F275&amp;"|high",Response_Table!$A$4:$A$21,0))*$R275*INDEX(Parameters!$X$15:$AA$15,1,MATCH($E275,Parameters!$X$3:$AA$3,0))))*(1-Inputs_General!$C$22*Parameters!$F$15))</f>
        <v>8.36996300573443</v>
      </c>
      <c r="BZ275" s="43" t="n">
        <f aca="false">MAX(BW275*(1+INDEX(Response_Table!$O$4:$O$21,MATCH($F275&amp;"|low",Response_Table!$A$4:$A$21,0))*$R275*INDEX(Parameters!$X$15:$AA$15,1,MATCH($E275,Parameters!$X$3:$AA$3,0))),BW275*(1+INDEX(Response_Table!$O$4:$O$21,MATCH($F275&amp;"|high",Response_Table!$A$4:$A$21,0))*$R275*INDEX(Parameters!$X$15:$AA$15,1,MATCH($E275,Parameters!$X$3:$AA$3,0))))*(1+Inputs_General!$C$22*Parameters!$F$15)</f>
        <v>12.6426762593446</v>
      </c>
      <c r="CA275" s="45" t="n">
        <f aca="false">IF(BW275=0,0,BX275/BW275-1)</f>
        <v>-0.0272049477140144</v>
      </c>
      <c r="CB275" s="46" t="n">
        <f aca="false">BD275+BI275</f>
        <v>1.46485418937279</v>
      </c>
      <c r="CC275" s="43" t="n">
        <f aca="false">BD275/BI275</f>
        <v>2.700530320874</v>
      </c>
      <c r="CD275" s="46" t="n">
        <f aca="false">BN275/CB275</f>
        <v>0.20236027114087</v>
      </c>
      <c r="CE275" s="43" t="n">
        <f aca="false">AE275/AO275</f>
        <v>3.55023776316444</v>
      </c>
      <c r="CF275" s="44" t="n">
        <f aca="false">AE275/AJ275</f>
        <v>43.5762017981312</v>
      </c>
      <c r="CG275" s="44" t="n">
        <f aca="false">INDEX(Context!$V$4:$V$51,$K275)</f>
        <v>25.5785714285714</v>
      </c>
      <c r="CH275" s="44" t="n">
        <f aca="false">INDEX(Context!$Y$4:$Y$51,$K275)</f>
        <v>23.620522619794</v>
      </c>
      <c r="CI275" s="44" t="n">
        <f aca="false">INDEX(Context!$Z$4:$Z$51,$K275)</f>
        <v>29.5785714285714</v>
      </c>
      <c r="CJ275" s="43" t="n">
        <f aca="false">INDEX(Context!$AA$4:$AA$51,$K275)</f>
        <v>0.121160714285714</v>
      </c>
      <c r="CK275" s="43" t="n">
        <f aca="false">MAX(0,MIN(1,1-(1-CJ275)*AO275/AN275))</f>
        <v>0.209260722102033</v>
      </c>
      <c r="CL275" s="44" t="n">
        <f aca="false">CH275+CK275*(CI275-CH275)</f>
        <v>24.8673082158379</v>
      </c>
      <c r="CM275" s="44" t="n">
        <f aca="false">CH275+MAX(0,MIN(1,1-(1-CJ275)*AQ275/AN275))*(CI275-CH275)</f>
        <v>23.620522619794</v>
      </c>
      <c r="CN275" s="44" t="n">
        <f aca="false">CH275+MAX(0,MIN(1,1-(1-CJ275)*AP275/AN275))*(CI275-CH275)</f>
        <v>26.3732540953451</v>
      </c>
      <c r="CO275" s="44" t="n">
        <f aca="false">CL275-CG275</f>
        <v>-0.711263212733499</v>
      </c>
      <c r="CP275" s="44" t="n">
        <f aca="false">CL275-(CH275+CJ275*(CI275-CH275))</f>
        <v>0.524904146623303</v>
      </c>
      <c r="CQ275" s="46" t="n">
        <f aca="false">CL275/CG275</f>
        <v>0.972193004807961</v>
      </c>
      <c r="CR275" s="43" t="n">
        <f aca="false">IF(CL275-CH275&lt;=0,"n/a",(CI275-CL275)/(CL275-CH275))</f>
        <v>3.77872765588761</v>
      </c>
      <c r="CS275" s="43" t="n">
        <f aca="false">IF(CI275-CL275&lt;=0,"n/a",(CL275-CH275)/(CI275-CL275))</f>
        <v>0.264639341880568</v>
      </c>
      <c r="CT275" s="43" t="n">
        <f aca="false">Inputs_General!$C$23+Inputs_General!$C$24*$I275</f>
        <v>0.76</v>
      </c>
      <c r="CU275" s="44" t="n">
        <f aca="false">3.29*CT275</f>
        <v>2.5004</v>
      </c>
    </row>
    <row r="276" customFormat="false" ht="15" hidden="false" customHeight="false" outlineLevel="0" collapsed="false">
      <c r="A276" s="9" t="str">
        <f aca="false">B276&amp;"|"&amp;E276&amp;"|"&amp;F276</f>
        <v>D4V3|24/02/2026|Moderate</v>
      </c>
      <c r="B276" s="7" t="s">
        <v>354</v>
      </c>
      <c r="C276" s="9" t="s">
        <v>133</v>
      </c>
      <c r="D276" s="9" t="s">
        <v>150</v>
      </c>
      <c r="E276" s="9" t="s">
        <v>160</v>
      </c>
      <c r="F276" s="7" t="s">
        <v>281</v>
      </c>
      <c r="G276" s="9" t="s">
        <v>282</v>
      </c>
      <c r="H276" s="41" t="n">
        <f aca="false">INDEX(Severity_Classes!$C$4:$C$9,MATCH(F276,Severity_Classes!$A$4:$A$9,0))</f>
        <v>0.11</v>
      </c>
      <c r="I276" s="41" t="n">
        <f aca="false">INDEX(Severity_Classes!$D$4:$D$9,MATCH(F276,Severity_Classes!$A$4:$A$9,0))</f>
        <v>0.18</v>
      </c>
      <c r="J276" s="41" t="n">
        <f aca="false">INDEX(Severity_Classes!$E$4:$E$9,MATCH(F276,Severity_Classes!$A$4:$A$9,0))</f>
        <v>0.25</v>
      </c>
      <c r="K276" s="42" t="n">
        <f aca="false">MATCH(B276&amp;"|"&amp;E276,Context!$A$4:$A$51,0)</f>
        <v>46</v>
      </c>
      <c r="L276" s="42" t="n">
        <f aca="false">INDEX(Context!$H$4:$H$51,K276)</f>
        <v>46</v>
      </c>
      <c r="M276" s="42" t="n">
        <f aca="false">INDEX(Context!$I$4:$I$51,K276)</f>
        <v>19</v>
      </c>
      <c r="N276" s="9" t="str">
        <f aca="false">INDEX(Context!$L$4:$L$51,K276)</f>
        <v>V</v>
      </c>
      <c r="O276" s="9" t="str">
        <f aca="false">INDEX(Context!$M$4:$M$51,K276)</f>
        <v>3rd fully expanded leaf from top</v>
      </c>
      <c r="P276" s="43" t="n">
        <f aca="false">INDEX(Context!$R$4:$R$51,K276)</f>
        <v>0.0232142857142859</v>
      </c>
      <c r="Q276" s="43" t="n">
        <f aca="false">INDEX(Context!$U$4:$U$51,K276)</f>
        <v>1.19492600027053</v>
      </c>
      <c r="R276" s="43" t="n">
        <f aca="false">INDEX(Context!$AD$4:$AD$51,K276)</f>
        <v>0.85</v>
      </c>
      <c r="S276" s="9" t="str">
        <f aca="false">INDEX(Context!$AI$4:$AN$51,K276,MATCH(F276,Severity_Classes!$A$4:$A$9,0))</f>
        <v>Likely</v>
      </c>
      <c r="T276" s="44" t="n">
        <f aca="false">Parameters!$E$4*IF($N276="V",Parameters!$I$4,IF($N276="F",Parameters!$J$4,Parameters!$K$4))*(1-Parameters!$L$4*$P276)*IF($D276="V1",Parameters!$M$4,IF($D276="V2",Parameters!$N$4,Parameters!$O$4))</f>
        <v>85.9001785714286</v>
      </c>
      <c r="U276" s="44" t="n">
        <f aca="false">MIN(100,T276*(1+INDEX(Response_Table!$E$4:$E$21,MATCH($F276&amp;"|mid",Response_Table!$A$4:$A$21,0))*$R276*INDEX(Parameters!$X$4:$AA$4,1,MATCH($E276,Parameters!$X$3:$AA$3,0))))</f>
        <v>82.5787246736745</v>
      </c>
      <c r="V276" s="44" t="n">
        <f aca="false">MAX(0,MIN(T276*(1+INDEX(Response_Table!$E$4:$E$21,MATCH($F276&amp;"|low",Response_Table!$A$4:$A$21,0))*$R276*INDEX(Parameters!$X$4:$AA$4,1,MATCH($E276,Parameters!$X$3:$AA$3,0))),T276*(1+INDEX(Response_Table!$E$4:$E$21,MATCH($F276&amp;"|high",Response_Table!$A$4:$A$21,0))*$R276*INDEX(Parameters!$X$4:$AA$4,1,MATCH($E276,Parameters!$X$3:$AA$3,0))))*(1-Inputs_General!$C$22*Parameters!$F$4))</f>
        <v>74.8206855485608</v>
      </c>
      <c r="W276" s="44" t="n">
        <f aca="false">MIN(100,MAX(T276*(1+INDEX(Response_Table!$E$4:$E$21,MATCH($F276&amp;"|low",Response_Table!$A$4:$A$21,0))*$R276*INDEX(Parameters!$X$4:$AA$4,1,MATCH($E276,Parameters!$X$3:$AA$3,0))),T276*(1+INDEX(Response_Table!$E$4:$E$21,MATCH($F276&amp;"|high",Response_Table!$A$4:$A$21,0))*$R276*INDEX(Parameters!$X$4:$AA$4,1,MATCH($E276,Parameters!$X$3:$AA$3,0))))*(1+Inputs_General!$C$22*Parameters!$F$4))</f>
        <v>89.8822547564565</v>
      </c>
      <c r="X276" s="45" t="n">
        <f aca="false">IF(T276=0,0,U276/T276-1)</f>
        <v>-0.0386664376371717</v>
      </c>
      <c r="Y276" s="44" t="n">
        <f aca="false">Parameters!$E$5*IF($N276="V",Parameters!$I$5,IF($N276="F",Parameters!$J$5,Parameters!$K$5))*(1-Parameters!$L$5*$P276)*IF($D276="V1",Parameters!$M$5,IF($D276="V2",Parameters!$N$5,Parameters!$O$5))</f>
        <v>71.7994285714286</v>
      </c>
      <c r="Z276" s="44" t="n">
        <f aca="false">MIN(100,Y276*(1+INDEX(Response_Table!$F$4:$F$21,MATCH($F276&amp;"|mid",Response_Table!$A$4:$A$21,0))*$R276*INDEX(Parameters!$X$5:$AA$5,1,MATCH($E276,Parameters!$X$3:$AA$3,0))))</f>
        <v>62.2092511607277</v>
      </c>
      <c r="AA276" s="44" t="n">
        <f aca="false">MAX(0,MIN(Y276*(1+INDEX(Response_Table!$F$4:$F$21,MATCH($F276&amp;"|low",Response_Table!$A$4:$A$21,0))*$R276*INDEX(Parameters!$X$5:$AA$5,1,MATCH($E276,Parameters!$X$3:$AA$3,0))),Y276*(1+INDEX(Response_Table!$F$4:$F$21,MATCH($F276&amp;"|high",Response_Table!$A$4:$A$21,0))*$R276*INDEX(Parameters!$X$5:$AA$5,1,MATCH($E276,Parameters!$X$3:$AA$3,0))))*(1-Inputs_General!$C$22*Parameters!$F$5))</f>
        <v>48.7655392746441</v>
      </c>
      <c r="AB276" s="44" t="n">
        <f aca="false">MIN(100,MAX(Y276*(1+INDEX(Response_Table!$F$4:$F$21,MATCH($F276&amp;"|low",Response_Table!$A$4:$A$21,0))*$R276*INDEX(Parameters!$X$5:$AA$5,1,MATCH($E276,Parameters!$X$3:$AA$3,0))),Y276*(1+INDEX(Response_Table!$F$4:$F$21,MATCH($F276&amp;"|high",Response_Table!$A$4:$A$21,0))*$R276*INDEX(Parameters!$X$5:$AA$5,1,MATCH($E276,Parameters!$X$3:$AA$3,0))))*(1+Inputs_General!$C$22*Parameters!$F$5))</f>
        <v>75.1579201551274</v>
      </c>
      <c r="AC276" s="45" t="n">
        <f aca="false">IF(Y276=0,0,Z276/Y276-1)</f>
        <v>-0.133568993535377</v>
      </c>
      <c r="AD276" s="44" t="n">
        <f aca="false">Parameters!$E$6*IF($N276="V",Parameters!$I$6,IF($N276="F",Parameters!$J$6,Parameters!$K$6))*(1-Parameters!$L$6*$P276)*IF($D276="V1",Parameters!$M$6,IF($D276="V2",Parameters!$N$6,Parameters!$O$6))</f>
        <v>19.5154835714286</v>
      </c>
      <c r="AE276" s="44" t="n">
        <f aca="false">AD276*(1+INDEX(Response_Table!$G$4:$G$21,MATCH($F276&amp;"|mid",Response_Table!$A$4:$A$21,0))*$R276*INDEX(Parameters!$X$6:$AA$6,1,MATCH($E276,Parameters!$X$3:$AA$3,0)))</f>
        <v>12.7094193159933</v>
      </c>
      <c r="AF276" s="44" t="n">
        <f aca="false">MAX(0,MIN(AD276*(1+INDEX(Response_Table!$G$4:$G$21,MATCH($F276&amp;"|low",Response_Table!$A$4:$A$21,0))*$R276*INDEX(Parameters!$X$6:$AA$6,1,MATCH($E276,Parameters!$X$3:$AA$3,0))),AD276*(1+INDEX(Response_Table!$G$4:$G$21,MATCH($F276&amp;"|high",Response_Table!$A$4:$A$21,0))*$R276*INDEX(Parameters!$X$6:$AA$6,1,MATCH($E276,Parameters!$X$3:$AA$3,0))))*(1-Inputs_General!$C$22*Parameters!$F$6))</f>
        <v>9.00168241561425</v>
      </c>
      <c r="AG276" s="44" t="n">
        <f aca="false">MAX(AD276*(1+INDEX(Response_Table!$G$4:$G$21,MATCH($F276&amp;"|low",Response_Table!$A$4:$A$21,0))*$R276*INDEX(Parameters!$X$6:$AA$6,1,MATCH($E276,Parameters!$X$3:$AA$3,0))),AD276*(1+INDEX(Response_Table!$G$4:$G$21,MATCH($F276&amp;"|high",Response_Table!$A$4:$A$21,0))*$R276*INDEX(Parameters!$X$6:$AA$6,1,MATCH($E276,Parameters!$X$3:$AA$3,0))))*(1+Inputs_General!$C$22*Parameters!$F$6)</f>
        <v>17.6520585577359</v>
      </c>
      <c r="AH276" s="45" t="n">
        <f aca="false">IF(AD276=0,0,AE276/AD276-1)</f>
        <v>-0.348752016854945</v>
      </c>
      <c r="AI276" s="46" t="n">
        <f aca="false">Parameters!$E$7*IF($N276="V",Parameters!$I$7,IF($N276="F",Parameters!$J$7,Parameters!$K$7))*(1-Parameters!$L$7*$P276)*IF($D276="V1",Parameters!$M$7,IF($D276="V2",Parameters!$N$7,Parameters!$O$7))*POWER($Q276/Inputs_General!$C$26,-Inputs_General!$C$25)</f>
        <v>0.411663164578586</v>
      </c>
      <c r="AJ276" s="46" t="n">
        <f aca="false">AI276*(1+INDEX(Response_Table!$H$4:$H$21,MATCH($F276&amp;"|mid",Response_Table!$A$4:$A$21,0))*$R276*INDEX(Parameters!$X$7:$AA$7,1,MATCH($E276,Parameters!$X$3:$AA$3,0)))</f>
        <v>0.316761800471934</v>
      </c>
      <c r="AK276" s="46" t="n">
        <f aca="false">MAX(0,MIN(AI276*(1+INDEX(Response_Table!$H$4:$H$21,MATCH($F276&amp;"|low",Response_Table!$A$4:$A$21,0))*$R276*INDEX(Parameters!$X$7:$AA$7,1,MATCH($E276,Parameters!$X$3:$AA$3,0))),AI276*(1+INDEX(Response_Table!$H$4:$H$21,MATCH($F276&amp;"|high",Response_Table!$A$4:$A$21,0))*$R276*INDEX(Parameters!$X$7:$AA$7,1,MATCH($E276,Parameters!$X$3:$AA$3,0))))*(1-Inputs_General!$C$22*Parameters!$F$7))</f>
        <v>0.205296768484412</v>
      </c>
      <c r="AL276" s="46" t="n">
        <f aca="false">MAX(AI276*(1+INDEX(Response_Table!$H$4:$H$21,MATCH($F276&amp;"|low",Response_Table!$A$4:$A$21,0))*$R276*INDEX(Parameters!$X$7:$AA$7,1,MATCH($E276,Parameters!$X$3:$AA$3,0))),AI276*(1+INDEX(Response_Table!$H$4:$H$21,MATCH($F276&amp;"|high",Response_Table!$A$4:$A$21,0))*$R276*INDEX(Parameters!$X$7:$AA$7,1,MATCH($E276,Parameters!$X$3:$AA$3,0))))*(1+Inputs_General!$C$22*Parameters!$F$7)</f>
        <v>0.450698144657831</v>
      </c>
      <c r="AM276" s="45" t="n">
        <f aca="false">IF(AI276=0,0,AJ276/AI276-1)</f>
        <v>-0.230531590563371</v>
      </c>
      <c r="AN276" s="43" t="n">
        <f aca="false">AI276*$Q276/Inputs_General!$C$13*1000</f>
        <v>4.95374641196979</v>
      </c>
      <c r="AO276" s="43" t="n">
        <f aca="false">AJ276*$Q276/Inputs_General!$C$13*1000*(1+Inputs_General!$C$21*$I276)</f>
        <v>3.98328018412749</v>
      </c>
      <c r="AP276" s="43" t="n">
        <f aca="false">AK276*$Q276/Inputs_General!$C$13*1000*(1+Inputs_General!$C$21*$H276)</f>
        <v>2.53837455901778</v>
      </c>
      <c r="AQ276" s="43" t="n">
        <f aca="false">AL276*$Q276/Inputs_General!$C$13*1000*(1+Inputs_General!$C$21*$J276)</f>
        <v>5.76244073044476</v>
      </c>
      <c r="AR276" s="45" t="n">
        <f aca="false">IF(AN276=0,0,AO276/AN276-1)</f>
        <v>-0.195905512138722</v>
      </c>
      <c r="AS276" s="42" t="n">
        <f aca="false">Parameters!$E$9*IF($N276="V",Parameters!$I$9,IF($N276="F",Parameters!$J$9,Parameters!$K$9))*(1-Parameters!$L$9*$P276)*IF($D276="V1",Parameters!$M$9,IF($D276="V2",Parameters!$N$9,Parameters!$O$9))</f>
        <v>285</v>
      </c>
      <c r="AT276" s="42" t="n">
        <f aca="false">AS276*(1+INDEX(Response_Table!$I$4:$I$21,MATCH($F276&amp;"|mid",Response_Table!$A$4:$A$21,0))*$R276*INDEX(Parameters!$X$9:$AA$9,1,MATCH($E276,Parameters!$X$3:$AA$3,0)))</f>
        <v>322.300279798109</v>
      </c>
      <c r="AU276" s="42" t="n">
        <f aca="false">MAX(0,MIN(AS276*(1+INDEX(Response_Table!$I$4:$I$21,MATCH($F276&amp;"|low",Response_Table!$A$4:$A$21,0))*$R276*INDEX(Parameters!$X$9:$AA$9,1,MATCH($E276,Parameters!$X$3:$AA$3,0))),AS276*(1+INDEX(Response_Table!$I$4:$I$21,MATCH($F276&amp;"|high",Response_Table!$A$4:$A$21,0))*$R276*INDEX(Parameters!$X$9:$AA$9,1,MATCH($E276,Parameters!$X$3:$AA$3,0))))*(1-Inputs_General!$C$22*Parameters!$F$9))</f>
        <v>280.186818337032</v>
      </c>
      <c r="AV276" s="42" t="n">
        <f aca="false">MAX(AS276*(1+INDEX(Response_Table!$I$4:$I$21,MATCH($F276&amp;"|low",Response_Table!$A$4:$A$21,0))*$R276*INDEX(Parameters!$X$9:$AA$9,1,MATCH($E276,Parameters!$X$3:$AA$3,0))),AS276*(1+INDEX(Response_Table!$I$4:$I$21,MATCH($F276&amp;"|high",Response_Table!$A$4:$A$21,0))*$R276*INDEX(Parameters!$X$9:$AA$9,1,MATCH($E276,Parameters!$X$3:$AA$3,0))))*(1+Inputs_General!$C$22*Parameters!$F$9)</f>
        <v>363.603076604055</v>
      </c>
      <c r="AW276" s="45" t="n">
        <f aca="false">IF(AS276=0,0,AT276/AS276-1)</f>
        <v>0.130878174730207</v>
      </c>
      <c r="AX276" s="43" t="n">
        <f aca="false">INDEX(Context!$AB$4:$AB$51,$K276)</f>
        <v>1.40851696565548</v>
      </c>
      <c r="AY276" s="43" t="n">
        <f aca="false">AX276*(1+INDEX(Response_Table!$J$4:$J$21,MATCH($F276&amp;"|mid",Response_Table!$A$4:$A$21,0))*$R276*INDEX(Parameters!$X$10:$AA$10,1,MATCH($E276,Parameters!$X$3:$AA$3,0)))</f>
        <v>1.21328632781436</v>
      </c>
      <c r="AZ276" s="43" t="n">
        <f aca="false">MAX(0,MIN(AX276*(1+INDEX(Response_Table!$J$4:$J$21,MATCH($F276&amp;"|low",Response_Table!$A$4:$A$21,0))*$R276*INDEX(Parameters!$X$10:$AA$10,1,MATCH($E276,Parameters!$X$3:$AA$3,0))),AX276*(1+INDEX(Response_Table!$J$4:$J$21,MATCH($F276&amp;"|high",Response_Table!$A$4:$A$21,0))*$R276*INDEX(Parameters!$X$10:$AA$10,1,MATCH($E276,Parameters!$X$3:$AA$3,0))))*(1-Inputs_General!$C$22*Parameters!$F$10))</f>
        <v>0.929519522996658</v>
      </c>
      <c r="BA276" s="43" t="n">
        <f aca="false">MAX(AX276*(1+INDEX(Response_Table!$J$4:$J$21,MATCH($F276&amp;"|low",Response_Table!$A$4:$A$21,0))*$R276*INDEX(Parameters!$X$10:$AA$10,1,MATCH($E276,Parameters!$X$3:$AA$3,0))),AX276*(1+INDEX(Response_Table!$J$4:$J$21,MATCH($F276&amp;"|high",Response_Table!$A$4:$A$21,0))*$R276*INDEX(Parameters!$X$10:$AA$10,1,MATCH($E276,Parameters!$X$3:$AA$3,0))))*(1+Inputs_General!$C$22*Parameters!$F$10)</f>
        <v>1.53145614361678</v>
      </c>
      <c r="BB276" s="45" t="n">
        <f aca="false">IF(AX276=0,0,AY276/AX276-1)</f>
        <v>-0.138607232004672</v>
      </c>
      <c r="BC276" s="46" t="n">
        <f aca="false">Parameters!$E$11*IF($N276="V",Parameters!$I$11,IF($N276="F",Parameters!$J$11,Parameters!$K$11))*(1-Parameters!$L$11*$P276)*IF($D276="V1",Parameters!$M$11,IF($D276="V2",Parameters!$N$11,Parameters!$O$11))</f>
        <v>1.22142136160714</v>
      </c>
      <c r="BD276" s="46" t="n">
        <f aca="false">BC276*(1+INDEX(Response_Table!$K$4:$K$21,MATCH($F276&amp;"|mid",Response_Table!$A$4:$A$21,0))*$R276*INDEX(Parameters!$X$11:$AA$11,1,MATCH($E276,Parameters!$X$3:$AA$3,0)))</f>
        <v>0.92593962625248</v>
      </c>
      <c r="BE276" s="46" t="n">
        <f aca="false">MAX(0,MIN(BC276*(1+INDEX(Response_Table!$K$4:$K$21,MATCH($F276&amp;"|low",Response_Table!$A$4:$A$21,0))*$R276*INDEX(Parameters!$X$11:$AA$11,1,MATCH($E276,Parameters!$X$3:$AA$3,0))),BC276*(1+INDEX(Response_Table!$K$4:$K$21,MATCH($F276&amp;"|high",Response_Table!$A$4:$A$21,0))*$R276*INDEX(Parameters!$X$11:$AA$11,1,MATCH($E276,Parameters!$X$3:$AA$3,0))))*(1-Inputs_General!$C$22*Parameters!$F$11))</f>
        <v>0.710015508602709</v>
      </c>
      <c r="BF276" s="46" t="n">
        <f aca="false">MAX(BC276*(1+INDEX(Response_Table!$K$4:$K$21,MATCH($F276&amp;"|low",Response_Table!$A$4:$A$21,0))*$R276*INDEX(Parameters!$X$11:$AA$11,1,MATCH($E276,Parameters!$X$3:$AA$3,0))),BC276*(1+INDEX(Response_Table!$K$4:$K$21,MATCH($F276&amp;"|high",Response_Table!$A$4:$A$21,0))*$R276*INDEX(Parameters!$X$11:$AA$11,1,MATCH($E276,Parameters!$X$3:$AA$3,0))))*(1+Inputs_General!$C$22*Parameters!$F$11)</f>
        <v>1.18916913251901</v>
      </c>
      <c r="BG276" s="45" t="n">
        <f aca="false">IF(BC276=0,0,BD276/BC276-1)</f>
        <v>-0.241916299028756</v>
      </c>
      <c r="BH276" s="46" t="n">
        <f aca="false">Parameters!$E$12*IF($N276="V",Parameters!$I$12,IF($N276="F",Parameters!$J$12,Parameters!$K$12))*(1-Parameters!$L$12*$P276)*IF($D276="V1",Parameters!$M$12,IF($D276="V2",Parameters!$N$12,Parameters!$O$12))</f>
        <v>0.439711690178571</v>
      </c>
      <c r="BI276" s="46" t="n">
        <f aca="false">BH276*(1+INDEX(Response_Table!$L$4:$L$21,MATCH($F276&amp;"|mid",Response_Table!$A$4:$A$21,0))*$R276*INDEX(Parameters!$X$12:$AA$12,1,MATCH($E276,Parameters!$X$3:$AA$3,0)))</f>
        <v>0.353939244902578</v>
      </c>
      <c r="BJ276" s="46" t="n">
        <f aca="false">MAX(0,MIN(BH276*(1+INDEX(Response_Table!$L$4:$L$21,MATCH($F276&amp;"|low",Response_Table!$A$4:$A$21,0))*$R276*INDEX(Parameters!$X$12:$AA$12,1,MATCH($E276,Parameters!$X$3:$AA$3,0))),BH276*(1+INDEX(Response_Table!$L$4:$L$21,MATCH($F276&amp;"|high",Response_Table!$A$4:$A$21,0))*$R276*INDEX(Parameters!$X$12:$AA$12,1,MATCH($E276,Parameters!$X$3:$AA$3,0))))*(1-Inputs_General!$C$22*Parameters!$F$12))</f>
        <v>0.26586013203275</v>
      </c>
      <c r="BK276" s="46" t="n">
        <f aca="false">MAX(BH276*(1+INDEX(Response_Table!$L$4:$L$21,MATCH($F276&amp;"|low",Response_Table!$A$4:$A$21,0))*$R276*INDEX(Parameters!$X$12:$AA$12,1,MATCH($E276,Parameters!$X$3:$AA$3,0))),BH276*(1+INDEX(Response_Table!$L$4:$L$21,MATCH($F276&amp;"|high",Response_Table!$A$4:$A$21,0))*$R276*INDEX(Parameters!$X$12:$AA$12,1,MATCH($E276,Parameters!$X$3:$AA$3,0))))*(1+Inputs_General!$C$22*Parameters!$F$12)</f>
        <v>0.457325600672565</v>
      </c>
      <c r="BL276" s="45" t="n">
        <f aca="false">IF(BH276=0,0,BI276/BH276-1)</f>
        <v>-0.19506519201516</v>
      </c>
      <c r="BM276" s="46" t="n">
        <f aca="false">Parameters!$E$13*IF($N276="V",Parameters!$I$13,IF($N276="F",Parameters!$J$13,Parameters!$K$13))*(1-Parameters!$L$13*$P276)*IF($D276="V1",Parameters!$M$13,IF($D276="V2",Parameters!$N$13,Parameters!$O$13))</f>
        <v>0.293345563392857</v>
      </c>
      <c r="BN276" s="46" t="n">
        <f aca="false">BM276*(1+INDEX(Response_Table!$M$4:$M$21,MATCH($F276&amp;"|mid",Response_Table!$A$4:$A$21,0))*$R276*INDEX(Parameters!$X$13:$AA$13,1,MATCH($E276,Parameters!$X$3:$AA$3,0)))</f>
        <v>0.271896645431832</v>
      </c>
      <c r="BO276" s="46" t="n">
        <f aca="false">MAX(0,MIN(BM276*(1+INDEX(Response_Table!$M$4:$M$21,MATCH($F276&amp;"|low",Response_Table!$A$4:$A$21,0))*$R276*INDEX(Parameters!$X$13:$AA$13,1,MATCH($E276,Parameters!$X$3:$AA$3,0))),BM276*(1+INDEX(Response_Table!$M$4:$M$21,MATCH($F276&amp;"|high",Response_Table!$A$4:$A$21,0))*$R276*INDEX(Parameters!$X$13:$AA$13,1,MATCH($E276,Parameters!$X$3:$AA$3,0))))*(1-Inputs_General!$C$22*Parameters!$F$13))</f>
        <v>0.204365840113313</v>
      </c>
      <c r="BP276" s="46" t="n">
        <f aca="false">MAX(BM276*(1+INDEX(Response_Table!$M$4:$M$21,MATCH($F276&amp;"|low",Response_Table!$A$4:$A$21,0))*$R276*INDEX(Parameters!$X$13:$AA$13,1,MATCH($E276,Parameters!$X$3:$AA$3,0))),BM276*(1+INDEX(Response_Table!$M$4:$M$21,MATCH($F276&amp;"|high",Response_Table!$A$4:$A$21,0))*$R276*INDEX(Parameters!$X$13:$AA$13,1,MATCH($E276,Parameters!$X$3:$AA$3,0))))*(1+Inputs_General!$C$22*Parameters!$F$13)</f>
        <v>0.347400980168423</v>
      </c>
      <c r="BQ276" s="45" t="n">
        <f aca="false">IF(BM276=0,0,BN276/BM276-1)</f>
        <v>-0.0731182626829087</v>
      </c>
      <c r="BR276" s="44" t="n">
        <f aca="false">Parameters!$E$14*IF($N276="V",Parameters!$I$14,IF($N276="F",Parameters!$J$14,Parameters!$K$14))*(1-Parameters!$L$14*$P276)*IF($D276="V1",Parameters!$M$14,IF($D276="V2",Parameters!$N$14,Parameters!$O$14))*INDEX(Context!$AC$4:$AC$51,$K276)</f>
        <v>18.975</v>
      </c>
      <c r="BS276" s="44" t="n">
        <f aca="false">BR276*(1+INDEX(Response_Table!$N$4:$N$21,MATCH($F276&amp;"|mid",Response_Table!$A$4:$A$21,0))*$R276*INDEX(Parameters!$X$14:$AA$14,1,MATCH($E276,Parameters!$X$3:$AA$3,0)))</f>
        <v>23.0128494747138</v>
      </c>
      <c r="BT276" s="44" t="n">
        <f aca="false">MAX(0,MIN(BR276*(1+INDEX(Response_Table!$N$4:$N$21,MATCH($F276&amp;"|low",Response_Table!$A$4:$A$21,0))*$R276*INDEX(Parameters!$X$14:$AA$14,1,MATCH($E276,Parameters!$X$3:$AA$3,0))),BR276*(1+INDEX(Response_Table!$N$4:$N$21,MATCH($F276&amp;"|high",Response_Table!$A$4:$A$21,0))*$R276*INDEX(Parameters!$X$14:$AA$14,1,MATCH($E276,Parameters!$X$3:$AA$3,0))))*(1-Inputs_General!$C$22*Parameters!$F$14))</f>
        <v>10.9885404447771</v>
      </c>
      <c r="BU276" s="44" t="n">
        <f aca="false">MAX(BR276*(1+INDEX(Response_Table!$N$4:$N$21,MATCH($F276&amp;"|low",Response_Table!$A$4:$A$21,0))*$R276*INDEX(Parameters!$X$14:$AA$14,1,MATCH($E276,Parameters!$X$3:$AA$3,0))),BR276*(1+INDEX(Response_Table!$N$4:$N$21,MATCH($F276&amp;"|high",Response_Table!$A$4:$A$21,0))*$R276*INDEX(Parameters!$X$14:$AA$14,1,MATCH($E276,Parameters!$X$3:$AA$3,0))))*(1+Inputs_General!$C$22*Parameters!$F$14)</f>
        <v>35.9650344011769</v>
      </c>
      <c r="BV276" s="45" t="n">
        <f aca="false">IF(BR276=0,0,BS276/BR276-1)</f>
        <v>0.212798391289265</v>
      </c>
      <c r="BW276" s="43" t="n">
        <f aca="false">Parameters!$E$15*IF($N276="V",Parameters!$I$15,IF($N276="F",Parameters!$J$15,Parameters!$K$15))*(1-Parameters!$L$15*$P276)*IF($D276="V1",Parameters!$M$15,IF($D276="V2",Parameters!$N$15,Parameters!$O$15))</f>
        <v>10.7849571428571</v>
      </c>
      <c r="BX276" s="43" t="n">
        <f aca="false">BW276*(1+INDEX(Response_Table!$O$4:$O$21,MATCH($F276&amp;"|mid",Response_Table!$A$4:$A$21,0))*$R276*INDEX(Parameters!$X$15:$AA$15,1,MATCH($E276,Parameters!$X$3:$AA$3,0)))</f>
        <v>10.2112017603262</v>
      </c>
      <c r="BY276" s="43" t="n">
        <f aca="false">MAX(0,MIN(BW276*(1+INDEX(Response_Table!$O$4:$O$21,MATCH($F276&amp;"|low",Response_Table!$A$4:$A$21,0))*$R276*INDEX(Parameters!$X$15:$AA$15,1,MATCH($E276,Parameters!$X$3:$AA$3,0))),BW276*(1+INDEX(Response_Table!$O$4:$O$21,MATCH($F276&amp;"|high",Response_Table!$A$4:$A$21,0))*$R276*INDEX(Parameters!$X$15:$AA$15,1,MATCH($E276,Parameters!$X$3:$AA$3,0))))*(1-Inputs_General!$C$22*Parameters!$F$15))</f>
        <v>8.07368878092848</v>
      </c>
      <c r="BZ276" s="43" t="n">
        <f aca="false">MAX(BW276*(1+INDEX(Response_Table!$O$4:$O$21,MATCH($F276&amp;"|low",Response_Table!$A$4:$A$21,0))*$R276*INDEX(Parameters!$X$15:$AA$15,1,MATCH($E276,Parameters!$X$3:$AA$3,0))),BW276*(1+INDEX(Response_Table!$O$4:$O$21,MATCH($F276&amp;"|high",Response_Table!$A$4:$A$21,0))*$R276*INDEX(Parameters!$X$15:$AA$15,1,MATCH($E276,Parameters!$X$3:$AA$3,0))))*(1+Inputs_General!$C$22*Parameters!$F$15)</f>
        <v>12.4511090806736</v>
      </c>
      <c r="CA276" s="45" t="n">
        <f aca="false">IF(BW276=0,0,BX276/BW276-1)</f>
        <v>-0.0531995978223163</v>
      </c>
      <c r="CB276" s="46" t="n">
        <f aca="false">BD276+BI276</f>
        <v>1.27987887115506</v>
      </c>
      <c r="CC276" s="43" t="n">
        <f aca="false">BD276/BI276</f>
        <v>2.6160976483615</v>
      </c>
      <c r="CD276" s="46" t="n">
        <f aca="false">BN276/CB276</f>
        <v>0.212439357785829</v>
      </c>
      <c r="CE276" s="43" t="n">
        <f aca="false">AE276/AO276</f>
        <v>3.19069177373905</v>
      </c>
      <c r="CF276" s="44" t="n">
        <f aca="false">AE276/AJ276</f>
        <v>40.1229545262653</v>
      </c>
      <c r="CG276" s="44" t="n">
        <f aca="false">INDEX(Context!$V$4:$V$51,$K276)</f>
        <v>25.5785714285714</v>
      </c>
      <c r="CH276" s="44" t="n">
        <f aca="false">INDEX(Context!$Y$4:$Y$51,$K276)</f>
        <v>23.620522619794</v>
      </c>
      <c r="CI276" s="44" t="n">
        <f aca="false">INDEX(Context!$Z$4:$Z$51,$K276)</f>
        <v>29.5785714285714</v>
      </c>
      <c r="CJ276" s="43" t="n">
        <f aca="false">INDEX(Context!$AA$4:$AA$51,$K276)</f>
        <v>0.121160714285714</v>
      </c>
      <c r="CK276" s="43" t="n">
        <f aca="false">MAX(0,MIN(1,1-(1-CJ276)*AO276/AN276))</f>
        <v>0.2933301746412</v>
      </c>
      <c r="CL276" s="44" t="n">
        <f aca="false">CH276+CK276*(CI276-CH276)</f>
        <v>25.3681981173935</v>
      </c>
      <c r="CM276" s="44" t="n">
        <f aca="false">CH276+MAX(0,MIN(1,1-(1-CJ276)*AQ276/AN276))*(CI276-CH276)</f>
        <v>23.620522619794</v>
      </c>
      <c r="CN276" s="44" t="n">
        <f aca="false">CH276+MAX(0,MIN(1,1-(1-CJ276)*AP276/AN276))*(CI276-CH276)</f>
        <v>26.8954801060858</v>
      </c>
      <c r="CO276" s="44" t="n">
        <f aca="false">CL276-CG276</f>
        <v>-0.210373311177946</v>
      </c>
      <c r="CP276" s="44" t="n">
        <f aca="false">CL276-(CH276+CJ276*(CI276-CH276))</f>
        <v>1.02579404817886</v>
      </c>
      <c r="CQ276" s="46" t="n">
        <f aca="false">CL276/CG276</f>
        <v>0.991775408108095</v>
      </c>
      <c r="CR276" s="43" t="n">
        <f aca="false">IF(CL276-CH276&lt;=0,"n/a",(CI276-CL276)/(CL276-CH276))</f>
        <v>2.40912761949293</v>
      </c>
      <c r="CS276" s="43" t="n">
        <f aca="false">IF(CI276-CL276&lt;=0,"n/a",(CL276-CH276)/(CI276-CL276))</f>
        <v>0.415088014395219</v>
      </c>
      <c r="CT276" s="43" t="n">
        <f aca="false">Inputs_General!$C$23+Inputs_General!$C$24*$I276</f>
        <v>0.96</v>
      </c>
      <c r="CU276" s="44" t="n">
        <f aca="false">3.29*CT276</f>
        <v>3.1584</v>
      </c>
    </row>
    <row r="277" customFormat="false" ht="15" hidden="false" customHeight="false" outlineLevel="0" collapsed="false">
      <c r="A277" s="9" t="str">
        <f aca="false">B277&amp;"|"&amp;E277&amp;"|"&amp;F277</f>
        <v>D4V3|24/02/2026|High</v>
      </c>
      <c r="B277" s="7" t="s">
        <v>354</v>
      </c>
      <c r="C277" s="9" t="s">
        <v>133</v>
      </c>
      <c r="D277" s="9" t="s">
        <v>150</v>
      </c>
      <c r="E277" s="9" t="s">
        <v>160</v>
      </c>
      <c r="F277" s="7" t="s">
        <v>283</v>
      </c>
      <c r="G277" s="9" t="s">
        <v>284</v>
      </c>
      <c r="H277" s="41" t="n">
        <f aca="false">INDEX(Severity_Classes!$C$4:$C$9,MATCH(F277,Severity_Classes!$A$4:$A$9,0))</f>
        <v>0.26</v>
      </c>
      <c r="I277" s="41" t="n">
        <f aca="false">INDEX(Severity_Classes!$D$4:$D$9,MATCH(F277,Severity_Classes!$A$4:$A$9,0))</f>
        <v>0.38</v>
      </c>
      <c r="J277" s="41" t="n">
        <f aca="false">INDEX(Severity_Classes!$E$4:$E$9,MATCH(F277,Severity_Classes!$A$4:$A$9,0))</f>
        <v>0.5</v>
      </c>
      <c r="K277" s="42" t="n">
        <f aca="false">MATCH(B277&amp;"|"&amp;E277,Context!$A$4:$A$51,0)</f>
        <v>46</v>
      </c>
      <c r="L277" s="42" t="n">
        <f aca="false">INDEX(Context!$H$4:$H$51,K277)</f>
        <v>46</v>
      </c>
      <c r="M277" s="42" t="n">
        <f aca="false">INDEX(Context!$I$4:$I$51,K277)</f>
        <v>19</v>
      </c>
      <c r="N277" s="9" t="str">
        <f aca="false">INDEX(Context!$L$4:$L$51,K277)</f>
        <v>V</v>
      </c>
      <c r="O277" s="9" t="str">
        <f aca="false">INDEX(Context!$M$4:$M$51,K277)</f>
        <v>3rd fully expanded leaf from top</v>
      </c>
      <c r="P277" s="43" t="n">
        <f aca="false">INDEX(Context!$R$4:$R$51,K277)</f>
        <v>0.0232142857142859</v>
      </c>
      <c r="Q277" s="43" t="n">
        <f aca="false">INDEX(Context!$U$4:$U$51,K277)</f>
        <v>1.19492600027053</v>
      </c>
      <c r="R277" s="43" t="n">
        <f aca="false">INDEX(Context!$AD$4:$AD$51,K277)</f>
        <v>0.85</v>
      </c>
      <c r="S277" s="9" t="str">
        <f aca="false">INDEX(Context!$AI$4:$AN$51,K277,MATCH(F277,Severity_Classes!$A$4:$A$9,0))</f>
        <v>Possible</v>
      </c>
      <c r="T277" s="44" t="n">
        <f aca="false">Parameters!$E$4*IF($N277="V",Parameters!$I$4,IF($N277="F",Parameters!$J$4,Parameters!$K$4))*(1-Parameters!$L$4*$P277)*IF($D277="V1",Parameters!$M$4,IF($D277="V2",Parameters!$N$4,Parameters!$O$4))</f>
        <v>85.9001785714286</v>
      </c>
      <c r="U277" s="44" t="n">
        <f aca="false">MIN(100,T277*(1+INDEX(Response_Table!$E$4:$E$21,MATCH($F277&amp;"|mid",Response_Table!$A$4:$A$21,0))*$R277*INDEX(Parameters!$X$4:$AA$4,1,MATCH($E277,Parameters!$X$3:$AA$3,0))))</f>
        <v>74.1049264014316</v>
      </c>
      <c r="V277" s="44" t="n">
        <f aca="false">MAX(0,MIN(T277*(1+INDEX(Response_Table!$E$4:$E$21,MATCH($F277&amp;"|low",Response_Table!$A$4:$A$21,0))*$R277*INDEX(Parameters!$X$4:$AA$4,1,MATCH($E277,Parameters!$X$3:$AA$3,0))),T277*(1+INDEX(Response_Table!$E$4:$E$21,MATCH($F277&amp;"|high",Response_Table!$A$4:$A$21,0))*$R277*INDEX(Parameters!$X$4:$AA$4,1,MATCH($E277,Parameters!$X$3:$AA$3,0))))*(1-Inputs_General!$C$22*Parameters!$F$4))</f>
        <v>64.5884890240296</v>
      </c>
      <c r="W277" s="44" t="n">
        <f aca="false">MIN(100,MAX(T277*(1+INDEX(Response_Table!$E$4:$E$21,MATCH($F277&amp;"|low",Response_Table!$A$4:$A$21,0))*$R277*INDEX(Parameters!$X$4:$AA$4,1,MATCH($E277,Parameters!$X$3:$AA$3,0))),T277*(1+INDEX(Response_Table!$E$4:$E$21,MATCH($F277&amp;"|high",Response_Table!$A$4:$A$21,0))*$R277*INDEX(Parameters!$X$4:$AA$4,1,MATCH($E277,Parameters!$X$3:$AA$3,0))))*(1+Inputs_General!$C$22*Parameters!$F$4))</f>
        <v>84.9205882946258</v>
      </c>
      <c r="X277" s="45" t="n">
        <f aca="false">IF(T277=0,0,U277/T277-1)</f>
        <v>-0.137313476714008</v>
      </c>
      <c r="Y277" s="44" t="n">
        <f aca="false">Parameters!$E$5*IF($N277="V",Parameters!$I$5,IF($N277="F",Parameters!$J$5,Parameters!$K$5))*(1-Parameters!$L$5*$P277)*IF($D277="V1",Parameters!$M$5,IF($D277="V2",Parameters!$N$5,Parameters!$O$5))</f>
        <v>71.7994285714286</v>
      </c>
      <c r="Z277" s="44" t="n">
        <f aca="false">MIN(100,Y277*(1+INDEX(Response_Table!$F$4:$F$21,MATCH($F277&amp;"|mid",Response_Table!$A$4:$A$21,0))*$R277*INDEX(Parameters!$X$5:$AA$5,1,MATCH($E277,Parameters!$X$3:$AA$3,0))))</f>
        <v>41.2667919921201</v>
      </c>
      <c r="AA277" s="44" t="n">
        <f aca="false">MAX(0,MIN(Y277*(1+INDEX(Response_Table!$F$4:$F$21,MATCH($F277&amp;"|low",Response_Table!$A$4:$A$21,0))*$R277*INDEX(Parameters!$X$5:$AA$5,1,MATCH($E277,Parameters!$X$3:$AA$3,0))),Y277*(1+INDEX(Response_Table!$F$4:$F$21,MATCH($F277&amp;"|high",Response_Table!$A$4:$A$21,0))*$R277*INDEX(Parameters!$X$5:$AA$5,1,MATCH($E277,Parameters!$X$3:$AA$3,0))))*(1-Inputs_General!$C$22*Parameters!$F$5))</f>
        <v>29.7303509684504</v>
      </c>
      <c r="AB277" s="44" t="n">
        <f aca="false">MIN(100,MAX(Y277*(1+INDEX(Response_Table!$F$4:$F$21,MATCH($F277&amp;"|low",Response_Table!$A$4:$A$21,0))*$R277*INDEX(Parameters!$X$5:$AA$5,1,MATCH($E277,Parameters!$X$3:$AA$3,0))),Y277*(1+INDEX(Response_Table!$F$4:$F$21,MATCH($F277&amp;"|high",Response_Table!$A$4:$A$21,0))*$R277*INDEX(Parameters!$X$5:$AA$5,1,MATCH($E277,Parameters!$X$3:$AA$3,0))))*(1+Inputs_General!$C$22*Parameters!$F$5))</f>
        <v>60.2141120932739</v>
      </c>
      <c r="AC277" s="45" t="n">
        <f aca="false">IF(Y277=0,0,Z277/Y277-1)</f>
        <v>-0.425249019202618</v>
      </c>
      <c r="AD277" s="44" t="n">
        <f aca="false">Parameters!$E$6*IF($N277="V",Parameters!$I$6,IF($N277="F",Parameters!$J$6,Parameters!$K$6))*(1-Parameters!$L$6*$P277)*IF($D277="V1",Parameters!$M$6,IF($D277="V2",Parameters!$N$6,Parameters!$O$6))</f>
        <v>19.5154835714286</v>
      </c>
      <c r="AE277" s="44" t="n">
        <f aca="false">AD277*(1+INDEX(Response_Table!$G$4:$G$21,MATCH($F277&amp;"|mid",Response_Table!$A$4:$A$21,0))*$R277*INDEX(Parameters!$X$6:$AA$6,1,MATCH($E277,Parameters!$X$3:$AA$3,0)))</f>
        <v>9.41168794605889</v>
      </c>
      <c r="AF277" s="44" t="n">
        <f aca="false">MAX(0,MIN(AD277*(1+INDEX(Response_Table!$G$4:$G$21,MATCH($F277&amp;"|low",Response_Table!$A$4:$A$21,0))*$R277*INDEX(Parameters!$X$6:$AA$6,1,MATCH($E277,Parameters!$X$3:$AA$3,0))),AD277*(1+INDEX(Response_Table!$G$4:$G$21,MATCH($F277&amp;"|high",Response_Table!$A$4:$A$21,0))*$R277*INDEX(Parameters!$X$6:$AA$6,1,MATCH($E277,Parameters!$X$3:$AA$3,0))))*(1-Inputs_General!$C$22*Parameters!$F$6))</f>
        <v>6.7842800997251</v>
      </c>
      <c r="AG277" s="44" t="n">
        <f aca="false">MAX(AD277*(1+INDEX(Response_Table!$G$4:$G$21,MATCH($F277&amp;"|low",Response_Table!$A$4:$A$21,0))*$R277*INDEX(Parameters!$X$6:$AA$6,1,MATCH($E277,Parameters!$X$3:$AA$3,0))),AD277*(1+INDEX(Response_Table!$G$4:$G$21,MATCH($F277&amp;"|high",Response_Table!$A$4:$A$21,0))*$R277*INDEX(Parameters!$X$6:$AA$6,1,MATCH($E277,Parameters!$X$3:$AA$3,0))))*(1+Inputs_General!$C$22*Parameters!$F$6)</f>
        <v>13.2161660351021</v>
      </c>
      <c r="AH277" s="45" t="n">
        <f aca="false">IF(AD277=0,0,AE277/AD277-1)</f>
        <v>-0.51773227080891</v>
      </c>
      <c r="AI277" s="46" t="n">
        <f aca="false">Parameters!$E$7*IF($N277="V",Parameters!$I$7,IF($N277="F",Parameters!$J$7,Parameters!$K$7))*(1-Parameters!$L$7*$P277)*IF($D277="V1",Parameters!$M$7,IF($D277="V2",Parameters!$N$7,Parameters!$O$7))*POWER($Q277/Inputs_General!$C$26,-Inputs_General!$C$25)</f>
        <v>0.411663164578586</v>
      </c>
      <c r="AJ277" s="46" t="n">
        <f aca="false">AI277*(1+INDEX(Response_Table!$H$4:$H$21,MATCH($F277&amp;"|mid",Response_Table!$A$4:$A$21,0))*$R277*INDEX(Parameters!$X$7:$AA$7,1,MATCH($E277,Parameters!$X$3:$AA$3,0)))</f>
        <v>0.256960151262781</v>
      </c>
      <c r="AK277" s="46" t="n">
        <f aca="false">MAX(0,MIN(AI277*(1+INDEX(Response_Table!$H$4:$H$21,MATCH($F277&amp;"|low",Response_Table!$A$4:$A$21,0))*$R277*INDEX(Parameters!$X$7:$AA$7,1,MATCH($E277,Parameters!$X$3:$AA$3,0))),AI277*(1+INDEX(Response_Table!$H$4:$H$21,MATCH($F277&amp;"|high",Response_Table!$A$4:$A$21,0))*$R277*INDEX(Parameters!$X$7:$AA$7,1,MATCH($E277,Parameters!$X$3:$AA$3,0))))*(1-Inputs_General!$C$22*Parameters!$F$7))</f>
        <v>0.165394580293777</v>
      </c>
      <c r="AL277" s="46" t="n">
        <f aca="false">MAX(AI277*(1+INDEX(Response_Table!$H$4:$H$21,MATCH($F277&amp;"|low",Response_Table!$A$4:$A$21,0))*$R277*INDEX(Parameters!$X$7:$AA$7,1,MATCH($E277,Parameters!$X$3:$AA$3,0))),AI277*(1+INDEX(Response_Table!$H$4:$H$21,MATCH($F277&amp;"|high",Response_Table!$A$4:$A$21,0))*$R277*INDEX(Parameters!$X$7:$AA$7,1,MATCH($E277,Parameters!$X$3:$AA$3,0))))*(1+Inputs_General!$C$22*Parameters!$F$7)</f>
        <v>0.373900115776851</v>
      </c>
      <c r="AM277" s="45" t="n">
        <f aca="false">IF(AI277=0,0,AJ277/AI277-1)</f>
        <v>-0.375799990446492</v>
      </c>
      <c r="AN277" s="43" t="n">
        <f aca="false">AI277*$Q277/Inputs_General!$C$13*1000</f>
        <v>4.95374641196979</v>
      </c>
      <c r="AO277" s="43" t="n">
        <f aca="false">AJ277*$Q277/Inputs_General!$C$13*1000*(1+Inputs_General!$C$21*$I277)</f>
        <v>3.38588077065653</v>
      </c>
      <c r="AP277" s="43" t="n">
        <f aca="false">AK277*$Q277/Inputs_General!$C$13*1000*(1+Inputs_General!$C$21*$H277)</f>
        <v>2.11964262614464</v>
      </c>
      <c r="AQ277" s="43" t="n">
        <f aca="false">AL277*$Q277/Inputs_General!$C$13*1000*(1+Inputs_General!$C$21*$J277)</f>
        <v>5.06174059493113</v>
      </c>
      <c r="AR277" s="45" t="n">
        <f aca="false">IF(AN277=0,0,AO277/AN277-1)</f>
        <v>-0.316500989538909</v>
      </c>
      <c r="AS277" s="42" t="n">
        <f aca="false">Parameters!$E$9*IF($N277="V",Parameters!$I$9,IF($N277="F",Parameters!$J$9,Parameters!$K$9))*(1-Parameters!$L$9*$P277)*IF($D277="V1",Parameters!$M$9,IF($D277="V2",Parameters!$N$9,Parameters!$O$9))</f>
        <v>285</v>
      </c>
      <c r="AT277" s="42" t="n">
        <f aca="false">AS277*(1+INDEX(Response_Table!$I$4:$I$21,MATCH($F277&amp;"|mid",Response_Table!$A$4:$A$21,0))*$R277*INDEX(Parameters!$X$9:$AA$9,1,MATCH($E277,Parameters!$X$3:$AA$3,0)))</f>
        <v>341.780113615748</v>
      </c>
      <c r="AU277" s="42" t="n">
        <f aca="false">MAX(0,MIN(AS277*(1+INDEX(Response_Table!$I$4:$I$21,MATCH($F277&amp;"|low",Response_Table!$A$4:$A$21,0))*$R277*INDEX(Parameters!$X$9:$AA$9,1,MATCH($E277,Parameters!$X$3:$AA$3,0))),AS277*(1+INDEX(Response_Table!$I$4:$I$21,MATCH($F277&amp;"|high",Response_Table!$A$4:$A$21,0))*$R277*INDEX(Parameters!$X$9:$AA$9,1,MATCH($E277,Parameters!$X$3:$AA$3,0))))*(1-Inputs_General!$C$22*Parameters!$F$9))</f>
        <v>299.220496875066</v>
      </c>
      <c r="AV277" s="42" t="n">
        <f aca="false">MAX(AS277*(1+INDEX(Response_Table!$I$4:$I$21,MATCH($F277&amp;"|low",Response_Table!$A$4:$A$21,0))*$R277*INDEX(Parameters!$X$9:$AA$9,1,MATCH($E277,Parameters!$X$3:$AA$3,0))),AS277*(1+INDEX(Response_Table!$I$4:$I$21,MATCH($F277&amp;"|high",Response_Table!$A$4:$A$21,0))*$R277*INDEX(Parameters!$X$9:$AA$9,1,MATCH($E277,Parameters!$X$3:$AA$3,0))))*(1+Inputs_General!$C$22*Parameters!$F$9)</f>
        <v>382.171267759079</v>
      </c>
      <c r="AW277" s="45" t="n">
        <f aca="false">IF(AS277=0,0,AT277/AS277-1)</f>
        <v>0.199228468827185</v>
      </c>
      <c r="AX277" s="43" t="n">
        <f aca="false">INDEX(Context!$AB$4:$AB$51,$K277)</f>
        <v>1.40851696565548</v>
      </c>
      <c r="AY277" s="43" t="n">
        <f aca="false">AX277*(1+INDEX(Response_Table!$J$4:$J$21,MATCH($F277&amp;"|mid",Response_Table!$A$4:$A$21,0))*$R277*INDEX(Parameters!$X$10:$AA$10,1,MATCH($E277,Parameters!$X$3:$AA$3,0)))</f>
        <v>1.07811894580763</v>
      </c>
      <c r="AZ277" s="43" t="n">
        <f aca="false">MAX(0,MIN(AX277*(1+INDEX(Response_Table!$J$4:$J$21,MATCH($F277&amp;"|low",Response_Table!$A$4:$A$21,0))*$R277*INDEX(Parameters!$X$10:$AA$10,1,MATCH($E277,Parameters!$X$3:$AA$3,0))),AX277*(1+INDEX(Response_Table!$J$4:$J$21,MATCH($F277&amp;"|high",Response_Table!$A$4:$A$21,0))*$R277*INDEX(Parameters!$X$10:$AA$10,1,MATCH($E277,Parameters!$X$3:$AA$3,0))))*(1-Inputs_General!$C$22*Parameters!$F$10))</f>
        <v>0.821955423720011</v>
      </c>
      <c r="BA277" s="43" t="n">
        <f aca="false">MAX(AX277*(1+INDEX(Response_Table!$J$4:$J$21,MATCH($F277&amp;"|low",Response_Table!$A$4:$A$21,0))*$R277*INDEX(Parameters!$X$10:$AA$10,1,MATCH($E277,Parameters!$X$3:$AA$3,0))),AX277*(1+INDEX(Response_Table!$J$4:$J$21,MATCH($F277&amp;"|high",Response_Table!$A$4:$A$21,0))*$R277*INDEX(Parameters!$X$10:$AA$10,1,MATCH($E277,Parameters!$X$3:$AA$3,0))))*(1+Inputs_General!$C$22*Parameters!$F$10)</f>
        <v>1.37822587447403</v>
      </c>
      <c r="BB277" s="45" t="n">
        <f aca="false">IF(AX277=0,0,AY277/AX277-1)</f>
        <v>-0.234571558528653</v>
      </c>
      <c r="BC277" s="46" t="n">
        <f aca="false">Parameters!$E$11*IF($N277="V",Parameters!$I$11,IF($N277="F",Parameters!$J$11,Parameters!$K$11))*(1-Parameters!$L$11*$P277)*IF($D277="V1",Parameters!$M$11,IF($D277="V2",Parameters!$N$11,Parameters!$O$11))</f>
        <v>1.22142136160714</v>
      </c>
      <c r="BD277" s="46" t="n">
        <f aca="false">BC277*(1+INDEX(Response_Table!$K$4:$K$21,MATCH($F277&amp;"|mid",Response_Table!$A$4:$A$21,0))*$R277*INDEX(Parameters!$X$11:$AA$11,1,MATCH($E277,Parameters!$X$3:$AA$3,0)))</f>
        <v>0.746616321196824</v>
      </c>
      <c r="BE277" s="46" t="n">
        <f aca="false">MAX(0,MIN(BC277*(1+INDEX(Response_Table!$K$4:$K$21,MATCH($F277&amp;"|low",Response_Table!$A$4:$A$21,0))*$R277*INDEX(Parameters!$X$11:$AA$11,1,MATCH($E277,Parameters!$X$3:$AA$3,0))),BC277*(1+INDEX(Response_Table!$K$4:$K$21,MATCH($F277&amp;"|high",Response_Table!$A$4:$A$21,0))*$R277*INDEX(Parameters!$X$11:$AA$11,1,MATCH($E277,Parameters!$X$3:$AA$3,0))))*(1-Inputs_General!$C$22*Parameters!$F$11))</f>
        <v>0.570506935632823</v>
      </c>
      <c r="BF277" s="46" t="n">
        <f aca="false">MAX(BC277*(1+INDEX(Response_Table!$K$4:$K$21,MATCH($F277&amp;"|low",Response_Table!$A$4:$A$21,0))*$R277*INDEX(Parameters!$X$11:$AA$11,1,MATCH($E277,Parameters!$X$3:$AA$3,0))),BC277*(1+INDEX(Response_Table!$K$4:$K$21,MATCH($F277&amp;"|high",Response_Table!$A$4:$A$21,0))*$R277*INDEX(Parameters!$X$11:$AA$11,1,MATCH($E277,Parameters!$X$3:$AA$3,0))))*(1+Inputs_General!$C$22*Parameters!$F$11)</f>
        <v>0.978482276826436</v>
      </c>
      <c r="BG277" s="45" t="n">
        <f aca="false">IF(BC277=0,0,BD277/BC277-1)</f>
        <v>-0.388731567446611</v>
      </c>
      <c r="BH277" s="46" t="n">
        <f aca="false">Parameters!$E$12*IF($N277="V",Parameters!$I$12,IF($N277="F",Parameters!$J$12,Parameters!$K$12))*(1-Parameters!$L$12*$P277)*IF($D277="V1",Parameters!$M$12,IF($D277="V2",Parameters!$N$12,Parameters!$O$12))</f>
        <v>0.439711690178571</v>
      </c>
      <c r="BI277" s="46" t="n">
        <f aca="false">BH277*(1+INDEX(Response_Table!$L$4:$L$21,MATCH($F277&amp;"|mid",Response_Table!$A$4:$A$21,0))*$R277*INDEX(Parameters!$X$12:$AA$12,1,MATCH($E277,Parameters!$X$3:$AA$3,0)))</f>
        <v>0.299890141051533</v>
      </c>
      <c r="BJ277" s="46" t="n">
        <f aca="false">MAX(0,MIN(BH277*(1+INDEX(Response_Table!$L$4:$L$21,MATCH($F277&amp;"|low",Response_Table!$A$4:$A$21,0))*$R277*INDEX(Parameters!$X$12:$AA$12,1,MATCH($E277,Parameters!$X$3:$AA$3,0))),BH277*(1+INDEX(Response_Table!$L$4:$L$21,MATCH($F277&amp;"|high",Response_Table!$A$4:$A$21,0))*$R277*INDEX(Parameters!$X$12:$AA$12,1,MATCH($E277,Parameters!$X$3:$AA$3,0))))*(1-Inputs_General!$C$22*Parameters!$F$12))</f>
        <v>0.224739456632917</v>
      </c>
      <c r="BK277" s="46" t="n">
        <f aca="false">MAX(BH277*(1+INDEX(Response_Table!$L$4:$L$21,MATCH($F277&amp;"|low",Response_Table!$A$4:$A$21,0))*$R277*INDEX(Parameters!$X$12:$AA$12,1,MATCH($E277,Parameters!$X$3:$AA$3,0))),BH277*(1+INDEX(Response_Table!$L$4:$L$21,MATCH($F277&amp;"|high",Response_Table!$A$4:$A$21,0))*$R277*INDEX(Parameters!$X$12:$AA$12,1,MATCH($E277,Parameters!$X$3:$AA$3,0))))*(1+Inputs_General!$C$22*Parameters!$F$12)</f>
        <v>0.393200781542841</v>
      </c>
      <c r="BL277" s="45" t="n">
        <f aca="false">IF(BH277=0,0,BI277/BH277-1)</f>
        <v>-0.317984607300878</v>
      </c>
      <c r="BM277" s="46" t="n">
        <f aca="false">Parameters!$E$13*IF($N277="V",Parameters!$I$13,IF($N277="F",Parameters!$J$13,Parameters!$K$13))*(1-Parameters!$L$13*$P277)*IF($D277="V1",Parameters!$M$13,IF($D277="V2",Parameters!$N$13,Parameters!$O$13))</f>
        <v>0.293345563392857</v>
      </c>
      <c r="BN277" s="46" t="n">
        <f aca="false">BM277*(1+INDEX(Response_Table!$M$4:$M$21,MATCH($F277&amp;"|mid",Response_Table!$A$4:$A$21,0))*$R277*INDEX(Parameters!$X$13:$AA$13,1,MATCH($E277,Parameters!$X$3:$AA$3,0)))</f>
        <v>0.231267809778443</v>
      </c>
      <c r="BO277" s="46" t="n">
        <f aca="false">MAX(0,MIN(BM277*(1+INDEX(Response_Table!$M$4:$M$21,MATCH($F277&amp;"|low",Response_Table!$A$4:$A$21,0))*$R277*INDEX(Parameters!$X$13:$AA$13,1,MATCH($E277,Parameters!$X$3:$AA$3,0))),BM277*(1+INDEX(Response_Table!$M$4:$M$21,MATCH($F277&amp;"|high",Response_Table!$A$4:$A$21,0))*$R277*INDEX(Parameters!$X$13:$AA$13,1,MATCH($E277,Parameters!$X$3:$AA$3,0))))*(1-Inputs_General!$C$22*Parameters!$F$13))</f>
        <v>0.175083946814706</v>
      </c>
      <c r="BP277" s="46" t="n">
        <f aca="false">MAX(BM277*(1+INDEX(Response_Table!$M$4:$M$21,MATCH($F277&amp;"|low",Response_Table!$A$4:$A$21,0))*$R277*INDEX(Parameters!$X$13:$AA$13,1,MATCH($E277,Parameters!$X$3:$AA$3,0))),BM277*(1+INDEX(Response_Table!$M$4:$M$21,MATCH($F277&amp;"|high",Response_Table!$A$4:$A$21,0))*$R277*INDEX(Parameters!$X$13:$AA$13,1,MATCH($E277,Parameters!$X$3:$AA$3,0))))*(1+Inputs_General!$C$22*Parameters!$F$13)</f>
        <v>0.302244309165454</v>
      </c>
      <c r="BQ277" s="45" t="n">
        <f aca="false">IF(BM277=0,0,BN277/BM277-1)</f>
        <v>-0.211619882354511</v>
      </c>
      <c r="BR277" s="44" t="n">
        <f aca="false">Parameters!$E$14*IF($N277="V",Parameters!$I$14,IF($N277="F",Parameters!$J$14,Parameters!$K$14))*(1-Parameters!$L$14*$P277)*IF($D277="V1",Parameters!$M$14,IF($D277="V2",Parameters!$N$14,Parameters!$O$14))*INDEX(Context!$AC$4:$AC$51,$K277)</f>
        <v>18.975</v>
      </c>
      <c r="BS277" s="44" t="n">
        <f aca="false">BR277*(1+INDEX(Response_Table!$N$4:$N$21,MATCH($F277&amp;"|mid",Response_Table!$A$4:$A$21,0))*$R277*INDEX(Parameters!$X$14:$AA$14,1,MATCH($E277,Parameters!$X$3:$AA$3,0)))</f>
        <v>25.5572813711282</v>
      </c>
      <c r="BT277" s="44" t="n">
        <f aca="false">MAX(0,MIN(BR277*(1+INDEX(Response_Table!$N$4:$N$21,MATCH($F277&amp;"|low",Response_Table!$A$4:$A$21,0))*$R277*INDEX(Parameters!$X$14:$AA$14,1,MATCH($E277,Parameters!$X$3:$AA$3,0))),BR277*(1+INDEX(Response_Table!$N$4:$N$21,MATCH($F277&amp;"|high",Response_Table!$A$4:$A$21,0))*$R277*INDEX(Parameters!$X$14:$AA$14,1,MATCH($E277,Parameters!$X$3:$AA$3,0))))*(1-Inputs_General!$C$22*Parameters!$F$14))</f>
        <v>12.2654751263244</v>
      </c>
      <c r="BU277" s="44" t="n">
        <f aca="false">MAX(BR277*(1+INDEX(Response_Table!$N$4:$N$21,MATCH($F277&amp;"|low",Response_Table!$A$4:$A$21,0))*$R277*INDEX(Parameters!$X$14:$AA$14,1,MATCH($E277,Parameters!$X$3:$AA$3,0))),BR277*(1+INDEX(Response_Table!$N$4:$N$21,MATCH($F277&amp;"|high",Response_Table!$A$4:$A$21,0))*$R277*INDEX(Parameters!$X$14:$AA$14,1,MATCH($E277,Parameters!$X$3:$AA$3,0))))*(1+Inputs_General!$C$22*Parameters!$F$14)</f>
        <v>39.5672412227803</v>
      </c>
      <c r="BV277" s="45" t="n">
        <f aca="false">IF(BR277=0,0,BS277/BR277-1)</f>
        <v>0.346892298873685</v>
      </c>
      <c r="BW277" s="43" t="n">
        <f aca="false">Parameters!$E$15*IF($N277="V",Parameters!$I$15,IF($N277="F",Parameters!$J$15,Parameters!$K$15))*(1-Parameters!$L$15*$P277)*IF($D277="V1",Parameters!$M$15,IF($D277="V2",Parameters!$N$15,Parameters!$O$15))</f>
        <v>10.7849571428571</v>
      </c>
      <c r="BX277" s="43" t="n">
        <f aca="false">BW277*(1+INDEX(Response_Table!$O$4:$O$21,MATCH($F277&amp;"|mid",Response_Table!$A$4:$A$21,0))*$R277*INDEX(Parameters!$X$15:$AA$15,1,MATCH($E277,Parameters!$X$3:$AA$3,0)))</f>
        <v>9.84965249872217</v>
      </c>
      <c r="BY277" s="43" t="n">
        <f aca="false">MAX(0,MIN(BW277*(1+INDEX(Response_Table!$O$4:$O$21,MATCH($F277&amp;"|low",Response_Table!$A$4:$A$21,0))*$R277*INDEX(Parameters!$X$15:$AA$15,1,MATCH($E277,Parameters!$X$3:$AA$3,0))),BW277*(1+INDEX(Response_Table!$O$4:$O$21,MATCH($F277&amp;"|high",Response_Table!$A$4:$A$21,0))*$R277*INDEX(Parameters!$X$15:$AA$15,1,MATCH($E277,Parameters!$X$3:$AA$3,0))))*(1-Inputs_General!$C$22*Parameters!$F$15))</f>
        <v>7.79862131878438</v>
      </c>
      <c r="BZ277" s="43" t="n">
        <f aca="false">MAX(BW277*(1+INDEX(Response_Table!$O$4:$O$21,MATCH($F277&amp;"|low",Response_Table!$A$4:$A$21,0))*$R277*INDEX(Parameters!$X$15:$AA$15,1,MATCH($E277,Parameters!$X$3:$AA$3,0))),BW277*(1+INDEX(Response_Table!$O$4:$O$21,MATCH($F277&amp;"|high",Response_Table!$A$4:$A$21,0))*$R277*INDEX(Parameters!$X$15:$AA$15,1,MATCH($E277,Parameters!$X$3:$AA$3,0))))*(1+Inputs_General!$C$22*Parameters!$F$15)</f>
        <v>12.0221605994788</v>
      </c>
      <c r="CA277" s="45" t="n">
        <f aca="false">IF(BW277=0,0,BX277/BW277-1)</f>
        <v>-0.0867230747184213</v>
      </c>
      <c r="CB277" s="46" t="n">
        <f aca="false">BD277+BI277</f>
        <v>1.04650646224836</v>
      </c>
      <c r="CC277" s="43" t="n">
        <f aca="false">BD277/BI277</f>
        <v>2.48963276544835</v>
      </c>
      <c r="CD277" s="46" t="n">
        <f aca="false">BN277/CB277</f>
        <v>0.220990331279539</v>
      </c>
      <c r="CE277" s="43" t="n">
        <f aca="false">AE277/AO277</f>
        <v>2.77968675909221</v>
      </c>
      <c r="CF277" s="44" t="n">
        <f aca="false">AE277/AJ277</f>
        <v>36.6270330236302</v>
      </c>
      <c r="CG277" s="44" t="n">
        <f aca="false">INDEX(Context!$V$4:$V$51,$K277)</f>
        <v>25.5785714285714</v>
      </c>
      <c r="CH277" s="44" t="n">
        <f aca="false">INDEX(Context!$Y$4:$Y$51,$K277)</f>
        <v>23.620522619794</v>
      </c>
      <c r="CI277" s="44" t="n">
        <f aca="false">INDEX(Context!$Z$4:$Z$51,$K277)</f>
        <v>29.5785714285714</v>
      </c>
      <c r="CJ277" s="43" t="n">
        <f aca="false">INDEX(Context!$AA$4:$AA$51,$K277)</f>
        <v>0.121160714285714</v>
      </c>
      <c r="CK277" s="43" t="n">
        <f aca="false">MAX(0,MIN(1,1-(1-CJ277)*AO277/AN277))</f>
        <v>0.399314217859954</v>
      </c>
      <c r="CL277" s="44" t="n">
        <f aca="false">CH277+CK277*(CI277-CH277)</f>
        <v>25.9996562198424</v>
      </c>
      <c r="CM277" s="44" t="n">
        <f aca="false">CH277+MAX(0,MIN(1,1-(1-CJ277)*AQ277/AN277))*(CI277-CH277)</f>
        <v>24.2282529664339</v>
      </c>
      <c r="CN277" s="44" t="n">
        <f aca="false">CH277+MAX(0,MIN(1,1-(1-CJ277)*AP277/AN277))*(CI277-CH277)</f>
        <v>27.3380846112201</v>
      </c>
      <c r="CO277" s="44" t="n">
        <f aca="false">CL277-CG277</f>
        <v>0.42108479127096</v>
      </c>
      <c r="CP277" s="44" t="n">
        <f aca="false">CL277-(CH277+CJ277*(CI277-CH277))</f>
        <v>1.65725215062776</v>
      </c>
      <c r="CQ277" s="46" t="n">
        <f aca="false">CL277/CG277</f>
        <v>1.01646240457356</v>
      </c>
      <c r="CR277" s="43" t="n">
        <f aca="false">IF(CL277-CH277&lt;=0,"n/a",(CI277-CL277)/(CL277-CH277))</f>
        <v>1.50429349938829</v>
      </c>
      <c r="CS277" s="43" t="n">
        <f aca="false">IF(CI277-CL277&lt;=0,"n/a",(CL277-CH277)/(CI277-CL277))</f>
        <v>0.664763891093489</v>
      </c>
      <c r="CT277" s="43" t="n">
        <f aca="false">Inputs_General!$C$23+Inputs_General!$C$24*$I277</f>
        <v>1.36</v>
      </c>
      <c r="CU277" s="44" t="n">
        <f aca="false">3.29*CT277</f>
        <v>4.4744</v>
      </c>
    </row>
    <row r="278" customFormat="false" ht="15" hidden="false" customHeight="false" outlineLevel="0" collapsed="false">
      <c r="A278" s="9" t="str">
        <f aca="false">B278&amp;"|"&amp;E278&amp;"|"&amp;F278</f>
        <v>D4V3|24/02/2026|Very high</v>
      </c>
      <c r="B278" s="7" t="s">
        <v>354</v>
      </c>
      <c r="C278" s="9" t="s">
        <v>133</v>
      </c>
      <c r="D278" s="9" t="s">
        <v>150</v>
      </c>
      <c r="E278" s="9" t="s">
        <v>160</v>
      </c>
      <c r="F278" s="7" t="s">
        <v>285</v>
      </c>
      <c r="G278" s="9" t="s">
        <v>286</v>
      </c>
      <c r="H278" s="41" t="n">
        <f aca="false">INDEX(Severity_Classes!$C$4:$C$9,MATCH(F278,Severity_Classes!$A$4:$A$9,0))</f>
        <v>0.51</v>
      </c>
      <c r="I278" s="41" t="n">
        <f aca="false">INDEX(Severity_Classes!$D$4:$D$9,MATCH(F278,Severity_Classes!$A$4:$A$9,0))</f>
        <v>0.65</v>
      </c>
      <c r="J278" s="41" t="n">
        <f aca="false">INDEX(Severity_Classes!$E$4:$E$9,MATCH(F278,Severity_Classes!$A$4:$A$9,0))</f>
        <v>0.85</v>
      </c>
      <c r="K278" s="42" t="n">
        <f aca="false">MATCH(B278&amp;"|"&amp;E278,Context!$A$4:$A$51,0)</f>
        <v>46</v>
      </c>
      <c r="L278" s="42" t="n">
        <f aca="false">INDEX(Context!$H$4:$H$51,K278)</f>
        <v>46</v>
      </c>
      <c r="M278" s="42" t="n">
        <f aca="false">INDEX(Context!$I$4:$I$51,K278)</f>
        <v>19</v>
      </c>
      <c r="N278" s="9" t="str">
        <f aca="false">INDEX(Context!$L$4:$L$51,K278)</f>
        <v>V</v>
      </c>
      <c r="O278" s="9" t="str">
        <f aca="false">INDEX(Context!$M$4:$M$51,K278)</f>
        <v>3rd fully expanded leaf from top</v>
      </c>
      <c r="P278" s="43" t="n">
        <f aca="false">INDEX(Context!$R$4:$R$51,K278)</f>
        <v>0.0232142857142859</v>
      </c>
      <c r="Q278" s="43" t="n">
        <f aca="false">INDEX(Context!$U$4:$U$51,K278)</f>
        <v>1.19492600027053</v>
      </c>
      <c r="R278" s="43" t="n">
        <f aca="false">INDEX(Context!$AD$4:$AD$51,K278)</f>
        <v>0.85</v>
      </c>
      <c r="S278" s="9" t="str">
        <f aca="false">INDEX(Context!$AI$4:$AN$51,K278,MATCH(F278,Severity_Classes!$A$4:$A$9,0))</f>
        <v>Unlikely</v>
      </c>
      <c r="T278" s="44" t="n">
        <f aca="false">Parameters!$E$4*IF($N278="V",Parameters!$I$4,IF($N278="F",Parameters!$J$4,Parameters!$K$4))*(1-Parameters!$L$4*$P278)*IF($D278="V1",Parameters!$M$4,IF($D278="V2",Parameters!$N$4,Parameters!$O$4))</f>
        <v>85.9001785714286</v>
      </c>
      <c r="U278" s="44" t="n">
        <f aca="false">MIN(100,T278*(1+INDEX(Response_Table!$E$4:$E$21,MATCH($F278&amp;"|mid",Response_Table!$A$4:$A$21,0))*$R278*INDEX(Parameters!$X$4:$AA$4,1,MATCH($E278,Parameters!$X$3:$AA$3,0))))</f>
        <v>65.7471895363947</v>
      </c>
      <c r="V278" s="44" t="n">
        <f aca="false">MAX(0,MIN(T278*(1+INDEX(Response_Table!$E$4:$E$21,MATCH($F278&amp;"|low",Response_Table!$A$4:$A$21,0))*$R278*INDEX(Parameters!$X$4:$AA$4,1,MATCH($E278,Parameters!$X$3:$AA$3,0))),T278*(1+INDEX(Response_Table!$E$4:$E$21,MATCH($F278&amp;"|high",Response_Table!$A$4:$A$21,0))*$R278*INDEX(Parameters!$X$4:$AA$4,1,MATCH($E278,Parameters!$X$3:$AA$3,0))))*(1-Inputs_General!$C$22*Parameters!$F$4))</f>
        <v>60.1140415734596</v>
      </c>
      <c r="W278" s="44" t="n">
        <f aca="false">MIN(100,MAX(T278*(1+INDEX(Response_Table!$E$4:$E$21,MATCH($F278&amp;"|low",Response_Table!$A$4:$A$21,0))*$R278*INDEX(Parameters!$X$4:$AA$4,1,MATCH($E278,Parameters!$X$3:$AA$3,0))),T278*(1+INDEX(Response_Table!$E$4:$E$21,MATCH($F278&amp;"|high",Response_Table!$A$4:$A$21,0))*$R278*INDEX(Parameters!$X$4:$AA$4,1,MATCH($E278,Parameters!$X$3:$AA$3,0))))*(1+Inputs_General!$C$22*Parameters!$F$4))</f>
        <v>73.3402340954181</v>
      </c>
      <c r="X278" s="45" t="n">
        <f aca="false">IF(T278=0,0,U278/T278-1)</f>
        <v>-0.234609396280545</v>
      </c>
      <c r="Y278" s="44" t="n">
        <f aca="false">Parameters!$E$5*IF($N278="V",Parameters!$I$5,IF($N278="F",Parameters!$J$5,Parameters!$K$5))*(1-Parameters!$L$5*$P278)*IF($D278="V1",Parameters!$M$5,IF($D278="V2",Parameters!$N$5,Parameters!$O$5))</f>
        <v>71.7994285714286</v>
      </c>
      <c r="Z278" s="44" t="n">
        <f aca="false">MIN(100,Y278*(1+INDEX(Response_Table!$F$4:$F$21,MATCH($F278&amp;"|mid",Response_Table!$A$4:$A$21,0))*$R278*INDEX(Parameters!$X$5:$AA$5,1,MATCH($E278,Parameters!$X$3:$AA$3,0))))</f>
        <v>30.1721691365484</v>
      </c>
      <c r="AA278" s="44" t="n">
        <f aca="false">MAX(0,MIN(Y278*(1+INDEX(Response_Table!$F$4:$F$21,MATCH($F278&amp;"|low",Response_Table!$A$4:$A$21,0))*$R278*INDEX(Parameters!$X$5:$AA$5,1,MATCH($E278,Parameters!$X$3:$AA$3,0))),Y278*(1+INDEX(Response_Table!$F$4:$F$21,MATCH($F278&amp;"|high",Response_Table!$A$4:$A$21,0))*$R278*INDEX(Parameters!$X$5:$AA$5,1,MATCH($E278,Parameters!$X$3:$AA$3,0))))*(1-Inputs_General!$C$22*Parameters!$F$5))</f>
        <v>25.8640744103836</v>
      </c>
      <c r="AB278" s="44" t="n">
        <f aca="false">MIN(100,MAX(Y278*(1+INDEX(Response_Table!$F$4:$F$21,MATCH($F278&amp;"|low",Response_Table!$A$4:$A$21,0))*$R278*INDEX(Parameters!$X$5:$AA$5,1,MATCH($E278,Parameters!$X$3:$AA$3,0))),Y278*(1+INDEX(Response_Table!$F$4:$F$21,MATCH($F278&amp;"|high",Response_Table!$A$4:$A$21,0))*$R278*INDEX(Parameters!$X$5:$AA$5,1,MATCH($E278,Parameters!$X$3:$AA$3,0))))*(1+Inputs_General!$C$22*Parameters!$F$5))</f>
        <v>37.0322636547829</v>
      </c>
      <c r="AC278" s="45" t="n">
        <f aca="false">IF(Y278=0,0,Z278/Y278-1)</f>
        <v>-0.579771458674883</v>
      </c>
      <c r="AD278" s="44" t="n">
        <f aca="false">Parameters!$E$6*IF($N278="V",Parameters!$I$6,IF($N278="F",Parameters!$J$6,Parameters!$K$6))*(1-Parameters!$L$6*$P278)*IF($D278="V1",Parameters!$M$6,IF($D278="V2",Parameters!$N$6,Parameters!$O$6))</f>
        <v>19.5154835714286</v>
      </c>
      <c r="AE278" s="44" t="n">
        <f aca="false">AD278*(1+INDEX(Response_Table!$G$4:$G$21,MATCH($F278&amp;"|mid",Response_Table!$A$4:$A$21,0))*$R278*INDEX(Parameters!$X$6:$AA$6,1,MATCH($E278,Parameters!$X$3:$AA$3,0)))</f>
        <v>7.78685035784233</v>
      </c>
      <c r="AF278" s="44" t="n">
        <f aca="false">MAX(0,MIN(AD278*(1+INDEX(Response_Table!$G$4:$G$21,MATCH($F278&amp;"|low",Response_Table!$A$4:$A$21,0))*$R278*INDEX(Parameters!$X$6:$AA$6,1,MATCH($E278,Parameters!$X$3:$AA$3,0))),AD278*(1+INDEX(Response_Table!$G$4:$G$21,MATCH($F278&amp;"|high",Response_Table!$A$4:$A$21,0))*$R278*INDEX(Parameters!$X$6:$AA$6,1,MATCH($E278,Parameters!$X$3:$AA$3,0))))*(1-Inputs_General!$C$22*Parameters!$F$6))</f>
        <v>5.91507408371259</v>
      </c>
      <c r="AG278" s="44" t="n">
        <f aca="false">MAX(AD278*(1+INDEX(Response_Table!$G$4:$G$21,MATCH($F278&amp;"|low",Response_Table!$A$4:$A$21,0))*$R278*INDEX(Parameters!$X$6:$AA$6,1,MATCH($E278,Parameters!$X$3:$AA$3,0))),AD278*(1+INDEX(Response_Table!$G$4:$G$21,MATCH($F278&amp;"|high",Response_Table!$A$4:$A$21,0))*$R278*INDEX(Parameters!$X$6:$AA$6,1,MATCH($E278,Parameters!$X$3:$AA$3,0))))*(1+Inputs_General!$C$22*Parameters!$F$6)</f>
        <v>10.050423160938</v>
      </c>
      <c r="AH278" s="45" t="n">
        <f aca="false">IF(AD278=0,0,AE278/AD278-1)</f>
        <v>-0.600991165330765</v>
      </c>
      <c r="AI278" s="46" t="n">
        <f aca="false">Parameters!$E$7*IF($N278="V",Parameters!$I$7,IF($N278="F",Parameters!$J$7,Parameters!$K$7))*(1-Parameters!$L$7*$P278)*IF($D278="V1",Parameters!$M$7,IF($D278="V2",Parameters!$N$7,Parameters!$O$7))*POWER($Q278/Inputs_General!$C$26,-Inputs_General!$C$25)</f>
        <v>0.411663164578586</v>
      </c>
      <c r="AJ278" s="46" t="n">
        <f aca="false">AI278*(1+INDEX(Response_Table!$H$4:$H$21,MATCH($F278&amp;"|mid",Response_Table!$A$4:$A$21,0))*$R278*INDEX(Parameters!$X$7:$AA$7,1,MATCH($E278,Parameters!$X$3:$AA$3,0)))</f>
        <v>0.216578635636016</v>
      </c>
      <c r="AK278" s="46" t="n">
        <f aca="false">MAX(0,MIN(AI278*(1+INDEX(Response_Table!$H$4:$H$21,MATCH($F278&amp;"|low",Response_Table!$A$4:$A$21,0))*$R278*INDEX(Parameters!$X$7:$AA$7,1,MATCH($E278,Parameters!$X$3:$AA$3,0))),AI278*(1+INDEX(Response_Table!$H$4:$H$21,MATCH($F278&amp;"|high",Response_Table!$A$4:$A$21,0))*$R278*INDEX(Parameters!$X$7:$AA$7,1,MATCH($E278,Parameters!$X$3:$AA$3,0))))*(1-Inputs_General!$C$22*Parameters!$F$7))</f>
        <v>0.142172641274247</v>
      </c>
      <c r="AL278" s="46" t="n">
        <f aca="false">MAX(AI278*(1+INDEX(Response_Table!$H$4:$H$21,MATCH($F278&amp;"|low",Response_Table!$A$4:$A$21,0))*$R278*INDEX(Parameters!$X$7:$AA$7,1,MATCH($E278,Parameters!$X$3:$AA$3,0))),AI278*(1+INDEX(Response_Table!$H$4:$H$21,MATCH($F278&amp;"|high",Response_Table!$A$4:$A$21,0))*$R278*INDEX(Parameters!$X$7:$AA$7,1,MATCH($E278,Parameters!$X$3:$AA$3,0))))*(1+Inputs_General!$C$22*Parameters!$F$7)</f>
        <v>0.3025991481824</v>
      </c>
      <c r="AM278" s="45" t="n">
        <f aca="false">IF(AI278=0,0,AJ278/AI278-1)</f>
        <v>-0.473893575448451</v>
      </c>
      <c r="AN278" s="43" t="n">
        <f aca="false">AI278*$Q278/Inputs_General!$C$13*1000</f>
        <v>4.95374641196979</v>
      </c>
      <c r="AO278" s="43" t="n">
        <f aca="false">AJ278*$Q278/Inputs_General!$C$13*1000*(1+Inputs_General!$C$21*$I278)</f>
        <v>3.02970495753867</v>
      </c>
      <c r="AP278" s="43" t="n">
        <f aca="false">AK278*$Q278/Inputs_General!$C$13*1000*(1+Inputs_General!$C$21*$H278)</f>
        <v>1.92896498739087</v>
      </c>
      <c r="AQ278" s="43" t="n">
        <f aca="false">AL278*$Q278/Inputs_General!$C$13*1000*(1+Inputs_General!$C$21*$J278)</f>
        <v>4.41510677402038</v>
      </c>
      <c r="AR278" s="45" t="n">
        <f aca="false">IF(AN278=0,0,AO278/AN278-1)</f>
        <v>-0.388401281458825</v>
      </c>
      <c r="AS278" s="42" t="n">
        <f aca="false">Parameters!$E$9*IF($N278="V",Parameters!$I$9,IF($N278="F",Parameters!$J$9,Parameters!$K$9))*(1-Parameters!$L$9*$P278)*IF($D278="V1",Parameters!$M$9,IF($D278="V2",Parameters!$N$9,Parameters!$O$9))</f>
        <v>285</v>
      </c>
      <c r="AT278" s="42" t="n">
        <f aca="false">AS278*(1+INDEX(Response_Table!$I$4:$I$21,MATCH($F278&amp;"|mid",Response_Table!$A$4:$A$21,0))*$R278*INDEX(Parameters!$X$9:$AA$9,1,MATCH($E278,Parameters!$X$3:$AA$3,0)))</f>
        <v>352.277167703273</v>
      </c>
      <c r="AU278" s="42" t="n">
        <f aca="false">MAX(0,MIN(AS278*(1+INDEX(Response_Table!$I$4:$I$21,MATCH($F278&amp;"|low",Response_Table!$A$4:$A$21,0))*$R278*INDEX(Parameters!$X$9:$AA$9,1,MATCH($E278,Parameters!$X$3:$AA$3,0))),AS278*(1+INDEX(Response_Table!$I$4:$I$21,MATCH($F278&amp;"|high",Response_Table!$A$4:$A$21,0))*$R278*INDEX(Parameters!$X$9:$AA$9,1,MATCH($E278,Parameters!$X$3:$AA$3,0))))*(1-Inputs_General!$C$22*Parameters!$F$9))</f>
        <v>313.855339805687</v>
      </c>
      <c r="AV278" s="42" t="n">
        <f aca="false">MAX(AS278*(1+INDEX(Response_Table!$I$4:$I$21,MATCH($F278&amp;"|low",Response_Table!$A$4:$A$21,0))*$R278*INDEX(Parameters!$X$9:$AA$9,1,MATCH($E278,Parameters!$X$3:$AA$3,0))),AS278*(1+INDEX(Response_Table!$I$4:$I$21,MATCH($F278&amp;"|high",Response_Table!$A$4:$A$21,0))*$R278*INDEX(Parameters!$X$9:$AA$9,1,MATCH($E278,Parameters!$X$3:$AA$3,0))))*(1+Inputs_General!$C$22*Parameters!$F$9)</f>
        <v>390.312732889309</v>
      </c>
      <c r="AW278" s="45" t="n">
        <f aca="false">IF(AS278=0,0,AT278/AS278-1)</f>
        <v>0.236060237555345</v>
      </c>
      <c r="AX278" s="43" t="n">
        <f aca="false">INDEX(Context!$AB$4:$AB$51,$K278)</f>
        <v>1.40851696565548</v>
      </c>
      <c r="AY278" s="43" t="n">
        <f aca="false">AX278*(1+INDEX(Response_Table!$J$4:$J$21,MATCH($F278&amp;"|mid",Response_Table!$A$4:$A$21,0))*$R278*INDEX(Parameters!$X$10:$AA$10,1,MATCH($E278,Parameters!$X$3:$AA$3,0)))</f>
        <v>0.975846915279498</v>
      </c>
      <c r="AZ278" s="43" t="n">
        <f aca="false">MAX(0,MIN(AX278*(1+INDEX(Response_Table!$J$4:$J$21,MATCH($F278&amp;"|low",Response_Table!$A$4:$A$21,0))*$R278*INDEX(Parameters!$X$10:$AA$10,1,MATCH($E278,Parameters!$X$3:$AA$3,0))),AX278*(1+INDEX(Response_Table!$J$4:$J$21,MATCH($F278&amp;"|high",Response_Table!$A$4:$A$21,0))*$R278*INDEX(Parameters!$X$10:$AA$10,1,MATCH($E278,Parameters!$X$3:$AA$3,0))))*(1-Inputs_General!$C$22*Parameters!$F$10))</f>
        <v>0.749712401946794</v>
      </c>
      <c r="BA278" s="43" t="n">
        <f aca="false">MAX(AX278*(1+INDEX(Response_Table!$J$4:$J$21,MATCH($F278&amp;"|low",Response_Table!$A$4:$A$21,0))*$R278*INDEX(Parameters!$X$10:$AA$10,1,MATCH($E278,Parameters!$X$3:$AA$3,0))),AX278*(1+INDEX(Response_Table!$J$4:$J$21,MATCH($F278&amp;"|high",Response_Table!$A$4:$A$21,0))*$R278*INDEX(Parameters!$X$10:$AA$10,1,MATCH($E278,Parameters!$X$3:$AA$3,0))))*(1+Inputs_General!$C$22*Parameters!$F$10)</f>
        <v>1.22171299510726</v>
      </c>
      <c r="BB278" s="45" t="n">
        <f aca="false">IF(AX278=0,0,AY278/AX278-1)</f>
        <v>-0.307181284234396</v>
      </c>
      <c r="BC278" s="46" t="n">
        <f aca="false">Parameters!$E$11*IF($N278="V",Parameters!$I$11,IF($N278="F",Parameters!$J$11,Parameters!$K$11))*(1-Parameters!$L$11*$P278)*IF($D278="V1",Parameters!$M$11,IF($D278="V2",Parameters!$N$11,Parameters!$O$11))</f>
        <v>1.22142136160714</v>
      </c>
      <c r="BD278" s="46" t="n">
        <f aca="false">BC278*(1+INDEX(Response_Table!$K$4:$K$21,MATCH($F278&amp;"|mid",Response_Table!$A$4:$A$21,0))*$R278*INDEX(Parameters!$X$11:$AA$11,1,MATCH($E278,Parameters!$X$3:$AA$3,0)))</f>
        <v>0.630893376833124</v>
      </c>
      <c r="BE278" s="46" t="n">
        <f aca="false">MAX(0,MIN(BC278*(1+INDEX(Response_Table!$K$4:$K$21,MATCH($F278&amp;"|low",Response_Table!$A$4:$A$21,0))*$R278*INDEX(Parameters!$X$11:$AA$11,1,MATCH($E278,Parameters!$X$3:$AA$3,0))),BC278*(1+INDEX(Response_Table!$K$4:$K$21,MATCH($F278&amp;"|high",Response_Table!$A$4:$A$21,0))*$R278*INDEX(Parameters!$X$11:$AA$11,1,MATCH($E278,Parameters!$X$3:$AA$3,0))))*(1-Inputs_General!$C$22*Parameters!$F$11))</f>
        <v>0.493814479062863</v>
      </c>
      <c r="BF278" s="46" t="n">
        <f aca="false">MAX(BC278*(1+INDEX(Response_Table!$K$4:$K$21,MATCH($F278&amp;"|low",Response_Table!$A$4:$A$21,0))*$R278*INDEX(Parameters!$X$11:$AA$11,1,MATCH($E278,Parameters!$X$3:$AA$3,0))),BC278*(1+INDEX(Response_Table!$K$4:$K$21,MATCH($F278&amp;"|high",Response_Table!$A$4:$A$21,0))*$R278*INDEX(Parameters!$X$11:$AA$11,1,MATCH($E278,Parameters!$X$3:$AA$3,0))))*(1+Inputs_General!$C$22*Parameters!$F$11)</f>
        <v>0.790162248177053</v>
      </c>
      <c r="BG278" s="45" t="n">
        <f aca="false">IF(BC278=0,0,BD278/BC278-1)</f>
        <v>-0.483476057760283</v>
      </c>
      <c r="BH278" s="46" t="n">
        <f aca="false">Parameters!$E$12*IF($N278="V",Parameters!$I$12,IF($N278="F",Parameters!$J$12,Parameters!$K$12))*(1-Parameters!$L$12*$P278)*IF($D278="V1",Parameters!$M$12,IF($D278="V2",Parameters!$N$12,Parameters!$O$12))</f>
        <v>0.439711690178571</v>
      </c>
      <c r="BI278" s="46" t="n">
        <f aca="false">BH278*(1+INDEX(Response_Table!$L$4:$L$21,MATCH($F278&amp;"|mid",Response_Table!$A$4:$A$21,0))*$R278*INDEX(Parameters!$X$12:$AA$12,1,MATCH($E278,Parameters!$X$3:$AA$3,0)))</f>
        <v>0.263393075157244</v>
      </c>
      <c r="BJ278" s="46" t="n">
        <f aca="false">MAX(0,MIN(BH278*(1+INDEX(Response_Table!$L$4:$L$21,MATCH($F278&amp;"|low",Response_Table!$A$4:$A$21,0))*$R278*INDEX(Parameters!$X$12:$AA$12,1,MATCH($E278,Parameters!$X$3:$AA$3,0))),BH278*(1+INDEX(Response_Table!$L$4:$L$21,MATCH($F278&amp;"|high",Response_Table!$A$4:$A$21,0))*$R278*INDEX(Parameters!$X$12:$AA$12,1,MATCH($E278,Parameters!$X$3:$AA$3,0))))*(1-Inputs_General!$C$22*Parameters!$F$12))</f>
        <v>0.200808392701917</v>
      </c>
      <c r="BK278" s="46" t="n">
        <f aca="false">MAX(BH278*(1+INDEX(Response_Table!$L$4:$L$21,MATCH($F278&amp;"|low",Response_Table!$A$4:$A$21,0))*$R278*INDEX(Parameters!$X$12:$AA$12,1,MATCH($E278,Parameters!$X$3:$AA$3,0))),BH278*(1+INDEX(Response_Table!$L$4:$L$21,MATCH($F278&amp;"|high",Response_Table!$A$4:$A$21,0))*$R278*INDEX(Parameters!$X$12:$AA$12,1,MATCH($E278,Parameters!$X$3:$AA$3,0))))*(1+Inputs_General!$C$22*Parameters!$F$12)</f>
        <v>0.333665898715908</v>
      </c>
      <c r="BL278" s="45" t="n">
        <f aca="false">IF(BH278=0,0,BI278/BH278-1)</f>
        <v>-0.400986871533305</v>
      </c>
      <c r="BM278" s="46" t="n">
        <f aca="false">Parameters!$E$13*IF($N278="V",Parameters!$I$13,IF($N278="F",Parameters!$J$13,Parameters!$K$13))*(1-Parameters!$L$13*$P278)*IF($D278="V1",Parameters!$M$13,IF($D278="V2",Parameters!$N$13,Parameters!$O$13))</f>
        <v>0.293345563392857</v>
      </c>
      <c r="BN278" s="46" t="n">
        <f aca="false">BM278*(1+INDEX(Response_Table!$M$4:$M$21,MATCH($F278&amp;"|mid",Response_Table!$A$4:$A$21,0))*$R278*INDEX(Parameters!$X$13:$AA$13,1,MATCH($E278,Parameters!$X$3:$AA$3,0)))</f>
        <v>0.208460487891654</v>
      </c>
      <c r="BO278" s="46" t="n">
        <f aca="false">MAX(0,MIN(BM278*(1+INDEX(Response_Table!$M$4:$M$21,MATCH($F278&amp;"|low",Response_Table!$A$4:$A$21,0))*$R278*INDEX(Parameters!$X$13:$AA$13,1,MATCH($E278,Parameters!$X$3:$AA$3,0))),BM278*(1+INDEX(Response_Table!$M$4:$M$21,MATCH($F278&amp;"|high",Response_Table!$A$4:$A$21,0))*$R278*INDEX(Parameters!$X$13:$AA$13,1,MATCH($E278,Parameters!$X$3:$AA$3,0))))*(1-Inputs_General!$C$22*Parameters!$F$13))</f>
        <v>0.161734304299569</v>
      </c>
      <c r="BP278" s="46" t="n">
        <f aca="false">MAX(BM278*(1+INDEX(Response_Table!$M$4:$M$21,MATCH($F278&amp;"|low",Response_Table!$A$4:$A$21,0))*$R278*INDEX(Parameters!$X$13:$AA$13,1,MATCH($E278,Parameters!$X$3:$AA$3,0))),BM278*(1+INDEX(Response_Table!$M$4:$M$21,MATCH($F278&amp;"|high",Response_Table!$A$4:$A$21,0))*$R278*INDEX(Parameters!$X$13:$AA$13,1,MATCH($E278,Parameters!$X$3:$AA$3,0))))*(1+Inputs_General!$C$22*Parameters!$F$13)</f>
        <v>0.260209706586625</v>
      </c>
      <c r="BQ278" s="45" t="n">
        <f aca="false">IF(BM278=0,0,BN278/BM278-1)</f>
        <v>-0.289368874440834</v>
      </c>
      <c r="BR278" s="44" t="n">
        <f aca="false">Parameters!$E$14*IF($N278="V",Parameters!$I$14,IF($N278="F",Parameters!$J$14,Parameters!$K$14))*(1-Parameters!$L$14*$P278)*IF($D278="V1",Parameters!$M$14,IF($D278="V2",Parameters!$N$14,Parameters!$O$14))*INDEX(Context!$AC$4:$AC$51,$K278)</f>
        <v>18.975</v>
      </c>
      <c r="BS278" s="44" t="n">
        <f aca="false">BR278*(1+INDEX(Response_Table!$N$4:$N$21,MATCH($F278&amp;"|mid",Response_Table!$A$4:$A$21,0))*$R278*INDEX(Parameters!$X$14:$AA$14,1,MATCH($E278,Parameters!$X$3:$AA$3,0)))</f>
        <v>27.2754282407394</v>
      </c>
      <c r="BT278" s="44" t="n">
        <f aca="false">MAX(0,MIN(BR278*(1+INDEX(Response_Table!$N$4:$N$21,MATCH($F278&amp;"|low",Response_Table!$A$4:$A$21,0))*$R278*INDEX(Parameters!$X$14:$AA$14,1,MATCH($E278,Parameters!$X$3:$AA$3,0))),BR278*(1+INDEX(Response_Table!$N$4:$N$21,MATCH($F278&amp;"|high",Response_Table!$A$4:$A$21,0))*$R278*INDEX(Parameters!$X$14:$AA$14,1,MATCH($E278,Parameters!$X$3:$AA$3,0))))*(1-Inputs_General!$C$22*Parameters!$F$14))</f>
        <v>13.4510091781206</v>
      </c>
      <c r="BU278" s="44" t="n">
        <f aca="false">MAX(BR278*(1+INDEX(Response_Table!$N$4:$N$21,MATCH($F278&amp;"|low",Response_Table!$A$4:$A$21,0))*$R278*INDEX(Parameters!$X$14:$AA$14,1,MATCH($E278,Parameters!$X$3:$AA$3,0))),BR278*(1+INDEX(Response_Table!$N$4:$N$21,MATCH($F278&amp;"|high",Response_Table!$A$4:$A$21,0))*$R278*INDEX(Parameters!$X$14:$AA$14,1,MATCH($E278,Parameters!$X$3:$AA$3,0))))*(1+Inputs_General!$C$22*Parameters!$F$14)</f>
        <v>41.6636231742505</v>
      </c>
      <c r="BV278" s="45" t="n">
        <f aca="false">IF(BR278=0,0,BS278/BR278-1)</f>
        <v>0.437440223490878</v>
      </c>
      <c r="BW278" s="43" t="n">
        <f aca="false">Parameters!$E$15*IF($N278="V",Parameters!$I$15,IF($N278="F",Parameters!$J$15,Parameters!$K$15))*(1-Parameters!$L$15*$P278)*IF($D278="V1",Parameters!$M$15,IF($D278="V2",Parameters!$N$15,Parameters!$O$15))</f>
        <v>10.7849571428571</v>
      </c>
      <c r="BX278" s="43" t="n">
        <f aca="false">BW278*(1+INDEX(Response_Table!$O$4:$O$21,MATCH($F278&amp;"|mid",Response_Table!$A$4:$A$21,0))*$R278*INDEX(Parameters!$X$15:$AA$15,1,MATCH($E278,Parameters!$X$3:$AA$3,0)))</f>
        <v>9.6055136271294</v>
      </c>
      <c r="BY278" s="43" t="n">
        <f aca="false">MAX(0,MIN(BW278*(1+INDEX(Response_Table!$O$4:$O$21,MATCH($F278&amp;"|low",Response_Table!$A$4:$A$21,0))*$R278*INDEX(Parameters!$X$15:$AA$15,1,MATCH($E278,Parameters!$X$3:$AA$3,0))),BW278*(1+INDEX(Response_Table!$O$4:$O$21,MATCH($F278&amp;"|high",Response_Table!$A$4:$A$21,0))*$R278*INDEX(Parameters!$X$15:$AA$15,1,MATCH($E278,Parameters!$X$3:$AA$3,0))))*(1-Inputs_General!$C$22*Parameters!$F$15))</f>
        <v>7.63853987659254</v>
      </c>
      <c r="BZ278" s="43" t="n">
        <f aca="false">MAX(BW278*(1+INDEX(Response_Table!$O$4:$O$21,MATCH($F278&amp;"|low",Response_Table!$A$4:$A$21,0))*$R278*INDEX(Parameters!$X$15:$AA$15,1,MATCH($E278,Parameters!$X$3:$AA$3,0))),BW278*(1+INDEX(Response_Table!$O$4:$O$21,MATCH($F278&amp;"|high",Response_Table!$A$4:$A$21,0))*$R278*INDEX(Parameters!$X$15:$AA$15,1,MATCH($E278,Parameters!$X$3:$AA$3,0))))*(1+Inputs_General!$C$22*Parameters!$F$15)</f>
        <v>11.6239154595579</v>
      </c>
      <c r="CA278" s="45" t="n">
        <f aca="false">IF(BW278=0,0,BX278/BW278-1)</f>
        <v>-0.109360055872719</v>
      </c>
      <c r="CB278" s="46" t="n">
        <f aca="false">BD278+BI278</f>
        <v>0.894286451990368</v>
      </c>
      <c r="CC278" s="43" t="n">
        <f aca="false">BD278/BI278</f>
        <v>2.3952542277601</v>
      </c>
      <c r="CD278" s="46" t="n">
        <f aca="false">BN278/CB278</f>
        <v>0.233102589698965</v>
      </c>
      <c r="CE278" s="43" t="n">
        <f aca="false">AE278/AO278</f>
        <v>2.57016787673225</v>
      </c>
      <c r="CF278" s="44" t="n">
        <f aca="false">AE278/AJ278</f>
        <v>35.9539173149515</v>
      </c>
      <c r="CG278" s="44" t="n">
        <f aca="false">INDEX(Context!$V$4:$V$51,$K278)</f>
        <v>25.5785714285714</v>
      </c>
      <c r="CH278" s="44" t="n">
        <f aca="false">INDEX(Context!$Y$4:$Y$51,$K278)</f>
        <v>23.620522619794</v>
      </c>
      <c r="CI278" s="44" t="n">
        <f aca="false">INDEX(Context!$Z$4:$Z$51,$K278)</f>
        <v>29.5785714285714</v>
      </c>
      <c r="CJ278" s="43" t="n">
        <f aca="false">INDEX(Context!$AA$4:$AA$51,$K278)</f>
        <v>0.121160714285714</v>
      </c>
      <c r="CK278" s="43" t="n">
        <f aca="false">MAX(0,MIN(1,1-(1-CJ278)*AO278/AN278))</f>
        <v>0.462503019053501</v>
      </c>
      <c r="CL278" s="44" t="n">
        <f aca="false">CH278+CK278*(CI278-CH278)</f>
        <v>26.3761381815217</v>
      </c>
      <c r="CM278" s="44" t="n">
        <f aca="false">CH278+MAX(0,MIN(1,1-(1-CJ278)*AQ278/AN278))*(CI278-CH278)</f>
        <v>24.911752408054</v>
      </c>
      <c r="CN278" s="44" t="n">
        <f aca="false">CH278+MAX(0,MIN(1,1-(1-CJ278)*AP278/AN278))*(CI278-CH278)</f>
        <v>27.5396330848741</v>
      </c>
      <c r="CO278" s="44" t="n">
        <f aca="false">CL278-CG278</f>
        <v>0.79756675295025</v>
      </c>
      <c r="CP278" s="44" t="n">
        <f aca="false">CL278-(CH278+CJ278*(CI278-CH278))</f>
        <v>2.03373411230705</v>
      </c>
      <c r="CQ278" s="46" t="n">
        <f aca="false">CL278/CG278</f>
        <v>1.03118105149764</v>
      </c>
      <c r="CR278" s="43" t="n">
        <f aca="false">IF(CL278-CH278&lt;=0,"n/a",(CI278-CL278)/(CL278-CH278))</f>
        <v>1.16214804834457</v>
      </c>
      <c r="CS278" s="43" t="n">
        <f aca="false">IF(CI278-CL278&lt;=0,"n/a",(CL278-CH278)/(CI278-CL278))</f>
        <v>0.860475566279575</v>
      </c>
      <c r="CT278" s="43" t="n">
        <f aca="false">Inputs_General!$C$23+Inputs_General!$C$24*$I278</f>
        <v>1.9</v>
      </c>
      <c r="CU278" s="44" t="n">
        <f aca="false">3.29*CT278</f>
        <v>6.251</v>
      </c>
    </row>
    <row r="279" customFormat="false" ht="15" hidden="false" customHeight="false" outlineLevel="0" collapsed="false">
      <c r="A279" s="33" t="str">
        <f aca="false">B279&amp;"|"&amp;E279&amp;"|"&amp;F279</f>
        <v>D4V3|03/03/2026|Healthy</v>
      </c>
      <c r="B279" s="34" t="s">
        <v>354</v>
      </c>
      <c r="C279" s="33" t="s">
        <v>133</v>
      </c>
      <c r="D279" s="33" t="s">
        <v>150</v>
      </c>
      <c r="E279" s="33" t="s">
        <v>162</v>
      </c>
      <c r="F279" s="34" t="s">
        <v>275</v>
      </c>
      <c r="G279" s="33" t="s">
        <v>276</v>
      </c>
      <c r="H279" s="35" t="n">
        <f aca="false">INDEX(Severity_Classes!$C$4:$C$9,MATCH(F279,Severity_Classes!$A$4:$A$9,0))</f>
        <v>0</v>
      </c>
      <c r="I279" s="35" t="n">
        <f aca="false">INDEX(Severity_Classes!$D$4:$D$9,MATCH(F279,Severity_Classes!$A$4:$A$9,0))</f>
        <v>0</v>
      </c>
      <c r="J279" s="35" t="n">
        <f aca="false">INDEX(Severity_Classes!$E$4:$E$9,MATCH(F279,Severity_Classes!$A$4:$A$9,0))</f>
        <v>0</v>
      </c>
      <c r="K279" s="36" t="n">
        <f aca="false">MATCH(B279&amp;"|"&amp;E279,Context!$A$4:$A$51,0)</f>
        <v>47</v>
      </c>
      <c r="L279" s="36" t="n">
        <f aca="false">INDEX(Context!$H$4:$H$51,K279)</f>
        <v>53</v>
      </c>
      <c r="M279" s="36" t="n">
        <f aca="false">INDEX(Context!$I$4:$I$51,K279)</f>
        <v>26</v>
      </c>
      <c r="N279" s="33" t="str">
        <f aca="false">INDEX(Context!$L$4:$L$51,K279)</f>
        <v>F</v>
      </c>
      <c r="O279" s="33" t="str">
        <f aca="false">INDEX(Context!$M$4:$M$51,K279)</f>
        <v>5th fully expanded leaf from top</v>
      </c>
      <c r="P279" s="37" t="n">
        <f aca="false">INDEX(Context!$R$4:$R$51,K279)</f>
        <v>0.433928571428571</v>
      </c>
      <c r="Q279" s="37" t="n">
        <f aca="false">INDEX(Context!$U$4:$U$51,K279)</f>
        <v>1.73951545534029</v>
      </c>
      <c r="R279" s="37" t="n">
        <f aca="false">INDEX(Context!$AD$4:$AD$51,K279)</f>
        <v>0.85</v>
      </c>
      <c r="S279" s="33" t="str">
        <f aca="false">INDEX(Context!$AI$4:$AN$51,K279,MATCH(F279,Severity_Classes!$A$4:$A$9,0))</f>
        <v>Reference: healthy (uninoculated) control plot</v>
      </c>
      <c r="T279" s="38" t="n">
        <f aca="false">Parameters!$E$4*IF($N279="V",Parameters!$I$4,IF($N279="F",Parameters!$J$4,Parameters!$K$4))*(1-Parameters!$L$4*$P279)*IF($D279="V1",Parameters!$M$4,IF($D279="V2",Parameters!$N$4,Parameters!$O$4))</f>
        <v>83.2927660714286</v>
      </c>
      <c r="U279" s="38" t="n">
        <f aca="false">MIN(100,T279*(1+INDEX(Response_Table!$E$4:$E$21,MATCH($F279&amp;"|mid",Response_Table!$A$4:$A$21,0))*$R279*INDEX(Parameters!$X$4:$AA$4,1,MATCH($E279,Parameters!$X$3:$AA$3,0))))</f>
        <v>83.2927660714286</v>
      </c>
      <c r="V279" s="38" t="n">
        <f aca="false">MAX(0,MIN(T279*(1+INDEX(Response_Table!$E$4:$E$21,MATCH($F279&amp;"|low",Response_Table!$A$4:$A$21,0))*$R279*INDEX(Parameters!$X$4:$AA$4,1,MATCH($E279,Parameters!$X$3:$AA$3,0))),T279*(1+INDEX(Response_Table!$E$4:$E$21,MATCH($F279&amp;"|high",Response_Table!$A$4:$A$21,0))*$R279*INDEX(Parameters!$X$4:$AA$4,1,MATCH($E279,Parameters!$X$3:$AA$3,0))))*(1-Inputs_General!$C$22*Parameters!$F$4))</f>
        <v>77.8121020639286</v>
      </c>
      <c r="W279" s="38" t="n">
        <f aca="false">MIN(100,MAX(T279*(1+INDEX(Response_Table!$E$4:$E$21,MATCH($F279&amp;"|low",Response_Table!$A$4:$A$21,0))*$R279*INDEX(Parameters!$X$4:$AA$4,1,MATCH($E279,Parameters!$X$3:$AA$3,0))),T279*(1+INDEX(Response_Table!$E$4:$E$21,MATCH($F279&amp;"|high",Response_Table!$A$4:$A$21,0))*$R279*INDEX(Parameters!$X$4:$AA$4,1,MATCH($E279,Parameters!$X$3:$AA$3,0))))*(1+Inputs_General!$C$22*Parameters!$F$4))</f>
        <v>88.7734300789286</v>
      </c>
      <c r="X279" s="39" t="n">
        <f aca="false">IF(T279=0,0,U279/T279-1)</f>
        <v>0</v>
      </c>
      <c r="Y279" s="38" t="n">
        <f aca="false">Parameters!$E$5*IF($N279="V",Parameters!$I$5,IF($N279="F",Parameters!$J$5,Parameters!$K$5))*(1-Parameters!$L$5*$P279)*IF($D279="V1",Parameters!$M$5,IF($D279="V2",Parameters!$N$5,Parameters!$O$5))</f>
        <v>66.88584</v>
      </c>
      <c r="Z279" s="38" t="n">
        <f aca="false">MIN(100,Y279*(1+INDEX(Response_Table!$F$4:$F$21,MATCH($F279&amp;"|mid",Response_Table!$A$4:$A$21,0))*$R279*INDEX(Parameters!$X$5:$AA$5,1,MATCH($E279,Parameters!$X$3:$AA$3,0))))</f>
        <v>66.88584</v>
      </c>
      <c r="AA279" s="38" t="n">
        <f aca="false">MAX(0,MIN(Y279*(1+INDEX(Response_Table!$F$4:$F$21,MATCH($F279&amp;"|low",Response_Table!$A$4:$A$21,0))*$R279*INDEX(Parameters!$X$5:$AA$5,1,MATCH($E279,Parameters!$X$3:$AA$3,0))),Y279*(1+INDEX(Response_Table!$F$4:$F$21,MATCH($F279&amp;"|high",Response_Table!$A$4:$A$21,0))*$R279*INDEX(Parameters!$X$5:$AA$5,1,MATCH($E279,Parameters!$X$3:$AA$3,0))))*(1-Inputs_General!$C$22*Parameters!$F$5))</f>
        <v>59.183935524</v>
      </c>
      <c r="AB279" s="38" t="n">
        <f aca="false">MIN(100,MAX(Y279*(1+INDEX(Response_Table!$F$4:$F$21,MATCH($F279&amp;"|low",Response_Table!$A$4:$A$21,0))*$R279*INDEX(Parameters!$X$5:$AA$5,1,MATCH($E279,Parameters!$X$3:$AA$3,0))),Y279*(1+INDEX(Response_Table!$F$4:$F$21,MATCH($F279&amp;"|high",Response_Table!$A$4:$A$21,0))*$R279*INDEX(Parameters!$X$5:$AA$5,1,MATCH($E279,Parameters!$X$3:$AA$3,0))))*(1+Inputs_General!$C$22*Parameters!$F$5))</f>
        <v>74.587744476</v>
      </c>
      <c r="AC279" s="39" t="n">
        <f aca="false">IF(Y279=0,0,Z279/Y279-1)</f>
        <v>0</v>
      </c>
      <c r="AD279" s="38" t="n">
        <f aca="false">Parameters!$E$6*IF($N279="V",Parameters!$I$6,IF($N279="F",Parameters!$J$6,Parameters!$K$6))*(1-Parameters!$L$6*$P279)*IF($D279="V1",Parameters!$M$6,IF($D279="V2",Parameters!$N$6,Parameters!$O$6))</f>
        <v>18.5509621428571</v>
      </c>
      <c r="AE279" s="38" t="n">
        <f aca="false">AD279*(1+INDEX(Response_Table!$G$4:$G$21,MATCH($F279&amp;"|mid",Response_Table!$A$4:$A$21,0))*$R279*INDEX(Parameters!$X$6:$AA$6,1,MATCH($E279,Parameters!$X$3:$AA$3,0)))</f>
        <v>18.5509621428571</v>
      </c>
      <c r="AF279" s="38" t="n">
        <f aca="false">MAX(0,MIN(AD279*(1+INDEX(Response_Table!$G$4:$G$21,MATCH($F279&amp;"|low",Response_Table!$A$4:$A$21,0))*$R279*INDEX(Parameters!$X$6:$AA$6,1,MATCH($E279,Parameters!$X$3:$AA$3,0))),AD279*(1+INDEX(Response_Table!$G$4:$G$21,MATCH($F279&amp;"|high",Response_Table!$A$4:$A$21,0))*$R279*INDEX(Parameters!$X$6:$AA$6,1,MATCH($E279,Parameters!$X$3:$AA$3,0))))*(1-Inputs_General!$C$22*Parameters!$F$6))</f>
        <v>14.8890022158571</v>
      </c>
      <c r="AG279" s="38" t="n">
        <f aca="false">MAX(AD279*(1+INDEX(Response_Table!$G$4:$G$21,MATCH($F279&amp;"|low",Response_Table!$A$4:$A$21,0))*$R279*INDEX(Parameters!$X$6:$AA$6,1,MATCH($E279,Parameters!$X$3:$AA$3,0))),AD279*(1+INDEX(Response_Table!$G$4:$G$21,MATCH($F279&amp;"|high",Response_Table!$A$4:$A$21,0))*$R279*INDEX(Parameters!$X$6:$AA$6,1,MATCH($E279,Parameters!$X$3:$AA$3,0))))*(1+Inputs_General!$C$22*Parameters!$F$6)</f>
        <v>22.2129220698571</v>
      </c>
      <c r="AH279" s="39" t="n">
        <f aca="false">IF(AD279=0,0,AE279/AD279-1)</f>
        <v>0</v>
      </c>
      <c r="AI279" s="40" t="n">
        <f aca="false">Parameters!$E$7*IF($N279="V",Parameters!$I$7,IF($N279="F",Parameters!$J$7,Parameters!$K$7))*(1-Parameters!$L$7*$P279)*IF($D279="V1",Parameters!$M$7,IF($D279="V2",Parameters!$N$7,Parameters!$O$7))*POWER($Q279/Inputs_General!$C$26,-Inputs_General!$C$25)</f>
        <v>0.341191629407368</v>
      </c>
      <c r="AJ279" s="40" t="n">
        <f aca="false">AI279*(1+INDEX(Response_Table!$H$4:$H$21,MATCH($F279&amp;"|mid",Response_Table!$A$4:$A$21,0))*$R279*INDEX(Parameters!$X$7:$AA$7,1,MATCH($E279,Parameters!$X$3:$AA$3,0)))</f>
        <v>0.341191629407368</v>
      </c>
      <c r="AK279" s="40" t="n">
        <f aca="false">MAX(0,MIN(AI279*(1+INDEX(Response_Table!$H$4:$H$21,MATCH($F279&amp;"|low",Response_Table!$A$4:$A$21,0))*$R279*INDEX(Parameters!$X$7:$AA$7,1,MATCH($E279,Parameters!$X$3:$AA$3,0))),AI279*(1+INDEX(Response_Table!$H$4:$H$21,MATCH($F279&amp;"|high",Response_Table!$A$4:$A$21,0))*$R279*INDEX(Parameters!$X$7:$AA$7,1,MATCH($E279,Parameters!$X$3:$AA$3,0))))*(1-Inputs_General!$C$22*Parameters!$F$7))</f>
        <v>0.240164787939846</v>
      </c>
      <c r="AL279" s="40" t="n">
        <f aca="false">MAX(AI279*(1+INDEX(Response_Table!$H$4:$H$21,MATCH($F279&amp;"|low",Response_Table!$A$4:$A$21,0))*$R279*INDEX(Parameters!$X$7:$AA$7,1,MATCH($E279,Parameters!$X$3:$AA$3,0))),AI279*(1+INDEX(Response_Table!$H$4:$H$21,MATCH($F279&amp;"|high",Response_Table!$A$4:$A$21,0))*$R279*INDEX(Parameters!$X$7:$AA$7,1,MATCH($E279,Parameters!$X$3:$AA$3,0))))*(1+Inputs_General!$C$22*Parameters!$F$7)</f>
        <v>0.44221847087489</v>
      </c>
      <c r="AM279" s="39" t="n">
        <f aca="false">IF(AI279=0,0,AJ279/AI279-1)</f>
        <v>0</v>
      </c>
      <c r="AN279" s="37" t="n">
        <f aca="false">AI279*$Q279/Inputs_General!$C$13*1000</f>
        <v>5.97691956280819</v>
      </c>
      <c r="AO279" s="37" t="n">
        <f aca="false">AJ279*$Q279/Inputs_General!$C$13*1000*(1+Inputs_General!$C$21*$I279)</f>
        <v>5.97691956280819</v>
      </c>
      <c r="AP279" s="37" t="n">
        <f aca="false">AK279*$Q279/Inputs_General!$C$13*1000*(1+Inputs_General!$C$21*$H279)</f>
        <v>4.20715368026068</v>
      </c>
      <c r="AQ279" s="37" t="n">
        <f aca="false">AL279*$Q279/Inputs_General!$C$13*1000*(1+Inputs_General!$C$21*$J279)</f>
        <v>7.74668544535569</v>
      </c>
      <c r="AR279" s="39" t="n">
        <f aca="false">IF(AN279=0,0,AO279/AN279-1)</f>
        <v>0</v>
      </c>
      <c r="AS279" s="36" t="n">
        <f aca="false">Parameters!$E$9*IF($N279="V",Parameters!$I$9,IF($N279="F",Parameters!$J$9,Parameters!$K$9))*(1-Parameters!$L$9*$P279)*IF($D279="V1",Parameters!$M$9,IF($D279="V2",Parameters!$N$9,Parameters!$O$9))</f>
        <v>285</v>
      </c>
      <c r="AT279" s="36" t="n">
        <f aca="false">AS279*(1+INDEX(Response_Table!$I$4:$I$21,MATCH($F279&amp;"|mid",Response_Table!$A$4:$A$21,0))*$R279*INDEX(Parameters!$X$9:$AA$9,1,MATCH($E279,Parameters!$X$3:$AA$3,0)))</f>
        <v>285</v>
      </c>
      <c r="AU279" s="36" t="n">
        <f aca="false">MAX(0,MIN(AS279*(1+INDEX(Response_Table!$I$4:$I$21,MATCH($F279&amp;"|low",Response_Table!$A$4:$A$21,0))*$R279*INDEX(Parameters!$X$9:$AA$9,1,MATCH($E279,Parameters!$X$3:$AA$3,0))),AS279*(1+INDEX(Response_Table!$I$4:$I$21,MATCH($F279&amp;"|high",Response_Table!$A$4:$A$21,0))*$R279*INDEX(Parameters!$X$9:$AA$9,1,MATCH($E279,Parameters!$X$3:$AA$3,0))))*(1-Inputs_General!$C$22*Parameters!$F$9))</f>
        <v>256.8705</v>
      </c>
      <c r="AV279" s="36" t="n">
        <f aca="false">MAX(AS279*(1+INDEX(Response_Table!$I$4:$I$21,MATCH($F279&amp;"|low",Response_Table!$A$4:$A$21,0))*$R279*INDEX(Parameters!$X$9:$AA$9,1,MATCH($E279,Parameters!$X$3:$AA$3,0))),AS279*(1+INDEX(Response_Table!$I$4:$I$21,MATCH($F279&amp;"|high",Response_Table!$A$4:$A$21,0))*$R279*INDEX(Parameters!$X$9:$AA$9,1,MATCH($E279,Parameters!$X$3:$AA$3,0))))*(1+Inputs_General!$C$22*Parameters!$F$9)</f>
        <v>313.1295</v>
      </c>
      <c r="AW279" s="39" t="n">
        <f aca="false">IF(AS279=0,0,AT279/AS279-1)</f>
        <v>0</v>
      </c>
      <c r="AX279" s="37" t="n">
        <f aca="false">INDEX(Context!$AB$4:$AB$51,$K279)</f>
        <v>2.00148060787833</v>
      </c>
      <c r="AY279" s="37" t="n">
        <f aca="false">AX279*(1+INDEX(Response_Table!$J$4:$J$21,MATCH($F279&amp;"|mid",Response_Table!$A$4:$A$21,0))*$R279*INDEX(Parameters!$X$10:$AA$10,1,MATCH($E279,Parameters!$X$3:$AA$3,0)))</f>
        <v>2.00148060787833</v>
      </c>
      <c r="AZ279" s="37" t="n">
        <f aca="false">MAX(0,MIN(AX279*(1+INDEX(Response_Table!$J$4:$J$21,MATCH($F279&amp;"|low",Response_Table!$A$4:$A$21,0))*$R279*INDEX(Parameters!$X$10:$AA$10,1,MATCH($E279,Parameters!$X$3:$AA$3,0))),AX279*(1+INDEX(Response_Table!$J$4:$J$21,MATCH($F279&amp;"|high",Response_Table!$A$4:$A$21,0))*$R279*INDEX(Parameters!$X$10:$AA$10,1,MATCH($E279,Parameters!$X$3:$AA$3,0))))*(1-Inputs_General!$C$22*Parameters!$F$10))</f>
        <v>1.60638833588315</v>
      </c>
      <c r="BA279" s="37" t="n">
        <f aca="false">MAX(AX279*(1+INDEX(Response_Table!$J$4:$J$21,MATCH($F279&amp;"|low",Response_Table!$A$4:$A$21,0))*$R279*INDEX(Parameters!$X$10:$AA$10,1,MATCH($E279,Parameters!$X$3:$AA$3,0))),AX279*(1+INDEX(Response_Table!$J$4:$J$21,MATCH($F279&amp;"|high",Response_Table!$A$4:$A$21,0))*$R279*INDEX(Parameters!$X$10:$AA$10,1,MATCH($E279,Parameters!$X$3:$AA$3,0))))*(1+Inputs_General!$C$22*Parameters!$F$10)</f>
        <v>2.39657287987351</v>
      </c>
      <c r="BB279" s="39" t="n">
        <f aca="false">IF(AX279=0,0,AY279/AX279-1)</f>
        <v>0</v>
      </c>
      <c r="BC279" s="40" t="n">
        <f aca="false">Parameters!$E$11*IF($N279="V",Parameters!$I$11,IF($N279="F",Parameters!$J$11,Parameters!$K$11))*(1-Parameters!$L$11*$P279)*IF($D279="V1",Parameters!$M$11,IF($D279="V2",Parameters!$N$11,Parameters!$O$11))</f>
        <v>1.25397901785714</v>
      </c>
      <c r="BD279" s="40" t="n">
        <f aca="false">BC279*(1+INDEX(Response_Table!$K$4:$K$21,MATCH($F279&amp;"|mid",Response_Table!$A$4:$A$21,0))*$R279*INDEX(Parameters!$X$11:$AA$11,1,MATCH($E279,Parameters!$X$3:$AA$3,0)))</f>
        <v>1.25397901785714</v>
      </c>
      <c r="BE279" s="40" t="n">
        <f aca="false">MAX(0,MIN(BC279*(1+INDEX(Response_Table!$K$4:$K$21,MATCH($F279&amp;"|low",Response_Table!$A$4:$A$21,0))*$R279*INDEX(Parameters!$X$11:$AA$11,1,MATCH($E279,Parameters!$X$3:$AA$3,0))),BC279*(1+INDEX(Response_Table!$K$4:$K$21,MATCH($F279&amp;"|high",Response_Table!$A$4:$A$21,0))*$R279*INDEX(Parameters!$X$11:$AA$11,1,MATCH($E279,Parameters!$X$3:$AA$3,0))))*(1-Inputs_General!$C$22*Parameters!$F$11))</f>
        <v>1.04769946941964</v>
      </c>
      <c r="BF279" s="40" t="n">
        <f aca="false">MAX(BC279*(1+INDEX(Response_Table!$K$4:$K$21,MATCH($F279&amp;"|low",Response_Table!$A$4:$A$21,0))*$R279*INDEX(Parameters!$X$11:$AA$11,1,MATCH($E279,Parameters!$X$3:$AA$3,0))),BC279*(1+INDEX(Response_Table!$K$4:$K$21,MATCH($F279&amp;"|high",Response_Table!$A$4:$A$21,0))*$R279*INDEX(Parameters!$X$11:$AA$11,1,MATCH($E279,Parameters!$X$3:$AA$3,0))))*(1+Inputs_General!$C$22*Parameters!$F$11)</f>
        <v>1.46025856629464</v>
      </c>
      <c r="BG279" s="39" t="n">
        <f aca="false">IF(BC279=0,0,BD279/BC279-1)</f>
        <v>0</v>
      </c>
      <c r="BH279" s="40" t="n">
        <f aca="false">Parameters!$E$12*IF($N279="V",Parameters!$I$12,IF($N279="F",Parameters!$J$12,Parameters!$K$12))*(1-Parameters!$L$12*$P279)*IF($D279="V1",Parameters!$M$12,IF($D279="V2",Parameters!$N$12,Parameters!$O$12))</f>
        <v>0.451432446428571</v>
      </c>
      <c r="BI279" s="40" t="n">
        <f aca="false">BH279*(1+INDEX(Response_Table!$L$4:$L$21,MATCH($F279&amp;"|mid",Response_Table!$A$4:$A$21,0))*$R279*INDEX(Parameters!$X$12:$AA$12,1,MATCH($E279,Parameters!$X$3:$AA$3,0)))</f>
        <v>0.451432446428571</v>
      </c>
      <c r="BJ279" s="40" t="n">
        <f aca="false">MAX(0,MIN(BH279*(1+INDEX(Response_Table!$L$4:$L$21,MATCH($F279&amp;"|low",Response_Table!$A$4:$A$21,0))*$R279*INDEX(Parameters!$X$12:$AA$12,1,MATCH($E279,Parameters!$X$3:$AA$3,0))),BH279*(1+INDEX(Response_Table!$L$4:$L$21,MATCH($F279&amp;"|high",Response_Table!$A$4:$A$21,0))*$R279*INDEX(Parameters!$X$12:$AA$12,1,MATCH($E279,Parameters!$X$3:$AA$3,0))))*(1-Inputs_General!$C$22*Parameters!$F$12))</f>
        <v>0.362319681503571</v>
      </c>
      <c r="BK279" s="40" t="n">
        <f aca="false">MAX(BH279*(1+INDEX(Response_Table!$L$4:$L$21,MATCH($F279&amp;"|low",Response_Table!$A$4:$A$21,0))*$R279*INDEX(Parameters!$X$12:$AA$12,1,MATCH($E279,Parameters!$X$3:$AA$3,0))),BH279*(1+INDEX(Response_Table!$L$4:$L$21,MATCH($F279&amp;"|high",Response_Table!$A$4:$A$21,0))*$R279*INDEX(Parameters!$X$12:$AA$12,1,MATCH($E279,Parameters!$X$3:$AA$3,0))))*(1+Inputs_General!$C$22*Parameters!$F$12)</f>
        <v>0.540545211353572</v>
      </c>
      <c r="BL279" s="39" t="n">
        <f aca="false">IF(BH279=0,0,BI279/BH279-1)</f>
        <v>0</v>
      </c>
      <c r="BM279" s="40" t="n">
        <f aca="false">Parameters!$E$13*IF($N279="V",Parameters!$I$13,IF($N279="F",Parameters!$J$13,Parameters!$K$13))*(1-Parameters!$L$13*$P279)*IF($D279="V1",Parameters!$M$13,IF($D279="V2",Parameters!$N$13,Parameters!$O$13))</f>
        <v>0.304977482142857</v>
      </c>
      <c r="BN279" s="40" t="n">
        <f aca="false">BM279*(1+INDEX(Response_Table!$M$4:$M$21,MATCH($F279&amp;"|mid",Response_Table!$A$4:$A$21,0))*$R279*INDEX(Parameters!$X$13:$AA$13,1,MATCH($E279,Parameters!$X$3:$AA$3,0)))</f>
        <v>0.304977482142857</v>
      </c>
      <c r="BO279" s="40" t="n">
        <f aca="false">MAX(0,MIN(BM279*(1+INDEX(Response_Table!$M$4:$M$21,MATCH($F279&amp;"|low",Response_Table!$A$4:$A$21,0))*$R279*INDEX(Parameters!$X$13:$AA$13,1,MATCH($E279,Parameters!$X$3:$AA$3,0))),BM279*(1+INDEX(Response_Table!$M$4:$M$21,MATCH($F279&amp;"|high",Response_Table!$A$4:$A$21,0))*$R279*INDEX(Parameters!$X$13:$AA$13,1,MATCH($E279,Parameters!$X$3:$AA$3,0))))*(1-Inputs_General!$C$22*Parameters!$F$13))</f>
        <v>0.244774927167857</v>
      </c>
      <c r="BP279" s="40" t="n">
        <f aca="false">MAX(BM279*(1+INDEX(Response_Table!$M$4:$M$21,MATCH($F279&amp;"|low",Response_Table!$A$4:$A$21,0))*$R279*INDEX(Parameters!$X$13:$AA$13,1,MATCH($E279,Parameters!$X$3:$AA$3,0))),BM279*(1+INDEX(Response_Table!$M$4:$M$21,MATCH($F279&amp;"|high",Response_Table!$A$4:$A$21,0))*$R279*INDEX(Parameters!$X$13:$AA$13,1,MATCH($E279,Parameters!$X$3:$AA$3,0))))*(1+Inputs_General!$C$22*Parameters!$F$13)</f>
        <v>0.365180037117857</v>
      </c>
      <c r="BQ279" s="39" t="n">
        <f aca="false">IF(BM279=0,0,BN279/BM279-1)</f>
        <v>0</v>
      </c>
      <c r="BR279" s="38" t="n">
        <f aca="false">Parameters!$E$14*IF($N279="V",Parameters!$I$14,IF($N279="F",Parameters!$J$14,Parameters!$K$14))*(1-Parameters!$L$14*$P279)*IF($D279="V1",Parameters!$M$14,IF($D279="V2",Parameters!$N$14,Parameters!$O$14))*INDEX(Context!$AC$4:$AC$51,$K279)</f>
        <v>15</v>
      </c>
      <c r="BS279" s="38" t="n">
        <f aca="false">BR279*(1+INDEX(Response_Table!$N$4:$N$21,MATCH($F279&amp;"|mid",Response_Table!$A$4:$A$21,0))*$R279*INDEX(Parameters!$X$14:$AA$14,1,MATCH($E279,Parameters!$X$3:$AA$3,0)))</f>
        <v>15</v>
      </c>
      <c r="BT279" s="38" t="n">
        <f aca="false">MAX(0,MIN(BR279*(1+INDEX(Response_Table!$N$4:$N$21,MATCH($F279&amp;"|low",Response_Table!$A$4:$A$21,0))*$R279*INDEX(Parameters!$X$14:$AA$14,1,MATCH($E279,Parameters!$X$3:$AA$3,0))),BR279*(1+INDEX(Response_Table!$N$4:$N$21,MATCH($F279&amp;"|high",Response_Table!$A$4:$A$21,0))*$R279*INDEX(Parameters!$X$14:$AA$14,1,MATCH($E279,Parameters!$X$3:$AA$3,0))))*(1-Inputs_General!$C$22*Parameters!$F$14))</f>
        <v>7.5975</v>
      </c>
      <c r="BU279" s="38" t="n">
        <f aca="false">MAX(BR279*(1+INDEX(Response_Table!$N$4:$N$21,MATCH($F279&amp;"|low",Response_Table!$A$4:$A$21,0))*$R279*INDEX(Parameters!$X$14:$AA$14,1,MATCH($E279,Parameters!$X$3:$AA$3,0))),BR279*(1+INDEX(Response_Table!$N$4:$N$21,MATCH($F279&amp;"|high",Response_Table!$A$4:$A$21,0))*$R279*INDEX(Parameters!$X$14:$AA$14,1,MATCH($E279,Parameters!$X$3:$AA$3,0))))*(1+Inputs_General!$C$22*Parameters!$F$14)</f>
        <v>22.4025</v>
      </c>
      <c r="BV279" s="39" t="n">
        <f aca="false">IF(BR279=0,0,BS279/BR279-1)</f>
        <v>0</v>
      </c>
      <c r="BW279" s="37" t="n">
        <f aca="false">Parameters!$E$15*IF($N279="V",Parameters!$I$15,IF($N279="F",Parameters!$J$15,Parameters!$K$15))*(1-Parameters!$L$15*$P279)*IF($D279="V1",Parameters!$M$15,IF($D279="V2",Parameters!$N$15,Parameters!$O$15))</f>
        <v>9.73964285714286</v>
      </c>
      <c r="BX279" s="37" t="n">
        <f aca="false">BW279*(1+INDEX(Response_Table!$O$4:$O$21,MATCH($F279&amp;"|mid",Response_Table!$A$4:$A$21,0))*$R279*INDEX(Parameters!$X$15:$AA$15,1,MATCH($E279,Parameters!$X$3:$AA$3,0)))</f>
        <v>9.73964285714286</v>
      </c>
      <c r="BY279" s="37" t="n">
        <f aca="false">MAX(0,MIN(BW279*(1+INDEX(Response_Table!$O$4:$O$21,MATCH($F279&amp;"|low",Response_Table!$A$4:$A$21,0))*$R279*INDEX(Parameters!$X$15:$AA$15,1,MATCH($E279,Parameters!$X$3:$AA$3,0))),BW279*(1+INDEX(Response_Table!$O$4:$O$21,MATCH($F279&amp;"|high",Response_Table!$A$4:$A$21,0))*$R279*INDEX(Parameters!$X$15:$AA$15,1,MATCH($E279,Parameters!$X$3:$AA$3,0))))*(1-Inputs_General!$C$22*Parameters!$F$15))</f>
        <v>7.81703735714286</v>
      </c>
      <c r="BZ279" s="37" t="n">
        <f aca="false">MAX(BW279*(1+INDEX(Response_Table!$O$4:$O$21,MATCH($F279&amp;"|low",Response_Table!$A$4:$A$21,0))*$R279*INDEX(Parameters!$X$15:$AA$15,1,MATCH($E279,Parameters!$X$3:$AA$3,0))),BW279*(1+INDEX(Response_Table!$O$4:$O$21,MATCH($F279&amp;"|high",Response_Table!$A$4:$A$21,0))*$R279*INDEX(Parameters!$X$15:$AA$15,1,MATCH($E279,Parameters!$X$3:$AA$3,0))))*(1+Inputs_General!$C$22*Parameters!$F$15)</f>
        <v>11.6622483571429</v>
      </c>
      <c r="CA279" s="39" t="n">
        <f aca="false">IF(BW279=0,0,BX279/BW279-1)</f>
        <v>0</v>
      </c>
      <c r="CB279" s="40" t="n">
        <f aca="false">BD279+BI279</f>
        <v>1.70541146428571</v>
      </c>
      <c r="CC279" s="37" t="n">
        <f aca="false">BD279/BI279</f>
        <v>2.77777777777778</v>
      </c>
      <c r="CD279" s="40" t="n">
        <f aca="false">BN279/CB279</f>
        <v>0.178829267030049</v>
      </c>
      <c r="CE279" s="37" t="n">
        <f aca="false">AE279/AO279</f>
        <v>3.10376640473662</v>
      </c>
      <c r="CF279" s="38" t="n">
        <f aca="false">AE279/AJ279</f>
        <v>54.3710939658139</v>
      </c>
      <c r="CG279" s="38" t="n">
        <f aca="false">INDEX(Context!$V$4:$V$51,$K279)</f>
        <v>28.62</v>
      </c>
      <c r="CH279" s="38" t="n">
        <f aca="false">INDEX(Context!$Y$4:$Y$51,$K279)</f>
        <v>25.3060134606718</v>
      </c>
      <c r="CI279" s="38" t="n">
        <f aca="false">INDEX(Context!$Z$4:$Z$51,$K279)</f>
        <v>32.62</v>
      </c>
      <c r="CJ279" s="37" t="n">
        <f aca="false">INDEX(Context!$AA$4:$AA$51,$K279)</f>
        <v>0.221696428571429</v>
      </c>
      <c r="CK279" s="37" t="n">
        <f aca="false">MAX(0,MIN(1,1-(1-CJ279)*AO279/AN279))</f>
        <v>0.221696428571429</v>
      </c>
      <c r="CL279" s="38" t="n">
        <f aca="false">CH279+CK279*(CI279-CH279)</f>
        <v>26.9274981550603</v>
      </c>
      <c r="CM279" s="38" t="n">
        <f aca="false">CH279+MAX(0,MIN(1,1-(1-CJ279)*AQ279/AN279))*(CI279-CH279)</f>
        <v>25.3060134606718</v>
      </c>
      <c r="CN279" s="38" t="n">
        <f aca="false">CH279+MAX(0,MIN(1,1-(1-CJ279)*AP279/AN279))*(CI279-CH279)</f>
        <v>28.613047951347</v>
      </c>
      <c r="CO279" s="38" t="n">
        <f aca="false">CL279-CG279</f>
        <v>-1.69250184493966</v>
      </c>
      <c r="CP279" s="38" t="n">
        <f aca="false">CL279-(CH279+CJ279*(CI279-CH279))</f>
        <v>0</v>
      </c>
      <c r="CQ279" s="40" t="n">
        <f aca="false">CL279/CG279</f>
        <v>0.940862968380864</v>
      </c>
      <c r="CR279" s="37" t="n">
        <f aca="false">IF(CL279-CH279&lt;=0,"n/a",(CI279-CL279)/(CL279-CH279))</f>
        <v>3.5106725734998</v>
      </c>
      <c r="CS279" s="37" t="n">
        <f aca="false">IF(CI279-CL279&lt;=0,"n/a",(CL279-CH279)/(CI279-CL279))</f>
        <v>0.284845703797178</v>
      </c>
      <c r="CT279" s="37" t="n">
        <f aca="false">Inputs_General!$C$23+Inputs_General!$C$24*$I279</f>
        <v>0.6</v>
      </c>
      <c r="CU279" s="38" t="n">
        <f aca="false">3.29*CT279</f>
        <v>1.974</v>
      </c>
    </row>
    <row r="280" customFormat="false" ht="15" hidden="false" customHeight="false" outlineLevel="0" collapsed="false">
      <c r="A280" s="9" t="str">
        <f aca="false">B280&amp;"|"&amp;E280&amp;"|"&amp;F280</f>
        <v>D4V3|03/03/2026|Very low</v>
      </c>
      <c r="B280" s="7" t="s">
        <v>354</v>
      </c>
      <c r="C280" s="9" t="s">
        <v>133</v>
      </c>
      <c r="D280" s="9" t="s">
        <v>150</v>
      </c>
      <c r="E280" s="9" t="s">
        <v>162</v>
      </c>
      <c r="F280" s="7" t="s">
        <v>277</v>
      </c>
      <c r="G280" s="9" t="s">
        <v>278</v>
      </c>
      <c r="H280" s="41" t="n">
        <f aca="false">INDEX(Severity_Classes!$C$4:$C$9,MATCH(F280,Severity_Classes!$A$4:$A$9,0))</f>
        <v>0.01</v>
      </c>
      <c r="I280" s="41" t="n">
        <f aca="false">INDEX(Severity_Classes!$D$4:$D$9,MATCH(F280,Severity_Classes!$A$4:$A$9,0))</f>
        <v>0.03</v>
      </c>
      <c r="J280" s="41" t="n">
        <f aca="false">INDEX(Severity_Classes!$E$4:$E$9,MATCH(F280,Severity_Classes!$A$4:$A$9,0))</f>
        <v>0.05</v>
      </c>
      <c r="K280" s="42" t="n">
        <f aca="false">MATCH(B280&amp;"|"&amp;E280,Context!$A$4:$A$51,0)</f>
        <v>47</v>
      </c>
      <c r="L280" s="42" t="n">
        <f aca="false">INDEX(Context!$H$4:$H$51,K280)</f>
        <v>53</v>
      </c>
      <c r="M280" s="42" t="n">
        <f aca="false">INDEX(Context!$I$4:$I$51,K280)</f>
        <v>26</v>
      </c>
      <c r="N280" s="9" t="str">
        <f aca="false">INDEX(Context!$L$4:$L$51,K280)</f>
        <v>F</v>
      </c>
      <c r="O280" s="9" t="str">
        <f aca="false">INDEX(Context!$M$4:$M$51,K280)</f>
        <v>5th fully expanded leaf from top</v>
      </c>
      <c r="P280" s="43" t="n">
        <f aca="false">INDEX(Context!$R$4:$R$51,K280)</f>
        <v>0.433928571428571</v>
      </c>
      <c r="Q280" s="43" t="n">
        <f aca="false">INDEX(Context!$U$4:$U$51,K280)</f>
        <v>1.73951545534029</v>
      </c>
      <c r="R280" s="43" t="n">
        <f aca="false">INDEX(Context!$AD$4:$AD$51,K280)</f>
        <v>0.85</v>
      </c>
      <c r="S280" s="9" t="str">
        <f aca="false">INDEX(Context!$AI$4:$AN$51,K280,MATCH(F280,Severity_Classes!$A$4:$A$9,0))</f>
        <v>Likely</v>
      </c>
      <c r="T280" s="44" t="n">
        <f aca="false">Parameters!$E$4*IF($N280="V",Parameters!$I$4,IF($N280="F",Parameters!$J$4,Parameters!$K$4))*(1-Parameters!$L$4*$P280)*IF($D280="V1",Parameters!$M$4,IF($D280="V2",Parameters!$N$4,Parameters!$O$4))</f>
        <v>83.2927660714286</v>
      </c>
      <c r="U280" s="44" t="n">
        <f aca="false">MIN(100,T280*(1+INDEX(Response_Table!$E$4:$E$21,MATCH($F280&amp;"|mid",Response_Table!$A$4:$A$21,0))*$R280*INDEX(Parameters!$X$4:$AA$4,1,MATCH($E280,Parameters!$X$3:$AA$3,0))))</f>
        <v>82.9875282373724</v>
      </c>
      <c r="V280" s="44" t="n">
        <f aca="false">MAX(0,MIN(T280*(1+INDEX(Response_Table!$E$4:$E$21,MATCH($F280&amp;"|low",Response_Table!$A$4:$A$21,0))*$R280*INDEX(Parameters!$X$4:$AA$4,1,MATCH($E280,Parameters!$X$3:$AA$3,0))),T280*(1+INDEX(Response_Table!$E$4:$E$21,MATCH($F280&amp;"|high",Response_Table!$A$4:$A$21,0))*$R280*INDEX(Parameters!$X$4:$AA$4,1,MATCH($E280,Parameters!$X$3:$AA$3,0))))*(1-Inputs_General!$C$22*Parameters!$F$4))</f>
        <v>77.2991963307656</v>
      </c>
      <c r="W280" s="44" t="n">
        <f aca="false">MIN(100,MAX(T280*(1+INDEX(Response_Table!$E$4:$E$21,MATCH($F280&amp;"|low",Response_Table!$A$4:$A$21,0))*$R280*INDEX(Parameters!$X$4:$AA$4,1,MATCH($E280,Parameters!$X$3:$AA$3,0))),T280*(1+INDEX(Response_Table!$E$4:$E$21,MATCH($F280&amp;"|high",Response_Table!$A$4:$A$21,0))*$R280*INDEX(Parameters!$X$4:$AA$4,1,MATCH($E280,Parameters!$X$3:$AA$3,0))))*(1+Inputs_General!$C$22*Parameters!$F$4))</f>
        <v>88.672887442889</v>
      </c>
      <c r="X280" s="45" t="n">
        <f aca="false">IF(T280=0,0,U280/T280-1)</f>
        <v>-0.00366463798061933</v>
      </c>
      <c r="Y280" s="44" t="n">
        <f aca="false">Parameters!$E$5*IF($N280="V",Parameters!$I$5,IF($N280="F",Parameters!$J$5,Parameters!$K$5))*(1-Parameters!$L$5*$P280)*IF($D280="V1",Parameters!$M$5,IF($D280="V2",Parameters!$N$5,Parameters!$O$5))</f>
        <v>66.88584</v>
      </c>
      <c r="Z280" s="44" t="n">
        <f aca="false">MIN(100,Y280*(1+INDEX(Response_Table!$F$4:$F$21,MATCH($F280&amp;"|mid",Response_Table!$A$4:$A$21,0))*$R280*INDEX(Parameters!$X$5:$AA$5,1,MATCH($E280,Parameters!$X$3:$AA$3,0))))</f>
        <v>66.1033874011917</v>
      </c>
      <c r="AA280" s="44" t="n">
        <f aca="false">MAX(0,MIN(Y280*(1+INDEX(Response_Table!$F$4:$F$21,MATCH($F280&amp;"|low",Response_Table!$A$4:$A$21,0))*$R280*INDEX(Parameters!$X$5:$AA$5,1,MATCH($E280,Parameters!$X$3:$AA$3,0))),Y280*(1+INDEX(Response_Table!$F$4:$F$21,MATCH($F280&amp;"|high",Response_Table!$A$4:$A$21,0))*$R280*INDEX(Parameters!$X$5:$AA$5,1,MATCH($E280,Parameters!$X$3:$AA$3,0))))*(1-Inputs_General!$C$22*Parameters!$F$5))</f>
        <v>57.9213537165203</v>
      </c>
      <c r="AB280" s="44" t="n">
        <f aca="false">MIN(100,MAX(Y280*(1+INDEX(Response_Table!$F$4:$F$21,MATCH($F280&amp;"|low",Response_Table!$A$4:$A$21,0))*$R280*INDEX(Parameters!$X$5:$AA$5,1,MATCH($E280,Parameters!$X$3:$AA$3,0))),Y280*(1+INDEX(Response_Table!$F$4:$F$21,MATCH($F280&amp;"|high",Response_Table!$A$4:$A$21,0))*$R280*INDEX(Parameters!$X$5:$AA$5,1,MATCH($E280,Parameters!$X$3:$AA$3,0))))*(1+Inputs_General!$C$22*Parameters!$F$5))</f>
        <v>74.3217898824488</v>
      </c>
      <c r="AC280" s="45" t="n">
        <f aca="false">IF(Y280=0,0,Z280/Y280-1)</f>
        <v>-0.0116983295538828</v>
      </c>
      <c r="AD280" s="44" t="n">
        <f aca="false">Parameters!$E$6*IF($N280="V",Parameters!$I$6,IF($N280="F",Parameters!$J$6,Parameters!$K$6))*(1-Parameters!$L$6*$P280)*IF($D280="V1",Parameters!$M$6,IF($D280="V2",Parameters!$N$6,Parameters!$O$6))</f>
        <v>18.5509621428571</v>
      </c>
      <c r="AE280" s="44" t="n">
        <f aca="false">AD280*(1+INDEX(Response_Table!$G$4:$G$21,MATCH($F280&amp;"|mid",Response_Table!$A$4:$A$21,0))*$R280*INDEX(Parameters!$X$6:$AA$6,1,MATCH($E280,Parameters!$X$3:$AA$3,0)))</f>
        <v>17.0885412745546</v>
      </c>
      <c r="AF280" s="44" t="n">
        <f aca="false">MAX(0,MIN(AD280*(1+INDEX(Response_Table!$G$4:$G$21,MATCH($F280&amp;"|low",Response_Table!$A$4:$A$21,0))*$R280*INDEX(Parameters!$X$6:$AA$6,1,MATCH($E280,Parameters!$X$3:$AA$3,0))),AD280*(1+INDEX(Response_Table!$G$4:$G$21,MATCH($F280&amp;"|high",Response_Table!$A$4:$A$21,0))*$R280*INDEX(Parameters!$X$6:$AA$6,1,MATCH($E280,Parameters!$X$3:$AA$3,0))))*(1-Inputs_General!$C$22*Parameters!$F$6))</f>
        <v>13.0145622059688</v>
      </c>
      <c r="AG280" s="44" t="n">
        <f aca="false">MAX(AD280*(1+INDEX(Response_Table!$G$4:$G$21,MATCH($F280&amp;"|low",Response_Table!$A$4:$A$21,0))*$R280*INDEX(Parameters!$X$6:$AA$6,1,MATCH($E280,Parameters!$X$3:$AA$3,0))),AD280*(1+INDEX(Response_Table!$G$4:$G$21,MATCH($F280&amp;"|high",Response_Table!$A$4:$A$21,0))*$R280*INDEX(Parameters!$X$6:$AA$6,1,MATCH($E280,Parameters!$X$3:$AA$3,0))))*(1+Inputs_General!$C$22*Parameters!$F$6)</f>
        <v>21.6033583474645</v>
      </c>
      <c r="AH280" s="45" t="n">
        <f aca="false">IF(AD280=0,0,AE280/AD280-1)</f>
        <v>-0.0788326156368997</v>
      </c>
      <c r="AI280" s="46" t="n">
        <f aca="false">Parameters!$E$7*IF($N280="V",Parameters!$I$7,IF($N280="F",Parameters!$J$7,Parameters!$K$7))*(1-Parameters!$L$7*$P280)*IF($D280="V1",Parameters!$M$7,IF($D280="V2",Parameters!$N$7,Parameters!$O$7))*POWER($Q280/Inputs_General!$C$26,-Inputs_General!$C$25)</f>
        <v>0.341191629407368</v>
      </c>
      <c r="AJ280" s="46" t="n">
        <f aca="false">AI280*(1+INDEX(Response_Table!$H$4:$H$21,MATCH($F280&amp;"|mid",Response_Table!$A$4:$A$21,0))*$R280*INDEX(Parameters!$X$7:$AA$7,1,MATCH($E280,Parameters!$X$3:$AA$3,0)))</f>
        <v>0.324966936983363</v>
      </c>
      <c r="AK280" s="46" t="n">
        <f aca="false">MAX(0,MIN(AI280*(1+INDEX(Response_Table!$H$4:$H$21,MATCH($F280&amp;"|low",Response_Table!$A$4:$A$21,0))*$R280*INDEX(Parameters!$X$7:$AA$7,1,MATCH($E280,Parameters!$X$3:$AA$3,0))),AI280*(1+INDEX(Response_Table!$H$4:$H$21,MATCH($F280&amp;"|high",Response_Table!$A$4:$A$21,0))*$R280*INDEX(Parameters!$X$7:$AA$7,1,MATCH($E280,Parameters!$X$3:$AA$3,0))))*(1-Inputs_General!$C$22*Parameters!$F$7))</f>
        <v>0.221681983724614</v>
      </c>
      <c r="AL280" s="46" t="n">
        <f aca="false">MAX(AI280*(1+INDEX(Response_Table!$H$4:$H$21,MATCH($F280&amp;"|low",Response_Table!$A$4:$A$21,0))*$R280*INDEX(Parameters!$X$7:$AA$7,1,MATCH($E280,Parameters!$X$3:$AA$3,0))),AI280*(1+INDEX(Response_Table!$H$4:$H$21,MATCH($F280&amp;"|high",Response_Table!$A$4:$A$21,0))*$R280*INDEX(Parameters!$X$7:$AA$7,1,MATCH($E280,Parameters!$X$3:$AA$3,0))))*(1+Inputs_General!$C$22*Parameters!$F$7)</f>
        <v>0.434997555018549</v>
      </c>
      <c r="AM280" s="45" t="n">
        <f aca="false">IF(AI280=0,0,AJ280/AI280-1)</f>
        <v>-0.0475530201376465</v>
      </c>
      <c r="AN280" s="43" t="n">
        <f aca="false">AI280*$Q280/Inputs_General!$C$13*1000</f>
        <v>5.97691956280819</v>
      </c>
      <c r="AO280" s="43" t="n">
        <f aca="false">AJ280*$Q280/Inputs_General!$C$13*1000*(1+Inputs_General!$C$21*$I280)</f>
        <v>5.73539422887546</v>
      </c>
      <c r="AP280" s="43" t="n">
        <f aca="false">AK280*$Q280/Inputs_General!$C$13*1000*(1+Inputs_General!$C$21*$H280)</f>
        <v>3.89308444060029</v>
      </c>
      <c r="AQ280" s="43" t="n">
        <f aca="false">AL280*$Q280/Inputs_General!$C$13*1000*(1+Inputs_General!$C$21*$J280)</f>
        <v>7.71544342512467</v>
      </c>
      <c r="AR280" s="45" t="n">
        <f aca="false">IF(AN280=0,0,AO280/AN280-1)</f>
        <v>-0.0404096677886788</v>
      </c>
      <c r="AS280" s="42" t="n">
        <f aca="false">Parameters!$E$9*IF($N280="V",Parameters!$I$9,IF($N280="F",Parameters!$J$9,Parameters!$K$9))*(1-Parameters!$L$9*$P280)*IF($D280="V1",Parameters!$M$9,IF($D280="V2",Parameters!$N$9,Parameters!$O$9))</f>
        <v>285</v>
      </c>
      <c r="AT280" s="42" t="n">
        <f aca="false">AS280*(1+INDEX(Response_Table!$I$4:$I$21,MATCH($F280&amp;"|mid",Response_Table!$A$4:$A$21,0))*$R280*INDEX(Parameters!$X$9:$AA$9,1,MATCH($E280,Parameters!$X$3:$AA$3,0)))</f>
        <v>293.218057261581</v>
      </c>
      <c r="AU280" s="42" t="n">
        <f aca="false">MAX(0,MIN(AS280*(1+INDEX(Response_Table!$I$4:$I$21,MATCH($F280&amp;"|low",Response_Table!$A$4:$A$21,0))*$R280*INDEX(Parameters!$X$9:$AA$9,1,MATCH($E280,Parameters!$X$3:$AA$3,0))),AS280*(1+INDEX(Response_Table!$I$4:$I$21,MATCH($F280&amp;"|high",Response_Table!$A$4:$A$21,0))*$R280*INDEX(Parameters!$X$9:$AA$9,1,MATCH($E280,Parameters!$X$3:$AA$3,0))))*(1-Inputs_General!$C$22*Parameters!$F$9))</f>
        <v>259.438869274407</v>
      </c>
      <c r="AV280" s="42" t="n">
        <f aca="false">MAX(AS280*(1+INDEX(Response_Table!$I$4:$I$21,MATCH($F280&amp;"|low",Response_Table!$A$4:$A$21,0))*$R280*INDEX(Parameters!$X$9:$AA$9,1,MATCH($E280,Parameters!$X$3:$AA$3,0))),AS280*(1+INDEX(Response_Table!$I$4:$I$21,MATCH($F280&amp;"|high",Response_Table!$A$4:$A$21,0))*$R280*INDEX(Parameters!$X$9:$AA$9,1,MATCH($E280,Parameters!$X$3:$AA$3,0))))*(1+Inputs_General!$C$22*Parameters!$F$9)</f>
        <v>327.603490906787</v>
      </c>
      <c r="AW280" s="45" t="n">
        <f aca="false">IF(AS280=0,0,AT280/AS280-1)</f>
        <v>0.0288352886371248</v>
      </c>
      <c r="AX280" s="43" t="n">
        <f aca="false">INDEX(Context!$AB$4:$AB$51,$K280)</f>
        <v>2.00148060787833</v>
      </c>
      <c r="AY280" s="43" t="n">
        <f aca="false">AX280*(1+INDEX(Response_Table!$J$4:$J$21,MATCH($F280&amp;"|mid",Response_Table!$A$4:$A$21,0))*$R280*INDEX(Parameters!$X$10:$AA$10,1,MATCH($E280,Parameters!$X$3:$AA$3,0)))</f>
        <v>1.94616345370667</v>
      </c>
      <c r="AZ280" s="43" t="n">
        <f aca="false">MAX(0,MIN(AX280*(1+INDEX(Response_Table!$J$4:$J$21,MATCH($F280&amp;"|low",Response_Table!$A$4:$A$21,0))*$R280*INDEX(Parameters!$X$10:$AA$10,1,MATCH($E280,Parameters!$X$3:$AA$3,0))),AX280*(1+INDEX(Response_Table!$J$4:$J$21,MATCH($F280&amp;"|high",Response_Table!$A$4:$A$21,0))*$R280*INDEX(Parameters!$X$10:$AA$10,1,MATCH($E280,Parameters!$X$3:$AA$3,0))))*(1-Inputs_General!$C$22*Parameters!$F$10))</f>
        <v>1.53418931692542</v>
      </c>
      <c r="BA280" s="43" t="n">
        <f aca="false">MAX(AX280*(1+INDEX(Response_Table!$J$4:$J$21,MATCH($F280&amp;"|low",Response_Table!$A$4:$A$21,0))*$R280*INDEX(Parameters!$X$10:$AA$10,1,MATCH($E280,Parameters!$X$3:$AA$3,0))),AX280*(1+INDEX(Response_Table!$J$4:$J$21,MATCH($F280&amp;"|high",Response_Table!$A$4:$A$21,0))*$R280*INDEX(Parameters!$X$10:$AA$10,1,MATCH($E280,Parameters!$X$3:$AA$3,0))))*(1+Inputs_General!$C$22*Parameters!$F$10)</f>
        <v>2.37393974469628</v>
      </c>
      <c r="BB280" s="45" t="n">
        <f aca="false">IF(AX280=0,0,AY280/AX280-1)</f>
        <v>-0.0276381164793286</v>
      </c>
      <c r="BC280" s="46" t="n">
        <f aca="false">Parameters!$E$11*IF($N280="V",Parameters!$I$11,IF($N280="F",Parameters!$J$11,Parameters!$K$11))*(1-Parameters!$L$11*$P280)*IF($D280="V1",Parameters!$M$11,IF($D280="V2",Parameters!$N$11,Parameters!$O$11))</f>
        <v>1.25397901785714</v>
      </c>
      <c r="BD280" s="46" t="n">
        <f aca="false">BC280*(1+INDEX(Response_Table!$K$4:$K$21,MATCH($F280&amp;"|mid",Response_Table!$A$4:$A$21,0))*$R280*INDEX(Parameters!$X$11:$AA$11,1,MATCH($E280,Parameters!$X$3:$AA$3,0)))</f>
        <v>1.19056074557326</v>
      </c>
      <c r="BE280" s="46" t="n">
        <f aca="false">MAX(0,MIN(BC280*(1+INDEX(Response_Table!$K$4:$K$21,MATCH($F280&amp;"|low",Response_Table!$A$4:$A$21,0))*$R280*INDEX(Parameters!$X$11:$AA$11,1,MATCH($E280,Parameters!$X$3:$AA$3,0))),BC280*(1+INDEX(Response_Table!$K$4:$K$21,MATCH($F280&amp;"|high",Response_Table!$A$4:$A$21,0))*$R280*INDEX(Parameters!$X$11:$AA$11,1,MATCH($E280,Parameters!$X$3:$AA$3,0))))*(1-Inputs_General!$C$22*Parameters!$F$11))</f>
        <v>0.962112316617242</v>
      </c>
      <c r="BF280" s="46" t="n">
        <f aca="false">MAX(BC280*(1+INDEX(Response_Table!$K$4:$K$21,MATCH($F280&amp;"|low",Response_Table!$A$4:$A$21,0))*$R280*INDEX(Parameters!$X$11:$AA$11,1,MATCH($E280,Parameters!$X$3:$AA$3,0))),BC280*(1+INDEX(Response_Table!$K$4:$K$21,MATCH($F280&amp;"|high",Response_Table!$A$4:$A$21,0))*$R280*INDEX(Parameters!$X$11:$AA$11,1,MATCH($E280,Parameters!$X$3:$AA$3,0))))*(1+Inputs_General!$C$22*Parameters!$F$11)</f>
        <v>1.43484990164598</v>
      </c>
      <c r="BG280" s="45" t="n">
        <f aca="false">IF(BC280=0,0,BD280/BC280-1)</f>
        <v>-0.0505736311220398</v>
      </c>
      <c r="BH280" s="46" t="n">
        <f aca="false">Parameters!$E$12*IF($N280="V",Parameters!$I$12,IF($N280="F",Parameters!$J$12,Parameters!$K$12))*(1-Parameters!$L$12*$P280)*IF($D280="V1",Parameters!$M$12,IF($D280="V2",Parameters!$N$12,Parameters!$O$12))</f>
        <v>0.451432446428571</v>
      </c>
      <c r="BI280" s="46" t="n">
        <f aca="false">BH280*(1+INDEX(Response_Table!$L$4:$L$21,MATCH($F280&amp;"|mid",Response_Table!$A$4:$A$21,0))*$R280*INDEX(Parameters!$X$12:$AA$12,1,MATCH($E280,Parameters!$X$3:$AA$3,0)))</f>
        <v>0.433268081938275</v>
      </c>
      <c r="BJ280" s="46" t="n">
        <f aca="false">MAX(0,MIN(BH280*(1+INDEX(Response_Table!$L$4:$L$21,MATCH($F280&amp;"|low",Response_Table!$A$4:$A$21,0))*$R280*INDEX(Parameters!$X$12:$AA$12,1,MATCH($E280,Parameters!$X$3:$AA$3,0))),BH280*(1+INDEX(Response_Table!$L$4:$L$21,MATCH($F280&amp;"|high",Response_Table!$A$4:$A$21,0))*$R280*INDEX(Parameters!$X$12:$AA$12,1,MATCH($E280,Parameters!$X$3:$AA$3,0))))*(1-Inputs_General!$C$22*Parameters!$F$12))</f>
        <v>0.338725778547315</v>
      </c>
      <c r="BK280" s="46" t="n">
        <f aca="false">MAX(BH280*(1+INDEX(Response_Table!$L$4:$L$21,MATCH($F280&amp;"|low",Response_Table!$A$4:$A$21,0))*$R280*INDEX(Parameters!$X$12:$AA$12,1,MATCH($E280,Parameters!$X$3:$AA$3,0))),BH280*(1+INDEX(Response_Table!$L$4:$L$21,MATCH($F280&amp;"|high",Response_Table!$A$4:$A$21,0))*$R280*INDEX(Parameters!$X$12:$AA$12,1,MATCH($E280,Parameters!$X$3:$AA$3,0))))*(1+Inputs_General!$C$22*Parameters!$F$12)</f>
        <v>0.53307665326906</v>
      </c>
      <c r="BL280" s="45" t="n">
        <f aca="false">IF(BH280=0,0,BI280/BH280-1)</f>
        <v>-0.0402371708857008</v>
      </c>
      <c r="BM280" s="46" t="n">
        <f aca="false">Parameters!$E$13*IF($N280="V",Parameters!$I$13,IF($N280="F",Parameters!$J$13,Parameters!$K$13))*(1-Parameters!$L$13*$P280)*IF($D280="V1",Parameters!$M$13,IF($D280="V2",Parameters!$N$13,Parameters!$O$13))</f>
        <v>0.304977482142857</v>
      </c>
      <c r="BN280" s="46" t="n">
        <f aca="false">BM280*(1+INDEX(Response_Table!$M$4:$M$21,MATCH($F280&amp;"|mid",Response_Table!$A$4:$A$21,0))*$R280*INDEX(Parameters!$X$13:$AA$13,1,MATCH($E280,Parameters!$X$3:$AA$3,0)))</f>
        <v>0.311713610379236</v>
      </c>
      <c r="BO280" s="46" t="n">
        <f aca="false">MAX(0,MIN(BM280*(1+INDEX(Response_Table!$M$4:$M$21,MATCH($F280&amp;"|low",Response_Table!$A$4:$A$21,0))*$R280*INDEX(Parameters!$X$13:$AA$13,1,MATCH($E280,Parameters!$X$3:$AA$3,0))),BM280*(1+INDEX(Response_Table!$M$4:$M$21,MATCH($F280&amp;"|high",Response_Table!$A$4:$A$21,0))*$R280*INDEX(Parameters!$X$13:$AA$13,1,MATCH($E280,Parameters!$X$3:$AA$3,0))))*(1-Inputs_General!$C$22*Parameters!$F$13))</f>
        <v>0.247432719726346</v>
      </c>
      <c r="BP280" s="46" t="n">
        <f aca="false">MAX(BM280*(1+INDEX(Response_Table!$M$4:$M$21,MATCH($F280&amp;"|low",Response_Table!$A$4:$A$21,0))*$R280*INDEX(Parameters!$X$13:$AA$13,1,MATCH($E280,Parameters!$X$3:$AA$3,0))),BM280*(1+INDEX(Response_Table!$M$4:$M$21,MATCH($F280&amp;"|high",Response_Table!$A$4:$A$21,0))*$R280*INDEX(Parameters!$X$13:$AA$13,1,MATCH($E280,Parameters!$X$3:$AA$3,0))))*(1+Inputs_General!$C$22*Parameters!$F$13)</f>
        <v>0.373473774592818</v>
      </c>
      <c r="BQ280" s="45" t="n">
        <f aca="false">IF(BM280=0,0,BN280/BM280-1)</f>
        <v>0.0220872970327148</v>
      </c>
      <c r="BR280" s="44" t="n">
        <f aca="false">Parameters!$E$14*IF($N280="V",Parameters!$I$14,IF($N280="F",Parameters!$J$14,Parameters!$K$14))*(1-Parameters!$L$14*$P280)*IF($D280="V1",Parameters!$M$14,IF($D280="V2",Parameters!$N$14,Parameters!$O$14))*INDEX(Context!$AC$4:$AC$51,$K280)</f>
        <v>15</v>
      </c>
      <c r="BS280" s="44" t="n">
        <f aca="false">BR280*(1+INDEX(Response_Table!$N$4:$N$21,MATCH($F280&amp;"|mid",Response_Table!$A$4:$A$21,0))*$R280*INDEX(Parameters!$X$14:$AA$14,1,MATCH($E280,Parameters!$X$3:$AA$3,0)))</f>
        <v>15.6584264326751</v>
      </c>
      <c r="BT280" s="44" t="n">
        <f aca="false">MAX(0,MIN(BR280*(1+INDEX(Response_Table!$N$4:$N$21,MATCH($F280&amp;"|low",Response_Table!$A$4:$A$21,0))*$R280*INDEX(Parameters!$X$14:$AA$14,1,MATCH($E280,Parameters!$X$3:$AA$3,0))),BR280*(1+INDEX(Response_Table!$N$4:$N$21,MATCH($F280&amp;"|high",Response_Table!$A$4:$A$21,0))*$R280*INDEX(Parameters!$X$14:$AA$14,1,MATCH($E280,Parameters!$X$3:$AA$3,0))))*(1-Inputs_General!$C$22*Parameters!$F$14))</f>
        <v>7.71201543002126</v>
      </c>
      <c r="BU280" s="44" t="n">
        <f aca="false">MAX(BR280*(1+INDEX(Response_Table!$N$4:$N$21,MATCH($F280&amp;"|low",Response_Table!$A$4:$A$21,0))*$R280*INDEX(Parameters!$X$14:$AA$14,1,MATCH($E280,Parameters!$X$3:$AA$3,0))),BR280*(1+INDEX(Response_Table!$N$4:$N$21,MATCH($F280&amp;"|high",Response_Table!$A$4:$A$21,0))*$R280*INDEX(Parameters!$X$14:$AA$14,1,MATCH($E280,Parameters!$X$3:$AA$3,0))))*(1+Inputs_General!$C$22*Parameters!$F$14)</f>
        <v>23.9939496746502</v>
      </c>
      <c r="BV280" s="45" t="n">
        <f aca="false">IF(BR280=0,0,BS280/BR280-1)</f>
        <v>0.0438950955116737</v>
      </c>
      <c r="BW280" s="43" t="n">
        <f aca="false">Parameters!$E$15*IF($N280="V",Parameters!$I$15,IF($N280="F",Parameters!$J$15,Parameters!$K$15))*(1-Parameters!$L$15*$P280)*IF($D280="V1",Parameters!$M$15,IF($D280="V2",Parameters!$N$15,Parameters!$O$15))</f>
        <v>9.73964285714286</v>
      </c>
      <c r="BX280" s="43" t="n">
        <f aca="false">BW280*(1+INDEX(Response_Table!$O$4:$O$21,MATCH($F280&amp;"|mid",Response_Table!$A$4:$A$21,0))*$R280*INDEX(Parameters!$X$15:$AA$15,1,MATCH($E280,Parameters!$X$3:$AA$3,0)))</f>
        <v>9.63276221877689</v>
      </c>
      <c r="BY280" s="43" t="n">
        <f aca="false">MAX(0,MIN(BW280*(1+INDEX(Response_Table!$O$4:$O$21,MATCH($F280&amp;"|low",Response_Table!$A$4:$A$21,0))*$R280*INDEX(Parameters!$X$15:$AA$15,1,MATCH($E280,Parameters!$X$3:$AA$3,0))),BW280*(1+INDEX(Response_Table!$O$4:$O$21,MATCH($F280&amp;"|high",Response_Table!$A$4:$A$21,0))*$R280*INDEX(Parameters!$X$15:$AA$15,1,MATCH($E280,Parameters!$X$3:$AA$3,0))))*(1-Inputs_General!$C$22*Parameters!$F$15))</f>
        <v>7.6782088607836</v>
      </c>
      <c r="BZ280" s="43" t="n">
        <f aca="false">MAX(BW280*(1+INDEX(Response_Table!$O$4:$O$21,MATCH($F280&amp;"|low",Response_Table!$A$4:$A$21,0))*$R280*INDEX(Parameters!$X$15:$AA$15,1,MATCH($E280,Parameters!$X$3:$AA$3,0))),BW280*(1+INDEX(Response_Table!$O$4:$O$21,MATCH($F280&amp;"|high",Response_Table!$A$4:$A$21,0))*$R280*INDEX(Parameters!$X$15:$AA$15,1,MATCH($E280,Parameters!$X$3:$AA$3,0))))*(1+Inputs_General!$C$22*Parameters!$F$15)</f>
        <v>11.6183027373458</v>
      </c>
      <c r="CA280" s="45" t="n">
        <f aca="false">IF(BW280=0,0,BX280/BW280-1)</f>
        <v>-0.0109737738779183</v>
      </c>
      <c r="CB280" s="46" t="n">
        <f aca="false">BD280+BI280</f>
        <v>1.62382882751153</v>
      </c>
      <c r="CC280" s="43" t="n">
        <f aca="false">BD280/BI280</f>
        <v>2.74786164779816</v>
      </c>
      <c r="CD280" s="46" t="n">
        <f aca="false">BN280/CB280</f>
        <v>0.191962111460312</v>
      </c>
      <c r="CE280" s="43" t="n">
        <f aca="false">AE280/AO280</f>
        <v>2.97948852208285</v>
      </c>
      <c r="CF280" s="44" t="n">
        <f aca="false">AE280/AJ280</f>
        <v>52.5854766432115</v>
      </c>
      <c r="CG280" s="44" t="n">
        <f aca="false">INDEX(Context!$V$4:$V$51,$K280)</f>
        <v>28.62</v>
      </c>
      <c r="CH280" s="44" t="n">
        <f aca="false">INDEX(Context!$Y$4:$Y$51,$K280)</f>
        <v>25.3060134606718</v>
      </c>
      <c r="CI280" s="44" t="n">
        <f aca="false">INDEX(Context!$Z$4:$Z$51,$K280)</f>
        <v>32.62</v>
      </c>
      <c r="CJ280" s="43" t="n">
        <f aca="false">INDEX(Context!$AA$4:$AA$51,$K280)</f>
        <v>0.221696428571429</v>
      </c>
      <c r="CK280" s="43" t="n">
        <f aca="false">MAX(0,MIN(1,1-(1-CJ280)*AO280/AN280))</f>
        <v>0.253147417331599</v>
      </c>
      <c r="CL280" s="44" t="n">
        <f aca="false">CH280+CK280*(CI280-CH280)</f>
        <v>27.1575302635008</v>
      </c>
      <c r="CM280" s="44" t="n">
        <f aca="false">CH280+MAX(0,MIN(1,1-(1-CJ280)*AQ280/AN280))*(CI280-CH280)</f>
        <v>25.3060134606718</v>
      </c>
      <c r="CN280" s="44" t="n">
        <f aca="false">CH280+MAX(0,MIN(1,1-(1-CJ280)*AP280/AN280))*(CI280-CH280)</f>
        <v>28.9121718909313</v>
      </c>
      <c r="CO280" s="44" t="n">
        <f aca="false">CL280-CG280</f>
        <v>-1.46246973649921</v>
      </c>
      <c r="CP280" s="44" t="n">
        <f aca="false">CL280-(CH280+CJ280*(CI280-CH280))</f>
        <v>0.230032108440454</v>
      </c>
      <c r="CQ280" s="46" t="n">
        <f aca="false">CL280/CG280</f>
        <v>0.948900428494088</v>
      </c>
      <c r="CR280" s="43" t="n">
        <f aca="false">IF(CL280-CH280&lt;=0,"n/a",(CI280-CL280)/(CL280-CH280))</f>
        <v>2.95026743918977</v>
      </c>
      <c r="CS280" s="43" t="n">
        <f aca="false">IF(CI280-CL280&lt;=0,"n/a",(CL280-CH280)/(CI280-CL280))</f>
        <v>0.338952322327304</v>
      </c>
      <c r="CT280" s="43" t="n">
        <f aca="false">Inputs_General!$C$23+Inputs_General!$C$24*$I280</f>
        <v>0.66</v>
      </c>
      <c r="CU280" s="44" t="n">
        <f aca="false">3.29*CT280</f>
        <v>2.1714</v>
      </c>
    </row>
    <row r="281" customFormat="false" ht="15" hidden="false" customHeight="false" outlineLevel="0" collapsed="false">
      <c r="A281" s="9" t="str">
        <f aca="false">B281&amp;"|"&amp;E281&amp;"|"&amp;F281</f>
        <v>D4V3|03/03/2026|Low</v>
      </c>
      <c r="B281" s="7" t="s">
        <v>354</v>
      </c>
      <c r="C281" s="9" t="s">
        <v>133</v>
      </c>
      <c r="D281" s="9" t="s">
        <v>150</v>
      </c>
      <c r="E281" s="9" t="s">
        <v>162</v>
      </c>
      <c r="F281" s="7" t="s">
        <v>279</v>
      </c>
      <c r="G281" s="9" t="s">
        <v>280</v>
      </c>
      <c r="H281" s="41" t="n">
        <f aca="false">INDEX(Severity_Classes!$C$4:$C$9,MATCH(F281,Severity_Classes!$A$4:$A$9,0))</f>
        <v>0.06</v>
      </c>
      <c r="I281" s="41" t="n">
        <f aca="false">INDEX(Severity_Classes!$D$4:$D$9,MATCH(F281,Severity_Classes!$A$4:$A$9,0))</f>
        <v>0.08</v>
      </c>
      <c r="J281" s="41" t="n">
        <f aca="false">INDEX(Severity_Classes!$E$4:$E$9,MATCH(F281,Severity_Classes!$A$4:$A$9,0))</f>
        <v>0.1</v>
      </c>
      <c r="K281" s="42" t="n">
        <f aca="false">MATCH(B281&amp;"|"&amp;E281,Context!$A$4:$A$51,0)</f>
        <v>47</v>
      </c>
      <c r="L281" s="42" t="n">
        <f aca="false">INDEX(Context!$H$4:$H$51,K281)</f>
        <v>53</v>
      </c>
      <c r="M281" s="42" t="n">
        <f aca="false">INDEX(Context!$I$4:$I$51,K281)</f>
        <v>26</v>
      </c>
      <c r="N281" s="9" t="str">
        <f aca="false">INDEX(Context!$L$4:$L$51,K281)</f>
        <v>F</v>
      </c>
      <c r="O281" s="9" t="str">
        <f aca="false">INDEX(Context!$M$4:$M$51,K281)</f>
        <v>5th fully expanded leaf from top</v>
      </c>
      <c r="P281" s="43" t="n">
        <f aca="false">INDEX(Context!$R$4:$R$51,K281)</f>
        <v>0.433928571428571</v>
      </c>
      <c r="Q281" s="43" t="n">
        <f aca="false">INDEX(Context!$U$4:$U$51,K281)</f>
        <v>1.73951545534029</v>
      </c>
      <c r="R281" s="43" t="n">
        <f aca="false">INDEX(Context!$AD$4:$AD$51,K281)</f>
        <v>0.85</v>
      </c>
      <c r="S281" s="9" t="str">
        <f aca="false">INDEX(Context!$AI$4:$AN$51,K281,MATCH(F281,Severity_Classes!$A$4:$A$9,0))</f>
        <v>Likely</v>
      </c>
      <c r="T281" s="44" t="n">
        <f aca="false">Parameters!$E$4*IF($N281="V",Parameters!$I$4,IF($N281="F",Parameters!$J$4,Parameters!$K$4))*(1-Parameters!$L$4*$P281)*IF($D281="V1",Parameters!$M$4,IF($D281="V2",Parameters!$N$4,Parameters!$O$4))</f>
        <v>83.2927660714286</v>
      </c>
      <c r="U281" s="44" t="n">
        <f aca="false">MIN(100,T281*(1+INDEX(Response_Table!$E$4:$E$21,MATCH($F281&amp;"|mid",Response_Table!$A$4:$A$21,0))*$R281*INDEX(Parameters!$X$4:$AA$4,1,MATCH($E281,Parameters!$X$3:$AA$3,0))))</f>
        <v>82.3073433976175</v>
      </c>
      <c r="V281" s="44" t="n">
        <f aca="false">MAX(0,MIN(T281*(1+INDEX(Response_Table!$E$4:$E$21,MATCH($F281&amp;"|low",Response_Table!$A$4:$A$21,0))*$R281*INDEX(Parameters!$X$4:$AA$4,1,MATCH($E281,Parameters!$X$3:$AA$3,0))),T281*(1+INDEX(Response_Table!$E$4:$E$21,MATCH($F281&amp;"|high",Response_Table!$A$4:$A$21,0))*$R281*INDEX(Parameters!$X$4:$AA$4,1,MATCH($E281,Parameters!$X$3:$AA$3,0))))*(1-Inputs_General!$C$22*Parameters!$F$4))</f>
        <v>76.5698798562237</v>
      </c>
      <c r="W281" s="44" t="n">
        <f aca="false">MIN(100,MAX(T281*(1+INDEX(Response_Table!$E$4:$E$21,MATCH($F281&amp;"|low",Response_Table!$A$4:$A$21,0))*$R281*INDEX(Parameters!$X$4:$AA$4,1,MATCH($E281,Parameters!$X$3:$AA$3,0))),T281*(1+INDEX(Response_Table!$E$4:$E$21,MATCH($F281&amp;"|high",Response_Table!$A$4:$A$21,0))*$R281*INDEX(Parameters!$X$4:$AA$4,1,MATCH($E281,Parameters!$X$3:$AA$3,0))))*(1+Inputs_General!$C$22*Parameters!$F$4))</f>
        <v>88.043848156757</v>
      </c>
      <c r="X281" s="45" t="n">
        <f aca="false">IF(T281=0,0,U281/T281-1)</f>
        <v>-0.0118308314189739</v>
      </c>
      <c r="Y281" s="44" t="n">
        <f aca="false">Parameters!$E$5*IF($N281="V",Parameters!$I$5,IF($N281="F",Parameters!$J$5,Parameters!$K$5))*(1-Parameters!$L$5*$P281)*IF($D281="V1",Parameters!$M$5,IF($D281="V2",Parameters!$N$5,Parameters!$O$5))</f>
        <v>66.88584</v>
      </c>
      <c r="Z281" s="44" t="n">
        <f aca="false">MIN(100,Y281*(1+INDEX(Response_Table!$F$4:$F$21,MATCH($F281&amp;"|mid",Response_Table!$A$4:$A$21,0))*$R281*INDEX(Parameters!$X$5:$AA$5,1,MATCH($E281,Parameters!$X$3:$AA$3,0))))</f>
        <v>64.2734964721013</v>
      </c>
      <c r="AA281" s="44" t="n">
        <f aca="false">MAX(0,MIN(Y281*(1+INDEX(Response_Table!$F$4:$F$21,MATCH($F281&amp;"|low",Response_Table!$A$4:$A$21,0))*$R281*INDEX(Parameters!$X$5:$AA$5,1,MATCH($E281,Parameters!$X$3:$AA$3,0))),Y281*(1+INDEX(Response_Table!$F$4:$F$21,MATCH($F281&amp;"|high",Response_Table!$A$4:$A$21,0))*$R281*INDEX(Parameters!$X$5:$AA$5,1,MATCH($E281,Parameters!$X$3:$AA$3,0))))*(1-Inputs_General!$C$22*Parameters!$F$5))</f>
        <v>56.026363086705</v>
      </c>
      <c r="AB281" s="44" t="n">
        <f aca="false">MIN(100,MAX(Y281*(1+INDEX(Response_Table!$F$4:$F$21,MATCH($F281&amp;"|low",Response_Table!$A$4:$A$21,0))*$R281*INDEX(Parameters!$X$5:$AA$5,1,MATCH($E281,Parameters!$X$3:$AA$3,0))),Y281*(1+INDEX(Response_Table!$F$4:$F$21,MATCH($F281&amp;"|high",Response_Table!$A$4:$A$21,0))*$R281*INDEX(Parameters!$X$5:$AA$5,1,MATCH($E281,Parameters!$X$3:$AA$3,0))))*(1+Inputs_General!$C$22*Parameters!$F$5))</f>
        <v>72.5903798013609</v>
      </c>
      <c r="AC281" s="45" t="n">
        <f aca="false">IF(Y281=0,0,Z281/Y281-1)</f>
        <v>-0.0390567499473534</v>
      </c>
      <c r="AD281" s="44" t="n">
        <f aca="false">Parameters!$E$6*IF($N281="V",Parameters!$I$6,IF($N281="F",Parameters!$J$6,Parameters!$K$6))*(1-Parameters!$L$6*$P281)*IF($D281="V1",Parameters!$M$6,IF($D281="V2",Parameters!$N$6,Parameters!$O$6))</f>
        <v>18.5509621428571</v>
      </c>
      <c r="AE281" s="44" t="n">
        <f aca="false">AD281*(1+INDEX(Response_Table!$G$4:$G$21,MATCH($F281&amp;"|mid",Response_Table!$A$4:$A$21,0))*$R281*INDEX(Parameters!$X$6:$AA$6,1,MATCH($E281,Parameters!$X$3:$AA$3,0)))</f>
        <v>15.0418821373977</v>
      </c>
      <c r="AF281" s="44" t="n">
        <f aca="false">MAX(0,MIN(AD281*(1+INDEX(Response_Table!$G$4:$G$21,MATCH($F281&amp;"|low",Response_Table!$A$4:$A$21,0))*$R281*INDEX(Parameters!$X$6:$AA$6,1,MATCH($E281,Parameters!$X$3:$AA$3,0))),AD281*(1+INDEX(Response_Table!$G$4:$G$21,MATCH($F281&amp;"|high",Response_Table!$A$4:$A$21,0))*$R281*INDEX(Parameters!$X$6:$AA$6,1,MATCH($E281,Parameters!$X$3:$AA$3,0))))*(1-Inputs_General!$C$22*Parameters!$F$6))</f>
        <v>11.5102888623805</v>
      </c>
      <c r="AG281" s="44" t="n">
        <f aca="false">MAX(AD281*(1+INDEX(Response_Table!$G$4:$G$21,MATCH($F281&amp;"|low",Response_Table!$A$4:$A$21,0))*$R281*INDEX(Parameters!$X$6:$AA$6,1,MATCH($E281,Parameters!$X$3:$AA$3,0))),AD281*(1+INDEX(Response_Table!$G$4:$G$21,MATCH($F281&amp;"|high",Response_Table!$A$4:$A$21,0))*$R281*INDEX(Parameters!$X$6:$AA$6,1,MATCH($E281,Parameters!$X$3:$AA$3,0))))*(1+Inputs_General!$C$22*Parameters!$F$6)</f>
        <v>18.9272561977413</v>
      </c>
      <c r="AH281" s="45" t="n">
        <f aca="false">IF(AD281=0,0,AE281/AD281-1)</f>
        <v>-0.189158922240083</v>
      </c>
      <c r="AI281" s="46" t="n">
        <f aca="false">Parameters!$E$7*IF($N281="V",Parameters!$I$7,IF($N281="F",Parameters!$J$7,Parameters!$K$7))*(1-Parameters!$L$7*$P281)*IF($D281="V1",Parameters!$M$7,IF($D281="V2",Parameters!$N$7,Parameters!$O$7))*POWER($Q281/Inputs_General!$C$26,-Inputs_General!$C$25)</f>
        <v>0.341191629407368</v>
      </c>
      <c r="AJ281" s="46" t="n">
        <f aca="false">AI281*(1+INDEX(Response_Table!$H$4:$H$21,MATCH($F281&amp;"|mid",Response_Table!$A$4:$A$21,0))*$R281*INDEX(Parameters!$X$7:$AA$7,1,MATCH($E281,Parameters!$X$3:$AA$3,0)))</f>
        <v>0.300969194173925</v>
      </c>
      <c r="AK281" s="46" t="n">
        <f aca="false">MAX(0,MIN(AI281*(1+INDEX(Response_Table!$H$4:$H$21,MATCH($F281&amp;"|low",Response_Table!$A$4:$A$21,0))*$R281*INDEX(Parameters!$X$7:$AA$7,1,MATCH($E281,Parameters!$X$3:$AA$3,0))),AI281*(1+INDEX(Response_Table!$H$4:$H$21,MATCH($F281&amp;"|high",Response_Table!$A$4:$A$21,0))*$R281*INDEX(Parameters!$X$7:$AA$7,1,MATCH($E281,Parameters!$X$3:$AA$3,0))))*(1-Inputs_General!$C$22*Parameters!$F$7))</f>
        <v>0.205773686709861</v>
      </c>
      <c r="AL281" s="46" t="n">
        <f aca="false">MAX(AI281*(1+INDEX(Response_Table!$H$4:$H$21,MATCH($F281&amp;"|low",Response_Table!$A$4:$A$21,0))*$R281*INDEX(Parameters!$X$7:$AA$7,1,MATCH($E281,Parameters!$X$3:$AA$3,0))),AI281*(1+INDEX(Response_Table!$H$4:$H$21,MATCH($F281&amp;"|high",Response_Table!$A$4:$A$21,0))*$R281*INDEX(Parameters!$X$7:$AA$7,1,MATCH($E281,Parameters!$X$3:$AA$3,0))))*(1+Inputs_General!$C$22*Parameters!$F$7)</f>
        <v>0.401970749117358</v>
      </c>
      <c r="AM281" s="45" t="n">
        <f aca="false">IF(AI281=0,0,AJ281/AI281-1)</f>
        <v>-0.117888106760729</v>
      </c>
      <c r="AN281" s="43" t="n">
        <f aca="false">AI281*$Q281/Inputs_General!$C$13*1000</f>
        <v>5.97691956280819</v>
      </c>
      <c r="AO281" s="43" t="n">
        <f aca="false">AJ281*$Q281/Inputs_General!$C$13*1000*(1+Inputs_General!$C$21*$I281)</f>
        <v>5.37775806791332</v>
      </c>
      <c r="AP281" s="43" t="n">
        <f aca="false">AK281*$Q281/Inputs_General!$C$13*1000*(1+Inputs_General!$C$21*$H281)</f>
        <v>3.65876843866229</v>
      </c>
      <c r="AQ281" s="43" t="n">
        <f aca="false">AL281*$Q281/Inputs_General!$C$13*1000*(1+Inputs_General!$C$21*$J281)</f>
        <v>7.21767561884661</v>
      </c>
      <c r="AR281" s="45" t="n">
        <f aca="false">IF(AN281=0,0,AO281/AN281-1)</f>
        <v>-0.100245868895944</v>
      </c>
      <c r="AS281" s="42" t="n">
        <f aca="false">Parameters!$E$9*IF($N281="V",Parameters!$I$9,IF($N281="F",Parameters!$J$9,Parameters!$K$9))*(1-Parameters!$L$9*$P281)*IF($D281="V1",Parameters!$M$9,IF($D281="V2",Parameters!$N$9,Parameters!$O$9))</f>
        <v>285</v>
      </c>
      <c r="AT281" s="42" t="n">
        <f aca="false">AS281*(1+INDEX(Response_Table!$I$4:$I$21,MATCH($F281&amp;"|mid",Response_Table!$A$4:$A$21,0))*$R281*INDEX(Parameters!$X$9:$AA$9,1,MATCH($E281,Parameters!$X$3:$AA$3,0)))</f>
        <v>304.90211873067</v>
      </c>
      <c r="AU281" s="42" t="n">
        <f aca="false">MAX(0,MIN(AS281*(1+INDEX(Response_Table!$I$4:$I$21,MATCH($F281&amp;"|low",Response_Table!$A$4:$A$21,0))*$R281*INDEX(Parameters!$X$9:$AA$9,1,MATCH($E281,Parameters!$X$3:$AA$3,0))),AS281*(1+INDEX(Response_Table!$I$4:$I$21,MATCH($F281&amp;"|high",Response_Table!$A$4:$A$21,0))*$R281*INDEX(Parameters!$X$9:$AA$9,1,MATCH($E281,Parameters!$X$3:$AA$3,0))))*(1-Inputs_General!$C$22*Parameters!$F$9))</f>
        <v>270.846797043545</v>
      </c>
      <c r="AV281" s="42" t="n">
        <f aca="false">MAX(AS281*(1+INDEX(Response_Table!$I$4:$I$21,MATCH($F281&amp;"|low",Response_Table!$A$4:$A$21,0))*$R281*INDEX(Parameters!$X$9:$AA$9,1,MATCH($E281,Parameters!$X$3:$AA$3,0))),AS281*(1+INDEX(Response_Table!$I$4:$I$21,MATCH($F281&amp;"|high",Response_Table!$A$4:$A$21,0))*$R281*INDEX(Parameters!$X$9:$AA$9,1,MATCH($E281,Parameters!$X$3:$AA$3,0))))*(1+Inputs_General!$C$22*Parameters!$F$9)</f>
        <v>339.453792381945</v>
      </c>
      <c r="AW281" s="45" t="n">
        <f aca="false">IF(AS281=0,0,AT281/AS281-1)</f>
        <v>0.0698319955462088</v>
      </c>
      <c r="AX281" s="43" t="n">
        <f aca="false">INDEX(Context!$AB$4:$AB$51,$K281)</f>
        <v>2.00148060787833</v>
      </c>
      <c r="AY281" s="43" t="n">
        <f aca="false">AX281*(1+INDEX(Response_Table!$J$4:$J$21,MATCH($F281&amp;"|mid",Response_Table!$A$4:$A$21,0))*$R281*INDEX(Parameters!$X$10:$AA$10,1,MATCH($E281,Parameters!$X$3:$AA$3,0)))</f>
        <v>1.86270697531476</v>
      </c>
      <c r="AZ281" s="43" t="n">
        <f aca="false">MAX(0,MIN(AX281*(1+INDEX(Response_Table!$J$4:$J$21,MATCH($F281&amp;"|low",Response_Table!$A$4:$A$21,0))*$R281*INDEX(Parameters!$X$10:$AA$10,1,MATCH($E281,Parameters!$X$3:$AA$3,0))),AX281*(1+INDEX(Response_Table!$J$4:$J$21,MATCH($F281&amp;"|high",Response_Table!$A$4:$A$21,0))*$R281*INDEX(Parameters!$X$10:$AA$10,1,MATCH($E281,Parameters!$X$3:$AA$3,0))))*(1-Inputs_General!$C$22*Parameters!$F$10))</f>
        <v>1.47047390632557</v>
      </c>
      <c r="BA281" s="43" t="n">
        <f aca="false">MAX(AX281*(1+INDEX(Response_Table!$J$4:$J$21,MATCH($F281&amp;"|low",Response_Table!$A$4:$A$21,0))*$R281*INDEX(Parameters!$X$10:$AA$10,1,MATCH($E281,Parameters!$X$3:$AA$3,0))),AX281*(1+INDEX(Response_Table!$J$4:$J$21,MATCH($F281&amp;"|high",Response_Table!$A$4:$A$21,0))*$R281*INDEX(Parameters!$X$10:$AA$10,1,MATCH($E281,Parameters!$X$3:$AA$3,0))))*(1+Inputs_General!$C$22*Parameters!$F$10)</f>
        <v>2.26888539644699</v>
      </c>
      <c r="BB281" s="45" t="n">
        <f aca="false">IF(AX281=0,0,AY281/AX281-1)</f>
        <v>-0.069335486947672</v>
      </c>
      <c r="BC281" s="46" t="n">
        <f aca="false">Parameters!$E$11*IF($N281="V",Parameters!$I$11,IF($N281="F",Parameters!$J$11,Parameters!$K$11))*(1-Parameters!$L$11*$P281)*IF($D281="V1",Parameters!$M$11,IF($D281="V2",Parameters!$N$11,Parameters!$O$11))</f>
        <v>1.25397901785714</v>
      </c>
      <c r="BD281" s="46" t="n">
        <f aca="false">BC281*(1+INDEX(Response_Table!$K$4:$K$21,MATCH($F281&amp;"|mid",Response_Table!$A$4:$A$21,0))*$R281*INDEX(Parameters!$X$11:$AA$11,1,MATCH($E281,Parameters!$X$3:$AA$3,0)))</f>
        <v>1.0974992870948</v>
      </c>
      <c r="BE281" s="46" t="n">
        <f aca="false">MAX(0,MIN(BC281*(1+INDEX(Response_Table!$K$4:$K$21,MATCH($F281&amp;"|low",Response_Table!$A$4:$A$21,0))*$R281*INDEX(Parameters!$X$11:$AA$11,1,MATCH($E281,Parameters!$X$3:$AA$3,0))),BC281*(1+INDEX(Response_Table!$K$4:$K$21,MATCH($F281&amp;"|high",Response_Table!$A$4:$A$21,0))*$R281*INDEX(Parameters!$X$11:$AA$11,1,MATCH($E281,Parameters!$X$3:$AA$3,0))))*(1-Inputs_General!$C$22*Parameters!$F$11))</f>
        <v>0.889179755941374</v>
      </c>
      <c r="BF281" s="46" t="n">
        <f aca="false">MAX(BC281*(1+INDEX(Response_Table!$K$4:$K$21,MATCH($F281&amp;"|low",Response_Table!$A$4:$A$21,0))*$R281*INDEX(Parameters!$X$11:$AA$11,1,MATCH($E281,Parameters!$X$3:$AA$3,0))),BC281*(1+INDEX(Response_Table!$K$4:$K$21,MATCH($F281&amp;"|high",Response_Table!$A$4:$A$21,0))*$R281*INDEX(Parameters!$X$11:$AA$11,1,MATCH($E281,Parameters!$X$3:$AA$3,0))))*(1+Inputs_General!$C$22*Parameters!$F$11)</f>
        <v>1.31931739547343</v>
      </c>
      <c r="BG281" s="45" t="n">
        <f aca="false">IF(BC281=0,0,BD281/BC281-1)</f>
        <v>-0.124786562242283</v>
      </c>
      <c r="BH281" s="46" t="n">
        <f aca="false">Parameters!$E$12*IF($N281="V",Parameters!$I$12,IF($N281="F",Parameters!$J$12,Parameters!$K$12))*(1-Parameters!$L$12*$P281)*IF($D281="V1",Parameters!$M$12,IF($D281="V2",Parameters!$N$12,Parameters!$O$12))</f>
        <v>0.451432446428571</v>
      </c>
      <c r="BI281" s="46" t="n">
        <f aca="false">BH281*(1+INDEX(Response_Table!$L$4:$L$21,MATCH($F281&amp;"|mid",Response_Table!$A$4:$A$21,0))*$R281*INDEX(Parameters!$X$12:$AA$12,1,MATCH($E281,Parameters!$X$3:$AA$3,0)))</f>
        <v>0.406401394056409</v>
      </c>
      <c r="BJ281" s="46" t="n">
        <f aca="false">MAX(0,MIN(BH281*(1+INDEX(Response_Table!$L$4:$L$21,MATCH($F281&amp;"|low",Response_Table!$A$4:$A$21,0))*$R281*INDEX(Parameters!$X$12:$AA$12,1,MATCH($E281,Parameters!$X$3:$AA$3,0))),BH281*(1+INDEX(Response_Table!$L$4:$L$21,MATCH($F281&amp;"|high",Response_Table!$A$4:$A$21,0))*$R281*INDEX(Parameters!$X$12:$AA$12,1,MATCH($E281,Parameters!$X$3:$AA$3,0))))*(1-Inputs_General!$C$22*Parameters!$F$12))</f>
        <v>0.318418318077866</v>
      </c>
      <c r="BK281" s="46" t="n">
        <f aca="false">MAX(BH281*(1+INDEX(Response_Table!$L$4:$L$21,MATCH($F281&amp;"|low",Response_Table!$A$4:$A$21,0))*$R281*INDEX(Parameters!$X$12:$AA$12,1,MATCH($E281,Parameters!$X$3:$AA$3,0))),BH281*(1+INDEX(Response_Table!$L$4:$L$21,MATCH($F281&amp;"|high",Response_Table!$A$4:$A$21,0))*$R281*INDEX(Parameters!$X$12:$AA$12,1,MATCH($E281,Parameters!$X$3:$AA$3,0))))*(1+Inputs_General!$C$22*Parameters!$F$12)</f>
        <v>0.49891718885675</v>
      </c>
      <c r="BL281" s="45" t="n">
        <f aca="false">IF(BH281=0,0,BI281/BH281-1)</f>
        <v>-0.0997514749513863</v>
      </c>
      <c r="BM281" s="46" t="n">
        <f aca="false">Parameters!$E$13*IF($N281="V",Parameters!$I$13,IF($N281="F",Parameters!$J$13,Parameters!$K$13))*(1-Parameters!$L$13*$P281)*IF($D281="V1",Parameters!$M$13,IF($D281="V2",Parameters!$N$13,Parameters!$O$13))</f>
        <v>0.304977482142857</v>
      </c>
      <c r="BN281" s="46" t="n">
        <f aca="false">BM281*(1+INDEX(Response_Table!$M$4:$M$21,MATCH($F281&amp;"|mid",Response_Table!$A$4:$A$21,0))*$R281*INDEX(Parameters!$X$13:$AA$13,1,MATCH($E281,Parameters!$X$3:$AA$3,0)))</f>
        <v>0.308182447902685</v>
      </c>
      <c r="BO281" s="46" t="n">
        <f aca="false">MAX(0,MIN(BM281*(1+INDEX(Response_Table!$M$4:$M$21,MATCH($F281&amp;"|low",Response_Table!$A$4:$A$21,0))*$R281*INDEX(Parameters!$X$13:$AA$13,1,MATCH($E281,Parameters!$X$3:$AA$3,0))),BM281*(1+INDEX(Response_Table!$M$4:$M$21,MATCH($F281&amp;"|high",Response_Table!$A$4:$A$21,0))*$R281*INDEX(Parameters!$X$13:$AA$13,1,MATCH($E281,Parameters!$X$3:$AA$3,0))))*(1-Inputs_General!$C$22*Parameters!$F$13))</f>
        <v>0.24401078758413</v>
      </c>
      <c r="BP281" s="46" t="n">
        <f aca="false">MAX(BM281*(1+INDEX(Response_Table!$M$4:$M$21,MATCH($F281&amp;"|low",Response_Table!$A$4:$A$21,0))*$R281*INDEX(Parameters!$X$13:$AA$13,1,MATCH($E281,Parameters!$X$3:$AA$3,0))),BM281*(1+INDEX(Response_Table!$M$4:$M$21,MATCH($F281&amp;"|high",Response_Table!$A$4:$A$21,0))*$R281*INDEX(Parameters!$X$13:$AA$13,1,MATCH($E281,Parameters!$X$3:$AA$3,0))))*(1+Inputs_General!$C$22*Parameters!$F$13)</f>
        <v>0.372511001333389</v>
      </c>
      <c r="BQ281" s="45" t="n">
        <f aca="false">IF(BM281=0,0,BN281/BM281-1)</f>
        <v>0.0105088603175196</v>
      </c>
      <c r="BR281" s="44" t="n">
        <f aca="false">Parameters!$E$14*IF($N281="V",Parameters!$I$14,IF($N281="F",Parameters!$J$14,Parameters!$K$14))*(1-Parameters!$L$14*$P281)*IF($D281="V1",Parameters!$M$14,IF($D281="V2",Parameters!$N$14,Parameters!$O$14))*INDEX(Context!$AC$4:$AC$51,$K281)</f>
        <v>15</v>
      </c>
      <c r="BS281" s="44" t="n">
        <f aca="false">BR281*(1+INDEX(Response_Table!$N$4:$N$21,MATCH($F281&amp;"|mid",Response_Table!$A$4:$A$21,0))*$R281*INDEX(Parameters!$X$14:$AA$14,1,MATCH($E281,Parameters!$X$3:$AA$3,0)))</f>
        <v>16.6322968628409</v>
      </c>
      <c r="BT281" s="44" t="n">
        <f aca="false">MAX(0,MIN(BR281*(1+INDEX(Response_Table!$N$4:$N$21,MATCH($F281&amp;"|low",Response_Table!$A$4:$A$21,0))*$R281*INDEX(Parameters!$X$14:$AA$14,1,MATCH($E281,Parameters!$X$3:$AA$3,0))),BR281*(1+INDEX(Response_Table!$N$4:$N$21,MATCH($F281&amp;"|high",Response_Table!$A$4:$A$21,0))*$R281*INDEX(Parameters!$X$14:$AA$14,1,MATCH($E281,Parameters!$X$3:$AA$3,0))))*(1-Inputs_General!$C$22*Parameters!$F$14))</f>
        <v>8.23578263008946</v>
      </c>
      <c r="BU281" s="44" t="n">
        <f aca="false">MAX(BR281*(1+INDEX(Response_Table!$N$4:$N$21,MATCH($F281&amp;"|low",Response_Table!$A$4:$A$21,0))*$R281*INDEX(Parameters!$X$14:$AA$14,1,MATCH($E281,Parameters!$X$3:$AA$3,0))),BR281*(1+INDEX(Response_Table!$N$4:$N$21,MATCH($F281&amp;"|high",Response_Table!$A$4:$A$21,0))*$R281*INDEX(Parameters!$X$14:$AA$14,1,MATCH($E281,Parameters!$X$3:$AA$3,0))))*(1+Inputs_General!$C$22*Parameters!$F$14)</f>
        <v>25.3637231037007</v>
      </c>
      <c r="BV281" s="45" t="n">
        <f aca="false">IF(BR281=0,0,BS281/BR281-1)</f>
        <v>0.108819790856058</v>
      </c>
      <c r="BW281" s="43" t="n">
        <f aca="false">Parameters!$E$15*IF($N281="V",Parameters!$I$15,IF($N281="F",Parameters!$J$15,Parameters!$K$15))*(1-Parameters!$L$15*$P281)*IF($D281="V1",Parameters!$M$15,IF($D281="V2",Parameters!$N$15,Parameters!$O$15))</f>
        <v>9.73964285714286</v>
      </c>
      <c r="BX281" s="43" t="n">
        <f aca="false">BW281*(1+INDEX(Response_Table!$O$4:$O$21,MATCH($F281&amp;"|mid",Response_Table!$A$4:$A$21,0))*$R281*INDEX(Parameters!$X$15:$AA$15,1,MATCH($E281,Parameters!$X$3:$AA$3,0)))</f>
        <v>9.47467638246111</v>
      </c>
      <c r="BY281" s="43" t="n">
        <f aca="false">MAX(0,MIN(BW281*(1+INDEX(Response_Table!$O$4:$O$21,MATCH($F281&amp;"|low",Response_Table!$A$4:$A$21,0))*$R281*INDEX(Parameters!$X$15:$AA$15,1,MATCH($E281,Parameters!$X$3:$AA$3,0))),BW281*(1+INDEX(Response_Table!$O$4:$O$21,MATCH($F281&amp;"|high",Response_Table!$A$4:$A$21,0))*$R281*INDEX(Parameters!$X$15:$AA$15,1,MATCH($E281,Parameters!$X$3:$AA$3,0))))*(1-Inputs_General!$C$22*Parameters!$F$15))</f>
        <v>7.55871806661208</v>
      </c>
      <c r="BZ281" s="43" t="n">
        <f aca="false">MAX(BW281*(1+INDEX(Response_Table!$O$4:$O$21,MATCH($F281&amp;"|low",Response_Table!$A$4:$A$21,0))*$R281*INDEX(Parameters!$X$15:$AA$15,1,MATCH($E281,Parameters!$X$3:$AA$3,0))),BW281*(1+INDEX(Response_Table!$O$4:$O$21,MATCH($F281&amp;"|high",Response_Table!$A$4:$A$21,0))*$R281*INDEX(Parameters!$X$15:$AA$15,1,MATCH($E281,Parameters!$X$3:$AA$3,0))))*(1+Inputs_General!$C$22*Parameters!$F$15)</f>
        <v>11.4173055945843</v>
      </c>
      <c r="CA281" s="45" t="n">
        <f aca="false">IF(BW281=0,0,BX281/BW281-1)</f>
        <v>-0.0272049477140145</v>
      </c>
      <c r="CB281" s="46" t="n">
        <f aca="false">BD281+BI281</f>
        <v>1.5039006811512</v>
      </c>
      <c r="CC281" s="43" t="n">
        <f aca="false">BD281/BI281</f>
        <v>2.700530320874</v>
      </c>
      <c r="CD281" s="46" t="n">
        <f aca="false">BN281/CB281</f>
        <v>0.20492207481865</v>
      </c>
      <c r="CE281" s="43" t="n">
        <f aca="false">AE281/AO281</f>
        <v>2.79705445046811</v>
      </c>
      <c r="CF281" s="44" t="n">
        <f aca="false">AE281/AJ281</f>
        <v>49.9781453669483</v>
      </c>
      <c r="CG281" s="44" t="n">
        <f aca="false">INDEX(Context!$V$4:$V$51,$K281)</f>
        <v>28.62</v>
      </c>
      <c r="CH281" s="44" t="n">
        <f aca="false">INDEX(Context!$Y$4:$Y$51,$K281)</f>
        <v>25.3060134606718</v>
      </c>
      <c r="CI281" s="44" t="n">
        <f aca="false">INDEX(Context!$Z$4:$Z$51,$K281)</f>
        <v>32.62</v>
      </c>
      <c r="CJ281" s="43" t="n">
        <f aca="false">INDEX(Context!$AA$4:$AA$51,$K281)</f>
        <v>0.221696428571429</v>
      </c>
      <c r="CK281" s="43" t="n">
        <f aca="false">MAX(0,MIN(1,1-(1-CJ281)*AO281/AN281))</f>
        <v>0.299718146354102</v>
      </c>
      <c r="CL281" s="44" t="n">
        <f aca="false">CH281+CK281*(CI281-CH281)</f>
        <v>27.4981479486981</v>
      </c>
      <c r="CM281" s="44" t="n">
        <f aca="false">CH281+MAX(0,MIN(1,1-(1-CJ281)*AQ281/AN281))*(CI281-CH281)</f>
        <v>25.7457847215939</v>
      </c>
      <c r="CN281" s="44" t="n">
        <f aca="false">CH281+MAX(0,MIN(1,1-(1-CJ281)*AP281/AN281))*(CI281-CH281)</f>
        <v>29.1353377306777</v>
      </c>
      <c r="CO281" s="44" t="n">
        <f aca="false">CL281-CG281</f>
        <v>-1.12185205130192</v>
      </c>
      <c r="CP281" s="44" t="n">
        <f aca="false">CL281-(CH281+CJ281*(CI281-CH281))</f>
        <v>0.570649793637742</v>
      </c>
      <c r="CQ281" s="46" t="n">
        <f aca="false">CL281/CG281</f>
        <v>0.960801815118731</v>
      </c>
      <c r="CR281" s="43" t="n">
        <f aca="false">IF(CL281-CH281&lt;=0,"n/a",(CI281-CL281)/(CL281-CH281))</f>
        <v>2.33646798555383</v>
      </c>
      <c r="CS281" s="43" t="n">
        <f aca="false">IF(CI281-CL281&lt;=0,"n/a",(CL281-CH281)/(CI281-CL281))</f>
        <v>0.427996448563776</v>
      </c>
      <c r="CT281" s="43" t="n">
        <f aca="false">Inputs_General!$C$23+Inputs_General!$C$24*$I281</f>
        <v>0.76</v>
      </c>
      <c r="CU281" s="44" t="n">
        <f aca="false">3.29*CT281</f>
        <v>2.5004</v>
      </c>
    </row>
    <row r="282" customFormat="false" ht="15" hidden="false" customHeight="false" outlineLevel="0" collapsed="false">
      <c r="A282" s="9" t="str">
        <f aca="false">B282&amp;"|"&amp;E282&amp;"|"&amp;F282</f>
        <v>D4V3|03/03/2026|Moderate</v>
      </c>
      <c r="B282" s="7" t="s">
        <v>354</v>
      </c>
      <c r="C282" s="9" t="s">
        <v>133</v>
      </c>
      <c r="D282" s="9" t="s">
        <v>150</v>
      </c>
      <c r="E282" s="9" t="s">
        <v>162</v>
      </c>
      <c r="F282" s="7" t="s">
        <v>281</v>
      </c>
      <c r="G282" s="9" t="s">
        <v>282</v>
      </c>
      <c r="H282" s="41" t="n">
        <f aca="false">INDEX(Severity_Classes!$C$4:$C$9,MATCH(F282,Severity_Classes!$A$4:$A$9,0))</f>
        <v>0.11</v>
      </c>
      <c r="I282" s="41" t="n">
        <f aca="false">INDEX(Severity_Classes!$D$4:$D$9,MATCH(F282,Severity_Classes!$A$4:$A$9,0))</f>
        <v>0.18</v>
      </c>
      <c r="J282" s="41" t="n">
        <f aca="false">INDEX(Severity_Classes!$E$4:$E$9,MATCH(F282,Severity_Classes!$A$4:$A$9,0))</f>
        <v>0.25</v>
      </c>
      <c r="K282" s="42" t="n">
        <f aca="false">MATCH(B282&amp;"|"&amp;E282,Context!$A$4:$A$51,0)</f>
        <v>47</v>
      </c>
      <c r="L282" s="42" t="n">
        <f aca="false">INDEX(Context!$H$4:$H$51,K282)</f>
        <v>53</v>
      </c>
      <c r="M282" s="42" t="n">
        <f aca="false">INDEX(Context!$I$4:$I$51,K282)</f>
        <v>26</v>
      </c>
      <c r="N282" s="9" t="str">
        <f aca="false">INDEX(Context!$L$4:$L$51,K282)</f>
        <v>F</v>
      </c>
      <c r="O282" s="9" t="str">
        <f aca="false">INDEX(Context!$M$4:$M$51,K282)</f>
        <v>5th fully expanded leaf from top</v>
      </c>
      <c r="P282" s="43" t="n">
        <f aca="false">INDEX(Context!$R$4:$R$51,K282)</f>
        <v>0.433928571428571</v>
      </c>
      <c r="Q282" s="43" t="n">
        <f aca="false">INDEX(Context!$U$4:$U$51,K282)</f>
        <v>1.73951545534029</v>
      </c>
      <c r="R282" s="43" t="n">
        <f aca="false">INDEX(Context!$AD$4:$AD$51,K282)</f>
        <v>0.85</v>
      </c>
      <c r="S282" s="9" t="str">
        <f aca="false">INDEX(Context!$AI$4:$AN$51,K282,MATCH(F282,Severity_Classes!$A$4:$A$9,0))</f>
        <v>Likely</v>
      </c>
      <c r="T282" s="44" t="n">
        <f aca="false">Parameters!$E$4*IF($N282="V",Parameters!$I$4,IF($N282="F",Parameters!$J$4,Parameters!$K$4))*(1-Parameters!$L$4*$P282)*IF($D282="V1",Parameters!$M$4,IF($D282="V2",Parameters!$N$4,Parameters!$O$4))</f>
        <v>83.2927660714286</v>
      </c>
      <c r="U282" s="44" t="n">
        <f aca="false">MIN(100,T282*(1+INDEX(Response_Table!$E$4:$E$21,MATCH($F282&amp;"|mid",Response_Table!$A$4:$A$21,0))*$R282*INDEX(Parameters!$X$4:$AA$4,1,MATCH($E282,Parameters!$X$3:$AA$3,0))))</f>
        <v>80.0721315265001</v>
      </c>
      <c r="V282" s="44" t="n">
        <f aca="false">MAX(0,MIN(T282*(1+INDEX(Response_Table!$E$4:$E$21,MATCH($F282&amp;"|low",Response_Table!$A$4:$A$21,0))*$R282*INDEX(Parameters!$X$4:$AA$4,1,MATCH($E282,Parameters!$X$3:$AA$3,0))),T282*(1+INDEX(Response_Table!$E$4:$E$21,MATCH($F282&amp;"|high",Response_Table!$A$4:$A$21,0))*$R282*INDEX(Parameters!$X$4:$AA$4,1,MATCH($E282,Parameters!$X$3:$AA$3,0))))*(1-Inputs_General!$C$22*Parameters!$F$4))</f>
        <v>72.5495797836797</v>
      </c>
      <c r="W282" s="44" t="n">
        <f aca="false">MIN(100,MAX(T282*(1+INDEX(Response_Table!$E$4:$E$21,MATCH($F282&amp;"|low",Response_Table!$A$4:$A$21,0))*$R282*INDEX(Parameters!$X$4:$AA$4,1,MATCH($E282,Parameters!$X$3:$AA$3,0))),T282*(1+INDEX(Response_Table!$E$4:$E$21,MATCH($F282&amp;"|high",Response_Table!$A$4:$A$21,0))*$R282*INDEX(Parameters!$X$4:$AA$4,1,MATCH($E282,Parameters!$X$3:$AA$3,0))))*(1+Inputs_General!$C$22*Parameters!$F$4))</f>
        <v>87.1539703864154</v>
      </c>
      <c r="X282" s="45" t="n">
        <f aca="false">IF(T282=0,0,U282/T282-1)</f>
        <v>-0.0386664376371718</v>
      </c>
      <c r="Y282" s="44" t="n">
        <f aca="false">Parameters!$E$5*IF($N282="V",Parameters!$I$5,IF($N282="F",Parameters!$J$5,Parameters!$K$5))*(1-Parameters!$L$5*$P282)*IF($D282="V1",Parameters!$M$5,IF($D282="V2",Parameters!$N$5,Parameters!$O$5))</f>
        <v>66.88584</v>
      </c>
      <c r="Z282" s="44" t="n">
        <f aca="false">MIN(100,Y282*(1+INDEX(Response_Table!$F$4:$F$21,MATCH($F282&amp;"|mid",Response_Table!$A$4:$A$21,0))*$R282*INDEX(Parameters!$X$5:$AA$5,1,MATCH($E282,Parameters!$X$3:$AA$3,0))))</f>
        <v>57.9519656694317</v>
      </c>
      <c r="AA282" s="44" t="n">
        <f aca="false">MAX(0,MIN(Y282*(1+INDEX(Response_Table!$F$4:$F$21,MATCH($F282&amp;"|low",Response_Table!$A$4:$A$21,0))*$R282*INDEX(Parameters!$X$5:$AA$5,1,MATCH($E282,Parameters!$X$3:$AA$3,0))),Y282*(1+INDEX(Response_Table!$F$4:$F$21,MATCH($F282&amp;"|high",Response_Table!$A$4:$A$21,0))*$R282*INDEX(Parameters!$X$5:$AA$5,1,MATCH($E282,Parameters!$X$3:$AA$3,0))))*(1-Inputs_General!$C$22*Parameters!$F$5))</f>
        <v>45.4282732096215</v>
      </c>
      <c r="AB282" s="44" t="n">
        <f aca="false">MIN(100,MAX(Y282*(1+INDEX(Response_Table!$F$4:$F$21,MATCH($F282&amp;"|low",Response_Table!$A$4:$A$21,0))*$R282*INDEX(Parameters!$X$5:$AA$5,1,MATCH($E282,Parameters!$X$3:$AA$3,0))),Y282*(1+INDEX(Response_Table!$F$4:$F$21,MATCH($F282&amp;"|high",Response_Table!$A$4:$A$21,0))*$R282*INDEX(Parameters!$X$5:$AA$5,1,MATCH($E282,Parameters!$X$3:$AA$3,0))))*(1+Inputs_General!$C$22*Parameters!$F$5))</f>
        <v>70.0144934611505</v>
      </c>
      <c r="AC282" s="45" t="n">
        <f aca="false">IF(Y282=0,0,Z282/Y282-1)</f>
        <v>-0.133568993535377</v>
      </c>
      <c r="AD282" s="44" t="n">
        <f aca="false">Parameters!$E$6*IF($N282="V",Parameters!$I$6,IF($N282="F",Parameters!$J$6,Parameters!$K$6))*(1-Parameters!$L$6*$P282)*IF($D282="V1",Parameters!$M$6,IF($D282="V2",Parameters!$N$6,Parameters!$O$6))</f>
        <v>18.5509621428571</v>
      </c>
      <c r="AE282" s="44" t="n">
        <f aca="false">AD282*(1+INDEX(Response_Table!$G$4:$G$21,MATCH($F282&amp;"|mid",Response_Table!$A$4:$A$21,0))*$R282*INDEX(Parameters!$X$6:$AA$6,1,MATCH($E282,Parameters!$X$3:$AA$3,0)))</f>
        <v>12.081276680936</v>
      </c>
      <c r="AF282" s="44" t="n">
        <f aca="false">MAX(0,MIN(AD282*(1+INDEX(Response_Table!$G$4:$G$21,MATCH($F282&amp;"|low",Response_Table!$A$4:$A$21,0))*$R282*INDEX(Parameters!$X$6:$AA$6,1,MATCH($E282,Parameters!$X$3:$AA$3,0))),AD282*(1+INDEX(Response_Table!$G$4:$G$21,MATCH($F282&amp;"|high",Response_Table!$A$4:$A$21,0))*$R282*INDEX(Parameters!$X$6:$AA$6,1,MATCH($E282,Parameters!$X$3:$AA$3,0))))*(1-Inputs_General!$C$22*Parameters!$F$6))</f>
        <v>8.55678872126758</v>
      </c>
      <c r="AG282" s="44" t="n">
        <f aca="false">MAX(AD282*(1+INDEX(Response_Table!$G$4:$G$21,MATCH($F282&amp;"|low",Response_Table!$A$4:$A$21,0))*$R282*INDEX(Parameters!$X$6:$AA$6,1,MATCH($E282,Parameters!$X$3:$AA$3,0))),AD282*(1+INDEX(Response_Table!$G$4:$G$21,MATCH($F282&amp;"|high",Response_Table!$A$4:$A$21,0))*$R282*INDEX(Parameters!$X$6:$AA$6,1,MATCH($E282,Parameters!$X$3:$AA$3,0))))*(1+Inputs_General!$C$22*Parameters!$F$6)</f>
        <v>16.7796339173206</v>
      </c>
      <c r="AH282" s="45" t="n">
        <f aca="false">IF(AD282=0,0,AE282/AD282-1)</f>
        <v>-0.348752016854945</v>
      </c>
      <c r="AI282" s="46" t="n">
        <f aca="false">Parameters!$E$7*IF($N282="V",Parameters!$I$7,IF($N282="F",Parameters!$J$7,Parameters!$K$7))*(1-Parameters!$L$7*$P282)*IF($D282="V1",Parameters!$M$7,IF($D282="V2",Parameters!$N$7,Parameters!$O$7))*POWER($Q282/Inputs_General!$C$26,-Inputs_General!$C$25)</f>
        <v>0.341191629407368</v>
      </c>
      <c r="AJ282" s="46" t="n">
        <f aca="false">AI282*(1+INDEX(Response_Table!$H$4:$H$21,MATCH($F282&amp;"|mid",Response_Table!$A$4:$A$21,0))*$R282*INDEX(Parameters!$X$7:$AA$7,1,MATCH($E282,Parameters!$X$3:$AA$3,0)))</f>
        <v>0.262536180393179</v>
      </c>
      <c r="AK282" s="46" t="n">
        <f aca="false">MAX(0,MIN(AI282*(1+INDEX(Response_Table!$H$4:$H$21,MATCH($F282&amp;"|low",Response_Table!$A$4:$A$21,0))*$R282*INDEX(Parameters!$X$7:$AA$7,1,MATCH($E282,Parameters!$X$3:$AA$3,0))),AI282*(1+INDEX(Response_Table!$H$4:$H$21,MATCH($F282&amp;"|high",Response_Table!$A$4:$A$21,0))*$R282*INDEX(Parameters!$X$7:$AA$7,1,MATCH($E282,Parameters!$X$3:$AA$3,0))))*(1-Inputs_General!$C$22*Parameters!$F$7))</f>
        <v>0.170152554268411</v>
      </c>
      <c r="AL282" s="46" t="n">
        <f aca="false">MAX(AI282*(1+INDEX(Response_Table!$H$4:$H$21,MATCH($F282&amp;"|low",Response_Table!$A$4:$A$21,0))*$R282*INDEX(Parameters!$X$7:$AA$7,1,MATCH($E282,Parameters!$X$3:$AA$3,0))),AI282*(1+INDEX(Response_Table!$H$4:$H$21,MATCH($F282&amp;"|high",Response_Table!$A$4:$A$21,0))*$R282*INDEX(Parameters!$X$7:$AA$7,1,MATCH($E282,Parameters!$X$3:$AA$3,0))))*(1+Inputs_General!$C$22*Parameters!$F$7)</f>
        <v>0.373544313842361</v>
      </c>
      <c r="AM282" s="45" t="n">
        <f aca="false">IF(AI282=0,0,AJ282/AI282-1)</f>
        <v>-0.230531590563371</v>
      </c>
      <c r="AN282" s="43" t="n">
        <f aca="false">AI282*$Q282/Inputs_General!$C$13*1000</f>
        <v>5.97691956280819</v>
      </c>
      <c r="AO282" s="43" t="n">
        <f aca="false">AJ282*$Q282/Inputs_General!$C$13*1000*(1+Inputs_General!$C$21*$I282)</f>
        <v>4.8060080748443</v>
      </c>
      <c r="AP282" s="43" t="n">
        <f aca="false">AK282*$Q282/Inputs_General!$C$13*1000*(1+Inputs_General!$C$21*$H282)</f>
        <v>3.06266395124073</v>
      </c>
      <c r="AQ282" s="43" t="n">
        <f aca="false">AL282*$Q282/Inputs_General!$C$13*1000*(1+Inputs_General!$C$21*$J282)</f>
        <v>6.95264591019361</v>
      </c>
      <c r="AR282" s="45" t="n">
        <f aca="false">IF(AN282=0,0,AO282/AN282-1)</f>
        <v>-0.195905512138722</v>
      </c>
      <c r="AS282" s="42" t="n">
        <f aca="false">Parameters!$E$9*IF($N282="V",Parameters!$I$9,IF($N282="F",Parameters!$J$9,Parameters!$K$9))*(1-Parameters!$L$9*$P282)*IF($D282="V1",Parameters!$M$9,IF($D282="V2",Parameters!$N$9,Parameters!$O$9))</f>
        <v>285</v>
      </c>
      <c r="AT282" s="42" t="n">
        <f aca="false">AS282*(1+INDEX(Response_Table!$I$4:$I$21,MATCH($F282&amp;"|mid",Response_Table!$A$4:$A$21,0))*$R282*INDEX(Parameters!$X$9:$AA$9,1,MATCH($E282,Parameters!$X$3:$AA$3,0)))</f>
        <v>322.300279798109</v>
      </c>
      <c r="AU282" s="42" t="n">
        <f aca="false">MAX(0,MIN(AS282*(1+INDEX(Response_Table!$I$4:$I$21,MATCH($F282&amp;"|low",Response_Table!$A$4:$A$21,0))*$R282*INDEX(Parameters!$X$9:$AA$9,1,MATCH($E282,Parameters!$X$3:$AA$3,0))),AS282*(1+INDEX(Response_Table!$I$4:$I$21,MATCH($F282&amp;"|high",Response_Table!$A$4:$A$21,0))*$R282*INDEX(Parameters!$X$9:$AA$9,1,MATCH($E282,Parameters!$X$3:$AA$3,0))))*(1-Inputs_General!$C$22*Parameters!$F$9))</f>
        <v>280.186818337032</v>
      </c>
      <c r="AV282" s="42" t="n">
        <f aca="false">MAX(AS282*(1+INDEX(Response_Table!$I$4:$I$21,MATCH($F282&amp;"|low",Response_Table!$A$4:$A$21,0))*$R282*INDEX(Parameters!$X$9:$AA$9,1,MATCH($E282,Parameters!$X$3:$AA$3,0))),AS282*(1+INDEX(Response_Table!$I$4:$I$21,MATCH($F282&amp;"|high",Response_Table!$A$4:$A$21,0))*$R282*INDEX(Parameters!$X$9:$AA$9,1,MATCH($E282,Parameters!$X$3:$AA$3,0))))*(1+Inputs_General!$C$22*Parameters!$F$9)</f>
        <v>363.603076604055</v>
      </c>
      <c r="AW282" s="45" t="n">
        <f aca="false">IF(AS282=0,0,AT282/AS282-1)</f>
        <v>0.130878174730207</v>
      </c>
      <c r="AX282" s="43" t="n">
        <f aca="false">INDEX(Context!$AB$4:$AB$51,$K282)</f>
        <v>2.00148060787833</v>
      </c>
      <c r="AY282" s="43" t="n">
        <f aca="false">AX282*(1+INDEX(Response_Table!$J$4:$J$21,MATCH($F282&amp;"|mid",Response_Table!$A$4:$A$21,0))*$R282*INDEX(Parameters!$X$10:$AA$10,1,MATCH($E282,Parameters!$X$3:$AA$3,0)))</f>
        <v>1.72406092090929</v>
      </c>
      <c r="AZ282" s="43" t="n">
        <f aca="false">MAX(0,MIN(AX282*(1+INDEX(Response_Table!$J$4:$J$21,MATCH($F282&amp;"|low",Response_Table!$A$4:$A$21,0))*$R282*INDEX(Parameters!$X$10:$AA$10,1,MATCH($E282,Parameters!$X$3:$AA$3,0))),AX282*(1+INDEX(Response_Table!$J$4:$J$21,MATCH($F282&amp;"|high",Response_Table!$A$4:$A$21,0))*$R282*INDEX(Parameters!$X$10:$AA$10,1,MATCH($E282,Parameters!$X$3:$AA$3,0))))*(1-Inputs_General!$C$22*Parameters!$F$10))</f>
        <v>1.3208327235564</v>
      </c>
      <c r="BA282" s="43" t="n">
        <f aca="false">MAX(AX282*(1+INDEX(Response_Table!$J$4:$J$21,MATCH($F282&amp;"|low",Response_Table!$A$4:$A$21,0))*$R282*INDEX(Parameters!$X$10:$AA$10,1,MATCH($E282,Parameters!$X$3:$AA$3,0))),AX282*(1+INDEX(Response_Table!$J$4:$J$21,MATCH($F282&amp;"|high",Response_Table!$A$4:$A$21,0))*$R282*INDEX(Parameters!$X$10:$AA$10,1,MATCH($E282,Parameters!$X$3:$AA$3,0))))*(1+Inputs_General!$C$22*Parameters!$F$10)</f>
        <v>2.17617525951395</v>
      </c>
      <c r="BB282" s="45" t="n">
        <f aca="false">IF(AX282=0,0,AY282/AX282-1)</f>
        <v>-0.138607232004672</v>
      </c>
      <c r="BC282" s="46" t="n">
        <f aca="false">Parameters!$E$11*IF($N282="V",Parameters!$I$11,IF($N282="F",Parameters!$J$11,Parameters!$K$11))*(1-Parameters!$L$11*$P282)*IF($D282="V1",Parameters!$M$11,IF($D282="V2",Parameters!$N$11,Parameters!$O$11))</f>
        <v>1.25397901785714</v>
      </c>
      <c r="BD282" s="46" t="n">
        <f aca="false">BC282*(1+INDEX(Response_Table!$K$4:$K$21,MATCH($F282&amp;"|mid",Response_Table!$A$4:$A$21,0))*$R282*INDEX(Parameters!$X$11:$AA$11,1,MATCH($E282,Parameters!$X$3:$AA$3,0)))</f>
        <v>0.950621054797429</v>
      </c>
      <c r="BE282" s="46" t="n">
        <f aca="false">MAX(0,MIN(BC282*(1+INDEX(Response_Table!$K$4:$K$21,MATCH($F282&amp;"|low",Response_Table!$A$4:$A$21,0))*$R282*INDEX(Parameters!$X$11:$AA$11,1,MATCH($E282,Parameters!$X$3:$AA$3,0))),BC282*(1+INDEX(Response_Table!$K$4:$K$21,MATCH($F282&amp;"|high",Response_Table!$A$4:$A$21,0))*$R282*INDEX(Parameters!$X$11:$AA$11,1,MATCH($E282,Parameters!$X$3:$AA$3,0))))*(1-Inputs_General!$C$22*Parameters!$F$11))</f>
        <v>0.728941361373812</v>
      </c>
      <c r="BF282" s="46" t="n">
        <f aca="false">MAX(BC282*(1+INDEX(Response_Table!$K$4:$K$21,MATCH($F282&amp;"|low",Response_Table!$A$4:$A$21,0))*$R282*INDEX(Parameters!$X$11:$AA$11,1,MATCH($E282,Parameters!$X$3:$AA$3,0))),BC282*(1+INDEX(Response_Table!$K$4:$K$21,MATCH($F282&amp;"|high",Response_Table!$A$4:$A$21,0))*$R282*INDEX(Parameters!$X$11:$AA$11,1,MATCH($E282,Parameters!$X$3:$AA$3,0))))*(1+Inputs_General!$C$22*Parameters!$F$11)</f>
        <v>1.22086708791479</v>
      </c>
      <c r="BG282" s="45" t="n">
        <f aca="false">IF(BC282=0,0,BD282/BC282-1)</f>
        <v>-0.241916299028756</v>
      </c>
      <c r="BH282" s="46" t="n">
        <f aca="false">Parameters!$E$12*IF($N282="V",Parameters!$I$12,IF($N282="F",Parameters!$J$12,Parameters!$K$12))*(1-Parameters!$L$12*$P282)*IF($D282="V1",Parameters!$M$12,IF($D282="V2",Parameters!$N$12,Parameters!$O$12))</f>
        <v>0.451432446428571</v>
      </c>
      <c r="BI282" s="46" t="n">
        <f aca="false">BH282*(1+INDEX(Response_Table!$L$4:$L$21,MATCH($F282&amp;"|mid",Response_Table!$A$4:$A$21,0))*$R282*INDEX(Parameters!$X$12:$AA$12,1,MATCH($E282,Parameters!$X$3:$AA$3,0)))</f>
        <v>0.363373689584109</v>
      </c>
      <c r="BJ282" s="46" t="n">
        <f aca="false">MAX(0,MIN(BH282*(1+INDEX(Response_Table!$L$4:$L$21,MATCH($F282&amp;"|low",Response_Table!$A$4:$A$21,0))*$R282*INDEX(Parameters!$X$12:$AA$12,1,MATCH($E282,Parameters!$X$3:$AA$3,0))),BH282*(1+INDEX(Response_Table!$L$4:$L$21,MATCH($F282&amp;"|high",Response_Table!$A$4:$A$21,0))*$R282*INDEX(Parameters!$X$12:$AA$12,1,MATCH($E282,Parameters!$X$3:$AA$3,0))))*(1-Inputs_General!$C$22*Parameters!$F$12))</f>
        <v>0.272946779656067</v>
      </c>
      <c r="BK282" s="46" t="n">
        <f aca="false">MAX(BH282*(1+INDEX(Response_Table!$L$4:$L$21,MATCH($F282&amp;"|low",Response_Table!$A$4:$A$21,0))*$R282*INDEX(Parameters!$X$12:$AA$12,1,MATCH($E282,Parameters!$X$3:$AA$3,0))),BH282*(1+INDEX(Response_Table!$L$4:$L$21,MATCH($F282&amp;"|high",Response_Table!$A$4:$A$21,0))*$R282*INDEX(Parameters!$X$12:$AA$12,1,MATCH($E282,Parameters!$X$3:$AA$3,0))))*(1+Inputs_General!$C$22*Parameters!$F$12)</f>
        <v>0.469515865366667</v>
      </c>
      <c r="BL282" s="45" t="n">
        <f aca="false">IF(BH282=0,0,BI282/BH282-1)</f>
        <v>-0.19506519201516</v>
      </c>
      <c r="BM282" s="46" t="n">
        <f aca="false">Parameters!$E$13*IF($N282="V",Parameters!$I$13,IF($N282="F",Parameters!$J$13,Parameters!$K$13))*(1-Parameters!$L$13*$P282)*IF($D282="V1",Parameters!$M$13,IF($D282="V2",Parameters!$N$13,Parameters!$O$13))</f>
        <v>0.304977482142857</v>
      </c>
      <c r="BN282" s="46" t="n">
        <f aca="false">BM282*(1+INDEX(Response_Table!$M$4:$M$21,MATCH($F282&amp;"|mid",Response_Table!$A$4:$A$21,0))*$R282*INDEX(Parameters!$X$13:$AA$13,1,MATCH($E282,Parameters!$X$3:$AA$3,0)))</f>
        <v>0.282678058491164</v>
      </c>
      <c r="BO282" s="46" t="n">
        <f aca="false">MAX(0,MIN(BM282*(1+INDEX(Response_Table!$M$4:$M$21,MATCH($F282&amp;"|low",Response_Table!$A$4:$A$21,0))*$R282*INDEX(Parameters!$X$13:$AA$13,1,MATCH($E282,Parameters!$X$3:$AA$3,0))),BM282*(1+INDEX(Response_Table!$M$4:$M$21,MATCH($F282&amp;"|high",Response_Table!$A$4:$A$21,0))*$R282*INDEX(Parameters!$X$13:$AA$13,1,MATCH($E282,Parameters!$X$3:$AA$3,0))))*(1-Inputs_General!$C$22*Parameters!$F$13))</f>
        <v>0.212469480134246</v>
      </c>
      <c r="BP282" s="46" t="n">
        <f aca="false">MAX(BM282*(1+INDEX(Response_Table!$M$4:$M$21,MATCH($F282&amp;"|low",Response_Table!$A$4:$A$21,0))*$R282*INDEX(Parameters!$X$13:$AA$13,1,MATCH($E282,Parameters!$X$3:$AA$3,0))),BM282*(1+INDEX(Response_Table!$M$4:$M$21,MATCH($F282&amp;"|high",Response_Table!$A$4:$A$21,0))*$R282*INDEX(Parameters!$X$13:$AA$13,1,MATCH($E282,Parameters!$X$3:$AA$3,0))))*(1+Inputs_General!$C$22*Parameters!$F$13)</f>
        <v>0.361176337560067</v>
      </c>
      <c r="BQ282" s="45" t="n">
        <f aca="false">IF(BM282=0,0,BN282/BM282-1)</f>
        <v>-0.0731182626829087</v>
      </c>
      <c r="BR282" s="44" t="n">
        <f aca="false">Parameters!$E$14*IF($N282="V",Parameters!$I$14,IF($N282="F",Parameters!$J$14,Parameters!$K$14))*(1-Parameters!$L$14*$P282)*IF($D282="V1",Parameters!$M$14,IF($D282="V2",Parameters!$N$14,Parameters!$O$14))*INDEX(Context!$AC$4:$AC$51,$K282)</f>
        <v>15</v>
      </c>
      <c r="BS282" s="44" t="n">
        <f aca="false">BR282*(1+INDEX(Response_Table!$N$4:$N$21,MATCH($F282&amp;"|mid",Response_Table!$A$4:$A$21,0))*$R282*INDEX(Parameters!$X$14:$AA$14,1,MATCH($E282,Parameters!$X$3:$AA$3,0)))</f>
        <v>18.191975869339</v>
      </c>
      <c r="BT282" s="44" t="n">
        <f aca="false">MAX(0,MIN(BR282*(1+INDEX(Response_Table!$N$4:$N$21,MATCH($F282&amp;"|low",Response_Table!$A$4:$A$21,0))*$R282*INDEX(Parameters!$X$14:$AA$14,1,MATCH($E282,Parameters!$X$3:$AA$3,0))),BR282*(1+INDEX(Response_Table!$N$4:$N$21,MATCH($F282&amp;"|high",Response_Table!$A$4:$A$21,0))*$R282*INDEX(Parameters!$X$14:$AA$14,1,MATCH($E282,Parameters!$X$3:$AA$3,0))))*(1-Inputs_General!$C$22*Parameters!$F$14))</f>
        <v>8.68659323697798</v>
      </c>
      <c r="BU282" s="44" t="n">
        <f aca="false">MAX(BR282*(1+INDEX(Response_Table!$N$4:$N$21,MATCH($F282&amp;"|low",Response_Table!$A$4:$A$21,0))*$R282*INDEX(Parameters!$X$14:$AA$14,1,MATCH($E282,Parameters!$X$3:$AA$3,0))),BR282*(1+INDEX(Response_Table!$N$4:$N$21,MATCH($F282&amp;"|high",Response_Table!$A$4:$A$21,0))*$R282*INDEX(Parameters!$X$14:$AA$14,1,MATCH($E282,Parameters!$X$3:$AA$3,0))))*(1+Inputs_General!$C$22*Parameters!$F$14)</f>
        <v>28.4308572341319</v>
      </c>
      <c r="BV282" s="45" t="n">
        <f aca="false">IF(BR282=0,0,BS282/BR282-1)</f>
        <v>0.212798391289265</v>
      </c>
      <c r="BW282" s="43" t="n">
        <f aca="false">Parameters!$E$15*IF($N282="V",Parameters!$I$15,IF($N282="F",Parameters!$J$15,Parameters!$K$15))*(1-Parameters!$L$15*$P282)*IF($D282="V1",Parameters!$M$15,IF($D282="V2",Parameters!$N$15,Parameters!$O$15))</f>
        <v>9.73964285714286</v>
      </c>
      <c r="BX282" s="43" t="n">
        <f aca="false">BW282*(1+INDEX(Response_Table!$O$4:$O$21,MATCH($F282&amp;"|mid",Response_Table!$A$4:$A$21,0))*$R282*INDEX(Parameters!$X$15:$AA$15,1,MATCH($E282,Parameters!$X$3:$AA$3,0)))</f>
        <v>9.22149777420986</v>
      </c>
      <c r="BY282" s="43" t="n">
        <f aca="false">MAX(0,MIN(BW282*(1+INDEX(Response_Table!$O$4:$O$21,MATCH($F282&amp;"|low",Response_Table!$A$4:$A$21,0))*$R282*INDEX(Parameters!$X$15:$AA$15,1,MATCH($E282,Parameters!$X$3:$AA$3,0))),BW282*(1+INDEX(Response_Table!$O$4:$O$21,MATCH($F282&amp;"|high",Response_Table!$A$4:$A$21,0))*$R282*INDEX(Parameters!$X$15:$AA$15,1,MATCH($E282,Parameters!$X$3:$AA$3,0))))*(1-Inputs_General!$C$22*Parameters!$F$15))</f>
        <v>7.29115973520991</v>
      </c>
      <c r="BZ282" s="43" t="n">
        <f aca="false">MAX(BW282*(1+INDEX(Response_Table!$O$4:$O$21,MATCH($F282&amp;"|low",Response_Table!$A$4:$A$21,0))*$R282*INDEX(Parameters!$X$15:$AA$15,1,MATCH($E282,Parameters!$X$3:$AA$3,0))),BW282*(1+INDEX(Response_Table!$O$4:$O$21,MATCH($F282&amp;"|high",Response_Table!$A$4:$A$21,0))*$R282*INDEX(Parameters!$X$15:$AA$15,1,MATCH($E282,Parameters!$X$3:$AA$3,0))))*(1+Inputs_General!$C$22*Parameters!$F$15)</f>
        <v>11.2443057505709</v>
      </c>
      <c r="CA282" s="45" t="n">
        <f aca="false">IF(BW282=0,0,BX282/BW282-1)</f>
        <v>-0.0531995978223163</v>
      </c>
      <c r="CB282" s="46" t="n">
        <f aca="false">BD282+BI282</f>
        <v>1.31399474438154</v>
      </c>
      <c r="CC282" s="43" t="n">
        <f aca="false">BD282/BI282</f>
        <v>2.6160976483615</v>
      </c>
      <c r="CD282" s="46" t="n">
        <f aca="false">BN282/CB282</f>
        <v>0.215128758847672</v>
      </c>
      <c r="CE282" s="43" t="n">
        <f aca="false">AE282/AO282</f>
        <v>2.51378618029629</v>
      </c>
      <c r="CF282" s="44" t="n">
        <f aca="false">AE282/AJ282</f>
        <v>46.0175685608088</v>
      </c>
      <c r="CG282" s="44" t="n">
        <f aca="false">INDEX(Context!$V$4:$V$51,$K282)</f>
        <v>28.62</v>
      </c>
      <c r="CH282" s="44" t="n">
        <f aca="false">INDEX(Context!$Y$4:$Y$51,$K282)</f>
        <v>25.3060134606718</v>
      </c>
      <c r="CI282" s="44" t="n">
        <f aca="false">INDEX(Context!$Z$4:$Z$51,$K282)</f>
        <v>32.62</v>
      </c>
      <c r="CJ282" s="43" t="n">
        <f aca="false">INDEX(Context!$AA$4:$AA$51,$K282)</f>
        <v>0.221696428571429</v>
      </c>
      <c r="CK282" s="43" t="n">
        <f aca="false">MAX(0,MIN(1,1-(1-CJ282)*AO282/AN282))</f>
        <v>0.37417038833154</v>
      </c>
      <c r="CL282" s="44" t="n">
        <f aca="false">CH282+CK282*(CI282-CH282)</f>
        <v>28.0426906443439</v>
      </c>
      <c r="CM282" s="44" t="n">
        <f aca="false">CH282+MAX(0,MIN(1,1-(1-CJ282)*AQ282/AN282))*(CI282-CH282)</f>
        <v>25.9982027254866</v>
      </c>
      <c r="CN282" s="44" t="n">
        <f aca="false">CH282+MAX(0,MIN(1,1-(1-CJ282)*AP282/AN282))*(CI282-CH282)</f>
        <v>29.7030759876118</v>
      </c>
      <c r="CO282" s="44" t="n">
        <f aca="false">CL282-CG282</f>
        <v>-0.577309355656134</v>
      </c>
      <c r="CP282" s="44" t="n">
        <f aca="false">CL282-(CH282+CJ282*(CI282-CH282))</f>
        <v>1.11519248928353</v>
      </c>
      <c r="CQ282" s="46" t="n">
        <f aca="false">CL282/CG282</f>
        <v>0.979828464162958</v>
      </c>
      <c r="CR282" s="43" t="n">
        <f aca="false">IF(CL282-CH282&lt;=0,"n/a",(CI282-CL282)/(CL282-CH282))</f>
        <v>1.67257920772163</v>
      </c>
      <c r="CS282" s="43" t="n">
        <f aca="false">IF(CI282-CL282&lt;=0,"n/a",(CL282-CH282)/(CI282-CL282))</f>
        <v>0.597879009486308</v>
      </c>
      <c r="CT282" s="43" t="n">
        <f aca="false">Inputs_General!$C$23+Inputs_General!$C$24*$I282</f>
        <v>0.96</v>
      </c>
      <c r="CU282" s="44" t="n">
        <f aca="false">3.29*CT282</f>
        <v>3.1584</v>
      </c>
    </row>
    <row r="283" customFormat="false" ht="15" hidden="false" customHeight="false" outlineLevel="0" collapsed="false">
      <c r="A283" s="9" t="str">
        <f aca="false">B283&amp;"|"&amp;E283&amp;"|"&amp;F283</f>
        <v>D4V3|03/03/2026|High</v>
      </c>
      <c r="B283" s="7" t="s">
        <v>354</v>
      </c>
      <c r="C283" s="9" t="s">
        <v>133</v>
      </c>
      <c r="D283" s="9" t="s">
        <v>150</v>
      </c>
      <c r="E283" s="9" t="s">
        <v>162</v>
      </c>
      <c r="F283" s="7" t="s">
        <v>283</v>
      </c>
      <c r="G283" s="9" t="s">
        <v>284</v>
      </c>
      <c r="H283" s="41" t="n">
        <f aca="false">INDEX(Severity_Classes!$C$4:$C$9,MATCH(F283,Severity_Classes!$A$4:$A$9,0))</f>
        <v>0.26</v>
      </c>
      <c r="I283" s="41" t="n">
        <f aca="false">INDEX(Severity_Classes!$D$4:$D$9,MATCH(F283,Severity_Classes!$A$4:$A$9,0))</f>
        <v>0.38</v>
      </c>
      <c r="J283" s="41" t="n">
        <f aca="false">INDEX(Severity_Classes!$E$4:$E$9,MATCH(F283,Severity_Classes!$A$4:$A$9,0))</f>
        <v>0.5</v>
      </c>
      <c r="K283" s="42" t="n">
        <f aca="false">MATCH(B283&amp;"|"&amp;E283,Context!$A$4:$A$51,0)</f>
        <v>47</v>
      </c>
      <c r="L283" s="42" t="n">
        <f aca="false">INDEX(Context!$H$4:$H$51,K283)</f>
        <v>53</v>
      </c>
      <c r="M283" s="42" t="n">
        <f aca="false">INDEX(Context!$I$4:$I$51,K283)</f>
        <v>26</v>
      </c>
      <c r="N283" s="9" t="str">
        <f aca="false">INDEX(Context!$L$4:$L$51,K283)</f>
        <v>F</v>
      </c>
      <c r="O283" s="9" t="str">
        <f aca="false">INDEX(Context!$M$4:$M$51,K283)</f>
        <v>5th fully expanded leaf from top</v>
      </c>
      <c r="P283" s="43" t="n">
        <f aca="false">INDEX(Context!$R$4:$R$51,K283)</f>
        <v>0.433928571428571</v>
      </c>
      <c r="Q283" s="43" t="n">
        <f aca="false">INDEX(Context!$U$4:$U$51,K283)</f>
        <v>1.73951545534029</v>
      </c>
      <c r="R283" s="43" t="n">
        <f aca="false">INDEX(Context!$AD$4:$AD$51,K283)</f>
        <v>0.85</v>
      </c>
      <c r="S283" s="9" t="str">
        <f aca="false">INDEX(Context!$AI$4:$AN$51,K283,MATCH(F283,Severity_Classes!$A$4:$A$9,0))</f>
        <v>Possible</v>
      </c>
      <c r="T283" s="44" t="n">
        <f aca="false">Parameters!$E$4*IF($N283="V",Parameters!$I$4,IF($N283="F",Parameters!$J$4,Parameters!$K$4))*(1-Parameters!$L$4*$P283)*IF($D283="V1",Parameters!$M$4,IF($D283="V2",Parameters!$N$4,Parameters!$O$4))</f>
        <v>83.2927660714286</v>
      </c>
      <c r="U283" s="44" t="n">
        <f aca="false">MIN(100,T283*(1+INDEX(Response_Table!$E$4:$E$21,MATCH($F283&amp;"|mid",Response_Table!$A$4:$A$21,0))*$R283*INDEX(Parameters!$X$4:$AA$4,1,MATCH($E283,Parameters!$X$3:$AA$3,0))))</f>
        <v>71.8555467770342</v>
      </c>
      <c r="V283" s="44" t="n">
        <f aca="false">MAX(0,MIN(T283*(1+INDEX(Response_Table!$E$4:$E$21,MATCH($F283&amp;"|low",Response_Table!$A$4:$A$21,0))*$R283*INDEX(Parameters!$X$4:$AA$4,1,MATCH($E283,Parameters!$X$3:$AA$3,0))),T283*(1+INDEX(Response_Table!$E$4:$E$21,MATCH($F283&amp;"|high",Response_Table!$A$4:$A$21,0))*$R283*INDEX(Parameters!$X$4:$AA$4,1,MATCH($E283,Parameters!$X$3:$AA$3,0))))*(1-Inputs_General!$C$22*Parameters!$F$4))</f>
        <v>62.6279711713533</v>
      </c>
      <c r="W283" s="44" t="n">
        <f aca="false">MIN(100,MAX(T283*(1+INDEX(Response_Table!$E$4:$E$21,MATCH($F283&amp;"|low",Response_Table!$A$4:$A$21,0))*$R283*INDEX(Parameters!$X$4:$AA$4,1,MATCH($E283,Parameters!$X$3:$AA$3,0))),T283*(1+INDEX(Response_Table!$E$4:$E$21,MATCH($F283&amp;"|high",Response_Table!$A$4:$A$21,0))*$R283*INDEX(Parameters!$X$4:$AA$4,1,MATCH($E283,Parameters!$X$3:$AA$3,0))))*(1+Inputs_General!$C$22*Parameters!$F$4))</f>
        <v>82.34291026055</v>
      </c>
      <c r="X283" s="45" t="n">
        <f aca="false">IF(T283=0,0,U283/T283-1)</f>
        <v>-0.137313476714008</v>
      </c>
      <c r="Y283" s="44" t="n">
        <f aca="false">Parameters!$E$5*IF($N283="V",Parameters!$I$5,IF($N283="F",Parameters!$J$5,Parameters!$K$5))*(1-Parameters!$L$5*$P283)*IF($D283="V1",Parameters!$M$5,IF($D283="V2",Parameters!$N$5,Parameters!$O$5))</f>
        <v>66.88584</v>
      </c>
      <c r="Z283" s="44" t="n">
        <f aca="false">MIN(100,Y283*(1+INDEX(Response_Table!$F$4:$F$21,MATCH($F283&amp;"|mid",Response_Table!$A$4:$A$21,0))*$R283*INDEX(Parameters!$X$5:$AA$5,1,MATCH($E283,Parameters!$X$3:$AA$3,0))))</f>
        <v>38.4427021414568</v>
      </c>
      <c r="AA283" s="44" t="n">
        <f aca="false">MAX(0,MIN(Y283*(1+INDEX(Response_Table!$F$4:$F$21,MATCH($F283&amp;"|low",Response_Table!$A$4:$A$21,0))*$R283*INDEX(Parameters!$X$5:$AA$5,1,MATCH($E283,Parameters!$X$3:$AA$3,0))),Y283*(1+INDEX(Response_Table!$F$4:$F$21,MATCH($F283&amp;"|high",Response_Table!$A$4:$A$21,0))*$R283*INDEX(Parameters!$X$5:$AA$5,1,MATCH($E283,Parameters!$X$3:$AA$3,0))))*(1-Inputs_General!$C$22*Parameters!$F$5))</f>
        <v>27.6957566039868</v>
      </c>
      <c r="AB283" s="44" t="n">
        <f aca="false">MIN(100,MAX(Y283*(1+INDEX(Response_Table!$F$4:$F$21,MATCH($F283&amp;"|low",Response_Table!$A$4:$A$21,0))*$R283*INDEX(Parameters!$X$5:$AA$5,1,MATCH($E283,Parameters!$X$3:$AA$3,0))),Y283*(1+INDEX(Response_Table!$F$4:$F$21,MATCH($F283&amp;"|high",Response_Table!$A$4:$A$21,0))*$R283*INDEX(Parameters!$X$5:$AA$5,1,MATCH($E283,Parameters!$X$3:$AA$3,0))))*(1+Inputs_General!$C$22*Parameters!$F$5))</f>
        <v>56.0933637961493</v>
      </c>
      <c r="AC283" s="45" t="n">
        <f aca="false">IF(Y283=0,0,Z283/Y283-1)</f>
        <v>-0.425249019202618</v>
      </c>
      <c r="AD283" s="44" t="n">
        <f aca="false">Parameters!$E$6*IF($N283="V",Parameters!$I$6,IF($N283="F",Parameters!$J$6,Parameters!$K$6))*(1-Parameters!$L$6*$P283)*IF($D283="V1",Parameters!$M$6,IF($D283="V2",Parameters!$N$6,Parameters!$O$6))</f>
        <v>18.5509621428571</v>
      </c>
      <c r="AE283" s="44" t="n">
        <f aca="false">AD283*(1+INDEX(Response_Table!$G$4:$G$21,MATCH($F283&amp;"|mid",Response_Table!$A$4:$A$21,0))*$R283*INDEX(Parameters!$X$6:$AA$6,1,MATCH($E283,Parameters!$X$3:$AA$3,0)))</f>
        <v>8.9465303869456</v>
      </c>
      <c r="AF283" s="44" t="n">
        <f aca="false">MAX(0,MIN(AD283*(1+INDEX(Response_Table!$G$4:$G$21,MATCH($F283&amp;"|low",Response_Table!$A$4:$A$21,0))*$R283*INDEX(Parameters!$X$6:$AA$6,1,MATCH($E283,Parameters!$X$3:$AA$3,0))),AD283*(1+INDEX(Response_Table!$G$4:$G$21,MATCH($F283&amp;"|high",Response_Table!$A$4:$A$21,0))*$R283*INDEX(Parameters!$X$6:$AA$6,1,MATCH($E283,Parameters!$X$3:$AA$3,0))))*(1-Inputs_General!$C$22*Parameters!$F$6))</f>
        <v>6.44897795311595</v>
      </c>
      <c r="AG283" s="44" t="n">
        <f aca="false">MAX(AD283*(1+INDEX(Response_Table!$G$4:$G$21,MATCH($F283&amp;"|low",Response_Table!$A$4:$A$21,0))*$R283*INDEX(Parameters!$X$6:$AA$6,1,MATCH($E283,Parameters!$X$3:$AA$3,0))),AD283*(1+INDEX(Response_Table!$G$4:$G$21,MATCH($F283&amp;"|high",Response_Table!$A$4:$A$21,0))*$R283*INDEX(Parameters!$X$6:$AA$6,1,MATCH($E283,Parameters!$X$3:$AA$3,0))))*(1+Inputs_General!$C$22*Parameters!$F$6)</f>
        <v>12.56297825742</v>
      </c>
      <c r="AH283" s="45" t="n">
        <f aca="false">IF(AD283=0,0,AE283/AD283-1)</f>
        <v>-0.51773227080891</v>
      </c>
      <c r="AI283" s="46" t="n">
        <f aca="false">Parameters!$E$7*IF($N283="V",Parameters!$I$7,IF($N283="F",Parameters!$J$7,Parameters!$K$7))*(1-Parameters!$L$7*$P283)*IF($D283="V1",Parameters!$M$7,IF($D283="V2",Parameters!$N$7,Parameters!$O$7))*POWER($Q283/Inputs_General!$C$26,-Inputs_General!$C$25)</f>
        <v>0.341191629407368</v>
      </c>
      <c r="AJ283" s="46" t="n">
        <f aca="false">AI283*(1+INDEX(Response_Table!$H$4:$H$21,MATCH($F283&amp;"|mid",Response_Table!$A$4:$A$21,0))*$R283*INDEX(Parameters!$X$7:$AA$7,1,MATCH($E283,Parameters!$X$3:$AA$3,0)))</f>
        <v>0.212971818335656</v>
      </c>
      <c r="AK283" s="46" t="n">
        <f aca="false">MAX(0,MIN(AI283*(1+INDEX(Response_Table!$H$4:$H$21,MATCH($F283&amp;"|low",Response_Table!$A$4:$A$21,0))*$R283*INDEX(Parameters!$X$7:$AA$7,1,MATCH($E283,Parameters!$X$3:$AA$3,0))),AI283*(1+INDEX(Response_Table!$H$4:$H$21,MATCH($F283&amp;"|high",Response_Table!$A$4:$A$21,0))*$R283*INDEX(Parameters!$X$7:$AA$7,1,MATCH($E283,Parameters!$X$3:$AA$3,0))))*(1-Inputs_General!$C$22*Parameters!$F$7))</f>
        <v>0.137081116799336</v>
      </c>
      <c r="AL283" s="46" t="n">
        <f aca="false">MAX(AI283*(1+INDEX(Response_Table!$H$4:$H$21,MATCH($F283&amp;"|low",Response_Table!$A$4:$A$21,0))*$R283*INDEX(Parameters!$X$7:$AA$7,1,MATCH($E283,Parameters!$X$3:$AA$3,0))),AI283*(1+INDEX(Response_Table!$H$4:$H$21,MATCH($F283&amp;"|high",Response_Table!$A$4:$A$21,0))*$R283*INDEX(Parameters!$X$7:$AA$7,1,MATCH($E283,Parameters!$X$3:$AA$3,0))))*(1+Inputs_General!$C$22*Parameters!$F$7)</f>
        <v>0.309893137677501</v>
      </c>
      <c r="AM283" s="45" t="n">
        <f aca="false">IF(AI283=0,0,AJ283/AI283-1)</f>
        <v>-0.375799990446492</v>
      </c>
      <c r="AN283" s="43" t="n">
        <f aca="false">AI283*$Q283/Inputs_General!$C$13*1000</f>
        <v>5.97691956280819</v>
      </c>
      <c r="AO283" s="43" t="n">
        <f aca="false">AJ283*$Q283/Inputs_General!$C$13*1000*(1+Inputs_General!$C$21*$I283)</f>
        <v>4.08521860678493</v>
      </c>
      <c r="AP283" s="43" t="n">
        <f aca="false">AK283*$Q283/Inputs_General!$C$13*1000*(1+Inputs_General!$C$21*$H283)</f>
        <v>2.55744489620097</v>
      </c>
      <c r="AQ283" s="43" t="n">
        <f aca="false">AL283*$Q283/Inputs_General!$C$13*1000*(1+Inputs_General!$C$21*$J283)</f>
        <v>6.10721943913038</v>
      </c>
      <c r="AR283" s="45" t="n">
        <f aca="false">IF(AN283=0,0,AO283/AN283-1)</f>
        <v>-0.316500989538909</v>
      </c>
      <c r="AS283" s="42" t="n">
        <f aca="false">Parameters!$E$9*IF($N283="V",Parameters!$I$9,IF($N283="F",Parameters!$J$9,Parameters!$K$9))*(1-Parameters!$L$9*$P283)*IF($D283="V1",Parameters!$M$9,IF($D283="V2",Parameters!$N$9,Parameters!$O$9))</f>
        <v>285</v>
      </c>
      <c r="AT283" s="42" t="n">
        <f aca="false">AS283*(1+INDEX(Response_Table!$I$4:$I$21,MATCH($F283&amp;"|mid",Response_Table!$A$4:$A$21,0))*$R283*INDEX(Parameters!$X$9:$AA$9,1,MATCH($E283,Parameters!$X$3:$AA$3,0)))</f>
        <v>341.780113615748</v>
      </c>
      <c r="AU283" s="42" t="n">
        <f aca="false">MAX(0,MIN(AS283*(1+INDEX(Response_Table!$I$4:$I$21,MATCH($F283&amp;"|low",Response_Table!$A$4:$A$21,0))*$R283*INDEX(Parameters!$X$9:$AA$9,1,MATCH($E283,Parameters!$X$3:$AA$3,0))),AS283*(1+INDEX(Response_Table!$I$4:$I$21,MATCH($F283&amp;"|high",Response_Table!$A$4:$A$21,0))*$R283*INDEX(Parameters!$X$9:$AA$9,1,MATCH($E283,Parameters!$X$3:$AA$3,0))))*(1-Inputs_General!$C$22*Parameters!$F$9))</f>
        <v>299.220496875066</v>
      </c>
      <c r="AV283" s="42" t="n">
        <f aca="false">MAX(AS283*(1+INDEX(Response_Table!$I$4:$I$21,MATCH($F283&amp;"|low",Response_Table!$A$4:$A$21,0))*$R283*INDEX(Parameters!$X$9:$AA$9,1,MATCH($E283,Parameters!$X$3:$AA$3,0))),AS283*(1+INDEX(Response_Table!$I$4:$I$21,MATCH($F283&amp;"|high",Response_Table!$A$4:$A$21,0))*$R283*INDEX(Parameters!$X$9:$AA$9,1,MATCH($E283,Parameters!$X$3:$AA$3,0))))*(1+Inputs_General!$C$22*Parameters!$F$9)</f>
        <v>382.171267759079</v>
      </c>
      <c r="AW283" s="45" t="n">
        <f aca="false">IF(AS283=0,0,AT283/AS283-1)</f>
        <v>0.199228468827185</v>
      </c>
      <c r="AX283" s="43" t="n">
        <f aca="false">INDEX(Context!$AB$4:$AB$51,$K283)</f>
        <v>2.00148060787833</v>
      </c>
      <c r="AY283" s="43" t="n">
        <f aca="false">AX283*(1+INDEX(Response_Table!$J$4:$J$21,MATCH($F283&amp;"|mid",Response_Table!$A$4:$A$21,0))*$R283*INDEX(Parameters!$X$10:$AA$10,1,MATCH($E283,Parameters!$X$3:$AA$3,0)))</f>
        <v>1.53199018232343</v>
      </c>
      <c r="AZ283" s="43" t="n">
        <f aca="false">MAX(0,MIN(AX283*(1+INDEX(Response_Table!$J$4:$J$21,MATCH($F283&amp;"|low",Response_Table!$A$4:$A$21,0))*$R283*INDEX(Parameters!$X$10:$AA$10,1,MATCH($E283,Parameters!$X$3:$AA$3,0))),AX283*(1+INDEX(Response_Table!$J$4:$J$21,MATCH($F283&amp;"|high",Response_Table!$A$4:$A$21,0))*$R283*INDEX(Parameters!$X$10:$AA$10,1,MATCH($E283,Parameters!$X$3:$AA$3,0))))*(1-Inputs_General!$C$22*Parameters!$F$10))</f>
        <v>1.16798581858077</v>
      </c>
      <c r="BA283" s="43" t="n">
        <f aca="false">MAX(AX283*(1+INDEX(Response_Table!$J$4:$J$21,MATCH($F283&amp;"|low",Response_Table!$A$4:$A$21,0))*$R283*INDEX(Parameters!$X$10:$AA$10,1,MATCH($E283,Parameters!$X$3:$AA$3,0))),AX283*(1+INDEX(Response_Table!$J$4:$J$21,MATCH($F283&amp;"|high",Response_Table!$A$4:$A$21,0))*$R283*INDEX(Parameters!$X$10:$AA$10,1,MATCH($E283,Parameters!$X$3:$AA$3,0))))*(1+Inputs_General!$C$22*Parameters!$F$10)</f>
        <v>1.95843744044091</v>
      </c>
      <c r="BB283" s="45" t="n">
        <f aca="false">IF(AX283=0,0,AY283/AX283-1)</f>
        <v>-0.234571558528653</v>
      </c>
      <c r="BC283" s="46" t="n">
        <f aca="false">Parameters!$E$11*IF($N283="V",Parameters!$I$11,IF($N283="F",Parameters!$J$11,Parameters!$K$11))*(1-Parameters!$L$11*$P283)*IF($D283="V1",Parameters!$M$11,IF($D283="V2",Parameters!$N$11,Parameters!$O$11))</f>
        <v>1.25397901785714</v>
      </c>
      <c r="BD283" s="46" t="n">
        <f aca="false">BC283*(1+INDEX(Response_Table!$K$4:$K$21,MATCH($F283&amp;"|mid",Response_Table!$A$4:$A$21,0))*$R283*INDEX(Parameters!$X$11:$AA$11,1,MATCH($E283,Parameters!$X$3:$AA$3,0)))</f>
        <v>0.766517788700374</v>
      </c>
      <c r="BE283" s="46" t="n">
        <f aca="false">MAX(0,MIN(BC283*(1+INDEX(Response_Table!$K$4:$K$21,MATCH($F283&amp;"|low",Response_Table!$A$4:$A$21,0))*$R283*INDEX(Parameters!$X$11:$AA$11,1,MATCH($E283,Parameters!$X$3:$AA$3,0))),BC283*(1+INDEX(Response_Table!$K$4:$K$21,MATCH($F283&amp;"|high",Response_Table!$A$4:$A$21,0))*$R283*INDEX(Parameters!$X$11:$AA$11,1,MATCH($E283,Parameters!$X$3:$AA$3,0))))*(1-Inputs_General!$C$22*Parameters!$F$11))</f>
        <v>0.585714110881613</v>
      </c>
      <c r="BF283" s="46" t="n">
        <f aca="false">MAX(BC283*(1+INDEX(Response_Table!$K$4:$K$21,MATCH($F283&amp;"|low",Response_Table!$A$4:$A$21,0))*$R283*INDEX(Parameters!$X$11:$AA$11,1,MATCH($E283,Parameters!$X$3:$AA$3,0))),BC283*(1+INDEX(Response_Table!$K$4:$K$21,MATCH($F283&amp;"|high",Response_Table!$A$4:$A$21,0))*$R283*INDEX(Parameters!$X$11:$AA$11,1,MATCH($E283,Parameters!$X$3:$AA$3,0))))*(1+Inputs_General!$C$22*Parameters!$F$11)</f>
        <v>1.00456425853807</v>
      </c>
      <c r="BG283" s="45" t="n">
        <f aca="false">IF(BC283=0,0,BD283/BC283-1)</f>
        <v>-0.388731567446611</v>
      </c>
      <c r="BH283" s="46" t="n">
        <f aca="false">Parameters!$E$12*IF($N283="V",Parameters!$I$12,IF($N283="F",Parameters!$J$12,Parameters!$K$12))*(1-Parameters!$L$12*$P283)*IF($D283="V1",Parameters!$M$12,IF($D283="V2",Parameters!$N$12,Parameters!$O$12))</f>
        <v>0.451432446428571</v>
      </c>
      <c r="BI283" s="46" t="n">
        <f aca="false">BH283*(1+INDEX(Response_Table!$L$4:$L$21,MATCH($F283&amp;"|mid",Response_Table!$A$4:$A$21,0))*$R283*INDEX(Parameters!$X$12:$AA$12,1,MATCH($E283,Parameters!$X$3:$AA$3,0)))</f>
        <v>0.307883877228108</v>
      </c>
      <c r="BJ283" s="46" t="n">
        <f aca="false">MAX(0,MIN(BH283*(1+INDEX(Response_Table!$L$4:$L$21,MATCH($F283&amp;"|low",Response_Table!$A$4:$A$21,0))*$R283*INDEX(Parameters!$X$12:$AA$12,1,MATCH($E283,Parameters!$X$3:$AA$3,0))),BH283*(1+INDEX(Response_Table!$L$4:$L$21,MATCH($F283&amp;"|high",Response_Table!$A$4:$A$21,0))*$R283*INDEX(Parameters!$X$12:$AA$12,1,MATCH($E283,Parameters!$X$3:$AA$3,0))))*(1-Inputs_General!$C$22*Parameters!$F$12))</f>
        <v>0.2307300101019</v>
      </c>
      <c r="BK283" s="46" t="n">
        <f aca="false">MAX(BH283*(1+INDEX(Response_Table!$L$4:$L$21,MATCH($F283&amp;"|low",Response_Table!$A$4:$A$21,0))*$R283*INDEX(Parameters!$X$12:$AA$12,1,MATCH($E283,Parameters!$X$3:$AA$3,0))),BH283*(1+INDEX(Response_Table!$L$4:$L$21,MATCH($F283&amp;"|high",Response_Table!$A$4:$A$21,0))*$R283*INDEX(Parameters!$X$12:$AA$12,1,MATCH($E283,Parameters!$X$3:$AA$3,0))))*(1+Inputs_General!$C$22*Parameters!$F$12)</f>
        <v>0.403681764015473</v>
      </c>
      <c r="BL283" s="45" t="n">
        <f aca="false">IF(BH283=0,0,BI283/BH283-1)</f>
        <v>-0.317984607300878</v>
      </c>
      <c r="BM283" s="46" t="n">
        <f aca="false">Parameters!$E$13*IF($N283="V",Parameters!$I$13,IF($N283="F",Parameters!$J$13,Parameters!$K$13))*(1-Parameters!$L$13*$P283)*IF($D283="V1",Parameters!$M$13,IF($D283="V2",Parameters!$N$13,Parameters!$O$13))</f>
        <v>0.304977482142857</v>
      </c>
      <c r="BN283" s="46" t="n">
        <f aca="false">BM283*(1+INDEX(Response_Table!$M$4:$M$21,MATCH($F283&amp;"|mid",Response_Table!$A$4:$A$21,0))*$R283*INDEX(Parameters!$X$13:$AA$13,1,MATCH($E283,Parameters!$X$3:$AA$3,0)))</f>
        <v>0.240438183251011</v>
      </c>
      <c r="BO283" s="46" t="n">
        <f aca="false">MAX(0,MIN(BM283*(1+INDEX(Response_Table!$M$4:$M$21,MATCH($F283&amp;"|low",Response_Table!$A$4:$A$21,0))*$R283*INDEX(Parameters!$X$13:$AA$13,1,MATCH($E283,Parameters!$X$3:$AA$3,0))),BM283*(1+INDEX(Response_Table!$M$4:$M$21,MATCH($F283&amp;"|high",Response_Table!$A$4:$A$21,0))*$R283*INDEX(Parameters!$X$13:$AA$13,1,MATCH($E283,Parameters!$X$3:$AA$3,0))))*(1-Inputs_General!$C$22*Parameters!$F$13))</f>
        <v>0.182026483187927</v>
      </c>
      <c r="BP283" s="46" t="n">
        <f aca="false">MAX(BM283*(1+INDEX(Response_Table!$M$4:$M$21,MATCH($F283&amp;"|low",Response_Table!$A$4:$A$21,0))*$R283*INDEX(Parameters!$X$13:$AA$13,1,MATCH($E283,Parameters!$X$3:$AA$3,0))),BM283*(1+INDEX(Response_Table!$M$4:$M$21,MATCH($F283&amp;"|high",Response_Table!$A$4:$A$21,0))*$R283*INDEX(Parameters!$X$13:$AA$13,1,MATCH($E283,Parameters!$X$3:$AA$3,0))))*(1+Inputs_General!$C$22*Parameters!$F$13)</f>
        <v>0.314229086457464</v>
      </c>
      <c r="BQ283" s="45" t="n">
        <f aca="false">IF(BM283=0,0,BN283/BM283-1)</f>
        <v>-0.211619882354511</v>
      </c>
      <c r="BR283" s="44" t="n">
        <f aca="false">Parameters!$E$14*IF($N283="V",Parameters!$I$14,IF($N283="F",Parameters!$J$14,Parameters!$K$14))*(1-Parameters!$L$14*$P283)*IF($D283="V1",Parameters!$M$14,IF($D283="V2",Parameters!$N$14,Parameters!$O$14))*INDEX(Context!$AC$4:$AC$51,$K283)</f>
        <v>15</v>
      </c>
      <c r="BS283" s="44" t="n">
        <f aca="false">BR283*(1+INDEX(Response_Table!$N$4:$N$21,MATCH($F283&amp;"|mid",Response_Table!$A$4:$A$21,0))*$R283*INDEX(Parameters!$X$14:$AA$14,1,MATCH($E283,Parameters!$X$3:$AA$3,0)))</f>
        <v>20.2033844831053</v>
      </c>
      <c r="BT283" s="44" t="n">
        <f aca="false">MAX(0,MIN(BR283*(1+INDEX(Response_Table!$N$4:$N$21,MATCH($F283&amp;"|low",Response_Table!$A$4:$A$21,0))*$R283*INDEX(Parameters!$X$14:$AA$14,1,MATCH($E283,Parameters!$X$3:$AA$3,0))),BR283*(1+INDEX(Response_Table!$N$4:$N$21,MATCH($F283&amp;"|high",Response_Table!$A$4:$A$21,0))*$R283*INDEX(Parameters!$X$14:$AA$14,1,MATCH($E283,Parameters!$X$3:$AA$3,0))))*(1-Inputs_General!$C$22*Parameters!$F$14))</f>
        <v>9.69602776784537</v>
      </c>
      <c r="BU283" s="44" t="n">
        <f aca="false">MAX(BR283*(1+INDEX(Response_Table!$N$4:$N$21,MATCH($F283&amp;"|low",Response_Table!$A$4:$A$21,0))*$R283*INDEX(Parameters!$X$14:$AA$14,1,MATCH($E283,Parameters!$X$3:$AA$3,0))),BR283*(1+INDEX(Response_Table!$N$4:$N$21,MATCH($F283&amp;"|high",Response_Table!$A$4:$A$21,0))*$R283*INDEX(Parameters!$X$14:$AA$14,1,MATCH($E283,Parameters!$X$3:$AA$3,0))))*(1+Inputs_General!$C$22*Parameters!$F$14)</f>
        <v>31.2784515595102</v>
      </c>
      <c r="BV283" s="45" t="n">
        <f aca="false">IF(BR283=0,0,BS283/BR283-1)</f>
        <v>0.346892298873685</v>
      </c>
      <c r="BW283" s="43" t="n">
        <f aca="false">Parameters!$E$15*IF($N283="V",Parameters!$I$15,IF($N283="F",Parameters!$J$15,Parameters!$K$15))*(1-Parameters!$L$15*$P283)*IF($D283="V1",Parameters!$M$15,IF($D283="V2",Parameters!$N$15,Parameters!$O$15))</f>
        <v>9.73964285714286</v>
      </c>
      <c r="BX283" s="43" t="n">
        <f aca="false">BW283*(1+INDEX(Response_Table!$O$4:$O$21,MATCH($F283&amp;"|mid",Response_Table!$A$4:$A$21,0))*$R283*INDEX(Parameters!$X$15:$AA$15,1,MATCH($E283,Parameters!$X$3:$AA$3,0)))</f>
        <v>8.89499108191212</v>
      </c>
      <c r="BY283" s="43" t="n">
        <f aca="false">MAX(0,MIN(BW283*(1+INDEX(Response_Table!$O$4:$O$21,MATCH($F283&amp;"|low",Response_Table!$A$4:$A$21,0))*$R283*INDEX(Parameters!$X$15:$AA$15,1,MATCH($E283,Parameters!$X$3:$AA$3,0))),BW283*(1+INDEX(Response_Table!$O$4:$O$21,MATCH($F283&amp;"|high",Response_Table!$A$4:$A$21,0))*$R283*INDEX(Parameters!$X$15:$AA$15,1,MATCH($E283,Parameters!$X$3:$AA$3,0))))*(1-Inputs_General!$C$22*Parameters!$F$15))</f>
        <v>7.0427527357738</v>
      </c>
      <c r="BZ283" s="43" t="n">
        <f aca="false">MAX(BW283*(1+INDEX(Response_Table!$O$4:$O$21,MATCH($F283&amp;"|low",Response_Table!$A$4:$A$21,0))*$R283*INDEX(Parameters!$X$15:$AA$15,1,MATCH($E283,Parameters!$X$3:$AA$3,0))),BW283*(1+INDEX(Response_Table!$O$4:$O$21,MATCH($F283&amp;"|high",Response_Table!$A$4:$A$21,0))*$R283*INDEX(Parameters!$X$15:$AA$15,1,MATCH($E283,Parameters!$X$3:$AA$3,0))))*(1+Inputs_General!$C$22*Parameters!$F$15)</f>
        <v>10.8569323975189</v>
      </c>
      <c r="CA283" s="45" t="n">
        <f aca="false">IF(BW283=0,0,BX283/BW283-1)</f>
        <v>-0.0867230747184212</v>
      </c>
      <c r="CB283" s="46" t="n">
        <f aca="false">BD283+BI283</f>
        <v>1.07440166592848</v>
      </c>
      <c r="CC283" s="43" t="n">
        <f aca="false">BD283/BI283</f>
        <v>2.48963276544835</v>
      </c>
      <c r="CD283" s="46" t="n">
        <f aca="false">BN283/CB283</f>
        <v>0.22378798439709</v>
      </c>
      <c r="CE283" s="43" t="n">
        <f aca="false">AE283/AO283</f>
        <v>2.18997592248473</v>
      </c>
      <c r="CF283" s="44" t="n">
        <f aca="false">AE283/AJ283</f>
        <v>42.0080480922849</v>
      </c>
      <c r="CG283" s="44" t="n">
        <f aca="false">INDEX(Context!$V$4:$V$51,$K283)</f>
        <v>28.62</v>
      </c>
      <c r="CH283" s="44" t="n">
        <f aca="false">INDEX(Context!$Y$4:$Y$51,$K283)</f>
        <v>25.3060134606718</v>
      </c>
      <c r="CI283" s="44" t="n">
        <f aca="false">INDEX(Context!$Z$4:$Z$51,$K283)</f>
        <v>32.62</v>
      </c>
      <c r="CJ283" s="43" t="n">
        <f aca="false">INDEX(Context!$AA$4:$AA$51,$K283)</f>
        <v>0.221696428571429</v>
      </c>
      <c r="CK283" s="43" t="n">
        <f aca="false">MAX(0,MIN(1,1-(1-CJ283)*AO283/AN283))</f>
        <v>0.468030279090238</v>
      </c>
      <c r="CL283" s="44" t="n">
        <f aca="false">CH283+CK283*(CI283-CH283)</f>
        <v>28.7291806219358</v>
      </c>
      <c r="CM283" s="44" t="n">
        <f aca="false">CH283+MAX(0,MIN(1,1-(1-CJ283)*AQ283/AN283))*(CI283-CH283)</f>
        <v>26.8033987291663</v>
      </c>
      <c r="CN283" s="44" t="n">
        <f aca="false">CH283+MAX(0,MIN(1,1-(1-CJ283)*AP283/AN283))*(CI283-CH283)</f>
        <v>30.1842536867076</v>
      </c>
      <c r="CO283" s="44" t="n">
        <f aca="false">CL283-CG283</f>
        <v>0.109180621935806</v>
      </c>
      <c r="CP283" s="44" t="n">
        <f aca="false">CL283-(CH283+CJ283*(CI283-CH283))</f>
        <v>1.80168246687547</v>
      </c>
      <c r="CQ283" s="46" t="n">
        <f aca="false">CL283/CG283</f>
        <v>1.00381483654563</v>
      </c>
      <c r="CR283" s="43" t="n">
        <f aca="false">IF(CL283-CH283&lt;=0,"n/a",(CI283-CL283)/(CL283-CH283))</f>
        <v>1.13661390016007</v>
      </c>
      <c r="CS283" s="43" t="n">
        <f aca="false">IF(CI283-CL283&lt;=0,"n/a",(CL283-CH283)/(CI283-CL283))</f>
        <v>0.879806238388577</v>
      </c>
      <c r="CT283" s="43" t="n">
        <f aca="false">Inputs_General!$C$23+Inputs_General!$C$24*$I283</f>
        <v>1.36</v>
      </c>
      <c r="CU283" s="44" t="n">
        <f aca="false">3.29*CT283</f>
        <v>4.4744</v>
      </c>
    </row>
    <row r="284" customFormat="false" ht="15" hidden="false" customHeight="false" outlineLevel="0" collapsed="false">
      <c r="A284" s="9" t="str">
        <f aca="false">B284&amp;"|"&amp;E284&amp;"|"&amp;F284</f>
        <v>D4V3|03/03/2026|Very high</v>
      </c>
      <c r="B284" s="7" t="s">
        <v>354</v>
      </c>
      <c r="C284" s="9" t="s">
        <v>133</v>
      </c>
      <c r="D284" s="9" t="s">
        <v>150</v>
      </c>
      <c r="E284" s="9" t="s">
        <v>162</v>
      </c>
      <c r="F284" s="7" t="s">
        <v>285</v>
      </c>
      <c r="G284" s="9" t="s">
        <v>286</v>
      </c>
      <c r="H284" s="41" t="n">
        <f aca="false">INDEX(Severity_Classes!$C$4:$C$9,MATCH(F284,Severity_Classes!$A$4:$A$9,0))</f>
        <v>0.51</v>
      </c>
      <c r="I284" s="41" t="n">
        <f aca="false">INDEX(Severity_Classes!$D$4:$D$9,MATCH(F284,Severity_Classes!$A$4:$A$9,0))</f>
        <v>0.65</v>
      </c>
      <c r="J284" s="41" t="n">
        <f aca="false">INDEX(Severity_Classes!$E$4:$E$9,MATCH(F284,Severity_Classes!$A$4:$A$9,0))</f>
        <v>0.85</v>
      </c>
      <c r="K284" s="42" t="n">
        <f aca="false">MATCH(B284&amp;"|"&amp;E284,Context!$A$4:$A$51,0)</f>
        <v>47</v>
      </c>
      <c r="L284" s="42" t="n">
        <f aca="false">INDEX(Context!$H$4:$H$51,K284)</f>
        <v>53</v>
      </c>
      <c r="M284" s="42" t="n">
        <f aca="false">INDEX(Context!$I$4:$I$51,K284)</f>
        <v>26</v>
      </c>
      <c r="N284" s="9" t="str">
        <f aca="false">INDEX(Context!$L$4:$L$51,K284)</f>
        <v>F</v>
      </c>
      <c r="O284" s="9" t="str">
        <f aca="false">INDEX(Context!$M$4:$M$51,K284)</f>
        <v>5th fully expanded leaf from top</v>
      </c>
      <c r="P284" s="43" t="n">
        <f aca="false">INDEX(Context!$R$4:$R$51,K284)</f>
        <v>0.433928571428571</v>
      </c>
      <c r="Q284" s="43" t="n">
        <f aca="false">INDEX(Context!$U$4:$U$51,K284)</f>
        <v>1.73951545534029</v>
      </c>
      <c r="R284" s="43" t="n">
        <f aca="false">INDEX(Context!$AD$4:$AD$51,K284)</f>
        <v>0.85</v>
      </c>
      <c r="S284" s="9" t="str">
        <f aca="false">INDEX(Context!$AI$4:$AN$51,K284,MATCH(F284,Severity_Classes!$A$4:$A$9,0))</f>
        <v>Unlikely</v>
      </c>
      <c r="T284" s="44" t="n">
        <f aca="false">Parameters!$E$4*IF($N284="V",Parameters!$I$4,IF($N284="F",Parameters!$J$4,Parameters!$K$4))*(1-Parameters!$L$4*$P284)*IF($D284="V1",Parameters!$M$4,IF($D284="V2",Parameters!$N$4,Parameters!$O$4))</f>
        <v>83.2927660714286</v>
      </c>
      <c r="U284" s="44" t="n">
        <f aca="false">MIN(100,T284*(1+INDEX(Response_Table!$E$4:$E$21,MATCH($F284&amp;"|mid",Response_Table!$A$4:$A$21,0))*$R284*INDEX(Parameters!$X$4:$AA$4,1,MATCH($E284,Parameters!$X$3:$AA$3,0))))</f>
        <v>63.7515005088741</v>
      </c>
      <c r="V284" s="44" t="n">
        <f aca="false">MAX(0,MIN(T284*(1+INDEX(Response_Table!$E$4:$E$21,MATCH($F284&amp;"|low",Response_Table!$A$4:$A$21,0))*$R284*INDEX(Parameters!$X$4:$AA$4,1,MATCH($E284,Parameters!$X$3:$AA$3,0))),T284*(1+INDEX(Response_Table!$E$4:$E$21,MATCH($F284&amp;"|high",Response_Table!$A$4:$A$21,0))*$R284*INDEX(Parameters!$X$4:$AA$4,1,MATCH($E284,Parameters!$X$3:$AA$3,0))))*(1-Inputs_General!$C$22*Parameters!$F$4))</f>
        <v>58.2893410195042</v>
      </c>
      <c r="W284" s="44" t="n">
        <f aca="false">MIN(100,MAX(T284*(1+INDEX(Response_Table!$E$4:$E$21,MATCH($F284&amp;"|low",Response_Table!$A$4:$A$21,0))*$R284*INDEX(Parameters!$X$4:$AA$4,1,MATCH($E284,Parameters!$X$3:$AA$3,0))),T284*(1+INDEX(Response_Table!$E$4:$E$21,MATCH($F284&amp;"|high",Response_Table!$A$4:$A$21,0))*$R284*INDEX(Parameters!$X$4:$AA$4,1,MATCH($E284,Parameters!$X$3:$AA$3,0))))*(1+Inputs_General!$C$22*Parameters!$F$4))</f>
        <v>71.114065927743</v>
      </c>
      <c r="X284" s="45" t="n">
        <f aca="false">IF(T284=0,0,U284/T284-1)</f>
        <v>-0.234609396280545</v>
      </c>
      <c r="Y284" s="44" t="n">
        <f aca="false">Parameters!$E$5*IF($N284="V",Parameters!$I$5,IF($N284="F",Parameters!$J$5,Parameters!$K$5))*(1-Parameters!$L$5*$P284)*IF($D284="V1",Parameters!$M$5,IF($D284="V2",Parameters!$N$5,Parameters!$O$5))</f>
        <v>66.88584</v>
      </c>
      <c r="Z284" s="44" t="n">
        <f aca="false">MIN(100,Y284*(1+INDEX(Response_Table!$F$4:$F$21,MATCH($F284&amp;"|mid",Response_Table!$A$4:$A$21,0))*$R284*INDEX(Parameters!$X$5:$AA$5,1,MATCH($E284,Parameters!$X$3:$AA$3,0))))</f>
        <v>28.1073389785052</v>
      </c>
      <c r="AA284" s="44" t="n">
        <f aca="false">MAX(0,MIN(Y284*(1+INDEX(Response_Table!$F$4:$F$21,MATCH($F284&amp;"|low",Response_Table!$A$4:$A$21,0))*$R284*INDEX(Parameters!$X$5:$AA$5,1,MATCH($E284,Parameters!$X$3:$AA$3,0))),Y284*(1+INDEX(Response_Table!$F$4:$F$21,MATCH($F284&amp;"|high",Response_Table!$A$4:$A$21,0))*$R284*INDEX(Parameters!$X$5:$AA$5,1,MATCH($E284,Parameters!$X$3:$AA$3,0))))*(1-Inputs_General!$C$22*Parameters!$F$5))</f>
        <v>24.0940683955445</v>
      </c>
      <c r="AB284" s="44" t="n">
        <f aca="false">MIN(100,MAX(Y284*(1+INDEX(Response_Table!$F$4:$F$21,MATCH($F284&amp;"|low",Response_Table!$A$4:$A$21,0))*$R284*INDEX(Parameters!$X$5:$AA$5,1,MATCH($E284,Parameters!$X$3:$AA$3,0))),Y284*(1+INDEX(Response_Table!$F$4:$F$21,MATCH($F284&amp;"|high",Response_Table!$A$4:$A$21,0))*$R284*INDEX(Parameters!$X$5:$AA$5,1,MATCH($E284,Parameters!$X$3:$AA$3,0))))*(1+Inputs_General!$C$22*Parameters!$F$5))</f>
        <v>34.4979634369581</v>
      </c>
      <c r="AC284" s="45" t="n">
        <f aca="false">IF(Y284=0,0,Z284/Y284-1)</f>
        <v>-0.579771458674883</v>
      </c>
      <c r="AD284" s="44" t="n">
        <f aca="false">Parameters!$E$6*IF($N284="V",Parameters!$I$6,IF($N284="F",Parameters!$J$6,Parameters!$K$6))*(1-Parameters!$L$6*$P284)*IF($D284="V1",Parameters!$M$6,IF($D284="V2",Parameters!$N$6,Parameters!$O$6))</f>
        <v>18.5509621428571</v>
      </c>
      <c r="AE284" s="44" t="n">
        <f aca="false">AD284*(1+INDEX(Response_Table!$G$4:$G$21,MATCH($F284&amp;"|mid",Response_Table!$A$4:$A$21,0))*$R284*INDEX(Parameters!$X$6:$AA$6,1,MATCH($E284,Parameters!$X$3:$AA$3,0)))</f>
        <v>7.40199778661453</v>
      </c>
      <c r="AF284" s="44" t="n">
        <f aca="false">MAX(0,MIN(AD284*(1+INDEX(Response_Table!$G$4:$G$21,MATCH($F284&amp;"|low",Response_Table!$A$4:$A$21,0))*$R284*INDEX(Parameters!$X$6:$AA$6,1,MATCH($E284,Parameters!$X$3:$AA$3,0))),AD284*(1+INDEX(Response_Table!$G$4:$G$21,MATCH($F284&amp;"|high",Response_Table!$A$4:$A$21,0))*$R284*INDEX(Parameters!$X$6:$AA$6,1,MATCH($E284,Parameters!$X$3:$AA$3,0))))*(1-Inputs_General!$C$22*Parameters!$F$6))</f>
        <v>5.62273104827375</v>
      </c>
      <c r="AG284" s="44" t="n">
        <f aca="false">MAX(AD284*(1+INDEX(Response_Table!$G$4:$G$21,MATCH($F284&amp;"|low",Response_Table!$A$4:$A$21,0))*$R284*INDEX(Parameters!$X$6:$AA$6,1,MATCH($E284,Parameters!$X$3:$AA$3,0))),AD284*(1+INDEX(Response_Table!$G$4:$G$21,MATCH($F284&amp;"|high",Response_Table!$A$4:$A$21,0))*$R284*INDEX(Parameters!$X$6:$AA$6,1,MATCH($E284,Parameters!$X$3:$AA$3,0))))*(1+Inputs_General!$C$22*Parameters!$F$6)</f>
        <v>9.55369713980431</v>
      </c>
      <c r="AH284" s="45" t="n">
        <f aca="false">IF(AD284=0,0,AE284/AD284-1)</f>
        <v>-0.600991165330765</v>
      </c>
      <c r="AI284" s="46" t="n">
        <f aca="false">Parameters!$E$7*IF($N284="V",Parameters!$I$7,IF($N284="F",Parameters!$J$7,Parameters!$K$7))*(1-Parameters!$L$7*$P284)*IF($D284="V1",Parameters!$M$7,IF($D284="V2",Parameters!$N$7,Parameters!$O$7))*POWER($Q284/Inputs_General!$C$26,-Inputs_General!$C$25)</f>
        <v>0.341191629407368</v>
      </c>
      <c r="AJ284" s="46" t="n">
        <f aca="false">AI284*(1+INDEX(Response_Table!$H$4:$H$21,MATCH($F284&amp;"|mid",Response_Table!$A$4:$A$21,0))*$R284*INDEX(Parameters!$X$7:$AA$7,1,MATCH($E284,Parameters!$X$3:$AA$3,0)))</f>
        <v>0.179503108234427</v>
      </c>
      <c r="AK284" s="46" t="n">
        <f aca="false">MAX(0,MIN(AI284*(1+INDEX(Response_Table!$H$4:$H$21,MATCH($F284&amp;"|low",Response_Table!$A$4:$A$21,0))*$R284*INDEX(Parameters!$X$7:$AA$7,1,MATCH($E284,Parameters!$X$3:$AA$3,0))),AI284*(1+INDEX(Response_Table!$H$4:$H$21,MATCH($F284&amp;"|high",Response_Table!$A$4:$A$21,0))*$R284*INDEX(Parameters!$X$7:$AA$7,1,MATCH($E284,Parameters!$X$3:$AA$3,0))))*(1-Inputs_General!$C$22*Parameters!$F$7))</f>
        <v>0.11783448048641</v>
      </c>
      <c r="AL284" s="46" t="n">
        <f aca="false">MAX(AI284*(1+INDEX(Response_Table!$H$4:$H$21,MATCH($F284&amp;"|low",Response_Table!$A$4:$A$21,0))*$R284*INDEX(Parameters!$X$7:$AA$7,1,MATCH($E284,Parameters!$X$3:$AA$3,0))),AI284*(1+INDEX(Response_Table!$H$4:$H$21,MATCH($F284&amp;"|high",Response_Table!$A$4:$A$21,0))*$R284*INDEX(Parameters!$X$7:$AA$7,1,MATCH($E284,Parameters!$X$3:$AA$3,0))))*(1+Inputs_General!$C$22*Parameters!$F$7)</f>
        <v>0.250797995325436</v>
      </c>
      <c r="AM284" s="45" t="n">
        <f aca="false">IF(AI284=0,0,AJ284/AI284-1)</f>
        <v>-0.473893575448451</v>
      </c>
      <c r="AN284" s="43" t="n">
        <f aca="false">AI284*$Q284/Inputs_General!$C$13*1000</f>
        <v>5.97691956280819</v>
      </c>
      <c r="AO284" s="43" t="n">
        <f aca="false">AJ284*$Q284/Inputs_General!$C$13*1000*(1+Inputs_General!$C$21*$I284)</f>
        <v>3.65547634543717</v>
      </c>
      <c r="AP284" s="43" t="n">
        <f aca="false">AK284*$Q284/Inputs_General!$C$13*1000*(1+Inputs_General!$C$21*$H284)</f>
        <v>2.32738368303437</v>
      </c>
      <c r="AQ284" s="43" t="n">
        <f aca="false">AL284*$Q284/Inputs_General!$C$13*1000*(1+Inputs_General!$C$21*$J284)</f>
        <v>5.32702642706255</v>
      </c>
      <c r="AR284" s="45" t="n">
        <f aca="false">IF(AN284=0,0,AO284/AN284-1)</f>
        <v>-0.388401281458825</v>
      </c>
      <c r="AS284" s="42" t="n">
        <f aca="false">Parameters!$E$9*IF($N284="V",Parameters!$I$9,IF($N284="F",Parameters!$J$9,Parameters!$K$9))*(1-Parameters!$L$9*$P284)*IF($D284="V1",Parameters!$M$9,IF($D284="V2",Parameters!$N$9,Parameters!$O$9))</f>
        <v>285</v>
      </c>
      <c r="AT284" s="42" t="n">
        <f aca="false">AS284*(1+INDEX(Response_Table!$I$4:$I$21,MATCH($F284&amp;"|mid",Response_Table!$A$4:$A$21,0))*$R284*INDEX(Parameters!$X$9:$AA$9,1,MATCH($E284,Parameters!$X$3:$AA$3,0)))</f>
        <v>352.277167703273</v>
      </c>
      <c r="AU284" s="42" t="n">
        <f aca="false">MAX(0,MIN(AS284*(1+INDEX(Response_Table!$I$4:$I$21,MATCH($F284&amp;"|low",Response_Table!$A$4:$A$21,0))*$R284*INDEX(Parameters!$X$9:$AA$9,1,MATCH($E284,Parameters!$X$3:$AA$3,0))),AS284*(1+INDEX(Response_Table!$I$4:$I$21,MATCH($F284&amp;"|high",Response_Table!$A$4:$A$21,0))*$R284*INDEX(Parameters!$X$9:$AA$9,1,MATCH($E284,Parameters!$X$3:$AA$3,0))))*(1-Inputs_General!$C$22*Parameters!$F$9))</f>
        <v>313.855339805687</v>
      </c>
      <c r="AV284" s="42" t="n">
        <f aca="false">MAX(AS284*(1+INDEX(Response_Table!$I$4:$I$21,MATCH($F284&amp;"|low",Response_Table!$A$4:$A$21,0))*$R284*INDEX(Parameters!$X$9:$AA$9,1,MATCH($E284,Parameters!$X$3:$AA$3,0))),AS284*(1+INDEX(Response_Table!$I$4:$I$21,MATCH($F284&amp;"|high",Response_Table!$A$4:$A$21,0))*$R284*INDEX(Parameters!$X$9:$AA$9,1,MATCH($E284,Parameters!$X$3:$AA$3,0))))*(1+Inputs_General!$C$22*Parameters!$F$9)</f>
        <v>390.312732889309</v>
      </c>
      <c r="AW284" s="45" t="n">
        <f aca="false">IF(AS284=0,0,AT284/AS284-1)</f>
        <v>0.236060237555345</v>
      </c>
      <c r="AX284" s="43" t="n">
        <f aca="false">INDEX(Context!$AB$4:$AB$51,$K284)</f>
        <v>2.00148060787833</v>
      </c>
      <c r="AY284" s="43" t="n">
        <f aca="false">AX284*(1+INDEX(Response_Table!$J$4:$J$21,MATCH($F284&amp;"|mid",Response_Table!$A$4:$A$21,0))*$R284*INDEX(Parameters!$X$10:$AA$10,1,MATCH($E284,Parameters!$X$3:$AA$3,0)))</f>
        <v>1.38666322438002</v>
      </c>
      <c r="AZ284" s="43" t="n">
        <f aca="false">MAX(0,MIN(AX284*(1+INDEX(Response_Table!$J$4:$J$21,MATCH($F284&amp;"|low",Response_Table!$A$4:$A$21,0))*$R284*INDEX(Parameters!$X$10:$AA$10,1,MATCH($E284,Parameters!$X$3:$AA$3,0))),AX284*(1+INDEX(Response_Table!$J$4:$J$21,MATCH($F284&amp;"|high",Response_Table!$A$4:$A$21,0))*$R284*INDEX(Parameters!$X$10:$AA$10,1,MATCH($E284,Parameters!$X$3:$AA$3,0))))*(1-Inputs_General!$C$22*Parameters!$F$10))</f>
        <v>1.06532961304026</v>
      </c>
      <c r="BA284" s="43" t="n">
        <f aca="false">MAX(AX284*(1+INDEX(Response_Table!$J$4:$J$21,MATCH($F284&amp;"|low",Response_Table!$A$4:$A$21,0))*$R284*INDEX(Parameters!$X$10:$AA$10,1,MATCH($E284,Parameters!$X$3:$AA$3,0))),AX284*(1+INDEX(Response_Table!$J$4:$J$21,MATCH($F284&amp;"|high",Response_Table!$A$4:$A$21,0))*$R284*INDEX(Parameters!$X$10:$AA$10,1,MATCH($E284,Parameters!$X$3:$AA$3,0))))*(1+Inputs_General!$C$22*Parameters!$F$10)</f>
        <v>1.73603508351225</v>
      </c>
      <c r="BB284" s="45" t="n">
        <f aca="false">IF(AX284=0,0,AY284/AX284-1)</f>
        <v>-0.307181284234396</v>
      </c>
      <c r="BC284" s="46" t="n">
        <f aca="false">Parameters!$E$11*IF($N284="V",Parameters!$I$11,IF($N284="F",Parameters!$J$11,Parameters!$K$11))*(1-Parameters!$L$11*$P284)*IF($D284="V1",Parameters!$M$11,IF($D284="V2",Parameters!$N$11,Parameters!$O$11))</f>
        <v>1.25397901785714</v>
      </c>
      <c r="BD284" s="46" t="n">
        <f aca="false">BC284*(1+INDEX(Response_Table!$K$4:$K$21,MATCH($F284&amp;"|mid",Response_Table!$A$4:$A$21,0))*$R284*INDEX(Parameters!$X$11:$AA$11,1,MATCH($E284,Parameters!$X$3:$AA$3,0)))</f>
        <v>0.64771018578946</v>
      </c>
      <c r="BE284" s="46" t="n">
        <f aca="false">MAX(0,MIN(BC284*(1+INDEX(Response_Table!$K$4:$K$21,MATCH($F284&amp;"|low",Response_Table!$A$4:$A$21,0))*$R284*INDEX(Parameters!$X$11:$AA$11,1,MATCH($E284,Parameters!$X$3:$AA$3,0))),BC284*(1+INDEX(Response_Table!$K$4:$K$21,MATCH($F284&amp;"|high",Response_Table!$A$4:$A$21,0))*$R284*INDEX(Parameters!$X$11:$AA$11,1,MATCH($E284,Parameters!$X$3:$AA$3,0))))*(1-Inputs_General!$C$22*Parameters!$F$11))</f>
        <v>0.506977374821822</v>
      </c>
      <c r="BF284" s="46" t="n">
        <f aca="false">MAX(BC284*(1+INDEX(Response_Table!$K$4:$K$21,MATCH($F284&amp;"|low",Response_Table!$A$4:$A$21,0))*$R284*INDEX(Parameters!$X$11:$AA$11,1,MATCH($E284,Parameters!$X$3:$AA$3,0))),BC284*(1+INDEX(Response_Table!$K$4:$K$21,MATCH($F284&amp;"|high",Response_Table!$A$4:$A$21,0))*$R284*INDEX(Parameters!$X$11:$AA$11,1,MATCH($E284,Parameters!$X$3:$AA$3,0))))*(1+Inputs_General!$C$22*Parameters!$F$11)</f>
        <v>0.811224456245876</v>
      </c>
      <c r="BG284" s="45" t="n">
        <f aca="false">IF(BC284=0,0,BD284/BC284-1)</f>
        <v>-0.483476057760283</v>
      </c>
      <c r="BH284" s="46" t="n">
        <f aca="false">Parameters!$E$12*IF($N284="V",Parameters!$I$12,IF($N284="F",Parameters!$J$12,Parameters!$K$12))*(1-Parameters!$L$12*$P284)*IF($D284="V1",Parameters!$M$12,IF($D284="V2",Parameters!$N$12,Parameters!$O$12))</f>
        <v>0.451432446428571</v>
      </c>
      <c r="BI284" s="46" t="n">
        <f aca="false">BH284*(1+INDEX(Response_Table!$L$4:$L$21,MATCH($F284&amp;"|mid",Response_Table!$A$4:$A$21,0))*$R284*INDEX(Parameters!$X$12:$AA$12,1,MATCH($E284,Parameters!$X$3:$AA$3,0)))</f>
        <v>0.270413962026552</v>
      </c>
      <c r="BJ284" s="46" t="n">
        <f aca="false">MAX(0,MIN(BH284*(1+INDEX(Response_Table!$L$4:$L$21,MATCH($F284&amp;"|low",Response_Table!$A$4:$A$21,0))*$R284*INDEX(Parameters!$X$12:$AA$12,1,MATCH($E284,Parameters!$X$3:$AA$3,0))),BH284*(1+INDEX(Response_Table!$L$4:$L$21,MATCH($F284&amp;"|high",Response_Table!$A$4:$A$21,0))*$R284*INDEX(Parameters!$X$12:$AA$12,1,MATCH($E284,Parameters!$X$3:$AA$3,0))))*(1-Inputs_General!$C$22*Parameters!$F$12))</f>
        <v>0.206161050537459</v>
      </c>
      <c r="BK284" s="46" t="n">
        <f aca="false">MAX(BH284*(1+INDEX(Response_Table!$L$4:$L$21,MATCH($F284&amp;"|low",Response_Table!$A$4:$A$21,0))*$R284*INDEX(Parameters!$X$12:$AA$12,1,MATCH($E284,Parameters!$X$3:$AA$3,0))),BH284*(1+INDEX(Response_Table!$L$4:$L$21,MATCH($F284&amp;"|high",Response_Table!$A$4:$A$21,0))*$R284*INDEX(Parameters!$X$12:$AA$12,1,MATCH($E284,Parameters!$X$3:$AA$3,0))))*(1+Inputs_General!$C$22*Parameters!$F$12)</f>
        <v>0.342559946236451</v>
      </c>
      <c r="BL284" s="45" t="n">
        <f aca="false">IF(BH284=0,0,BI284/BH284-1)</f>
        <v>-0.400986871533305</v>
      </c>
      <c r="BM284" s="46" t="n">
        <f aca="false">Parameters!$E$13*IF($N284="V",Parameters!$I$13,IF($N284="F",Parameters!$J$13,Parameters!$K$13))*(1-Parameters!$L$13*$P284)*IF($D284="V1",Parameters!$M$13,IF($D284="V2",Parameters!$N$13,Parameters!$O$13))</f>
        <v>0.304977482142857</v>
      </c>
      <c r="BN284" s="46" t="n">
        <f aca="false">BM284*(1+INDEX(Response_Table!$M$4:$M$21,MATCH($F284&amp;"|mid",Response_Table!$A$4:$A$21,0))*$R284*INDEX(Parameters!$X$13:$AA$13,1,MATCH($E284,Parameters!$X$3:$AA$3,0)))</f>
        <v>0.216726491405379</v>
      </c>
      <c r="BO284" s="46" t="n">
        <f aca="false">MAX(0,MIN(BM284*(1+INDEX(Response_Table!$M$4:$M$21,MATCH($F284&amp;"|low",Response_Table!$A$4:$A$21,0))*$R284*INDEX(Parameters!$X$13:$AA$13,1,MATCH($E284,Parameters!$X$3:$AA$3,0))),BM284*(1+INDEX(Response_Table!$M$4:$M$21,MATCH($F284&amp;"|high",Response_Table!$A$4:$A$21,0))*$R284*INDEX(Parameters!$X$13:$AA$13,1,MATCH($E284,Parameters!$X$3:$AA$3,0))))*(1-Inputs_General!$C$22*Parameters!$F$13))</f>
        <v>0.168147492434891</v>
      </c>
      <c r="BP284" s="46" t="n">
        <f aca="false">MAX(BM284*(1+INDEX(Response_Table!$M$4:$M$21,MATCH($F284&amp;"|low",Response_Table!$A$4:$A$21,0))*$R284*INDEX(Parameters!$X$13:$AA$13,1,MATCH($E284,Parameters!$X$3:$AA$3,0))),BM284*(1+INDEX(Response_Table!$M$4:$M$21,MATCH($F284&amp;"|high",Response_Table!$A$4:$A$21,0))*$R284*INDEX(Parameters!$X$13:$AA$13,1,MATCH($E284,Parameters!$X$3:$AA$3,0))))*(1+Inputs_General!$C$22*Parameters!$F$13)</f>
        <v>0.270527701956896</v>
      </c>
      <c r="BQ284" s="45" t="n">
        <f aca="false">IF(BM284=0,0,BN284/BM284-1)</f>
        <v>-0.289368874440834</v>
      </c>
      <c r="BR284" s="44" t="n">
        <f aca="false">Parameters!$E$14*IF($N284="V",Parameters!$I$14,IF($N284="F",Parameters!$J$14,Parameters!$K$14))*(1-Parameters!$L$14*$P284)*IF($D284="V1",Parameters!$M$14,IF($D284="V2",Parameters!$N$14,Parameters!$O$14))*INDEX(Context!$AC$4:$AC$51,$K284)</f>
        <v>15</v>
      </c>
      <c r="BS284" s="44" t="n">
        <f aca="false">BR284*(1+INDEX(Response_Table!$N$4:$N$21,MATCH($F284&amp;"|mid",Response_Table!$A$4:$A$21,0))*$R284*INDEX(Parameters!$X$14:$AA$14,1,MATCH($E284,Parameters!$X$3:$AA$3,0)))</f>
        <v>21.5616033523632</v>
      </c>
      <c r="BT284" s="44" t="n">
        <f aca="false">MAX(0,MIN(BR284*(1+INDEX(Response_Table!$N$4:$N$21,MATCH($F284&amp;"|low",Response_Table!$A$4:$A$21,0))*$R284*INDEX(Parameters!$X$14:$AA$14,1,MATCH($E284,Parameters!$X$3:$AA$3,0))),BR284*(1+INDEX(Response_Table!$N$4:$N$21,MATCH($F284&amp;"|high",Response_Table!$A$4:$A$21,0))*$R284*INDEX(Parameters!$X$14:$AA$14,1,MATCH($E284,Parameters!$X$3:$AA$3,0))))*(1-Inputs_General!$C$22*Parameters!$F$14))</f>
        <v>10.633208836459</v>
      </c>
      <c r="BU284" s="44" t="n">
        <f aca="false">MAX(BR284*(1+INDEX(Response_Table!$N$4:$N$21,MATCH($F284&amp;"|low",Response_Table!$A$4:$A$21,0))*$R284*INDEX(Parameters!$X$14:$AA$14,1,MATCH($E284,Parameters!$X$3:$AA$3,0))),BR284*(1+INDEX(Response_Table!$N$4:$N$21,MATCH($F284&amp;"|high",Response_Table!$A$4:$A$21,0))*$R284*INDEX(Parameters!$X$14:$AA$14,1,MATCH($E284,Parameters!$X$3:$AA$3,0))))*(1+Inputs_General!$C$22*Parameters!$F$14)</f>
        <v>32.9356704934787</v>
      </c>
      <c r="BV284" s="45" t="n">
        <f aca="false">IF(BR284=0,0,BS284/BR284-1)</f>
        <v>0.437440223490878</v>
      </c>
      <c r="BW284" s="43" t="n">
        <f aca="false">Parameters!$E$15*IF($N284="V",Parameters!$I$15,IF($N284="F",Parameters!$J$15,Parameters!$K$15))*(1-Parameters!$L$15*$P284)*IF($D284="V1",Parameters!$M$15,IF($D284="V2",Parameters!$N$15,Parameters!$O$15))</f>
        <v>9.73964285714286</v>
      </c>
      <c r="BX284" s="43" t="n">
        <f aca="false">BW284*(1+INDEX(Response_Table!$O$4:$O$21,MATCH($F284&amp;"|mid",Response_Table!$A$4:$A$21,0))*$R284*INDEX(Parameters!$X$15:$AA$15,1,MATCH($E284,Parameters!$X$3:$AA$3,0)))</f>
        <v>8.67451497010538</v>
      </c>
      <c r="BY284" s="43" t="n">
        <f aca="false">MAX(0,MIN(BW284*(1+INDEX(Response_Table!$O$4:$O$21,MATCH($F284&amp;"|low",Response_Table!$A$4:$A$21,0))*$R284*INDEX(Parameters!$X$15:$AA$15,1,MATCH($E284,Parameters!$X$3:$AA$3,0))),BW284*(1+INDEX(Response_Table!$O$4:$O$21,MATCH($F284&amp;"|high",Response_Table!$A$4:$A$21,0))*$R284*INDEX(Parameters!$X$15:$AA$15,1,MATCH($E284,Parameters!$X$3:$AA$3,0))))*(1-Inputs_General!$C$22*Parameters!$F$15))</f>
        <v>6.89818692486211</v>
      </c>
      <c r="BZ284" s="43" t="n">
        <f aca="false">MAX(BW284*(1+INDEX(Response_Table!$O$4:$O$21,MATCH($F284&amp;"|low",Response_Table!$A$4:$A$21,0))*$R284*INDEX(Parameters!$X$15:$AA$15,1,MATCH($E284,Parameters!$X$3:$AA$3,0))),BW284*(1+INDEX(Response_Table!$O$4:$O$21,MATCH($F284&amp;"|high",Response_Table!$A$4:$A$21,0))*$R284*INDEX(Parameters!$X$15:$AA$15,1,MATCH($E284,Parameters!$X$3:$AA$3,0))))*(1+Inputs_General!$C$22*Parameters!$F$15)</f>
        <v>10.4972865147356</v>
      </c>
      <c r="CA284" s="45" t="n">
        <f aca="false">IF(BW284=0,0,BX284/BW284-1)</f>
        <v>-0.10936005587272</v>
      </c>
      <c r="CB284" s="46" t="n">
        <f aca="false">BD284+BI284</f>
        <v>0.918124147816012</v>
      </c>
      <c r="CC284" s="43" t="n">
        <f aca="false">BD284/BI284</f>
        <v>2.3952542277601</v>
      </c>
      <c r="CD284" s="46" t="n">
        <f aca="false">BN284/CB284</f>
        <v>0.236053579378036</v>
      </c>
      <c r="CE284" s="43" t="n">
        <f aca="false">AE284/AO284</f>
        <v>2.02490649292638</v>
      </c>
      <c r="CF284" s="44" t="n">
        <f aca="false">AE284/AJ284</f>
        <v>41.2360424252246</v>
      </c>
      <c r="CG284" s="44" t="n">
        <f aca="false">INDEX(Context!$V$4:$V$51,$K284)</f>
        <v>28.62</v>
      </c>
      <c r="CH284" s="44" t="n">
        <f aca="false">INDEX(Context!$Y$4:$Y$51,$K284)</f>
        <v>25.3060134606718</v>
      </c>
      <c r="CI284" s="44" t="n">
        <f aca="false">INDEX(Context!$Z$4:$Z$51,$K284)</f>
        <v>32.62</v>
      </c>
      <c r="CJ284" s="43" t="n">
        <f aca="false">INDEX(Context!$AA$4:$AA$51,$K284)</f>
        <v>0.221696428571429</v>
      </c>
      <c r="CK284" s="43" t="n">
        <f aca="false">MAX(0,MIN(1,1-(1-CJ284)*AO284/AN284))</f>
        <v>0.523990533078266</v>
      </c>
      <c r="CL284" s="44" t="n">
        <f aca="false">CH284+CK284*(CI284-CH284)</f>
        <v>29.1384731663416</v>
      </c>
      <c r="CM284" s="44" t="n">
        <f aca="false">CH284+MAX(0,MIN(1,1-(1-CJ284)*AQ284/AN284))*(CI284-CH284)</f>
        <v>27.5464654734874</v>
      </c>
      <c r="CN284" s="44" t="n">
        <f aca="false">CH284+MAX(0,MIN(1,1-(1-CJ284)*AP284/AN284))*(CI284-CH284)</f>
        <v>30.4033672060778</v>
      </c>
      <c r="CO284" s="44" t="n">
        <f aca="false">CL284-CG284</f>
        <v>0.518473166341625</v>
      </c>
      <c r="CP284" s="44" t="n">
        <f aca="false">CL284-(CH284+CJ284*(CI284-CH284))</f>
        <v>2.21097501128129</v>
      </c>
      <c r="CQ284" s="46" t="n">
        <f aca="false">CL284/CG284</f>
        <v>1.01811576402312</v>
      </c>
      <c r="CR284" s="43" t="n">
        <f aca="false">IF(CL284-CH284&lt;=0,"n/a",(CI284-CL284)/(CL284-CH284))</f>
        <v>0.908431425517063</v>
      </c>
      <c r="CS284" s="43" t="n">
        <f aca="false">IF(CI284-CL284&lt;=0,"n/a",(CL284-CH284)/(CI284-CL284))</f>
        <v>1.10079855442123</v>
      </c>
      <c r="CT284" s="43" t="n">
        <f aca="false">Inputs_General!$C$23+Inputs_General!$C$24*$I284</f>
        <v>1.9</v>
      </c>
      <c r="CU284" s="44" t="n">
        <f aca="false">3.29*CT284</f>
        <v>6.251</v>
      </c>
    </row>
    <row r="285" customFormat="false" ht="15" hidden="false" customHeight="false" outlineLevel="0" collapsed="false">
      <c r="A285" s="33" t="str">
        <f aca="false">B285&amp;"|"&amp;E285&amp;"|"&amp;F285</f>
        <v>D4V3|13/03/2026|Healthy</v>
      </c>
      <c r="B285" s="34" t="s">
        <v>354</v>
      </c>
      <c r="C285" s="33" t="s">
        <v>133</v>
      </c>
      <c r="D285" s="33" t="s">
        <v>150</v>
      </c>
      <c r="E285" s="33" t="s">
        <v>164</v>
      </c>
      <c r="F285" s="34" t="s">
        <v>275</v>
      </c>
      <c r="G285" s="33" t="s">
        <v>276</v>
      </c>
      <c r="H285" s="35" t="n">
        <f aca="false">INDEX(Severity_Classes!$C$4:$C$9,MATCH(F285,Severity_Classes!$A$4:$A$9,0))</f>
        <v>0</v>
      </c>
      <c r="I285" s="35" t="n">
        <f aca="false">INDEX(Severity_Classes!$D$4:$D$9,MATCH(F285,Severity_Classes!$A$4:$A$9,0))</f>
        <v>0</v>
      </c>
      <c r="J285" s="35" t="n">
        <f aca="false">INDEX(Severity_Classes!$E$4:$E$9,MATCH(F285,Severity_Classes!$A$4:$A$9,0))</f>
        <v>0</v>
      </c>
      <c r="K285" s="36" t="n">
        <f aca="false">MATCH(B285&amp;"|"&amp;E285,Context!$A$4:$A$51,0)</f>
        <v>48</v>
      </c>
      <c r="L285" s="36" t="n">
        <f aca="false">INDEX(Context!$H$4:$H$51,K285)</f>
        <v>63</v>
      </c>
      <c r="M285" s="36" t="n">
        <f aca="false">INDEX(Context!$I$4:$I$51,K285)</f>
        <v>36</v>
      </c>
      <c r="N285" s="33" t="str">
        <f aca="false">INDEX(Context!$L$4:$L$51,K285)</f>
        <v>F</v>
      </c>
      <c r="O285" s="33" t="str">
        <f aca="false">INDEX(Context!$M$4:$M$51,K285)</f>
        <v>5th fully expanded leaf from top</v>
      </c>
      <c r="P285" s="37" t="n">
        <f aca="false">INDEX(Context!$R$4:$R$51,K285)</f>
        <v>0.953571428571428</v>
      </c>
      <c r="Q285" s="37" t="n">
        <f aca="false">INDEX(Context!$U$4:$U$51,K285)</f>
        <v>2.18945736698217</v>
      </c>
      <c r="R285" s="37" t="n">
        <f aca="false">INDEX(Context!$AD$4:$AD$51,K285)</f>
        <v>0.85</v>
      </c>
      <c r="S285" s="33" t="str">
        <f aca="false">INDEX(Context!$AI$4:$AN$51,K285,MATCH(F285,Severity_Classes!$A$4:$A$9,0))</f>
        <v>Reference: healthy (uninoculated) control plot</v>
      </c>
      <c r="T285" s="38" t="n">
        <f aca="false">Parameters!$E$4*IF($N285="V",Parameters!$I$4,IF($N285="F",Parameters!$J$4,Parameters!$K$4))*(1-Parameters!$L$4*$P285)*IF($D285="V1",Parameters!$M$4,IF($D285="V2",Parameters!$N$4,Parameters!$O$4))</f>
        <v>81.0806464285714</v>
      </c>
      <c r="U285" s="38" t="n">
        <f aca="false">MIN(100,T285*(1+INDEX(Response_Table!$E$4:$E$21,MATCH($F285&amp;"|mid",Response_Table!$A$4:$A$21,0))*$R285*INDEX(Parameters!$X$4:$AA$4,1,MATCH($E285,Parameters!$X$3:$AA$3,0))))</f>
        <v>81.0806464285714</v>
      </c>
      <c r="V285" s="38" t="n">
        <f aca="false">MAX(0,MIN(T285*(1+INDEX(Response_Table!$E$4:$E$21,MATCH($F285&amp;"|low",Response_Table!$A$4:$A$21,0))*$R285*INDEX(Parameters!$X$4:$AA$4,1,MATCH($E285,Parameters!$X$3:$AA$3,0))),T285*(1+INDEX(Response_Table!$E$4:$E$21,MATCH($F285&amp;"|high",Response_Table!$A$4:$A$21,0))*$R285*INDEX(Parameters!$X$4:$AA$4,1,MATCH($E285,Parameters!$X$3:$AA$3,0))))*(1-Inputs_General!$C$22*Parameters!$F$4))</f>
        <v>75.7455398935714</v>
      </c>
      <c r="W285" s="38" t="n">
        <f aca="false">MIN(100,MAX(T285*(1+INDEX(Response_Table!$E$4:$E$21,MATCH($F285&amp;"|low",Response_Table!$A$4:$A$21,0))*$R285*INDEX(Parameters!$X$4:$AA$4,1,MATCH($E285,Parameters!$X$3:$AA$3,0))),T285*(1+INDEX(Response_Table!$E$4:$E$21,MATCH($F285&amp;"|high",Response_Table!$A$4:$A$21,0))*$R285*INDEX(Parameters!$X$4:$AA$4,1,MATCH($E285,Parameters!$X$3:$AA$3,0))))*(1+Inputs_General!$C$22*Parameters!$F$4))</f>
        <v>86.4157529635714</v>
      </c>
      <c r="X285" s="39" t="n">
        <f aca="false">IF(T285=0,0,U285/T285-1)</f>
        <v>0</v>
      </c>
      <c r="Y285" s="38" t="n">
        <f aca="false">Parameters!$E$5*IF($N285="V",Parameters!$I$5,IF($N285="F",Parameters!$J$5,Parameters!$K$5))*(1-Parameters!$L$5*$P285)*IF($D285="V1",Parameters!$M$5,IF($D285="V2",Parameters!$N$5,Parameters!$O$5))</f>
        <v>62.48592</v>
      </c>
      <c r="Z285" s="38" t="n">
        <f aca="false">MIN(100,Y285*(1+INDEX(Response_Table!$F$4:$F$21,MATCH($F285&amp;"|mid",Response_Table!$A$4:$A$21,0))*$R285*INDEX(Parameters!$X$5:$AA$5,1,MATCH($E285,Parameters!$X$3:$AA$3,0))))</f>
        <v>62.48592</v>
      </c>
      <c r="AA285" s="38" t="n">
        <f aca="false">MAX(0,MIN(Y285*(1+INDEX(Response_Table!$F$4:$F$21,MATCH($F285&amp;"|low",Response_Table!$A$4:$A$21,0))*$R285*INDEX(Parameters!$X$5:$AA$5,1,MATCH($E285,Parameters!$X$3:$AA$3,0))),Y285*(1+INDEX(Response_Table!$F$4:$F$21,MATCH($F285&amp;"|high",Response_Table!$A$4:$A$21,0))*$R285*INDEX(Parameters!$X$5:$AA$5,1,MATCH($E285,Parameters!$X$3:$AA$3,0))))*(1-Inputs_General!$C$22*Parameters!$F$5))</f>
        <v>55.290666312</v>
      </c>
      <c r="AB285" s="38" t="n">
        <f aca="false">MIN(100,MAX(Y285*(1+INDEX(Response_Table!$F$4:$F$21,MATCH($F285&amp;"|low",Response_Table!$A$4:$A$21,0))*$R285*INDEX(Parameters!$X$5:$AA$5,1,MATCH($E285,Parameters!$X$3:$AA$3,0))),Y285*(1+INDEX(Response_Table!$F$4:$F$21,MATCH($F285&amp;"|high",Response_Table!$A$4:$A$21,0))*$R285*INDEX(Parameters!$X$5:$AA$5,1,MATCH($E285,Parameters!$X$3:$AA$3,0))))*(1+Inputs_General!$C$22*Parameters!$F$5))</f>
        <v>69.681173688</v>
      </c>
      <c r="AC285" s="39" t="n">
        <f aca="false">IF(Y285=0,0,Z285/Y285-1)</f>
        <v>0</v>
      </c>
      <c r="AD285" s="38" t="n">
        <f aca="false">Parameters!$E$6*IF($N285="V",Parameters!$I$6,IF($N285="F",Parameters!$J$6,Parameters!$K$6))*(1-Parameters!$L$6*$P285)*IF($D285="V1",Parameters!$M$6,IF($D285="V2",Parameters!$N$6,Parameters!$O$6))</f>
        <v>17.3306328571429</v>
      </c>
      <c r="AE285" s="38" t="n">
        <f aca="false">AD285*(1+INDEX(Response_Table!$G$4:$G$21,MATCH($F285&amp;"|mid",Response_Table!$A$4:$A$21,0))*$R285*INDEX(Parameters!$X$6:$AA$6,1,MATCH($E285,Parameters!$X$3:$AA$3,0)))</f>
        <v>17.3306328571429</v>
      </c>
      <c r="AF285" s="38" t="n">
        <f aca="false">MAX(0,MIN(AD285*(1+INDEX(Response_Table!$G$4:$G$21,MATCH($F285&amp;"|low",Response_Table!$A$4:$A$21,0))*$R285*INDEX(Parameters!$X$6:$AA$6,1,MATCH($E285,Parameters!$X$3:$AA$3,0))),AD285*(1+INDEX(Response_Table!$G$4:$G$21,MATCH($F285&amp;"|high",Response_Table!$A$4:$A$21,0))*$R285*INDEX(Parameters!$X$6:$AA$6,1,MATCH($E285,Parameters!$X$3:$AA$3,0))))*(1-Inputs_General!$C$22*Parameters!$F$6))</f>
        <v>13.9095659311429</v>
      </c>
      <c r="AG285" s="38" t="n">
        <f aca="false">MAX(AD285*(1+INDEX(Response_Table!$G$4:$G$21,MATCH($F285&amp;"|low",Response_Table!$A$4:$A$21,0))*$R285*INDEX(Parameters!$X$6:$AA$6,1,MATCH($E285,Parameters!$X$3:$AA$3,0))),AD285*(1+INDEX(Response_Table!$G$4:$G$21,MATCH($F285&amp;"|high",Response_Table!$A$4:$A$21,0))*$R285*INDEX(Parameters!$X$6:$AA$6,1,MATCH($E285,Parameters!$X$3:$AA$3,0))))*(1+Inputs_General!$C$22*Parameters!$F$6)</f>
        <v>20.7516997831429</v>
      </c>
      <c r="AH285" s="39" t="n">
        <f aca="false">IF(AD285=0,0,AE285/AD285-1)</f>
        <v>0</v>
      </c>
      <c r="AI285" s="40" t="n">
        <f aca="false">Parameters!$E$7*IF($N285="V",Parameters!$I$7,IF($N285="F",Parameters!$J$7,Parameters!$K$7))*(1-Parameters!$L$7*$P285)*IF($D285="V1",Parameters!$M$7,IF($D285="V2",Parameters!$N$7,Parameters!$O$7))*POWER($Q285/Inputs_General!$C$26,-Inputs_General!$C$25)</f>
        <v>0.304119499618928</v>
      </c>
      <c r="AJ285" s="40" t="n">
        <f aca="false">AI285*(1+INDEX(Response_Table!$H$4:$H$21,MATCH($F285&amp;"|mid",Response_Table!$A$4:$A$21,0))*$R285*INDEX(Parameters!$X$7:$AA$7,1,MATCH($E285,Parameters!$X$3:$AA$3,0)))</f>
        <v>0.304119499618928</v>
      </c>
      <c r="AK285" s="40" t="n">
        <f aca="false">MAX(0,MIN(AI285*(1+INDEX(Response_Table!$H$4:$H$21,MATCH($F285&amp;"|low",Response_Table!$A$4:$A$21,0))*$R285*INDEX(Parameters!$X$7:$AA$7,1,MATCH($E285,Parameters!$X$3:$AA$3,0))),AI285*(1+INDEX(Response_Table!$H$4:$H$21,MATCH($F285&amp;"|high",Response_Table!$A$4:$A$21,0))*$R285*INDEX(Parameters!$X$7:$AA$7,1,MATCH($E285,Parameters!$X$3:$AA$3,0))))*(1-Inputs_General!$C$22*Parameters!$F$7))</f>
        <v>0.214069715781764</v>
      </c>
      <c r="AL285" s="40" t="n">
        <f aca="false">MAX(AI285*(1+INDEX(Response_Table!$H$4:$H$21,MATCH($F285&amp;"|low",Response_Table!$A$4:$A$21,0))*$R285*INDEX(Parameters!$X$7:$AA$7,1,MATCH($E285,Parameters!$X$3:$AA$3,0))),AI285*(1+INDEX(Response_Table!$H$4:$H$21,MATCH($F285&amp;"|high",Response_Table!$A$4:$A$21,0))*$R285*INDEX(Parameters!$X$7:$AA$7,1,MATCH($E285,Parameters!$X$3:$AA$3,0))))*(1+Inputs_General!$C$22*Parameters!$F$7)</f>
        <v>0.394169283456093</v>
      </c>
      <c r="AM285" s="39" t="n">
        <f aca="false">IF(AI285=0,0,AJ285/AI285-1)</f>
        <v>0</v>
      </c>
      <c r="AN285" s="37" t="n">
        <f aca="false">AI285*$Q285/Inputs_General!$C$13*1000</f>
        <v>6.70550532611877</v>
      </c>
      <c r="AO285" s="37" t="n">
        <f aca="false">AJ285*$Q285/Inputs_General!$C$13*1000*(1+Inputs_General!$C$21*$I285)</f>
        <v>6.70550532611877</v>
      </c>
      <c r="AP285" s="37" t="n">
        <f aca="false">AK285*$Q285/Inputs_General!$C$13*1000*(1+Inputs_General!$C$21*$H285)</f>
        <v>4.720005199055</v>
      </c>
      <c r="AQ285" s="37" t="n">
        <f aca="false">AL285*$Q285/Inputs_General!$C$13*1000*(1+Inputs_General!$C$21*$J285)</f>
        <v>8.69100545318254</v>
      </c>
      <c r="AR285" s="39" t="n">
        <f aca="false">IF(AN285=0,0,AO285/AN285-1)</f>
        <v>0</v>
      </c>
      <c r="AS285" s="36" t="n">
        <f aca="false">Parameters!$E$9*IF($N285="V",Parameters!$I$9,IF($N285="F",Parameters!$J$9,Parameters!$K$9))*(1-Parameters!$L$9*$P285)*IF($D285="V1",Parameters!$M$9,IF($D285="V2",Parameters!$N$9,Parameters!$O$9))</f>
        <v>285</v>
      </c>
      <c r="AT285" s="36" t="n">
        <f aca="false">AS285*(1+INDEX(Response_Table!$I$4:$I$21,MATCH($F285&amp;"|mid",Response_Table!$A$4:$A$21,0))*$R285*INDEX(Parameters!$X$9:$AA$9,1,MATCH($E285,Parameters!$X$3:$AA$3,0)))</f>
        <v>285</v>
      </c>
      <c r="AU285" s="36" t="n">
        <f aca="false">MAX(0,MIN(AS285*(1+INDEX(Response_Table!$I$4:$I$21,MATCH($F285&amp;"|low",Response_Table!$A$4:$A$21,0))*$R285*INDEX(Parameters!$X$9:$AA$9,1,MATCH($E285,Parameters!$X$3:$AA$3,0))),AS285*(1+INDEX(Response_Table!$I$4:$I$21,MATCH($F285&amp;"|high",Response_Table!$A$4:$A$21,0))*$R285*INDEX(Parameters!$X$9:$AA$9,1,MATCH($E285,Parameters!$X$3:$AA$3,0))))*(1-Inputs_General!$C$22*Parameters!$F$9))</f>
        <v>256.8705</v>
      </c>
      <c r="AV285" s="36" t="n">
        <f aca="false">MAX(AS285*(1+INDEX(Response_Table!$I$4:$I$21,MATCH($F285&amp;"|low",Response_Table!$A$4:$A$21,0))*$R285*INDEX(Parameters!$X$9:$AA$9,1,MATCH($E285,Parameters!$X$3:$AA$3,0))),AS285*(1+INDEX(Response_Table!$I$4:$I$21,MATCH($F285&amp;"|high",Response_Table!$A$4:$A$21,0))*$R285*INDEX(Parameters!$X$9:$AA$9,1,MATCH($E285,Parameters!$X$3:$AA$3,0))))*(1+Inputs_General!$C$22*Parameters!$F$9)</f>
        <v>313.1295</v>
      </c>
      <c r="AW285" s="39" t="n">
        <f aca="false">IF(AS285=0,0,AT285/AS285-1)</f>
        <v>0</v>
      </c>
      <c r="AX285" s="37" t="n">
        <f aca="false">INDEX(Context!$AB$4:$AB$51,$K285)</f>
        <v>2.41688422790131</v>
      </c>
      <c r="AY285" s="37" t="n">
        <f aca="false">AX285*(1+INDEX(Response_Table!$J$4:$J$21,MATCH($F285&amp;"|mid",Response_Table!$A$4:$A$21,0))*$R285*INDEX(Parameters!$X$10:$AA$10,1,MATCH($E285,Parameters!$X$3:$AA$3,0)))</f>
        <v>2.41688422790131</v>
      </c>
      <c r="AZ285" s="37" t="n">
        <f aca="false">MAX(0,MIN(AX285*(1+INDEX(Response_Table!$J$4:$J$21,MATCH($F285&amp;"|low",Response_Table!$A$4:$A$21,0))*$R285*INDEX(Parameters!$X$10:$AA$10,1,MATCH($E285,Parameters!$X$3:$AA$3,0))),AX285*(1+INDEX(Response_Table!$J$4:$J$21,MATCH($F285&amp;"|high",Response_Table!$A$4:$A$21,0))*$R285*INDEX(Parameters!$X$10:$AA$10,1,MATCH($E285,Parameters!$X$3:$AA$3,0))))*(1-Inputs_General!$C$22*Parameters!$F$10))</f>
        <v>1.9397912813136</v>
      </c>
      <c r="BA285" s="37" t="n">
        <f aca="false">MAX(AX285*(1+INDEX(Response_Table!$J$4:$J$21,MATCH($F285&amp;"|low",Response_Table!$A$4:$A$21,0))*$R285*INDEX(Parameters!$X$10:$AA$10,1,MATCH($E285,Parameters!$X$3:$AA$3,0))),AX285*(1+INDEX(Response_Table!$J$4:$J$21,MATCH($F285&amp;"|high",Response_Table!$A$4:$A$21,0))*$R285*INDEX(Parameters!$X$10:$AA$10,1,MATCH($E285,Parameters!$X$3:$AA$3,0))))*(1+Inputs_General!$C$22*Parameters!$F$10)</f>
        <v>2.89397717448903</v>
      </c>
      <c r="BB285" s="39" t="n">
        <f aca="false">IF(AX285=0,0,AY285/AX285-1)</f>
        <v>0</v>
      </c>
      <c r="BC285" s="40" t="n">
        <f aca="false">Parameters!$E$11*IF($N285="V",Parameters!$I$11,IF($N285="F",Parameters!$J$11,Parameters!$K$11))*(1-Parameters!$L$11*$P285)*IF($D285="V1",Parameters!$M$11,IF($D285="V2",Parameters!$N$11,Parameters!$O$11))</f>
        <v>1.21383660714286</v>
      </c>
      <c r="BD285" s="40" t="n">
        <f aca="false">BC285*(1+INDEX(Response_Table!$K$4:$K$21,MATCH($F285&amp;"|mid",Response_Table!$A$4:$A$21,0))*$R285*INDEX(Parameters!$X$11:$AA$11,1,MATCH($E285,Parameters!$X$3:$AA$3,0)))</f>
        <v>1.21383660714286</v>
      </c>
      <c r="BE285" s="40" t="n">
        <f aca="false">MAX(0,MIN(BC285*(1+INDEX(Response_Table!$K$4:$K$21,MATCH($F285&amp;"|low",Response_Table!$A$4:$A$21,0))*$R285*INDEX(Parameters!$X$11:$AA$11,1,MATCH($E285,Parameters!$X$3:$AA$3,0))),BC285*(1+INDEX(Response_Table!$K$4:$K$21,MATCH($F285&amp;"|high",Response_Table!$A$4:$A$21,0))*$R285*INDEX(Parameters!$X$11:$AA$11,1,MATCH($E285,Parameters!$X$3:$AA$3,0))))*(1-Inputs_General!$C$22*Parameters!$F$11))</f>
        <v>1.01416048526786</v>
      </c>
      <c r="BF285" s="40" t="n">
        <f aca="false">MAX(BC285*(1+INDEX(Response_Table!$K$4:$K$21,MATCH($F285&amp;"|low",Response_Table!$A$4:$A$21,0))*$R285*INDEX(Parameters!$X$11:$AA$11,1,MATCH($E285,Parameters!$X$3:$AA$3,0))),BC285*(1+INDEX(Response_Table!$K$4:$K$21,MATCH($F285&amp;"|high",Response_Table!$A$4:$A$21,0))*$R285*INDEX(Parameters!$X$11:$AA$11,1,MATCH($E285,Parameters!$X$3:$AA$3,0))))*(1+Inputs_General!$C$22*Parameters!$F$11)</f>
        <v>1.41351272901786</v>
      </c>
      <c r="BG285" s="39" t="n">
        <f aca="false">IF(BC285=0,0,BD285/BC285-1)</f>
        <v>0</v>
      </c>
      <c r="BH285" s="40" t="n">
        <f aca="false">Parameters!$E$12*IF($N285="V",Parameters!$I$12,IF($N285="F",Parameters!$J$12,Parameters!$K$12))*(1-Parameters!$L$12*$P285)*IF($D285="V1",Parameters!$M$12,IF($D285="V2",Parameters!$N$12,Parameters!$O$12))</f>
        <v>0.436981178571429</v>
      </c>
      <c r="BI285" s="40" t="n">
        <f aca="false">BH285*(1+INDEX(Response_Table!$L$4:$L$21,MATCH($F285&amp;"|mid",Response_Table!$A$4:$A$21,0))*$R285*INDEX(Parameters!$X$12:$AA$12,1,MATCH($E285,Parameters!$X$3:$AA$3,0)))</f>
        <v>0.436981178571429</v>
      </c>
      <c r="BJ285" s="40" t="n">
        <f aca="false">MAX(0,MIN(BH285*(1+INDEX(Response_Table!$L$4:$L$21,MATCH($F285&amp;"|low",Response_Table!$A$4:$A$21,0))*$R285*INDEX(Parameters!$X$12:$AA$12,1,MATCH($E285,Parameters!$X$3:$AA$3,0))),BH285*(1+INDEX(Response_Table!$L$4:$L$21,MATCH($F285&amp;"|high",Response_Table!$A$4:$A$21,0))*$R285*INDEX(Parameters!$X$12:$AA$12,1,MATCH($E285,Parameters!$X$3:$AA$3,0))))*(1-Inputs_General!$C$22*Parameters!$F$12))</f>
        <v>0.350721093921429</v>
      </c>
      <c r="BK285" s="40" t="n">
        <f aca="false">MAX(BH285*(1+INDEX(Response_Table!$L$4:$L$21,MATCH($F285&amp;"|low",Response_Table!$A$4:$A$21,0))*$R285*INDEX(Parameters!$X$12:$AA$12,1,MATCH($E285,Parameters!$X$3:$AA$3,0))),BH285*(1+INDEX(Response_Table!$L$4:$L$21,MATCH($F285&amp;"|high",Response_Table!$A$4:$A$21,0))*$R285*INDEX(Parameters!$X$12:$AA$12,1,MATCH($E285,Parameters!$X$3:$AA$3,0))))*(1+Inputs_General!$C$22*Parameters!$F$12)</f>
        <v>0.523241263221429</v>
      </c>
      <c r="BL285" s="39" t="n">
        <f aca="false">IF(BH285=0,0,BI285/BH285-1)</f>
        <v>0</v>
      </c>
      <c r="BM285" s="40" t="n">
        <f aca="false">Parameters!$E$13*IF($N285="V",Parameters!$I$13,IF($N285="F",Parameters!$J$13,Parameters!$K$13))*(1-Parameters!$L$13*$P285)*IF($D285="V1",Parameters!$M$13,IF($D285="V2",Parameters!$N$13,Parameters!$O$13))</f>
        <v>0.300160392857143</v>
      </c>
      <c r="BN285" s="40" t="n">
        <f aca="false">BM285*(1+INDEX(Response_Table!$M$4:$M$21,MATCH($F285&amp;"|mid",Response_Table!$A$4:$A$21,0))*$R285*INDEX(Parameters!$X$13:$AA$13,1,MATCH($E285,Parameters!$X$3:$AA$3,0)))</f>
        <v>0.300160392857143</v>
      </c>
      <c r="BO285" s="40" t="n">
        <f aca="false">MAX(0,MIN(BM285*(1+INDEX(Response_Table!$M$4:$M$21,MATCH($F285&amp;"|low",Response_Table!$A$4:$A$21,0))*$R285*INDEX(Parameters!$X$13:$AA$13,1,MATCH($E285,Parameters!$X$3:$AA$3,0))),BM285*(1+INDEX(Response_Table!$M$4:$M$21,MATCH($F285&amp;"|high",Response_Table!$A$4:$A$21,0))*$R285*INDEX(Parameters!$X$13:$AA$13,1,MATCH($E285,Parameters!$X$3:$AA$3,0))))*(1-Inputs_General!$C$22*Parameters!$F$13))</f>
        <v>0.240908731307143</v>
      </c>
      <c r="BP285" s="40" t="n">
        <f aca="false">MAX(BM285*(1+INDEX(Response_Table!$M$4:$M$21,MATCH($F285&amp;"|low",Response_Table!$A$4:$A$21,0))*$R285*INDEX(Parameters!$X$13:$AA$13,1,MATCH($E285,Parameters!$X$3:$AA$3,0))),BM285*(1+INDEX(Response_Table!$M$4:$M$21,MATCH($F285&amp;"|high",Response_Table!$A$4:$A$21,0))*$R285*INDEX(Parameters!$X$13:$AA$13,1,MATCH($E285,Parameters!$X$3:$AA$3,0))))*(1+Inputs_General!$C$22*Parameters!$F$13)</f>
        <v>0.359412054407143</v>
      </c>
      <c r="BQ285" s="39" t="n">
        <f aca="false">IF(BM285=0,0,BN285/BM285-1)</f>
        <v>0</v>
      </c>
      <c r="BR285" s="38" t="n">
        <f aca="false">Parameters!$E$14*IF($N285="V",Parameters!$I$14,IF($N285="F",Parameters!$J$14,Parameters!$K$14))*(1-Parameters!$L$14*$P285)*IF($D285="V1",Parameters!$M$14,IF($D285="V2",Parameters!$N$14,Parameters!$O$14))*INDEX(Context!$AC$4:$AC$51,$K285)</f>
        <v>15</v>
      </c>
      <c r="BS285" s="38" t="n">
        <f aca="false">BR285*(1+INDEX(Response_Table!$N$4:$N$21,MATCH($F285&amp;"|mid",Response_Table!$A$4:$A$21,0))*$R285*INDEX(Parameters!$X$14:$AA$14,1,MATCH($E285,Parameters!$X$3:$AA$3,0)))</f>
        <v>15</v>
      </c>
      <c r="BT285" s="38" t="n">
        <f aca="false">MAX(0,MIN(BR285*(1+INDEX(Response_Table!$N$4:$N$21,MATCH($F285&amp;"|low",Response_Table!$A$4:$A$21,0))*$R285*INDEX(Parameters!$X$14:$AA$14,1,MATCH($E285,Parameters!$X$3:$AA$3,0))),BR285*(1+INDEX(Response_Table!$N$4:$N$21,MATCH($F285&amp;"|high",Response_Table!$A$4:$A$21,0))*$R285*INDEX(Parameters!$X$14:$AA$14,1,MATCH($E285,Parameters!$X$3:$AA$3,0))))*(1-Inputs_General!$C$22*Parameters!$F$14))</f>
        <v>7.5975</v>
      </c>
      <c r="BU285" s="38" t="n">
        <f aca="false">MAX(BR285*(1+INDEX(Response_Table!$N$4:$N$21,MATCH($F285&amp;"|low",Response_Table!$A$4:$A$21,0))*$R285*INDEX(Parameters!$X$14:$AA$14,1,MATCH($E285,Parameters!$X$3:$AA$3,0))),BR285*(1+INDEX(Response_Table!$N$4:$N$21,MATCH($F285&amp;"|high",Response_Table!$A$4:$A$21,0))*$R285*INDEX(Parameters!$X$14:$AA$14,1,MATCH($E285,Parameters!$X$3:$AA$3,0))))*(1+Inputs_General!$C$22*Parameters!$F$14)</f>
        <v>22.4025</v>
      </c>
      <c r="BV285" s="39" t="n">
        <f aca="false">IF(BR285=0,0,BS285/BR285-1)</f>
        <v>0</v>
      </c>
      <c r="BW285" s="37" t="n">
        <f aca="false">Parameters!$E$15*IF($N285="V",Parameters!$I$15,IF($N285="F",Parameters!$J$15,Parameters!$K$15))*(1-Parameters!$L$15*$P285)*IF($D285="V1",Parameters!$M$15,IF($D285="V2",Parameters!$N$15,Parameters!$O$15))</f>
        <v>9.42785714285714</v>
      </c>
      <c r="BX285" s="37" t="n">
        <f aca="false">BW285*(1+INDEX(Response_Table!$O$4:$O$21,MATCH($F285&amp;"|mid",Response_Table!$A$4:$A$21,0))*$R285*INDEX(Parameters!$X$15:$AA$15,1,MATCH($E285,Parameters!$X$3:$AA$3,0)))</f>
        <v>9.42785714285714</v>
      </c>
      <c r="BY285" s="37" t="n">
        <f aca="false">MAX(0,MIN(BW285*(1+INDEX(Response_Table!$O$4:$O$21,MATCH($F285&amp;"|low",Response_Table!$A$4:$A$21,0))*$R285*INDEX(Parameters!$X$15:$AA$15,1,MATCH($E285,Parameters!$X$3:$AA$3,0))),BW285*(1+INDEX(Response_Table!$O$4:$O$21,MATCH($F285&amp;"|high",Response_Table!$A$4:$A$21,0))*$R285*INDEX(Parameters!$X$15:$AA$15,1,MATCH($E285,Parameters!$X$3:$AA$3,0))))*(1-Inputs_General!$C$22*Parameters!$F$15))</f>
        <v>7.56679814285714</v>
      </c>
      <c r="BZ285" s="37" t="n">
        <f aca="false">MAX(BW285*(1+INDEX(Response_Table!$O$4:$O$21,MATCH($F285&amp;"|low",Response_Table!$A$4:$A$21,0))*$R285*INDEX(Parameters!$X$15:$AA$15,1,MATCH($E285,Parameters!$X$3:$AA$3,0))),BW285*(1+INDEX(Response_Table!$O$4:$O$21,MATCH($F285&amp;"|high",Response_Table!$A$4:$A$21,0))*$R285*INDEX(Parameters!$X$15:$AA$15,1,MATCH($E285,Parameters!$X$3:$AA$3,0))))*(1+Inputs_General!$C$22*Parameters!$F$15)</f>
        <v>11.2889161428571</v>
      </c>
      <c r="CA285" s="39" t="n">
        <f aca="false">IF(BW285=0,0,BX285/BW285-1)</f>
        <v>0</v>
      </c>
      <c r="CB285" s="40" t="n">
        <f aca="false">BD285+BI285</f>
        <v>1.65081778571429</v>
      </c>
      <c r="CC285" s="37" t="n">
        <f aca="false">BD285/BI285</f>
        <v>2.77777777777778</v>
      </c>
      <c r="CD285" s="40" t="n">
        <f aca="false">BN285/CB285</f>
        <v>0.181825271968019</v>
      </c>
      <c r="CE285" s="37" t="n">
        <f aca="false">AE285/AO285</f>
        <v>2.58453793029407</v>
      </c>
      <c r="CF285" s="38" t="n">
        <f aca="false">AE285/AJ285</f>
        <v>56.9862599368298</v>
      </c>
      <c r="CG285" s="38" t="n">
        <f aca="false">INDEX(Context!$V$4:$V$51,$K285)</f>
        <v>32.7871428571429</v>
      </c>
      <c r="CH285" s="38" t="n">
        <f aca="false">INDEX(Context!$Y$4:$Y$51,$K285)</f>
        <v>28.36912210206</v>
      </c>
      <c r="CI285" s="38" t="n">
        <f aca="false">INDEX(Context!$Z$4:$Z$51,$K285)</f>
        <v>36.7871428571429</v>
      </c>
      <c r="CJ285" s="37" t="n">
        <f aca="false">INDEX(Context!$AA$4:$AA$51,$K285)</f>
        <v>0.247678571428571</v>
      </c>
      <c r="CK285" s="37" t="n">
        <f aca="false">MAX(0,MIN(1,1-(1-CJ285)*AO285/AN285))</f>
        <v>0.247678571428572</v>
      </c>
      <c r="CL285" s="38" t="n">
        <f aca="false">CH285+CK285*(CI285-CH285)</f>
        <v>30.454085456935</v>
      </c>
      <c r="CM285" s="38" t="n">
        <f aca="false">CH285+MAX(0,MIN(1,1-(1-CJ285)*AQ285/AN285))*(CI285-CH285)</f>
        <v>28.5788671607335</v>
      </c>
      <c r="CN285" s="38" t="n">
        <f aca="false">CH285+MAX(0,MIN(1,1-(1-CJ285)*AP285/AN285))*(CI285-CH285)</f>
        <v>32.3293037531366</v>
      </c>
      <c r="CO285" s="38" t="n">
        <f aca="false">CL285-CG285</f>
        <v>-2.33305740020784</v>
      </c>
      <c r="CP285" s="38" t="n">
        <f aca="false">CL285-(CH285+CJ285*(CI285-CH285))</f>
        <v>0</v>
      </c>
      <c r="CQ285" s="40" t="n">
        <f aca="false">CL285/CG285</f>
        <v>0.928842308389809</v>
      </c>
      <c r="CR285" s="37" t="n">
        <f aca="false">IF(CL285-CH285&lt;=0,"n/a",(CI285-CL285)/(CL285-CH285))</f>
        <v>3.03749098774333</v>
      </c>
      <c r="CS285" s="37" t="n">
        <f aca="false">IF(CI285-CL285&lt;=0,"n/a",(CL285-CH285)/(CI285-CL285))</f>
        <v>0.329219083788274</v>
      </c>
      <c r="CT285" s="37" t="n">
        <f aca="false">Inputs_General!$C$23+Inputs_General!$C$24*$I285</f>
        <v>0.6</v>
      </c>
      <c r="CU285" s="38" t="n">
        <f aca="false">3.29*CT285</f>
        <v>1.974</v>
      </c>
    </row>
    <row r="286" customFormat="false" ht="15" hidden="false" customHeight="false" outlineLevel="0" collapsed="false">
      <c r="A286" s="9" t="str">
        <f aca="false">B286&amp;"|"&amp;E286&amp;"|"&amp;F286</f>
        <v>D4V3|13/03/2026|Very low</v>
      </c>
      <c r="B286" s="7" t="s">
        <v>354</v>
      </c>
      <c r="C286" s="9" t="s">
        <v>133</v>
      </c>
      <c r="D286" s="9" t="s">
        <v>150</v>
      </c>
      <c r="E286" s="9" t="s">
        <v>164</v>
      </c>
      <c r="F286" s="7" t="s">
        <v>277</v>
      </c>
      <c r="G286" s="9" t="s">
        <v>278</v>
      </c>
      <c r="H286" s="41" t="n">
        <f aca="false">INDEX(Severity_Classes!$C$4:$C$9,MATCH(F286,Severity_Classes!$A$4:$A$9,0))</f>
        <v>0.01</v>
      </c>
      <c r="I286" s="41" t="n">
        <f aca="false">INDEX(Severity_Classes!$D$4:$D$9,MATCH(F286,Severity_Classes!$A$4:$A$9,0))</f>
        <v>0.03</v>
      </c>
      <c r="J286" s="41" t="n">
        <f aca="false">INDEX(Severity_Classes!$E$4:$E$9,MATCH(F286,Severity_Classes!$A$4:$A$9,0))</f>
        <v>0.05</v>
      </c>
      <c r="K286" s="42" t="n">
        <f aca="false">MATCH(B286&amp;"|"&amp;E286,Context!$A$4:$A$51,0)</f>
        <v>48</v>
      </c>
      <c r="L286" s="42" t="n">
        <f aca="false">INDEX(Context!$H$4:$H$51,K286)</f>
        <v>63</v>
      </c>
      <c r="M286" s="42" t="n">
        <f aca="false">INDEX(Context!$I$4:$I$51,K286)</f>
        <v>36</v>
      </c>
      <c r="N286" s="9" t="str">
        <f aca="false">INDEX(Context!$L$4:$L$51,K286)</f>
        <v>F</v>
      </c>
      <c r="O286" s="9" t="str">
        <f aca="false">INDEX(Context!$M$4:$M$51,K286)</f>
        <v>5th fully expanded leaf from top</v>
      </c>
      <c r="P286" s="43" t="n">
        <f aca="false">INDEX(Context!$R$4:$R$51,K286)</f>
        <v>0.953571428571428</v>
      </c>
      <c r="Q286" s="43" t="n">
        <f aca="false">INDEX(Context!$U$4:$U$51,K286)</f>
        <v>2.18945736698217</v>
      </c>
      <c r="R286" s="43" t="n">
        <f aca="false">INDEX(Context!$AD$4:$AD$51,K286)</f>
        <v>0.85</v>
      </c>
      <c r="S286" s="9" t="str">
        <f aca="false">INDEX(Context!$AI$4:$AN$51,K286,MATCH(F286,Severity_Classes!$A$4:$A$9,0))</f>
        <v>Possible</v>
      </c>
      <c r="T286" s="44" t="n">
        <f aca="false">Parameters!$E$4*IF($N286="V",Parameters!$I$4,IF($N286="F",Parameters!$J$4,Parameters!$K$4))*(1-Parameters!$L$4*$P286)*IF($D286="V1",Parameters!$M$4,IF($D286="V2",Parameters!$N$4,Parameters!$O$4))</f>
        <v>81.0806464285714</v>
      </c>
      <c r="U286" s="44" t="n">
        <f aca="false">MIN(100,T286*(1+INDEX(Response_Table!$E$4:$E$21,MATCH($F286&amp;"|mid",Response_Table!$A$4:$A$21,0))*$R286*INDEX(Parameters!$X$4:$AA$4,1,MATCH($E286,Parameters!$X$3:$AA$3,0))))</f>
        <v>80.7835152121761</v>
      </c>
      <c r="V286" s="44" t="n">
        <f aca="false">MAX(0,MIN(T286*(1+INDEX(Response_Table!$E$4:$E$21,MATCH($F286&amp;"|low",Response_Table!$A$4:$A$21,0))*$R286*INDEX(Parameters!$X$4:$AA$4,1,MATCH($E286,Parameters!$X$3:$AA$3,0))),T286*(1+INDEX(Response_Table!$E$4:$E$21,MATCH($F286&amp;"|high",Response_Table!$A$4:$A$21,0))*$R286*INDEX(Parameters!$X$4:$AA$4,1,MATCH($E286,Parameters!$X$3:$AA$3,0))))*(1-Inputs_General!$C$22*Parameters!$F$4))</f>
        <v>75.2462560978321</v>
      </c>
      <c r="W286" s="44" t="n">
        <f aca="false">MIN(100,MAX(T286*(1+INDEX(Response_Table!$E$4:$E$21,MATCH($F286&amp;"|low",Response_Table!$A$4:$A$21,0))*$R286*INDEX(Parameters!$X$4:$AA$4,1,MATCH($E286,Parameters!$X$3:$AA$3,0))),T286*(1+INDEX(Response_Table!$E$4:$E$21,MATCH($F286&amp;"|high",Response_Table!$A$4:$A$21,0))*$R286*INDEX(Parameters!$X$4:$AA$4,1,MATCH($E286,Parameters!$X$3:$AA$3,0))))*(1+Inputs_General!$C$22*Parameters!$F$4))</f>
        <v>86.3178805755091</v>
      </c>
      <c r="X286" s="45" t="n">
        <f aca="false">IF(T286=0,0,U286/T286-1)</f>
        <v>-0.00366463798061933</v>
      </c>
      <c r="Y286" s="44" t="n">
        <f aca="false">Parameters!$E$5*IF($N286="V",Parameters!$I$5,IF($N286="F",Parameters!$J$5,Parameters!$K$5))*(1-Parameters!$L$5*$P286)*IF($D286="V1",Parameters!$M$5,IF($D286="V2",Parameters!$N$5,Parameters!$O$5))</f>
        <v>62.48592</v>
      </c>
      <c r="Z286" s="44" t="n">
        <f aca="false">MIN(100,Y286*(1+INDEX(Response_Table!$F$4:$F$21,MATCH($F286&amp;"|mid",Response_Table!$A$4:$A$21,0))*$R286*INDEX(Parameters!$X$5:$AA$5,1,MATCH($E286,Parameters!$X$3:$AA$3,0))))</f>
        <v>61.7549391153625</v>
      </c>
      <c r="AA286" s="44" t="n">
        <f aca="false">MAX(0,MIN(Y286*(1+INDEX(Response_Table!$F$4:$F$21,MATCH($F286&amp;"|low",Response_Table!$A$4:$A$21,0))*$R286*INDEX(Parameters!$X$5:$AA$5,1,MATCH($E286,Parameters!$X$3:$AA$3,0))),Y286*(1+INDEX(Response_Table!$F$4:$F$21,MATCH($F286&amp;"|high",Response_Table!$A$4:$A$21,0))*$R286*INDEX(Parameters!$X$5:$AA$5,1,MATCH($E286,Parameters!$X$3:$AA$3,0))))*(1-Inputs_General!$C$22*Parameters!$F$5))</f>
        <v>54.1111403343696</v>
      </c>
      <c r="AB286" s="44" t="n">
        <f aca="false">MIN(100,MAX(Y286*(1+INDEX(Response_Table!$F$4:$F$21,MATCH($F286&amp;"|low",Response_Table!$A$4:$A$21,0))*$R286*INDEX(Parameters!$X$5:$AA$5,1,MATCH($E286,Parameters!$X$3:$AA$3,0))),Y286*(1+INDEX(Response_Table!$F$4:$F$21,MATCH($F286&amp;"|high",Response_Table!$A$4:$A$21,0))*$R286*INDEX(Parameters!$X$5:$AA$5,1,MATCH($E286,Parameters!$X$3:$AA$3,0))))*(1+Inputs_General!$C$22*Parameters!$F$5))</f>
        <v>69.4327142613669</v>
      </c>
      <c r="AC286" s="45" t="n">
        <f aca="false">IF(Y286=0,0,Z286/Y286-1)</f>
        <v>-0.0116983295538827</v>
      </c>
      <c r="AD286" s="44" t="n">
        <f aca="false">Parameters!$E$6*IF($N286="V",Parameters!$I$6,IF($N286="F",Parameters!$J$6,Parameters!$K$6))*(1-Parameters!$L$6*$P286)*IF($D286="V1",Parameters!$M$6,IF($D286="V2",Parameters!$N$6,Parameters!$O$6))</f>
        <v>17.3306328571429</v>
      </c>
      <c r="AE286" s="44" t="n">
        <f aca="false">AD286*(1+INDEX(Response_Table!$G$4:$G$21,MATCH($F286&amp;"|mid",Response_Table!$A$4:$A$21,0))*$R286*INDEX(Parameters!$X$6:$AA$6,1,MATCH($E286,Parameters!$X$3:$AA$3,0)))</f>
        <v>15.9644137383715</v>
      </c>
      <c r="AF286" s="44" t="n">
        <f aca="false">MAX(0,MIN(AD286*(1+INDEX(Response_Table!$G$4:$G$21,MATCH($F286&amp;"|low",Response_Table!$A$4:$A$21,0))*$R286*INDEX(Parameters!$X$6:$AA$6,1,MATCH($E286,Parameters!$X$3:$AA$3,0))),AD286*(1+INDEX(Response_Table!$G$4:$G$21,MATCH($F286&amp;"|high",Response_Table!$A$4:$A$21,0))*$R286*INDEX(Parameters!$X$6:$AA$6,1,MATCH($E286,Parameters!$X$3:$AA$3,0))))*(1-Inputs_General!$C$22*Parameters!$F$6))</f>
        <v>12.1584313337052</v>
      </c>
      <c r="AG286" s="44" t="n">
        <f aca="false">MAX(AD286*(1+INDEX(Response_Table!$G$4:$G$21,MATCH($F286&amp;"|low",Response_Table!$A$4:$A$21,0))*$R286*INDEX(Parameters!$X$6:$AA$6,1,MATCH($E286,Parameters!$X$3:$AA$3,0))),AD286*(1+INDEX(Response_Table!$G$4:$G$21,MATCH($F286&amp;"|high",Response_Table!$A$4:$A$21,0))*$R286*INDEX(Parameters!$X$6:$AA$6,1,MATCH($E286,Parameters!$X$3:$AA$3,0))))*(1+Inputs_General!$C$22*Parameters!$F$6)</f>
        <v>20.1822347066434</v>
      </c>
      <c r="AH286" s="45" t="n">
        <f aca="false">IF(AD286=0,0,AE286/AD286-1)</f>
        <v>-0.0788326156368996</v>
      </c>
      <c r="AI286" s="46" t="n">
        <f aca="false">Parameters!$E$7*IF($N286="V",Parameters!$I$7,IF($N286="F",Parameters!$J$7,Parameters!$K$7))*(1-Parameters!$L$7*$P286)*IF($D286="V1",Parameters!$M$7,IF($D286="V2",Parameters!$N$7,Parameters!$O$7))*POWER($Q286/Inputs_General!$C$26,-Inputs_General!$C$25)</f>
        <v>0.304119499618928</v>
      </c>
      <c r="AJ286" s="46" t="n">
        <f aca="false">AI286*(1+INDEX(Response_Table!$H$4:$H$21,MATCH($F286&amp;"|mid",Response_Table!$A$4:$A$21,0))*$R286*INDEX(Parameters!$X$7:$AA$7,1,MATCH($E286,Parameters!$X$3:$AA$3,0)))</f>
        <v>0.289657698929299</v>
      </c>
      <c r="AK286" s="46" t="n">
        <f aca="false">MAX(0,MIN(AI286*(1+INDEX(Response_Table!$H$4:$H$21,MATCH($F286&amp;"|low",Response_Table!$A$4:$A$21,0))*$R286*INDEX(Parameters!$X$7:$AA$7,1,MATCH($E286,Parameters!$X$3:$AA$3,0))),AI286*(1+INDEX(Response_Table!$H$4:$H$21,MATCH($F286&amp;"|high",Response_Table!$A$4:$A$21,0))*$R286*INDEX(Parameters!$X$7:$AA$7,1,MATCH($E286,Parameters!$X$3:$AA$3,0))))*(1-Inputs_General!$C$22*Parameters!$F$7))</f>
        <v>0.197595158128475</v>
      </c>
      <c r="AL286" s="46" t="n">
        <f aca="false">MAX(AI286*(1+INDEX(Response_Table!$H$4:$H$21,MATCH($F286&amp;"|low",Response_Table!$A$4:$A$21,0))*$R286*INDEX(Parameters!$X$7:$AA$7,1,MATCH($E286,Parameters!$X$3:$AA$3,0))),AI286*(1+INDEX(Response_Table!$H$4:$H$21,MATCH($F286&amp;"|high",Response_Table!$A$4:$A$21,0))*$R286*INDEX(Parameters!$X$7:$AA$7,1,MATCH($E286,Parameters!$X$3:$AA$3,0))))*(1+Inputs_General!$C$22*Parameters!$F$7)</f>
        <v>0.387732955223671</v>
      </c>
      <c r="AM286" s="45" t="n">
        <f aca="false">IF(AI286=0,0,AJ286/AI286-1)</f>
        <v>-0.0475530201376463</v>
      </c>
      <c r="AN286" s="43" t="n">
        <f aca="false">AI286*$Q286/Inputs_General!$C$13*1000</f>
        <v>6.70550532611877</v>
      </c>
      <c r="AO286" s="43" t="n">
        <f aca="false">AJ286*$Q286/Inputs_General!$C$13*1000*(1+Inputs_General!$C$21*$I286)</f>
        <v>6.4345380835351</v>
      </c>
      <c r="AP286" s="43" t="n">
        <f aca="false">AK286*$Q286/Inputs_General!$C$13*1000*(1+Inputs_General!$C$21*$H286)</f>
        <v>4.36765095751267</v>
      </c>
      <c r="AQ286" s="43" t="n">
        <f aca="false">AL286*$Q286/Inputs_General!$C$13*1000*(1+Inputs_General!$C$21*$J286)</f>
        <v>8.65595503450844</v>
      </c>
      <c r="AR286" s="45" t="n">
        <f aca="false">IF(AN286=0,0,AO286/AN286-1)</f>
        <v>-0.0404096677886786</v>
      </c>
      <c r="AS286" s="42" t="n">
        <f aca="false">Parameters!$E$9*IF($N286="V",Parameters!$I$9,IF($N286="F",Parameters!$J$9,Parameters!$K$9))*(1-Parameters!$L$9*$P286)*IF($D286="V1",Parameters!$M$9,IF($D286="V2",Parameters!$N$9,Parameters!$O$9))</f>
        <v>285</v>
      </c>
      <c r="AT286" s="42" t="n">
        <f aca="false">AS286*(1+INDEX(Response_Table!$I$4:$I$21,MATCH($F286&amp;"|mid",Response_Table!$A$4:$A$21,0))*$R286*INDEX(Parameters!$X$9:$AA$9,1,MATCH($E286,Parameters!$X$3:$AA$3,0)))</f>
        <v>293.218057261581</v>
      </c>
      <c r="AU286" s="42" t="n">
        <f aca="false">MAX(0,MIN(AS286*(1+INDEX(Response_Table!$I$4:$I$21,MATCH($F286&amp;"|low",Response_Table!$A$4:$A$21,0))*$R286*INDEX(Parameters!$X$9:$AA$9,1,MATCH($E286,Parameters!$X$3:$AA$3,0))),AS286*(1+INDEX(Response_Table!$I$4:$I$21,MATCH($F286&amp;"|high",Response_Table!$A$4:$A$21,0))*$R286*INDEX(Parameters!$X$9:$AA$9,1,MATCH($E286,Parameters!$X$3:$AA$3,0))))*(1-Inputs_General!$C$22*Parameters!$F$9))</f>
        <v>259.438869274407</v>
      </c>
      <c r="AV286" s="42" t="n">
        <f aca="false">MAX(AS286*(1+INDEX(Response_Table!$I$4:$I$21,MATCH($F286&amp;"|low",Response_Table!$A$4:$A$21,0))*$R286*INDEX(Parameters!$X$9:$AA$9,1,MATCH($E286,Parameters!$X$3:$AA$3,0))),AS286*(1+INDEX(Response_Table!$I$4:$I$21,MATCH($F286&amp;"|high",Response_Table!$A$4:$A$21,0))*$R286*INDEX(Parameters!$X$9:$AA$9,1,MATCH($E286,Parameters!$X$3:$AA$3,0))))*(1+Inputs_General!$C$22*Parameters!$F$9)</f>
        <v>327.603490906787</v>
      </c>
      <c r="AW286" s="45" t="n">
        <f aca="false">IF(AS286=0,0,AT286/AS286-1)</f>
        <v>0.0288352886371248</v>
      </c>
      <c r="AX286" s="43" t="n">
        <f aca="false">INDEX(Context!$AB$4:$AB$51,$K286)</f>
        <v>2.41688422790131</v>
      </c>
      <c r="AY286" s="43" t="n">
        <f aca="false">AX286*(1+INDEX(Response_Table!$J$4:$J$21,MATCH($F286&amp;"|mid",Response_Table!$A$4:$A$21,0))*$R286*INDEX(Parameters!$X$10:$AA$10,1,MATCH($E286,Parameters!$X$3:$AA$3,0)))</f>
        <v>2.35008610009353</v>
      </c>
      <c r="AZ286" s="43" t="n">
        <f aca="false">MAX(0,MIN(AX286*(1+INDEX(Response_Table!$J$4:$J$21,MATCH($F286&amp;"|low",Response_Table!$A$4:$A$21,0))*$R286*INDEX(Parameters!$X$10:$AA$10,1,MATCH($E286,Parameters!$X$3:$AA$3,0))),AX286*(1+INDEX(Response_Table!$J$4:$J$21,MATCH($F286&amp;"|high",Response_Table!$A$4:$A$21,0))*$R286*INDEX(Parameters!$X$10:$AA$10,1,MATCH($E286,Parameters!$X$3:$AA$3,0))))*(1-Inputs_General!$C$22*Parameters!$F$10))</f>
        <v>1.85260748872424</v>
      </c>
      <c r="BA286" s="43" t="n">
        <f aca="false">MAX(AX286*(1+INDEX(Response_Table!$J$4:$J$21,MATCH($F286&amp;"|low",Response_Table!$A$4:$A$21,0))*$R286*INDEX(Parameters!$X$10:$AA$10,1,MATCH($E286,Parameters!$X$3:$AA$3,0))),AX286*(1+INDEX(Response_Table!$J$4:$J$21,MATCH($F286&amp;"|high",Response_Table!$A$4:$A$21,0))*$R286*INDEX(Parameters!$X$10:$AA$10,1,MATCH($E286,Parameters!$X$3:$AA$3,0))))*(1+Inputs_General!$C$22*Parameters!$F$10)</f>
        <v>2.86664657372154</v>
      </c>
      <c r="BB286" s="45" t="n">
        <f aca="false">IF(AX286=0,0,AY286/AX286-1)</f>
        <v>-0.0276381164793286</v>
      </c>
      <c r="BC286" s="46" t="n">
        <f aca="false">Parameters!$E$11*IF($N286="V",Parameters!$I$11,IF($N286="F",Parameters!$J$11,Parameters!$K$11))*(1-Parameters!$L$11*$P286)*IF($D286="V1",Parameters!$M$11,IF($D286="V2",Parameters!$N$11,Parameters!$O$11))</f>
        <v>1.21383660714286</v>
      </c>
      <c r="BD286" s="46" t="n">
        <f aca="false">BC286*(1+INDEX(Response_Table!$K$4:$K$21,MATCH($F286&amp;"|mid",Response_Table!$A$4:$A$21,0))*$R286*INDEX(Parameters!$X$11:$AA$11,1,MATCH($E286,Parameters!$X$3:$AA$3,0)))</f>
        <v>1.15244848233079</v>
      </c>
      <c r="BE286" s="46" t="n">
        <f aca="false">MAX(0,MIN(BC286*(1+INDEX(Response_Table!$K$4:$K$21,MATCH($F286&amp;"|low",Response_Table!$A$4:$A$21,0))*$R286*INDEX(Parameters!$X$11:$AA$11,1,MATCH($E286,Parameters!$X$3:$AA$3,0))),BC286*(1+INDEX(Response_Table!$K$4:$K$21,MATCH($F286&amp;"|high",Response_Table!$A$4:$A$21,0))*$R286*INDEX(Parameters!$X$11:$AA$11,1,MATCH($E286,Parameters!$X$3:$AA$3,0))))*(1-Inputs_General!$C$22*Parameters!$F$11))</f>
        <v>0.931313150748486</v>
      </c>
      <c r="BF286" s="46" t="n">
        <f aca="false">MAX(BC286*(1+INDEX(Response_Table!$K$4:$K$21,MATCH($F286&amp;"|low",Response_Table!$A$4:$A$21,0))*$R286*INDEX(Parameters!$X$11:$AA$11,1,MATCH($E286,Parameters!$X$3:$AA$3,0))),BC286*(1+INDEX(Response_Table!$K$4:$K$21,MATCH($F286&amp;"|high",Response_Table!$A$4:$A$21,0))*$R286*INDEX(Parameters!$X$11:$AA$11,1,MATCH($E286,Parameters!$X$3:$AA$3,0))))*(1+Inputs_General!$C$22*Parameters!$F$11)</f>
        <v>1.38891744723885</v>
      </c>
      <c r="BG286" s="45" t="n">
        <f aca="false">IF(BC286=0,0,BD286/BC286-1)</f>
        <v>-0.0505736311220399</v>
      </c>
      <c r="BH286" s="46" t="n">
        <f aca="false">Parameters!$E$12*IF($N286="V",Parameters!$I$12,IF($N286="F",Parameters!$J$12,Parameters!$K$12))*(1-Parameters!$L$12*$P286)*IF($D286="V1",Parameters!$M$12,IF($D286="V2",Parameters!$N$12,Parameters!$O$12))</f>
        <v>0.436981178571429</v>
      </c>
      <c r="BI286" s="46" t="n">
        <f aca="false">BH286*(1+INDEX(Response_Table!$L$4:$L$21,MATCH($F286&amp;"|mid",Response_Table!$A$4:$A$21,0))*$R286*INDEX(Parameters!$X$12:$AA$12,1,MATCH($E286,Parameters!$X$3:$AA$3,0)))</f>
        <v>0.419398292215415</v>
      </c>
      <c r="BJ286" s="46" t="n">
        <f aca="false">MAX(0,MIN(BH286*(1+INDEX(Response_Table!$L$4:$L$21,MATCH($F286&amp;"|low",Response_Table!$A$4:$A$21,0))*$R286*INDEX(Parameters!$X$12:$AA$12,1,MATCH($E286,Parameters!$X$3:$AA$3,0))),BH286*(1+INDEX(Response_Table!$L$4:$L$21,MATCH($F286&amp;"|high",Response_Table!$A$4:$A$21,0))*$R286*INDEX(Parameters!$X$12:$AA$12,1,MATCH($E286,Parameters!$X$3:$AA$3,0))))*(1-Inputs_General!$C$22*Parameters!$F$12))</f>
        <v>0.327882479633751</v>
      </c>
      <c r="BK286" s="46" t="n">
        <f aca="false">MAX(BH286*(1+INDEX(Response_Table!$L$4:$L$21,MATCH($F286&amp;"|low",Response_Table!$A$4:$A$21,0))*$R286*INDEX(Parameters!$X$12:$AA$12,1,MATCH($E286,Parameters!$X$3:$AA$3,0))),BH286*(1+INDEX(Response_Table!$L$4:$L$21,MATCH($F286&amp;"|high",Response_Table!$A$4:$A$21,0))*$R286*INDEX(Parameters!$X$12:$AA$12,1,MATCH($E286,Parameters!$X$3:$AA$3,0))))*(1+Inputs_General!$C$22*Parameters!$F$12)</f>
        <v>0.516011788823169</v>
      </c>
      <c r="BL286" s="45" t="n">
        <f aca="false">IF(BH286=0,0,BI286/BH286-1)</f>
        <v>-0.0402371708857008</v>
      </c>
      <c r="BM286" s="46" t="n">
        <f aca="false">Parameters!$E$13*IF($N286="V",Parameters!$I$13,IF($N286="F",Parameters!$J$13,Parameters!$K$13))*(1-Parameters!$L$13*$P286)*IF($D286="V1",Parameters!$M$13,IF($D286="V2",Parameters!$N$13,Parameters!$O$13))</f>
        <v>0.300160392857143</v>
      </c>
      <c r="BN286" s="46" t="n">
        <f aca="false">BM286*(1+INDEX(Response_Table!$M$4:$M$21,MATCH($F286&amp;"|mid",Response_Table!$A$4:$A$21,0))*$R286*INDEX(Parameters!$X$13:$AA$13,1,MATCH($E286,Parameters!$X$3:$AA$3,0)))</f>
        <v>0.306790124611635</v>
      </c>
      <c r="BO286" s="46" t="n">
        <f aca="false">MAX(0,MIN(BM286*(1+INDEX(Response_Table!$M$4:$M$21,MATCH($F286&amp;"|low",Response_Table!$A$4:$A$21,0))*$R286*INDEX(Parameters!$X$13:$AA$13,1,MATCH($E286,Parameters!$X$3:$AA$3,0))),BM286*(1+INDEX(Response_Table!$M$4:$M$21,MATCH($F286&amp;"|high",Response_Table!$A$4:$A$21,0))*$R286*INDEX(Parameters!$X$13:$AA$13,1,MATCH($E286,Parameters!$X$3:$AA$3,0))))*(1-Inputs_General!$C$22*Parameters!$F$13))</f>
        <v>0.243524544294002</v>
      </c>
      <c r="BP286" s="46" t="n">
        <f aca="false">MAX(BM286*(1+INDEX(Response_Table!$M$4:$M$21,MATCH($F286&amp;"|low",Response_Table!$A$4:$A$21,0))*$R286*INDEX(Parameters!$X$13:$AA$13,1,MATCH($E286,Parameters!$X$3:$AA$3,0))),BM286*(1+INDEX(Response_Table!$M$4:$M$21,MATCH($F286&amp;"|high",Response_Table!$A$4:$A$21,0))*$R286*INDEX(Parameters!$X$13:$AA$13,1,MATCH($E286,Parameters!$X$3:$AA$3,0))))*(1+Inputs_General!$C$22*Parameters!$F$13)</f>
        <v>0.367574793115741</v>
      </c>
      <c r="BQ286" s="45" t="n">
        <f aca="false">IF(BM286=0,0,BN286/BM286-1)</f>
        <v>0.0220872970327148</v>
      </c>
      <c r="BR286" s="44" t="n">
        <f aca="false">Parameters!$E$14*IF($N286="V",Parameters!$I$14,IF($N286="F",Parameters!$J$14,Parameters!$K$14))*(1-Parameters!$L$14*$P286)*IF($D286="V1",Parameters!$M$14,IF($D286="V2",Parameters!$N$14,Parameters!$O$14))*INDEX(Context!$AC$4:$AC$51,$K286)</f>
        <v>15</v>
      </c>
      <c r="BS286" s="44" t="n">
        <f aca="false">BR286*(1+INDEX(Response_Table!$N$4:$N$21,MATCH($F286&amp;"|mid",Response_Table!$A$4:$A$21,0))*$R286*INDEX(Parameters!$X$14:$AA$14,1,MATCH($E286,Parameters!$X$3:$AA$3,0)))</f>
        <v>15.6584264326751</v>
      </c>
      <c r="BT286" s="44" t="n">
        <f aca="false">MAX(0,MIN(BR286*(1+INDEX(Response_Table!$N$4:$N$21,MATCH($F286&amp;"|low",Response_Table!$A$4:$A$21,0))*$R286*INDEX(Parameters!$X$14:$AA$14,1,MATCH($E286,Parameters!$X$3:$AA$3,0))),BR286*(1+INDEX(Response_Table!$N$4:$N$21,MATCH($F286&amp;"|high",Response_Table!$A$4:$A$21,0))*$R286*INDEX(Parameters!$X$14:$AA$14,1,MATCH($E286,Parameters!$X$3:$AA$3,0))))*(1-Inputs_General!$C$22*Parameters!$F$14))</f>
        <v>7.71201543002126</v>
      </c>
      <c r="BU286" s="44" t="n">
        <f aca="false">MAX(BR286*(1+INDEX(Response_Table!$N$4:$N$21,MATCH($F286&amp;"|low",Response_Table!$A$4:$A$21,0))*$R286*INDEX(Parameters!$X$14:$AA$14,1,MATCH($E286,Parameters!$X$3:$AA$3,0))),BR286*(1+INDEX(Response_Table!$N$4:$N$21,MATCH($F286&amp;"|high",Response_Table!$A$4:$A$21,0))*$R286*INDEX(Parameters!$X$14:$AA$14,1,MATCH($E286,Parameters!$X$3:$AA$3,0))))*(1+Inputs_General!$C$22*Parameters!$F$14)</f>
        <v>23.9939496746502</v>
      </c>
      <c r="BV286" s="45" t="n">
        <f aca="false">IF(BR286=0,0,BS286/BR286-1)</f>
        <v>0.0438950955116737</v>
      </c>
      <c r="BW286" s="43" t="n">
        <f aca="false">Parameters!$E$15*IF($N286="V",Parameters!$I$15,IF($N286="F",Parameters!$J$15,Parameters!$K$15))*(1-Parameters!$L$15*$P286)*IF($D286="V1",Parameters!$M$15,IF($D286="V2",Parameters!$N$15,Parameters!$O$15))</f>
        <v>9.42785714285714</v>
      </c>
      <c r="BX286" s="43" t="n">
        <f aca="false">BW286*(1+INDEX(Response_Table!$O$4:$O$21,MATCH($F286&amp;"|mid",Response_Table!$A$4:$A$21,0))*$R286*INDEX(Parameters!$X$15:$AA$15,1,MATCH($E286,Parameters!$X$3:$AA$3,0)))</f>
        <v>9.32439797041811</v>
      </c>
      <c r="BY286" s="43" t="n">
        <f aca="false">MAX(0,MIN(BW286*(1+INDEX(Response_Table!$O$4:$O$21,MATCH($F286&amp;"|low",Response_Table!$A$4:$A$21,0))*$R286*INDEX(Parameters!$X$15:$AA$15,1,MATCH($E286,Parameters!$X$3:$AA$3,0))),BW286*(1+INDEX(Response_Table!$O$4:$O$21,MATCH($F286&amp;"|high",Response_Table!$A$4:$A$21,0))*$R286*INDEX(Parameters!$X$15:$AA$15,1,MATCH($E286,Parameters!$X$3:$AA$3,0))))*(1-Inputs_General!$C$22*Parameters!$F$15))</f>
        <v>7.43241382813118</v>
      </c>
      <c r="BZ286" s="43" t="n">
        <f aca="false">MAX(BW286*(1+INDEX(Response_Table!$O$4:$O$21,MATCH($F286&amp;"|low",Response_Table!$A$4:$A$21,0))*$R286*INDEX(Parameters!$X$15:$AA$15,1,MATCH($E286,Parameters!$X$3:$AA$3,0))),BW286*(1+INDEX(Response_Table!$O$4:$O$21,MATCH($F286&amp;"|high",Response_Table!$A$4:$A$21,0))*$R286*INDEX(Parameters!$X$15:$AA$15,1,MATCH($E286,Parameters!$X$3:$AA$3,0))))*(1+Inputs_General!$C$22*Parameters!$F$15)</f>
        <v>11.2463773114464</v>
      </c>
      <c r="CA286" s="45" t="n">
        <f aca="false">IF(BW286=0,0,BX286/BW286-1)</f>
        <v>-0.0109737738779184</v>
      </c>
      <c r="CB286" s="46" t="n">
        <f aca="false">BD286+BI286</f>
        <v>1.5718467745462</v>
      </c>
      <c r="CC286" s="43" t="n">
        <f aca="false">BD286/BI286</f>
        <v>2.74786164779816</v>
      </c>
      <c r="CD286" s="46" t="n">
        <f aca="false">BN286/CB286</f>
        <v>0.195178136685878</v>
      </c>
      <c r="CE286" s="43" t="n">
        <f aca="false">AE286/AO286</f>
        <v>2.48105047030831</v>
      </c>
      <c r="CF286" s="44" t="n">
        <f aca="false">AE286/AJ286</f>
        <v>55.1147571681435</v>
      </c>
      <c r="CG286" s="44" t="n">
        <f aca="false">INDEX(Context!$V$4:$V$51,$K286)</f>
        <v>32.7871428571429</v>
      </c>
      <c r="CH286" s="44" t="n">
        <f aca="false">INDEX(Context!$Y$4:$Y$51,$K286)</f>
        <v>28.36912210206</v>
      </c>
      <c r="CI286" s="44" t="n">
        <f aca="false">INDEX(Context!$Z$4:$Z$51,$K286)</f>
        <v>36.7871428571429</v>
      </c>
      <c r="CJ286" s="43" t="n">
        <f aca="false">INDEX(Context!$AA$4:$AA$51,$K286)</f>
        <v>0.247678571428571</v>
      </c>
      <c r="CK286" s="43" t="n">
        <f aca="false">MAX(0,MIN(1,1-(1-CJ286)*AO286/AN286))</f>
        <v>0.278079630427447</v>
      </c>
      <c r="CL286" s="44" t="n">
        <f aca="false">CH286+CK286*(CI286-CH286)</f>
        <v>30.710002202564</v>
      </c>
      <c r="CM286" s="44" t="n">
        <f aca="false">CH286+MAX(0,MIN(1,1-(1-CJ286)*AQ286/AN286))*(CI286-CH286)</f>
        <v>28.6119707528669</v>
      </c>
      <c r="CN286" s="44" t="n">
        <f aca="false">CH286+MAX(0,MIN(1,1-(1-CJ286)*AP286/AN286))*(CI286-CH286)</f>
        <v>32.6620869705628</v>
      </c>
      <c r="CO286" s="44" t="n">
        <f aca="false">CL286-CG286</f>
        <v>-2.07714065457881</v>
      </c>
      <c r="CP286" s="44" t="n">
        <f aca="false">CL286-(CH286+CJ286*(CI286-CH286))</f>
        <v>0.255916745629033</v>
      </c>
      <c r="CQ286" s="46" t="n">
        <f aca="false">CL286/CG286</f>
        <v>0.936647707803357</v>
      </c>
      <c r="CR286" s="43" t="n">
        <f aca="false">IF(CL286-CH286&lt;=0,"n/a",(CI286-CL286)/(CL286-CH286))</f>
        <v>2.59609223610827</v>
      </c>
      <c r="CS286" s="43" t="n">
        <f aca="false">IF(CI286-CL286&lt;=0,"n/a",(CL286-CH286)/(CI286-CL286))</f>
        <v>0.385194326338371</v>
      </c>
      <c r="CT286" s="43" t="n">
        <f aca="false">Inputs_General!$C$23+Inputs_General!$C$24*$I286</f>
        <v>0.66</v>
      </c>
      <c r="CU286" s="44" t="n">
        <f aca="false">3.29*CT286</f>
        <v>2.1714</v>
      </c>
    </row>
    <row r="287" customFormat="false" ht="15" hidden="false" customHeight="false" outlineLevel="0" collapsed="false">
      <c r="A287" s="9" t="str">
        <f aca="false">B287&amp;"|"&amp;E287&amp;"|"&amp;F287</f>
        <v>D4V3|13/03/2026|Low</v>
      </c>
      <c r="B287" s="7" t="s">
        <v>354</v>
      </c>
      <c r="C287" s="9" t="s">
        <v>133</v>
      </c>
      <c r="D287" s="9" t="s">
        <v>150</v>
      </c>
      <c r="E287" s="9" t="s">
        <v>164</v>
      </c>
      <c r="F287" s="7" t="s">
        <v>279</v>
      </c>
      <c r="G287" s="9" t="s">
        <v>280</v>
      </c>
      <c r="H287" s="41" t="n">
        <f aca="false">INDEX(Severity_Classes!$C$4:$C$9,MATCH(F287,Severity_Classes!$A$4:$A$9,0))</f>
        <v>0.06</v>
      </c>
      <c r="I287" s="41" t="n">
        <f aca="false">INDEX(Severity_Classes!$D$4:$D$9,MATCH(F287,Severity_Classes!$A$4:$A$9,0))</f>
        <v>0.08</v>
      </c>
      <c r="J287" s="41" t="n">
        <f aca="false">INDEX(Severity_Classes!$E$4:$E$9,MATCH(F287,Severity_Classes!$A$4:$A$9,0))</f>
        <v>0.1</v>
      </c>
      <c r="K287" s="42" t="n">
        <f aca="false">MATCH(B287&amp;"|"&amp;E287,Context!$A$4:$A$51,0)</f>
        <v>48</v>
      </c>
      <c r="L287" s="42" t="n">
        <f aca="false">INDEX(Context!$H$4:$H$51,K287)</f>
        <v>63</v>
      </c>
      <c r="M287" s="42" t="n">
        <f aca="false">INDEX(Context!$I$4:$I$51,K287)</f>
        <v>36</v>
      </c>
      <c r="N287" s="9" t="str">
        <f aca="false">INDEX(Context!$L$4:$L$51,K287)</f>
        <v>F</v>
      </c>
      <c r="O287" s="9" t="str">
        <f aca="false">INDEX(Context!$M$4:$M$51,K287)</f>
        <v>5th fully expanded leaf from top</v>
      </c>
      <c r="P287" s="43" t="n">
        <f aca="false">INDEX(Context!$R$4:$R$51,K287)</f>
        <v>0.953571428571428</v>
      </c>
      <c r="Q287" s="43" t="n">
        <f aca="false">INDEX(Context!$U$4:$U$51,K287)</f>
        <v>2.18945736698217</v>
      </c>
      <c r="R287" s="43" t="n">
        <f aca="false">INDEX(Context!$AD$4:$AD$51,K287)</f>
        <v>0.85</v>
      </c>
      <c r="S287" s="9" t="str">
        <f aca="false">INDEX(Context!$AI$4:$AN$51,K287,MATCH(F287,Severity_Classes!$A$4:$A$9,0))</f>
        <v>Likely</v>
      </c>
      <c r="T287" s="44" t="n">
        <f aca="false">Parameters!$E$4*IF($N287="V",Parameters!$I$4,IF($N287="F",Parameters!$J$4,Parameters!$K$4))*(1-Parameters!$L$4*$P287)*IF($D287="V1",Parameters!$M$4,IF($D287="V2",Parameters!$N$4,Parameters!$O$4))</f>
        <v>81.0806464285714</v>
      </c>
      <c r="U287" s="44" t="n">
        <f aca="false">MIN(100,T287*(1+INDEX(Response_Table!$E$4:$E$21,MATCH($F287&amp;"|mid",Response_Table!$A$4:$A$21,0))*$R287*INDEX(Parameters!$X$4:$AA$4,1,MATCH($E287,Parameters!$X$3:$AA$3,0))))</f>
        <v>80.1213949693336</v>
      </c>
      <c r="V287" s="44" t="n">
        <f aca="false">MAX(0,MIN(T287*(1+INDEX(Response_Table!$E$4:$E$21,MATCH($F287&amp;"|low",Response_Table!$A$4:$A$21,0))*$R287*INDEX(Parameters!$X$4:$AA$4,1,MATCH($E287,Parameters!$X$3:$AA$3,0))),T287*(1+INDEX(Response_Table!$E$4:$E$21,MATCH($F287&amp;"|high",Response_Table!$A$4:$A$21,0))*$R287*INDEX(Parameters!$X$4:$AA$4,1,MATCH($E287,Parameters!$X$3:$AA$3,0))))*(1-Inputs_General!$C$22*Parameters!$F$4))</f>
        <v>74.5363090760685</v>
      </c>
      <c r="W287" s="44" t="n">
        <f aca="false">MIN(100,MAX(T287*(1+INDEX(Response_Table!$E$4:$E$21,MATCH($F287&amp;"|low",Response_Table!$A$4:$A$21,0))*$R287*INDEX(Parameters!$X$4:$AA$4,1,MATCH($E287,Parameters!$X$3:$AA$3,0))),T287*(1+INDEX(Response_Table!$E$4:$E$21,MATCH($F287&amp;"|high",Response_Table!$A$4:$A$21,0))*$R287*INDEX(Parameters!$X$4:$AA$4,1,MATCH($E287,Parameters!$X$3:$AA$3,0))))*(1+Inputs_General!$C$22*Parameters!$F$4))</f>
        <v>85.7055475440331</v>
      </c>
      <c r="X287" s="45" t="n">
        <f aca="false">IF(T287=0,0,U287/T287-1)</f>
        <v>-0.011830831418974</v>
      </c>
      <c r="Y287" s="44" t="n">
        <f aca="false">Parameters!$E$5*IF($N287="V",Parameters!$I$5,IF($N287="F",Parameters!$J$5,Parameters!$K$5))*(1-Parameters!$L$5*$P287)*IF($D287="V1",Parameters!$M$5,IF($D287="V2",Parameters!$N$5,Parameters!$O$5))</f>
        <v>62.48592</v>
      </c>
      <c r="Z287" s="44" t="n">
        <f aca="false">MIN(100,Y287*(1+INDEX(Response_Table!$F$4:$F$21,MATCH($F287&amp;"|mid",Response_Table!$A$4:$A$21,0))*$R287*INDEX(Parameters!$X$5:$AA$5,1,MATCH($E287,Parameters!$X$3:$AA$3,0))))</f>
        <v>60.0454230473297</v>
      </c>
      <c r="AA287" s="44" t="n">
        <f aca="false">MAX(0,MIN(Y287*(1+INDEX(Response_Table!$F$4:$F$21,MATCH($F287&amp;"|low",Response_Table!$A$4:$A$21,0))*$R287*INDEX(Parameters!$X$5:$AA$5,1,MATCH($E287,Parameters!$X$3:$AA$3,0))),Y287*(1+INDEX(Response_Table!$F$4:$F$21,MATCH($F287&amp;"|high",Response_Table!$A$4:$A$21,0))*$R287*INDEX(Parameters!$X$5:$AA$5,1,MATCH($E287,Parameters!$X$3:$AA$3,0))))*(1-Inputs_General!$C$22*Parameters!$F$5))</f>
        <v>52.3408069888455</v>
      </c>
      <c r="AB287" s="44" t="n">
        <f aca="false">MIN(100,MAX(Y287*(1+INDEX(Response_Table!$F$4:$F$21,MATCH($F287&amp;"|low",Response_Table!$A$4:$A$21,0))*$R287*INDEX(Parameters!$X$5:$AA$5,1,MATCH($E287,Parameters!$X$3:$AA$3,0))),Y287*(1+INDEX(Response_Table!$F$4:$F$21,MATCH($F287&amp;"|high",Response_Table!$A$4:$A$21,0))*$R287*INDEX(Parameters!$X$5:$AA$5,1,MATCH($E287,Parameters!$X$3:$AA$3,0))))*(1+Inputs_General!$C$22*Parameters!$F$5))</f>
        <v>67.8152007216692</v>
      </c>
      <c r="AC287" s="45" t="n">
        <f aca="false">IF(Y287=0,0,Z287/Y287-1)</f>
        <v>-0.0390567499473533</v>
      </c>
      <c r="AD287" s="44" t="n">
        <f aca="false">Parameters!$E$6*IF($N287="V",Parameters!$I$6,IF($N287="F",Parameters!$J$6,Parameters!$K$6))*(1-Parameters!$L$6*$P287)*IF($D287="V1",Parameters!$M$6,IF($D287="V2",Parameters!$N$6,Parameters!$O$6))</f>
        <v>17.3306328571429</v>
      </c>
      <c r="AE287" s="44" t="n">
        <f aca="false">AD287*(1+INDEX(Response_Table!$G$4:$G$21,MATCH($F287&amp;"|mid",Response_Table!$A$4:$A$21,0))*$R287*INDEX(Parameters!$X$6:$AA$6,1,MATCH($E287,Parameters!$X$3:$AA$3,0)))</f>
        <v>14.0523890241471</v>
      </c>
      <c r="AF287" s="44" t="n">
        <f aca="false">MAX(0,MIN(AD287*(1+INDEX(Response_Table!$G$4:$G$21,MATCH($F287&amp;"|low",Response_Table!$A$4:$A$21,0))*$R287*INDEX(Parameters!$X$6:$AA$6,1,MATCH($E287,Parameters!$X$3:$AA$3,0))),AD287*(1+INDEX(Response_Table!$G$4:$G$21,MATCH($F287&amp;"|high",Response_Table!$A$4:$A$21,0))*$R287*INDEX(Parameters!$X$6:$AA$6,1,MATCH($E287,Parameters!$X$3:$AA$3,0))))*(1-Inputs_General!$C$22*Parameters!$F$6))</f>
        <v>10.753112901499</v>
      </c>
      <c r="AG287" s="44" t="n">
        <f aca="false">MAX(AD287*(1+INDEX(Response_Table!$G$4:$G$21,MATCH($F287&amp;"|low",Response_Table!$A$4:$A$21,0))*$R287*INDEX(Parameters!$X$6:$AA$6,1,MATCH($E287,Parameters!$X$3:$AA$3,0))),AD287*(1+INDEX(Response_Table!$G$4:$G$21,MATCH($F287&amp;"|high",Response_Table!$A$4:$A$21,0))*$R287*INDEX(Parameters!$X$6:$AA$6,1,MATCH($E287,Parameters!$X$3:$AA$3,0))))*(1+Inputs_General!$C$22*Parameters!$F$6)</f>
        <v>17.6821733358147</v>
      </c>
      <c r="AH287" s="45" t="n">
        <f aca="false">IF(AD287=0,0,AE287/AD287-1)</f>
        <v>-0.189158922240083</v>
      </c>
      <c r="AI287" s="46" t="n">
        <f aca="false">Parameters!$E$7*IF($N287="V",Parameters!$I$7,IF($N287="F",Parameters!$J$7,Parameters!$K$7))*(1-Parameters!$L$7*$P287)*IF($D287="V1",Parameters!$M$7,IF($D287="V2",Parameters!$N$7,Parameters!$O$7))*POWER($Q287/Inputs_General!$C$26,-Inputs_General!$C$25)</f>
        <v>0.304119499618928</v>
      </c>
      <c r="AJ287" s="46" t="n">
        <f aca="false">AI287*(1+INDEX(Response_Table!$H$4:$H$21,MATCH($F287&amp;"|mid",Response_Table!$A$4:$A$21,0))*$R287*INDEX(Parameters!$X$7:$AA$7,1,MATCH($E287,Parameters!$X$3:$AA$3,0)))</f>
        <v>0.268267427579833</v>
      </c>
      <c r="AK287" s="46" t="n">
        <f aca="false">MAX(0,MIN(AI287*(1+INDEX(Response_Table!$H$4:$H$21,MATCH($F287&amp;"|low",Response_Table!$A$4:$A$21,0))*$R287*INDEX(Parameters!$X$7:$AA$7,1,MATCH($E287,Parameters!$X$3:$AA$3,0))),AI287*(1+INDEX(Response_Table!$H$4:$H$21,MATCH($F287&amp;"|high",Response_Table!$A$4:$A$21,0))*$R287*INDEX(Parameters!$X$7:$AA$7,1,MATCH($E287,Parameters!$X$3:$AA$3,0))))*(1-Inputs_General!$C$22*Parameters!$F$7))</f>
        <v>0.183415374948215</v>
      </c>
      <c r="AL287" s="46" t="n">
        <f aca="false">MAX(AI287*(1+INDEX(Response_Table!$H$4:$H$21,MATCH($F287&amp;"|low",Response_Table!$A$4:$A$21,0))*$R287*INDEX(Parameters!$X$7:$AA$7,1,MATCH($E287,Parameters!$X$3:$AA$3,0))),AI287*(1+INDEX(Response_Table!$H$4:$H$21,MATCH($F287&amp;"|high",Response_Table!$A$4:$A$21,0))*$R287*INDEX(Parameters!$X$7:$AA$7,1,MATCH($E287,Parameters!$X$3:$AA$3,0))))*(1+Inputs_General!$C$22*Parameters!$F$7)</f>
        <v>0.358294672396722</v>
      </c>
      <c r="AM287" s="45" t="n">
        <f aca="false">IF(AI287=0,0,AJ287/AI287-1)</f>
        <v>-0.117888106760729</v>
      </c>
      <c r="AN287" s="43" t="n">
        <f aca="false">AI287*$Q287/Inputs_General!$C$13*1000</f>
        <v>6.70550532611877</v>
      </c>
      <c r="AO287" s="43" t="n">
        <f aca="false">AJ287*$Q287/Inputs_General!$C$13*1000*(1+Inputs_General!$C$21*$I287)</f>
        <v>6.03330611831562</v>
      </c>
      <c r="AP287" s="43" t="n">
        <f aca="false">AK287*$Q287/Inputs_General!$C$13*1000*(1+Inputs_General!$C$21*$H287)</f>
        <v>4.10477186361168</v>
      </c>
      <c r="AQ287" s="43" t="n">
        <f aca="false">AL287*$Q287/Inputs_General!$C$13*1000*(1+Inputs_General!$C$21*$J287)</f>
        <v>8.09750939355693</v>
      </c>
      <c r="AR287" s="45" t="n">
        <f aca="false">IF(AN287=0,0,AO287/AN287-1)</f>
        <v>-0.100245868895944</v>
      </c>
      <c r="AS287" s="42" t="n">
        <f aca="false">Parameters!$E$9*IF($N287="V",Parameters!$I$9,IF($N287="F",Parameters!$J$9,Parameters!$K$9))*(1-Parameters!$L$9*$P287)*IF($D287="V1",Parameters!$M$9,IF($D287="V2",Parameters!$N$9,Parameters!$O$9))</f>
        <v>285</v>
      </c>
      <c r="AT287" s="42" t="n">
        <f aca="false">AS287*(1+INDEX(Response_Table!$I$4:$I$21,MATCH($F287&amp;"|mid",Response_Table!$A$4:$A$21,0))*$R287*INDEX(Parameters!$X$9:$AA$9,1,MATCH($E287,Parameters!$X$3:$AA$3,0)))</f>
        <v>304.90211873067</v>
      </c>
      <c r="AU287" s="42" t="n">
        <f aca="false">MAX(0,MIN(AS287*(1+INDEX(Response_Table!$I$4:$I$21,MATCH($F287&amp;"|low",Response_Table!$A$4:$A$21,0))*$R287*INDEX(Parameters!$X$9:$AA$9,1,MATCH($E287,Parameters!$X$3:$AA$3,0))),AS287*(1+INDEX(Response_Table!$I$4:$I$21,MATCH($F287&amp;"|high",Response_Table!$A$4:$A$21,0))*$R287*INDEX(Parameters!$X$9:$AA$9,1,MATCH($E287,Parameters!$X$3:$AA$3,0))))*(1-Inputs_General!$C$22*Parameters!$F$9))</f>
        <v>270.846797043545</v>
      </c>
      <c r="AV287" s="42" t="n">
        <f aca="false">MAX(AS287*(1+INDEX(Response_Table!$I$4:$I$21,MATCH($F287&amp;"|low",Response_Table!$A$4:$A$21,0))*$R287*INDEX(Parameters!$X$9:$AA$9,1,MATCH($E287,Parameters!$X$3:$AA$3,0))),AS287*(1+INDEX(Response_Table!$I$4:$I$21,MATCH($F287&amp;"|high",Response_Table!$A$4:$A$21,0))*$R287*INDEX(Parameters!$X$9:$AA$9,1,MATCH($E287,Parameters!$X$3:$AA$3,0))))*(1+Inputs_General!$C$22*Parameters!$F$9)</f>
        <v>339.453792381945</v>
      </c>
      <c r="AW287" s="45" t="n">
        <f aca="false">IF(AS287=0,0,AT287/AS287-1)</f>
        <v>0.0698319955462088</v>
      </c>
      <c r="AX287" s="43" t="n">
        <f aca="false">INDEX(Context!$AB$4:$AB$51,$K287)</f>
        <v>2.41688422790131</v>
      </c>
      <c r="AY287" s="43" t="n">
        <f aca="false">AX287*(1+INDEX(Response_Table!$J$4:$J$21,MATCH($F287&amp;"|mid",Response_Table!$A$4:$A$21,0))*$R287*INDEX(Parameters!$X$10:$AA$10,1,MATCH($E287,Parameters!$X$3:$AA$3,0)))</f>
        <v>2.24930838306363</v>
      </c>
      <c r="AZ287" s="43" t="n">
        <f aca="false">MAX(0,MIN(AX287*(1+INDEX(Response_Table!$J$4:$J$21,MATCH($F287&amp;"|low",Response_Table!$A$4:$A$21,0))*$R287*INDEX(Parameters!$X$10:$AA$10,1,MATCH($E287,Parameters!$X$3:$AA$3,0))),AX287*(1+INDEX(Response_Table!$J$4:$J$21,MATCH($F287&amp;"|high",Response_Table!$A$4:$A$21,0))*$R287*INDEX(Parameters!$X$10:$AA$10,1,MATCH($E287,Parameters!$X$3:$AA$3,0))))*(1-Inputs_General!$C$22*Parameters!$F$10))</f>
        <v>1.77566806180855</v>
      </c>
      <c r="BA287" s="43" t="n">
        <f aca="false">MAX(AX287*(1+INDEX(Response_Table!$J$4:$J$21,MATCH($F287&amp;"|low",Response_Table!$A$4:$A$21,0))*$R287*INDEX(Parameters!$X$10:$AA$10,1,MATCH($E287,Parameters!$X$3:$AA$3,0))),AX287*(1+INDEX(Response_Table!$J$4:$J$21,MATCH($F287&amp;"|high",Response_Table!$A$4:$A$21,0))*$R287*INDEX(Parameters!$X$10:$AA$10,1,MATCH($E287,Parameters!$X$3:$AA$3,0))))*(1+Inputs_General!$C$22*Parameters!$F$10)</f>
        <v>2.73978838865758</v>
      </c>
      <c r="BB287" s="45" t="n">
        <f aca="false">IF(AX287=0,0,AY287/AX287-1)</f>
        <v>-0.069335486947672</v>
      </c>
      <c r="BC287" s="46" t="n">
        <f aca="false">Parameters!$E$11*IF($N287="V",Parameters!$I$11,IF($N287="F",Parameters!$J$11,Parameters!$K$11))*(1-Parameters!$L$11*$P287)*IF($D287="V1",Parameters!$M$11,IF($D287="V2",Parameters!$N$11,Parameters!$O$11))</f>
        <v>1.21383660714286</v>
      </c>
      <c r="BD287" s="46" t="n">
        <f aca="false">BC287*(1+INDEX(Response_Table!$K$4:$K$21,MATCH($F287&amp;"|mid",Response_Table!$A$4:$A$21,0))*$R287*INDEX(Parameters!$X$11:$AA$11,1,MATCH($E287,Parameters!$X$3:$AA$3,0)))</f>
        <v>1.06236610981366</v>
      </c>
      <c r="BE287" s="46" t="n">
        <f aca="false">MAX(0,MIN(BC287*(1+INDEX(Response_Table!$K$4:$K$21,MATCH($F287&amp;"|low",Response_Table!$A$4:$A$21,0))*$R287*INDEX(Parameters!$X$11:$AA$11,1,MATCH($E287,Parameters!$X$3:$AA$3,0))),BC287*(1+INDEX(Response_Table!$K$4:$K$21,MATCH($F287&amp;"|high",Response_Table!$A$4:$A$21,0))*$R287*INDEX(Parameters!$X$11:$AA$11,1,MATCH($E287,Parameters!$X$3:$AA$3,0))))*(1-Inputs_General!$C$22*Parameters!$F$11))</f>
        <v>0.860715309205398</v>
      </c>
      <c r="BF287" s="46" t="n">
        <f aca="false">MAX(BC287*(1+INDEX(Response_Table!$K$4:$K$21,MATCH($F287&amp;"|low",Response_Table!$A$4:$A$21,0))*$R287*INDEX(Parameters!$X$11:$AA$11,1,MATCH($E287,Parameters!$X$3:$AA$3,0))),BC287*(1+INDEX(Response_Table!$K$4:$K$21,MATCH($F287&amp;"|high",Response_Table!$A$4:$A$21,0))*$R287*INDEX(Parameters!$X$11:$AA$11,1,MATCH($E287,Parameters!$X$3:$AA$3,0))))*(1+Inputs_General!$C$22*Parameters!$F$11)</f>
        <v>1.27708337082276</v>
      </c>
      <c r="BG287" s="45" t="n">
        <f aca="false">IF(BC287=0,0,BD287/BC287-1)</f>
        <v>-0.124786562242283</v>
      </c>
      <c r="BH287" s="46" t="n">
        <f aca="false">Parameters!$E$12*IF($N287="V",Parameters!$I$12,IF($N287="F",Parameters!$J$12,Parameters!$K$12))*(1-Parameters!$L$12*$P287)*IF($D287="V1",Parameters!$M$12,IF($D287="V2",Parameters!$N$12,Parameters!$O$12))</f>
        <v>0.436981178571429</v>
      </c>
      <c r="BI287" s="46" t="n">
        <f aca="false">BH287*(1+INDEX(Response_Table!$L$4:$L$21,MATCH($F287&amp;"|mid",Response_Table!$A$4:$A$21,0))*$R287*INDEX(Parameters!$X$12:$AA$12,1,MATCH($E287,Parameters!$X$3:$AA$3,0)))</f>
        <v>0.393391661482934</v>
      </c>
      <c r="BJ287" s="46" t="n">
        <f aca="false">MAX(0,MIN(BH287*(1+INDEX(Response_Table!$L$4:$L$21,MATCH($F287&amp;"|low",Response_Table!$A$4:$A$21,0))*$R287*INDEX(Parameters!$X$12:$AA$12,1,MATCH($E287,Parameters!$X$3:$AA$3,0))),BH287*(1+INDEX(Response_Table!$L$4:$L$21,MATCH($F287&amp;"|high",Response_Table!$A$4:$A$21,0))*$R287*INDEX(Parameters!$X$12:$AA$12,1,MATCH($E287,Parameters!$X$3:$AA$3,0))))*(1-Inputs_General!$C$22*Parameters!$F$12))</f>
        <v>0.308225102145851</v>
      </c>
      <c r="BK287" s="46" t="n">
        <f aca="false">MAX(BH287*(1+INDEX(Response_Table!$L$4:$L$21,MATCH($F287&amp;"|low",Response_Table!$A$4:$A$21,0))*$R287*INDEX(Parameters!$X$12:$AA$12,1,MATCH($E287,Parameters!$X$3:$AA$3,0))),BH287*(1+INDEX(Response_Table!$L$4:$L$21,MATCH($F287&amp;"|high",Response_Table!$A$4:$A$21,0))*$R287*INDEX(Parameters!$X$12:$AA$12,1,MATCH($E287,Parameters!$X$3:$AA$3,0))))*(1+Inputs_General!$C$22*Parameters!$F$12)</f>
        <v>0.482945838122566</v>
      </c>
      <c r="BL287" s="45" t="n">
        <f aca="false">IF(BH287=0,0,BI287/BH287-1)</f>
        <v>-0.0997514749513863</v>
      </c>
      <c r="BM287" s="46" t="n">
        <f aca="false">Parameters!$E$13*IF($N287="V",Parameters!$I$13,IF($N287="F",Parameters!$J$13,Parameters!$K$13))*(1-Parameters!$L$13*$P287)*IF($D287="V1",Parameters!$M$13,IF($D287="V2",Parameters!$N$13,Parameters!$O$13))</f>
        <v>0.300160392857143</v>
      </c>
      <c r="BN287" s="46" t="n">
        <f aca="false">BM287*(1+INDEX(Response_Table!$M$4:$M$21,MATCH($F287&amp;"|mid",Response_Table!$A$4:$A$21,0))*$R287*INDEX(Parameters!$X$13:$AA$13,1,MATCH($E287,Parameters!$X$3:$AA$3,0)))</f>
        <v>0.30331473649853</v>
      </c>
      <c r="BO287" s="46" t="n">
        <f aca="false">MAX(0,MIN(BM287*(1+INDEX(Response_Table!$M$4:$M$21,MATCH($F287&amp;"|low",Response_Table!$A$4:$A$21,0))*$R287*INDEX(Parameters!$X$13:$AA$13,1,MATCH($E287,Parameters!$X$3:$AA$3,0))),BM287*(1+INDEX(Response_Table!$M$4:$M$21,MATCH($F287&amp;"|high",Response_Table!$A$4:$A$21,0))*$R287*INDEX(Parameters!$X$13:$AA$13,1,MATCH($E287,Parameters!$X$3:$AA$3,0))))*(1-Inputs_General!$C$22*Parameters!$F$13))</f>
        <v>0.240156661232862</v>
      </c>
      <c r="BP287" s="46" t="n">
        <f aca="false">MAX(BM287*(1+INDEX(Response_Table!$M$4:$M$21,MATCH($F287&amp;"|low",Response_Table!$A$4:$A$21,0))*$R287*INDEX(Parameters!$X$13:$AA$13,1,MATCH($E287,Parameters!$X$3:$AA$3,0))),BM287*(1+INDEX(Response_Table!$M$4:$M$21,MATCH($F287&amp;"|high",Response_Table!$A$4:$A$21,0))*$R287*INDEX(Parameters!$X$13:$AA$13,1,MATCH($E287,Parameters!$X$3:$AA$3,0))))*(1+Inputs_General!$C$22*Parameters!$F$13)</f>
        <v>0.366627226765098</v>
      </c>
      <c r="BQ287" s="45" t="n">
        <f aca="false">IF(BM287=0,0,BN287/BM287-1)</f>
        <v>0.0105088603175196</v>
      </c>
      <c r="BR287" s="44" t="n">
        <f aca="false">Parameters!$E$14*IF($N287="V",Parameters!$I$14,IF($N287="F",Parameters!$J$14,Parameters!$K$14))*(1-Parameters!$L$14*$P287)*IF($D287="V1",Parameters!$M$14,IF($D287="V2",Parameters!$N$14,Parameters!$O$14))*INDEX(Context!$AC$4:$AC$51,$K287)</f>
        <v>15</v>
      </c>
      <c r="BS287" s="44" t="n">
        <f aca="false">BR287*(1+INDEX(Response_Table!$N$4:$N$21,MATCH($F287&amp;"|mid",Response_Table!$A$4:$A$21,0))*$R287*INDEX(Parameters!$X$14:$AA$14,1,MATCH($E287,Parameters!$X$3:$AA$3,0)))</f>
        <v>16.6322968628409</v>
      </c>
      <c r="BT287" s="44" t="n">
        <f aca="false">MAX(0,MIN(BR287*(1+INDEX(Response_Table!$N$4:$N$21,MATCH($F287&amp;"|low",Response_Table!$A$4:$A$21,0))*$R287*INDEX(Parameters!$X$14:$AA$14,1,MATCH($E287,Parameters!$X$3:$AA$3,0))),BR287*(1+INDEX(Response_Table!$N$4:$N$21,MATCH($F287&amp;"|high",Response_Table!$A$4:$A$21,0))*$R287*INDEX(Parameters!$X$14:$AA$14,1,MATCH($E287,Parameters!$X$3:$AA$3,0))))*(1-Inputs_General!$C$22*Parameters!$F$14))</f>
        <v>8.23578263008946</v>
      </c>
      <c r="BU287" s="44" t="n">
        <f aca="false">MAX(BR287*(1+INDEX(Response_Table!$N$4:$N$21,MATCH($F287&amp;"|low",Response_Table!$A$4:$A$21,0))*$R287*INDEX(Parameters!$X$14:$AA$14,1,MATCH($E287,Parameters!$X$3:$AA$3,0))),BR287*(1+INDEX(Response_Table!$N$4:$N$21,MATCH($F287&amp;"|high",Response_Table!$A$4:$A$21,0))*$R287*INDEX(Parameters!$X$14:$AA$14,1,MATCH($E287,Parameters!$X$3:$AA$3,0))))*(1+Inputs_General!$C$22*Parameters!$F$14)</f>
        <v>25.3637231037007</v>
      </c>
      <c r="BV287" s="45" t="n">
        <f aca="false">IF(BR287=0,0,BS287/BR287-1)</f>
        <v>0.108819790856058</v>
      </c>
      <c r="BW287" s="43" t="n">
        <f aca="false">Parameters!$E$15*IF($N287="V",Parameters!$I$15,IF($N287="F",Parameters!$J$15,Parameters!$K$15))*(1-Parameters!$L$15*$P287)*IF($D287="V1",Parameters!$M$15,IF($D287="V2",Parameters!$N$15,Parameters!$O$15))</f>
        <v>9.42785714285714</v>
      </c>
      <c r="BX287" s="43" t="n">
        <f aca="false">BW287*(1+INDEX(Response_Table!$O$4:$O$21,MATCH($F287&amp;"|mid",Response_Table!$A$4:$A$21,0))*$R287*INDEX(Parameters!$X$15:$AA$15,1,MATCH($E287,Parameters!$X$3:$AA$3,0)))</f>
        <v>9.17137278223052</v>
      </c>
      <c r="BY287" s="43" t="n">
        <f aca="false">MAX(0,MIN(BW287*(1+INDEX(Response_Table!$O$4:$O$21,MATCH($F287&amp;"|low",Response_Table!$A$4:$A$21,0))*$R287*INDEX(Parameters!$X$15:$AA$15,1,MATCH($E287,Parameters!$X$3:$AA$3,0))),BW287*(1+INDEX(Response_Table!$O$4:$O$21,MATCH($F287&amp;"|high",Response_Table!$A$4:$A$21,0))*$R287*INDEX(Parameters!$X$15:$AA$15,1,MATCH($E287,Parameters!$X$3:$AA$3,0))))*(1-Inputs_General!$C$22*Parameters!$F$15))</f>
        <v>7.31674817654012</v>
      </c>
      <c r="BZ287" s="43" t="n">
        <f aca="false">MAX(BW287*(1+INDEX(Response_Table!$O$4:$O$21,MATCH($F287&amp;"|low",Response_Table!$A$4:$A$21,0))*$R287*INDEX(Parameters!$X$15:$AA$15,1,MATCH($E287,Parameters!$X$3:$AA$3,0))),BW287*(1+INDEX(Response_Table!$O$4:$O$21,MATCH($F287&amp;"|high",Response_Table!$A$4:$A$21,0))*$R287*INDEX(Parameters!$X$15:$AA$15,1,MATCH($E287,Parameters!$X$3:$AA$3,0))))*(1+Inputs_General!$C$22*Parameters!$F$15)</f>
        <v>11.051814494732</v>
      </c>
      <c r="CA287" s="45" t="n">
        <f aca="false">IF(BW287=0,0,BX287/BW287-1)</f>
        <v>-0.0272049477140144</v>
      </c>
      <c r="CB287" s="46" t="n">
        <f aca="false">BD287+BI287</f>
        <v>1.4557577712966</v>
      </c>
      <c r="CC287" s="43" t="n">
        <f aca="false">BD287/BI287</f>
        <v>2.700530320874</v>
      </c>
      <c r="CD287" s="46" t="n">
        <f aca="false">BN287/CB287</f>
        <v>0.208355223979589</v>
      </c>
      <c r="CE287" s="43" t="n">
        <f aca="false">AE287/AO287</f>
        <v>2.32913575883173</v>
      </c>
      <c r="CF287" s="44" t="n">
        <f aca="false">AE287/AJ287</f>
        <v>52.3820172688142</v>
      </c>
      <c r="CG287" s="44" t="n">
        <f aca="false">INDEX(Context!$V$4:$V$51,$K287)</f>
        <v>32.7871428571429</v>
      </c>
      <c r="CH287" s="44" t="n">
        <f aca="false">INDEX(Context!$Y$4:$Y$51,$K287)</f>
        <v>28.36912210206</v>
      </c>
      <c r="CI287" s="44" t="n">
        <f aca="false">INDEX(Context!$Z$4:$Z$51,$K287)</f>
        <v>36.7871428571429</v>
      </c>
      <c r="CJ287" s="43" t="n">
        <f aca="false">INDEX(Context!$AA$4:$AA$51,$K287)</f>
        <v>0.247678571428571</v>
      </c>
      <c r="CK287" s="43" t="n">
        <f aca="false">MAX(0,MIN(1,1-(1-CJ287)*AO287/AN287))</f>
        <v>0.323095686724752</v>
      </c>
      <c r="CL287" s="44" t="n">
        <f aca="false">CH287+CK287*(CI287-CH287)</f>
        <v>31.0889482987867</v>
      </c>
      <c r="CM287" s="44" t="n">
        <f aca="false">CH287+MAX(0,MIN(1,1-(1-CJ287)*AQ287/AN287))*(CI287-CH287)</f>
        <v>29.1393983108268</v>
      </c>
      <c r="CN287" s="44" t="n">
        <f aca="false">CH287+MAX(0,MIN(1,1-(1-CJ287)*AP287/AN287))*(CI287-CH287)</f>
        <v>32.9103648124287</v>
      </c>
      <c r="CO287" s="44" t="n">
        <f aca="false">CL287-CG287</f>
        <v>-1.69819455835612</v>
      </c>
      <c r="CP287" s="44" t="n">
        <f aca="false">CL287-(CH287+CJ287*(CI287-CH287))</f>
        <v>0.634862841851721</v>
      </c>
      <c r="CQ287" s="46" t="n">
        <f aca="false">CL287/CG287</f>
        <v>0.948205472927137</v>
      </c>
      <c r="CR287" s="43" t="n">
        <f aca="false">IF(CL287-CH287&lt;=0,"n/a",(CI287-CL287)/(CL287-CH287))</f>
        <v>2.09505834057113</v>
      </c>
      <c r="CS287" s="43" t="n">
        <f aca="false">IF(CI287-CL287&lt;=0,"n/a",(CL287-CH287)/(CI287-CL287))</f>
        <v>0.47731367696777</v>
      </c>
      <c r="CT287" s="43" t="n">
        <f aca="false">Inputs_General!$C$23+Inputs_General!$C$24*$I287</f>
        <v>0.76</v>
      </c>
      <c r="CU287" s="44" t="n">
        <f aca="false">3.29*CT287</f>
        <v>2.5004</v>
      </c>
    </row>
    <row r="288" customFormat="false" ht="15" hidden="false" customHeight="false" outlineLevel="0" collapsed="false">
      <c r="A288" s="9" t="str">
        <f aca="false">B288&amp;"|"&amp;E288&amp;"|"&amp;F288</f>
        <v>D4V3|13/03/2026|Moderate</v>
      </c>
      <c r="B288" s="7" t="s">
        <v>354</v>
      </c>
      <c r="C288" s="9" t="s">
        <v>133</v>
      </c>
      <c r="D288" s="9" t="s">
        <v>150</v>
      </c>
      <c r="E288" s="9" t="s">
        <v>164</v>
      </c>
      <c r="F288" s="7" t="s">
        <v>281</v>
      </c>
      <c r="G288" s="9" t="s">
        <v>282</v>
      </c>
      <c r="H288" s="41" t="n">
        <f aca="false">INDEX(Severity_Classes!$C$4:$C$9,MATCH(F288,Severity_Classes!$A$4:$A$9,0))</f>
        <v>0.11</v>
      </c>
      <c r="I288" s="41" t="n">
        <f aca="false">INDEX(Severity_Classes!$D$4:$D$9,MATCH(F288,Severity_Classes!$A$4:$A$9,0))</f>
        <v>0.18</v>
      </c>
      <c r="J288" s="41" t="n">
        <f aca="false">INDEX(Severity_Classes!$E$4:$E$9,MATCH(F288,Severity_Classes!$A$4:$A$9,0))</f>
        <v>0.25</v>
      </c>
      <c r="K288" s="42" t="n">
        <f aca="false">MATCH(B288&amp;"|"&amp;E288,Context!$A$4:$A$51,0)</f>
        <v>48</v>
      </c>
      <c r="L288" s="42" t="n">
        <f aca="false">INDEX(Context!$H$4:$H$51,K288)</f>
        <v>63</v>
      </c>
      <c r="M288" s="42" t="n">
        <f aca="false">INDEX(Context!$I$4:$I$51,K288)</f>
        <v>36</v>
      </c>
      <c r="N288" s="9" t="str">
        <f aca="false">INDEX(Context!$L$4:$L$51,K288)</f>
        <v>F</v>
      </c>
      <c r="O288" s="9" t="str">
        <f aca="false">INDEX(Context!$M$4:$M$51,K288)</f>
        <v>5th fully expanded leaf from top</v>
      </c>
      <c r="P288" s="43" t="n">
        <f aca="false">INDEX(Context!$R$4:$R$51,K288)</f>
        <v>0.953571428571428</v>
      </c>
      <c r="Q288" s="43" t="n">
        <f aca="false">INDEX(Context!$U$4:$U$51,K288)</f>
        <v>2.18945736698217</v>
      </c>
      <c r="R288" s="43" t="n">
        <f aca="false">INDEX(Context!$AD$4:$AD$51,K288)</f>
        <v>0.85</v>
      </c>
      <c r="S288" s="9" t="str">
        <f aca="false">INDEX(Context!$AI$4:$AN$51,K288,MATCH(F288,Severity_Classes!$A$4:$A$9,0))</f>
        <v>Likely</v>
      </c>
      <c r="T288" s="44" t="n">
        <f aca="false">Parameters!$E$4*IF($N288="V",Parameters!$I$4,IF($N288="F",Parameters!$J$4,Parameters!$K$4))*(1-Parameters!$L$4*$P288)*IF($D288="V1",Parameters!$M$4,IF($D288="V2",Parameters!$N$4,Parameters!$O$4))</f>
        <v>81.0806464285714</v>
      </c>
      <c r="U288" s="44" t="n">
        <f aca="false">MIN(100,T288*(1+INDEX(Response_Table!$E$4:$E$21,MATCH($F288&amp;"|mid",Response_Table!$A$4:$A$21,0))*$R288*INDEX(Parameters!$X$4:$AA$4,1,MATCH($E288,Parameters!$X$3:$AA$3,0))))</f>
        <v>77.9455466698595</v>
      </c>
      <c r="V288" s="44" t="n">
        <f aca="false">MAX(0,MIN(T288*(1+INDEX(Response_Table!$E$4:$E$21,MATCH($F288&amp;"|low",Response_Table!$A$4:$A$21,0))*$R288*INDEX(Parameters!$X$4:$AA$4,1,MATCH($E288,Parameters!$X$3:$AA$3,0))),T288*(1+INDEX(Response_Table!$E$4:$E$21,MATCH($F288&amp;"|high",Response_Table!$A$4:$A$21,0))*$R288*INDEX(Parameters!$X$4:$AA$4,1,MATCH($E288,Parameters!$X$3:$AA$3,0))))*(1-Inputs_General!$C$22*Parameters!$F$4))</f>
        <v>70.6227815983141</v>
      </c>
      <c r="W288" s="44" t="n">
        <f aca="false">MIN(100,MAX(T288*(1+INDEX(Response_Table!$E$4:$E$21,MATCH($F288&amp;"|low",Response_Table!$A$4:$A$21,0))*$R288*INDEX(Parameters!$X$4:$AA$4,1,MATCH($E288,Parameters!$X$3:$AA$3,0))),T288*(1+INDEX(Response_Table!$E$4:$E$21,MATCH($F288&amp;"|high",Response_Table!$A$4:$A$21,0))*$R288*INDEX(Parameters!$X$4:$AA$4,1,MATCH($E288,Parameters!$X$3:$AA$3,0))))*(1+Inputs_General!$C$22*Parameters!$F$4))</f>
        <v>84.8393034718907</v>
      </c>
      <c r="X288" s="45" t="n">
        <f aca="false">IF(T288=0,0,U288/T288-1)</f>
        <v>-0.0386664376371718</v>
      </c>
      <c r="Y288" s="44" t="n">
        <f aca="false">Parameters!$E$5*IF($N288="V",Parameters!$I$5,IF($N288="F",Parameters!$J$5,Parameters!$K$5))*(1-Parameters!$L$5*$P288)*IF($D288="V1",Parameters!$M$5,IF($D288="V2",Parameters!$N$5,Parameters!$O$5))</f>
        <v>62.48592</v>
      </c>
      <c r="Z288" s="44" t="n">
        <f aca="false">MIN(100,Y288*(1+INDEX(Response_Table!$F$4:$F$21,MATCH($F288&amp;"|mid",Response_Table!$A$4:$A$21,0))*$R288*INDEX(Parameters!$X$5:$AA$5,1,MATCH($E288,Parameters!$X$3:$AA$3,0))))</f>
        <v>54.1397385554679</v>
      </c>
      <c r="AA288" s="44" t="n">
        <f aca="false">MAX(0,MIN(Y288*(1+INDEX(Response_Table!$F$4:$F$21,MATCH($F288&amp;"|low",Response_Table!$A$4:$A$21,0))*$R288*INDEX(Parameters!$X$5:$AA$5,1,MATCH($E288,Parameters!$X$3:$AA$3,0))),Y288*(1+INDEX(Response_Table!$F$4:$F$21,MATCH($F288&amp;"|high",Response_Table!$A$4:$A$21,0))*$R288*INDEX(Parameters!$X$5:$AA$5,1,MATCH($E288,Parameters!$X$3:$AA$3,0))))*(1-Inputs_General!$C$22*Parameters!$F$5))</f>
        <v>42.4398863124774</v>
      </c>
      <c r="AB288" s="44" t="n">
        <f aca="false">MIN(100,MAX(Y288*(1+INDEX(Response_Table!$F$4:$F$21,MATCH($F288&amp;"|low",Response_Table!$A$4:$A$21,0))*$R288*INDEX(Parameters!$X$5:$AA$5,1,MATCH($E288,Parameters!$X$3:$AA$3,0))),Y288*(1+INDEX(Response_Table!$F$4:$F$21,MATCH($F288&amp;"|high",Response_Table!$A$4:$A$21,0))*$R288*INDEX(Parameters!$X$5:$AA$5,1,MATCH($E288,Parameters!$X$3:$AA$3,0))))*(1+Inputs_General!$C$22*Parameters!$F$5))</f>
        <v>65.4087627105225</v>
      </c>
      <c r="AC288" s="45" t="n">
        <f aca="false">IF(Y288=0,0,Z288/Y288-1)</f>
        <v>-0.133568993535377</v>
      </c>
      <c r="AD288" s="44" t="n">
        <f aca="false">Parameters!$E$6*IF($N288="V",Parameters!$I$6,IF($N288="F",Parameters!$J$6,Parameters!$K$6))*(1-Parameters!$L$6*$P288)*IF($D288="V1",Parameters!$M$6,IF($D288="V2",Parameters!$N$6,Parameters!$O$6))</f>
        <v>17.3306328571429</v>
      </c>
      <c r="AE288" s="44" t="n">
        <f aca="false">AD288*(1+INDEX(Response_Table!$G$4:$G$21,MATCH($F288&amp;"|mid",Response_Table!$A$4:$A$21,0))*$R288*INDEX(Parameters!$X$6:$AA$6,1,MATCH($E288,Parameters!$X$3:$AA$3,0)))</f>
        <v>11.2865396948417</v>
      </c>
      <c r="AF288" s="44" t="n">
        <f aca="false">MAX(0,MIN(AD288*(1+INDEX(Response_Table!$G$4:$G$21,MATCH($F288&amp;"|low",Response_Table!$A$4:$A$21,0))*$R288*INDEX(Parameters!$X$6:$AA$6,1,MATCH($E288,Parameters!$X$3:$AA$3,0))),AD288*(1+INDEX(Response_Table!$G$4:$G$21,MATCH($F288&amp;"|high",Response_Table!$A$4:$A$21,0))*$R288*INDEX(Parameters!$X$6:$AA$6,1,MATCH($E288,Parameters!$X$3:$AA$3,0))))*(1-Inputs_General!$C$22*Parameters!$F$6))</f>
        <v>7.99390148189853</v>
      </c>
      <c r="AG288" s="44" t="n">
        <f aca="false">MAX(AD288*(1+INDEX(Response_Table!$G$4:$G$21,MATCH($F288&amp;"|low",Response_Table!$A$4:$A$21,0))*$R288*INDEX(Parameters!$X$6:$AA$6,1,MATCH($E288,Parameters!$X$3:$AA$3,0))),AD288*(1+INDEX(Response_Table!$G$4:$G$21,MATCH($F288&amp;"|high",Response_Table!$A$4:$A$21,0))*$R288*INDEX(Parameters!$X$6:$AA$6,1,MATCH($E288,Parameters!$X$3:$AA$3,0))))*(1+Inputs_General!$C$22*Parameters!$F$6)</f>
        <v>15.6758270896648</v>
      </c>
      <c r="AH288" s="45" t="n">
        <f aca="false">IF(AD288=0,0,AE288/AD288-1)</f>
        <v>-0.348752016854945</v>
      </c>
      <c r="AI288" s="46" t="n">
        <f aca="false">Parameters!$E$7*IF($N288="V",Parameters!$I$7,IF($N288="F",Parameters!$J$7,Parameters!$K$7))*(1-Parameters!$L$7*$P288)*IF($D288="V1",Parameters!$M$7,IF($D288="V2",Parameters!$N$7,Parameters!$O$7))*POWER($Q288/Inputs_General!$C$26,-Inputs_General!$C$25)</f>
        <v>0.304119499618928</v>
      </c>
      <c r="AJ288" s="46" t="n">
        <f aca="false">AI288*(1+INDEX(Response_Table!$H$4:$H$21,MATCH($F288&amp;"|mid",Response_Table!$A$4:$A$21,0))*$R288*INDEX(Parameters!$X$7:$AA$7,1,MATCH($E288,Parameters!$X$3:$AA$3,0)))</f>
        <v>0.23401034765044</v>
      </c>
      <c r="AK288" s="46" t="n">
        <f aca="false">MAX(0,MIN(AI288*(1+INDEX(Response_Table!$H$4:$H$21,MATCH($F288&amp;"|low",Response_Table!$A$4:$A$21,0))*$R288*INDEX(Parameters!$X$7:$AA$7,1,MATCH($E288,Parameters!$X$3:$AA$3,0))),AI288*(1+INDEX(Response_Table!$H$4:$H$21,MATCH($F288&amp;"|high",Response_Table!$A$4:$A$21,0))*$R288*INDEX(Parameters!$X$7:$AA$7,1,MATCH($E288,Parameters!$X$3:$AA$3,0))))*(1-Inputs_General!$C$22*Parameters!$F$7))</f>
        <v>0.151664651776109</v>
      </c>
      <c r="AL288" s="46" t="n">
        <f aca="false">MAX(AI288*(1+INDEX(Response_Table!$H$4:$H$21,MATCH($F288&amp;"|low",Response_Table!$A$4:$A$21,0))*$R288*INDEX(Parameters!$X$7:$AA$7,1,MATCH($E288,Parameters!$X$3:$AA$3,0))),AI288*(1+INDEX(Response_Table!$H$4:$H$21,MATCH($F288&amp;"|high",Response_Table!$A$4:$A$21,0))*$R288*INDEX(Parameters!$X$7:$AA$7,1,MATCH($E288,Parameters!$X$3:$AA$3,0))))*(1+Inputs_General!$C$22*Parameters!$F$7)</f>
        <v>0.332956907555311</v>
      </c>
      <c r="AM288" s="45" t="n">
        <f aca="false">IF(AI288=0,0,AJ288/AI288-1)</f>
        <v>-0.230531590563371</v>
      </c>
      <c r="AN288" s="43" t="n">
        <f aca="false">AI288*$Q288/Inputs_General!$C$13*1000</f>
        <v>6.70550532611877</v>
      </c>
      <c r="AO288" s="43" t="n">
        <f aca="false">AJ288*$Q288/Inputs_General!$C$13*1000*(1+Inputs_General!$C$21*$I288)</f>
        <v>5.39185987105654</v>
      </c>
      <c r="AP288" s="43" t="n">
        <f aca="false">AK288*$Q288/Inputs_General!$C$13*1000*(1+Inputs_General!$C$21*$H288)</f>
        <v>3.43600231211874</v>
      </c>
      <c r="AQ288" s="43" t="n">
        <f aca="false">AL288*$Q288/Inputs_General!$C$13*1000*(1+Inputs_General!$C$21*$J288)</f>
        <v>7.80017259585083</v>
      </c>
      <c r="AR288" s="45" t="n">
        <f aca="false">IF(AN288=0,0,AO288/AN288-1)</f>
        <v>-0.195905512138722</v>
      </c>
      <c r="AS288" s="42" t="n">
        <f aca="false">Parameters!$E$9*IF($N288="V",Parameters!$I$9,IF($N288="F",Parameters!$J$9,Parameters!$K$9))*(1-Parameters!$L$9*$P288)*IF($D288="V1",Parameters!$M$9,IF($D288="V2",Parameters!$N$9,Parameters!$O$9))</f>
        <v>285</v>
      </c>
      <c r="AT288" s="42" t="n">
        <f aca="false">AS288*(1+INDEX(Response_Table!$I$4:$I$21,MATCH($F288&amp;"|mid",Response_Table!$A$4:$A$21,0))*$R288*INDEX(Parameters!$X$9:$AA$9,1,MATCH($E288,Parameters!$X$3:$AA$3,0)))</f>
        <v>322.300279798109</v>
      </c>
      <c r="AU288" s="42" t="n">
        <f aca="false">MAX(0,MIN(AS288*(1+INDEX(Response_Table!$I$4:$I$21,MATCH($F288&amp;"|low",Response_Table!$A$4:$A$21,0))*$R288*INDEX(Parameters!$X$9:$AA$9,1,MATCH($E288,Parameters!$X$3:$AA$3,0))),AS288*(1+INDEX(Response_Table!$I$4:$I$21,MATCH($F288&amp;"|high",Response_Table!$A$4:$A$21,0))*$R288*INDEX(Parameters!$X$9:$AA$9,1,MATCH($E288,Parameters!$X$3:$AA$3,0))))*(1-Inputs_General!$C$22*Parameters!$F$9))</f>
        <v>280.186818337032</v>
      </c>
      <c r="AV288" s="42" t="n">
        <f aca="false">MAX(AS288*(1+INDEX(Response_Table!$I$4:$I$21,MATCH($F288&amp;"|low",Response_Table!$A$4:$A$21,0))*$R288*INDEX(Parameters!$X$9:$AA$9,1,MATCH($E288,Parameters!$X$3:$AA$3,0))),AS288*(1+INDEX(Response_Table!$I$4:$I$21,MATCH($F288&amp;"|high",Response_Table!$A$4:$A$21,0))*$R288*INDEX(Parameters!$X$9:$AA$9,1,MATCH($E288,Parameters!$X$3:$AA$3,0))))*(1+Inputs_General!$C$22*Parameters!$F$9)</f>
        <v>363.603076604055</v>
      </c>
      <c r="AW288" s="45" t="n">
        <f aca="false">IF(AS288=0,0,AT288/AS288-1)</f>
        <v>0.130878174730207</v>
      </c>
      <c r="AX288" s="43" t="n">
        <f aca="false">INDEX(Context!$AB$4:$AB$51,$K288)</f>
        <v>2.41688422790131</v>
      </c>
      <c r="AY288" s="43" t="n">
        <f aca="false">AX288*(1+INDEX(Response_Table!$J$4:$J$21,MATCH($F288&amp;"|mid",Response_Table!$A$4:$A$21,0))*$R288*INDEX(Parameters!$X$10:$AA$10,1,MATCH($E288,Parameters!$X$3:$AA$3,0)))</f>
        <v>2.08188659499617</v>
      </c>
      <c r="AZ288" s="43" t="n">
        <f aca="false">MAX(0,MIN(AX288*(1+INDEX(Response_Table!$J$4:$J$21,MATCH($F288&amp;"|low",Response_Table!$A$4:$A$21,0))*$R288*INDEX(Parameters!$X$10:$AA$10,1,MATCH($E288,Parameters!$X$3:$AA$3,0))),AX288*(1+INDEX(Response_Table!$J$4:$J$21,MATCH($F288&amp;"|high",Response_Table!$A$4:$A$21,0))*$R288*INDEX(Parameters!$X$10:$AA$10,1,MATCH($E288,Parameters!$X$3:$AA$3,0))))*(1-Inputs_General!$C$22*Parameters!$F$10))</f>
        <v>1.59496912670235</v>
      </c>
      <c r="BA288" s="43" t="n">
        <f aca="false">MAX(AX288*(1+INDEX(Response_Table!$J$4:$J$21,MATCH($F288&amp;"|low",Response_Table!$A$4:$A$21,0))*$R288*INDEX(Parameters!$X$10:$AA$10,1,MATCH($E288,Parameters!$X$3:$AA$3,0))),AX288*(1+INDEX(Response_Table!$J$4:$J$21,MATCH($F288&amp;"|high",Response_Table!$A$4:$A$21,0))*$R288*INDEX(Parameters!$X$10:$AA$10,1,MATCH($E288,Parameters!$X$3:$AA$3,0))))*(1+Inputs_General!$C$22*Parameters!$F$10)</f>
        <v>2.62783643327112</v>
      </c>
      <c r="BB288" s="45" t="n">
        <f aca="false">IF(AX288=0,0,AY288/AX288-1)</f>
        <v>-0.138607232004672</v>
      </c>
      <c r="BC288" s="46" t="n">
        <f aca="false">Parameters!$E$11*IF($N288="V",Parameters!$I$11,IF($N288="F",Parameters!$J$11,Parameters!$K$11))*(1-Parameters!$L$11*$P288)*IF($D288="V1",Parameters!$M$11,IF($D288="V2",Parameters!$N$11,Parameters!$O$11))</f>
        <v>1.21383660714286</v>
      </c>
      <c r="BD288" s="46" t="n">
        <f aca="false">BC288*(1+INDEX(Response_Table!$K$4:$K$21,MATCH($F288&amp;"|mid",Response_Table!$A$4:$A$21,0))*$R288*INDEX(Parameters!$X$11:$AA$11,1,MATCH($E288,Parameters!$X$3:$AA$3,0)))</f>
        <v>0.920189747517236</v>
      </c>
      <c r="BE288" s="46" t="n">
        <f aca="false">MAX(0,MIN(BC288*(1+INDEX(Response_Table!$K$4:$K$21,MATCH($F288&amp;"|low",Response_Table!$A$4:$A$21,0))*$R288*INDEX(Parameters!$X$11:$AA$11,1,MATCH($E288,Parameters!$X$3:$AA$3,0))),BC288*(1+INDEX(Response_Table!$K$4:$K$21,MATCH($F288&amp;"|high",Response_Table!$A$4:$A$21,0))*$R288*INDEX(Parameters!$X$11:$AA$11,1,MATCH($E288,Parameters!$X$3:$AA$3,0))))*(1-Inputs_General!$C$22*Parameters!$F$11))</f>
        <v>0.705606470519815</v>
      </c>
      <c r="BF288" s="46" t="n">
        <f aca="false">MAX(BC288*(1+INDEX(Response_Table!$K$4:$K$21,MATCH($F288&amp;"|low",Response_Table!$A$4:$A$21,0))*$R288*INDEX(Parameters!$X$11:$AA$11,1,MATCH($E288,Parameters!$X$3:$AA$3,0))),BC288*(1+INDEX(Response_Table!$K$4:$K$21,MATCH($F288&amp;"|high",Response_Table!$A$4:$A$21,0))*$R288*INDEX(Parameters!$X$11:$AA$11,1,MATCH($E288,Parameters!$X$3:$AA$3,0))))*(1+Inputs_General!$C$22*Parameters!$F$11)</f>
        <v>1.18178465721002</v>
      </c>
      <c r="BG288" s="45" t="n">
        <f aca="false">IF(BC288=0,0,BD288/BC288-1)</f>
        <v>-0.241916299028756</v>
      </c>
      <c r="BH288" s="46" t="n">
        <f aca="false">Parameters!$E$12*IF($N288="V",Parameters!$I$12,IF($N288="F",Parameters!$J$12,Parameters!$K$12))*(1-Parameters!$L$12*$P288)*IF($D288="V1",Parameters!$M$12,IF($D288="V2",Parameters!$N$12,Parameters!$O$12))</f>
        <v>0.436981178571429</v>
      </c>
      <c r="BI288" s="46" t="n">
        <f aca="false">BH288*(1+INDEX(Response_Table!$L$4:$L$21,MATCH($F288&amp;"|mid",Response_Table!$A$4:$A$21,0))*$R288*INDEX(Parameters!$X$12:$AA$12,1,MATCH($E288,Parameters!$X$3:$AA$3,0)))</f>
        <v>0.351741361066382</v>
      </c>
      <c r="BJ288" s="46" t="n">
        <f aca="false">MAX(0,MIN(BH288*(1+INDEX(Response_Table!$L$4:$L$21,MATCH($F288&amp;"|low",Response_Table!$A$4:$A$21,0))*$R288*INDEX(Parameters!$X$12:$AA$12,1,MATCH($E288,Parameters!$X$3:$AA$3,0))),BH288*(1+INDEX(Response_Table!$L$4:$L$21,MATCH($F288&amp;"|high",Response_Table!$A$4:$A$21,0))*$R288*INDEX(Parameters!$X$12:$AA$12,1,MATCH($E288,Parameters!$X$3:$AA$3,0))))*(1-Inputs_General!$C$22*Parameters!$F$12))</f>
        <v>0.264209199859222</v>
      </c>
      <c r="BK288" s="46" t="n">
        <f aca="false">MAX(BH288*(1+INDEX(Response_Table!$L$4:$L$21,MATCH($F288&amp;"|low",Response_Table!$A$4:$A$21,0))*$R288*INDEX(Parameters!$X$12:$AA$12,1,MATCH($E288,Parameters!$X$3:$AA$3,0))),BH288*(1+INDEX(Response_Table!$L$4:$L$21,MATCH($F288&amp;"|high",Response_Table!$A$4:$A$21,0))*$R288*INDEX(Parameters!$X$12:$AA$12,1,MATCH($E288,Parameters!$X$3:$AA$3,0))))*(1+Inputs_General!$C$22*Parameters!$F$12)</f>
        <v>0.454485710606478</v>
      </c>
      <c r="BL288" s="45" t="n">
        <f aca="false">IF(BH288=0,0,BI288/BH288-1)</f>
        <v>-0.19506519201516</v>
      </c>
      <c r="BM288" s="46" t="n">
        <f aca="false">Parameters!$E$13*IF($N288="V",Parameters!$I$13,IF($N288="F",Parameters!$J$13,Parameters!$K$13))*(1-Parameters!$L$13*$P288)*IF($D288="V1",Parameters!$M$13,IF($D288="V2",Parameters!$N$13,Parameters!$O$13))</f>
        <v>0.300160392857143</v>
      </c>
      <c r="BN288" s="46" t="n">
        <f aca="false">BM288*(1+INDEX(Response_Table!$M$4:$M$21,MATCH($F288&amp;"|mid",Response_Table!$A$4:$A$21,0))*$R288*INDEX(Parameters!$X$13:$AA$13,1,MATCH($E288,Parameters!$X$3:$AA$3,0)))</f>
        <v>0.278213186405209</v>
      </c>
      <c r="BO288" s="46" t="n">
        <f aca="false">MAX(0,MIN(BM288*(1+INDEX(Response_Table!$M$4:$M$21,MATCH($F288&amp;"|low",Response_Table!$A$4:$A$21,0))*$R288*INDEX(Parameters!$X$13:$AA$13,1,MATCH($E288,Parameters!$X$3:$AA$3,0))),BM288*(1+INDEX(Response_Table!$M$4:$M$21,MATCH($F288&amp;"|high",Response_Table!$A$4:$A$21,0))*$R288*INDEX(Parameters!$X$13:$AA$13,1,MATCH($E288,Parameters!$X$3:$AA$3,0))))*(1-Inputs_General!$C$22*Parameters!$F$13))</f>
        <v>0.20911354562687</v>
      </c>
      <c r="BP288" s="46" t="n">
        <f aca="false">MAX(BM288*(1+INDEX(Response_Table!$M$4:$M$21,MATCH($F288&amp;"|low",Response_Table!$A$4:$A$21,0))*$R288*INDEX(Parameters!$X$13:$AA$13,1,MATCH($E288,Parameters!$X$3:$AA$3,0))),BM288*(1+INDEX(Response_Table!$M$4:$M$21,MATCH($F288&amp;"|high",Response_Table!$A$4:$A$21,0))*$R288*INDEX(Parameters!$X$13:$AA$13,1,MATCH($E288,Parameters!$X$3:$AA$3,0))))*(1+Inputs_General!$C$22*Parameters!$F$13)</f>
        <v>0.355471592889445</v>
      </c>
      <c r="BQ288" s="45" t="n">
        <f aca="false">IF(BM288=0,0,BN288/BM288-1)</f>
        <v>-0.0731182626829088</v>
      </c>
      <c r="BR288" s="44" t="n">
        <f aca="false">Parameters!$E$14*IF($N288="V",Parameters!$I$14,IF($N288="F",Parameters!$J$14,Parameters!$K$14))*(1-Parameters!$L$14*$P288)*IF($D288="V1",Parameters!$M$14,IF($D288="V2",Parameters!$N$14,Parameters!$O$14))*INDEX(Context!$AC$4:$AC$51,$K288)</f>
        <v>15</v>
      </c>
      <c r="BS288" s="44" t="n">
        <f aca="false">BR288*(1+INDEX(Response_Table!$N$4:$N$21,MATCH($F288&amp;"|mid",Response_Table!$A$4:$A$21,0))*$R288*INDEX(Parameters!$X$14:$AA$14,1,MATCH($E288,Parameters!$X$3:$AA$3,0)))</f>
        <v>18.191975869339</v>
      </c>
      <c r="BT288" s="44" t="n">
        <f aca="false">MAX(0,MIN(BR288*(1+INDEX(Response_Table!$N$4:$N$21,MATCH($F288&amp;"|low",Response_Table!$A$4:$A$21,0))*$R288*INDEX(Parameters!$X$14:$AA$14,1,MATCH($E288,Parameters!$X$3:$AA$3,0))),BR288*(1+INDEX(Response_Table!$N$4:$N$21,MATCH($F288&amp;"|high",Response_Table!$A$4:$A$21,0))*$R288*INDEX(Parameters!$X$14:$AA$14,1,MATCH($E288,Parameters!$X$3:$AA$3,0))))*(1-Inputs_General!$C$22*Parameters!$F$14))</f>
        <v>8.68659323697798</v>
      </c>
      <c r="BU288" s="44" t="n">
        <f aca="false">MAX(BR288*(1+INDEX(Response_Table!$N$4:$N$21,MATCH($F288&amp;"|low",Response_Table!$A$4:$A$21,0))*$R288*INDEX(Parameters!$X$14:$AA$14,1,MATCH($E288,Parameters!$X$3:$AA$3,0))),BR288*(1+INDEX(Response_Table!$N$4:$N$21,MATCH($F288&amp;"|high",Response_Table!$A$4:$A$21,0))*$R288*INDEX(Parameters!$X$14:$AA$14,1,MATCH($E288,Parameters!$X$3:$AA$3,0))))*(1+Inputs_General!$C$22*Parameters!$F$14)</f>
        <v>28.4308572341319</v>
      </c>
      <c r="BV288" s="45" t="n">
        <f aca="false">IF(BR288=0,0,BS288/BR288-1)</f>
        <v>0.212798391289265</v>
      </c>
      <c r="BW288" s="43" t="n">
        <f aca="false">Parameters!$E$15*IF($N288="V",Parameters!$I$15,IF($N288="F",Parameters!$J$15,Parameters!$K$15))*(1-Parameters!$L$15*$P288)*IF($D288="V1",Parameters!$M$15,IF($D288="V2",Parameters!$N$15,Parameters!$O$15))</f>
        <v>9.42785714285714</v>
      </c>
      <c r="BX288" s="43" t="n">
        <f aca="false">BW288*(1+INDEX(Response_Table!$O$4:$O$21,MATCH($F288&amp;"|mid",Response_Table!$A$4:$A$21,0))*$R288*INDEX(Parameters!$X$15:$AA$15,1,MATCH($E288,Parameters!$X$3:$AA$3,0)))</f>
        <v>8.92629893453089</v>
      </c>
      <c r="BY288" s="43" t="n">
        <f aca="false">MAX(0,MIN(BW288*(1+INDEX(Response_Table!$O$4:$O$21,MATCH($F288&amp;"|low",Response_Table!$A$4:$A$21,0))*$R288*INDEX(Parameters!$X$15:$AA$15,1,MATCH($E288,Parameters!$X$3:$AA$3,0))),BW288*(1+INDEX(Response_Table!$O$4:$O$21,MATCH($F288&amp;"|high",Response_Table!$A$4:$A$21,0))*$R288*INDEX(Parameters!$X$15:$AA$15,1,MATCH($E288,Parameters!$X$3:$AA$3,0))))*(1-Inputs_General!$C$22*Parameters!$F$15))</f>
        <v>7.0577549297815</v>
      </c>
      <c r="BZ288" s="43" t="n">
        <f aca="false">MAX(BW288*(1+INDEX(Response_Table!$O$4:$O$21,MATCH($F288&amp;"|low",Response_Table!$A$4:$A$21,0))*$R288*INDEX(Parameters!$X$15:$AA$15,1,MATCH($E288,Parameters!$X$3:$AA$3,0))),BW288*(1+INDEX(Response_Table!$O$4:$O$21,MATCH($F288&amp;"|high",Response_Table!$A$4:$A$21,0))*$R288*INDEX(Parameters!$X$15:$AA$15,1,MATCH($E288,Parameters!$X$3:$AA$3,0))))*(1+Inputs_General!$C$22*Parameters!$F$15)</f>
        <v>10.8843527264703</v>
      </c>
      <c r="CA288" s="45" t="n">
        <f aca="false">IF(BW288=0,0,BX288/BW288-1)</f>
        <v>-0.0531995978223162</v>
      </c>
      <c r="CB288" s="46" t="n">
        <f aca="false">BD288+BI288</f>
        <v>1.27193110858362</v>
      </c>
      <c r="CC288" s="43" t="n">
        <f aca="false">BD288/BI288</f>
        <v>2.6160976483615</v>
      </c>
      <c r="CD288" s="46" t="n">
        <f aca="false">BN288/CB288</f>
        <v>0.218732905050981</v>
      </c>
      <c r="CE288" s="43" t="n">
        <f aca="false">AE288/AO288</f>
        <v>2.09325538214147</v>
      </c>
      <c r="CF288" s="44" t="n">
        <f aca="false">AE288/AJ288</f>
        <v>48.2309428115602</v>
      </c>
      <c r="CG288" s="44" t="n">
        <f aca="false">INDEX(Context!$V$4:$V$51,$K288)</f>
        <v>32.7871428571429</v>
      </c>
      <c r="CH288" s="44" t="n">
        <f aca="false">INDEX(Context!$Y$4:$Y$51,$K288)</f>
        <v>28.36912210206</v>
      </c>
      <c r="CI288" s="44" t="n">
        <f aca="false">INDEX(Context!$Z$4:$Z$51,$K288)</f>
        <v>36.7871428571429</v>
      </c>
      <c r="CJ288" s="43" t="n">
        <f aca="false">INDEX(Context!$AA$4:$AA$51,$K288)</f>
        <v>0.247678571428571</v>
      </c>
      <c r="CK288" s="43" t="n">
        <f aca="false">MAX(0,MIN(1,1-(1-CJ288)*AO288/AN288))</f>
        <v>0.395062486185792</v>
      </c>
      <c r="CL288" s="44" t="n">
        <f aca="false">CH288+CK288*(CI288-CH288)</f>
        <v>31.6947663103267</v>
      </c>
      <c r="CM288" s="44" t="n">
        <f aca="false">CH288+MAX(0,MIN(1,1-(1-CJ288)*AQ288/AN288))*(CI288-CH288)</f>
        <v>29.4202199514766</v>
      </c>
      <c r="CN288" s="44" t="n">
        <f aca="false">CH288+MAX(0,MIN(1,1-(1-CJ288)*AP288/AN288))*(CI288-CH288)</f>
        <v>33.5419884934388</v>
      </c>
      <c r="CO288" s="44" t="n">
        <f aca="false">CL288-CG288</f>
        <v>-1.0923765468162</v>
      </c>
      <c r="CP288" s="44" t="n">
        <f aca="false">CL288-(CH288+CJ288*(CI288-CH288))</f>
        <v>1.24068085339164</v>
      </c>
      <c r="CQ288" s="46" t="n">
        <f aca="false">CL288/CG288</f>
        <v>0.966682777100286</v>
      </c>
      <c r="CR288" s="43" t="n">
        <f aca="false">IF(CL288-CH288&lt;=0,"n/a",(CI288-CL288)/(CL288-CH288))</f>
        <v>1.53124514467241</v>
      </c>
      <c r="CS288" s="43" t="n">
        <f aca="false">IF(CI288-CL288&lt;=0,"n/a",(CL288-CH288)/(CI288-CL288))</f>
        <v>0.653063295239989</v>
      </c>
      <c r="CT288" s="43" t="n">
        <f aca="false">Inputs_General!$C$23+Inputs_General!$C$24*$I288</f>
        <v>0.96</v>
      </c>
      <c r="CU288" s="44" t="n">
        <f aca="false">3.29*CT288</f>
        <v>3.1584</v>
      </c>
    </row>
    <row r="289" customFormat="false" ht="15" hidden="false" customHeight="false" outlineLevel="0" collapsed="false">
      <c r="A289" s="9" t="str">
        <f aca="false">B289&amp;"|"&amp;E289&amp;"|"&amp;F289</f>
        <v>D4V3|13/03/2026|High</v>
      </c>
      <c r="B289" s="7" t="s">
        <v>354</v>
      </c>
      <c r="C289" s="9" t="s">
        <v>133</v>
      </c>
      <c r="D289" s="9" t="s">
        <v>150</v>
      </c>
      <c r="E289" s="9" t="s">
        <v>164</v>
      </c>
      <c r="F289" s="7" t="s">
        <v>283</v>
      </c>
      <c r="G289" s="9" t="s">
        <v>284</v>
      </c>
      <c r="H289" s="41" t="n">
        <f aca="false">INDEX(Severity_Classes!$C$4:$C$9,MATCH(F289,Severity_Classes!$A$4:$A$9,0))</f>
        <v>0.26</v>
      </c>
      <c r="I289" s="41" t="n">
        <f aca="false">INDEX(Severity_Classes!$D$4:$D$9,MATCH(F289,Severity_Classes!$A$4:$A$9,0))</f>
        <v>0.38</v>
      </c>
      <c r="J289" s="41" t="n">
        <f aca="false">INDEX(Severity_Classes!$E$4:$E$9,MATCH(F289,Severity_Classes!$A$4:$A$9,0))</f>
        <v>0.5</v>
      </c>
      <c r="K289" s="42" t="n">
        <f aca="false">MATCH(B289&amp;"|"&amp;E289,Context!$A$4:$A$51,0)</f>
        <v>48</v>
      </c>
      <c r="L289" s="42" t="n">
        <f aca="false">INDEX(Context!$H$4:$H$51,K289)</f>
        <v>63</v>
      </c>
      <c r="M289" s="42" t="n">
        <f aca="false">INDEX(Context!$I$4:$I$51,K289)</f>
        <v>36</v>
      </c>
      <c r="N289" s="9" t="str">
        <f aca="false">INDEX(Context!$L$4:$L$51,K289)</f>
        <v>F</v>
      </c>
      <c r="O289" s="9" t="str">
        <f aca="false">INDEX(Context!$M$4:$M$51,K289)</f>
        <v>5th fully expanded leaf from top</v>
      </c>
      <c r="P289" s="43" t="n">
        <f aca="false">INDEX(Context!$R$4:$R$51,K289)</f>
        <v>0.953571428571428</v>
      </c>
      <c r="Q289" s="43" t="n">
        <f aca="false">INDEX(Context!$U$4:$U$51,K289)</f>
        <v>2.18945736698217</v>
      </c>
      <c r="R289" s="43" t="n">
        <f aca="false">INDEX(Context!$AD$4:$AD$51,K289)</f>
        <v>0.85</v>
      </c>
      <c r="S289" s="9" t="str">
        <f aca="false">INDEX(Context!$AI$4:$AN$51,K289,MATCH(F289,Severity_Classes!$A$4:$A$9,0))</f>
        <v>Likely</v>
      </c>
      <c r="T289" s="44" t="n">
        <f aca="false">Parameters!$E$4*IF($N289="V",Parameters!$I$4,IF($N289="F",Parameters!$J$4,Parameters!$K$4))*(1-Parameters!$L$4*$P289)*IF($D289="V1",Parameters!$M$4,IF($D289="V2",Parameters!$N$4,Parameters!$O$4))</f>
        <v>81.0806464285714</v>
      </c>
      <c r="U289" s="44" t="n">
        <f aca="false">MIN(100,T289*(1+INDEX(Response_Table!$E$4:$E$21,MATCH($F289&amp;"|mid",Response_Table!$A$4:$A$21,0))*$R289*INDEX(Parameters!$X$4:$AA$4,1,MATCH($E289,Parameters!$X$3:$AA$3,0))))</f>
        <v>69.9471809732451</v>
      </c>
      <c r="V289" s="44" t="n">
        <f aca="false">MAX(0,MIN(T289*(1+INDEX(Response_Table!$E$4:$E$21,MATCH($F289&amp;"|low",Response_Table!$A$4:$A$21,0))*$R289*INDEX(Parameters!$X$4:$AA$4,1,MATCH($E289,Parameters!$X$3:$AA$3,0))),T289*(1+INDEX(Response_Table!$E$4:$E$21,MATCH($F289&amp;"|high",Response_Table!$A$4:$A$21,0))*$R289*INDEX(Parameters!$X$4:$AA$4,1,MATCH($E289,Parameters!$X$3:$AA$3,0))))*(1-Inputs_General!$C$22*Parameters!$F$4))</f>
        <v>60.9646746840973</v>
      </c>
      <c r="W289" s="44" t="n">
        <f aca="false">MIN(100,MAX(T289*(1+INDEX(Response_Table!$E$4:$E$21,MATCH($F289&amp;"|low",Response_Table!$A$4:$A$21,0))*$R289*INDEX(Parameters!$X$4:$AA$4,1,MATCH($E289,Parameters!$X$3:$AA$3,0))),T289*(1+INDEX(Response_Table!$E$4:$E$21,MATCH($F289&amp;"|high",Response_Table!$A$4:$A$21,0))*$R289*INDEX(Parameters!$X$4:$AA$4,1,MATCH($E289,Parameters!$X$3:$AA$3,0))))*(1+Inputs_General!$C$22*Parameters!$F$4))</f>
        <v>80.1560172345556</v>
      </c>
      <c r="X289" s="45" t="n">
        <f aca="false">IF(T289=0,0,U289/T289-1)</f>
        <v>-0.137313476714008</v>
      </c>
      <c r="Y289" s="44" t="n">
        <f aca="false">Parameters!$E$5*IF($N289="V",Parameters!$I$5,IF($N289="F",Parameters!$J$5,Parameters!$K$5))*(1-Parameters!$L$5*$P289)*IF($D289="V1",Parameters!$M$5,IF($D289="V2",Parameters!$N$5,Parameters!$O$5))</f>
        <v>62.48592</v>
      </c>
      <c r="Z289" s="44" t="n">
        <f aca="false">MIN(100,Y289*(1+INDEX(Response_Table!$F$4:$F$21,MATCH($F289&amp;"|mid",Response_Table!$A$4:$A$21,0))*$R289*INDEX(Parameters!$X$5:$AA$5,1,MATCH($E289,Parameters!$X$3:$AA$3,0))))</f>
        <v>35.9138438060267</v>
      </c>
      <c r="AA289" s="44" t="n">
        <f aca="false">MAX(0,MIN(Y289*(1+INDEX(Response_Table!$F$4:$F$21,MATCH($F289&amp;"|low",Response_Table!$A$4:$A$21,0))*$R289*INDEX(Parameters!$X$5:$AA$5,1,MATCH($E289,Parameters!$X$3:$AA$3,0))),Y289*(1+INDEX(Response_Table!$F$4:$F$21,MATCH($F289&amp;"|high",Response_Table!$A$4:$A$21,0))*$R289*INDEX(Parameters!$X$5:$AA$5,1,MATCH($E289,Parameters!$X$3:$AA$3,0))))*(1-Inputs_General!$C$22*Parameters!$F$5))</f>
        <v>25.8738595717149</v>
      </c>
      <c r="AB289" s="44" t="n">
        <f aca="false">MIN(100,MAX(Y289*(1+INDEX(Response_Table!$F$4:$F$21,MATCH($F289&amp;"|low",Response_Table!$A$4:$A$21,0))*$R289*INDEX(Parameters!$X$5:$AA$5,1,MATCH($E289,Parameters!$X$3:$AA$3,0))),Y289*(1+INDEX(Response_Table!$F$4:$F$21,MATCH($F289&amp;"|high",Response_Table!$A$4:$A$21,0))*$R289*INDEX(Parameters!$X$5:$AA$5,1,MATCH($E289,Parameters!$X$3:$AA$3,0))))*(1+Inputs_General!$C$22*Parameters!$F$5))</f>
        <v>52.4034002218868</v>
      </c>
      <c r="AC289" s="45" t="n">
        <f aca="false">IF(Y289=0,0,Z289/Y289-1)</f>
        <v>-0.425249019202618</v>
      </c>
      <c r="AD289" s="44" t="n">
        <f aca="false">Parameters!$E$6*IF($N289="V",Parameters!$I$6,IF($N289="F",Parameters!$J$6,Parameters!$K$6))*(1-Parameters!$L$6*$P289)*IF($D289="V1",Parameters!$M$6,IF($D289="V2",Parameters!$N$6,Parameters!$O$6))</f>
        <v>17.3306328571429</v>
      </c>
      <c r="AE289" s="44" t="n">
        <f aca="false">AD289*(1+INDEX(Response_Table!$G$4:$G$21,MATCH($F289&amp;"|mid",Response_Table!$A$4:$A$21,0))*$R289*INDEX(Parameters!$X$6:$AA$6,1,MATCH($E289,Parameters!$X$3:$AA$3,0)))</f>
        <v>8.35800495345878</v>
      </c>
      <c r="AF289" s="44" t="n">
        <f aca="false">MAX(0,MIN(AD289*(1+INDEX(Response_Table!$G$4:$G$21,MATCH($F289&amp;"|low",Response_Table!$A$4:$A$21,0))*$R289*INDEX(Parameters!$X$6:$AA$6,1,MATCH($E289,Parameters!$X$3:$AA$3,0))),AD289*(1+INDEX(Response_Table!$G$4:$G$21,MATCH($F289&amp;"|high",Response_Table!$A$4:$A$21,0))*$R289*INDEX(Parameters!$X$6:$AA$6,1,MATCH($E289,Parameters!$X$3:$AA$3,0))))*(1-Inputs_General!$C$22*Parameters!$F$6))</f>
        <v>6.02474784588437</v>
      </c>
      <c r="AG289" s="44" t="n">
        <f aca="false">MAX(AD289*(1+INDEX(Response_Table!$G$4:$G$21,MATCH($F289&amp;"|low",Response_Table!$A$4:$A$21,0))*$R289*INDEX(Parameters!$X$6:$AA$6,1,MATCH($E289,Parameters!$X$3:$AA$3,0))),AD289*(1+INDEX(Response_Table!$G$4:$G$21,MATCH($F289&amp;"|high",Response_Table!$A$4:$A$21,0))*$R289*INDEX(Parameters!$X$6:$AA$6,1,MATCH($E289,Parameters!$X$3:$AA$3,0))))*(1+Inputs_General!$C$22*Parameters!$F$6)</f>
        <v>11.7365537213091</v>
      </c>
      <c r="AH289" s="45" t="n">
        <f aca="false">IF(AD289=0,0,AE289/AD289-1)</f>
        <v>-0.51773227080891</v>
      </c>
      <c r="AI289" s="46" t="n">
        <f aca="false">Parameters!$E$7*IF($N289="V",Parameters!$I$7,IF($N289="F",Parameters!$J$7,Parameters!$K$7))*(1-Parameters!$L$7*$P289)*IF($D289="V1",Parameters!$M$7,IF($D289="V2",Parameters!$N$7,Parameters!$O$7))*POWER($Q289/Inputs_General!$C$26,-Inputs_General!$C$25)</f>
        <v>0.304119499618928</v>
      </c>
      <c r="AJ289" s="46" t="n">
        <f aca="false">AI289*(1+INDEX(Response_Table!$H$4:$H$21,MATCH($F289&amp;"|mid",Response_Table!$A$4:$A$21,0))*$R289*INDEX(Parameters!$X$7:$AA$7,1,MATCH($E289,Parameters!$X$3:$AA$3,0)))</f>
        <v>0.189831394567543</v>
      </c>
      <c r="AK289" s="46" t="n">
        <f aca="false">MAX(0,MIN(AI289*(1+INDEX(Response_Table!$H$4:$H$21,MATCH($F289&amp;"|low",Response_Table!$A$4:$A$21,0))*$R289*INDEX(Parameters!$X$7:$AA$7,1,MATCH($E289,Parameters!$X$3:$AA$3,0))),AI289*(1+INDEX(Response_Table!$H$4:$H$21,MATCH($F289&amp;"|high",Response_Table!$A$4:$A$21,0))*$R289*INDEX(Parameters!$X$7:$AA$7,1,MATCH($E289,Parameters!$X$3:$AA$3,0))))*(1-Inputs_General!$C$22*Parameters!$F$7))</f>
        <v>0.122186586818175</v>
      </c>
      <c r="AL289" s="46" t="n">
        <f aca="false">MAX(AI289*(1+INDEX(Response_Table!$H$4:$H$21,MATCH($F289&amp;"|low",Response_Table!$A$4:$A$21,0))*$R289*INDEX(Parameters!$X$7:$AA$7,1,MATCH($E289,Parameters!$X$3:$AA$3,0))),AI289*(1+INDEX(Response_Table!$H$4:$H$21,MATCH($F289&amp;"|high",Response_Table!$A$4:$A$21,0))*$R289*INDEX(Parameters!$X$7:$AA$7,1,MATCH($E289,Parameters!$X$3:$AA$3,0))))*(1+Inputs_General!$C$22*Parameters!$F$7)</f>
        <v>0.276221741223602</v>
      </c>
      <c r="AM289" s="45" t="n">
        <f aca="false">IF(AI289=0,0,AJ289/AI289-1)</f>
        <v>-0.375799990446492</v>
      </c>
      <c r="AN289" s="43" t="n">
        <f aca="false">AI289*$Q289/Inputs_General!$C$13*1000</f>
        <v>6.70550532611877</v>
      </c>
      <c r="AO289" s="43" t="n">
        <f aca="false">AJ289*$Q289/Inputs_General!$C$13*1000*(1+Inputs_General!$C$21*$I289)</f>
        <v>4.58320625504376</v>
      </c>
      <c r="AP289" s="43" t="n">
        <f aca="false">AK289*$Q289/Inputs_General!$C$13*1000*(1+Inputs_General!$C$21*$H289)</f>
        <v>2.8691971160933</v>
      </c>
      <c r="AQ289" s="43" t="n">
        <f aca="false">AL289*$Q289/Inputs_General!$C$13*1000*(1+Inputs_General!$C$21*$J289)</f>
        <v>6.85168874141984</v>
      </c>
      <c r="AR289" s="45" t="n">
        <f aca="false">IF(AN289=0,0,AO289/AN289-1)</f>
        <v>-0.316500989538909</v>
      </c>
      <c r="AS289" s="42" t="n">
        <f aca="false">Parameters!$E$9*IF($N289="V",Parameters!$I$9,IF($N289="F",Parameters!$J$9,Parameters!$K$9))*(1-Parameters!$L$9*$P289)*IF($D289="V1",Parameters!$M$9,IF($D289="V2",Parameters!$N$9,Parameters!$O$9))</f>
        <v>285</v>
      </c>
      <c r="AT289" s="42" t="n">
        <f aca="false">AS289*(1+INDEX(Response_Table!$I$4:$I$21,MATCH($F289&amp;"|mid",Response_Table!$A$4:$A$21,0))*$R289*INDEX(Parameters!$X$9:$AA$9,1,MATCH($E289,Parameters!$X$3:$AA$3,0)))</f>
        <v>341.780113615748</v>
      </c>
      <c r="AU289" s="42" t="n">
        <f aca="false">MAX(0,MIN(AS289*(1+INDEX(Response_Table!$I$4:$I$21,MATCH($F289&amp;"|low",Response_Table!$A$4:$A$21,0))*$R289*INDEX(Parameters!$X$9:$AA$9,1,MATCH($E289,Parameters!$X$3:$AA$3,0))),AS289*(1+INDEX(Response_Table!$I$4:$I$21,MATCH($F289&amp;"|high",Response_Table!$A$4:$A$21,0))*$R289*INDEX(Parameters!$X$9:$AA$9,1,MATCH($E289,Parameters!$X$3:$AA$3,0))))*(1-Inputs_General!$C$22*Parameters!$F$9))</f>
        <v>299.220496875066</v>
      </c>
      <c r="AV289" s="42" t="n">
        <f aca="false">MAX(AS289*(1+INDEX(Response_Table!$I$4:$I$21,MATCH($F289&amp;"|low",Response_Table!$A$4:$A$21,0))*$R289*INDEX(Parameters!$X$9:$AA$9,1,MATCH($E289,Parameters!$X$3:$AA$3,0))),AS289*(1+INDEX(Response_Table!$I$4:$I$21,MATCH($F289&amp;"|high",Response_Table!$A$4:$A$21,0))*$R289*INDEX(Parameters!$X$9:$AA$9,1,MATCH($E289,Parameters!$X$3:$AA$3,0))))*(1+Inputs_General!$C$22*Parameters!$F$9)</f>
        <v>382.171267759079</v>
      </c>
      <c r="AW289" s="45" t="n">
        <f aca="false">IF(AS289=0,0,AT289/AS289-1)</f>
        <v>0.199228468827185</v>
      </c>
      <c r="AX289" s="43" t="n">
        <f aca="false">INDEX(Context!$AB$4:$AB$51,$K289)</f>
        <v>2.41688422790131</v>
      </c>
      <c r="AY289" s="43" t="n">
        <f aca="false">AX289*(1+INDEX(Response_Table!$J$4:$J$21,MATCH($F289&amp;"|mid",Response_Table!$A$4:$A$21,0))*$R289*INDEX(Parameters!$X$10:$AA$10,1,MATCH($E289,Parameters!$X$3:$AA$3,0)))</f>
        <v>1.84995192777918</v>
      </c>
      <c r="AZ289" s="43" t="n">
        <f aca="false">MAX(0,MIN(AX289*(1+INDEX(Response_Table!$J$4:$J$21,MATCH($F289&amp;"|low",Response_Table!$A$4:$A$21,0))*$R289*INDEX(Parameters!$X$10:$AA$10,1,MATCH($E289,Parameters!$X$3:$AA$3,0))),AX289*(1+INDEX(Response_Table!$J$4:$J$21,MATCH($F289&amp;"|high",Response_Table!$A$4:$A$21,0))*$R289*INDEX(Parameters!$X$10:$AA$10,1,MATCH($E289,Parameters!$X$3:$AA$3,0))))*(1-Inputs_General!$C$22*Parameters!$F$10))</f>
        <v>1.41039912764014</v>
      </c>
      <c r="BA289" s="43" t="n">
        <f aca="false">MAX(AX289*(1+INDEX(Response_Table!$J$4:$J$21,MATCH($F289&amp;"|low",Response_Table!$A$4:$A$21,0))*$R289*INDEX(Parameters!$X$10:$AA$10,1,MATCH($E289,Parameters!$X$3:$AA$3,0))),AX289*(1+INDEX(Response_Table!$J$4:$J$21,MATCH($F289&amp;"|high",Response_Table!$A$4:$A$21,0))*$R289*INDEX(Parameters!$X$10:$AA$10,1,MATCH($E289,Parameters!$X$3:$AA$3,0))))*(1+Inputs_General!$C$22*Parameters!$F$10)</f>
        <v>2.36490753020616</v>
      </c>
      <c r="BB289" s="45" t="n">
        <f aca="false">IF(AX289=0,0,AY289/AX289-1)</f>
        <v>-0.234571558528653</v>
      </c>
      <c r="BC289" s="46" t="n">
        <f aca="false">Parameters!$E$11*IF($N289="V",Parameters!$I$11,IF($N289="F",Parameters!$J$11,Parameters!$K$11))*(1-Parameters!$L$11*$P289)*IF($D289="V1",Parameters!$M$11,IF($D289="V2",Parameters!$N$11,Parameters!$O$11))</f>
        <v>1.21383660714286</v>
      </c>
      <c r="BD289" s="46" t="n">
        <f aca="false">BC289*(1+INDEX(Response_Table!$K$4:$K$21,MATCH($F289&amp;"|mid",Response_Table!$A$4:$A$21,0))*$R289*INDEX(Parameters!$X$11:$AA$11,1,MATCH($E289,Parameters!$X$3:$AA$3,0)))</f>
        <v>0.741980000224138</v>
      </c>
      <c r="BE289" s="46" t="n">
        <f aca="false">MAX(0,MIN(BC289*(1+INDEX(Response_Table!$K$4:$K$21,MATCH($F289&amp;"|low",Response_Table!$A$4:$A$21,0))*$R289*INDEX(Parameters!$X$11:$AA$11,1,MATCH($E289,Parameters!$X$3:$AA$3,0))),BC289*(1+INDEX(Response_Table!$K$4:$K$21,MATCH($F289&amp;"|high",Response_Table!$A$4:$A$21,0))*$R289*INDEX(Parameters!$X$11:$AA$11,1,MATCH($E289,Parameters!$X$3:$AA$3,0))))*(1-Inputs_General!$C$22*Parameters!$F$11))</f>
        <v>0.566964214698867</v>
      </c>
      <c r="BF289" s="46" t="n">
        <f aca="false">MAX(BC289*(1+INDEX(Response_Table!$K$4:$K$21,MATCH($F289&amp;"|low",Response_Table!$A$4:$A$21,0))*$R289*INDEX(Parameters!$X$11:$AA$11,1,MATCH($E289,Parameters!$X$3:$AA$3,0))),BC289*(1+INDEX(Response_Table!$K$4:$K$21,MATCH($F289&amp;"|high",Response_Table!$A$4:$A$21,0))*$R289*INDEX(Parameters!$X$11:$AA$11,1,MATCH($E289,Parameters!$X$3:$AA$3,0))))*(1+Inputs_General!$C$22*Parameters!$F$11)</f>
        <v>0.972406119940152</v>
      </c>
      <c r="BG289" s="45" t="n">
        <f aca="false">IF(BC289=0,0,BD289/BC289-1)</f>
        <v>-0.388731567446611</v>
      </c>
      <c r="BH289" s="46" t="n">
        <f aca="false">Parameters!$E$12*IF($N289="V",Parameters!$I$12,IF($N289="F",Parameters!$J$12,Parameters!$K$12))*(1-Parameters!$L$12*$P289)*IF($D289="V1",Parameters!$M$12,IF($D289="V2",Parameters!$N$12,Parameters!$O$12))</f>
        <v>0.436981178571429</v>
      </c>
      <c r="BI289" s="46" t="n">
        <f aca="false">BH289*(1+INDEX(Response_Table!$L$4:$L$21,MATCH($F289&amp;"|mid",Response_Table!$A$4:$A$21,0))*$R289*INDEX(Parameters!$X$12:$AA$12,1,MATCH($E289,Parameters!$X$3:$AA$3,0)))</f>
        <v>0.298027890105518</v>
      </c>
      <c r="BJ289" s="46" t="n">
        <f aca="false">MAX(0,MIN(BH289*(1+INDEX(Response_Table!$L$4:$L$21,MATCH($F289&amp;"|low",Response_Table!$A$4:$A$21,0))*$R289*INDEX(Parameters!$X$12:$AA$12,1,MATCH($E289,Parameters!$X$3:$AA$3,0))),BH289*(1+INDEX(Response_Table!$L$4:$L$21,MATCH($F289&amp;"|high",Response_Table!$A$4:$A$21,0))*$R289*INDEX(Parameters!$X$12:$AA$12,1,MATCH($E289,Parameters!$X$3:$AA$3,0))))*(1-Inputs_General!$C$22*Parameters!$F$12))</f>
        <v>0.223343874689962</v>
      </c>
      <c r="BK289" s="46" t="n">
        <f aca="false">MAX(BH289*(1+INDEX(Response_Table!$L$4:$L$21,MATCH($F289&amp;"|low",Response_Table!$A$4:$A$21,0))*$R289*INDEX(Parameters!$X$12:$AA$12,1,MATCH($E289,Parameters!$X$3:$AA$3,0))),BH289*(1+INDEX(Response_Table!$L$4:$L$21,MATCH($F289&amp;"|high",Response_Table!$A$4:$A$21,0))*$R289*INDEX(Parameters!$X$12:$AA$12,1,MATCH($E289,Parameters!$X$3:$AA$3,0))))*(1+Inputs_General!$C$22*Parameters!$F$12)</f>
        <v>0.390759092313463</v>
      </c>
      <c r="BL289" s="45" t="n">
        <f aca="false">IF(BH289=0,0,BI289/BH289-1)</f>
        <v>-0.317984607300878</v>
      </c>
      <c r="BM289" s="46" t="n">
        <f aca="false">Parameters!$E$13*IF($N289="V",Parameters!$I$13,IF($N289="F",Parameters!$J$13,Parameters!$K$13))*(1-Parameters!$L$13*$P289)*IF($D289="V1",Parameters!$M$13,IF($D289="V2",Parameters!$N$13,Parameters!$O$13))</f>
        <v>0.300160392857143</v>
      </c>
      <c r="BN289" s="46" t="n">
        <f aca="false">BM289*(1+INDEX(Response_Table!$M$4:$M$21,MATCH($F289&amp;"|mid",Response_Table!$A$4:$A$21,0))*$R289*INDEX(Parameters!$X$13:$AA$13,1,MATCH($E289,Parameters!$X$3:$AA$3,0)))</f>
        <v>0.23664048583323</v>
      </c>
      <c r="BO289" s="46" t="n">
        <f aca="false">MAX(0,MIN(BM289*(1+INDEX(Response_Table!$M$4:$M$21,MATCH($F289&amp;"|low",Response_Table!$A$4:$A$21,0))*$R289*INDEX(Parameters!$X$13:$AA$13,1,MATCH($E289,Parameters!$X$3:$AA$3,0))),BM289*(1+INDEX(Response_Table!$M$4:$M$21,MATCH($F289&amp;"|high",Response_Table!$A$4:$A$21,0))*$R289*INDEX(Parameters!$X$13:$AA$13,1,MATCH($E289,Parameters!$X$3:$AA$3,0))))*(1-Inputs_General!$C$22*Parameters!$F$13))</f>
        <v>0.179151392818238</v>
      </c>
      <c r="BP289" s="46" t="n">
        <f aca="false">MAX(BM289*(1+INDEX(Response_Table!$M$4:$M$21,MATCH($F289&amp;"|low",Response_Table!$A$4:$A$21,0))*$R289*INDEX(Parameters!$X$13:$AA$13,1,MATCH($E289,Parameters!$X$3:$AA$3,0))),BM289*(1+INDEX(Response_Table!$M$4:$M$21,MATCH($F289&amp;"|high",Response_Table!$A$4:$A$21,0))*$R289*INDEX(Parameters!$X$13:$AA$13,1,MATCH($E289,Parameters!$X$3:$AA$3,0))))*(1+Inputs_General!$C$22*Parameters!$F$13)</f>
        <v>0.309265868993018</v>
      </c>
      <c r="BQ289" s="45" t="n">
        <f aca="false">IF(BM289=0,0,BN289/BM289-1)</f>
        <v>-0.211619882354511</v>
      </c>
      <c r="BR289" s="44" t="n">
        <f aca="false">Parameters!$E$14*IF($N289="V",Parameters!$I$14,IF($N289="F",Parameters!$J$14,Parameters!$K$14))*(1-Parameters!$L$14*$P289)*IF($D289="V1",Parameters!$M$14,IF($D289="V2",Parameters!$N$14,Parameters!$O$14))*INDEX(Context!$AC$4:$AC$51,$K289)</f>
        <v>15</v>
      </c>
      <c r="BS289" s="44" t="n">
        <f aca="false">BR289*(1+INDEX(Response_Table!$N$4:$N$21,MATCH($F289&amp;"|mid",Response_Table!$A$4:$A$21,0))*$R289*INDEX(Parameters!$X$14:$AA$14,1,MATCH($E289,Parameters!$X$3:$AA$3,0)))</f>
        <v>20.2033844831053</v>
      </c>
      <c r="BT289" s="44" t="n">
        <f aca="false">MAX(0,MIN(BR289*(1+INDEX(Response_Table!$N$4:$N$21,MATCH($F289&amp;"|low",Response_Table!$A$4:$A$21,0))*$R289*INDEX(Parameters!$X$14:$AA$14,1,MATCH($E289,Parameters!$X$3:$AA$3,0))),BR289*(1+INDEX(Response_Table!$N$4:$N$21,MATCH($F289&amp;"|high",Response_Table!$A$4:$A$21,0))*$R289*INDEX(Parameters!$X$14:$AA$14,1,MATCH($E289,Parameters!$X$3:$AA$3,0))))*(1-Inputs_General!$C$22*Parameters!$F$14))</f>
        <v>9.69602776784537</v>
      </c>
      <c r="BU289" s="44" t="n">
        <f aca="false">MAX(BR289*(1+INDEX(Response_Table!$N$4:$N$21,MATCH($F289&amp;"|low",Response_Table!$A$4:$A$21,0))*$R289*INDEX(Parameters!$X$14:$AA$14,1,MATCH($E289,Parameters!$X$3:$AA$3,0))),BR289*(1+INDEX(Response_Table!$N$4:$N$21,MATCH($F289&amp;"|high",Response_Table!$A$4:$A$21,0))*$R289*INDEX(Parameters!$X$14:$AA$14,1,MATCH($E289,Parameters!$X$3:$AA$3,0))))*(1+Inputs_General!$C$22*Parameters!$F$14)</f>
        <v>31.2784515595102</v>
      </c>
      <c r="BV289" s="45" t="n">
        <f aca="false">IF(BR289=0,0,BS289/BR289-1)</f>
        <v>0.346892298873685</v>
      </c>
      <c r="BW289" s="43" t="n">
        <f aca="false">Parameters!$E$15*IF($N289="V",Parameters!$I$15,IF($N289="F",Parameters!$J$15,Parameters!$K$15))*(1-Parameters!$L$15*$P289)*IF($D289="V1",Parameters!$M$15,IF($D289="V2",Parameters!$N$15,Parameters!$O$15))</f>
        <v>9.42785714285714</v>
      </c>
      <c r="BX289" s="43" t="n">
        <f aca="false">BW289*(1+INDEX(Response_Table!$O$4:$O$21,MATCH($F289&amp;"|mid",Response_Table!$A$4:$A$21,0))*$R289*INDEX(Parameters!$X$15:$AA$15,1,MATCH($E289,Parameters!$X$3:$AA$3,0)))</f>
        <v>8.61024438342254</v>
      </c>
      <c r="BY289" s="43" t="n">
        <f aca="false">MAX(0,MIN(BW289*(1+INDEX(Response_Table!$O$4:$O$21,MATCH($F289&amp;"|low",Response_Table!$A$4:$A$21,0))*$R289*INDEX(Parameters!$X$15:$AA$15,1,MATCH($E289,Parameters!$X$3:$AA$3,0))),BW289*(1+INDEX(Response_Table!$O$4:$O$21,MATCH($F289&amp;"|high",Response_Table!$A$4:$A$21,0))*$R289*INDEX(Parameters!$X$15:$AA$15,1,MATCH($E289,Parameters!$X$3:$AA$3,0))))*(1-Inputs_General!$C$22*Parameters!$F$15))</f>
        <v>6.81729994202474</v>
      </c>
      <c r="BZ289" s="43" t="n">
        <f aca="false">MAX(BW289*(1+INDEX(Response_Table!$O$4:$O$21,MATCH($F289&amp;"|low",Response_Table!$A$4:$A$21,0))*$R289*INDEX(Parameters!$X$15:$AA$15,1,MATCH($E289,Parameters!$X$3:$AA$3,0))),BW289*(1+INDEX(Response_Table!$O$4:$O$21,MATCH($F289&amp;"|high",Response_Table!$A$4:$A$21,0))*$R289*INDEX(Parameters!$X$15:$AA$15,1,MATCH($E289,Parameters!$X$3:$AA$3,0))))*(1+Inputs_General!$C$22*Parameters!$F$15)</f>
        <v>10.5093799798212</v>
      </c>
      <c r="CA289" s="45" t="n">
        <f aca="false">IF(BW289=0,0,BX289/BW289-1)</f>
        <v>-0.0867230747184212</v>
      </c>
      <c r="CB289" s="46" t="n">
        <f aca="false">BD289+BI289</f>
        <v>1.04000789032966</v>
      </c>
      <c r="CC289" s="43" t="n">
        <f aca="false">BD289/BI289</f>
        <v>2.48963276544835</v>
      </c>
      <c r="CD289" s="46" t="n">
        <f aca="false">BN289/CB289</f>
        <v>0.227537202393937</v>
      </c>
      <c r="CE289" s="43" t="n">
        <f aca="false">AE289/AO289</f>
        <v>1.82361527898966</v>
      </c>
      <c r="CF289" s="44" t="n">
        <f aca="false">AE289/AJ289</f>
        <v>44.0285705770599</v>
      </c>
      <c r="CG289" s="44" t="n">
        <f aca="false">INDEX(Context!$V$4:$V$51,$K289)</f>
        <v>32.7871428571429</v>
      </c>
      <c r="CH289" s="44" t="n">
        <f aca="false">INDEX(Context!$Y$4:$Y$51,$K289)</f>
        <v>28.36912210206</v>
      </c>
      <c r="CI289" s="44" t="n">
        <f aca="false">INDEX(Context!$Z$4:$Z$51,$K289)</f>
        <v>36.7871428571429</v>
      </c>
      <c r="CJ289" s="43" t="n">
        <f aca="false">INDEX(Context!$AA$4:$AA$51,$K289)</f>
        <v>0.247678571428571</v>
      </c>
      <c r="CK289" s="43" t="n">
        <f aca="false">MAX(0,MIN(1,1-(1-CJ289)*AO289/AN289))</f>
        <v>0.485789048022754</v>
      </c>
      <c r="CL289" s="44" t="n">
        <f aca="false">CH289+CK289*(CI289-CH289)</f>
        <v>32.4585043909075</v>
      </c>
      <c r="CM289" s="44" t="n">
        <f aca="false">CH289+MAX(0,MIN(1,1-(1-CJ289)*AQ289/AN289))*(CI289-CH289)</f>
        <v>30.3160215952222</v>
      </c>
      <c r="CN289" s="44" t="n">
        <f aca="false">CH289+MAX(0,MIN(1,1-(1-CJ289)*AP289/AN289))*(CI289-CH289)</f>
        <v>34.0773112866642</v>
      </c>
      <c r="CO289" s="44" t="n">
        <f aca="false">CL289-CG289</f>
        <v>-0.328638466235347</v>
      </c>
      <c r="CP289" s="44" t="n">
        <f aca="false">CL289-(CH289+CJ289*(CI289-CH289))</f>
        <v>2.0044189339725</v>
      </c>
      <c r="CQ289" s="46" t="n">
        <f aca="false">CL289/CG289</f>
        <v>0.989976605535064</v>
      </c>
      <c r="CR289" s="43" t="n">
        <f aca="false">IF(CL289-CH289&lt;=0,"n/a",(CI289-CL289)/(CL289-CH289))</f>
        <v>1.05850667912373</v>
      </c>
      <c r="CS289" s="43" t="n">
        <f aca="false">IF(CI289-CL289&lt;=0,"n/a",(CL289-CH289)/(CI289-CL289))</f>
        <v>0.944727151677336</v>
      </c>
      <c r="CT289" s="43" t="n">
        <f aca="false">Inputs_General!$C$23+Inputs_General!$C$24*$I289</f>
        <v>1.36</v>
      </c>
      <c r="CU289" s="44" t="n">
        <f aca="false">3.29*CT289</f>
        <v>4.4744</v>
      </c>
    </row>
    <row r="290" customFormat="false" ht="15" hidden="false" customHeight="false" outlineLevel="0" collapsed="false">
      <c r="A290" s="9" t="str">
        <f aca="false">B290&amp;"|"&amp;E290&amp;"|"&amp;F290</f>
        <v>D4V3|13/03/2026|Very high</v>
      </c>
      <c r="B290" s="7" t="s">
        <v>354</v>
      </c>
      <c r="C290" s="9" t="s">
        <v>133</v>
      </c>
      <c r="D290" s="9" t="s">
        <v>150</v>
      </c>
      <c r="E290" s="9" t="s">
        <v>164</v>
      </c>
      <c r="F290" s="7" t="s">
        <v>285</v>
      </c>
      <c r="G290" s="9" t="s">
        <v>286</v>
      </c>
      <c r="H290" s="41" t="n">
        <f aca="false">INDEX(Severity_Classes!$C$4:$C$9,MATCH(F290,Severity_Classes!$A$4:$A$9,0))</f>
        <v>0.51</v>
      </c>
      <c r="I290" s="41" t="n">
        <f aca="false">INDEX(Severity_Classes!$D$4:$D$9,MATCH(F290,Severity_Classes!$A$4:$A$9,0))</f>
        <v>0.65</v>
      </c>
      <c r="J290" s="41" t="n">
        <f aca="false">INDEX(Severity_Classes!$E$4:$E$9,MATCH(F290,Severity_Classes!$A$4:$A$9,0))</f>
        <v>0.85</v>
      </c>
      <c r="K290" s="42" t="n">
        <f aca="false">MATCH(B290&amp;"|"&amp;E290,Context!$A$4:$A$51,0)</f>
        <v>48</v>
      </c>
      <c r="L290" s="42" t="n">
        <f aca="false">INDEX(Context!$H$4:$H$51,K290)</f>
        <v>63</v>
      </c>
      <c r="M290" s="42" t="n">
        <f aca="false">INDEX(Context!$I$4:$I$51,K290)</f>
        <v>36</v>
      </c>
      <c r="N290" s="9" t="str">
        <f aca="false">INDEX(Context!$L$4:$L$51,K290)</f>
        <v>F</v>
      </c>
      <c r="O290" s="9" t="str">
        <f aca="false">INDEX(Context!$M$4:$M$51,K290)</f>
        <v>5th fully expanded leaf from top</v>
      </c>
      <c r="P290" s="43" t="n">
        <f aca="false">INDEX(Context!$R$4:$R$51,K290)</f>
        <v>0.953571428571428</v>
      </c>
      <c r="Q290" s="43" t="n">
        <f aca="false">INDEX(Context!$U$4:$U$51,K290)</f>
        <v>2.18945736698217</v>
      </c>
      <c r="R290" s="43" t="n">
        <f aca="false">INDEX(Context!$AD$4:$AD$51,K290)</f>
        <v>0.85</v>
      </c>
      <c r="S290" s="9" t="str">
        <f aca="false">INDEX(Context!$AI$4:$AN$51,K290,MATCH(F290,Severity_Classes!$A$4:$A$9,0))</f>
        <v>Possible</v>
      </c>
      <c r="T290" s="44" t="n">
        <f aca="false">Parameters!$E$4*IF($N290="V",Parameters!$I$4,IF($N290="F",Parameters!$J$4,Parameters!$K$4))*(1-Parameters!$L$4*$P290)*IF($D290="V1",Parameters!$M$4,IF($D290="V2",Parameters!$N$4,Parameters!$O$4))</f>
        <v>81.0806464285714</v>
      </c>
      <c r="U290" s="44" t="n">
        <f aca="false">MIN(100,T290*(1+INDEX(Response_Table!$E$4:$E$21,MATCH($F290&amp;"|mid",Response_Table!$A$4:$A$21,0))*$R290*INDEX(Parameters!$X$4:$AA$4,1,MATCH($E290,Parameters!$X$3:$AA$3,0))))</f>
        <v>62.058364919928</v>
      </c>
      <c r="V290" s="44" t="n">
        <f aca="false">MAX(0,MIN(T290*(1+INDEX(Response_Table!$E$4:$E$21,MATCH($F290&amp;"|low",Response_Table!$A$4:$A$21,0))*$R290*INDEX(Parameters!$X$4:$AA$4,1,MATCH($E290,Parameters!$X$3:$AA$3,0))),T290*(1+INDEX(Response_Table!$E$4:$E$21,MATCH($F290&amp;"|high",Response_Table!$A$4:$A$21,0))*$R290*INDEX(Parameters!$X$4:$AA$4,1,MATCH($E290,Parameters!$X$3:$AA$3,0))))*(1-Inputs_General!$C$22*Parameters!$F$4))</f>
        <v>56.7412714533204</v>
      </c>
      <c r="W290" s="44" t="n">
        <f aca="false">MIN(100,MAX(T290*(1+INDEX(Response_Table!$E$4:$E$21,MATCH($F290&amp;"|low",Response_Table!$A$4:$A$21,0))*$R290*INDEX(Parameters!$X$4:$AA$4,1,MATCH($E290,Parameters!$X$3:$AA$3,0))),T290*(1+INDEX(Response_Table!$E$4:$E$21,MATCH($F290&amp;"|high",Response_Table!$A$4:$A$21,0))*$R290*INDEX(Parameters!$X$4:$AA$4,1,MATCH($E290,Parameters!$X$3:$AA$3,0))))*(1+Inputs_General!$C$22*Parameters!$F$4))</f>
        <v>69.2253926426309</v>
      </c>
      <c r="X290" s="45" t="n">
        <f aca="false">IF(T290=0,0,U290/T290-1)</f>
        <v>-0.234609396280545</v>
      </c>
      <c r="Y290" s="44" t="n">
        <f aca="false">Parameters!$E$5*IF($N290="V",Parameters!$I$5,IF($N290="F",Parameters!$J$5,Parameters!$K$5))*(1-Parameters!$L$5*$P290)*IF($D290="V1",Parameters!$M$5,IF($D290="V2",Parameters!$N$5,Parameters!$O$5))</f>
        <v>62.48592</v>
      </c>
      <c r="Z290" s="44" t="n">
        <f aca="false">MIN(100,Y290*(1+INDEX(Response_Table!$F$4:$F$21,MATCH($F290&amp;"|mid",Response_Table!$A$4:$A$21,0))*$R290*INDEX(Parameters!$X$5:$AA$5,1,MATCH($E290,Parameters!$X$3:$AA$3,0))))</f>
        <v>26.258367014958</v>
      </c>
      <c r="AA290" s="44" t="n">
        <f aca="false">MAX(0,MIN(Y290*(1+INDEX(Response_Table!$F$4:$F$21,MATCH($F290&amp;"|low",Response_Table!$A$4:$A$21,0))*$R290*INDEX(Parameters!$X$5:$AA$5,1,MATCH($E290,Parameters!$X$3:$AA$3,0))),Y290*(1+INDEX(Response_Table!$F$4:$F$21,MATCH($F290&amp;"|high",Response_Table!$A$4:$A$21,0))*$R290*INDEX(Parameters!$X$5:$AA$5,1,MATCH($E290,Parameters!$X$3:$AA$3,0))))*(1-Inputs_General!$C$22*Parameters!$F$5))</f>
        <v>22.5090995379369</v>
      </c>
      <c r="AB290" s="44" t="n">
        <f aca="false">MIN(100,MAX(Y290*(1+INDEX(Response_Table!$F$4:$F$21,MATCH($F290&amp;"|low",Response_Table!$A$4:$A$21,0))*$R290*INDEX(Parameters!$X$5:$AA$5,1,MATCH($E290,Parameters!$X$3:$AA$3,0))),Y290*(1+INDEX(Response_Table!$F$4:$F$21,MATCH($F290&amp;"|high",Response_Table!$A$4:$A$21,0))*$R290*INDEX(Parameters!$X$5:$AA$5,1,MATCH($E290,Parameters!$X$3:$AA$3,0))))*(1+Inputs_General!$C$22*Parameters!$F$5))</f>
        <v>32.2286000068877</v>
      </c>
      <c r="AC290" s="45" t="n">
        <f aca="false">IF(Y290=0,0,Z290/Y290-1)</f>
        <v>-0.579771458674883</v>
      </c>
      <c r="AD290" s="44" t="n">
        <f aca="false">Parameters!$E$6*IF($N290="V",Parameters!$I$6,IF($N290="F",Parameters!$J$6,Parameters!$K$6))*(1-Parameters!$L$6*$P290)*IF($D290="V1",Parameters!$M$6,IF($D290="V2",Parameters!$N$6,Parameters!$O$6))</f>
        <v>17.3306328571429</v>
      </c>
      <c r="AE290" s="44" t="n">
        <f aca="false">AD290*(1+INDEX(Response_Table!$G$4:$G$21,MATCH($F290&amp;"|mid",Response_Table!$A$4:$A$21,0))*$R290*INDEX(Parameters!$X$6:$AA$6,1,MATCH($E290,Parameters!$X$3:$AA$3,0)))</f>
        <v>6.91507562040894</v>
      </c>
      <c r="AF290" s="44" t="n">
        <f aca="false">MAX(0,MIN(AD290*(1+INDEX(Response_Table!$G$4:$G$21,MATCH($F290&amp;"|low",Response_Table!$A$4:$A$21,0))*$R290*INDEX(Parameters!$X$6:$AA$6,1,MATCH($E290,Parameters!$X$3:$AA$3,0))),AD290*(1+INDEX(Response_Table!$G$4:$G$21,MATCH($F290&amp;"|high",Response_Table!$A$4:$A$21,0))*$R290*INDEX(Parameters!$X$6:$AA$6,1,MATCH($E290,Parameters!$X$3:$AA$3,0))))*(1-Inputs_General!$C$22*Parameters!$F$6))</f>
        <v>5.25285355560982</v>
      </c>
      <c r="AG290" s="44" t="n">
        <f aca="false">MAX(AD290*(1+INDEX(Response_Table!$G$4:$G$21,MATCH($F290&amp;"|low",Response_Table!$A$4:$A$21,0))*$R290*INDEX(Parameters!$X$6:$AA$6,1,MATCH($E290,Parameters!$X$3:$AA$3,0))),AD290*(1+INDEX(Response_Table!$G$4:$G$21,MATCH($F290&amp;"|high",Response_Table!$A$4:$A$21,0))*$R290*INDEX(Parameters!$X$6:$AA$6,1,MATCH($E290,Parameters!$X$3:$AA$3,0))))*(1+Inputs_General!$C$22*Parameters!$F$6)</f>
        <v>8.92523073915258</v>
      </c>
      <c r="AH290" s="45" t="n">
        <f aca="false">IF(AD290=0,0,AE290/AD290-1)</f>
        <v>-0.600991165330765</v>
      </c>
      <c r="AI290" s="46" t="n">
        <f aca="false">Parameters!$E$7*IF($N290="V",Parameters!$I$7,IF($N290="F",Parameters!$J$7,Parameters!$K$7))*(1-Parameters!$L$7*$P290)*IF($D290="V1",Parameters!$M$7,IF($D290="V2",Parameters!$N$7,Parameters!$O$7))*POWER($Q290/Inputs_General!$C$26,-Inputs_General!$C$25)</f>
        <v>0.304119499618928</v>
      </c>
      <c r="AJ290" s="46" t="n">
        <f aca="false">AI290*(1+INDEX(Response_Table!$H$4:$H$21,MATCH($F290&amp;"|mid",Response_Table!$A$4:$A$21,0))*$R290*INDEX(Parameters!$X$7:$AA$7,1,MATCH($E290,Parameters!$X$3:$AA$3,0)))</f>
        <v>0.15999922258092</v>
      </c>
      <c r="AK290" s="46" t="n">
        <f aca="false">MAX(0,MIN(AI290*(1+INDEX(Response_Table!$H$4:$H$21,MATCH($F290&amp;"|low",Response_Table!$A$4:$A$21,0))*$R290*INDEX(Parameters!$X$7:$AA$7,1,MATCH($E290,Parameters!$X$3:$AA$3,0))),AI290*(1+INDEX(Response_Table!$H$4:$H$21,MATCH($F290&amp;"|high",Response_Table!$A$4:$A$21,0))*$R290*INDEX(Parameters!$X$7:$AA$7,1,MATCH($E290,Parameters!$X$3:$AA$3,0))))*(1-Inputs_General!$C$22*Parameters!$F$7))</f>
        <v>0.105031191139209</v>
      </c>
      <c r="AL290" s="46" t="n">
        <f aca="false">MAX(AI290*(1+INDEX(Response_Table!$H$4:$H$21,MATCH($F290&amp;"|low",Response_Table!$A$4:$A$21,0))*$R290*INDEX(Parameters!$X$7:$AA$7,1,MATCH($E290,Parameters!$X$3:$AA$3,0))),AI290*(1+INDEX(Response_Table!$H$4:$H$21,MATCH($F290&amp;"|high",Response_Table!$A$4:$A$21,0))*$R290*INDEX(Parameters!$X$7:$AA$7,1,MATCH($E290,Parameters!$X$3:$AA$3,0))))*(1+Inputs_General!$C$22*Parameters!$F$7)</f>
        <v>0.223547573474424</v>
      </c>
      <c r="AM290" s="45" t="n">
        <f aca="false">IF(AI290=0,0,AJ290/AI290-1)</f>
        <v>-0.473893575448451</v>
      </c>
      <c r="AN290" s="43" t="n">
        <f aca="false">AI290*$Q290/Inputs_General!$C$13*1000</f>
        <v>6.70550532611877</v>
      </c>
      <c r="AO290" s="43" t="n">
        <f aca="false">AJ290*$Q290/Inputs_General!$C$13*1000*(1+Inputs_General!$C$21*$I290)</f>
        <v>4.10107846462527</v>
      </c>
      <c r="AP290" s="43" t="n">
        <f aca="false">AK290*$Q290/Inputs_General!$C$13*1000*(1+Inputs_General!$C$21*$H290)</f>
        <v>2.61109146919428</v>
      </c>
      <c r="AQ290" s="43" t="n">
        <f aca="false">AL290*$Q290/Inputs_General!$C$13*1000*(1+Inputs_General!$C$21*$J290)</f>
        <v>5.97639029665317</v>
      </c>
      <c r="AR290" s="45" t="n">
        <f aca="false">IF(AN290=0,0,AO290/AN290-1)</f>
        <v>-0.388401281458825</v>
      </c>
      <c r="AS290" s="42" t="n">
        <f aca="false">Parameters!$E$9*IF($N290="V",Parameters!$I$9,IF($N290="F",Parameters!$J$9,Parameters!$K$9))*(1-Parameters!$L$9*$P290)*IF($D290="V1",Parameters!$M$9,IF($D290="V2",Parameters!$N$9,Parameters!$O$9))</f>
        <v>285</v>
      </c>
      <c r="AT290" s="42" t="n">
        <f aca="false">AS290*(1+INDEX(Response_Table!$I$4:$I$21,MATCH($F290&amp;"|mid",Response_Table!$A$4:$A$21,0))*$R290*INDEX(Parameters!$X$9:$AA$9,1,MATCH($E290,Parameters!$X$3:$AA$3,0)))</f>
        <v>352.277167703273</v>
      </c>
      <c r="AU290" s="42" t="n">
        <f aca="false">MAX(0,MIN(AS290*(1+INDEX(Response_Table!$I$4:$I$21,MATCH($F290&amp;"|low",Response_Table!$A$4:$A$21,0))*$R290*INDEX(Parameters!$X$9:$AA$9,1,MATCH($E290,Parameters!$X$3:$AA$3,0))),AS290*(1+INDEX(Response_Table!$I$4:$I$21,MATCH($F290&amp;"|high",Response_Table!$A$4:$A$21,0))*$R290*INDEX(Parameters!$X$9:$AA$9,1,MATCH($E290,Parameters!$X$3:$AA$3,0))))*(1-Inputs_General!$C$22*Parameters!$F$9))</f>
        <v>313.855339805687</v>
      </c>
      <c r="AV290" s="42" t="n">
        <f aca="false">MAX(AS290*(1+INDEX(Response_Table!$I$4:$I$21,MATCH($F290&amp;"|low",Response_Table!$A$4:$A$21,0))*$R290*INDEX(Parameters!$X$9:$AA$9,1,MATCH($E290,Parameters!$X$3:$AA$3,0))),AS290*(1+INDEX(Response_Table!$I$4:$I$21,MATCH($F290&amp;"|high",Response_Table!$A$4:$A$21,0))*$R290*INDEX(Parameters!$X$9:$AA$9,1,MATCH($E290,Parameters!$X$3:$AA$3,0))))*(1+Inputs_General!$C$22*Parameters!$F$9)</f>
        <v>390.312732889309</v>
      </c>
      <c r="AW290" s="45" t="n">
        <f aca="false">IF(AS290=0,0,AT290/AS290-1)</f>
        <v>0.236060237555345</v>
      </c>
      <c r="AX290" s="43" t="n">
        <f aca="false">INDEX(Context!$AB$4:$AB$51,$K290)</f>
        <v>2.41688422790131</v>
      </c>
      <c r="AY290" s="43" t="n">
        <f aca="false">AX290*(1+INDEX(Response_Table!$J$4:$J$21,MATCH($F290&amp;"|mid",Response_Table!$A$4:$A$21,0))*$R290*INDEX(Parameters!$X$10:$AA$10,1,MATCH($E290,Parameters!$X$3:$AA$3,0)))</f>
        <v>1.67446262692873</v>
      </c>
      <c r="AZ290" s="43" t="n">
        <f aca="false">MAX(0,MIN(AX290*(1+INDEX(Response_Table!$J$4:$J$21,MATCH($F290&amp;"|low",Response_Table!$A$4:$A$21,0))*$R290*INDEX(Parameters!$X$10:$AA$10,1,MATCH($E290,Parameters!$X$3:$AA$3,0))),AX290*(1+INDEX(Response_Table!$J$4:$J$21,MATCH($F290&amp;"|high",Response_Table!$A$4:$A$21,0))*$R290*INDEX(Parameters!$X$10:$AA$10,1,MATCH($E290,Parameters!$X$3:$AA$3,0))))*(1-Inputs_General!$C$22*Parameters!$F$10))</f>
        <v>1.28643681539468</v>
      </c>
      <c r="BA290" s="43" t="n">
        <f aca="false">MAX(AX290*(1+INDEX(Response_Table!$J$4:$J$21,MATCH($F290&amp;"|low",Response_Table!$A$4:$A$21,0))*$R290*INDEX(Parameters!$X$10:$AA$10,1,MATCH($E290,Parameters!$X$3:$AA$3,0))),AX290*(1+INDEX(Response_Table!$J$4:$J$21,MATCH($F290&amp;"|high",Response_Table!$A$4:$A$21,0))*$R290*INDEX(Parameters!$X$10:$AA$10,1,MATCH($E290,Parameters!$X$3:$AA$3,0))))*(1+Inputs_General!$C$22*Parameters!$F$10)</f>
        <v>2.09634597303036</v>
      </c>
      <c r="BB290" s="45" t="n">
        <f aca="false">IF(AX290=0,0,AY290/AX290-1)</f>
        <v>-0.307181284234396</v>
      </c>
      <c r="BC290" s="46" t="n">
        <f aca="false">Parameters!$E$11*IF($N290="V",Parameters!$I$11,IF($N290="F",Parameters!$J$11,Parameters!$K$11))*(1-Parameters!$L$11*$P290)*IF($D290="V1",Parameters!$M$11,IF($D290="V2",Parameters!$N$11,Parameters!$O$11))</f>
        <v>1.21383660714286</v>
      </c>
      <c r="BD290" s="46" t="n">
        <f aca="false">BC290*(1+INDEX(Response_Table!$K$4:$K$21,MATCH($F290&amp;"|mid",Response_Table!$A$4:$A$21,0))*$R290*INDEX(Parameters!$X$11:$AA$11,1,MATCH($E290,Parameters!$X$3:$AA$3,0)))</f>
        <v>0.626975669556311</v>
      </c>
      <c r="BE290" s="46" t="n">
        <f aca="false">MAX(0,MIN(BC290*(1+INDEX(Response_Table!$K$4:$K$21,MATCH($F290&amp;"|low",Response_Table!$A$4:$A$21,0))*$R290*INDEX(Parameters!$X$11:$AA$11,1,MATCH($E290,Parameters!$X$3:$AA$3,0))),BC290*(1+INDEX(Response_Table!$K$4:$K$21,MATCH($F290&amp;"|high",Response_Table!$A$4:$A$21,0))*$R290*INDEX(Parameters!$X$11:$AA$11,1,MATCH($E290,Parameters!$X$3:$AA$3,0))))*(1-Inputs_General!$C$22*Parameters!$F$11))</f>
        <v>0.490748001193446</v>
      </c>
      <c r="BF290" s="46" t="n">
        <f aca="false">MAX(BC290*(1+INDEX(Response_Table!$K$4:$K$21,MATCH($F290&amp;"|low",Response_Table!$A$4:$A$21,0))*$R290*INDEX(Parameters!$X$11:$AA$11,1,MATCH($E290,Parameters!$X$3:$AA$3,0))),BC290*(1+INDEX(Response_Table!$K$4:$K$21,MATCH($F290&amp;"|high",Response_Table!$A$4:$A$21,0))*$R290*INDEX(Parameters!$X$11:$AA$11,1,MATCH($E290,Parameters!$X$3:$AA$3,0))))*(1+Inputs_General!$C$22*Parameters!$F$11)</f>
        <v>0.785255516701941</v>
      </c>
      <c r="BG290" s="45" t="n">
        <f aca="false">IF(BC290=0,0,BD290/BC290-1)</f>
        <v>-0.483476057760283</v>
      </c>
      <c r="BH290" s="46" t="n">
        <f aca="false">Parameters!$E$12*IF($N290="V",Parameters!$I$12,IF($N290="F",Parameters!$J$12,Parameters!$K$12))*(1-Parameters!$L$12*$P290)*IF($D290="V1",Parameters!$M$12,IF($D290="V2",Parameters!$N$12,Parameters!$O$12))</f>
        <v>0.436981178571429</v>
      </c>
      <c r="BI290" s="46" t="n">
        <f aca="false">BH290*(1+INDEX(Response_Table!$L$4:$L$21,MATCH($F290&amp;"|mid",Response_Table!$A$4:$A$21,0))*$R290*INDEX(Parameters!$X$12:$AA$12,1,MATCH($E290,Parameters!$X$3:$AA$3,0)))</f>
        <v>0.261757462857135</v>
      </c>
      <c r="BJ290" s="46" t="n">
        <f aca="false">MAX(0,MIN(BH290*(1+INDEX(Response_Table!$L$4:$L$21,MATCH($F290&amp;"|low",Response_Table!$A$4:$A$21,0))*$R290*INDEX(Parameters!$X$12:$AA$12,1,MATCH($E290,Parameters!$X$3:$AA$3,0))),BH290*(1+INDEX(Response_Table!$L$4:$L$21,MATCH($F290&amp;"|high",Response_Table!$A$4:$A$21,0))*$R290*INDEX(Parameters!$X$12:$AA$12,1,MATCH($E290,Parameters!$X$3:$AA$3,0))))*(1-Inputs_General!$C$22*Parameters!$F$12))</f>
        <v>0.199561417332985</v>
      </c>
      <c r="BK290" s="46" t="n">
        <f aca="false">MAX(BH290*(1+INDEX(Response_Table!$L$4:$L$21,MATCH($F290&amp;"|low",Response_Table!$A$4:$A$21,0))*$R290*INDEX(Parameters!$X$12:$AA$12,1,MATCH($E290,Parameters!$X$3:$AA$3,0))),BH290*(1+INDEX(Response_Table!$L$4:$L$21,MATCH($F290&amp;"|high",Response_Table!$A$4:$A$21,0))*$R290*INDEX(Parameters!$X$12:$AA$12,1,MATCH($E290,Parameters!$X$3:$AA$3,0))))*(1+Inputs_General!$C$22*Parameters!$F$12)</f>
        <v>0.331593907841657</v>
      </c>
      <c r="BL290" s="45" t="n">
        <f aca="false">IF(BH290=0,0,BI290/BH290-1)</f>
        <v>-0.400986871533305</v>
      </c>
      <c r="BM290" s="46" t="n">
        <f aca="false">Parameters!$E$13*IF($N290="V",Parameters!$I$13,IF($N290="F",Parameters!$J$13,Parameters!$K$13))*(1-Parameters!$L$13*$P290)*IF($D290="V1",Parameters!$M$13,IF($D290="V2",Parameters!$N$13,Parameters!$O$13))</f>
        <v>0.300160392857143</v>
      </c>
      <c r="BN290" s="46" t="n">
        <f aca="false">BM290*(1+INDEX(Response_Table!$M$4:$M$21,MATCH($F290&amp;"|mid",Response_Table!$A$4:$A$21,0))*$R290*INDEX(Parameters!$X$13:$AA$13,1,MATCH($E290,Parameters!$X$3:$AA$3,0)))</f>
        <v>0.213303317824353</v>
      </c>
      <c r="BO290" s="46" t="n">
        <f aca="false">MAX(0,MIN(BM290*(1+INDEX(Response_Table!$M$4:$M$21,MATCH($F290&amp;"|low",Response_Table!$A$4:$A$21,0))*$R290*INDEX(Parameters!$X$13:$AA$13,1,MATCH($E290,Parameters!$X$3:$AA$3,0))),BM290*(1+INDEX(Response_Table!$M$4:$M$21,MATCH($F290&amp;"|high",Response_Table!$A$4:$A$21,0))*$R290*INDEX(Parameters!$X$13:$AA$13,1,MATCH($E290,Parameters!$X$3:$AA$3,0))))*(1-Inputs_General!$C$22*Parameters!$F$13))</f>
        <v>0.165491619356863</v>
      </c>
      <c r="BP290" s="46" t="n">
        <f aca="false">MAX(BM290*(1+INDEX(Response_Table!$M$4:$M$21,MATCH($F290&amp;"|low",Response_Table!$A$4:$A$21,0))*$R290*INDEX(Parameters!$X$13:$AA$13,1,MATCH($E290,Parameters!$X$3:$AA$3,0))),BM290*(1+INDEX(Response_Table!$M$4:$M$21,MATCH($F290&amp;"|high",Response_Table!$A$4:$A$21,0))*$R290*INDEX(Parameters!$X$13:$AA$13,1,MATCH($E290,Parameters!$X$3:$AA$3,0))))*(1+Inputs_General!$C$22*Parameters!$F$13)</f>
        <v>0.266254743555412</v>
      </c>
      <c r="BQ290" s="45" t="n">
        <f aca="false">IF(BM290=0,0,BN290/BM290-1)</f>
        <v>-0.289368874440834</v>
      </c>
      <c r="BR290" s="44" t="n">
        <f aca="false">Parameters!$E$14*IF($N290="V",Parameters!$I$14,IF($N290="F",Parameters!$J$14,Parameters!$K$14))*(1-Parameters!$L$14*$P290)*IF($D290="V1",Parameters!$M$14,IF($D290="V2",Parameters!$N$14,Parameters!$O$14))*INDEX(Context!$AC$4:$AC$51,$K290)</f>
        <v>15</v>
      </c>
      <c r="BS290" s="44" t="n">
        <f aca="false">BR290*(1+INDEX(Response_Table!$N$4:$N$21,MATCH($F290&amp;"|mid",Response_Table!$A$4:$A$21,0))*$R290*INDEX(Parameters!$X$14:$AA$14,1,MATCH($E290,Parameters!$X$3:$AA$3,0)))</f>
        <v>21.5616033523632</v>
      </c>
      <c r="BT290" s="44" t="n">
        <f aca="false">MAX(0,MIN(BR290*(1+INDEX(Response_Table!$N$4:$N$21,MATCH($F290&amp;"|low",Response_Table!$A$4:$A$21,0))*$R290*INDEX(Parameters!$X$14:$AA$14,1,MATCH($E290,Parameters!$X$3:$AA$3,0))),BR290*(1+INDEX(Response_Table!$N$4:$N$21,MATCH($F290&amp;"|high",Response_Table!$A$4:$A$21,0))*$R290*INDEX(Parameters!$X$14:$AA$14,1,MATCH($E290,Parameters!$X$3:$AA$3,0))))*(1-Inputs_General!$C$22*Parameters!$F$14))</f>
        <v>10.633208836459</v>
      </c>
      <c r="BU290" s="44" t="n">
        <f aca="false">MAX(BR290*(1+INDEX(Response_Table!$N$4:$N$21,MATCH($F290&amp;"|low",Response_Table!$A$4:$A$21,0))*$R290*INDEX(Parameters!$X$14:$AA$14,1,MATCH($E290,Parameters!$X$3:$AA$3,0))),BR290*(1+INDEX(Response_Table!$N$4:$N$21,MATCH($F290&amp;"|high",Response_Table!$A$4:$A$21,0))*$R290*INDEX(Parameters!$X$14:$AA$14,1,MATCH($E290,Parameters!$X$3:$AA$3,0))))*(1+Inputs_General!$C$22*Parameters!$F$14)</f>
        <v>32.9356704934787</v>
      </c>
      <c r="BV290" s="45" t="n">
        <f aca="false">IF(BR290=0,0,BS290/BR290-1)</f>
        <v>0.437440223490878</v>
      </c>
      <c r="BW290" s="43" t="n">
        <f aca="false">Parameters!$E$15*IF($N290="V",Parameters!$I$15,IF($N290="F",Parameters!$J$15,Parameters!$K$15))*(1-Parameters!$L$15*$P290)*IF($D290="V1",Parameters!$M$15,IF($D290="V2",Parameters!$N$15,Parameters!$O$15))</f>
        <v>9.42785714285714</v>
      </c>
      <c r="BX290" s="43" t="n">
        <f aca="false">BW290*(1+INDEX(Response_Table!$O$4:$O$21,MATCH($F290&amp;"|mid",Response_Table!$A$4:$A$21,0))*$R290*INDEX(Parameters!$X$15:$AA$15,1,MATCH($E290,Parameters!$X$3:$AA$3,0)))</f>
        <v>8.39682615895427</v>
      </c>
      <c r="BY290" s="43" t="n">
        <f aca="false">MAX(0,MIN(BW290*(1+INDEX(Response_Table!$O$4:$O$21,MATCH($F290&amp;"|low",Response_Table!$A$4:$A$21,0))*$R290*INDEX(Parameters!$X$15:$AA$15,1,MATCH($E290,Parameters!$X$3:$AA$3,0))),BW290*(1+INDEX(Response_Table!$O$4:$O$21,MATCH($F290&amp;"|high",Response_Table!$A$4:$A$21,0))*$R290*INDEX(Parameters!$X$15:$AA$15,1,MATCH($E290,Parameters!$X$3:$AA$3,0))))*(1-Inputs_General!$C$22*Parameters!$F$15))</f>
        <v>6.67736197581717</v>
      </c>
      <c r="BZ290" s="43" t="n">
        <f aca="false">MAX(BW290*(1+INDEX(Response_Table!$O$4:$O$21,MATCH($F290&amp;"|low",Response_Table!$A$4:$A$21,0))*$R290*INDEX(Parameters!$X$15:$AA$15,1,MATCH($E290,Parameters!$X$3:$AA$3,0))),BW290*(1+INDEX(Response_Table!$O$4:$O$21,MATCH($F290&amp;"|high",Response_Table!$A$4:$A$21,0))*$R290*INDEX(Parameters!$X$15:$AA$15,1,MATCH($E290,Parameters!$X$3:$AA$3,0))))*(1+Inputs_General!$C$22*Parameters!$F$15)</f>
        <v>10.161247090902</v>
      </c>
      <c r="CA290" s="45" t="n">
        <f aca="false">IF(BW290=0,0,BX290/BW290-1)</f>
        <v>-0.10936005587272</v>
      </c>
      <c r="CB290" s="46" t="n">
        <f aca="false">BD290+BI290</f>
        <v>0.888733132413446</v>
      </c>
      <c r="CC290" s="43" t="n">
        <f aca="false">BD290/BI290</f>
        <v>2.3952542277601</v>
      </c>
      <c r="CD290" s="46" t="n">
        <f aca="false">BN290/CB290</f>
        <v>0.240008288253084</v>
      </c>
      <c r="CE290" s="43" t="n">
        <f aca="false">AE290/AO290</f>
        <v>1.68616028199811</v>
      </c>
      <c r="CF290" s="44" t="n">
        <f aca="false">AE290/AJ290</f>
        <v>43.2194326251279</v>
      </c>
      <c r="CG290" s="44" t="n">
        <f aca="false">INDEX(Context!$V$4:$V$51,$K290)</f>
        <v>32.7871428571429</v>
      </c>
      <c r="CH290" s="44" t="n">
        <f aca="false">INDEX(Context!$Y$4:$Y$51,$K290)</f>
        <v>28.36912210206</v>
      </c>
      <c r="CI290" s="44" t="n">
        <f aca="false">INDEX(Context!$Z$4:$Z$51,$K290)</f>
        <v>36.7871428571429</v>
      </c>
      <c r="CJ290" s="43" t="n">
        <f aca="false">INDEX(Context!$AA$4:$AA$51,$K290)</f>
        <v>0.247678571428571</v>
      </c>
      <c r="CK290" s="43" t="n">
        <f aca="false">MAX(0,MIN(1,1-(1-CJ290)*AO290/AN290))</f>
        <v>0.539881178354648</v>
      </c>
      <c r="CL290" s="44" t="n">
        <f aca="false">CH290+CK290*(CI290-CH290)</f>
        <v>32.913853066728</v>
      </c>
      <c r="CM290" s="44" t="n">
        <f aca="false">CH290+MAX(0,MIN(1,1-(1-CJ290)*AQ290/AN290))*(CI290-CH290)</f>
        <v>31.142702810645</v>
      </c>
      <c r="CN290" s="44" t="n">
        <f aca="false">CH290+MAX(0,MIN(1,1-(1-CJ290)*AP290/AN290))*(CI290-CH290)</f>
        <v>34.3210808159735</v>
      </c>
      <c r="CO290" s="44" t="n">
        <f aca="false">CL290-CG290</f>
        <v>0.126710209585177</v>
      </c>
      <c r="CP290" s="44" t="n">
        <f aca="false">CL290-(CH290+CJ290*(CI290-CH290))</f>
        <v>2.45976760979302</v>
      </c>
      <c r="CQ290" s="46" t="n">
        <f aca="false">CL290/CG290</f>
        <v>1.00386463102739</v>
      </c>
      <c r="CR290" s="43" t="n">
        <f aca="false">IF(CL290-CH290&lt;=0,"n/a",(CI290-CL290)/(CL290-CH290))</f>
        <v>0.852259423170889</v>
      </c>
      <c r="CS290" s="43" t="n">
        <f aca="false">IF(CI290-CL290&lt;=0,"n/a",(CL290-CH290)/(CI290-CL290))</f>
        <v>1.17335164952408</v>
      </c>
      <c r="CT290" s="43" t="n">
        <f aca="false">Inputs_General!$C$23+Inputs_General!$C$24*$I290</f>
        <v>1.9</v>
      </c>
      <c r="CU290" s="44" t="n">
        <f aca="false">3.29*CT290</f>
        <v>6.251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21" min="3" style="0" width="12"/>
  </cols>
  <sheetData>
    <row r="1" customFormat="false" ht="17.35" hidden="false" customHeight="false" outlineLevel="0" collapsed="false">
      <c r="A1" s="5" t="s">
        <v>439</v>
      </c>
    </row>
    <row r="2" customFormat="false" ht="15" hidden="false" customHeight="false" outlineLevel="0" collapsed="false">
      <c r="A2" s="7" t="s">
        <v>440</v>
      </c>
    </row>
    <row r="4" customFormat="false" ht="23.85" hidden="false" customHeight="false" outlineLevel="0" collapsed="false">
      <c r="A4" s="6" t="s">
        <v>358</v>
      </c>
      <c r="B4" s="6" t="s">
        <v>156</v>
      </c>
      <c r="C4" s="6" t="s">
        <v>356</v>
      </c>
      <c r="D4" s="6" t="s">
        <v>441</v>
      </c>
      <c r="E4" s="6" t="s">
        <v>442</v>
      </c>
      <c r="F4" s="6" t="s">
        <v>443</v>
      </c>
      <c r="G4" s="6" t="s">
        <v>444</v>
      </c>
      <c r="H4" s="6" t="s">
        <v>445</v>
      </c>
      <c r="I4" s="6" t="s">
        <v>446</v>
      </c>
      <c r="J4" s="6" t="s">
        <v>447</v>
      </c>
      <c r="K4" s="6" t="s">
        <v>230</v>
      </c>
      <c r="L4" s="6" t="s">
        <v>448</v>
      </c>
      <c r="M4" s="6" t="s">
        <v>449</v>
      </c>
      <c r="N4" s="6" t="s">
        <v>450</v>
      </c>
      <c r="O4" s="6" t="s">
        <v>451</v>
      </c>
      <c r="P4" s="6" t="s">
        <v>452</v>
      </c>
      <c r="Q4" s="6" t="s">
        <v>429</v>
      </c>
      <c r="R4" s="6" t="s">
        <v>453</v>
      </c>
      <c r="S4" s="6" t="s">
        <v>428</v>
      </c>
    </row>
    <row r="5" customFormat="false" ht="15" hidden="false" customHeight="false" outlineLevel="0" collapsed="false">
      <c r="A5" s="47" t="s">
        <v>454</v>
      </c>
      <c r="B5" s="17" t="s">
        <v>455</v>
      </c>
      <c r="C5" s="17" t="s">
        <v>275</v>
      </c>
      <c r="D5" s="48" t="n">
        <f aca="false">COUNTIFS(Simulation!$N$3:$N$290,"V",Simulation!$F$3:$F$290,$C5)</f>
        <v>16</v>
      </c>
      <c r="E5" s="49" t="n">
        <f aca="false">IF($D5=0,"",AVERAGEIFS(Simulation!$U$3:$U$290,Simulation!$N$3:$N$290,"V",Simulation!$F$3:$F$290,$C5))</f>
        <v>85.9688058035714</v>
      </c>
      <c r="F5" s="49" t="n">
        <f aca="false">IF($D5=0,"",AVERAGEIFS(Simulation!$Z$3:$Z$290,Simulation!$N$3:$N$290,"V",Simulation!$F$3:$F$290,$C5))</f>
        <v>71.9373214285714</v>
      </c>
      <c r="G5" s="49" t="n">
        <f aca="false">IF($D5=0,"",AVERAGEIFS(Simulation!$AE$3:$AE$290,Simulation!$N$3:$N$290,"V",Simulation!$F$3:$F$290,$C5))</f>
        <v>19.1970113392857</v>
      </c>
      <c r="H5" s="50" t="n">
        <f aca="false">IF($D5=0,"",AVERAGEIFS(Simulation!$AJ$3:$AJ$290,Simulation!$N$3:$N$290,"V",Simulation!$F$3:$F$290,$C5))</f>
        <v>0.448116146495264</v>
      </c>
      <c r="I5" s="51" t="n">
        <f aca="false">IF($D5=0,"",AVERAGEIFS(Simulation!$AO$3:$AO$290,Simulation!$N$3:$N$290,"V",Simulation!$F$3:$F$290,$C5))</f>
        <v>4.56514216893436</v>
      </c>
      <c r="J5" s="48" t="n">
        <f aca="false">IF($D5=0,"",AVERAGEIFS(Simulation!$AT$3:$AT$290,Simulation!$N$3:$N$290,"V",Simulation!$F$3:$F$290,$C5))</f>
        <v>285</v>
      </c>
      <c r="K5" s="51" t="n">
        <f aca="false">IF($D5=0,"",AVERAGEIFS(Simulation!$AY$3:$AY$290,Simulation!$N$3:$N$290,"V",Simulation!$F$3:$F$290,$C5))</f>
        <v>1.51020683805636</v>
      </c>
      <c r="L5" s="50" t="n">
        <f aca="false">IF($D5=0,"",AVERAGEIFS(Simulation!$BD$3:$BD$290,Simulation!$N$3:$N$290,"V",Simulation!$F$3:$F$290,$C5))</f>
        <v>1.20033629185268</v>
      </c>
      <c r="M5" s="50" t="n">
        <f aca="false">IF($D5=0,"",AVERAGEIFS(Simulation!$BI$3:$BI$290,Simulation!$N$3:$N$290,"V",Simulation!$F$3:$F$290,$C5))</f>
        <v>0.432121065066964</v>
      </c>
      <c r="N5" s="50" t="n">
        <f aca="false">IF($D5=0,"",AVERAGEIFS(Simulation!$BN$3:$BN$290,Simulation!$N$3:$N$290,"V",Simulation!$F$3:$F$290,$C5))</f>
        <v>0.288143480022321</v>
      </c>
      <c r="O5" s="49" t="n">
        <f aca="false">IF($D5=0,"",AVERAGEIFS(Simulation!$BS$3:$BS$290,Simulation!$N$3:$N$290,"V",Simulation!$F$3:$F$290,$C5))</f>
        <v>19.078125</v>
      </c>
      <c r="P5" s="51" t="n">
        <f aca="false">IF($D5=0,"",AVERAGEIFS(Simulation!$BX$3:$BX$290,Simulation!$N$3:$N$290,"V",Simulation!$F$3:$F$290,$C5))</f>
        <v>11.2271110714286</v>
      </c>
      <c r="Q5" s="49" t="n">
        <f aca="false">IF($D5=0,"",AVERAGEIFS(Simulation!$CL$3:$CL$290,Simulation!$N$3:$N$290,"V",Simulation!$F$3:$F$290,$C5))</f>
        <v>22.7008583960739</v>
      </c>
      <c r="R5" s="49" t="n">
        <f aca="false">IF($D5=0,"",AVERAGEIFS(Simulation!$CO$3:$CO$290,Simulation!$N$3:$N$290,"V",Simulation!$F$3:$F$290,$C5))</f>
        <v>-0.847623746783235</v>
      </c>
      <c r="S5" s="51" t="n">
        <f aca="false">IF($D5=0,"",AVERAGEIFS(Simulation!$CK$3:$CK$290,Simulation!$N$3:$N$290,"V",Simulation!$F$3:$F$290,$C5))</f>
        <v>0.120362723214286</v>
      </c>
    </row>
    <row r="6" customFormat="false" ht="15" hidden="false" customHeight="false" outlineLevel="0" collapsed="false">
      <c r="A6" s="27" t="s">
        <v>454</v>
      </c>
      <c r="B6" s="20" t="s">
        <v>455</v>
      </c>
      <c r="C6" s="20" t="s">
        <v>277</v>
      </c>
      <c r="D6" s="52" t="n">
        <f aca="false">COUNTIFS(Simulation!$N$3:$N$290,"V",Simulation!$F$3:$F$290,$C6)</f>
        <v>16</v>
      </c>
      <c r="E6" s="53" t="n">
        <f aca="false">IF($D6=0,"",AVERAGEIFS(Simulation!$U$3:$U$290,Simulation!$N$3:$N$290,"V",Simulation!$F$3:$F$290,$C6))</f>
        <v>85.7302511081905</v>
      </c>
      <c r="F6" s="53" t="n">
        <f aca="false">IF($D6=0,"",AVERAGEIFS(Simulation!$Z$3:$Z$290,Simulation!$N$3:$N$290,"V",Simulation!$F$3:$F$290,$C6))</f>
        <v>71.3002637757131</v>
      </c>
      <c r="G6" s="53" t="n">
        <f aca="false">IF($D6=0,"",AVERAGEIFS(Simulation!$AE$3:$AE$290,Simulation!$N$3:$N$290,"V",Simulation!$F$3:$F$290,$C6))</f>
        <v>17.692714901467</v>
      </c>
      <c r="H6" s="54" t="n">
        <f aca="false">IF($D6=0,"",AVERAGEIFS(Simulation!$AJ$3:$AJ$290,Simulation!$N$3:$N$290,"V",Simulation!$F$3:$F$290,$C6))</f>
        <v>0.427024865214264</v>
      </c>
      <c r="I6" s="55" t="n">
        <f aca="false">IF($D6=0,"",AVERAGEIFS(Simulation!$AO$3:$AO$290,Simulation!$N$3:$N$290,"V",Simulation!$F$3:$F$290,$C6))</f>
        <v>4.38029957925995</v>
      </c>
      <c r="J6" s="52" t="n">
        <f aca="false">IF($D6=0,"",AVERAGEIFS(Simulation!$AT$3:$AT$290,Simulation!$N$3:$N$290,"V",Simulation!$F$3:$F$290,$C6))</f>
        <v>293.181801126603</v>
      </c>
      <c r="K6" s="55" t="n">
        <f aca="false">IF($D6=0,"",AVERAGEIFS(Simulation!$AY$3:$AY$290,Simulation!$N$3:$N$290,"V",Simulation!$F$3:$F$290,$C6))</f>
        <v>1.47753682106915</v>
      </c>
      <c r="L6" s="54" t="n">
        <f aca="false">IF($D6=0,"",AVERAGEIFS(Simulation!$BD$3:$BD$290,Simulation!$N$3:$N$290,"V",Simulation!$F$3:$F$290,$C6))</f>
        <v>1.15443259279967</v>
      </c>
      <c r="M6" s="54" t="n">
        <f aca="false">IF($D6=0,"",AVERAGEIFS(Simulation!$BI$3:$BI$290,Simulation!$N$3:$N$290,"V",Simulation!$F$3:$F$290,$C6))</f>
        <v>0.418973253071719</v>
      </c>
      <c r="N6" s="54" t="n">
        <f aca="false">IF($D6=0,"",AVERAGEIFS(Simulation!$BN$3:$BN$290,Simulation!$N$3:$N$290,"V",Simulation!$F$3:$F$290,$C6))</f>
        <v>0.292956541294882</v>
      </c>
      <c r="O6" s="53" t="n">
        <f aca="false">IF($D6=0,"",AVERAGEIFS(Simulation!$BS$3:$BS$290,Simulation!$N$3:$N$290,"V",Simulation!$F$3:$F$290,$C6))</f>
        <v>19.7064683646896</v>
      </c>
      <c r="P6" s="55" t="n">
        <f aca="false">IF($D6=0,"",AVERAGEIFS(Simulation!$BX$3:$BX$290,Simulation!$N$3:$N$290,"V",Simulation!$F$3:$F$290,$C6))</f>
        <v>11.1334752150127</v>
      </c>
      <c r="Q6" s="53" t="n">
        <f aca="false">IF($D6=0,"",AVERAGEIFS(Simulation!$CL$3:$CL$290,Simulation!$N$3:$N$290,"V",Simulation!$F$3:$F$290,$C6))</f>
        <v>22.8970560576511</v>
      </c>
      <c r="R6" s="53" t="n">
        <f aca="false">IF($D6=0,"",AVERAGEIFS(Simulation!$CO$3:$CO$290,Simulation!$N$3:$N$290,"V",Simulation!$F$3:$F$290,$C6))</f>
        <v>-0.651426085206015</v>
      </c>
      <c r="S6" s="55" t="n">
        <f aca="false">IF($D6=0,"",AVERAGEIFS(Simulation!$CK$3:$CK$290,Simulation!$N$3:$N$290,"V",Simulation!$F$3:$F$290,$C6))</f>
        <v>0.155719913300166</v>
      </c>
    </row>
    <row r="7" customFormat="false" ht="15" hidden="false" customHeight="false" outlineLevel="0" collapsed="false">
      <c r="A7" s="27" t="s">
        <v>454</v>
      </c>
      <c r="B7" s="20" t="s">
        <v>455</v>
      </c>
      <c r="C7" s="20" t="s">
        <v>279</v>
      </c>
      <c r="D7" s="52" t="n">
        <f aca="false">COUNTIFS(Simulation!$N$3:$N$290,"V",Simulation!$F$3:$F$290,$C7)</f>
        <v>16</v>
      </c>
      <c r="E7" s="53" t="n">
        <f aca="false">IF($D7=0,"",AVERAGEIFS(Simulation!$U$3:$U$290,Simulation!$N$3:$N$290,"V",Simulation!$F$3:$F$290,$C7))</f>
        <v>85.1986614127252</v>
      </c>
      <c r="F7" s="53" t="n">
        <f aca="false">IF($D7=0,"",AVERAGEIFS(Simulation!$Z$3:$Z$290,Simulation!$N$3:$N$290,"V",Simulation!$F$3:$F$290,$C7))</f>
        <v>69.8104022530487</v>
      </c>
      <c r="G7" s="53" t="n">
        <f aca="false">IF($D7=0,"",AVERAGEIFS(Simulation!$AE$3:$AE$290,Simulation!$N$3:$N$290,"V",Simulation!$F$3:$F$290,$C7))</f>
        <v>15.5874508723589</v>
      </c>
      <c r="H7" s="54" t="n">
        <f aca="false">IF($D7=0,"",AVERAGEIFS(Simulation!$AJ$3:$AJ$290,Simulation!$N$3:$N$290,"V",Simulation!$F$3:$F$290,$C7))</f>
        <v>0.395829010742835</v>
      </c>
      <c r="I7" s="55" t="n">
        <f aca="false">IF($D7=0,"",AVERAGEIFS(Simulation!$AO$3:$AO$290,Simulation!$N$3:$N$290,"V",Simulation!$F$3:$F$290,$C7))</f>
        <v>4.10658513703484</v>
      </c>
      <c r="J7" s="52" t="n">
        <f aca="false">IF($D7=0,"",AVERAGEIFS(Simulation!$AT$3:$AT$290,Simulation!$N$3:$N$290,"V",Simulation!$F$3:$F$290,$C7))</f>
        <v>304.814315265681</v>
      </c>
      <c r="K7" s="55" t="n">
        <f aca="false">IF($D7=0,"",AVERAGEIFS(Simulation!$AY$3:$AY$290,Simulation!$N$3:$N$290,"V",Simulation!$F$3:$F$290,$C7))</f>
        <v>1.42824786888816</v>
      </c>
      <c r="L7" s="54" t="n">
        <f aca="false">IF($D7=0,"",AVERAGEIFS(Simulation!$BD$3:$BD$290,Simulation!$N$3:$N$290,"V",Simulation!$F$3:$F$290,$C7))</f>
        <v>1.08707242940216</v>
      </c>
      <c r="M7" s="54" t="n">
        <f aca="false">IF($D7=0,"",AVERAGEIFS(Simulation!$BI$3:$BI$290,Simulation!$N$3:$N$290,"V",Simulation!$F$3:$F$290,$C7))</f>
        <v>0.399526486222572</v>
      </c>
      <c r="N7" s="54" t="n">
        <f aca="false">IF($D7=0,"",AVERAGEIFS(Simulation!$BN$3:$BN$290,Simulation!$N$3:$N$290,"V",Simulation!$F$3:$F$290,$C7))</f>
        <v>0.29043347451726</v>
      </c>
      <c r="O7" s="53" t="n">
        <f aca="false">IF($D7=0,"",AVERAGEIFS(Simulation!$BS$3:$BS$290,Simulation!$N$3:$N$290,"V",Simulation!$F$3:$F$290,$C7))</f>
        <v>20.6358432993741</v>
      </c>
      <c r="P7" s="55" t="n">
        <f aca="false">IF($D7=0,"",AVERAGEIFS(Simulation!$BX$3:$BX$290,Simulation!$N$3:$N$290,"V",Simulation!$F$3:$F$290,$C7))</f>
        <v>10.9949795726123</v>
      </c>
      <c r="Q7" s="53" t="n">
        <f aca="false">IF($D7=0,"",AVERAGEIFS(Simulation!$CL$3:$CL$290,Simulation!$N$3:$N$290,"V",Simulation!$F$3:$F$290,$C7))</f>
        <v>23.1875826622585</v>
      </c>
      <c r="R7" s="53" t="n">
        <f aca="false">IF($D7=0,"",AVERAGEIFS(Simulation!$CO$3:$CO$290,Simulation!$N$3:$N$290,"V",Simulation!$F$3:$F$290,$C7))</f>
        <v>-0.360899480598659</v>
      </c>
      <c r="S7" s="55" t="n">
        <f aca="false">IF($D7=0,"",AVERAGEIFS(Simulation!$CK$3:$CK$290,Simulation!$N$3:$N$290,"V",Simulation!$F$3:$F$290,$C7))</f>
        <v>0.208069218758689</v>
      </c>
    </row>
    <row r="8" customFormat="false" ht="15" hidden="false" customHeight="false" outlineLevel="0" collapsed="false">
      <c r="A8" s="27" t="s">
        <v>454</v>
      </c>
      <c r="B8" s="20" t="s">
        <v>455</v>
      </c>
      <c r="C8" s="20" t="s">
        <v>281</v>
      </c>
      <c r="D8" s="52" t="n">
        <f aca="false">COUNTIFS(Simulation!$N$3:$N$290,"V",Simulation!$F$3:$F$290,$C8)</f>
        <v>16</v>
      </c>
      <c r="E8" s="53" t="n">
        <f aca="false">IF($D8=0,"",AVERAGEIFS(Simulation!$U$3:$U$290,Simulation!$N$3:$N$290,"V",Simulation!$F$3:$F$290,$C8))</f>
        <v>83.4517603816819</v>
      </c>
      <c r="F8" s="53" t="n">
        <f aca="false">IF($D8=0,"",AVERAGEIFS(Simulation!$Z$3:$Z$290,Simulation!$N$3:$N$290,"V",Simulation!$F$3:$F$290,$C8))</f>
        <v>64.6635351051164</v>
      </c>
      <c r="G8" s="53" t="n">
        <f aca="false">IF($D8=0,"",AVERAGEIFS(Simulation!$AE$3:$AE$290,Simulation!$N$3:$N$290,"V",Simulation!$F$3:$F$290,$C8))</f>
        <v>12.5420702035836</v>
      </c>
      <c r="H8" s="54" t="n">
        <f aca="false">IF($D8=0,"",AVERAGEIFS(Simulation!$AJ$3:$AJ$290,Simulation!$N$3:$N$290,"V",Simulation!$F$3:$F$290,$C8))</f>
        <v>0.34586803256571</v>
      </c>
      <c r="I8" s="55" t="n">
        <f aca="false">IF($D8=0,"",AVERAGEIFS(Simulation!$AO$3:$AO$290,Simulation!$N$3:$N$290,"V",Simulation!$F$3:$F$290,$C8))</f>
        <v>3.66896171014025</v>
      </c>
      <c r="J8" s="52" t="n">
        <f aca="false">IF($D8=0,"",AVERAGEIFS(Simulation!$AT$3:$AT$290,Simulation!$N$3:$N$290,"V",Simulation!$F$3:$F$290,$C8))</f>
        <v>322.135719740176</v>
      </c>
      <c r="K8" s="55" t="n">
        <f aca="false">IF($D8=0,"",AVERAGEIFS(Simulation!$AY$3:$AY$290,Simulation!$N$3:$N$290,"V",Simulation!$F$3:$F$290,$C8))</f>
        <v>1.34636424670145</v>
      </c>
      <c r="L8" s="54" t="n">
        <f aca="false">IF($D8=0,"",AVERAGEIFS(Simulation!$BD$3:$BD$290,Simulation!$N$3:$N$290,"V",Simulation!$F$3:$F$290,$C8))</f>
        <v>0.980758366751007</v>
      </c>
      <c r="M8" s="54" t="n">
        <f aca="false">IF($D8=0,"",AVERAGEIFS(Simulation!$BI$3:$BI$290,Simulation!$N$3:$N$290,"V",Simulation!$F$3:$F$290,$C8))</f>
        <v>0.368381979664635</v>
      </c>
      <c r="N8" s="54" t="n">
        <f aca="false">IF($D8=0,"",AVERAGEIFS(Simulation!$BN$3:$BN$290,Simulation!$N$3:$N$290,"V",Simulation!$F$3:$F$290,$C8))</f>
        <v>0.27221021856825</v>
      </c>
      <c r="O8" s="53" t="n">
        <f aca="false">IF($D8=0,"",AVERAGEIFS(Simulation!$BS$3:$BS$290,Simulation!$N$3:$N$290,"V",Simulation!$F$3:$F$290,$C8))</f>
        <v>22.1242616042059</v>
      </c>
      <c r="P8" s="55" t="n">
        <f aca="false">IF($D8=0,"",AVERAGEIFS(Simulation!$BX$3:$BX$290,Simulation!$N$3:$N$290,"V",Simulation!$F$3:$F$290,$C8))</f>
        <v>10.773175173123</v>
      </c>
      <c r="Q8" s="53" t="n">
        <f aca="false">IF($D8=0,"",AVERAGEIFS(Simulation!$CL$3:$CL$290,Simulation!$N$3:$N$290,"V",Simulation!$F$3:$F$290,$C8))</f>
        <v>23.6520772817218</v>
      </c>
      <c r="R8" s="53" t="n">
        <f aca="false">IF($D8=0,"",AVERAGEIFS(Simulation!$CO$3:$CO$290,Simulation!$N$3:$N$290,"V",Simulation!$F$3:$F$290,$C8))</f>
        <v>0.103595138864697</v>
      </c>
      <c r="S8" s="55" t="n">
        <f aca="false">IF($D8=0,"",AVERAGEIFS(Simulation!$CK$3:$CK$290,Simulation!$N$3:$N$290,"V",Simulation!$F$3:$F$290,$C8))</f>
        <v>0.291739869886503</v>
      </c>
    </row>
    <row r="9" customFormat="false" ht="15" hidden="false" customHeight="false" outlineLevel="0" collapsed="false">
      <c r="A9" s="27" t="s">
        <v>454</v>
      </c>
      <c r="B9" s="20" t="s">
        <v>455</v>
      </c>
      <c r="C9" s="20" t="s">
        <v>283</v>
      </c>
      <c r="D9" s="52" t="n">
        <f aca="false">COUNTIFS(Simulation!$N$3:$N$290,"V",Simulation!$F$3:$F$290,$C9)</f>
        <v>16</v>
      </c>
      <c r="E9" s="53" t="n">
        <f aca="false">IF($D9=0,"",AVERAGEIFS(Simulation!$U$3:$U$290,Simulation!$N$3:$N$290,"V",Simulation!$F$3:$F$290,$C9))</f>
        <v>77.0301944639412</v>
      </c>
      <c r="F9" s="53" t="n">
        <f aca="false">IF($D9=0,"",AVERAGEIFS(Simulation!$Z$3:$Z$290,Simulation!$N$3:$N$290,"V",Simulation!$F$3:$F$290,$C9))</f>
        <v>48.779473053234</v>
      </c>
      <c r="G9" s="53" t="n">
        <f aca="false">IF($D9=0,"",AVERAGEIFS(Simulation!$AE$3:$AE$290,Simulation!$N$3:$N$290,"V",Simulation!$F$3:$F$290,$C9))</f>
        <v>9.31756227585642</v>
      </c>
      <c r="H9" s="54" t="n">
        <f aca="false">IF($D9=0,"",AVERAGEIFS(Simulation!$AJ$3:$AJ$290,Simulation!$N$3:$N$290,"V",Simulation!$F$3:$F$290,$C9))</f>
        <v>0.281436863434769</v>
      </c>
      <c r="I9" s="55" t="n">
        <f aca="false">IF($D9=0,"",AVERAGEIFS(Simulation!$AO$3:$AO$290,Simulation!$N$3:$N$290,"V",Simulation!$F$3:$F$290,$C9))</f>
        <v>3.11712043526981</v>
      </c>
      <c r="J9" s="52" t="n">
        <f aca="false">IF($D9=0,"",AVERAGEIFS(Simulation!$AT$3:$AT$290,Simulation!$N$3:$N$290,"V",Simulation!$F$3:$F$290,$C9))</f>
        <v>341.529613114502</v>
      </c>
      <c r="K9" s="55" t="n">
        <f aca="false">IF($D9=0,"",AVERAGEIFS(Simulation!$AY$3:$AY$290,Simulation!$N$3:$N$290,"V",Simulation!$F$3:$F$290,$C9))</f>
        <v>1.23292829023717</v>
      </c>
      <c r="L9" s="54" t="n">
        <f aca="false">IF($D9=0,"",AVERAGEIFS(Simulation!$BD$3:$BD$290,Simulation!$N$3:$N$290,"V",Simulation!$F$3:$F$290,$C9))</f>
        <v>0.847499912724287</v>
      </c>
      <c r="M9" s="54" t="n">
        <f aca="false">IF($D9=0,"",AVERAGEIFS(Simulation!$BI$3:$BI$290,Simulation!$N$3:$N$290,"V",Simulation!$F$3:$F$290,$C9))</f>
        <v>0.328217094132972</v>
      </c>
      <c r="N9" s="54" t="n">
        <f aca="false">IF($D9=0,"",AVERAGEIFS(Simulation!$BN$3:$BN$290,Simulation!$N$3:$N$290,"V",Simulation!$F$3:$F$290,$C9))</f>
        <v>0.242029215395209</v>
      </c>
      <c r="O9" s="53" t="n">
        <f aca="false">IF($D9=0,"",AVERAGEIFS(Simulation!$BS$3:$BS$290,Simulation!$N$3:$N$290,"V",Simulation!$F$3:$F$290,$C9))</f>
        <v>24.0437702894884</v>
      </c>
      <c r="P9" s="55" t="n">
        <f aca="false">IF($D9=0,"",AVERAGEIFS(Simulation!$BX$3:$BX$290,Simulation!$N$3:$N$290,"V",Simulation!$F$3:$F$290,$C9))</f>
        <v>10.4871295971775</v>
      </c>
      <c r="Q9" s="53" t="n">
        <f aca="false">IF($D9=0,"",AVERAGEIFS(Simulation!$CL$3:$CL$290,Simulation!$N$3:$N$290,"V",Simulation!$F$3:$F$290,$C9))</f>
        <v>24.2377712142436</v>
      </c>
      <c r="R9" s="53" t="n">
        <f aca="false">IF($D9=0,"",AVERAGEIFS(Simulation!$CO$3:$CO$290,Simulation!$N$3:$N$290,"V",Simulation!$F$3:$F$290,$C9))</f>
        <v>0.689289071386483</v>
      </c>
      <c r="S9" s="55" t="n">
        <f aca="false">IF($D9=0,"",AVERAGEIFS(Simulation!$CK$3:$CK$290,Simulation!$N$3:$N$290,"V",Simulation!$F$3:$F$290,$C9))</f>
        <v>0.397148371528173</v>
      </c>
    </row>
    <row r="10" customFormat="false" ht="15" hidden="false" customHeight="false" outlineLevel="0" collapsed="false">
      <c r="A10" s="27" t="s">
        <v>454</v>
      </c>
      <c r="B10" s="20" t="s">
        <v>455</v>
      </c>
      <c r="C10" s="20" t="s">
        <v>285</v>
      </c>
      <c r="D10" s="52" t="n">
        <f aca="false">COUNTIFS(Simulation!$N$3:$N$290,"V",Simulation!$F$3:$F$290,$C10)</f>
        <v>16</v>
      </c>
      <c r="E10" s="53" t="n">
        <f aca="false">IF($D10=0,"",AVERAGEIFS(Simulation!$U$3:$U$290,Simulation!$N$3:$N$290,"V",Simulation!$F$3:$F$290,$C10))</f>
        <v>70.6965815458986</v>
      </c>
      <c r="F10" s="53" t="n">
        <f aca="false">IF($D10=0,"",AVERAGEIFS(Simulation!$Z$3:$Z$290,Simulation!$N$3:$N$290,"V",Simulation!$F$3:$F$290,$C10))</f>
        <v>40.3646218430047</v>
      </c>
      <c r="G10" s="53" t="n">
        <f aca="false">IF($D10=0,"",AVERAGEIFS(Simulation!$AE$3:$AE$290,Simulation!$N$3:$N$290,"V",Simulation!$F$3:$F$290,$C10))</f>
        <v>7.72880288440312</v>
      </c>
      <c r="H10" s="54" t="n">
        <f aca="false">IF($D10=0,"",AVERAGEIFS(Simulation!$AJ$3:$AJ$290,Simulation!$N$3:$N$290,"V",Simulation!$F$3:$F$290,$C10))</f>
        <v>0.237929229489556</v>
      </c>
      <c r="I10" s="55" t="n">
        <f aca="false">IF($D10=0,"",AVERAGEIFS(Simulation!$AO$3:$AO$290,Simulation!$N$3:$N$290,"V",Simulation!$F$3:$F$290,$C10))</f>
        <v>2.78781837992563</v>
      </c>
      <c r="J10" s="52" t="n">
        <f aca="false">IF($D10=0,"",AVERAGEIFS(Simulation!$AT$3:$AT$290,Simulation!$N$3:$N$290,"V",Simulation!$F$3:$F$290,$C10))</f>
        <v>351.980356669288</v>
      </c>
      <c r="K10" s="55" t="n">
        <f aca="false">IF($D10=0,"",AVERAGEIFS(Simulation!$AY$3:$AY$290,Simulation!$N$3:$N$290,"V",Simulation!$F$3:$F$290,$C10))</f>
        <v>1.14709896196087</v>
      </c>
      <c r="L10" s="54" t="n">
        <f aca="false">IF($D10=0,"",AVERAGEIFS(Simulation!$BD$3:$BD$290,Simulation!$N$3:$N$290,"V",Simulation!$F$3:$F$290,$C10))</f>
        <v>0.761504059276567</v>
      </c>
      <c r="M10" s="54" t="n">
        <f aca="false">IF($D10=0,"",AVERAGEIFS(Simulation!$BI$3:$BI$290,Simulation!$N$3:$N$290,"V",Simulation!$F$3:$F$290,$C10))</f>
        <v>0.301095451599812</v>
      </c>
      <c r="N10" s="54" t="n">
        <f aca="false">IF($D10=0,"",AVERAGEIFS(Simulation!$BN$3:$BN$290,Simulation!$N$3:$N$290,"V",Simulation!$F$3:$F$290,$C10))</f>
        <v>0.225086867844171</v>
      </c>
      <c r="O10" s="53" t="n">
        <f aca="false">IF($D10=0,"",AVERAGEIFS(Simulation!$BS$3:$BS$290,Simulation!$N$3:$N$290,"V",Simulation!$F$3:$F$290,$C10))</f>
        <v>25.3399330374312</v>
      </c>
      <c r="P10" s="55" t="n">
        <f aca="false">IF($D10=0,"",AVERAGEIFS(Simulation!$BX$3:$BX$290,Simulation!$N$3:$N$290,"V",Simulation!$F$3:$F$290,$C10))</f>
        <v>10.2939751600044</v>
      </c>
      <c r="Q10" s="53" t="n">
        <f aca="false">IF($D10=0,"",AVERAGEIFS(Simulation!$CL$3:$CL$290,Simulation!$N$3:$N$290,"V",Simulation!$F$3:$F$290,$C10))</f>
        <v>24.5872094464484</v>
      </c>
      <c r="R10" s="53" t="n">
        <f aca="false">IF($D10=0,"",AVERAGEIFS(Simulation!$CO$3:$CO$290,Simulation!$N$3:$N$290,"V",Simulation!$F$3:$F$290,$C10))</f>
        <v>1.03872730359129</v>
      </c>
      <c r="S10" s="55" t="n">
        <f aca="false">IF($D10=0,"",AVERAGEIFS(Simulation!$CK$3:$CK$290,Simulation!$N$3:$N$290,"V",Simulation!$F$3:$F$290,$C10))</f>
        <v>0.459845614104246</v>
      </c>
    </row>
    <row r="11" customFormat="false" ht="15" hidden="false" customHeight="false" outlineLevel="0" collapsed="false">
      <c r="A11" s="47" t="s">
        <v>456</v>
      </c>
      <c r="B11" s="17" t="s">
        <v>455</v>
      </c>
      <c r="C11" s="17" t="s">
        <v>275</v>
      </c>
      <c r="D11" s="48" t="n">
        <f aca="false">COUNTIFS(Simulation!$N$3:$N$290,"F",Simulation!$F$3:$F$290,$C11)</f>
        <v>22</v>
      </c>
      <c r="E11" s="49" t="n">
        <f aca="false">IF($D11=0,"",AVERAGEIFS(Simulation!$U$3:$U$290,Simulation!$N$3:$N$290,"F",Simulation!$F$3:$F$290,$C11))</f>
        <v>83.6313910714286</v>
      </c>
      <c r="F11" s="49" t="n">
        <f aca="false">IF($D11=0,"",AVERAGEIFS(Simulation!$Z$3:$Z$290,Simulation!$N$3:$N$290,"F",Simulation!$F$3:$F$290,$C11))</f>
        <v>67.5593672727273</v>
      </c>
      <c r="G11" s="49" t="n">
        <f aca="false">IF($D11=0,"",AVERAGEIFS(Simulation!$AE$3:$AE$290,Simulation!$N$3:$N$290,"F",Simulation!$F$3:$F$290,$C11))</f>
        <v>18.3648645454545</v>
      </c>
      <c r="H11" s="50" t="n">
        <f aca="false">IF($D11=0,"",AVERAGEIFS(Simulation!$AJ$3:$AJ$290,Simulation!$N$3:$N$290,"F",Simulation!$F$3:$F$290,$C11))</f>
        <v>0.364172466278093</v>
      </c>
      <c r="I11" s="51" t="n">
        <f aca="false">IF($D11=0,"",AVERAGEIFS(Simulation!$AO$3:$AO$290,Simulation!$N$3:$N$290,"F",Simulation!$F$3:$F$290,$C11))</f>
        <v>5.67851636044002</v>
      </c>
      <c r="J11" s="48" t="n">
        <f aca="false">IF($D11=0,"",AVERAGEIFS(Simulation!$AT$3:$AT$290,Simulation!$N$3:$N$290,"F",Simulation!$F$3:$F$290,$C11))</f>
        <v>285</v>
      </c>
      <c r="K11" s="51" t="n">
        <f aca="false">IF($D11=0,"",AVERAGEIFS(Simulation!$AY$3:$AY$290,Simulation!$N$3:$N$290,"F",Simulation!$F$3:$F$290,$C11))</f>
        <v>2.69742654461216</v>
      </c>
      <c r="L11" s="50" t="n">
        <f aca="false">IF($D11=0,"",AVERAGEIFS(Simulation!$BD$3:$BD$290,Simulation!$N$3:$N$290,"F",Simulation!$F$3:$F$290,$C11))</f>
        <v>1.23507329545455</v>
      </c>
      <c r="M11" s="50" t="n">
        <f aca="false">IF($D11=0,"",AVERAGEIFS(Simulation!$BI$3:$BI$290,Simulation!$N$3:$N$290,"F",Simulation!$F$3:$F$290,$C11))</f>
        <v>0.444626386363636</v>
      </c>
      <c r="N11" s="50" t="n">
        <f aca="false">IF($D11=0,"",AVERAGEIFS(Simulation!$BN$3:$BN$290,Simulation!$N$3:$N$290,"F",Simulation!$F$3:$F$290,$C11))</f>
        <v>0.299640613636364</v>
      </c>
      <c r="O11" s="49" t="n">
        <f aca="false">IF($D11=0,"",AVERAGEIFS(Simulation!$BS$3:$BS$290,Simulation!$N$3:$N$290,"F",Simulation!$F$3:$F$290,$C11))</f>
        <v>15.0340909090909</v>
      </c>
      <c r="P11" s="51" t="n">
        <f aca="false">IF($D11=0,"",AVERAGEIFS(Simulation!$BX$3:$BX$290,Simulation!$N$3:$N$290,"F",Simulation!$F$3:$F$290,$C11))</f>
        <v>10.1788649350649</v>
      </c>
      <c r="Q11" s="49" t="n">
        <f aca="false">IF($D11=0,"",AVERAGEIFS(Simulation!$CL$3:$CL$290,Simulation!$N$3:$N$290,"F",Simulation!$F$3:$F$290,$C11))</f>
        <v>26.5307913960234</v>
      </c>
      <c r="R11" s="49" t="n">
        <f aca="false">IF($D11=0,"",AVERAGEIFS(Simulation!$CO$3:$CO$290,Simulation!$N$3:$N$290,"F",Simulation!$F$3:$F$290,$C11))</f>
        <v>-1.41726055202858</v>
      </c>
      <c r="S11" s="51" t="n">
        <f aca="false">IF($D11=0,"",AVERAGEIFS(Simulation!$CK$3:$CK$290,Simulation!$N$3:$N$290,"F",Simulation!$F$3:$F$290,$C11))</f>
        <v>0.217719155844156</v>
      </c>
    </row>
    <row r="12" customFormat="false" ht="15" hidden="false" customHeight="false" outlineLevel="0" collapsed="false">
      <c r="A12" s="27" t="s">
        <v>456</v>
      </c>
      <c r="B12" s="20" t="s">
        <v>455</v>
      </c>
      <c r="C12" s="20" t="s">
        <v>277</v>
      </c>
      <c r="D12" s="52" t="n">
        <f aca="false">COUNTIFS(Simulation!$N$3:$N$290,"F",Simulation!$F$3:$F$290,$C12)</f>
        <v>22</v>
      </c>
      <c r="E12" s="53" t="n">
        <f aca="false">IF($D12=0,"",AVERAGEIFS(Simulation!$U$3:$U$290,Simulation!$N$3:$N$290,"F",Simulation!$F$3:$F$290,$C12))</f>
        <v>83.2848958464591</v>
      </c>
      <c r="F12" s="53" t="n">
        <f aca="false">IF($D12=0,"",AVERAGEIFS(Simulation!$Z$3:$Z$290,Simulation!$N$3:$N$290,"F",Simulation!$F$3:$F$290,$C12))</f>
        <v>66.6663604149648</v>
      </c>
      <c r="G12" s="53" t="n">
        <f aca="false">IF($D12=0,"",AVERAGEIFS(Simulation!$AE$3:$AE$290,Simulation!$N$3:$N$290,"F",Simulation!$F$3:$F$290,$C12))</f>
        <v>16.7067724080847</v>
      </c>
      <c r="H12" s="54" t="n">
        <f aca="false">IF($D12=0,"",AVERAGEIFS(Simulation!$AJ$3:$AJ$290,Simulation!$N$3:$N$290,"F",Simulation!$F$3:$F$290,$C12))</f>
        <v>0.344352147509914</v>
      </c>
      <c r="I12" s="55" t="n">
        <f aca="false">IF($D12=0,"",AVERAGEIFS(Simulation!$AO$3:$AO$290,Simulation!$N$3:$N$290,"F",Simulation!$F$3:$F$290,$C12))</f>
        <v>5.40847895762803</v>
      </c>
      <c r="J12" s="52" t="n">
        <f aca="false">IF($D12=0,"",AVERAGEIFS(Simulation!$AT$3:$AT$290,Simulation!$N$3:$N$290,"F",Simulation!$F$3:$F$290,$C12))</f>
        <v>294.426595094166</v>
      </c>
      <c r="K12" s="55" t="n">
        <f aca="false">IF($D12=0,"",AVERAGEIFS(Simulation!$AY$3:$AY$290,Simulation!$N$3:$N$290,"F",Simulation!$F$3:$F$290,$C12))</f>
        <v>2.61305225977304</v>
      </c>
      <c r="L12" s="54" t="n">
        <f aca="false">IF($D12=0,"",AVERAGEIFS(Simulation!$BD$3:$BD$290,Simulation!$N$3:$N$290,"F",Simulation!$F$3:$F$290,$C12))</f>
        <v>1.16453817171888</v>
      </c>
      <c r="M12" s="54" t="n">
        <f aca="false">IF($D12=0,"",AVERAGEIFS(Simulation!$BI$3:$BI$290,Simulation!$N$3:$N$290,"F",Simulation!$F$3:$F$290,$C12))</f>
        <v>0.4244236017282</v>
      </c>
      <c r="N12" s="54" t="n">
        <f aca="false">IF($D12=0,"",AVERAGEIFS(Simulation!$BN$3:$BN$290,Simulation!$N$3:$N$290,"F",Simulation!$F$3:$F$290,$C12))</f>
        <v>0.30711602431741</v>
      </c>
      <c r="O12" s="53" t="n">
        <f aca="false">IF($D12=0,"",AVERAGEIFS(Simulation!$BS$3:$BS$290,Simulation!$N$3:$N$290,"F",Simulation!$F$3:$F$290,$C12))</f>
        <v>15.7805422659204</v>
      </c>
      <c r="P12" s="55" t="n">
        <f aca="false">IF($D12=0,"",AVERAGEIFS(Simulation!$BX$3:$BX$290,Simulation!$N$3:$N$290,"F",Simulation!$F$3:$F$290,$C12))</f>
        <v>10.0521888719904</v>
      </c>
      <c r="Q12" s="53" t="n">
        <f aca="false">IF($D12=0,"",AVERAGEIFS(Simulation!$CL$3:$CL$290,Simulation!$N$3:$N$290,"F",Simulation!$F$3:$F$290,$C12))</f>
        <v>26.7883787472088</v>
      </c>
      <c r="R12" s="53" t="n">
        <f aca="false">IF($D12=0,"",AVERAGEIFS(Simulation!$CO$3:$CO$290,Simulation!$N$3:$N$290,"F",Simulation!$F$3:$F$290,$C12))</f>
        <v>-1.15967320084315</v>
      </c>
      <c r="S12" s="55" t="n">
        <f aca="false">IF($D12=0,"",AVERAGEIFS(Simulation!$CK$3:$CK$290,Simulation!$N$3:$N$290,"F",Simulation!$F$3:$F$290,$C12))</f>
        <v>0.25483500951408</v>
      </c>
    </row>
    <row r="13" customFormat="false" ht="15" hidden="false" customHeight="false" outlineLevel="0" collapsed="false">
      <c r="A13" s="27" t="s">
        <v>456</v>
      </c>
      <c r="B13" s="20" t="s">
        <v>455</v>
      </c>
      <c r="C13" s="20" t="s">
        <v>279</v>
      </c>
      <c r="D13" s="52" t="n">
        <f aca="false">COUNTIFS(Simulation!$N$3:$N$290,"F",Simulation!$F$3:$F$290,$C13)</f>
        <v>22</v>
      </c>
      <c r="E13" s="53" t="n">
        <f aca="false">IF($D13=0,"",AVERAGEIFS(Simulation!$U$3:$U$290,Simulation!$N$3:$N$290,"F",Simulation!$F$3:$F$290,$C13))</f>
        <v>82.5127740031743</v>
      </c>
      <c r="F13" s="53" t="n">
        <f aca="false">IF($D13=0,"",AVERAGEIFS(Simulation!$Z$3:$Z$290,Simulation!$N$3:$N$290,"F",Simulation!$F$3:$F$290,$C13))</f>
        <v>64.5779206153859</v>
      </c>
      <c r="G13" s="53" t="n">
        <f aca="false">IF($D13=0,"",AVERAGEIFS(Simulation!$AE$3:$AE$290,Simulation!$N$3:$N$290,"F",Simulation!$F$3:$F$290,$C13))</f>
        <v>14.3862711784114</v>
      </c>
      <c r="H13" s="54" t="n">
        <f aca="false">IF($D13=0,"",AVERAGEIFS(Simulation!$AJ$3:$AJ$290,Simulation!$N$3:$N$290,"F",Simulation!$F$3:$F$290,$C13))</f>
        <v>0.315036158043383</v>
      </c>
      <c r="I13" s="55" t="n">
        <f aca="false">IF($D13=0,"",AVERAGEIFS(Simulation!$AO$3:$AO$290,Simulation!$N$3:$N$290,"F",Simulation!$F$3:$F$290,$C13))</f>
        <v>5.00744300560848</v>
      </c>
      <c r="J13" s="52" t="n">
        <f aca="false">IF($D13=0,"",AVERAGEIFS(Simulation!$AT$3:$AT$290,Simulation!$N$3:$N$290,"F",Simulation!$F$3:$F$290,$C13))</f>
        <v>307.828900896944</v>
      </c>
      <c r="K13" s="55" t="n">
        <f aca="false">IF($D13=0,"",AVERAGEIFS(Simulation!$AY$3:$AY$290,Simulation!$N$3:$N$290,"F",Simulation!$F$3:$F$290,$C13))</f>
        <v>2.48575755734389</v>
      </c>
      <c r="L13" s="54" t="n">
        <f aca="false">IF($D13=0,"",AVERAGEIFS(Simulation!$BD$3:$BD$290,Simulation!$N$3:$N$290,"F",Simulation!$F$3:$F$290,$C13))</f>
        <v>1.06103327869032</v>
      </c>
      <c r="M13" s="54" t="n">
        <f aca="false">IF($D13=0,"",AVERAGEIFS(Simulation!$BI$3:$BI$290,Simulation!$N$3:$N$290,"F",Simulation!$F$3:$F$290,$C13))</f>
        <v>0.394541911706247</v>
      </c>
      <c r="N13" s="54" t="n">
        <f aca="false">IF($D13=0,"",AVERAGEIFS(Simulation!$BN$3:$BN$290,Simulation!$N$3:$N$290,"F",Simulation!$F$3:$F$290,$C13))</f>
        <v>0.303197320758419</v>
      </c>
      <c r="O13" s="53" t="n">
        <f aca="false">IF($D13=0,"",AVERAGEIFS(Simulation!$BS$3:$BS$290,Simulation!$N$3:$N$290,"F",Simulation!$F$3:$F$290,$C13))</f>
        <v>16.8846092776592</v>
      </c>
      <c r="P13" s="55" t="n">
        <f aca="false">IF($D13=0,"",AVERAGEIFS(Simulation!$BX$3:$BX$290,Simulation!$N$3:$N$290,"F",Simulation!$F$3:$F$290,$C13))</f>
        <v>9.86482386670529</v>
      </c>
      <c r="Q13" s="53" t="n">
        <f aca="false">IF($D13=0,"",AVERAGEIFS(Simulation!$CL$3:$CL$290,Simulation!$N$3:$N$290,"F",Simulation!$F$3:$F$290,$C13))</f>
        <v>27.1709243216696</v>
      </c>
      <c r="R13" s="53" t="n">
        <f aca="false">IF($D13=0,"",AVERAGEIFS(Simulation!$CO$3:$CO$290,Simulation!$N$3:$N$290,"F",Simulation!$F$3:$F$290,$C13))</f>
        <v>-0.777127626382333</v>
      </c>
      <c r="S13" s="55" t="n">
        <f aca="false">IF($D13=0,"",AVERAGEIFS(Simulation!$CK$3:$CK$290,Simulation!$N$3:$N$290,"F",Simulation!$F$3:$F$290,$C13))</f>
        <v>0.309954131993922</v>
      </c>
    </row>
    <row r="14" customFormat="false" ht="15" hidden="false" customHeight="false" outlineLevel="0" collapsed="false">
      <c r="A14" s="27" t="s">
        <v>456</v>
      </c>
      <c r="B14" s="20" t="s">
        <v>455</v>
      </c>
      <c r="C14" s="20" t="s">
        <v>281</v>
      </c>
      <c r="D14" s="52" t="n">
        <f aca="false">COUNTIFS(Simulation!$N$3:$N$290,"F",Simulation!$F$3:$F$290,$C14)</f>
        <v>22</v>
      </c>
      <c r="E14" s="53" t="n">
        <f aca="false">IF($D14=0,"",AVERAGEIFS(Simulation!$U$3:$U$290,Simulation!$N$3:$N$290,"F",Simulation!$F$3:$F$290,$C14))</f>
        <v>79.9754403121131</v>
      </c>
      <c r="F14" s="53" t="n">
        <f aca="false">IF($D14=0,"",AVERAGEIFS(Simulation!$Z$3:$Z$290,Simulation!$N$3:$N$290,"F",Simulation!$F$3:$F$290,$C14))</f>
        <v>57.3632083542998</v>
      </c>
      <c r="G14" s="53" t="n">
        <f aca="false">IF($D14=0,"",AVERAGEIFS(Simulation!$AE$3:$AE$290,Simulation!$N$3:$N$290,"F",Simulation!$F$3:$F$290,$C14))</f>
        <v>11.0295380138257</v>
      </c>
      <c r="H14" s="54" t="n">
        <f aca="false">IF($D14=0,"",AVERAGEIFS(Simulation!$AJ$3:$AJ$290,Simulation!$N$3:$N$290,"F",Simulation!$F$3:$F$290,$C14))</f>
        <v>0.268085832918626</v>
      </c>
      <c r="I14" s="55" t="n">
        <f aca="false">IF($D14=0,"",AVERAGEIFS(Simulation!$AO$3:$AO$290,Simulation!$N$3:$N$290,"F",Simulation!$F$3:$F$290,$C14))</f>
        <v>4.36206221943095</v>
      </c>
      <c r="J14" s="52" t="n">
        <f aca="false">IF($D14=0,"",AVERAGEIFS(Simulation!$AT$3:$AT$290,Simulation!$N$3:$N$290,"F",Simulation!$F$3:$F$290,$C14))</f>
        <v>327.785615062537</v>
      </c>
      <c r="K14" s="55" t="n">
        <f aca="false">IF($D14=0,"",AVERAGEIFS(Simulation!$AY$3:$AY$290,Simulation!$N$3:$N$290,"F",Simulation!$F$3:$F$290,$C14))</f>
        <v>2.27428316280207</v>
      </c>
      <c r="L14" s="54" t="n">
        <f aca="false">IF($D14=0,"",AVERAGEIFS(Simulation!$BD$3:$BD$290,Simulation!$N$3:$N$290,"F",Simulation!$F$3:$F$290,$C14))</f>
        <v>0.897672248563313</v>
      </c>
      <c r="M14" s="54" t="n">
        <f aca="false">IF($D14=0,"",AVERAGEIFS(Simulation!$BI$3:$BI$290,Simulation!$N$3:$N$290,"F",Simulation!$F$3:$F$290,$C14))</f>
        <v>0.346685602322264</v>
      </c>
      <c r="N14" s="54" t="n">
        <f aca="false">IF($D14=0,"",AVERAGEIFS(Simulation!$BN$3:$BN$290,Simulation!$N$3:$N$290,"F",Simulation!$F$3:$F$290,$C14))</f>
        <v>0.274893853495013</v>
      </c>
      <c r="O14" s="53" t="n">
        <f aca="false">IF($D14=0,"",AVERAGEIFS(Simulation!$BS$3:$BS$290,Simulation!$N$3:$N$290,"F",Simulation!$F$3:$F$290,$C14))</f>
        <v>18.6528015203201</v>
      </c>
      <c r="P14" s="55" t="n">
        <f aca="false">IF($D14=0,"",AVERAGEIFS(Simulation!$BX$3:$BX$290,Simulation!$N$3:$N$290,"F",Simulation!$F$3:$F$290,$C14))</f>
        <v>9.56475390232006</v>
      </c>
      <c r="Q14" s="53" t="n">
        <f aca="false">IF($D14=0,"",AVERAGEIFS(Simulation!$CL$3:$CL$290,Simulation!$N$3:$N$290,"F",Simulation!$F$3:$F$290,$C14))</f>
        <v>27.7865465095624</v>
      </c>
      <c r="R14" s="53" t="n">
        <f aca="false">IF($D14=0,"",AVERAGEIFS(Simulation!$CO$3:$CO$290,Simulation!$N$3:$N$290,"F",Simulation!$F$3:$F$290,$C14))</f>
        <v>-0.161505438489541</v>
      </c>
      <c r="S14" s="55" t="n">
        <f aca="false">IF($D14=0,"",AVERAGEIFS(Simulation!$CK$3:$CK$290,Simulation!$N$3:$N$290,"F",Simulation!$F$3:$F$290,$C14))</f>
        <v>0.398648928500752</v>
      </c>
    </row>
    <row r="15" customFormat="false" ht="15" hidden="false" customHeight="false" outlineLevel="0" collapsed="false">
      <c r="A15" s="27" t="s">
        <v>456</v>
      </c>
      <c r="B15" s="20" t="s">
        <v>455</v>
      </c>
      <c r="C15" s="20" t="s">
        <v>283</v>
      </c>
      <c r="D15" s="52" t="n">
        <f aca="false">COUNTIFS(Simulation!$N$3:$N$290,"F",Simulation!$F$3:$F$290,$C15)</f>
        <v>22</v>
      </c>
      <c r="E15" s="53" t="n">
        <f aca="false">IF($D15=0,"",AVERAGEIFS(Simulation!$U$3:$U$290,Simulation!$N$3:$N$290,"F",Simulation!$F$3:$F$290,$C15))</f>
        <v>70.6482630634266</v>
      </c>
      <c r="F15" s="53" t="n">
        <f aca="false">IF($D15=0,"",AVERAGEIFS(Simulation!$Z$3:$Z$290,Simulation!$N$3:$N$290,"F",Simulation!$F$3:$F$290,$C15))</f>
        <v>35.0974428026075</v>
      </c>
      <c r="G15" s="53" t="n">
        <f aca="false">IF($D15=0,"",AVERAGEIFS(Simulation!$AE$3:$AE$290,Simulation!$N$3:$N$290,"F",Simulation!$F$3:$F$290,$C15))</f>
        <v>7.47536404422986</v>
      </c>
      <c r="H15" s="54" t="n">
        <f aca="false">IF($D15=0,"",AVERAGEIFS(Simulation!$AJ$3:$AJ$290,Simulation!$N$3:$N$290,"F",Simulation!$F$3:$F$290,$C15))</f>
        <v>0.207537291852411</v>
      </c>
      <c r="I15" s="55" t="n">
        <f aca="false">IF($D15=0,"",AVERAGEIFS(Simulation!$AO$3:$AO$290,Simulation!$N$3:$N$290,"F",Simulation!$F$3:$F$290,$C15))</f>
        <v>3.5327966675062</v>
      </c>
      <c r="J15" s="52" t="n">
        <f aca="false">IF($D15=0,"",AVERAGEIFS(Simulation!$AT$3:$AT$290,Simulation!$N$3:$N$290,"F",Simulation!$F$3:$F$290,$C15))</f>
        <v>350.130130323946</v>
      </c>
      <c r="K15" s="55" t="n">
        <f aca="false">IF($D15=0,"",AVERAGEIFS(Simulation!$AY$3:$AY$290,Simulation!$N$3:$N$290,"F",Simulation!$F$3:$F$290,$C15))</f>
        <v>1.98132103469957</v>
      </c>
      <c r="L15" s="54" t="n">
        <f aca="false">IF($D15=0,"",AVERAGEIFS(Simulation!$BD$3:$BD$290,Simulation!$N$3:$N$290,"F",Simulation!$F$3:$F$290,$C15))</f>
        <v>0.692908760271383</v>
      </c>
      <c r="M15" s="54" t="n">
        <f aca="false">IF($D15=0,"",AVERAGEIFS(Simulation!$BI$3:$BI$290,Simulation!$N$3:$N$290,"F",Simulation!$F$3:$F$290,$C15))</f>
        <v>0.284968676905582</v>
      </c>
      <c r="N15" s="54" t="n">
        <f aca="false">IF($D15=0,"",AVERAGEIFS(Simulation!$BN$3:$BN$290,Simulation!$N$3:$N$290,"F",Simulation!$F$3:$F$290,$C15))</f>
        <v>0.228018199787735</v>
      </c>
      <c r="O15" s="53" t="n">
        <f aca="false">IF($D15=0,"",AVERAGEIFS(Simulation!$BS$3:$BS$290,Simulation!$N$3:$N$290,"F",Simulation!$F$3:$F$290,$C15))</f>
        <v>20.933115028975</v>
      </c>
      <c r="P15" s="55" t="n">
        <f aca="false">IF($D15=0,"",AVERAGEIFS(Simulation!$BX$3:$BX$290,Simulation!$N$3:$N$290,"F",Simulation!$F$3:$F$290,$C15))</f>
        <v>9.17777471712724</v>
      </c>
      <c r="Q15" s="53" t="n">
        <f aca="false">IF($D15=0,"",AVERAGEIFS(Simulation!$CL$3:$CL$290,Simulation!$N$3:$N$290,"F",Simulation!$F$3:$F$290,$C15))</f>
        <v>28.5775659917226</v>
      </c>
      <c r="R15" s="53" t="n">
        <f aca="false">IF($D15=0,"",AVERAGEIFS(Simulation!$CO$3:$CO$290,Simulation!$N$3:$N$290,"F",Simulation!$F$3:$F$290,$C15))</f>
        <v>0.629514043670629</v>
      </c>
      <c r="S15" s="55" t="n">
        <f aca="false">IF($D15=0,"",AVERAGEIFS(Simulation!$CK$3:$CK$290,Simulation!$N$3:$N$290,"F",Simulation!$F$3:$F$290,$C15))</f>
        <v>0.512587472960914</v>
      </c>
    </row>
    <row r="16" customFormat="false" ht="15" hidden="false" customHeight="false" outlineLevel="0" collapsed="false">
      <c r="A16" s="27" t="s">
        <v>456</v>
      </c>
      <c r="B16" s="20" t="s">
        <v>455</v>
      </c>
      <c r="C16" s="20" t="s">
        <v>285</v>
      </c>
      <c r="D16" s="52" t="n">
        <f aca="false">COUNTIFS(Simulation!$N$3:$N$290,"F",Simulation!$F$3:$F$290,$C16)</f>
        <v>22</v>
      </c>
      <c r="E16" s="53" t="n">
        <f aca="false">IF($D16=0,"",AVERAGEIFS(Simulation!$U$3:$U$290,Simulation!$N$3:$N$290,"F",Simulation!$F$3:$F$290,$C16))</f>
        <v>61.4488355300347</v>
      </c>
      <c r="F16" s="53" t="n">
        <f aca="false">IF($D16=0,"",AVERAGEIFS(Simulation!$Z$3:$Z$290,Simulation!$N$3:$N$290,"F",Simulation!$F$3:$F$290,$C16))</f>
        <v>23.3017759519397</v>
      </c>
      <c r="G16" s="53" t="n">
        <f aca="false">IF($D16=0,"",AVERAGEIFS(Simulation!$AE$3:$AE$290,Simulation!$N$3:$N$290,"F",Simulation!$F$3:$F$290,$C16))</f>
        <v>5.72417366119541</v>
      </c>
      <c r="H16" s="54" t="n">
        <f aca="false">IF($D16=0,"",AVERAGEIFS(Simulation!$AJ$3:$AJ$290,Simulation!$N$3:$N$290,"F",Simulation!$F$3:$F$290,$C16))</f>
        <v>0.16665143185394</v>
      </c>
      <c r="I16" s="55" t="n">
        <f aca="false">IF($D16=0,"",AVERAGEIFS(Simulation!$AO$3:$AO$290,Simulation!$N$3:$N$290,"F",Simulation!$F$3:$F$290,$C16))</f>
        <v>3.00646395537997</v>
      </c>
      <c r="J16" s="52" t="n">
        <f aca="false">IF($D16=0,"",AVERAGEIFS(Simulation!$AT$3:$AT$290,Simulation!$N$3:$N$290,"F",Simulation!$F$3:$F$290,$C16))</f>
        <v>362.170868836108</v>
      </c>
      <c r="K16" s="55" t="n">
        <f aca="false">IF($D16=0,"",AVERAGEIFS(Simulation!$AY$3:$AY$290,Simulation!$N$3:$N$290,"F",Simulation!$F$3:$F$290,$C16))</f>
        <v>1.75965637519324</v>
      </c>
      <c r="L16" s="54" t="n">
        <f aca="false">IF($D16=0,"",AVERAGEIFS(Simulation!$BD$3:$BD$290,Simulation!$N$3:$N$290,"F",Simulation!$F$3:$F$290,$C16))</f>
        <v>0.560768468991508</v>
      </c>
      <c r="M16" s="54" t="n">
        <f aca="false">IF($D16=0,"",AVERAGEIFS(Simulation!$BI$3:$BI$290,Simulation!$N$3:$N$290,"F",Simulation!$F$3:$F$290,$C16))</f>
        <v>0.243293856543468</v>
      </c>
      <c r="N16" s="54" t="n">
        <f aca="false">IF($D16=0,"",AVERAGEIFS(Simulation!$BN$3:$BN$290,Simulation!$N$3:$N$290,"F",Simulation!$F$3:$F$290,$C16))</f>
        <v>0.201704176617683</v>
      </c>
      <c r="O16" s="53" t="n">
        <f aca="false">IF($D16=0,"",AVERAGEIFS(Simulation!$BS$3:$BS$290,Simulation!$N$3:$N$290,"F",Simulation!$F$3:$F$290,$C16))</f>
        <v>22.4729139609679</v>
      </c>
      <c r="P16" s="55" t="n">
        <f aca="false">IF($D16=0,"",AVERAGEIFS(Simulation!$BX$3:$BX$290,Simulation!$N$3:$N$290,"F",Simulation!$F$3:$F$290,$C16))</f>
        <v>8.91646409742438</v>
      </c>
      <c r="Q16" s="53" t="n">
        <f aca="false">IF($D16=0,"",AVERAGEIFS(Simulation!$CL$3:$CL$290,Simulation!$N$3:$N$290,"F",Simulation!$F$3:$F$290,$C16))</f>
        <v>29.0796069779234</v>
      </c>
      <c r="R16" s="53" t="n">
        <f aca="false">IF($D16=0,"",AVERAGEIFS(Simulation!$CO$3:$CO$290,Simulation!$N$3:$N$290,"F",Simulation!$F$3:$F$290,$C16))</f>
        <v>1.13155502987145</v>
      </c>
      <c r="S16" s="55" t="n">
        <f aca="false">IF($D16=0,"",AVERAGEIFS(Simulation!$CK$3:$CK$290,Simulation!$N$3:$N$290,"F",Simulation!$F$3:$F$290,$C16))</f>
        <v>0.584848820089023</v>
      </c>
    </row>
    <row r="17" customFormat="false" ht="15" hidden="false" customHeight="false" outlineLevel="0" collapsed="false">
      <c r="A17" s="47" t="s">
        <v>457</v>
      </c>
      <c r="B17" s="17" t="s">
        <v>455</v>
      </c>
      <c r="C17" s="17" t="s">
        <v>275</v>
      </c>
      <c r="D17" s="48" t="n">
        <f aca="false">COUNTIFS(Simulation!$N$3:$N$290,"P",Simulation!$F$3:$F$290,$C17)</f>
        <v>10</v>
      </c>
      <c r="E17" s="49" t="n">
        <f aca="false">IF($D17=0,"",AVERAGEIFS(Simulation!$U$3:$U$290,Simulation!$N$3:$N$290,"P",Simulation!$F$3:$F$290,$C17))</f>
        <v>78.0169348214286</v>
      </c>
      <c r="F17" s="49" t="n">
        <f aca="false">IF($D17=0,"",AVERAGEIFS(Simulation!$Z$3:$Z$290,Simulation!$N$3:$N$290,"P",Simulation!$F$3:$F$290,$C17))</f>
        <v>59.0733051428571</v>
      </c>
      <c r="G17" s="49" t="n">
        <f aca="false">IF($D17=0,"",AVERAGEIFS(Simulation!$AE$3:$AE$290,Simulation!$N$3:$N$290,"P",Simulation!$F$3:$F$290,$C17))</f>
        <v>14.5314031642857</v>
      </c>
      <c r="H17" s="50" t="n">
        <f aca="false">IF($D17=0,"",AVERAGEIFS(Simulation!$AJ$3:$AJ$290,Simulation!$N$3:$N$290,"P",Simulation!$F$3:$F$290,$C17))</f>
        <v>0.261652705708106</v>
      </c>
      <c r="I17" s="51" t="n">
        <f aca="false">IF($D17=0,"",AVERAGEIFS(Simulation!$AO$3:$AO$290,Simulation!$N$3:$N$290,"P",Simulation!$F$3:$F$290,$C17))</f>
        <v>5.63774973731956</v>
      </c>
      <c r="J17" s="48" t="n">
        <f aca="false">IF($D17=0,"",AVERAGEIFS(Simulation!$AT$3:$AT$290,Simulation!$N$3:$N$290,"P",Simulation!$F$3:$F$290,$C17))</f>
        <v>293.55</v>
      </c>
      <c r="K17" s="51" t="n">
        <f aca="false">IF($D17=0,"",AVERAGEIFS(Simulation!$AY$3:$AY$290,Simulation!$N$3:$N$290,"P",Simulation!$F$3:$F$290,$C17))</f>
        <v>2.85693109092726</v>
      </c>
      <c r="L17" s="50" t="n">
        <f aca="false">IF($D17=0,"",AVERAGEIFS(Simulation!$BD$3:$BD$290,Simulation!$N$3:$N$290,"P",Simulation!$F$3:$F$290,$C17))</f>
        <v>1.01403793303571</v>
      </c>
      <c r="M17" s="50" t="n">
        <f aca="false">IF($D17=0,"",AVERAGEIFS(Simulation!$BI$3:$BI$290,Simulation!$N$3:$N$290,"P",Simulation!$F$3:$F$290,$C17))</f>
        <v>0.377937902571429</v>
      </c>
      <c r="N17" s="50" t="n">
        <f aca="false">IF($D17=0,"",AVERAGEIFS(Simulation!$BN$3:$BN$290,Simulation!$N$3:$N$290,"P",Simulation!$F$3:$F$290,$C17))</f>
        <v>0.265057466785714</v>
      </c>
      <c r="O17" s="49" t="n">
        <f aca="false">IF($D17=0,"",AVERAGEIFS(Simulation!$BS$3:$BS$290,Simulation!$N$3:$N$290,"P",Simulation!$F$3:$F$290,$C17))</f>
        <v>17.25</v>
      </c>
      <c r="P17" s="51" t="n">
        <f aca="false">IF($D17=0,"",AVERAGEIFS(Simulation!$BX$3:$BX$290,Simulation!$N$3:$N$290,"P",Simulation!$F$3:$F$290,$C17))</f>
        <v>8.06666565714286</v>
      </c>
      <c r="Q17" s="49" t="n">
        <f aca="false">IF($D17=0,"",AVERAGEIFS(Simulation!$CL$3:$CL$290,Simulation!$N$3:$N$290,"P",Simulation!$F$3:$F$290,$C17))</f>
        <v>30.9321884600983</v>
      </c>
      <c r="R17" s="49" t="n">
        <f aca="false">IF($D17=0,"",AVERAGEIFS(Simulation!$CO$3:$CO$290,Simulation!$N$3:$N$290,"P",Simulation!$F$3:$F$290,$C17))</f>
        <v>-1.43824011133029</v>
      </c>
      <c r="S17" s="51" t="n">
        <f aca="false">IF($D17=0,"",AVERAGEIFS(Simulation!$CK$3:$CK$290,Simulation!$N$3:$N$290,"P",Simulation!$F$3:$F$290,$C17))</f>
        <v>0.345080357142857</v>
      </c>
    </row>
    <row r="18" customFormat="false" ht="15" hidden="false" customHeight="false" outlineLevel="0" collapsed="false">
      <c r="A18" s="27" t="s">
        <v>457</v>
      </c>
      <c r="B18" s="20" t="s">
        <v>455</v>
      </c>
      <c r="C18" s="20" t="s">
        <v>277</v>
      </c>
      <c r="D18" s="52" t="n">
        <f aca="false">COUNTIFS(Simulation!$N$3:$N$290,"P",Simulation!$F$3:$F$290,$C18)</f>
        <v>10</v>
      </c>
      <c r="E18" s="53" t="n">
        <f aca="false">IF($D18=0,"",AVERAGEIFS(Simulation!$U$3:$U$290,Simulation!$N$3:$N$290,"P",Simulation!$F$3:$F$290,$C18))</f>
        <v>77.6856090170083</v>
      </c>
      <c r="F18" s="53" t="n">
        <f aca="false">IF($D18=0,"",AVERAGEIFS(Simulation!$Z$3:$Z$290,Simulation!$N$3:$N$290,"P",Simulation!$F$3:$F$290,$C18))</f>
        <v>58.2724044521462</v>
      </c>
      <c r="G18" s="53" t="n">
        <f aca="false">IF($D18=0,"",AVERAGEIFS(Simulation!$AE$3:$AE$290,Simulation!$N$3:$N$290,"P",Simulation!$F$3:$F$290,$C18))</f>
        <v>13.2053860932163</v>
      </c>
      <c r="H18" s="54" t="n">
        <f aca="false">IF($D18=0,"",AVERAGEIFS(Simulation!$AJ$3:$AJ$290,Simulation!$N$3:$N$290,"P",Simulation!$F$3:$F$290,$C18))</f>
        <v>0.247231542855384</v>
      </c>
      <c r="I18" s="55" t="n">
        <f aca="false">IF($D18=0,"",AVERAGEIFS(Simulation!$AO$3:$AO$290,Simulation!$N$3:$N$290,"P",Simulation!$F$3:$F$290,$C18))</f>
        <v>5.36708383599541</v>
      </c>
      <c r="J18" s="52" t="n">
        <f aca="false">IF($D18=0,"",AVERAGEIFS(Simulation!$AT$3:$AT$290,Simulation!$N$3:$N$290,"P",Simulation!$F$3:$F$290,$C18))</f>
        <v>303.358976464396</v>
      </c>
      <c r="K18" s="55" t="n">
        <f aca="false">IF($D18=0,"",AVERAGEIFS(Simulation!$AY$3:$AY$290,Simulation!$N$3:$N$290,"P",Simulation!$F$3:$F$290,$C18))</f>
        <v>2.76543582879296</v>
      </c>
      <c r="L18" s="54" t="n">
        <f aca="false">IF($D18=0,"",AVERAGEIFS(Simulation!$BD$3:$BD$290,Simulation!$N$3:$N$290,"P",Simulation!$F$3:$F$290,$C18))</f>
        <v>0.954678771053303</v>
      </c>
      <c r="M18" s="54" t="n">
        <f aca="false">IF($D18=0,"",AVERAGEIFS(Simulation!$BI$3:$BI$290,Simulation!$N$3:$N$290,"P",Simulation!$F$3:$F$290,$C18))</f>
        <v>0.36033609336508</v>
      </c>
      <c r="N18" s="54" t="n">
        <f aca="false">IF($D18=0,"",AVERAGEIFS(Simulation!$BN$3:$BN$290,Simulation!$N$3:$N$290,"P",Simulation!$F$3:$F$290,$C18))</f>
        <v>0.271833570254426</v>
      </c>
      <c r="O18" s="53" t="n">
        <f aca="false">IF($D18=0,"",AVERAGEIFS(Simulation!$BS$3:$BS$290,Simulation!$N$3:$N$290,"P",Simulation!$F$3:$F$290,$C18))</f>
        <v>18.1274500489561</v>
      </c>
      <c r="P18" s="55" t="n">
        <f aca="false">IF($D18=0,"",AVERAGEIFS(Simulation!$BX$3:$BX$290,Simulation!$N$3:$N$290,"P",Simulation!$F$3:$F$290,$C18))</f>
        <v>7.96377998102449</v>
      </c>
      <c r="Q18" s="53" t="n">
        <f aca="false">IF($D18=0,"",AVERAGEIFS(Simulation!$CL$3:$CL$290,Simulation!$N$3:$N$290,"P",Simulation!$F$3:$F$290,$C18))</f>
        <v>31.1932816755147</v>
      </c>
      <c r="R18" s="53" t="n">
        <f aca="false">IF($D18=0,"",AVERAGEIFS(Simulation!$CO$3:$CO$290,Simulation!$N$3:$N$290,"P",Simulation!$F$3:$F$290,$C18))</f>
        <v>-1.1771468959139</v>
      </c>
      <c r="S18" s="55" t="n">
        <f aca="false">IF($D18=0,"",AVERAGEIFS(Simulation!$CK$3:$CK$290,Simulation!$N$3:$N$290,"P",Simulation!$F$3:$F$290,$C18))</f>
        <v>0.376531042143254</v>
      </c>
    </row>
    <row r="19" customFormat="false" ht="15" hidden="false" customHeight="false" outlineLevel="0" collapsed="false">
      <c r="A19" s="27" t="s">
        <v>457</v>
      </c>
      <c r="B19" s="20" t="s">
        <v>455</v>
      </c>
      <c r="C19" s="20" t="s">
        <v>279</v>
      </c>
      <c r="D19" s="52" t="n">
        <f aca="false">COUNTIFS(Simulation!$N$3:$N$290,"P",Simulation!$F$3:$F$290,$C19)</f>
        <v>10</v>
      </c>
      <c r="E19" s="53" t="n">
        <f aca="false">IF($D19=0,"",AVERAGEIFS(Simulation!$U$3:$U$290,Simulation!$N$3:$N$290,"P",Simulation!$F$3:$F$290,$C19))</f>
        <v>76.9472903551585</v>
      </c>
      <c r="F19" s="53" t="n">
        <f aca="false">IF($D19=0,"",AVERAGEIFS(Simulation!$Z$3:$Z$290,Simulation!$N$3:$N$290,"P",Simulation!$F$3:$F$290,$C19))</f>
        <v>56.3993697005632</v>
      </c>
      <c r="G19" s="53" t="n">
        <f aca="false">IF($D19=0,"",AVERAGEIFS(Simulation!$AE$3:$AE$290,Simulation!$N$3:$N$290,"P",Simulation!$F$3:$F$290,$C19))</f>
        <v>11.3496241758687</v>
      </c>
      <c r="H19" s="54" t="n">
        <f aca="false">IF($D19=0,"",AVERAGEIFS(Simulation!$AJ$3:$AJ$290,Simulation!$N$3:$N$290,"P",Simulation!$F$3:$F$290,$C19))</f>
        <v>0.225901378430162</v>
      </c>
      <c r="I19" s="55" t="n">
        <f aca="false">IF($D19=0,"",AVERAGEIFS(Simulation!$AO$3:$AO$290,Simulation!$N$3:$N$290,"P",Simulation!$F$3:$F$290,$C19))</f>
        <v>4.96505100027275</v>
      </c>
      <c r="J19" s="52" t="n">
        <f aca="false">IF($D19=0,"",AVERAGEIFS(Simulation!$AT$3:$AT$290,Simulation!$N$3:$N$290,"P",Simulation!$F$3:$F$290,$C19))</f>
        <v>317.304934774354</v>
      </c>
      <c r="K19" s="55" t="n">
        <f aca="false">IF($D19=0,"",AVERAGEIFS(Simulation!$AY$3:$AY$290,Simulation!$N$3:$N$290,"P",Simulation!$F$3:$F$290,$C19))</f>
        <v>2.62739777384209</v>
      </c>
      <c r="L19" s="54" t="n">
        <f aca="false">IF($D19=0,"",AVERAGEIFS(Simulation!$BD$3:$BD$290,Simulation!$N$3:$N$290,"P",Simulation!$F$3:$F$290,$C19))</f>
        <v>0.86757374612587</v>
      </c>
      <c r="M19" s="54" t="n">
        <f aca="false">IF($D19=0,"",AVERAGEIFS(Simulation!$BI$3:$BI$290,Simulation!$N$3:$N$290,"P",Simulation!$F$3:$F$290,$C19))</f>
        <v>0.334301474077642</v>
      </c>
      <c r="N19" s="54" t="n">
        <f aca="false">IF($D19=0,"",AVERAGEIFS(Simulation!$BN$3:$BN$290,Simulation!$N$3:$N$290,"P",Simulation!$F$3:$F$290,$C19))</f>
        <v>0.268281452262266</v>
      </c>
      <c r="O19" s="53" t="n">
        <f aca="false">IF($D19=0,"",AVERAGEIFS(Simulation!$BS$3:$BS$290,Simulation!$N$3:$N$290,"P",Simulation!$F$3:$F$290,$C19))</f>
        <v>19.4252756133918</v>
      </c>
      <c r="P19" s="55" t="n">
        <f aca="false">IF($D19=0,"",AVERAGEIFS(Simulation!$BX$3:$BX$290,Simulation!$N$3:$N$290,"P",Simulation!$F$3:$F$290,$C19))</f>
        <v>7.81160304418402</v>
      </c>
      <c r="Q19" s="53" t="n">
        <f aca="false">IF($D19=0,"",AVERAGEIFS(Simulation!$CL$3:$CL$290,Simulation!$N$3:$N$290,"P",Simulation!$F$3:$F$290,$C19))</f>
        <v>31.5810958883822</v>
      </c>
      <c r="R19" s="53" t="n">
        <f aca="false">IF($D19=0,"",AVERAGEIFS(Simulation!$CO$3:$CO$290,Simulation!$N$3:$N$290,"P",Simulation!$F$3:$F$290,$C19))</f>
        <v>-0.789332683046347</v>
      </c>
      <c r="S19" s="55" t="n">
        <f aca="false">IF($D19=0,"",AVERAGEIFS(Simulation!$CK$3:$CK$290,Simulation!$N$3:$N$290,"P",Simulation!$F$3:$F$290,$C19))</f>
        <v>0.423246431530077</v>
      </c>
    </row>
    <row r="20" customFormat="false" ht="15" hidden="false" customHeight="false" outlineLevel="0" collapsed="false">
      <c r="A20" s="27" t="s">
        <v>457</v>
      </c>
      <c r="B20" s="20" t="s">
        <v>455</v>
      </c>
      <c r="C20" s="20" t="s">
        <v>281</v>
      </c>
      <c r="D20" s="52" t="n">
        <f aca="false">COUNTIFS(Simulation!$N$3:$N$290,"P",Simulation!$F$3:$F$290,$C20)</f>
        <v>10</v>
      </c>
      <c r="E20" s="53" t="n">
        <f aca="false">IF($D20=0,"",AVERAGEIFS(Simulation!$U$3:$U$290,Simulation!$N$3:$N$290,"P",Simulation!$F$3:$F$290,$C20))</f>
        <v>74.5210401049636</v>
      </c>
      <c r="F20" s="53" t="n">
        <f aca="false">IF($D20=0,"",AVERAGEIFS(Simulation!$Z$3:$Z$290,Simulation!$N$3:$N$290,"P",Simulation!$F$3:$F$290,$C20))</f>
        <v>49.9287944939372</v>
      </c>
      <c r="G20" s="53" t="n">
        <f aca="false">IF($D20=0,"",AVERAGEIFS(Simulation!$AE$3:$AE$290,Simulation!$N$3:$N$290,"P",Simulation!$F$3:$F$290,$C20))</f>
        <v>8.66516208902336</v>
      </c>
      <c r="H20" s="54" t="n">
        <f aca="false">IF($D20=0,"",AVERAGEIFS(Simulation!$AJ$3:$AJ$290,Simulation!$N$3:$N$290,"P",Simulation!$F$3:$F$290,$C20))</f>
        <v>0.191740561314576</v>
      </c>
      <c r="I20" s="55" t="n">
        <f aca="false">IF($D20=0,"",AVERAGEIFS(Simulation!$AO$3:$AO$290,Simulation!$N$3:$N$290,"P",Simulation!$F$3:$F$290,$C20))</f>
        <v>4.31783821132716</v>
      </c>
      <c r="J20" s="52" t="n">
        <f aca="false">IF($D20=0,"",AVERAGEIFS(Simulation!$AT$3:$AT$290,Simulation!$N$3:$N$290,"P",Simulation!$F$3:$F$290,$C20))</f>
        <v>338.071175140202</v>
      </c>
      <c r="K20" s="55" t="n">
        <f aca="false">IF($D20=0,"",AVERAGEIFS(Simulation!$AY$3:$AY$290,Simulation!$N$3:$N$290,"P",Simulation!$F$3:$F$290,$C20))</f>
        <v>2.39807547261975</v>
      </c>
      <c r="L20" s="54" t="n">
        <f aca="false">IF($D20=0,"",AVERAGEIFS(Simulation!$BD$3:$BD$290,Simulation!$N$3:$N$290,"P",Simulation!$F$3:$F$290,$C20))</f>
        <v>0.730096510170877</v>
      </c>
      <c r="M20" s="54" t="n">
        <f aca="false">IF($D20=0,"",AVERAGEIFS(Simulation!$BI$3:$BI$290,Simulation!$N$3:$N$290,"P",Simulation!$F$3:$F$290,$C20))</f>
        <v>0.292606349257109</v>
      </c>
      <c r="N20" s="54" t="n">
        <f aca="false">IF($D20=0,"",AVERAGEIFS(Simulation!$BN$3:$BN$290,Simulation!$N$3:$N$290,"P",Simulation!$F$3:$F$290,$C20))</f>
        <v>0.242625708265967</v>
      </c>
      <c r="O20" s="53" t="n">
        <f aca="false">IF($D20=0,"",AVERAGEIFS(Simulation!$BS$3:$BS$290,Simulation!$N$3:$N$290,"P",Simulation!$F$3:$F$290,$C20))</f>
        <v>21.5037772541103</v>
      </c>
      <c r="P20" s="55" t="n">
        <f aca="false">IF($D20=0,"",AVERAGEIFS(Simulation!$BX$3:$BX$290,Simulation!$N$3:$N$290,"P",Simulation!$F$3:$F$290,$C20))</f>
        <v>7.56788769323855</v>
      </c>
      <c r="Q20" s="53" t="n">
        <f aca="false">IF($D20=0,"",AVERAGEIFS(Simulation!$CL$3:$CL$290,Simulation!$N$3:$N$290,"P",Simulation!$F$3:$F$290,$C20))</f>
        <v>32.2054193186286</v>
      </c>
      <c r="R20" s="53" t="n">
        <f aca="false">IF($D20=0,"",AVERAGEIFS(Simulation!$CO$3:$CO$290,Simulation!$N$3:$N$290,"P",Simulation!$F$3:$F$290,$C20))</f>
        <v>-0.165009252799978</v>
      </c>
      <c r="S20" s="55" t="n">
        <f aca="false">IF($D20=0,"",AVERAGEIFS(Simulation!$CK$3:$CK$290,Simulation!$N$3:$N$290,"P",Simulation!$F$3:$F$290,$C20))</f>
        <v>0.498451955043431</v>
      </c>
    </row>
    <row r="21" customFormat="false" ht="15" hidden="false" customHeight="false" outlineLevel="0" collapsed="false">
      <c r="A21" s="27" t="s">
        <v>457</v>
      </c>
      <c r="B21" s="20" t="s">
        <v>455</v>
      </c>
      <c r="C21" s="20" t="s">
        <v>283</v>
      </c>
      <c r="D21" s="52" t="n">
        <f aca="false">COUNTIFS(Simulation!$N$3:$N$290,"P",Simulation!$F$3:$F$290,$C21)</f>
        <v>10</v>
      </c>
      <c r="E21" s="53" t="n">
        <f aca="false">IF($D21=0,"",AVERAGEIFS(Simulation!$U$3:$U$290,Simulation!$N$3:$N$290,"P",Simulation!$F$3:$F$290,$C21))</f>
        <v>65.6022028968497</v>
      </c>
      <c r="F21" s="53" t="n">
        <f aca="false">IF($D21=0,"",AVERAGEIFS(Simulation!$Z$3:$Z$290,Simulation!$N$3:$N$290,"P",Simulation!$F$3:$F$290,$C21))</f>
        <v>29.9595558990168</v>
      </c>
      <c r="G21" s="53" t="n">
        <f aca="false">IF($D21=0,"",AVERAGEIFS(Simulation!$AE$3:$AE$290,Simulation!$N$3:$N$290,"P",Simulation!$F$3:$F$290,$C21))</f>
        <v>5.82280173339762</v>
      </c>
      <c r="H21" s="54" t="n">
        <f aca="false">IF($D21=0,"",AVERAGEIFS(Simulation!$AJ$3:$AJ$290,Simulation!$N$3:$N$290,"P",Simulation!$F$3:$F$290,$C21))</f>
        <v>0.147685751630459</v>
      </c>
      <c r="I21" s="55" t="n">
        <f aca="false">IF($D21=0,"",AVERAGEIFS(Simulation!$AO$3:$AO$290,Simulation!$N$3:$N$290,"P",Simulation!$F$3:$F$290,$C21))</f>
        <v>3.48538509272109</v>
      </c>
      <c r="J21" s="52" t="n">
        <f aca="false">IF($D21=0,"",AVERAGEIFS(Simulation!$AT$3:$AT$290,Simulation!$N$3:$N$290,"P",Simulation!$F$3:$F$290,$C21))</f>
        <v>361.32207561042</v>
      </c>
      <c r="K21" s="55" t="n">
        <f aca="false">IF($D21=0,"",AVERAGEIFS(Simulation!$AY$3:$AY$290,Simulation!$N$3:$N$290,"P",Simulation!$F$3:$F$290,$C21))</f>
        <v>2.08038807820486</v>
      </c>
      <c r="L21" s="54" t="n">
        <f aca="false">IF($D21=0,"",AVERAGEIFS(Simulation!$BD$3:$BD$290,Simulation!$N$3:$N$290,"P",Simulation!$F$3:$F$290,$C21))</f>
        <v>0.557776842665159</v>
      </c>
      <c r="M21" s="54" t="n">
        <f aca="false">IF($D21=0,"",AVERAGEIFS(Simulation!$BI$3:$BI$290,Simulation!$N$3:$N$290,"P",Simulation!$F$3:$F$290,$C21))</f>
        <v>0.238835071406558</v>
      </c>
      <c r="N21" s="54" t="n">
        <f aca="false">IF($D21=0,"",AVERAGEIFS(Simulation!$BN$3:$BN$290,Simulation!$N$3:$N$290,"P",Simulation!$F$3:$F$290,$C21))</f>
        <v>0.200135162497111</v>
      </c>
      <c r="O21" s="53" t="n">
        <f aca="false">IF($D21=0,"",AVERAGEIFS(Simulation!$BS$3:$BS$290,Simulation!$N$3:$N$290,"P",Simulation!$F$3:$F$290,$C21))</f>
        <v>24.1842750273382</v>
      </c>
      <c r="P21" s="55" t="n">
        <f aca="false">IF($D21=0,"",AVERAGEIFS(Simulation!$BX$3:$BX$290,Simulation!$N$3:$N$290,"P",Simulation!$F$3:$F$290,$C21))</f>
        <v>7.25358510010469</v>
      </c>
      <c r="Q21" s="53" t="n">
        <f aca="false">IF($D21=0,"",AVERAGEIFS(Simulation!$CL$3:$CL$290,Simulation!$N$3:$N$290,"P",Simulation!$F$3:$F$290,$C21))</f>
        <v>33.0084336873616</v>
      </c>
      <c r="R21" s="53" t="n">
        <f aca="false">IF($D21=0,"",AVERAGEIFS(Simulation!$CO$3:$CO$290,Simulation!$N$3:$N$290,"P",Simulation!$F$3:$F$290,$C21))</f>
        <v>0.638005115933017</v>
      </c>
      <c r="S21" s="55" t="n">
        <f aca="false">IF($D21=0,"",AVERAGEIFS(Simulation!$CK$3:$CK$290,Simulation!$N$3:$N$290,"P",Simulation!$F$3:$F$290,$C21))</f>
        <v>0.595184893899504</v>
      </c>
    </row>
    <row r="22" customFormat="false" ht="15" hidden="false" customHeight="false" outlineLevel="0" collapsed="false">
      <c r="A22" s="27" t="s">
        <v>457</v>
      </c>
      <c r="B22" s="20" t="s">
        <v>455</v>
      </c>
      <c r="C22" s="20" t="s">
        <v>285</v>
      </c>
      <c r="D22" s="52" t="n">
        <f aca="false">COUNTIFS(Simulation!$N$3:$N$290,"P",Simulation!$F$3:$F$290,$C22)</f>
        <v>10</v>
      </c>
      <c r="E22" s="53" t="n">
        <f aca="false">IF($D22=0,"",AVERAGEIFS(Simulation!$U$3:$U$290,Simulation!$N$3:$N$290,"P",Simulation!$F$3:$F$290,$C22))</f>
        <v>56.8055225732591</v>
      </c>
      <c r="F22" s="53" t="n">
        <f aca="false">IF($D22=0,"",AVERAGEIFS(Simulation!$Z$3:$Z$290,Simulation!$N$3:$N$290,"P",Simulation!$F$3:$F$290,$C22))</f>
        <v>19.3805131447794</v>
      </c>
      <c r="G22" s="53" t="n">
        <f aca="false">IF($D22=0,"",AVERAGEIFS(Simulation!$AE$3:$AE$290,Simulation!$N$3:$N$290,"P",Simulation!$F$3:$F$290,$C22))</f>
        <v>4.42233170506746</v>
      </c>
      <c r="H22" s="54" t="n">
        <f aca="false">IF($D22=0,"",AVERAGEIFS(Simulation!$AJ$3:$AJ$290,Simulation!$N$3:$N$290,"P",Simulation!$F$3:$F$290,$C22))</f>
        <v>0.117937408412175</v>
      </c>
      <c r="I22" s="55" t="n">
        <f aca="false">IF($D22=0,"",AVERAGEIFS(Simulation!$AO$3:$AO$290,Simulation!$N$3:$N$290,"P",Simulation!$F$3:$F$290,$C22))</f>
        <v>2.95536154786704</v>
      </c>
      <c r="J22" s="52" t="n">
        <f aca="false">IF($D22=0,"",AVERAGEIFS(Simulation!$AT$3:$AT$290,Simulation!$N$3:$N$290,"P",Simulation!$F$3:$F$290,$C22))</f>
        <v>373.851235874536</v>
      </c>
      <c r="K22" s="55" t="n">
        <f aca="false">IF($D22=0,"",AVERAGEIFS(Simulation!$AY$3:$AY$290,Simulation!$N$3:$N$290,"P",Simulation!$F$3:$F$290,$C22))</f>
        <v>1.8400154793009</v>
      </c>
      <c r="L22" s="54" t="n">
        <f aca="false">IF($D22=0,"",AVERAGEIFS(Simulation!$BD$3:$BD$290,Simulation!$N$3:$N$290,"P",Simulation!$F$3:$F$290,$C22))</f>
        <v>0.446573564935327</v>
      </c>
      <c r="M22" s="54" t="n">
        <f aca="false">IF($D22=0,"",AVERAGEIFS(Simulation!$BI$3:$BI$290,Simulation!$N$3:$N$290,"P",Simulation!$F$3:$F$290,$C22))</f>
        <v>0.202525609618992</v>
      </c>
      <c r="N22" s="54" t="n">
        <f aca="false">IF($D22=0,"",AVERAGEIFS(Simulation!$BN$3:$BN$290,Simulation!$N$3:$N$290,"P",Simulation!$F$3:$F$290,$C22))</f>
        <v>0.176282754745062</v>
      </c>
      <c r="O22" s="53" t="n">
        <f aca="false">IF($D22=0,"",AVERAGEIFS(Simulation!$BS$3:$BS$290,Simulation!$N$3:$N$290,"P",Simulation!$F$3:$F$290,$C22))</f>
        <v>25.9943014086934</v>
      </c>
      <c r="P22" s="55" t="n">
        <f aca="false">IF($D22=0,"",AVERAGEIFS(Simulation!$BX$3:$BX$290,Simulation!$N$3:$N$290,"P",Simulation!$F$3:$F$290,$C22))</f>
        <v>7.0413498985005</v>
      </c>
      <c r="Q22" s="53" t="n">
        <f aca="false">IF($D22=0,"",AVERAGEIFS(Simulation!$CL$3:$CL$290,Simulation!$N$3:$N$290,"P",Simulation!$F$3:$F$290,$C22))</f>
        <v>33.5197172094009</v>
      </c>
      <c r="R22" s="53" t="n">
        <f aca="false">IF($D22=0,"",AVERAGEIFS(Simulation!$CO$3:$CO$290,Simulation!$N$3:$N$290,"P",Simulation!$F$3:$F$290,$C22))</f>
        <v>1.14928863797233</v>
      </c>
      <c r="S22" s="55" t="n">
        <f aca="false">IF($D22=0,"",AVERAGEIFS(Simulation!$CK$3:$CK$290,Simulation!$N$3:$N$290,"P",Simulation!$F$3:$F$290,$C22))</f>
        <v>0.656780150282936</v>
      </c>
    </row>
    <row r="24" customFormat="false" ht="15" hidden="false" customHeight="false" outlineLevel="0" collapsed="false">
      <c r="A24" s="7" t="s">
        <v>458</v>
      </c>
    </row>
    <row r="25" customFormat="false" ht="23.85" hidden="false" customHeight="false" outlineLevel="0" collapsed="false">
      <c r="A25" s="6" t="s">
        <v>358</v>
      </c>
      <c r="B25" s="6" t="s">
        <v>156</v>
      </c>
      <c r="C25" s="6" t="s">
        <v>356</v>
      </c>
      <c r="D25" s="6" t="s">
        <v>441</v>
      </c>
      <c r="E25" s="6" t="s">
        <v>442</v>
      </c>
      <c r="F25" s="6" t="s">
        <v>443</v>
      </c>
      <c r="G25" s="6" t="s">
        <v>444</v>
      </c>
      <c r="H25" s="6" t="s">
        <v>445</v>
      </c>
      <c r="I25" s="6" t="s">
        <v>446</v>
      </c>
      <c r="J25" s="6" t="s">
        <v>447</v>
      </c>
      <c r="K25" s="6" t="s">
        <v>230</v>
      </c>
      <c r="L25" s="6" t="s">
        <v>448</v>
      </c>
      <c r="M25" s="6" t="s">
        <v>449</v>
      </c>
      <c r="N25" s="6" t="s">
        <v>450</v>
      </c>
      <c r="O25" s="6" t="s">
        <v>451</v>
      </c>
      <c r="P25" s="6" t="s">
        <v>452</v>
      </c>
      <c r="Q25" s="6" t="s">
        <v>429</v>
      </c>
      <c r="R25" s="6" t="s">
        <v>453</v>
      </c>
      <c r="S25" s="6" t="s">
        <v>428</v>
      </c>
    </row>
    <row r="26" customFormat="false" ht="15" hidden="false" customHeight="false" outlineLevel="0" collapsed="false">
      <c r="A26" s="47" t="s">
        <v>454</v>
      </c>
      <c r="B26" s="17" t="s">
        <v>455</v>
      </c>
      <c r="C26" s="17" t="s">
        <v>275</v>
      </c>
      <c r="D26" s="48" t="n">
        <f aca="false">COUNTIFS(Simulation!$N$3:$N$290,"V",Simulation!$F$3:$F$290,$C26)</f>
        <v>16</v>
      </c>
      <c r="E26" s="19" t="n">
        <f aca="false">IF($D26=0,"",AVERAGEIFS(Simulation!$U$3:$U$290,Simulation!$N$3:$N$290,"V",Simulation!$F$3:$F$290,$C26)/AVERAGEIFS(Simulation!$U$3:$U$290,Simulation!$N$3:$N$290,"V",Simulation!$F$3:$F$290,$C26)-1)</f>
        <v>0</v>
      </c>
      <c r="F26" s="19" t="n">
        <f aca="false">IF($D26=0,"",AVERAGEIFS(Simulation!$Z$3:$Z$290,Simulation!$N$3:$N$290,"V",Simulation!$F$3:$F$290,$C26)/AVERAGEIFS(Simulation!$Z$3:$Z$290,Simulation!$N$3:$N$290,"V",Simulation!$F$3:$F$290,$C26)-1)</f>
        <v>0</v>
      </c>
      <c r="G26" s="19" t="n">
        <f aca="false">IF($D26=0,"",AVERAGEIFS(Simulation!$AE$3:$AE$290,Simulation!$N$3:$N$290,"V",Simulation!$F$3:$F$290,$C26)/AVERAGEIFS(Simulation!$AE$3:$AE$290,Simulation!$N$3:$N$290,"V",Simulation!$F$3:$F$290,$C26)-1)</f>
        <v>0</v>
      </c>
      <c r="H26" s="19" t="n">
        <f aca="false">IF($D26=0,"",AVERAGEIFS(Simulation!$AJ$3:$AJ$290,Simulation!$N$3:$N$290,"V",Simulation!$F$3:$F$290,$C26)/AVERAGEIFS(Simulation!$AJ$3:$AJ$290,Simulation!$N$3:$N$290,"V",Simulation!$F$3:$F$290,$C26)-1)</f>
        <v>0</v>
      </c>
      <c r="I26" s="19" t="n">
        <f aca="false">IF($D26=0,"",AVERAGEIFS(Simulation!$AO$3:$AO$290,Simulation!$N$3:$N$290,"V",Simulation!$F$3:$F$290,$C26)/AVERAGEIFS(Simulation!$AO$3:$AO$290,Simulation!$N$3:$N$290,"V",Simulation!$F$3:$F$290,$C26)-1)</f>
        <v>0</v>
      </c>
      <c r="J26" s="19" t="n">
        <f aca="false">IF($D26=0,"",AVERAGEIFS(Simulation!$AT$3:$AT$290,Simulation!$N$3:$N$290,"V",Simulation!$F$3:$F$290,$C26)/AVERAGEIFS(Simulation!$AT$3:$AT$290,Simulation!$N$3:$N$290,"V",Simulation!$F$3:$F$290,$C26)-1)</f>
        <v>0</v>
      </c>
      <c r="K26" s="19" t="n">
        <f aca="false">IF($D26=0,"",AVERAGEIFS(Simulation!$AY$3:$AY$290,Simulation!$N$3:$N$290,"V",Simulation!$F$3:$F$290,$C26)/AVERAGEIFS(Simulation!$AY$3:$AY$290,Simulation!$N$3:$N$290,"V",Simulation!$F$3:$F$290,$C26)-1)</f>
        <v>0</v>
      </c>
      <c r="L26" s="19" t="n">
        <f aca="false">IF($D26=0,"",AVERAGEIFS(Simulation!$BD$3:$BD$290,Simulation!$N$3:$N$290,"V",Simulation!$F$3:$F$290,$C26)/AVERAGEIFS(Simulation!$BD$3:$BD$290,Simulation!$N$3:$N$290,"V",Simulation!$F$3:$F$290,$C26)-1)</f>
        <v>0</v>
      </c>
      <c r="M26" s="19" t="n">
        <f aca="false">IF($D26=0,"",AVERAGEIFS(Simulation!$BI$3:$BI$290,Simulation!$N$3:$N$290,"V",Simulation!$F$3:$F$290,$C26)/AVERAGEIFS(Simulation!$BI$3:$BI$290,Simulation!$N$3:$N$290,"V",Simulation!$F$3:$F$290,$C26)-1)</f>
        <v>0</v>
      </c>
      <c r="N26" s="19" t="n">
        <f aca="false">IF($D26=0,"",AVERAGEIFS(Simulation!$BN$3:$BN$290,Simulation!$N$3:$N$290,"V",Simulation!$F$3:$F$290,$C26)/AVERAGEIFS(Simulation!$BN$3:$BN$290,Simulation!$N$3:$N$290,"V",Simulation!$F$3:$F$290,$C26)-1)</f>
        <v>0</v>
      </c>
      <c r="O26" s="19" t="n">
        <f aca="false">IF($D26=0,"",AVERAGEIFS(Simulation!$BS$3:$BS$290,Simulation!$N$3:$N$290,"V",Simulation!$F$3:$F$290,$C26)/AVERAGEIFS(Simulation!$BS$3:$BS$290,Simulation!$N$3:$N$290,"V",Simulation!$F$3:$F$290,$C26)-1)</f>
        <v>0</v>
      </c>
      <c r="P26" s="19" t="n">
        <f aca="false">IF($D26=0,"",AVERAGEIFS(Simulation!$BX$3:$BX$290,Simulation!$N$3:$N$290,"V",Simulation!$F$3:$F$290,$C26)/AVERAGEIFS(Simulation!$BX$3:$BX$290,Simulation!$N$3:$N$290,"V",Simulation!$F$3:$F$290,$C26)-1)</f>
        <v>0</v>
      </c>
      <c r="Q26" s="56" t="n">
        <f aca="false">IF($D26=0,"",AVERAGEIFS(Simulation!$CL$3:$CL$290,Simulation!$N$3:$N$290,"V",Simulation!$F$3:$F$290,$C26)-AVERAGEIFS(Simulation!$CL$3:$CL$290,Simulation!$N$3:$N$290,"V",Simulation!$F$3:$F$290,$C26))</f>
        <v>0</v>
      </c>
      <c r="R26" s="56" t="n">
        <f aca="false">IF($D26=0,"",AVERAGEIFS(Simulation!$CO$3:$CO$290,Simulation!$N$3:$N$290,"V",Simulation!$F$3:$F$290,$C26)-AVERAGEIFS(Simulation!$CO$3:$CO$290,Simulation!$N$3:$N$290,"V",Simulation!$F$3:$F$290,$C26))</f>
        <v>0</v>
      </c>
      <c r="S26" s="56" t="n">
        <f aca="false">IF($D26=0,"",AVERAGEIFS(Simulation!$CK$3:$CK$290,Simulation!$N$3:$N$290,"V",Simulation!$F$3:$F$290,$C26)-AVERAGEIFS(Simulation!$CK$3:$CK$290,Simulation!$N$3:$N$290,"V",Simulation!$F$3:$F$290,$C26))</f>
        <v>0</v>
      </c>
    </row>
    <row r="27" customFormat="false" ht="15" hidden="false" customHeight="false" outlineLevel="0" collapsed="false">
      <c r="A27" s="27" t="s">
        <v>454</v>
      </c>
      <c r="B27" s="20" t="s">
        <v>455</v>
      </c>
      <c r="C27" s="20" t="s">
        <v>277</v>
      </c>
      <c r="D27" s="52" t="n">
        <f aca="false">COUNTIFS(Simulation!$N$3:$N$290,"V",Simulation!$F$3:$F$290,$C27)</f>
        <v>16</v>
      </c>
      <c r="E27" s="22" t="n">
        <f aca="false">IF($D27=0,"",AVERAGEIFS(Simulation!$U$3:$U$290,Simulation!$N$3:$N$290,"V",Simulation!$F$3:$F$290,$C27)/AVERAGEIFS(Simulation!$U$3:$U$290,Simulation!$N$3:$N$290,"V",Simulation!$F$3:$F$290,$C26)-1)</f>
        <v>-0.00277489832679523</v>
      </c>
      <c r="F27" s="22" t="n">
        <f aca="false">IF($D27=0,"",AVERAGEIFS(Simulation!$Z$3:$Z$290,Simulation!$N$3:$N$290,"V",Simulation!$F$3:$F$290,$C27)/AVERAGEIFS(Simulation!$Z$3:$Z$290,Simulation!$N$3:$N$290,"V",Simulation!$F$3:$F$290,$C26)-1)</f>
        <v>-0.00885573218751168</v>
      </c>
      <c r="G27" s="22" t="n">
        <f aca="false">IF($D27=0,"",AVERAGEIFS(Simulation!$AE$3:$AE$290,Simulation!$N$3:$N$290,"V",Simulation!$F$3:$F$290,$C27)/AVERAGEIFS(Simulation!$AE$3:$AE$290,Simulation!$N$3:$N$290,"V",Simulation!$F$3:$F$290,$C26)-1)</f>
        <v>-0.0783609704256555</v>
      </c>
      <c r="H27" s="22" t="n">
        <f aca="false">IF($D27=0,"",AVERAGEIFS(Simulation!$AJ$3:$AJ$290,Simulation!$N$3:$N$290,"V",Simulation!$F$3:$F$290,$C27)/AVERAGEIFS(Simulation!$AJ$3:$AJ$290,Simulation!$N$3:$N$290,"V",Simulation!$F$3:$F$290,$C26)-1)</f>
        <v>-0.0470665505939837</v>
      </c>
      <c r="I27" s="22" t="n">
        <f aca="false">IF($D27=0,"",AVERAGEIFS(Simulation!$AO$3:$AO$290,Simulation!$N$3:$N$290,"V",Simulation!$F$3:$F$290,$C27)/AVERAGEIFS(Simulation!$AO$3:$AO$290,Simulation!$N$3:$N$290,"V",Simulation!$F$3:$F$290,$C26)-1)</f>
        <v>-0.0404899963318237</v>
      </c>
      <c r="J27" s="22" t="n">
        <f aca="false">IF($D27=0,"",AVERAGEIFS(Simulation!$AT$3:$AT$290,Simulation!$N$3:$N$290,"V",Simulation!$F$3:$F$290,$C27)/AVERAGEIFS(Simulation!$AT$3:$AT$290,Simulation!$N$3:$N$290,"V",Simulation!$F$3:$F$290,$C26)-1)</f>
        <v>0.0287080741284318</v>
      </c>
      <c r="K27" s="22" t="n">
        <f aca="false">IF($D27=0,"",AVERAGEIFS(Simulation!$AY$3:$AY$290,Simulation!$N$3:$N$290,"V",Simulation!$F$3:$F$290,$C27)/AVERAGEIFS(Simulation!$AY$3:$AY$290,Simulation!$N$3:$N$290,"V",Simulation!$F$3:$F$290,$C26)-1)</f>
        <v>-0.0216328096019284</v>
      </c>
      <c r="L27" s="22" t="n">
        <f aca="false">IF($D27=0,"",AVERAGEIFS(Simulation!$BD$3:$BD$290,Simulation!$N$3:$N$290,"V",Simulation!$F$3:$F$290,$C27)/AVERAGEIFS(Simulation!$BD$3:$BD$290,Simulation!$N$3:$N$290,"V",Simulation!$F$3:$F$290,$C26)-1)</f>
        <v>-0.038242365380924</v>
      </c>
      <c r="M27" s="22" t="n">
        <f aca="false">IF($D27=0,"",AVERAGEIFS(Simulation!$BI$3:$BI$290,Simulation!$N$3:$N$290,"V",Simulation!$F$3:$F$290,$C27)/AVERAGEIFS(Simulation!$BI$3:$BI$290,Simulation!$N$3:$N$290,"V",Simulation!$F$3:$F$290,$C26)-1)</f>
        <v>-0.0304262232465065</v>
      </c>
      <c r="N27" s="22" t="n">
        <f aca="false">IF($D27=0,"",AVERAGEIFS(Simulation!$BN$3:$BN$290,Simulation!$N$3:$N$290,"V",Simulation!$F$3:$F$290,$C27)/AVERAGEIFS(Simulation!$BN$3:$BN$290,Simulation!$N$3:$N$290,"V",Simulation!$F$3:$F$290,$C26)-1)</f>
        <v>0.0167036966173497</v>
      </c>
      <c r="O27" s="22" t="n">
        <f aca="false">IF($D27=0,"",AVERAGEIFS(Simulation!$BS$3:$BS$290,Simulation!$N$3:$N$290,"V",Simulation!$F$3:$F$290,$C27)/AVERAGEIFS(Simulation!$BS$3:$BS$290,Simulation!$N$3:$N$290,"V",Simulation!$F$3:$F$290,$C26)-1)</f>
        <v>0.0329352787388464</v>
      </c>
      <c r="P27" s="22" t="n">
        <f aca="false">IF($D27=0,"",AVERAGEIFS(Simulation!$BX$3:$BX$290,Simulation!$N$3:$N$290,"V",Simulation!$F$3:$F$290,$C27)/AVERAGEIFS(Simulation!$BX$3:$BX$290,Simulation!$N$3:$N$290,"V",Simulation!$F$3:$F$290,$C26)-1)</f>
        <v>-0.00834015587983283</v>
      </c>
      <c r="Q27" s="57" t="n">
        <f aca="false">IF($D27=0,"",AVERAGEIFS(Simulation!$CL$3:$CL$290,Simulation!$N$3:$N$290,"V",Simulation!$F$3:$F$290,$C27)-AVERAGEIFS(Simulation!$CL$3:$CL$290,Simulation!$N$3:$N$290,"V",Simulation!$F$3:$F$290,$C26))</f>
        <v>0.196197661577219</v>
      </c>
      <c r="R27" s="57" t="n">
        <f aca="false">IF($D27=0,"",AVERAGEIFS(Simulation!$CO$3:$CO$290,Simulation!$N$3:$N$290,"V",Simulation!$F$3:$F$290,$C27)-AVERAGEIFS(Simulation!$CO$3:$CO$290,Simulation!$N$3:$N$290,"V",Simulation!$F$3:$F$290,$C26))</f>
        <v>0.19619766157722</v>
      </c>
      <c r="S27" s="57" t="n">
        <f aca="false">IF($D27=0,"",AVERAGEIFS(Simulation!$CK$3:$CK$290,Simulation!$N$3:$N$290,"V",Simulation!$F$3:$F$290,$C27)-AVERAGEIFS(Simulation!$CK$3:$CK$290,Simulation!$N$3:$N$290,"V",Simulation!$F$3:$F$290,$C26))</f>
        <v>0.0353571900858803</v>
      </c>
    </row>
    <row r="28" customFormat="false" ht="15" hidden="false" customHeight="false" outlineLevel="0" collapsed="false">
      <c r="A28" s="27" t="s">
        <v>454</v>
      </c>
      <c r="B28" s="20" t="s">
        <v>455</v>
      </c>
      <c r="C28" s="20" t="s">
        <v>279</v>
      </c>
      <c r="D28" s="52" t="n">
        <f aca="false">COUNTIFS(Simulation!$N$3:$N$290,"V",Simulation!$F$3:$F$290,$C28)</f>
        <v>16</v>
      </c>
      <c r="E28" s="22" t="n">
        <f aca="false">IF($D28=0,"",AVERAGEIFS(Simulation!$U$3:$U$290,Simulation!$N$3:$N$290,"V",Simulation!$F$3:$F$290,$C28)/AVERAGEIFS(Simulation!$U$3:$U$290,Simulation!$N$3:$N$290,"V",Simulation!$F$3:$F$290,$C26)-1)</f>
        <v>-0.00895841676114428</v>
      </c>
      <c r="F28" s="22" t="n">
        <f aca="false">IF($D28=0,"",AVERAGEIFS(Simulation!$Z$3:$Z$290,Simulation!$N$3:$N$290,"V",Simulation!$F$3:$F$290,$C28)/AVERAGEIFS(Simulation!$Z$3:$Z$290,Simulation!$N$3:$N$290,"V",Simulation!$F$3:$F$290,$C26)-1)</f>
        <v>-0.0295662826094323</v>
      </c>
      <c r="G28" s="22" t="n">
        <f aca="false">IF($D28=0,"",AVERAGEIFS(Simulation!$AE$3:$AE$290,Simulation!$N$3:$N$290,"V",Simulation!$F$3:$F$290,$C28)/AVERAGEIFS(Simulation!$AE$3:$AE$290,Simulation!$N$3:$N$290,"V",Simulation!$F$3:$F$290,$C26)-1)</f>
        <v>-0.188027209190632</v>
      </c>
      <c r="H28" s="22" t="n">
        <f aca="false">IF($D28=0,"",AVERAGEIFS(Simulation!$AJ$3:$AJ$290,Simulation!$N$3:$N$290,"V",Simulation!$F$3:$F$290,$C28)/AVERAGEIFS(Simulation!$AJ$3:$AJ$290,Simulation!$N$3:$N$290,"V",Simulation!$F$3:$F$290,$C26)-1)</f>
        <v>-0.116682106104343</v>
      </c>
      <c r="I28" s="22" t="n">
        <f aca="false">IF($D28=0,"",AVERAGEIFS(Simulation!$AO$3:$AO$290,Simulation!$N$3:$N$290,"V",Simulation!$F$3:$F$290,$C28)/AVERAGEIFS(Simulation!$AO$3:$AO$290,Simulation!$N$3:$N$290,"V",Simulation!$F$3:$F$290,$C26)-1)</f>
        <v>-0.100447481136509</v>
      </c>
      <c r="J28" s="22" t="n">
        <f aca="false">IF($D28=0,"",AVERAGEIFS(Simulation!$AT$3:$AT$290,Simulation!$N$3:$N$290,"V",Simulation!$F$3:$F$290,$C28)/AVERAGEIFS(Simulation!$AT$3:$AT$290,Simulation!$N$3:$N$290,"V",Simulation!$F$3:$F$290,$C26)-1)</f>
        <v>0.0695239132129168</v>
      </c>
      <c r="K28" s="22" t="n">
        <f aca="false">IF($D28=0,"",AVERAGEIFS(Simulation!$AY$3:$AY$290,Simulation!$N$3:$N$290,"V",Simulation!$F$3:$F$290,$C28)/AVERAGEIFS(Simulation!$AY$3:$AY$290,Simulation!$N$3:$N$290,"V",Simulation!$F$3:$F$290,$C26)-1)</f>
        <v>-0.0542700291793693</v>
      </c>
      <c r="L28" s="22" t="n">
        <f aca="false">IF($D28=0,"",AVERAGEIFS(Simulation!$BD$3:$BD$290,Simulation!$N$3:$N$290,"V",Simulation!$F$3:$F$290,$C28)/AVERAGEIFS(Simulation!$BD$3:$BD$290,Simulation!$N$3:$N$290,"V",Simulation!$F$3:$F$290,$C26)-1)</f>
        <v>-0.0943601082624087</v>
      </c>
      <c r="M28" s="22" t="n">
        <f aca="false">IF($D28=0,"",AVERAGEIFS(Simulation!$BI$3:$BI$290,Simulation!$N$3:$N$290,"V",Simulation!$F$3:$F$290,$C28)/AVERAGEIFS(Simulation!$BI$3:$BI$290,Simulation!$N$3:$N$290,"V",Simulation!$F$3:$F$290,$C26)-1)</f>
        <v>-0.0754292754493271</v>
      </c>
      <c r="N28" s="22" t="n">
        <f aca="false">IF($D28=0,"",AVERAGEIFS(Simulation!$BN$3:$BN$290,Simulation!$N$3:$N$290,"V",Simulation!$F$3:$F$290,$C28)/AVERAGEIFS(Simulation!$BN$3:$BN$290,Simulation!$N$3:$N$290,"V",Simulation!$F$3:$F$290,$C26)-1)</f>
        <v>0.00794741041775993</v>
      </c>
      <c r="O28" s="22" t="n">
        <f aca="false">IF($D28=0,"",AVERAGEIFS(Simulation!$BS$3:$BS$290,Simulation!$N$3:$N$290,"V",Simulation!$F$3:$F$290,$C28)/AVERAGEIFS(Simulation!$BS$3:$BS$290,Simulation!$N$3:$N$290,"V",Simulation!$F$3:$F$290,$C26)-1)</f>
        <v>0.081649444029438</v>
      </c>
      <c r="P28" s="22" t="n">
        <f aca="false">IF($D28=0,"",AVERAGEIFS(Simulation!$BX$3:$BX$290,Simulation!$N$3:$N$290,"V",Simulation!$F$3:$F$290,$C28)/AVERAGEIFS(Simulation!$BX$3:$BX$290,Simulation!$N$3:$N$290,"V",Simulation!$F$3:$F$290,$C26)-1)</f>
        <v>-0.0206759777594963</v>
      </c>
      <c r="Q28" s="57" t="n">
        <f aca="false">IF($D28=0,"",AVERAGEIFS(Simulation!$CL$3:$CL$290,Simulation!$N$3:$N$290,"V",Simulation!$F$3:$F$290,$C28)-AVERAGEIFS(Simulation!$CL$3:$CL$290,Simulation!$N$3:$N$290,"V",Simulation!$F$3:$F$290,$C26))</f>
        <v>0.486724266184574</v>
      </c>
      <c r="R28" s="57" t="n">
        <f aca="false">IF($D28=0,"",AVERAGEIFS(Simulation!$CO$3:$CO$290,Simulation!$N$3:$N$290,"V",Simulation!$F$3:$F$290,$C28)-AVERAGEIFS(Simulation!$CO$3:$CO$290,Simulation!$N$3:$N$290,"V",Simulation!$F$3:$F$290,$C26))</f>
        <v>0.486724266184576</v>
      </c>
      <c r="S28" s="57" t="n">
        <f aca="false">IF($D28=0,"",AVERAGEIFS(Simulation!$CK$3:$CK$290,Simulation!$N$3:$N$290,"V",Simulation!$F$3:$F$290,$C28)-AVERAGEIFS(Simulation!$CK$3:$CK$290,Simulation!$N$3:$N$290,"V",Simulation!$F$3:$F$290,$C26))</f>
        <v>0.0877064955444035</v>
      </c>
    </row>
    <row r="29" customFormat="false" ht="15" hidden="false" customHeight="false" outlineLevel="0" collapsed="false">
      <c r="A29" s="27" t="s">
        <v>454</v>
      </c>
      <c r="B29" s="20" t="s">
        <v>455</v>
      </c>
      <c r="C29" s="20" t="s">
        <v>281</v>
      </c>
      <c r="D29" s="52" t="n">
        <f aca="false">COUNTIFS(Simulation!$N$3:$N$290,"V",Simulation!$F$3:$F$290,$C29)</f>
        <v>16</v>
      </c>
      <c r="E29" s="22" t="n">
        <f aca="false">IF($D29=0,"",AVERAGEIFS(Simulation!$U$3:$U$290,Simulation!$N$3:$N$290,"V",Simulation!$F$3:$F$290,$C29)/AVERAGEIFS(Simulation!$U$3:$U$290,Simulation!$N$3:$N$290,"V",Simulation!$F$3:$F$290,$C26)-1)</f>
        <v>-0.0292785900462625</v>
      </c>
      <c r="F29" s="22" t="n">
        <f aca="false">IF($D29=0,"",AVERAGEIFS(Simulation!$Z$3:$Z$290,Simulation!$N$3:$N$290,"V",Simulation!$F$3:$F$290,$C29)/AVERAGEIFS(Simulation!$Z$3:$Z$290,Simulation!$N$3:$N$290,"V",Simulation!$F$3:$F$290,$C26)-1)</f>
        <v>-0.101112832379746</v>
      </c>
      <c r="G29" s="22" t="n">
        <f aca="false">IF($D29=0,"",AVERAGEIFS(Simulation!$AE$3:$AE$290,Simulation!$N$3:$N$290,"V",Simulation!$F$3:$F$290,$C29)/AVERAGEIFS(Simulation!$AE$3:$AE$290,Simulation!$N$3:$N$290,"V",Simulation!$F$3:$F$290,$C26)-1)</f>
        <v>-0.346665479229211</v>
      </c>
      <c r="H29" s="22" t="n">
        <f aca="false">IF($D29=0,"",AVERAGEIFS(Simulation!$AJ$3:$AJ$290,Simulation!$N$3:$N$290,"V",Simulation!$F$3:$F$290,$C29)/AVERAGEIFS(Simulation!$AJ$3:$AJ$290,Simulation!$N$3:$N$290,"V",Simulation!$F$3:$F$290,$C26)-1)</f>
        <v>-0.228173241980324</v>
      </c>
      <c r="I29" s="22" t="n">
        <f aca="false">IF($D29=0,"",AVERAGEIFS(Simulation!$AO$3:$AO$290,Simulation!$N$3:$N$290,"V",Simulation!$F$3:$F$290,$C29)/AVERAGEIFS(Simulation!$AO$3:$AO$290,Simulation!$N$3:$N$290,"V",Simulation!$F$3:$F$290,$C26)-1)</f>
        <v>-0.19630943038151</v>
      </c>
      <c r="J29" s="22" t="n">
        <f aca="false">IF($D29=0,"",AVERAGEIFS(Simulation!$AT$3:$AT$290,Simulation!$N$3:$N$290,"V",Simulation!$F$3:$F$290,$C29)/AVERAGEIFS(Simulation!$AT$3:$AT$290,Simulation!$N$3:$N$290,"V",Simulation!$F$3:$F$290,$C26)-1)</f>
        <v>0.130300771018162</v>
      </c>
      <c r="K29" s="22" t="n">
        <f aca="false">IF($D29=0,"",AVERAGEIFS(Simulation!$AY$3:$AY$290,Simulation!$N$3:$N$290,"V",Simulation!$F$3:$F$290,$C29)/AVERAGEIFS(Simulation!$AY$3:$AY$290,Simulation!$N$3:$N$290,"V",Simulation!$F$3:$F$290,$C26)-1)</f>
        <v>-0.108490166529619</v>
      </c>
      <c r="L29" s="22" t="n">
        <f aca="false">IF($D29=0,"",AVERAGEIFS(Simulation!$BD$3:$BD$290,Simulation!$N$3:$N$290,"V",Simulation!$F$3:$F$290,$C29)/AVERAGEIFS(Simulation!$BD$3:$BD$290,Simulation!$N$3:$N$290,"V",Simulation!$F$3:$F$290,$C26)-1)</f>
        <v>-0.182930339265807</v>
      </c>
      <c r="M29" s="22" t="n">
        <f aca="false">IF($D29=0,"",AVERAGEIFS(Simulation!$BI$3:$BI$290,Simulation!$N$3:$N$290,"V",Simulation!$F$3:$F$290,$C29)/AVERAGEIFS(Simulation!$BI$3:$BI$290,Simulation!$N$3:$N$290,"V",Simulation!$F$3:$F$290,$C26)-1)</f>
        <v>-0.147502842501908</v>
      </c>
      <c r="N29" s="22" t="n">
        <f aca="false">IF($D29=0,"",AVERAGEIFS(Simulation!$BN$3:$BN$290,Simulation!$N$3:$N$290,"V",Simulation!$F$3:$F$290,$C29)/AVERAGEIFS(Simulation!$BN$3:$BN$290,Simulation!$N$3:$N$290,"V",Simulation!$F$3:$F$290,$C26)-1)</f>
        <v>-0.0552962761914223</v>
      </c>
      <c r="O29" s="22" t="n">
        <f aca="false">IF($D29=0,"",AVERAGEIFS(Simulation!$BS$3:$BS$290,Simulation!$N$3:$N$290,"V",Simulation!$F$3:$F$290,$C29)/AVERAGEIFS(Simulation!$BS$3:$BS$290,Simulation!$N$3:$N$290,"V",Simulation!$F$3:$F$290,$C26)-1)</f>
        <v>0.15966645591251</v>
      </c>
      <c r="P29" s="22" t="n">
        <f aca="false">IF($D29=0,"",AVERAGEIFS(Simulation!$BX$3:$BX$290,Simulation!$N$3:$N$290,"V",Simulation!$F$3:$F$290,$C29)/AVERAGEIFS(Simulation!$BX$3:$BX$290,Simulation!$N$3:$N$290,"V",Simulation!$F$3:$F$290,$C26)-1)</f>
        <v>-0.0404321196626202</v>
      </c>
      <c r="Q29" s="57" t="n">
        <f aca="false">IF($D29=0,"",AVERAGEIFS(Simulation!$CL$3:$CL$290,Simulation!$N$3:$N$290,"V",Simulation!$F$3:$F$290,$C29)-AVERAGEIFS(Simulation!$CL$3:$CL$290,Simulation!$N$3:$N$290,"V",Simulation!$F$3:$F$290,$C26))</f>
        <v>0.951218885647929</v>
      </c>
      <c r="R29" s="57" t="n">
        <f aca="false">IF($D29=0,"",AVERAGEIFS(Simulation!$CO$3:$CO$290,Simulation!$N$3:$N$290,"V",Simulation!$F$3:$F$290,$C29)-AVERAGEIFS(Simulation!$CO$3:$CO$290,Simulation!$N$3:$N$290,"V",Simulation!$F$3:$F$290,$C26))</f>
        <v>0.951218885647932</v>
      </c>
      <c r="S29" s="57" t="n">
        <f aca="false">IF($D29=0,"",AVERAGEIFS(Simulation!$CK$3:$CK$290,Simulation!$N$3:$N$290,"V",Simulation!$F$3:$F$290,$C29)-AVERAGEIFS(Simulation!$CK$3:$CK$290,Simulation!$N$3:$N$290,"V",Simulation!$F$3:$F$290,$C26))</f>
        <v>0.171377146672217</v>
      </c>
    </row>
    <row r="30" customFormat="false" ht="15" hidden="false" customHeight="false" outlineLevel="0" collapsed="false">
      <c r="A30" s="27" t="s">
        <v>454</v>
      </c>
      <c r="B30" s="20" t="s">
        <v>455</v>
      </c>
      <c r="C30" s="20" t="s">
        <v>283</v>
      </c>
      <c r="D30" s="52" t="n">
        <f aca="false">COUNTIFS(Simulation!$N$3:$N$290,"V",Simulation!$F$3:$F$290,$C30)</f>
        <v>16</v>
      </c>
      <c r="E30" s="22" t="n">
        <f aca="false">IF($D30=0,"",AVERAGEIFS(Simulation!$U$3:$U$290,Simulation!$N$3:$N$290,"V",Simulation!$F$3:$F$290,$C30)/AVERAGEIFS(Simulation!$U$3:$U$290,Simulation!$N$3:$N$290,"V",Simulation!$F$3:$F$290,$C26)-1)</f>
        <v>-0.103975055324763</v>
      </c>
      <c r="F30" s="22" t="n">
        <f aca="false">IF($D30=0,"",AVERAGEIFS(Simulation!$Z$3:$Z$290,Simulation!$N$3:$N$290,"V",Simulation!$F$3:$F$290,$C30)/AVERAGEIFS(Simulation!$Z$3:$Z$290,Simulation!$N$3:$N$290,"V",Simulation!$F$3:$F$290,$C26)-1)</f>
        <v>-0.321917023256579</v>
      </c>
      <c r="G30" s="22" t="n">
        <f aca="false">IF($D30=0,"",AVERAGEIFS(Simulation!$AE$3:$AE$290,Simulation!$N$3:$N$290,"V",Simulation!$F$3:$F$290,$C30)/AVERAGEIFS(Simulation!$AE$3:$AE$290,Simulation!$N$3:$N$290,"V",Simulation!$F$3:$F$290,$C26)-1)</f>
        <v>-0.514634746462409</v>
      </c>
      <c r="H30" s="22" t="n">
        <f aca="false">IF($D30=0,"",AVERAGEIFS(Simulation!$AJ$3:$AJ$290,Simulation!$N$3:$N$290,"V",Simulation!$F$3:$F$290,$C30)/AVERAGEIFS(Simulation!$AJ$3:$AJ$290,Simulation!$N$3:$N$290,"V",Simulation!$F$3:$F$290,$C26)-1)</f>
        <v>-0.371955539571831</v>
      </c>
      <c r="I30" s="22" t="n">
        <f aca="false">IF($D30=0,"",AVERAGEIFS(Simulation!$AO$3:$AO$290,Simulation!$N$3:$N$290,"V",Simulation!$F$3:$F$290,$C30)/AVERAGEIFS(Simulation!$AO$3:$AO$290,Simulation!$N$3:$N$290,"V",Simulation!$F$3:$F$290,$C26)-1)</f>
        <v>-0.317190939532681</v>
      </c>
      <c r="J30" s="22" t="n">
        <f aca="false">IF($D30=0,"",AVERAGEIFS(Simulation!$AT$3:$AT$290,Simulation!$N$3:$N$290,"V",Simulation!$F$3:$F$290,$C30)/AVERAGEIFS(Simulation!$AT$3:$AT$290,Simulation!$N$3:$N$290,"V",Simulation!$F$3:$F$290,$C26)-1)</f>
        <v>0.198349519700006</v>
      </c>
      <c r="K30" s="22" t="n">
        <f aca="false">IF($D30=0,"",AVERAGEIFS(Simulation!$AY$3:$AY$290,Simulation!$N$3:$N$290,"V",Simulation!$F$3:$F$290,$C30)/AVERAGEIFS(Simulation!$AY$3:$AY$290,Simulation!$N$3:$N$290,"V",Simulation!$F$3:$F$290,$C26)-1)</f>
        <v>-0.183603027632989</v>
      </c>
      <c r="L30" s="22" t="n">
        <f aca="false">IF($D30=0,"",AVERAGEIFS(Simulation!$BD$3:$BD$290,Simulation!$N$3:$N$290,"V",Simulation!$F$3:$F$290,$C30)/AVERAGEIFS(Simulation!$BD$3:$BD$290,Simulation!$N$3:$N$290,"V",Simulation!$F$3:$F$290,$C26)-1)</f>
        <v>-0.293947939026155</v>
      </c>
      <c r="M30" s="22" t="n">
        <f aca="false">IF($D30=0,"",AVERAGEIFS(Simulation!$BI$3:$BI$290,Simulation!$N$3:$N$290,"V",Simulation!$F$3:$F$290,$C30)/AVERAGEIFS(Simulation!$BI$3:$BI$290,Simulation!$N$3:$N$290,"V",Simulation!$F$3:$F$290,$C26)-1)</f>
        <v>-0.240451066457245</v>
      </c>
      <c r="N30" s="22" t="n">
        <f aca="false">IF($D30=0,"",AVERAGEIFS(Simulation!$BN$3:$BN$290,Simulation!$N$3:$N$290,"V",Simulation!$F$3:$F$290,$C30)/AVERAGEIFS(Simulation!$BN$3:$BN$290,Simulation!$N$3:$N$290,"V",Simulation!$F$3:$F$290,$C26)-1)</f>
        <v>-0.160039243725175</v>
      </c>
      <c r="O30" s="22" t="n">
        <f aca="false">IF($D30=0,"",AVERAGEIFS(Simulation!$BS$3:$BS$290,Simulation!$N$3:$N$290,"V",Simulation!$F$3:$F$290,$C30)/AVERAGEIFS(Simulation!$BS$3:$BS$290,Simulation!$N$3:$N$290,"V",Simulation!$F$3:$F$290,$C26)-1)</f>
        <v>0.260279523773348</v>
      </c>
      <c r="P30" s="22" t="n">
        <f aca="false">IF($D30=0,"",AVERAGEIFS(Simulation!$BX$3:$BX$290,Simulation!$N$3:$N$290,"V",Simulation!$F$3:$F$290,$C30)/AVERAGEIFS(Simulation!$BX$3:$BX$290,Simulation!$N$3:$N$290,"V",Simulation!$F$3:$F$290,$C26)-1)</f>
        <v>-0.0659102301155873</v>
      </c>
      <c r="Q30" s="57" t="n">
        <f aca="false">IF($D30=0,"",AVERAGEIFS(Simulation!$CL$3:$CL$290,Simulation!$N$3:$N$290,"V",Simulation!$F$3:$F$290,$C30)-AVERAGEIFS(Simulation!$CL$3:$CL$290,Simulation!$N$3:$N$290,"V",Simulation!$F$3:$F$290,$C26))</f>
        <v>1.53691281816972</v>
      </c>
      <c r="R30" s="57" t="n">
        <f aca="false">IF($D30=0,"",AVERAGEIFS(Simulation!$CO$3:$CO$290,Simulation!$N$3:$N$290,"V",Simulation!$F$3:$F$290,$C30)-AVERAGEIFS(Simulation!$CO$3:$CO$290,Simulation!$N$3:$N$290,"V",Simulation!$F$3:$F$290,$C26))</f>
        <v>1.53691281816972</v>
      </c>
      <c r="S30" s="57" t="n">
        <f aca="false">IF($D30=0,"",AVERAGEIFS(Simulation!$CK$3:$CK$290,Simulation!$N$3:$N$290,"V",Simulation!$F$3:$F$290,$C30)-AVERAGEIFS(Simulation!$CK$3:$CK$290,Simulation!$N$3:$N$290,"V",Simulation!$F$3:$F$290,$C26))</f>
        <v>0.276785648313887</v>
      </c>
    </row>
    <row r="31" customFormat="false" ht="15" hidden="false" customHeight="false" outlineLevel="0" collapsed="false">
      <c r="A31" s="27" t="s">
        <v>454</v>
      </c>
      <c r="B31" s="20" t="s">
        <v>455</v>
      </c>
      <c r="C31" s="20" t="s">
        <v>285</v>
      </c>
      <c r="D31" s="52" t="n">
        <f aca="false">COUNTIFS(Simulation!$N$3:$N$290,"V",Simulation!$F$3:$F$290,$C31)</f>
        <v>16</v>
      </c>
      <c r="E31" s="22" t="n">
        <f aca="false">IF($D31=0,"",AVERAGEIFS(Simulation!$U$3:$U$290,Simulation!$N$3:$N$290,"V",Simulation!$F$3:$F$290,$C31)/AVERAGEIFS(Simulation!$U$3:$U$290,Simulation!$N$3:$N$290,"V",Simulation!$F$3:$F$290,$C26)-1)</f>
        <v>-0.177648440209441</v>
      </c>
      <c r="F31" s="22" t="n">
        <f aca="false">IF($D31=0,"",AVERAGEIFS(Simulation!$Z$3:$Z$290,Simulation!$N$3:$N$290,"V",Simulation!$F$3:$F$290,$C31)/AVERAGEIFS(Simulation!$Z$3:$Z$290,Simulation!$N$3:$N$290,"V",Simulation!$F$3:$F$290,$C26)-1)</f>
        <v>-0.438891787441879</v>
      </c>
      <c r="G31" s="22" t="n">
        <f aca="false">IF($D31=0,"",AVERAGEIFS(Simulation!$AE$3:$AE$290,Simulation!$N$3:$N$290,"V",Simulation!$F$3:$F$290,$C31)/AVERAGEIFS(Simulation!$AE$3:$AE$290,Simulation!$N$3:$N$290,"V",Simulation!$F$3:$F$290,$C26)-1)</f>
        <v>-0.597395513926352</v>
      </c>
      <c r="H31" s="22" t="n">
        <f aca="false">IF($D31=0,"",AVERAGEIFS(Simulation!$AJ$3:$AJ$290,Simulation!$N$3:$N$290,"V",Simulation!$F$3:$F$290,$C31)/AVERAGEIFS(Simulation!$AJ$3:$AJ$290,Simulation!$N$3:$N$290,"V",Simulation!$F$3:$F$290,$C26)-1)</f>
        <v>-0.469045622768984</v>
      </c>
      <c r="I31" s="22" t="n">
        <f aca="false">IF($D31=0,"",AVERAGEIFS(Simulation!$AO$3:$AO$290,Simulation!$N$3:$N$290,"V",Simulation!$F$3:$F$290,$C31)/AVERAGEIFS(Simulation!$AO$3:$AO$290,Simulation!$N$3:$N$290,"V",Simulation!$F$3:$F$290,$C26)-1)</f>
        <v>-0.389324959275826</v>
      </c>
      <c r="J31" s="22" t="n">
        <f aca="false">IF($D31=0,"",AVERAGEIFS(Simulation!$AT$3:$AT$290,Simulation!$N$3:$N$290,"V",Simulation!$F$3:$F$290,$C31)/AVERAGEIFS(Simulation!$AT$3:$AT$290,Simulation!$N$3:$N$290,"V",Simulation!$F$3:$F$290,$C26)-1)</f>
        <v>0.235018795330836</v>
      </c>
      <c r="K31" s="22" t="n">
        <f aca="false">IF($D31=0,"",AVERAGEIFS(Simulation!$AY$3:$AY$290,Simulation!$N$3:$N$290,"V",Simulation!$F$3:$F$290,$C31)/AVERAGEIFS(Simulation!$AY$3:$AY$290,Simulation!$N$3:$N$290,"V",Simulation!$F$3:$F$290,$C26)-1)</f>
        <v>-0.240435857490095</v>
      </c>
      <c r="L31" s="22" t="n">
        <f aca="false">IF($D31=0,"",AVERAGEIFS(Simulation!$BD$3:$BD$290,Simulation!$N$3:$N$290,"V",Simulation!$F$3:$F$290,$C31)/AVERAGEIFS(Simulation!$BD$3:$BD$290,Simulation!$N$3:$N$290,"V",Simulation!$F$3:$F$290,$C26)-1)</f>
        <v>-0.365591072730783</v>
      </c>
      <c r="M31" s="22" t="n">
        <f aca="false">IF($D31=0,"",AVERAGEIFS(Simulation!$BI$3:$BI$290,Simulation!$N$3:$N$290,"V",Simulation!$F$3:$F$290,$C31)/AVERAGEIFS(Simulation!$BI$3:$BI$290,Simulation!$N$3:$N$290,"V",Simulation!$F$3:$F$290,$C26)-1)</f>
        <v>-0.303215057212838</v>
      </c>
      <c r="N31" s="22" t="n">
        <f aca="false">IF($D31=0,"",AVERAGEIFS(Simulation!$BN$3:$BN$290,Simulation!$N$3:$N$290,"V",Simulation!$F$3:$F$290,$C31)/AVERAGEIFS(Simulation!$BN$3:$BN$290,Simulation!$N$3:$N$290,"V",Simulation!$F$3:$F$290,$C26)-1)</f>
        <v>-0.218837546396211</v>
      </c>
      <c r="O31" s="22" t="n">
        <f aca="false">IF($D31=0,"",AVERAGEIFS(Simulation!$BS$3:$BS$290,Simulation!$N$3:$N$290,"V",Simulation!$F$3:$F$290,$C31)/AVERAGEIFS(Simulation!$BS$3:$BS$290,Simulation!$N$3:$N$290,"V",Simulation!$F$3:$F$290,$C26)-1)</f>
        <v>0.328219258309252</v>
      </c>
      <c r="P31" s="22" t="n">
        <f aca="false">IF($D31=0,"",AVERAGEIFS(Simulation!$BX$3:$BX$290,Simulation!$N$3:$N$290,"V",Simulation!$F$3:$F$290,$C31)/AVERAGEIFS(Simulation!$BX$3:$BX$290,Simulation!$N$3:$N$290,"V",Simulation!$F$3:$F$290,$C26)-1)</f>
        <v>-0.0831145167699334</v>
      </c>
      <c r="Q31" s="57" t="n">
        <f aca="false">IF($D31=0,"",AVERAGEIFS(Simulation!$CL$3:$CL$290,Simulation!$N$3:$N$290,"V",Simulation!$F$3:$F$290,$C31)-AVERAGEIFS(Simulation!$CL$3:$CL$290,Simulation!$N$3:$N$290,"V",Simulation!$F$3:$F$290,$C26))</f>
        <v>1.88635105037452</v>
      </c>
      <c r="R31" s="57" t="n">
        <f aca="false">IF($D31=0,"",AVERAGEIFS(Simulation!$CO$3:$CO$290,Simulation!$N$3:$N$290,"V",Simulation!$F$3:$F$290,$C31)-AVERAGEIFS(Simulation!$CO$3:$CO$290,Simulation!$N$3:$N$290,"V",Simulation!$F$3:$F$290,$C26))</f>
        <v>1.88635105037452</v>
      </c>
      <c r="S31" s="57" t="n">
        <f aca="false">IF($D31=0,"",AVERAGEIFS(Simulation!$CK$3:$CK$290,Simulation!$N$3:$N$290,"V",Simulation!$F$3:$F$290,$C31)-AVERAGEIFS(Simulation!$CK$3:$CK$290,Simulation!$N$3:$N$290,"V",Simulation!$F$3:$F$290,$C26))</f>
        <v>0.33948289088996</v>
      </c>
    </row>
    <row r="32" customFormat="false" ht="15" hidden="false" customHeight="false" outlineLevel="0" collapsed="false">
      <c r="A32" s="47" t="s">
        <v>456</v>
      </c>
      <c r="B32" s="17" t="s">
        <v>455</v>
      </c>
      <c r="C32" s="17" t="s">
        <v>275</v>
      </c>
      <c r="D32" s="48" t="n">
        <f aca="false">COUNTIFS(Simulation!$N$3:$N$290,"F",Simulation!$F$3:$F$290,$C32)</f>
        <v>22</v>
      </c>
      <c r="E32" s="19" t="n">
        <f aca="false">IF($D32=0,"",AVERAGEIFS(Simulation!$U$3:$U$290,Simulation!$N$3:$N$290,"F",Simulation!$F$3:$F$290,$C32)/AVERAGEIFS(Simulation!$U$3:$U$290,Simulation!$N$3:$N$290,"F",Simulation!$F$3:$F$290,$C32)-1)</f>
        <v>0</v>
      </c>
      <c r="F32" s="19" t="n">
        <f aca="false">IF($D32=0,"",AVERAGEIFS(Simulation!$Z$3:$Z$290,Simulation!$N$3:$N$290,"F",Simulation!$F$3:$F$290,$C32)/AVERAGEIFS(Simulation!$Z$3:$Z$290,Simulation!$N$3:$N$290,"F",Simulation!$F$3:$F$290,$C32)-1)</f>
        <v>0</v>
      </c>
      <c r="G32" s="19" t="n">
        <f aca="false">IF($D32=0,"",AVERAGEIFS(Simulation!$AE$3:$AE$290,Simulation!$N$3:$N$290,"F",Simulation!$F$3:$F$290,$C32)/AVERAGEIFS(Simulation!$AE$3:$AE$290,Simulation!$N$3:$N$290,"F",Simulation!$F$3:$F$290,$C32)-1)</f>
        <v>0</v>
      </c>
      <c r="H32" s="19" t="n">
        <f aca="false">IF($D32=0,"",AVERAGEIFS(Simulation!$AJ$3:$AJ$290,Simulation!$N$3:$N$290,"F",Simulation!$F$3:$F$290,$C32)/AVERAGEIFS(Simulation!$AJ$3:$AJ$290,Simulation!$N$3:$N$290,"F",Simulation!$F$3:$F$290,$C32)-1)</f>
        <v>0</v>
      </c>
      <c r="I32" s="19" t="n">
        <f aca="false">IF($D32=0,"",AVERAGEIFS(Simulation!$AO$3:$AO$290,Simulation!$N$3:$N$290,"F",Simulation!$F$3:$F$290,$C32)/AVERAGEIFS(Simulation!$AO$3:$AO$290,Simulation!$N$3:$N$290,"F",Simulation!$F$3:$F$290,$C32)-1)</f>
        <v>0</v>
      </c>
      <c r="J32" s="19" t="n">
        <f aca="false">IF($D32=0,"",AVERAGEIFS(Simulation!$AT$3:$AT$290,Simulation!$N$3:$N$290,"F",Simulation!$F$3:$F$290,$C32)/AVERAGEIFS(Simulation!$AT$3:$AT$290,Simulation!$N$3:$N$290,"F",Simulation!$F$3:$F$290,$C32)-1)</f>
        <v>0</v>
      </c>
      <c r="K32" s="19" t="n">
        <f aca="false">IF($D32=0,"",AVERAGEIFS(Simulation!$AY$3:$AY$290,Simulation!$N$3:$N$290,"F",Simulation!$F$3:$F$290,$C32)/AVERAGEIFS(Simulation!$AY$3:$AY$290,Simulation!$N$3:$N$290,"F",Simulation!$F$3:$F$290,$C32)-1)</f>
        <v>0</v>
      </c>
      <c r="L32" s="19" t="n">
        <f aca="false">IF($D32=0,"",AVERAGEIFS(Simulation!$BD$3:$BD$290,Simulation!$N$3:$N$290,"F",Simulation!$F$3:$F$290,$C32)/AVERAGEIFS(Simulation!$BD$3:$BD$290,Simulation!$N$3:$N$290,"F",Simulation!$F$3:$F$290,$C32)-1)</f>
        <v>0</v>
      </c>
      <c r="M32" s="19" t="n">
        <f aca="false">IF($D32=0,"",AVERAGEIFS(Simulation!$BI$3:$BI$290,Simulation!$N$3:$N$290,"F",Simulation!$F$3:$F$290,$C32)/AVERAGEIFS(Simulation!$BI$3:$BI$290,Simulation!$N$3:$N$290,"F",Simulation!$F$3:$F$290,$C32)-1)</f>
        <v>0</v>
      </c>
      <c r="N32" s="19" t="n">
        <f aca="false">IF($D32=0,"",AVERAGEIFS(Simulation!$BN$3:$BN$290,Simulation!$N$3:$N$290,"F",Simulation!$F$3:$F$290,$C32)/AVERAGEIFS(Simulation!$BN$3:$BN$290,Simulation!$N$3:$N$290,"F",Simulation!$F$3:$F$290,$C32)-1)</f>
        <v>0</v>
      </c>
      <c r="O32" s="19" t="n">
        <f aca="false">IF($D32=0,"",AVERAGEIFS(Simulation!$BS$3:$BS$290,Simulation!$N$3:$N$290,"F",Simulation!$F$3:$F$290,$C32)/AVERAGEIFS(Simulation!$BS$3:$BS$290,Simulation!$N$3:$N$290,"F",Simulation!$F$3:$F$290,$C32)-1)</f>
        <v>0</v>
      </c>
      <c r="P32" s="19" t="n">
        <f aca="false">IF($D32=0,"",AVERAGEIFS(Simulation!$BX$3:$BX$290,Simulation!$N$3:$N$290,"F",Simulation!$F$3:$F$290,$C32)/AVERAGEIFS(Simulation!$BX$3:$BX$290,Simulation!$N$3:$N$290,"F",Simulation!$F$3:$F$290,$C32)-1)</f>
        <v>0</v>
      </c>
      <c r="Q32" s="56" t="n">
        <f aca="false">IF($D32=0,"",AVERAGEIFS(Simulation!$CL$3:$CL$290,Simulation!$N$3:$N$290,"F",Simulation!$F$3:$F$290,$C32)-AVERAGEIFS(Simulation!$CL$3:$CL$290,Simulation!$N$3:$N$290,"F",Simulation!$F$3:$F$290,$C32))</f>
        <v>0</v>
      </c>
      <c r="R32" s="56" t="n">
        <f aca="false">IF($D32=0,"",AVERAGEIFS(Simulation!$CO$3:$CO$290,Simulation!$N$3:$N$290,"F",Simulation!$F$3:$F$290,$C32)-AVERAGEIFS(Simulation!$CO$3:$CO$290,Simulation!$N$3:$N$290,"F",Simulation!$F$3:$F$290,$C32))</f>
        <v>0</v>
      </c>
      <c r="S32" s="56" t="n">
        <f aca="false">IF($D32=0,"",AVERAGEIFS(Simulation!$CK$3:$CK$290,Simulation!$N$3:$N$290,"F",Simulation!$F$3:$F$290,$C32)-AVERAGEIFS(Simulation!$CK$3:$CK$290,Simulation!$N$3:$N$290,"F",Simulation!$F$3:$F$290,$C32))</f>
        <v>0</v>
      </c>
    </row>
    <row r="33" customFormat="false" ht="15" hidden="false" customHeight="false" outlineLevel="0" collapsed="false">
      <c r="A33" s="27" t="s">
        <v>456</v>
      </c>
      <c r="B33" s="20" t="s">
        <v>455</v>
      </c>
      <c r="C33" s="20" t="s">
        <v>277</v>
      </c>
      <c r="D33" s="52" t="n">
        <f aca="false">COUNTIFS(Simulation!$N$3:$N$290,"F",Simulation!$F$3:$F$290,$C33)</f>
        <v>22</v>
      </c>
      <c r="E33" s="22" t="n">
        <f aca="false">IF($D33=0,"",AVERAGEIFS(Simulation!$U$3:$U$290,Simulation!$N$3:$N$290,"F",Simulation!$F$3:$F$290,$C33)/AVERAGEIFS(Simulation!$U$3:$U$290,Simulation!$N$3:$N$290,"F",Simulation!$F$3:$F$290,$C32)-1)</f>
        <v>-0.00414312401755435</v>
      </c>
      <c r="F33" s="22" t="n">
        <f aca="false">IF($D33=0,"",AVERAGEIFS(Simulation!$Z$3:$Z$290,Simulation!$N$3:$N$290,"F",Simulation!$F$3:$F$290,$C33)/AVERAGEIFS(Simulation!$Z$3:$Z$290,Simulation!$N$3:$N$290,"F",Simulation!$F$3:$F$290,$C32)-1)</f>
        <v>-0.0132181057018718</v>
      </c>
      <c r="G33" s="22" t="n">
        <f aca="false">IF($D33=0,"",AVERAGEIFS(Simulation!$AE$3:$AE$290,Simulation!$N$3:$N$290,"F",Simulation!$F$3:$F$290,$C33)/AVERAGEIFS(Simulation!$AE$3:$AE$290,Simulation!$N$3:$N$290,"F",Simulation!$F$3:$F$290,$C32)-1)</f>
        <v>-0.0902861076522453</v>
      </c>
      <c r="H33" s="22" t="n">
        <f aca="false">IF($D33=0,"",AVERAGEIFS(Simulation!$AJ$3:$AJ$290,Simulation!$N$3:$N$290,"F",Simulation!$F$3:$F$290,$C33)/AVERAGEIFS(Simulation!$AJ$3:$AJ$290,Simulation!$N$3:$N$290,"F",Simulation!$F$3:$F$290,$C32)-1)</f>
        <v>-0.0544256378598482</v>
      </c>
      <c r="I33" s="22" t="n">
        <f aca="false">IF($D33=0,"",AVERAGEIFS(Simulation!$AO$3:$AO$290,Simulation!$N$3:$N$290,"F",Simulation!$F$3:$F$290,$C33)/AVERAGEIFS(Simulation!$AO$3:$AO$290,Simulation!$N$3:$N$290,"F",Simulation!$F$3:$F$290,$C32)-1)</f>
        <v>-0.0475542176286099</v>
      </c>
      <c r="J33" s="22" t="n">
        <f aca="false">IF($D33=0,"",AVERAGEIFS(Simulation!$AT$3:$AT$290,Simulation!$N$3:$N$290,"F",Simulation!$F$3:$F$290,$C33)/AVERAGEIFS(Simulation!$AT$3:$AT$290,Simulation!$N$3:$N$290,"F",Simulation!$F$3:$F$290,$C32)-1)</f>
        <v>0.0330757722602313</v>
      </c>
      <c r="K33" s="22" t="n">
        <f aca="false">IF($D33=0,"",AVERAGEIFS(Simulation!$AY$3:$AY$290,Simulation!$N$3:$N$290,"F",Simulation!$F$3:$F$290,$C33)/AVERAGEIFS(Simulation!$AY$3:$AY$290,Simulation!$N$3:$N$290,"F",Simulation!$F$3:$F$290,$C32)-1)</f>
        <v>-0.0312795486526406</v>
      </c>
      <c r="L33" s="22" t="n">
        <f aca="false">IF($D33=0,"",AVERAGEIFS(Simulation!$BD$3:$BD$290,Simulation!$N$3:$N$290,"F",Simulation!$F$3:$F$290,$C33)/AVERAGEIFS(Simulation!$BD$3:$BD$290,Simulation!$N$3:$N$290,"F",Simulation!$F$3:$F$290,$C32)-1)</f>
        <v>-0.0571100711150145</v>
      </c>
      <c r="M33" s="22" t="n">
        <f aca="false">IF($D33=0,"",AVERAGEIFS(Simulation!$BI$3:$BI$290,Simulation!$N$3:$N$290,"F",Simulation!$F$3:$F$290,$C33)/AVERAGEIFS(Simulation!$BI$3:$BI$290,Simulation!$N$3:$N$290,"F",Simulation!$F$3:$F$290,$C32)-1)</f>
        <v>-0.045437664643936</v>
      </c>
      <c r="N33" s="22" t="n">
        <f aca="false">IF($D33=0,"",AVERAGEIFS(Simulation!$BN$3:$BN$290,Simulation!$N$3:$N$290,"F",Simulation!$F$3:$F$290,$C33)/AVERAGEIFS(Simulation!$BN$3:$BN$290,Simulation!$N$3:$N$290,"F",Simulation!$F$3:$F$290,$C32)-1)</f>
        <v>0.0249479220801434</v>
      </c>
      <c r="O33" s="22" t="n">
        <f aca="false">IF($D33=0,"",AVERAGEIFS(Simulation!$BS$3:$BS$290,Simulation!$N$3:$N$290,"F",Simulation!$F$3:$F$290,$C33)/AVERAGEIFS(Simulation!$BS$3:$BS$290,Simulation!$N$3:$N$290,"F",Simulation!$F$3:$F$290,$C32)-1)</f>
        <v>0.0496505815578223</v>
      </c>
      <c r="P33" s="22" t="n">
        <f aca="false">IF($D33=0,"",AVERAGEIFS(Simulation!$BX$3:$BX$290,Simulation!$N$3:$N$290,"F",Simulation!$F$3:$F$290,$C33)/AVERAGEIFS(Simulation!$BX$3:$BX$290,Simulation!$N$3:$N$290,"F",Simulation!$F$3:$F$290,$C32)-1)</f>
        <v>-0.0124450087394427</v>
      </c>
      <c r="Q33" s="57" t="n">
        <f aca="false">IF($D33=0,"",AVERAGEIFS(Simulation!$CL$3:$CL$290,Simulation!$N$3:$N$290,"F",Simulation!$F$3:$F$290,$C33)-AVERAGEIFS(Simulation!$CL$3:$CL$290,Simulation!$N$3:$N$290,"F",Simulation!$F$3:$F$290,$C32))</f>
        <v>0.257587351185428</v>
      </c>
      <c r="R33" s="57" t="n">
        <f aca="false">IF($D33=0,"",AVERAGEIFS(Simulation!$CO$3:$CO$290,Simulation!$N$3:$N$290,"F",Simulation!$F$3:$F$290,$C33)-AVERAGEIFS(Simulation!$CO$3:$CO$290,Simulation!$N$3:$N$290,"F",Simulation!$F$3:$F$290,$C32))</f>
        <v>0.25758735118543</v>
      </c>
      <c r="S33" s="57" t="n">
        <f aca="false">IF($D33=0,"",AVERAGEIFS(Simulation!$CK$3:$CK$290,Simulation!$N$3:$N$290,"F",Simulation!$F$3:$F$290,$C33)-AVERAGEIFS(Simulation!$CK$3:$CK$290,Simulation!$N$3:$N$290,"F",Simulation!$F$3:$F$290,$C32))</f>
        <v>0.0371158536699245</v>
      </c>
    </row>
    <row r="34" customFormat="false" ht="15" hidden="false" customHeight="false" outlineLevel="0" collapsed="false">
      <c r="A34" s="27" t="s">
        <v>456</v>
      </c>
      <c r="B34" s="20" t="s">
        <v>455</v>
      </c>
      <c r="C34" s="20" t="s">
        <v>279</v>
      </c>
      <c r="D34" s="52" t="n">
        <f aca="false">COUNTIFS(Simulation!$N$3:$N$290,"F",Simulation!$F$3:$F$290,$C34)</f>
        <v>22</v>
      </c>
      <c r="E34" s="22" t="n">
        <f aca="false">IF($D34=0,"",AVERAGEIFS(Simulation!$U$3:$U$290,Simulation!$N$3:$N$290,"F",Simulation!$F$3:$F$290,$C34)/AVERAGEIFS(Simulation!$U$3:$U$290,Simulation!$N$3:$N$290,"F",Simulation!$F$3:$F$290,$C32)-1)</f>
        <v>-0.0133755645329265</v>
      </c>
      <c r="F34" s="22" t="n">
        <f aca="false">IF($D34=0,"",AVERAGEIFS(Simulation!$Z$3:$Z$290,Simulation!$N$3:$N$290,"F",Simulation!$F$3:$F$290,$C34)/AVERAGEIFS(Simulation!$Z$3:$Z$290,Simulation!$N$3:$N$290,"F",Simulation!$F$3:$F$290,$C32)-1)</f>
        <v>-0.0441307664310369</v>
      </c>
      <c r="G34" s="22" t="n">
        <f aca="false">IF($D34=0,"",AVERAGEIFS(Simulation!$AE$3:$AE$290,Simulation!$N$3:$N$290,"F",Simulation!$F$3:$F$290,$C34)/AVERAGEIFS(Simulation!$AE$3:$AE$290,Simulation!$N$3:$N$290,"F",Simulation!$F$3:$F$290,$C32)-1)</f>
        <v>-0.216641585196328</v>
      </c>
      <c r="H34" s="22" t="n">
        <f aca="false">IF($D34=0,"",AVERAGEIFS(Simulation!$AJ$3:$AJ$290,Simulation!$N$3:$N$290,"F",Simulation!$F$3:$F$290,$C34)/AVERAGEIFS(Simulation!$AJ$3:$AJ$290,Simulation!$N$3:$N$290,"F",Simulation!$F$3:$F$290,$C32)-1)</f>
        <v>-0.134925928741655</v>
      </c>
      <c r="I34" s="22" t="n">
        <f aca="false">IF($D34=0,"",AVERAGEIFS(Simulation!$AO$3:$AO$290,Simulation!$N$3:$N$290,"F",Simulation!$F$3:$F$290,$C34)/AVERAGEIFS(Simulation!$AO$3:$AO$290,Simulation!$N$3:$N$290,"F",Simulation!$F$3:$F$290,$C32)-1)</f>
        <v>-0.118177585875537</v>
      </c>
      <c r="J34" s="22" t="n">
        <f aca="false">IF($D34=0,"",AVERAGEIFS(Simulation!$AT$3:$AT$290,Simulation!$N$3:$N$290,"F",Simulation!$F$3:$F$290,$C34)/AVERAGEIFS(Simulation!$AT$3:$AT$290,Simulation!$N$3:$N$290,"F",Simulation!$F$3:$F$290,$C32)-1)</f>
        <v>0.0801014066559453</v>
      </c>
      <c r="K34" s="22" t="n">
        <f aca="false">IF($D34=0,"",AVERAGEIFS(Simulation!$AY$3:$AY$290,Simulation!$N$3:$N$290,"F",Simulation!$F$3:$F$290,$C34)/AVERAGEIFS(Simulation!$AY$3:$AY$290,Simulation!$N$3:$N$290,"F",Simulation!$F$3:$F$290,$C32)-1)</f>
        <v>-0.0784707141297542</v>
      </c>
      <c r="L34" s="22" t="n">
        <f aca="false">IF($D34=0,"",AVERAGEIFS(Simulation!$BD$3:$BD$290,Simulation!$N$3:$N$290,"F",Simulation!$F$3:$F$290,$C34)/AVERAGEIFS(Simulation!$BD$3:$BD$290,Simulation!$N$3:$N$290,"F",Simulation!$F$3:$F$290,$C32)-1)</f>
        <v>-0.14091472741314</v>
      </c>
      <c r="M34" s="22" t="n">
        <f aca="false">IF($D34=0,"",AVERAGEIFS(Simulation!$BI$3:$BI$290,Simulation!$N$3:$N$290,"F",Simulation!$F$3:$F$290,$C34)/AVERAGEIFS(Simulation!$BI$3:$BI$290,Simulation!$N$3:$N$290,"F",Simulation!$F$3:$F$290,$C32)-1)</f>
        <v>-0.112643955000071</v>
      </c>
      <c r="N34" s="22" t="n">
        <f aca="false">IF($D34=0,"",AVERAGEIFS(Simulation!$BN$3:$BN$290,Simulation!$N$3:$N$290,"F",Simulation!$F$3:$F$290,$C34)/AVERAGEIFS(Simulation!$BN$3:$BN$290,Simulation!$N$3:$N$290,"F",Simulation!$F$3:$F$290,$C32)-1)</f>
        <v>0.0118699100195137</v>
      </c>
      <c r="O34" s="22" t="n">
        <f aca="false">IF($D34=0,"",AVERAGEIFS(Simulation!$BS$3:$BS$290,Simulation!$N$3:$N$290,"F",Simulation!$F$3:$F$290,$C34)/AVERAGEIFS(Simulation!$BS$3:$BS$290,Simulation!$N$3:$N$290,"F",Simulation!$F$3:$F$290,$C32)-1)</f>
        <v>0.123088145452764</v>
      </c>
      <c r="P34" s="22" t="n">
        <f aca="false">IF($D34=0,"",AVERAGEIFS(Simulation!$BX$3:$BX$290,Simulation!$N$3:$N$290,"F",Simulation!$F$3:$F$290,$C34)/AVERAGEIFS(Simulation!$BX$3:$BX$290,Simulation!$N$3:$N$290,"F",Simulation!$F$3:$F$290,$C32)-1)</f>
        <v>-0.0308522679456932</v>
      </c>
      <c r="Q34" s="57" t="n">
        <f aca="false">IF($D34=0,"",AVERAGEIFS(Simulation!$CL$3:$CL$290,Simulation!$N$3:$N$290,"F",Simulation!$F$3:$F$290,$C34)-AVERAGEIFS(Simulation!$CL$3:$CL$290,Simulation!$N$3:$N$290,"F",Simulation!$F$3:$F$290,$C32))</f>
        <v>0.640132925646242</v>
      </c>
      <c r="R34" s="57" t="n">
        <f aca="false">IF($D34=0,"",AVERAGEIFS(Simulation!$CO$3:$CO$290,Simulation!$N$3:$N$290,"F",Simulation!$F$3:$F$290,$C34)-AVERAGEIFS(Simulation!$CO$3:$CO$290,Simulation!$N$3:$N$290,"F",Simulation!$F$3:$F$290,$C32))</f>
        <v>0.640132925646243</v>
      </c>
      <c r="S34" s="57" t="n">
        <f aca="false">IF($D34=0,"",AVERAGEIFS(Simulation!$CK$3:$CK$290,Simulation!$N$3:$N$290,"F",Simulation!$F$3:$F$290,$C34)-AVERAGEIFS(Simulation!$CK$3:$CK$290,Simulation!$N$3:$N$290,"F",Simulation!$F$3:$F$290,$C32))</f>
        <v>0.0922349761497659</v>
      </c>
    </row>
    <row r="35" customFormat="false" ht="15" hidden="false" customHeight="false" outlineLevel="0" collapsed="false">
      <c r="A35" s="27" t="s">
        <v>456</v>
      </c>
      <c r="B35" s="20" t="s">
        <v>455</v>
      </c>
      <c r="C35" s="20" t="s">
        <v>281</v>
      </c>
      <c r="D35" s="52" t="n">
        <f aca="false">COUNTIFS(Simulation!$N$3:$N$290,"F",Simulation!$F$3:$F$290,$C35)</f>
        <v>22</v>
      </c>
      <c r="E35" s="22" t="n">
        <f aca="false">IF($D35=0,"",AVERAGEIFS(Simulation!$U$3:$U$290,Simulation!$N$3:$N$290,"F",Simulation!$F$3:$F$290,$C35)/AVERAGEIFS(Simulation!$U$3:$U$290,Simulation!$N$3:$N$290,"F",Simulation!$F$3:$F$290,$C32)-1)</f>
        <v>-0.0437150537911415</v>
      </c>
      <c r="F35" s="22" t="n">
        <f aca="false">IF($D35=0,"",AVERAGEIFS(Simulation!$Z$3:$Z$290,Simulation!$N$3:$N$290,"F",Simulation!$F$3:$F$290,$C35)/AVERAGEIFS(Simulation!$Z$3:$Z$290,Simulation!$N$3:$N$290,"F",Simulation!$F$3:$F$290,$C32)-1)</f>
        <v>-0.150921468480708</v>
      </c>
      <c r="G35" s="22" t="n">
        <f aca="false">IF($D35=0,"",AVERAGEIFS(Simulation!$AE$3:$AE$290,Simulation!$N$3:$N$290,"F",Simulation!$F$3:$F$290,$C35)/AVERAGEIFS(Simulation!$AE$3:$AE$290,Simulation!$N$3:$N$290,"F",Simulation!$F$3:$F$290,$C32)-1)</f>
        <v>-0.399421760692724</v>
      </c>
      <c r="H35" s="22" t="n">
        <f aca="false">IF($D35=0,"",AVERAGEIFS(Simulation!$AJ$3:$AJ$290,Simulation!$N$3:$N$290,"F",Simulation!$F$3:$F$290,$C35)/AVERAGEIFS(Simulation!$AJ$3:$AJ$290,Simulation!$N$3:$N$290,"F",Simulation!$F$3:$F$290,$C32)-1)</f>
        <v>-0.263849253463585</v>
      </c>
      <c r="I35" s="22" t="n">
        <f aca="false">IF($D35=0,"",AVERAGEIFS(Simulation!$AO$3:$AO$290,Simulation!$N$3:$N$290,"F",Simulation!$F$3:$F$290,$C35)/AVERAGEIFS(Simulation!$AO$3:$AO$290,Simulation!$N$3:$N$290,"F",Simulation!$F$3:$F$290,$C32)-1)</f>
        <v>-0.231830650375561</v>
      </c>
      <c r="J35" s="22" t="n">
        <f aca="false">IF($D35=0,"",AVERAGEIFS(Simulation!$AT$3:$AT$290,Simulation!$N$3:$N$290,"F",Simulation!$F$3:$F$290,$C35)/AVERAGEIFS(Simulation!$AT$3:$AT$290,Simulation!$N$3:$N$290,"F",Simulation!$F$3:$F$290,$C32)-1)</f>
        <v>0.150124965131708</v>
      </c>
      <c r="K35" s="22" t="n">
        <f aca="false">IF($D35=0,"",AVERAGEIFS(Simulation!$AY$3:$AY$290,Simulation!$N$3:$N$290,"F",Simulation!$F$3:$F$290,$C35)/AVERAGEIFS(Simulation!$AY$3:$AY$290,Simulation!$N$3:$N$290,"F",Simulation!$F$3:$F$290,$C32)-1)</f>
        <v>-0.156869288120292</v>
      </c>
      <c r="L35" s="22" t="n">
        <f aca="false">IF($D35=0,"",AVERAGEIFS(Simulation!$BD$3:$BD$290,Simulation!$N$3:$N$290,"F",Simulation!$F$3:$F$290,$C35)/AVERAGEIFS(Simulation!$BD$3:$BD$290,Simulation!$N$3:$N$290,"F",Simulation!$F$3:$F$290,$C32)-1)</f>
        <v>-0.273183015237212</v>
      </c>
      <c r="M35" s="22" t="n">
        <f aca="false">IF($D35=0,"",AVERAGEIFS(Simulation!$BI$3:$BI$290,Simulation!$N$3:$N$290,"F",Simulation!$F$3:$F$290,$C35)/AVERAGEIFS(Simulation!$BI$3:$BI$290,Simulation!$N$3:$N$290,"F",Simulation!$F$3:$F$290,$C32)-1)</f>
        <v>-0.220276589615786</v>
      </c>
      <c r="N35" s="22" t="n">
        <f aca="false">IF($D35=0,"",AVERAGEIFS(Simulation!$BN$3:$BN$290,Simulation!$N$3:$N$290,"F",Simulation!$F$3:$F$290,$C35)/AVERAGEIFS(Simulation!$BN$3:$BN$290,Simulation!$N$3:$N$290,"F",Simulation!$F$3:$F$290,$C32)-1)</f>
        <v>-0.0825881373056558</v>
      </c>
      <c r="O35" s="22" t="n">
        <f aca="false">IF($D35=0,"",AVERAGEIFS(Simulation!$BS$3:$BS$290,Simulation!$N$3:$N$290,"F",Simulation!$F$3:$F$290,$C35)/AVERAGEIFS(Simulation!$BS$3:$BS$290,Simulation!$N$3:$N$290,"F",Simulation!$F$3:$F$290,$C32)-1)</f>
        <v>0.240700327882216</v>
      </c>
      <c r="P35" s="22" t="n">
        <f aca="false">IF($D35=0,"",AVERAGEIFS(Simulation!$BX$3:$BX$290,Simulation!$N$3:$N$290,"F",Simulation!$F$3:$F$290,$C35)/AVERAGEIFS(Simulation!$BX$3:$BX$290,Simulation!$N$3:$N$290,"F",Simulation!$F$3:$F$290,$C32)-1)</f>
        <v>-0.0603319757814387</v>
      </c>
      <c r="Q35" s="57" t="n">
        <f aca="false">IF($D35=0,"",AVERAGEIFS(Simulation!$CL$3:$CL$290,Simulation!$N$3:$N$290,"F",Simulation!$F$3:$F$290,$C35)-AVERAGEIFS(Simulation!$CL$3:$CL$290,Simulation!$N$3:$N$290,"F",Simulation!$F$3:$F$290,$C32))</f>
        <v>1.25575511353904</v>
      </c>
      <c r="R35" s="57" t="n">
        <f aca="false">IF($D35=0,"",AVERAGEIFS(Simulation!$CO$3:$CO$290,Simulation!$N$3:$N$290,"F",Simulation!$F$3:$F$290,$C35)-AVERAGEIFS(Simulation!$CO$3:$CO$290,Simulation!$N$3:$N$290,"F",Simulation!$F$3:$F$290,$C32))</f>
        <v>1.25575511353904</v>
      </c>
      <c r="S35" s="57" t="n">
        <f aca="false">IF($D35=0,"",AVERAGEIFS(Simulation!$CK$3:$CK$290,Simulation!$N$3:$N$290,"F",Simulation!$F$3:$F$290,$C35)-AVERAGEIFS(Simulation!$CK$3:$CK$290,Simulation!$N$3:$N$290,"F",Simulation!$F$3:$F$290,$C32))</f>
        <v>0.180929772656596</v>
      </c>
    </row>
    <row r="36" customFormat="false" ht="15" hidden="false" customHeight="false" outlineLevel="0" collapsed="false">
      <c r="A36" s="27" t="s">
        <v>456</v>
      </c>
      <c r="B36" s="20" t="s">
        <v>455</v>
      </c>
      <c r="C36" s="20" t="s">
        <v>283</v>
      </c>
      <c r="D36" s="52" t="n">
        <f aca="false">COUNTIFS(Simulation!$N$3:$N$290,"F",Simulation!$F$3:$F$290,$C36)</f>
        <v>22</v>
      </c>
      <c r="E36" s="22" t="n">
        <f aca="false">IF($D36=0,"",AVERAGEIFS(Simulation!$U$3:$U$290,Simulation!$N$3:$N$290,"F",Simulation!$F$3:$F$290,$C36)/AVERAGEIFS(Simulation!$U$3:$U$290,Simulation!$N$3:$N$290,"F",Simulation!$F$3:$F$290,$C32)-1)</f>
        <v>-0.155242282134387</v>
      </c>
      <c r="F36" s="22" t="n">
        <f aca="false">IF($D36=0,"",AVERAGEIFS(Simulation!$Z$3:$Z$290,Simulation!$N$3:$N$290,"F",Simulation!$F$3:$F$290,$C36)/AVERAGEIFS(Simulation!$Z$3:$Z$290,Simulation!$N$3:$N$290,"F",Simulation!$F$3:$F$290,$C32)-1)</f>
        <v>-0.480494797103054</v>
      </c>
      <c r="G36" s="22" t="n">
        <f aca="false">IF($D36=0,"",AVERAGEIFS(Simulation!$AE$3:$AE$290,Simulation!$N$3:$N$290,"F",Simulation!$F$3:$F$290,$C36)/AVERAGEIFS(Simulation!$AE$3:$AE$290,Simulation!$N$3:$N$290,"F",Simulation!$F$3:$F$290,$C32)-1)</f>
        <v>-0.592952944154436</v>
      </c>
      <c r="H36" s="22" t="n">
        <f aca="false">IF($D36=0,"",AVERAGEIFS(Simulation!$AJ$3:$AJ$290,Simulation!$N$3:$N$290,"F",Simulation!$F$3:$F$290,$C36)/AVERAGEIFS(Simulation!$AJ$3:$AJ$290,Simulation!$N$3:$N$290,"F",Simulation!$F$3:$F$290,$C32)-1)</f>
        <v>-0.43011262225978</v>
      </c>
      <c r="I36" s="22" t="n">
        <f aca="false">IF($D36=0,"",AVERAGEIFS(Simulation!$AO$3:$AO$290,Simulation!$N$3:$N$290,"F",Simulation!$F$3:$F$290,$C36)/AVERAGEIFS(Simulation!$AO$3:$AO$290,Simulation!$N$3:$N$290,"F",Simulation!$F$3:$F$290,$C32)-1)</f>
        <v>-0.377866251805172</v>
      </c>
      <c r="J36" s="22" t="n">
        <f aca="false">IF($D36=0,"",AVERAGEIFS(Simulation!$AT$3:$AT$290,Simulation!$N$3:$N$290,"F",Simulation!$F$3:$F$290,$C36)/AVERAGEIFS(Simulation!$AT$3:$AT$290,Simulation!$N$3:$N$290,"F",Simulation!$F$3:$F$290,$C32)-1)</f>
        <v>0.228526773066477</v>
      </c>
      <c r="K36" s="22" t="n">
        <f aca="false">IF($D36=0,"",AVERAGEIFS(Simulation!$AY$3:$AY$290,Simulation!$N$3:$N$290,"F",Simulation!$F$3:$F$290,$C36)/AVERAGEIFS(Simulation!$AY$3:$AY$290,Simulation!$N$3:$N$290,"F",Simulation!$F$3:$F$290,$C32)-1)</f>
        <v>-0.265477297738815</v>
      </c>
      <c r="L36" s="22" t="n">
        <f aca="false">IF($D36=0,"",AVERAGEIFS(Simulation!$BD$3:$BD$290,Simulation!$N$3:$N$290,"F",Simulation!$F$3:$F$290,$C36)/AVERAGEIFS(Simulation!$BD$3:$BD$290,Simulation!$N$3:$N$290,"F",Simulation!$F$3:$F$290,$C32)-1)</f>
        <v>-0.438973571186825</v>
      </c>
      <c r="M36" s="22" t="n">
        <f aca="false">IF($D36=0,"",AVERAGEIFS(Simulation!$BI$3:$BI$290,Simulation!$N$3:$N$290,"F",Simulation!$F$3:$F$290,$C36)/AVERAGEIFS(Simulation!$BI$3:$BI$290,Simulation!$N$3:$N$290,"F",Simulation!$F$3:$F$290,$C32)-1)</f>
        <v>-0.359082848779647</v>
      </c>
      <c r="N36" s="22" t="n">
        <f aca="false">IF($D36=0,"",AVERAGEIFS(Simulation!$BN$3:$BN$290,Simulation!$N$3:$N$290,"F",Simulation!$F$3:$F$290,$C36)/AVERAGEIFS(Simulation!$BN$3:$BN$290,Simulation!$N$3:$N$290,"F",Simulation!$F$3:$F$290,$C32)-1)</f>
        <v>-0.239027723843696</v>
      </c>
      <c r="O36" s="22" t="n">
        <f aca="false">IF($D36=0,"",AVERAGEIFS(Simulation!$BS$3:$BS$290,Simulation!$N$3:$N$290,"F",Simulation!$F$3:$F$290,$C36)/AVERAGEIFS(Simulation!$BS$3:$BS$290,Simulation!$N$3:$N$290,"F",Simulation!$F$3:$F$290,$C32)-1)</f>
        <v>0.392376509863792</v>
      </c>
      <c r="P36" s="22" t="n">
        <f aca="false">IF($D36=0,"",AVERAGEIFS(Simulation!$BX$3:$BX$290,Simulation!$N$3:$N$290,"F",Simulation!$F$3:$F$290,$C36)/AVERAGEIFS(Simulation!$BX$3:$BX$290,Simulation!$N$3:$N$290,"F",Simulation!$F$3:$F$290,$C32)-1)</f>
        <v>-0.0983498871754419</v>
      </c>
      <c r="Q36" s="57" t="n">
        <f aca="false">IF($D36=0,"",AVERAGEIFS(Simulation!$CL$3:$CL$290,Simulation!$N$3:$N$290,"F",Simulation!$F$3:$F$290,$C36)-AVERAGEIFS(Simulation!$CL$3:$CL$290,Simulation!$N$3:$N$290,"F",Simulation!$F$3:$F$290,$C32))</f>
        <v>2.0467745956992</v>
      </c>
      <c r="R36" s="57" t="n">
        <f aca="false">IF($D36=0,"",AVERAGEIFS(Simulation!$CO$3:$CO$290,Simulation!$N$3:$N$290,"F",Simulation!$F$3:$F$290,$C36)-AVERAGEIFS(Simulation!$CO$3:$CO$290,Simulation!$N$3:$N$290,"F",Simulation!$F$3:$F$290,$C32))</f>
        <v>2.0467745956992</v>
      </c>
      <c r="S36" s="57" t="n">
        <f aca="false">IF($D36=0,"",AVERAGEIFS(Simulation!$CK$3:$CK$290,Simulation!$N$3:$N$290,"F",Simulation!$F$3:$F$290,$C36)-AVERAGEIFS(Simulation!$CK$3:$CK$290,Simulation!$N$3:$N$290,"F",Simulation!$F$3:$F$290,$C32))</f>
        <v>0.294868317116758</v>
      </c>
    </row>
    <row r="37" customFormat="false" ht="15" hidden="false" customHeight="false" outlineLevel="0" collapsed="false">
      <c r="A37" s="27" t="s">
        <v>456</v>
      </c>
      <c r="B37" s="20" t="s">
        <v>455</v>
      </c>
      <c r="C37" s="20" t="s">
        <v>285</v>
      </c>
      <c r="D37" s="52" t="n">
        <f aca="false">COUNTIFS(Simulation!$N$3:$N$290,"F",Simulation!$F$3:$F$290,$C37)</f>
        <v>22</v>
      </c>
      <c r="E37" s="22" t="n">
        <f aca="false">IF($D37=0,"",AVERAGEIFS(Simulation!$U$3:$U$290,Simulation!$N$3:$N$290,"F",Simulation!$F$3:$F$290,$C37)/AVERAGEIFS(Simulation!$U$3:$U$290,Simulation!$N$3:$N$290,"F",Simulation!$F$3:$F$290,$C32)-1)</f>
        <v>-0.265241977410707</v>
      </c>
      <c r="F37" s="22" t="n">
        <f aca="false">IF($D37=0,"",AVERAGEIFS(Simulation!$Z$3:$Z$290,Simulation!$N$3:$N$290,"F",Simulation!$F$3:$F$290,$C37)/AVERAGEIFS(Simulation!$Z$3:$Z$290,Simulation!$N$3:$N$290,"F",Simulation!$F$3:$F$290,$C32)-1)</f>
        <v>-0.655091856353926</v>
      </c>
      <c r="G37" s="22" t="n">
        <f aca="false">IF($D37=0,"",AVERAGEIFS(Simulation!$AE$3:$AE$290,Simulation!$N$3:$N$290,"F",Simulation!$F$3:$F$290,$C37)/AVERAGEIFS(Simulation!$AE$3:$AE$290,Simulation!$N$3:$N$290,"F",Simulation!$F$3:$F$290,$C32)-1)</f>
        <v>-0.68830841920845</v>
      </c>
      <c r="H37" s="22" t="n">
        <f aca="false">IF($D37=0,"",AVERAGEIFS(Simulation!$AJ$3:$AJ$290,Simulation!$N$3:$N$290,"F",Simulation!$F$3:$F$290,$C37)/AVERAGEIFS(Simulation!$AJ$3:$AJ$290,Simulation!$N$3:$N$290,"F",Simulation!$F$3:$F$290,$C32)-1)</f>
        <v>-0.542383218706382</v>
      </c>
      <c r="I37" s="22" t="n">
        <f aca="false">IF($D37=0,"",AVERAGEIFS(Simulation!$AO$3:$AO$290,Simulation!$N$3:$N$290,"F",Simulation!$F$3:$F$290,$C37)/AVERAGEIFS(Simulation!$AO$3:$AO$290,Simulation!$N$3:$N$290,"F",Simulation!$F$3:$F$290,$C32)-1)</f>
        <v>-0.470554672286442</v>
      </c>
      <c r="J37" s="22" t="n">
        <f aca="false">IF($D37=0,"",AVERAGEIFS(Simulation!$AT$3:$AT$290,Simulation!$N$3:$N$290,"F",Simulation!$F$3:$F$290,$C37)/AVERAGEIFS(Simulation!$AT$3:$AT$290,Simulation!$N$3:$N$290,"F",Simulation!$F$3:$F$290,$C32)-1)</f>
        <v>0.270774978372307</v>
      </c>
      <c r="K37" s="22" t="n">
        <f aca="false">IF($D37=0,"",AVERAGEIFS(Simulation!$AY$3:$AY$290,Simulation!$N$3:$N$290,"F",Simulation!$F$3:$F$290,$C37)/AVERAGEIFS(Simulation!$AY$3:$AY$290,Simulation!$N$3:$N$290,"F",Simulation!$F$3:$F$290,$C32)-1)</f>
        <v>-0.347653644653279</v>
      </c>
      <c r="L37" s="22" t="n">
        <f aca="false">IF($D37=0,"",AVERAGEIFS(Simulation!$BD$3:$BD$290,Simulation!$N$3:$N$290,"F",Simulation!$F$3:$F$290,$C37)/AVERAGEIFS(Simulation!$BD$3:$BD$290,Simulation!$N$3:$N$290,"F",Simulation!$F$3:$F$290,$C32)-1)</f>
        <v>-0.545963408766662</v>
      </c>
      <c r="M37" s="22" t="n">
        <f aca="false">IF($D37=0,"",AVERAGEIFS(Simulation!$BI$3:$BI$290,Simulation!$N$3:$N$290,"F",Simulation!$F$3:$F$290,$C37)/AVERAGEIFS(Simulation!$BI$3:$BI$290,Simulation!$N$3:$N$290,"F",Simulation!$F$3:$F$290,$C32)-1)</f>
        <v>-0.452812824418184</v>
      </c>
      <c r="N37" s="22" t="n">
        <f aca="false">IF($D37=0,"",AVERAGEIFS(Simulation!$BN$3:$BN$290,Simulation!$N$3:$N$290,"F",Simulation!$F$3:$F$290,$C37)/AVERAGEIFS(Simulation!$BN$3:$BN$290,Simulation!$N$3:$N$290,"F",Simulation!$F$3:$F$290,$C32)-1)</f>
        <v>-0.326846337117484</v>
      </c>
      <c r="O37" s="22" t="n">
        <f aca="false">IF($D37=0,"",AVERAGEIFS(Simulation!$BS$3:$BS$290,Simulation!$N$3:$N$290,"F",Simulation!$F$3:$F$290,$C37)/AVERAGEIFS(Simulation!$BS$3:$BS$290,Simulation!$N$3:$N$290,"F",Simulation!$F$3:$F$290,$C32)-1)</f>
        <v>0.494796998159617</v>
      </c>
      <c r="P37" s="22" t="n">
        <f aca="false">IF($D37=0,"",AVERAGEIFS(Simulation!$BX$3:$BX$290,Simulation!$N$3:$N$290,"F",Simulation!$F$3:$F$290,$C37)/AVERAGEIFS(Simulation!$BX$3:$BX$290,Simulation!$N$3:$N$290,"F",Simulation!$F$3:$F$290,$C32)-1)</f>
        <v>-0.124021769194691</v>
      </c>
      <c r="Q37" s="57" t="n">
        <f aca="false">IF($D37=0,"",AVERAGEIFS(Simulation!$CL$3:$CL$290,Simulation!$N$3:$N$290,"F",Simulation!$F$3:$F$290,$C37)-AVERAGEIFS(Simulation!$CL$3:$CL$290,Simulation!$N$3:$N$290,"F",Simulation!$F$3:$F$290,$C32))</f>
        <v>2.54881558190003</v>
      </c>
      <c r="R37" s="57" t="n">
        <f aca="false">IF($D37=0,"",AVERAGEIFS(Simulation!$CO$3:$CO$290,Simulation!$N$3:$N$290,"F",Simulation!$F$3:$F$290,$C37)-AVERAGEIFS(Simulation!$CO$3:$CO$290,Simulation!$N$3:$N$290,"F",Simulation!$F$3:$F$290,$C32))</f>
        <v>2.54881558190003</v>
      </c>
      <c r="S37" s="57" t="n">
        <f aca="false">IF($D37=0,"",AVERAGEIFS(Simulation!$CK$3:$CK$290,Simulation!$N$3:$N$290,"F",Simulation!$F$3:$F$290,$C37)-AVERAGEIFS(Simulation!$CK$3:$CK$290,Simulation!$N$3:$N$290,"F",Simulation!$F$3:$F$290,$C32))</f>
        <v>0.367129664244867</v>
      </c>
    </row>
    <row r="38" customFormat="false" ht="15" hidden="false" customHeight="false" outlineLevel="0" collapsed="false">
      <c r="A38" s="47" t="s">
        <v>457</v>
      </c>
      <c r="B38" s="17" t="s">
        <v>455</v>
      </c>
      <c r="C38" s="17" t="s">
        <v>275</v>
      </c>
      <c r="D38" s="48" t="n">
        <f aca="false">COUNTIFS(Simulation!$N$3:$N$290,"P",Simulation!$F$3:$F$290,$C38)</f>
        <v>10</v>
      </c>
      <c r="E38" s="19" t="n">
        <f aca="false">IF($D38=0,"",AVERAGEIFS(Simulation!$U$3:$U$290,Simulation!$N$3:$N$290,"P",Simulation!$F$3:$F$290,$C38)/AVERAGEIFS(Simulation!$U$3:$U$290,Simulation!$N$3:$N$290,"P",Simulation!$F$3:$F$290,$C38)-1)</f>
        <v>0</v>
      </c>
      <c r="F38" s="19" t="n">
        <f aca="false">IF($D38=0,"",AVERAGEIFS(Simulation!$Z$3:$Z$290,Simulation!$N$3:$N$290,"P",Simulation!$F$3:$F$290,$C38)/AVERAGEIFS(Simulation!$Z$3:$Z$290,Simulation!$N$3:$N$290,"P",Simulation!$F$3:$F$290,$C38)-1)</f>
        <v>0</v>
      </c>
      <c r="G38" s="19" t="n">
        <f aca="false">IF($D38=0,"",AVERAGEIFS(Simulation!$AE$3:$AE$290,Simulation!$N$3:$N$290,"P",Simulation!$F$3:$F$290,$C38)/AVERAGEIFS(Simulation!$AE$3:$AE$290,Simulation!$N$3:$N$290,"P",Simulation!$F$3:$F$290,$C38)-1)</f>
        <v>0</v>
      </c>
      <c r="H38" s="19" t="n">
        <f aca="false">IF($D38=0,"",AVERAGEIFS(Simulation!$AJ$3:$AJ$290,Simulation!$N$3:$N$290,"P",Simulation!$F$3:$F$290,$C38)/AVERAGEIFS(Simulation!$AJ$3:$AJ$290,Simulation!$N$3:$N$290,"P",Simulation!$F$3:$F$290,$C38)-1)</f>
        <v>0</v>
      </c>
      <c r="I38" s="19" t="n">
        <f aca="false">IF($D38=0,"",AVERAGEIFS(Simulation!$AO$3:$AO$290,Simulation!$N$3:$N$290,"P",Simulation!$F$3:$F$290,$C38)/AVERAGEIFS(Simulation!$AO$3:$AO$290,Simulation!$N$3:$N$290,"P",Simulation!$F$3:$F$290,$C38)-1)</f>
        <v>0</v>
      </c>
      <c r="J38" s="19" t="n">
        <f aca="false">IF($D38=0,"",AVERAGEIFS(Simulation!$AT$3:$AT$290,Simulation!$N$3:$N$290,"P",Simulation!$F$3:$F$290,$C38)/AVERAGEIFS(Simulation!$AT$3:$AT$290,Simulation!$N$3:$N$290,"P",Simulation!$F$3:$F$290,$C38)-1)</f>
        <v>0</v>
      </c>
      <c r="K38" s="19" t="n">
        <f aca="false">IF($D38=0,"",AVERAGEIFS(Simulation!$AY$3:$AY$290,Simulation!$N$3:$N$290,"P",Simulation!$F$3:$F$290,$C38)/AVERAGEIFS(Simulation!$AY$3:$AY$290,Simulation!$N$3:$N$290,"P",Simulation!$F$3:$F$290,$C38)-1)</f>
        <v>0</v>
      </c>
      <c r="L38" s="19" t="n">
        <f aca="false">IF($D38=0,"",AVERAGEIFS(Simulation!$BD$3:$BD$290,Simulation!$N$3:$N$290,"P",Simulation!$F$3:$F$290,$C38)/AVERAGEIFS(Simulation!$BD$3:$BD$290,Simulation!$N$3:$N$290,"P",Simulation!$F$3:$F$290,$C38)-1)</f>
        <v>0</v>
      </c>
      <c r="M38" s="19" t="n">
        <f aca="false">IF($D38=0,"",AVERAGEIFS(Simulation!$BI$3:$BI$290,Simulation!$N$3:$N$290,"P",Simulation!$F$3:$F$290,$C38)/AVERAGEIFS(Simulation!$BI$3:$BI$290,Simulation!$N$3:$N$290,"P",Simulation!$F$3:$F$290,$C38)-1)</f>
        <v>0</v>
      </c>
      <c r="N38" s="19" t="n">
        <f aca="false">IF($D38=0,"",AVERAGEIFS(Simulation!$BN$3:$BN$290,Simulation!$N$3:$N$290,"P",Simulation!$F$3:$F$290,$C38)/AVERAGEIFS(Simulation!$BN$3:$BN$290,Simulation!$N$3:$N$290,"P",Simulation!$F$3:$F$290,$C38)-1)</f>
        <v>0</v>
      </c>
      <c r="O38" s="19" t="n">
        <f aca="false">IF($D38=0,"",AVERAGEIFS(Simulation!$BS$3:$BS$290,Simulation!$N$3:$N$290,"P",Simulation!$F$3:$F$290,$C38)/AVERAGEIFS(Simulation!$BS$3:$BS$290,Simulation!$N$3:$N$290,"P",Simulation!$F$3:$F$290,$C38)-1)</f>
        <v>0</v>
      </c>
      <c r="P38" s="19" t="n">
        <f aca="false">IF($D38=0,"",AVERAGEIFS(Simulation!$BX$3:$BX$290,Simulation!$N$3:$N$290,"P",Simulation!$F$3:$F$290,$C38)/AVERAGEIFS(Simulation!$BX$3:$BX$290,Simulation!$N$3:$N$290,"P",Simulation!$F$3:$F$290,$C38)-1)</f>
        <v>0</v>
      </c>
      <c r="Q38" s="56" t="n">
        <f aca="false">IF($D38=0,"",AVERAGEIFS(Simulation!$CL$3:$CL$290,Simulation!$N$3:$N$290,"P",Simulation!$F$3:$F$290,$C38)-AVERAGEIFS(Simulation!$CL$3:$CL$290,Simulation!$N$3:$N$290,"P",Simulation!$F$3:$F$290,$C38))</f>
        <v>0</v>
      </c>
      <c r="R38" s="56" t="n">
        <f aca="false">IF($D38=0,"",AVERAGEIFS(Simulation!$CO$3:$CO$290,Simulation!$N$3:$N$290,"P",Simulation!$F$3:$F$290,$C38)-AVERAGEIFS(Simulation!$CO$3:$CO$290,Simulation!$N$3:$N$290,"P",Simulation!$F$3:$F$290,$C38))</f>
        <v>0</v>
      </c>
      <c r="S38" s="56" t="n">
        <f aca="false">IF($D38=0,"",AVERAGEIFS(Simulation!$CK$3:$CK$290,Simulation!$N$3:$N$290,"P",Simulation!$F$3:$F$290,$C38)-AVERAGEIFS(Simulation!$CK$3:$CK$290,Simulation!$N$3:$N$290,"P",Simulation!$F$3:$F$290,$C38))</f>
        <v>0</v>
      </c>
    </row>
    <row r="39" customFormat="false" ht="15" hidden="false" customHeight="false" outlineLevel="0" collapsed="false">
      <c r="A39" s="27" t="s">
        <v>457</v>
      </c>
      <c r="B39" s="20" t="s">
        <v>455</v>
      </c>
      <c r="C39" s="20" t="s">
        <v>277</v>
      </c>
      <c r="D39" s="52" t="n">
        <f aca="false">COUNTIFS(Simulation!$N$3:$N$290,"P",Simulation!$F$3:$F$290,$C39)</f>
        <v>10</v>
      </c>
      <c r="E39" s="22" t="n">
        <f aca="false">IF($D39=0,"",AVERAGEIFS(Simulation!$U$3:$U$290,Simulation!$N$3:$N$290,"P",Simulation!$F$3:$F$290,$C39)/AVERAGEIFS(Simulation!$U$3:$U$290,Simulation!$N$3:$N$290,"P",Simulation!$F$3:$F$290,$C38)-1)</f>
        <v>-0.00424684467774439</v>
      </c>
      <c r="F39" s="22" t="n">
        <f aca="false">IF($D39=0,"",AVERAGEIFS(Simulation!$Z$3:$Z$290,Simulation!$N$3:$N$290,"P",Simulation!$F$3:$F$290,$C39)/AVERAGEIFS(Simulation!$Z$3:$Z$290,Simulation!$N$3:$N$290,"P",Simulation!$F$3:$F$290,$C38)-1)</f>
        <v>-0.0135577430240981</v>
      </c>
      <c r="G39" s="22" t="n">
        <f aca="false">IF($D39=0,"",AVERAGEIFS(Simulation!$AE$3:$AE$290,Simulation!$N$3:$N$290,"P",Simulation!$F$3:$F$290,$C39)/AVERAGEIFS(Simulation!$AE$3:$AE$290,Simulation!$N$3:$N$290,"P",Simulation!$F$3:$F$290,$C38)-1)</f>
        <v>-0.091251825861416</v>
      </c>
      <c r="H39" s="22" t="n">
        <f aca="false">IF($D39=0,"",AVERAGEIFS(Simulation!$AJ$3:$AJ$290,Simulation!$N$3:$N$290,"P",Simulation!$F$3:$F$290,$C39)/AVERAGEIFS(Simulation!$AJ$3:$AJ$290,Simulation!$N$3:$N$290,"P",Simulation!$F$3:$F$290,$C38)-1)</f>
        <v>-0.0551156649181027</v>
      </c>
      <c r="I39" s="22" t="n">
        <f aca="false">IF($D39=0,"",AVERAGEIFS(Simulation!$AO$3:$AO$290,Simulation!$N$3:$N$290,"P",Simulation!$F$3:$F$290,$C39)/AVERAGEIFS(Simulation!$AO$3:$AO$290,Simulation!$N$3:$N$290,"P",Simulation!$F$3:$F$290,$C38)-1)</f>
        <v>-0.0480095630234264</v>
      </c>
      <c r="J39" s="22" t="n">
        <f aca="false">IF($D39=0,"",AVERAGEIFS(Simulation!$AT$3:$AT$290,Simulation!$N$3:$N$290,"P",Simulation!$F$3:$F$290,$C39)/AVERAGEIFS(Simulation!$AT$3:$AT$290,Simulation!$N$3:$N$290,"P",Simulation!$F$3:$F$290,$C38)-1)</f>
        <v>0.0334150109500799</v>
      </c>
      <c r="K39" s="22" t="n">
        <f aca="false">IF($D39=0,"",AVERAGEIFS(Simulation!$AY$3:$AY$290,Simulation!$N$3:$N$290,"P",Simulation!$F$3:$F$290,$C39)/AVERAGEIFS(Simulation!$AY$3:$AY$290,Simulation!$N$3:$N$290,"P",Simulation!$F$3:$F$290,$C38)-1)</f>
        <v>-0.0320257154346009</v>
      </c>
      <c r="L39" s="22" t="n">
        <f aca="false">IF($D39=0,"",AVERAGEIFS(Simulation!$BD$3:$BD$290,Simulation!$N$3:$N$290,"P",Simulation!$F$3:$F$290,$C39)/AVERAGEIFS(Simulation!$BD$3:$BD$290,Simulation!$N$3:$N$290,"P",Simulation!$F$3:$F$290,$C38)-1)</f>
        <v>-0.0585374176335876</v>
      </c>
      <c r="M39" s="22" t="n">
        <f aca="false">IF($D39=0,"",AVERAGEIFS(Simulation!$BI$3:$BI$290,Simulation!$N$3:$N$290,"P",Simulation!$F$3:$F$290,$C39)/AVERAGEIFS(Simulation!$BI$3:$BI$290,Simulation!$N$3:$N$290,"P",Simulation!$F$3:$F$290,$C38)-1)</f>
        <v>-0.0465732838294032</v>
      </c>
      <c r="N39" s="22" t="n">
        <f aca="false">IF($D39=0,"",AVERAGEIFS(Simulation!$BN$3:$BN$290,Simulation!$N$3:$N$290,"P",Simulation!$F$3:$F$290,$C39)/AVERAGEIFS(Simulation!$BN$3:$BN$290,Simulation!$N$3:$N$290,"P",Simulation!$F$3:$F$290,$C38)-1)</f>
        <v>0.0255646579244999</v>
      </c>
      <c r="O39" s="22" t="n">
        <f aca="false">IF($D39=0,"",AVERAGEIFS(Simulation!$BS$3:$BS$290,Simulation!$N$3:$N$290,"P",Simulation!$F$3:$F$290,$C39)/AVERAGEIFS(Simulation!$BS$3:$BS$290,Simulation!$N$3:$N$290,"P",Simulation!$F$3:$F$290,$C38)-1)</f>
        <v>0.050866669504704</v>
      </c>
      <c r="P39" s="22" t="n">
        <f aca="false">IF($D39=0,"",AVERAGEIFS(Simulation!$BX$3:$BX$290,Simulation!$N$3:$N$290,"P",Simulation!$F$3:$F$290,$C39)/AVERAGEIFS(Simulation!$BX$3:$BX$290,Simulation!$N$3:$N$290,"P",Simulation!$F$3:$F$290,$C38)-1)</f>
        <v>-0.0127544242554877</v>
      </c>
      <c r="Q39" s="57" t="n">
        <f aca="false">IF($D39=0,"",AVERAGEIFS(Simulation!$CL$3:$CL$290,Simulation!$N$3:$N$290,"P",Simulation!$F$3:$F$290,$C39)-AVERAGEIFS(Simulation!$CL$3:$CL$290,Simulation!$N$3:$N$290,"P",Simulation!$F$3:$F$290,$C38))</f>
        <v>0.261093215416395</v>
      </c>
      <c r="R39" s="57" t="n">
        <f aca="false">IF($D39=0,"",AVERAGEIFS(Simulation!$CO$3:$CO$290,Simulation!$N$3:$N$290,"P",Simulation!$F$3:$F$290,$C39)-AVERAGEIFS(Simulation!$CO$3:$CO$290,Simulation!$N$3:$N$290,"P",Simulation!$F$3:$F$290,$C38))</f>
        <v>0.261093215416391</v>
      </c>
      <c r="S39" s="57" t="n">
        <f aca="false">IF($D39=0,"",AVERAGEIFS(Simulation!$CK$3:$CK$290,Simulation!$N$3:$N$290,"P",Simulation!$F$3:$F$290,$C39)-AVERAGEIFS(Simulation!$CK$3:$CK$290,Simulation!$N$3:$N$290,"P",Simulation!$F$3:$F$290,$C38))</f>
        <v>0.0314506850003966</v>
      </c>
    </row>
    <row r="40" customFormat="false" ht="15" hidden="false" customHeight="false" outlineLevel="0" collapsed="false">
      <c r="A40" s="27" t="s">
        <v>457</v>
      </c>
      <c r="B40" s="20" t="s">
        <v>455</v>
      </c>
      <c r="C40" s="20" t="s">
        <v>279</v>
      </c>
      <c r="D40" s="52" t="n">
        <f aca="false">COUNTIFS(Simulation!$N$3:$N$290,"P",Simulation!$F$3:$F$290,$C40)</f>
        <v>10</v>
      </c>
      <c r="E40" s="22" t="n">
        <f aca="false">IF($D40=0,"",AVERAGEIFS(Simulation!$U$3:$U$290,Simulation!$N$3:$N$290,"P",Simulation!$F$3:$F$290,$C40)/AVERAGEIFS(Simulation!$U$3:$U$290,Simulation!$N$3:$N$290,"P",Simulation!$F$3:$F$290,$C38)-1)</f>
        <v>-0.0137104138828112</v>
      </c>
      <c r="F40" s="22" t="n">
        <f aca="false">IF($D40=0,"",AVERAGEIFS(Simulation!$Z$3:$Z$290,Simulation!$N$3:$N$290,"P",Simulation!$F$3:$F$290,$C40)/AVERAGEIFS(Simulation!$Z$3:$Z$290,Simulation!$N$3:$N$290,"P",Simulation!$F$3:$F$290,$C38)-1)</f>
        <v>-0.0452647001183961</v>
      </c>
      <c r="G40" s="22" t="n">
        <f aca="false">IF($D40=0,"",AVERAGEIFS(Simulation!$AE$3:$AE$290,Simulation!$N$3:$N$290,"P",Simulation!$F$3:$F$290,$C40)/AVERAGEIFS(Simulation!$AE$3:$AE$290,Simulation!$N$3:$N$290,"P",Simulation!$F$3:$F$290,$C38)-1)</f>
        <v>-0.218958826786735</v>
      </c>
      <c r="H40" s="22" t="n">
        <f aca="false">IF($D40=0,"",AVERAGEIFS(Simulation!$AJ$3:$AJ$290,Simulation!$N$3:$N$290,"P",Simulation!$F$3:$F$290,$C40)/AVERAGEIFS(Simulation!$AJ$3:$AJ$290,Simulation!$N$3:$N$290,"P",Simulation!$F$3:$F$290,$C38)-1)</f>
        <v>-0.13663656632631</v>
      </c>
      <c r="I40" s="22" t="n">
        <f aca="false">IF($D40=0,"",AVERAGEIFS(Simulation!$AO$3:$AO$290,Simulation!$N$3:$N$290,"P",Simulation!$F$3:$F$290,$C40)/AVERAGEIFS(Simulation!$AO$3:$AO$290,Simulation!$N$3:$N$290,"P",Simulation!$F$3:$F$290,$C38)-1)</f>
        <v>-0.119320432511188</v>
      </c>
      <c r="J40" s="22" t="n">
        <f aca="false">IF($D40=0,"",AVERAGEIFS(Simulation!$AT$3:$AT$290,Simulation!$N$3:$N$290,"P",Simulation!$F$3:$F$290,$C40)/AVERAGEIFS(Simulation!$AT$3:$AT$290,Simulation!$N$3:$N$290,"P",Simulation!$F$3:$F$290,$C38)-1)</f>
        <v>0.0809229595447243</v>
      </c>
      <c r="K40" s="22" t="n">
        <f aca="false">IF($D40=0,"",AVERAGEIFS(Simulation!$AY$3:$AY$290,Simulation!$N$3:$N$290,"P",Simulation!$F$3:$F$290,$C40)/AVERAGEIFS(Simulation!$AY$3:$AY$290,Simulation!$N$3:$N$290,"P",Simulation!$F$3:$F$290,$C38)-1)</f>
        <v>-0.0803426158279065</v>
      </c>
      <c r="L40" s="22" t="n">
        <f aca="false">IF($D40=0,"",AVERAGEIFS(Simulation!$BD$3:$BD$290,Simulation!$N$3:$N$290,"P",Simulation!$F$3:$F$290,$C40)/AVERAGEIFS(Simulation!$BD$3:$BD$290,Simulation!$N$3:$N$290,"P",Simulation!$F$3:$F$290,$C38)-1)</f>
        <v>-0.144436595652172</v>
      </c>
      <c r="M40" s="22" t="n">
        <f aca="false">IF($D40=0,"",AVERAGEIFS(Simulation!$BI$3:$BI$290,Simulation!$N$3:$N$290,"P",Simulation!$F$3:$F$290,$C40)/AVERAGEIFS(Simulation!$BI$3:$BI$290,Simulation!$N$3:$N$290,"P",Simulation!$F$3:$F$290,$C38)-1)</f>
        <v>-0.115459254541265</v>
      </c>
      <c r="N40" s="22" t="n">
        <f aca="false">IF($D40=0,"",AVERAGEIFS(Simulation!$BN$3:$BN$290,Simulation!$N$3:$N$290,"P",Simulation!$F$3:$F$290,$C40)/AVERAGEIFS(Simulation!$BN$3:$BN$290,Simulation!$N$3:$N$290,"P",Simulation!$F$3:$F$290,$C38)-1)</f>
        <v>0.0121633452384793</v>
      </c>
      <c r="O40" s="22" t="n">
        <f aca="false">IF($D40=0,"",AVERAGEIFS(Simulation!$BS$3:$BS$290,Simulation!$N$3:$N$290,"P",Simulation!$F$3:$F$290,$C40)/AVERAGEIFS(Simulation!$BS$3:$BS$290,Simulation!$N$3:$N$290,"P",Simulation!$F$3:$F$290,$C38)-1)</f>
        <v>0.126102934109667</v>
      </c>
      <c r="P40" s="22" t="n">
        <f aca="false">IF($D40=0,"",AVERAGEIFS(Simulation!$BX$3:$BX$290,Simulation!$N$3:$N$290,"P",Simulation!$F$3:$F$290,$C40)/AVERAGEIFS(Simulation!$BX$3:$BX$290,Simulation!$N$3:$N$290,"P",Simulation!$F$3:$F$290,$C38)-1)</f>
        <v>-0.0316193361420634</v>
      </c>
      <c r="Q40" s="57" t="n">
        <f aca="false">IF($D40=0,"",AVERAGEIFS(Simulation!$CL$3:$CL$290,Simulation!$N$3:$N$290,"P",Simulation!$F$3:$F$290,$C40)-AVERAGEIFS(Simulation!$CL$3:$CL$290,Simulation!$N$3:$N$290,"P",Simulation!$F$3:$F$290,$C38))</f>
        <v>0.648907428283938</v>
      </c>
      <c r="R40" s="57" t="n">
        <f aca="false">IF($D40=0,"",AVERAGEIFS(Simulation!$CO$3:$CO$290,Simulation!$N$3:$N$290,"P",Simulation!$F$3:$F$290,$C40)-AVERAGEIFS(Simulation!$CO$3:$CO$290,Simulation!$N$3:$N$290,"P",Simulation!$F$3:$F$290,$C38))</f>
        <v>0.64890742828394</v>
      </c>
      <c r="S40" s="57" t="n">
        <f aca="false">IF($D40=0,"",AVERAGEIFS(Simulation!$CK$3:$CK$290,Simulation!$N$3:$N$290,"P",Simulation!$F$3:$F$290,$C40)-AVERAGEIFS(Simulation!$CK$3:$CK$290,Simulation!$N$3:$N$290,"P",Simulation!$F$3:$F$290,$C38))</f>
        <v>0.0781660743872196</v>
      </c>
    </row>
    <row r="41" customFormat="false" ht="15" hidden="false" customHeight="false" outlineLevel="0" collapsed="false">
      <c r="A41" s="27" t="s">
        <v>457</v>
      </c>
      <c r="B41" s="20" t="s">
        <v>455</v>
      </c>
      <c r="C41" s="20" t="s">
        <v>281</v>
      </c>
      <c r="D41" s="52" t="n">
        <f aca="false">COUNTIFS(Simulation!$N$3:$N$290,"P",Simulation!$F$3:$F$290,$C41)</f>
        <v>10</v>
      </c>
      <c r="E41" s="22" t="n">
        <f aca="false">IF($D41=0,"",AVERAGEIFS(Simulation!$U$3:$U$290,Simulation!$N$3:$N$290,"P",Simulation!$F$3:$F$290,$C41)/AVERAGEIFS(Simulation!$U$3:$U$290,Simulation!$N$3:$N$290,"P",Simulation!$F$3:$F$290,$C38)-1)</f>
        <v>-0.0448094343166215</v>
      </c>
      <c r="F41" s="22" t="n">
        <f aca="false">IF($D41=0,"",AVERAGEIFS(Simulation!$Z$3:$Z$290,Simulation!$N$3:$N$290,"P",Simulation!$F$3:$F$290,$C41)/AVERAGEIFS(Simulation!$Z$3:$Z$290,Simulation!$N$3:$N$290,"P",Simulation!$F$3:$F$290,$C38)-1)</f>
        <v>-0.154799373876334</v>
      </c>
      <c r="G41" s="22" t="n">
        <f aca="false">IF($D41=0,"",AVERAGEIFS(Simulation!$AE$3:$AE$290,Simulation!$N$3:$N$290,"P",Simulation!$F$3:$F$290,$C41)/AVERAGEIFS(Simulation!$AE$3:$AE$290,Simulation!$N$3:$N$290,"P",Simulation!$F$3:$F$290,$C38)-1)</f>
        <v>-0.403694055483919</v>
      </c>
      <c r="H41" s="22" t="n">
        <f aca="false">IF($D41=0,"",AVERAGEIFS(Simulation!$AJ$3:$AJ$290,Simulation!$N$3:$N$290,"P",Simulation!$F$3:$F$290,$C41)/AVERAGEIFS(Simulation!$AJ$3:$AJ$290,Simulation!$N$3:$N$290,"P",Simulation!$F$3:$F$290,$C38)-1)</f>
        <v>-0.267194425543312</v>
      </c>
      <c r="I41" s="22" t="n">
        <f aca="false">IF($D41=0,"",AVERAGEIFS(Simulation!$AO$3:$AO$290,Simulation!$N$3:$N$290,"P",Simulation!$F$3:$F$290,$C41)/AVERAGEIFS(Simulation!$AO$3:$AO$290,Simulation!$N$3:$N$290,"P",Simulation!$F$3:$F$290,$C38)-1)</f>
        <v>-0.234120276261135</v>
      </c>
      <c r="J41" s="22" t="n">
        <f aca="false">IF($D41=0,"",AVERAGEIFS(Simulation!$AT$3:$AT$290,Simulation!$N$3:$N$290,"P",Simulation!$F$3:$F$290,$C41)/AVERAGEIFS(Simulation!$AT$3:$AT$290,Simulation!$N$3:$N$290,"P",Simulation!$F$3:$F$290,$C38)-1)</f>
        <v>0.151664708363828</v>
      </c>
      <c r="K41" s="22" t="n">
        <f aca="false">IF($D41=0,"",AVERAGEIFS(Simulation!$AY$3:$AY$290,Simulation!$N$3:$N$290,"P",Simulation!$F$3:$F$290,$C41)/AVERAGEIFS(Simulation!$AY$3:$AY$290,Simulation!$N$3:$N$290,"P",Simulation!$F$3:$F$290,$C38)-1)</f>
        <v>-0.160611370629376</v>
      </c>
      <c r="L41" s="22" t="n">
        <f aca="false">IF($D41=0,"",AVERAGEIFS(Simulation!$BD$3:$BD$290,Simulation!$N$3:$N$290,"P",Simulation!$F$3:$F$290,$C41)/AVERAGEIFS(Simulation!$BD$3:$BD$290,Simulation!$N$3:$N$290,"P",Simulation!$F$3:$F$290,$C38)-1)</f>
        <v>-0.280010652081629</v>
      </c>
      <c r="M41" s="22" t="n">
        <f aca="false">IF($D41=0,"",AVERAGEIFS(Simulation!$BI$3:$BI$290,Simulation!$N$3:$N$290,"P",Simulation!$F$3:$F$290,$C41)/AVERAGEIFS(Simulation!$BI$3:$BI$290,Simulation!$N$3:$N$290,"P",Simulation!$F$3:$F$290,$C38)-1)</f>
        <v>-0.225781941249442</v>
      </c>
      <c r="N41" s="22" t="n">
        <f aca="false">IF($D41=0,"",AVERAGEIFS(Simulation!$BN$3:$BN$290,Simulation!$N$3:$N$290,"P",Simulation!$F$3:$F$290,$C41)/AVERAGEIFS(Simulation!$BN$3:$BN$290,Simulation!$N$3:$N$290,"P",Simulation!$F$3:$F$290,$C38)-1)</f>
        <v>-0.0846297928965065</v>
      </c>
      <c r="O41" s="22" t="n">
        <f aca="false">IF($D41=0,"",AVERAGEIFS(Simulation!$BS$3:$BS$290,Simulation!$N$3:$N$290,"P",Simulation!$F$3:$F$290,$C41)/AVERAGEIFS(Simulation!$BS$3:$BS$290,Simulation!$N$3:$N$290,"P",Simulation!$F$3:$F$290,$C38)-1)</f>
        <v>0.246595782846972</v>
      </c>
      <c r="P41" s="22" t="n">
        <f aca="false">IF($D41=0,"",AVERAGEIFS(Simulation!$BX$3:$BX$290,Simulation!$N$3:$N$290,"P",Simulation!$F$3:$F$290,$C41)/AVERAGEIFS(Simulation!$BX$3:$BX$290,Simulation!$N$3:$N$290,"P",Simulation!$F$3:$F$290,$C38)-1)</f>
        <v>-0.0618319867345257</v>
      </c>
      <c r="Q41" s="57" t="n">
        <f aca="false">IF($D41=0,"",AVERAGEIFS(Simulation!$CL$3:$CL$290,Simulation!$N$3:$N$290,"P",Simulation!$F$3:$F$290,$C41)-AVERAGEIFS(Simulation!$CL$3:$CL$290,Simulation!$N$3:$N$290,"P",Simulation!$F$3:$F$290,$C38))</f>
        <v>1.2732308585303</v>
      </c>
      <c r="R41" s="57" t="n">
        <f aca="false">IF($D41=0,"",AVERAGEIFS(Simulation!$CO$3:$CO$290,Simulation!$N$3:$N$290,"P",Simulation!$F$3:$F$290,$C41)-AVERAGEIFS(Simulation!$CO$3:$CO$290,Simulation!$N$3:$N$290,"P",Simulation!$F$3:$F$290,$C38))</f>
        <v>1.27323085853031</v>
      </c>
      <c r="S41" s="57" t="n">
        <f aca="false">IF($D41=0,"",AVERAGEIFS(Simulation!$CK$3:$CK$290,Simulation!$N$3:$N$290,"P",Simulation!$F$3:$F$290,$C41)-AVERAGEIFS(Simulation!$CK$3:$CK$290,Simulation!$N$3:$N$290,"P",Simulation!$F$3:$F$290,$C38))</f>
        <v>0.153371597900574</v>
      </c>
    </row>
    <row r="42" customFormat="false" ht="15" hidden="false" customHeight="false" outlineLevel="0" collapsed="false">
      <c r="A42" s="27" t="s">
        <v>457</v>
      </c>
      <c r="B42" s="20" t="s">
        <v>455</v>
      </c>
      <c r="C42" s="20" t="s">
        <v>283</v>
      </c>
      <c r="D42" s="52" t="n">
        <f aca="false">COUNTIFS(Simulation!$N$3:$N$290,"P",Simulation!$F$3:$F$290,$C42)</f>
        <v>10</v>
      </c>
      <c r="E42" s="22" t="n">
        <f aca="false">IF($D42=0,"",AVERAGEIFS(Simulation!$U$3:$U$290,Simulation!$N$3:$N$290,"P",Simulation!$F$3:$F$290,$C42)/AVERAGEIFS(Simulation!$U$3:$U$290,Simulation!$N$3:$N$290,"P",Simulation!$F$3:$F$290,$C38)-1)</f>
        <v>-0.159128680881846</v>
      </c>
      <c r="F42" s="22" t="n">
        <f aca="false">IF($D42=0,"",AVERAGEIFS(Simulation!$Z$3:$Z$290,Simulation!$N$3:$N$290,"P",Simulation!$F$3:$F$290,$C42)/AVERAGEIFS(Simulation!$Z$3:$Z$290,Simulation!$N$3:$N$290,"P",Simulation!$F$3:$F$290,$C38)-1)</f>
        <v>-0.492841041709694</v>
      </c>
      <c r="G42" s="22" t="n">
        <f aca="false">IF($D42=0,"",AVERAGEIFS(Simulation!$AE$3:$AE$290,Simulation!$N$3:$N$290,"P",Simulation!$F$3:$F$290,$C42)/AVERAGEIFS(Simulation!$AE$3:$AE$290,Simulation!$N$3:$N$290,"P",Simulation!$F$3:$F$290,$C38)-1)</f>
        <v>-0.59929528707121</v>
      </c>
      <c r="H42" s="22" t="n">
        <f aca="false">IF($D42=0,"",AVERAGEIFS(Simulation!$AJ$3:$AJ$290,Simulation!$N$3:$N$290,"P",Simulation!$F$3:$F$290,$C42)/AVERAGEIFS(Simulation!$AJ$3:$AJ$290,Simulation!$N$3:$N$290,"P",Simulation!$F$3:$F$290,$C38)-1)</f>
        <v>-0.435565738826282</v>
      </c>
      <c r="I42" s="22" t="n">
        <f aca="false">IF($D42=0,"",AVERAGEIFS(Simulation!$AO$3:$AO$290,Simulation!$N$3:$N$290,"P",Simulation!$F$3:$F$290,$C42)/AVERAGEIFS(Simulation!$AO$3:$AO$290,Simulation!$N$3:$N$290,"P",Simulation!$F$3:$F$290,$C38)-1)</f>
        <v>-0.381777259524436</v>
      </c>
      <c r="J42" s="22" t="n">
        <f aca="false">IF($D42=0,"",AVERAGEIFS(Simulation!$AT$3:$AT$290,Simulation!$N$3:$N$290,"P",Simulation!$F$3:$F$290,$C42)/AVERAGEIFS(Simulation!$AT$3:$AT$290,Simulation!$N$3:$N$290,"P",Simulation!$F$3:$F$290,$C38)-1)</f>
        <v>0.23087063740562</v>
      </c>
      <c r="K42" s="22" t="n">
        <f aca="false">IF($D42=0,"",AVERAGEIFS(Simulation!$AY$3:$AY$290,Simulation!$N$3:$N$290,"P",Simulation!$F$3:$F$290,$C42)/AVERAGEIFS(Simulation!$AY$3:$AY$290,Simulation!$N$3:$N$290,"P",Simulation!$F$3:$F$290,$C38)-1)</f>
        <v>-0.271810200528975</v>
      </c>
      <c r="L42" s="22" t="n">
        <f aca="false">IF($D42=0,"",AVERAGEIFS(Simulation!$BD$3:$BD$290,Simulation!$N$3:$N$290,"P",Simulation!$F$3:$F$290,$C42)/AVERAGEIFS(Simulation!$BD$3:$BD$290,Simulation!$N$3:$N$290,"P",Simulation!$F$3:$F$290,$C38)-1)</f>
        <v>-0.44994479546209</v>
      </c>
      <c r="M42" s="22" t="n">
        <f aca="false">IF($D42=0,"",AVERAGEIFS(Simulation!$BI$3:$BI$290,Simulation!$N$3:$N$290,"P",Simulation!$F$3:$F$290,$C42)/AVERAGEIFS(Simulation!$BI$3:$BI$290,Simulation!$N$3:$N$290,"P",Simulation!$F$3:$F$290,$C38)-1)</f>
        <v>-0.368057371908024</v>
      </c>
      <c r="N42" s="22" t="n">
        <f aca="false">IF($D42=0,"",AVERAGEIFS(Simulation!$BN$3:$BN$290,Simulation!$N$3:$N$290,"P",Simulation!$F$3:$F$290,$C42)/AVERAGEIFS(Simulation!$BN$3:$BN$290,Simulation!$N$3:$N$290,"P",Simulation!$F$3:$F$290,$C38)-1)</f>
        <v>-0.244936711558817</v>
      </c>
      <c r="O42" s="22" t="n">
        <f aca="false">IF($D42=0,"",AVERAGEIFS(Simulation!$BS$3:$BS$290,Simulation!$N$3:$N$290,"P",Simulation!$F$3:$F$290,$C42)/AVERAGEIFS(Simulation!$BS$3:$BS$290,Simulation!$N$3:$N$290,"P",Simulation!$F$3:$F$290,$C38)-1)</f>
        <v>0.401986958106565</v>
      </c>
      <c r="P42" s="22" t="n">
        <f aca="false">IF($D42=0,"",AVERAGEIFS(Simulation!$BX$3:$BX$290,Simulation!$N$3:$N$290,"P",Simulation!$F$3:$F$290,$C42)/AVERAGEIFS(Simulation!$BX$3:$BX$290,Simulation!$N$3:$N$290,"P",Simulation!$F$3:$F$290,$C38)-1)</f>
        <v>-0.100795122990898</v>
      </c>
      <c r="Q42" s="57" t="n">
        <f aca="false">IF($D42=0,"",AVERAGEIFS(Simulation!$CL$3:$CL$290,Simulation!$N$3:$N$290,"P",Simulation!$F$3:$F$290,$C42)-AVERAGEIFS(Simulation!$CL$3:$CL$290,Simulation!$N$3:$N$290,"P",Simulation!$F$3:$F$290,$C38))</f>
        <v>2.0762452272633</v>
      </c>
      <c r="R42" s="57" t="n">
        <f aca="false">IF($D42=0,"",AVERAGEIFS(Simulation!$CO$3:$CO$290,Simulation!$N$3:$N$290,"P",Simulation!$F$3:$F$290,$C42)-AVERAGEIFS(Simulation!$CO$3:$CO$290,Simulation!$N$3:$N$290,"P",Simulation!$F$3:$F$290,$C38))</f>
        <v>2.0762452272633</v>
      </c>
      <c r="S42" s="57" t="n">
        <f aca="false">IF($D42=0,"",AVERAGEIFS(Simulation!$CK$3:$CK$290,Simulation!$N$3:$N$290,"P",Simulation!$F$3:$F$290,$C42)-AVERAGEIFS(Simulation!$CK$3:$CK$290,Simulation!$N$3:$N$290,"P",Simulation!$F$3:$F$290,$C38))</f>
        <v>0.250104536756647</v>
      </c>
    </row>
    <row r="43" customFormat="false" ht="15" hidden="false" customHeight="false" outlineLevel="0" collapsed="false">
      <c r="A43" s="27" t="s">
        <v>457</v>
      </c>
      <c r="B43" s="20" t="s">
        <v>455</v>
      </c>
      <c r="C43" s="20" t="s">
        <v>285</v>
      </c>
      <c r="D43" s="52" t="n">
        <f aca="false">COUNTIFS(Simulation!$N$3:$N$290,"P",Simulation!$F$3:$F$290,$C43)</f>
        <v>10</v>
      </c>
      <c r="E43" s="22" t="n">
        <f aca="false">IF($D43=0,"",AVERAGEIFS(Simulation!$U$3:$U$290,Simulation!$N$3:$N$290,"P",Simulation!$F$3:$F$290,$C43)/AVERAGEIFS(Simulation!$U$3:$U$290,Simulation!$N$3:$N$290,"P",Simulation!$F$3:$F$290,$C38)-1)</f>
        <v>-0.271882153492955</v>
      </c>
      <c r="F43" s="22" t="n">
        <f aca="false">IF($D43=0,"",AVERAGEIFS(Simulation!$Z$3:$Z$290,Simulation!$N$3:$N$290,"P",Simulation!$F$3:$F$290,$C43)/AVERAGEIFS(Simulation!$Z$3:$Z$290,Simulation!$N$3:$N$290,"P",Simulation!$F$3:$F$290,$C38)-1)</f>
        <v>-0.671924347251073</v>
      </c>
      <c r="G43" s="22" t="n">
        <f aca="false">IF($D43=0,"",AVERAGEIFS(Simulation!$AE$3:$AE$290,Simulation!$N$3:$N$290,"P",Simulation!$F$3:$F$290,$C43)/AVERAGEIFS(Simulation!$AE$3:$AE$290,Simulation!$N$3:$N$290,"P",Simulation!$F$3:$F$290,$C38)-1)</f>
        <v>-0.695670703298883</v>
      </c>
      <c r="H43" s="22" t="n">
        <f aca="false">IF($D43=0,"",AVERAGEIFS(Simulation!$AJ$3:$AJ$290,Simulation!$N$3:$N$290,"P",Simulation!$F$3:$F$290,$C43)/AVERAGEIFS(Simulation!$AJ$3:$AJ$290,Simulation!$N$3:$N$290,"P",Simulation!$F$3:$F$290,$C38)-1)</f>
        <v>-0.549259740720038</v>
      </c>
      <c r="I43" s="22" t="n">
        <f aca="false">IF($D43=0,"",AVERAGEIFS(Simulation!$AO$3:$AO$290,Simulation!$N$3:$N$290,"P",Simulation!$F$3:$F$290,$C43)/AVERAGEIFS(Simulation!$AO$3:$AO$290,Simulation!$N$3:$N$290,"P",Simulation!$F$3:$F$290,$C38)-1)</f>
        <v>-0.47579057504029</v>
      </c>
      <c r="J43" s="22" t="n">
        <f aca="false">IF($D43=0,"",AVERAGEIFS(Simulation!$AT$3:$AT$290,Simulation!$N$3:$N$290,"P",Simulation!$F$3:$F$290,$C43)/AVERAGEIFS(Simulation!$AT$3:$AT$290,Simulation!$N$3:$N$290,"P",Simulation!$F$3:$F$290,$C38)-1)</f>
        <v>0.273552157637664</v>
      </c>
      <c r="K43" s="22" t="n">
        <f aca="false">IF($D43=0,"",AVERAGEIFS(Simulation!$AY$3:$AY$290,Simulation!$N$3:$N$290,"P",Simulation!$F$3:$F$290,$C43)/AVERAGEIFS(Simulation!$AY$3:$AY$290,Simulation!$N$3:$N$290,"P",Simulation!$F$3:$F$290,$C38)-1)</f>
        <v>-0.355946846200027</v>
      </c>
      <c r="L43" s="22" t="n">
        <f aca="false">IF($D43=0,"",AVERAGEIFS(Simulation!$BD$3:$BD$290,Simulation!$N$3:$N$290,"P",Simulation!$F$3:$F$290,$C43)/AVERAGEIFS(Simulation!$BD$3:$BD$290,Simulation!$N$3:$N$290,"P",Simulation!$F$3:$F$290,$C38)-1)</f>
        <v>-0.55960861976985</v>
      </c>
      <c r="M43" s="22" t="n">
        <f aca="false">IF($D43=0,"",AVERAGEIFS(Simulation!$BI$3:$BI$290,Simulation!$N$3:$N$290,"P",Simulation!$F$3:$F$290,$C43)/AVERAGEIFS(Simulation!$BI$3:$BI$290,Simulation!$N$3:$N$290,"P",Simulation!$F$3:$F$290,$C38)-1)</f>
        <v>-0.46412993181938</v>
      </c>
      <c r="N43" s="22" t="n">
        <f aca="false">IF($D43=0,"",AVERAGEIFS(Simulation!$BN$3:$BN$290,Simulation!$N$3:$N$290,"P",Simulation!$F$3:$F$290,$C43)/AVERAGEIFS(Simulation!$BN$3:$BN$290,Simulation!$N$3:$N$290,"P",Simulation!$F$3:$F$290,$C38)-1)</f>
        <v>-0.33492628265561</v>
      </c>
      <c r="O43" s="22" t="n">
        <f aca="false">IF($D43=0,"",AVERAGEIFS(Simulation!$BS$3:$BS$290,Simulation!$N$3:$N$290,"P",Simulation!$F$3:$F$290,$C43)/AVERAGEIFS(Simulation!$BS$3:$BS$290,Simulation!$N$3:$N$290,"P",Simulation!$F$3:$F$290,$C38)-1)</f>
        <v>0.50691602369237</v>
      </c>
      <c r="P43" s="22" t="n">
        <f aca="false">IF($D43=0,"",AVERAGEIFS(Simulation!$BX$3:$BX$290,Simulation!$N$3:$N$290,"P",Simulation!$F$3:$F$290,$C43)/AVERAGEIFS(Simulation!$BX$3:$BX$290,Simulation!$N$3:$N$290,"P",Simulation!$F$3:$F$290,$C38)-1)</f>
        <v>-0.127105275242747</v>
      </c>
      <c r="Q43" s="57" t="n">
        <f aca="false">IF($D43=0,"",AVERAGEIFS(Simulation!$CL$3:$CL$290,Simulation!$N$3:$N$290,"P",Simulation!$F$3:$F$290,$C43)-AVERAGEIFS(Simulation!$CL$3:$CL$290,Simulation!$N$3:$N$290,"P",Simulation!$F$3:$F$290,$C38))</f>
        <v>2.58752874930261</v>
      </c>
      <c r="R43" s="57" t="n">
        <f aca="false">IF($D43=0,"",AVERAGEIFS(Simulation!$CO$3:$CO$290,Simulation!$N$3:$N$290,"P",Simulation!$F$3:$F$290,$C43)-AVERAGEIFS(Simulation!$CO$3:$CO$290,Simulation!$N$3:$N$290,"P",Simulation!$F$3:$F$290,$C38))</f>
        <v>2.58752874930261</v>
      </c>
      <c r="S43" s="57" t="n">
        <f aca="false">IF($D43=0,"",AVERAGEIFS(Simulation!$CK$3:$CK$290,Simulation!$N$3:$N$290,"P",Simulation!$F$3:$F$290,$C43)-AVERAGEIFS(Simulation!$CK$3:$CK$290,Simulation!$N$3:$N$290,"P",Simulation!$F$3:$F$290,$C38))</f>
        <v>0.311699793140079</v>
      </c>
    </row>
    <row r="45" customFormat="false" ht="15" hidden="false" customHeight="false" outlineLevel="0" collapsed="false">
      <c r="A45" s="7" t="s">
        <v>459</v>
      </c>
    </row>
    <row r="46" customFormat="false" ht="23.85" hidden="false" customHeight="false" outlineLevel="0" collapsed="false">
      <c r="A46" s="6" t="s">
        <v>358</v>
      </c>
      <c r="B46" s="6" t="s">
        <v>156</v>
      </c>
      <c r="C46" s="6" t="s">
        <v>356</v>
      </c>
      <c r="D46" s="6" t="s">
        <v>441</v>
      </c>
      <c r="E46" s="6" t="s">
        <v>442</v>
      </c>
      <c r="F46" s="6" t="s">
        <v>443</v>
      </c>
      <c r="G46" s="6" t="s">
        <v>444</v>
      </c>
      <c r="H46" s="6" t="s">
        <v>445</v>
      </c>
      <c r="I46" s="6" t="s">
        <v>446</v>
      </c>
      <c r="J46" s="6" t="s">
        <v>447</v>
      </c>
      <c r="K46" s="6" t="s">
        <v>230</v>
      </c>
      <c r="L46" s="6" t="s">
        <v>448</v>
      </c>
      <c r="M46" s="6" t="s">
        <v>449</v>
      </c>
      <c r="N46" s="6" t="s">
        <v>450</v>
      </c>
      <c r="O46" s="6" t="s">
        <v>451</v>
      </c>
      <c r="P46" s="6" t="s">
        <v>452</v>
      </c>
      <c r="Q46" s="6" t="s">
        <v>429</v>
      </c>
      <c r="R46" s="6" t="s">
        <v>453</v>
      </c>
      <c r="S46" s="6" t="s">
        <v>428</v>
      </c>
    </row>
    <row r="47" customFormat="false" ht="15" hidden="false" customHeight="false" outlineLevel="0" collapsed="false">
      <c r="A47" s="47" t="s">
        <v>454</v>
      </c>
      <c r="B47" s="17" t="s">
        <v>158</v>
      </c>
      <c r="C47" s="17" t="s">
        <v>275</v>
      </c>
      <c r="D47" s="48" t="n">
        <f aca="false">COUNTIFS(Simulation!$N$3:$N$290,"V",Simulation!$F$3:$F$290,$C47,Simulation!$E$3:$E$290,"11/02/2026")</f>
        <v>11</v>
      </c>
      <c r="E47" s="49" t="n">
        <f aca="false">IF($D47=0,"",AVERAGEIFS(Simulation!$U$3:$U$290,Simulation!$N$3:$N$290,"V",Simulation!$F$3:$F$290,$C47,Simulation!$E$3:$E$290,"11/02/2026"))</f>
        <v>86</v>
      </c>
      <c r="F47" s="49" t="n">
        <f aca="false">IF($D47=0,"",AVERAGEIFS(Simulation!$Z$3:$Z$290,Simulation!$N$3:$N$290,"V",Simulation!$F$3:$F$290,$C47,Simulation!$E$3:$E$290,"11/02/2026"))</f>
        <v>72</v>
      </c>
      <c r="G47" s="49" t="n">
        <f aca="false">IF($D47=0,"",AVERAGEIFS(Simulation!$AE$3:$AE$290,Simulation!$N$3:$N$290,"V",Simulation!$F$3:$F$290,$C47,Simulation!$E$3:$E$290,"11/02/2026"))</f>
        <v>19.2072727272727</v>
      </c>
      <c r="H47" s="50" t="n">
        <f aca="false">IF($D47=0,"",AVERAGEIFS(Simulation!$AJ$3:$AJ$290,Simulation!$N$3:$N$290,"V",Simulation!$F$3:$F$290,$C47,Simulation!$E$3:$E$290,"11/02/2026"))</f>
        <v>0.464685683730118</v>
      </c>
      <c r="I47" s="51" t="n">
        <f aca="false">IF($D47=0,"",AVERAGEIFS(Simulation!$AO$3:$AO$290,Simulation!$N$3:$N$290,"V",Simulation!$F$3:$F$290,$C47,Simulation!$E$3:$E$290,"11/02/2026"))</f>
        <v>4.38850387664553</v>
      </c>
      <c r="J47" s="48" t="n">
        <f aca="false">IF($D47=0,"",AVERAGEIFS(Simulation!$AT$3:$AT$290,Simulation!$N$3:$N$290,"V",Simulation!$F$3:$F$290,$C47,Simulation!$E$3:$E$290,"11/02/2026"))</f>
        <v>285</v>
      </c>
      <c r="K47" s="51" t="n">
        <f aca="false">IF($D47=0,"",AVERAGEIFS(Simulation!$AY$3:$AY$290,Simulation!$N$3:$N$290,"V",Simulation!$F$3:$F$290,$C47,Simulation!$E$3:$E$290,"11/02/2026"))</f>
        <v>1.40930517498039</v>
      </c>
      <c r="L47" s="50" t="n">
        <f aca="false">IF($D47=0,"",AVERAGEIFS(Simulation!$BD$3:$BD$290,Simulation!$N$3:$N$290,"V",Simulation!$F$3:$F$290,$C47,Simulation!$E$3:$E$290,"11/02/2026"))</f>
        <v>1.20045454545455</v>
      </c>
      <c r="M47" s="50" t="n">
        <f aca="false">IF($D47=0,"",AVERAGEIFS(Simulation!$BI$3:$BI$290,Simulation!$N$3:$N$290,"V",Simulation!$F$3:$F$290,$C47,Simulation!$E$3:$E$290,"11/02/2026"))</f>
        <v>0.432163636363636</v>
      </c>
      <c r="N47" s="50" t="n">
        <f aca="false">IF($D47=0,"",AVERAGEIFS(Simulation!$BN$3:$BN$290,Simulation!$N$3:$N$290,"V",Simulation!$F$3:$F$290,$C47,Simulation!$E$3:$E$290,"11/02/2026"))</f>
        <v>0.288109090909091</v>
      </c>
      <c r="O47" s="49" t="n">
        <f aca="false">IF($D47=0,"",AVERAGEIFS(Simulation!$BS$3:$BS$290,Simulation!$N$3:$N$290,"V",Simulation!$F$3:$F$290,$C47,Simulation!$E$3:$E$290,"11/02/2026"))</f>
        <v>19.425</v>
      </c>
      <c r="P47" s="51" t="n">
        <f aca="false">IF($D47=0,"",AVERAGEIFS(Simulation!$BX$3:$BX$290,Simulation!$N$3:$N$290,"V",Simulation!$F$3:$F$290,$C47,Simulation!$E$3:$E$290,"11/02/2026"))</f>
        <v>11.232</v>
      </c>
      <c r="Q47" s="49" t="n">
        <f aca="false">IF($D47=0,"",AVERAGEIFS(Simulation!$CL$3:$CL$290,Simulation!$N$3:$N$290,"V",Simulation!$F$3:$F$290,$C47,Simulation!$E$3:$E$290,"11/02/2026"))</f>
        <v>21.954701271919</v>
      </c>
      <c r="R47" s="49" t="n">
        <f aca="false">IF($D47=0,"",AVERAGEIFS(Simulation!$CO$3:$CO$290,Simulation!$N$3:$N$290,"V",Simulation!$F$3:$F$290,$C47,Simulation!$E$3:$E$290,"11/02/2026"))</f>
        <v>-0.67101301379525</v>
      </c>
      <c r="S47" s="51" t="n">
        <f aca="false">IF($D47=0,"",AVERAGEIFS(Simulation!$CK$3:$CK$290,Simulation!$N$3:$N$290,"V",Simulation!$F$3:$F$290,$C47,Simulation!$E$3:$E$290,"11/02/2026"))</f>
        <v>0.12</v>
      </c>
    </row>
    <row r="48" customFormat="false" ht="15" hidden="false" customHeight="false" outlineLevel="0" collapsed="false">
      <c r="A48" s="27" t="s">
        <v>454</v>
      </c>
      <c r="B48" s="20" t="s">
        <v>158</v>
      </c>
      <c r="C48" s="20" t="s">
        <v>277</v>
      </c>
      <c r="D48" s="52" t="n">
        <f aca="false">COUNTIFS(Simulation!$N$3:$N$290,"V",Simulation!$F$3:$F$290,$C48,Simulation!$E$3:$E$290,"11/02/2026")</f>
        <v>11</v>
      </c>
      <c r="E48" s="53" t="n">
        <f aca="false">IF($D48=0,"",AVERAGEIFS(Simulation!$U$3:$U$290,Simulation!$N$3:$N$290,"V",Simulation!$F$3:$F$290,$C48,Simulation!$E$3:$E$290,"11/02/2026"))</f>
        <v>85.8179831146311</v>
      </c>
      <c r="F48" s="53" t="n">
        <f aca="false">IF($D48=0,"",AVERAGEIFS(Simulation!$Z$3:$Z$290,Simulation!$N$3:$N$290,"V",Simulation!$F$3:$F$290,$C48,Simulation!$E$3:$E$290,"11/02/2026"))</f>
        <v>71.513549675877</v>
      </c>
      <c r="G48" s="53" t="n">
        <f aca="false">IF($D48=0,"",AVERAGEIFS(Simulation!$AE$3:$AE$290,Simulation!$N$3:$N$290,"V",Simulation!$F$3:$F$290,$C48,Simulation!$E$3:$E$290,"11/02/2026"))</f>
        <v>17.8101193293864</v>
      </c>
      <c r="H48" s="54" t="n">
        <f aca="false">IF($D48=0,"",AVERAGEIFS(Simulation!$AJ$3:$AJ$290,Simulation!$N$3:$N$290,"V",Simulation!$F$3:$F$290,$C48,Simulation!$E$3:$E$290,"11/02/2026"))</f>
        <v>0.444266445834775</v>
      </c>
      <c r="I48" s="55" t="n">
        <f aca="false">IF($D48=0,"",AVERAGEIFS(Simulation!$AO$3:$AO$290,Simulation!$N$3:$N$290,"V",Simulation!$F$3:$F$290,$C48,Simulation!$E$3:$E$290,"11/02/2026"))</f>
        <v>4.2271315347835</v>
      </c>
      <c r="J48" s="52" t="n">
        <f aca="false">IF($D48=0,"",AVERAGEIFS(Simulation!$AT$3:$AT$290,Simulation!$N$3:$N$290,"V",Simulation!$F$3:$F$290,$C48,Simulation!$E$3:$E$290,"11/02/2026"))</f>
        <v>292.594012271664</v>
      </c>
      <c r="K48" s="55" t="n">
        <f aca="false">IF($D48=0,"",AVERAGEIFS(Simulation!$AY$3:$AY$290,Simulation!$N$3:$N$290,"V",Simulation!$F$3:$F$290,$C48,Simulation!$E$3:$E$290,"11/02/2026"))</f>
        <v>1.38684532793939</v>
      </c>
      <c r="L48" s="54" t="n">
        <f aca="false">IF($D48=0,"",AVERAGEIFS(Simulation!$BD$3:$BD$290,Simulation!$N$3:$N$290,"V",Simulation!$F$3:$F$290,$C48,Simulation!$E$3:$E$290,"11/02/2026"))</f>
        <v>1.16544210961445</v>
      </c>
      <c r="M48" s="54" t="n">
        <f aca="false">IF($D48=0,"",AVERAGEIFS(Simulation!$BI$3:$BI$290,Simulation!$N$3:$N$290,"V",Simulation!$F$3:$F$290,$C48,Simulation!$E$3:$E$290,"11/02/2026"))</f>
        <v>0.422135317656912</v>
      </c>
      <c r="N48" s="54" t="n">
        <f aca="false">IF($D48=0,"",AVERAGEIFS(Simulation!$BN$3:$BN$290,Simulation!$N$3:$N$290,"V",Simulation!$F$3:$F$290,$C48,Simulation!$E$3:$E$290,"11/02/2026"))</f>
        <v>0.291778972085104</v>
      </c>
      <c r="O48" s="53" t="n">
        <f aca="false">IF($D48=0,"",AVERAGEIFS(Simulation!$BS$3:$BS$290,Simulation!$N$3:$N$290,"V",Simulation!$F$3:$F$290,$C48,Simulation!$E$3:$E$290,"11/02/2026"))</f>
        <v>19.9175610680909</v>
      </c>
      <c r="P48" s="55" t="n">
        <f aca="false">IF($D48=0,"",AVERAGEIFS(Simulation!$BX$3:$BX$290,Simulation!$N$3:$N$290,"V",Simulation!$F$3:$F$290,$C48,Simulation!$E$3:$E$290,"11/02/2026"))</f>
        <v>11.1605603799551</v>
      </c>
      <c r="Q48" s="53" t="n">
        <f aca="false">IF($D48=0,"",AVERAGEIFS(Simulation!$CL$3:$CL$290,Simulation!$N$3:$N$290,"V",Simulation!$F$3:$F$290,$C48,Simulation!$E$3:$E$290,"11/02/2026"))</f>
        <v>22.1264619288745</v>
      </c>
      <c r="R48" s="53" t="n">
        <f aca="false">IF($D48=0,"",AVERAGEIFS(Simulation!$CO$3:$CO$290,Simulation!$N$3:$N$290,"V",Simulation!$F$3:$F$290,$C48,Simulation!$E$3:$E$290,"11/02/2026"))</f>
        <v>-0.499252356839804</v>
      </c>
      <c r="S48" s="55" t="n">
        <f aca="false">IF($D48=0,"",AVERAGEIFS(Simulation!$CK$3:$CK$290,Simulation!$N$3:$N$290,"V",Simulation!$F$3:$F$290,$C48,Simulation!$E$3:$E$290,"11/02/2026"))</f>
        <v>0.152359014559453</v>
      </c>
    </row>
    <row r="49" customFormat="false" ht="15" hidden="false" customHeight="false" outlineLevel="0" collapsed="false">
      <c r="A49" s="27" t="s">
        <v>454</v>
      </c>
      <c r="B49" s="20" t="s">
        <v>158</v>
      </c>
      <c r="C49" s="20" t="s">
        <v>279</v>
      </c>
      <c r="D49" s="52" t="n">
        <f aca="false">COUNTIFS(Simulation!$N$3:$N$290,"V",Simulation!$F$3:$F$290,$C49,Simulation!$E$3:$E$290,"11/02/2026")</f>
        <v>11</v>
      </c>
      <c r="E49" s="53" t="n">
        <f aca="false">IF($D49=0,"",AVERAGEIFS(Simulation!$U$3:$U$290,Simulation!$N$3:$N$290,"V",Simulation!$F$3:$F$290,$C49,Simulation!$E$3:$E$290,"11/02/2026"))</f>
        <v>85.4123809506982</v>
      </c>
      <c r="F49" s="53" t="n">
        <f aca="false">IF($D49=0,"",AVERAGEIFS(Simulation!$Z$3:$Z$290,Simulation!$N$3:$N$290,"V",Simulation!$F$3:$F$290,$C49,Simulation!$E$3:$E$290,"11/02/2026"))</f>
        <v>70.3759075529914</v>
      </c>
      <c r="G49" s="53" t="n">
        <f aca="false">IF($D49=0,"",AVERAGEIFS(Simulation!$AE$3:$AE$290,Simulation!$N$3:$N$290,"V",Simulation!$F$3:$F$290,$C49,Simulation!$E$3:$E$290,"11/02/2026"))</f>
        <v>15.8548020675965</v>
      </c>
      <c r="H49" s="54" t="n">
        <f aca="false">IF($D49=0,"",AVERAGEIFS(Simulation!$AJ$3:$AJ$290,Simulation!$N$3:$N$290,"V",Simulation!$F$3:$F$290,$C49,Simulation!$E$3:$E$290,"11/02/2026"))</f>
        <v>0.414064602461019</v>
      </c>
      <c r="I49" s="55" t="n">
        <f aca="false">IF($D49=0,"",AVERAGEIFS(Simulation!$AO$3:$AO$290,Simulation!$N$3:$N$290,"V",Simulation!$F$3:$F$290,$C49,Simulation!$E$3:$E$290,"11/02/2026"))</f>
        <v>3.98864578840775</v>
      </c>
      <c r="J49" s="52" t="n">
        <f aca="false">IF($D49=0,"",AVERAGEIFS(Simulation!$AT$3:$AT$290,Simulation!$N$3:$N$290,"V",Simulation!$F$3:$F$290,$C49,Simulation!$E$3:$E$290,"11/02/2026"))</f>
        <v>303.390834848448</v>
      </c>
      <c r="K49" s="55" t="n">
        <f aca="false">IF($D49=0,"",AVERAGEIFS(Simulation!$AY$3:$AY$290,Simulation!$N$3:$N$290,"V",Simulation!$F$3:$F$290,$C49,Simulation!$E$3:$E$290,"11/02/2026"))</f>
        <v>1.35296036463404</v>
      </c>
      <c r="L49" s="54" t="n">
        <f aca="false">IF($D49=0,"",AVERAGEIFS(Simulation!$BD$3:$BD$290,Simulation!$N$3:$N$290,"V",Simulation!$F$3:$F$290,$C49,Simulation!$E$3:$E$290,"11/02/2026"))</f>
        <v>1.11406404101022</v>
      </c>
      <c r="M49" s="54" t="n">
        <f aca="false">IF($D49=0,"",AVERAGEIFS(Simulation!$BI$3:$BI$290,Simulation!$N$3:$N$290,"V",Simulation!$F$3:$F$290,$C49,Simulation!$E$3:$E$290,"11/02/2026"))</f>
        <v>0.407302554924289</v>
      </c>
      <c r="N49" s="54" t="n">
        <f aca="false">IF($D49=0,"",AVERAGEIFS(Simulation!$BN$3:$BN$290,Simulation!$N$3:$N$290,"V",Simulation!$F$3:$F$290,$C49,Simulation!$E$3:$E$290,"11/02/2026"))</f>
        <v>0.289855174578971</v>
      </c>
      <c r="O49" s="53" t="n">
        <f aca="false">IF($D49=0,"",AVERAGEIFS(Simulation!$BS$3:$BS$290,Simulation!$N$3:$N$290,"V",Simulation!$F$3:$F$290,$C49,Simulation!$E$3:$E$290,"11/02/2026"))</f>
        <v>20.6461020795987</v>
      </c>
      <c r="P49" s="55" t="n">
        <f aca="false">IF($D49=0,"",AVERAGEIFS(Simulation!$BX$3:$BX$290,Simulation!$N$3:$N$290,"V",Simulation!$F$3:$F$290,$C49,Simulation!$E$3:$E$290,"11/02/2026"))</f>
        <v>11.0548949174957</v>
      </c>
      <c r="Q49" s="53" t="n">
        <f aca="false">IF($D49=0,"",AVERAGEIFS(Simulation!$CL$3:$CL$290,Simulation!$N$3:$N$290,"V",Simulation!$F$3:$F$290,$C49,Simulation!$E$3:$E$290,"11/02/2026"))</f>
        <v>22.3803001517035</v>
      </c>
      <c r="R49" s="53" t="n">
        <f aca="false">IF($D49=0,"",AVERAGEIFS(Simulation!$CO$3:$CO$290,Simulation!$N$3:$N$290,"V",Simulation!$F$3:$F$290,$C49,Simulation!$E$3:$E$290,"11/02/2026"))</f>
        <v>-0.245414134010821</v>
      </c>
      <c r="S49" s="55" t="n">
        <f aca="false">IF($D49=0,"",AVERAGEIFS(Simulation!$CK$3:$CK$290,Simulation!$N$3:$N$290,"V",Simulation!$F$3:$F$290,$C49,Simulation!$E$3:$E$290,"11/02/2026"))</f>
        <v>0.200181111271619</v>
      </c>
    </row>
    <row r="50" customFormat="false" ht="15" hidden="false" customHeight="false" outlineLevel="0" collapsed="false">
      <c r="A50" s="27" t="s">
        <v>454</v>
      </c>
      <c r="B50" s="20" t="s">
        <v>158</v>
      </c>
      <c r="C50" s="20" t="s">
        <v>281</v>
      </c>
      <c r="D50" s="52" t="n">
        <f aca="false">COUNTIFS(Simulation!$N$3:$N$290,"V",Simulation!$F$3:$F$290,$C50,Simulation!$E$3:$E$290,"11/02/2026")</f>
        <v>11</v>
      </c>
      <c r="E50" s="53" t="n">
        <f aca="false">IF($D50=0,"",AVERAGEIFS(Simulation!$U$3:$U$290,Simulation!$N$3:$N$290,"V",Simulation!$F$3:$F$290,$C50,Simulation!$E$3:$E$290,"11/02/2026"))</f>
        <v>84.0794980065559</v>
      </c>
      <c r="F50" s="53" t="n">
        <f aca="false">IF($D50=0,"",AVERAGEIFS(Simulation!$Z$3:$Z$290,Simulation!$N$3:$N$290,"V",Simulation!$F$3:$F$290,$C50,Simulation!$E$3:$E$290,"11/02/2026"))</f>
        <v>66.445815541545</v>
      </c>
      <c r="G50" s="53" t="n">
        <f aca="false">IF($D50=0,"",AVERAGEIFS(Simulation!$AE$3:$AE$290,Simulation!$N$3:$N$290,"V",Simulation!$F$3:$F$290,$C50,Simulation!$E$3:$E$290,"11/02/2026"))</f>
        <v>13.0263276776642</v>
      </c>
      <c r="H50" s="54" t="n">
        <f aca="false">IF($D50=0,"",AVERAGEIFS(Simulation!$AJ$3:$AJ$290,Simulation!$N$3:$N$290,"V",Simulation!$F$3:$F$290,$C50,Simulation!$E$3:$E$290,"11/02/2026"))</f>
        <v>0.365695559097033</v>
      </c>
      <c r="I50" s="55" t="n">
        <f aca="false">IF($D50=0,"",AVERAGEIFS(Simulation!$AO$3:$AO$290,Simulation!$N$3:$N$290,"V",Simulation!$F$3:$F$290,$C50,Simulation!$E$3:$E$290,"11/02/2026"))</f>
        <v>3.60905225732761</v>
      </c>
      <c r="J50" s="52" t="n">
        <f aca="false">IF($D50=0,"",AVERAGEIFS(Simulation!$AT$3:$AT$290,Simulation!$N$3:$N$290,"V",Simulation!$F$3:$F$290,$C50,Simulation!$E$3:$E$290,"11/02/2026"))</f>
        <v>319.467852134295</v>
      </c>
      <c r="K50" s="55" t="n">
        <f aca="false">IF($D50=0,"",AVERAGEIFS(Simulation!$AY$3:$AY$290,Simulation!$N$3:$N$290,"V",Simulation!$F$3:$F$290,$C50,Simulation!$E$3:$E$290,"11/02/2026"))</f>
        <v>1.29666735351631</v>
      </c>
      <c r="L50" s="54" t="n">
        <f aca="false">IF($D50=0,"",AVERAGEIFS(Simulation!$BD$3:$BD$290,Simulation!$N$3:$N$290,"V",Simulation!$F$3:$F$290,$C50,Simulation!$E$3:$E$290,"11/02/2026"))</f>
        <v>1.03297440391638</v>
      </c>
      <c r="M50" s="54" t="n">
        <f aca="false">IF($D50=0,"",AVERAGEIFS(Simulation!$BI$3:$BI$290,Simulation!$N$3:$N$290,"V",Simulation!$F$3:$F$290,$C50,Simulation!$E$3:$E$290,"11/02/2026"))</f>
        <v>0.383547496832523</v>
      </c>
      <c r="N50" s="54" t="n">
        <f aca="false">IF($D50=0,"",AVERAGEIFS(Simulation!$BN$3:$BN$290,Simulation!$N$3:$N$290,"V",Simulation!$F$3:$F$290,$C50,Simulation!$E$3:$E$290,"11/02/2026"))</f>
        <v>0.275960237409937</v>
      </c>
      <c r="O50" s="53" t="n">
        <f aca="false">IF($D50=0,"",AVERAGEIFS(Simulation!$BS$3:$BS$290,Simulation!$N$3:$N$290,"V",Simulation!$F$3:$F$290,$C50,Simulation!$E$3:$E$290,"11/02/2026"))</f>
        <v>21.8128795951952</v>
      </c>
      <c r="P50" s="55" t="n">
        <f aca="false">IF($D50=0,"",AVERAGEIFS(Simulation!$BX$3:$BX$290,Simulation!$N$3:$N$290,"V",Simulation!$F$3:$F$290,$C50,Simulation!$E$3:$E$290,"11/02/2026"))</f>
        <v>10.8856689112378</v>
      </c>
      <c r="Q50" s="53" t="n">
        <f aca="false">IF($D50=0,"",AVERAGEIFS(Simulation!$CL$3:$CL$290,Simulation!$N$3:$N$290,"V",Simulation!$F$3:$F$290,$C50,Simulation!$E$3:$E$290,"11/02/2026"))</f>
        <v>22.7843299471569</v>
      </c>
      <c r="R50" s="53" t="n">
        <f aca="false">IF($D50=0,"",AVERAGEIFS(Simulation!$CO$3:$CO$290,Simulation!$N$3:$N$290,"V",Simulation!$F$3:$F$290,$C50,Simulation!$E$3:$E$290,"11/02/2026"))</f>
        <v>0.158615661442642</v>
      </c>
      <c r="S50" s="55" t="n">
        <f aca="false">IF($D50=0,"",AVERAGEIFS(Simulation!$CK$3:$CK$290,Simulation!$N$3:$N$290,"V",Simulation!$F$3:$F$290,$C50,Simulation!$E$3:$E$290,"11/02/2026"))</f>
        <v>0.276298694106218</v>
      </c>
    </row>
    <row r="51" customFormat="false" ht="15" hidden="false" customHeight="false" outlineLevel="0" collapsed="false">
      <c r="A51" s="27" t="s">
        <v>454</v>
      </c>
      <c r="B51" s="20" t="s">
        <v>158</v>
      </c>
      <c r="C51" s="20" t="s">
        <v>283</v>
      </c>
      <c r="D51" s="52" t="n">
        <f aca="false">COUNTIFS(Simulation!$N$3:$N$290,"V",Simulation!$F$3:$F$290,$C51,Simulation!$E$3:$E$290,"11/02/2026")</f>
        <v>11</v>
      </c>
      <c r="E51" s="53" t="n">
        <f aca="false">IF($D51=0,"",AVERAGEIFS(Simulation!$U$3:$U$290,Simulation!$N$3:$N$290,"V",Simulation!$F$3:$F$290,$C51,Simulation!$E$3:$E$290,"11/02/2026"))</f>
        <v>79.1798525576486</v>
      </c>
      <c r="F51" s="53" t="n">
        <f aca="false">IF($D51=0,"",AVERAGEIFS(Simulation!$Z$3:$Z$290,Simulation!$N$3:$N$290,"V",Simulation!$F$3:$F$290,$C51,Simulation!$E$3:$E$290,"11/02/2026"))</f>
        <v>54.316917789735</v>
      </c>
      <c r="G51" s="53" t="n">
        <f aca="false">IF($D51=0,"",AVERAGEIFS(Simulation!$AE$3:$AE$290,Simulation!$N$3:$N$290,"V",Simulation!$F$3:$F$290,$C51,Simulation!$E$3:$E$290,"11/02/2026"))</f>
        <v>10.031484311374</v>
      </c>
      <c r="H51" s="54" t="n">
        <f aca="false">IF($D51=0,"",AVERAGEIFS(Simulation!$AJ$3:$AJ$290,Simulation!$N$3:$N$290,"V",Simulation!$F$3:$F$290,$C51,Simulation!$E$3:$E$290,"11/02/2026"))</f>
        <v>0.303317396631156</v>
      </c>
      <c r="I51" s="55" t="n">
        <f aca="false">IF($D51=0,"",AVERAGEIFS(Simulation!$AO$3:$AO$290,Simulation!$N$3:$N$290,"V",Simulation!$F$3:$F$290,$C51,Simulation!$E$3:$E$290,"11/02/2026"))</f>
        <v>3.1366685724248</v>
      </c>
      <c r="J51" s="52" t="n">
        <f aca="false">IF($D51=0,"",AVERAGEIFS(Simulation!$AT$3:$AT$290,Simulation!$N$3:$N$290,"V",Simulation!$F$3:$F$290,$C51,Simulation!$E$3:$E$290,"11/02/2026"))</f>
        <v>337.468468624605</v>
      </c>
      <c r="K51" s="55" t="n">
        <f aca="false">IF($D51=0,"",AVERAGEIFS(Simulation!$AY$3:$AY$290,Simulation!$N$3:$N$290,"V",Simulation!$F$3:$F$290,$C51,Simulation!$E$3:$E$290,"11/02/2026"))</f>
        <v>1.21868287520594</v>
      </c>
      <c r="L51" s="54" t="n">
        <f aca="false">IF($D51=0,"",AVERAGEIFS(Simulation!$BD$3:$BD$290,Simulation!$N$3:$N$290,"V",Simulation!$F$3:$F$290,$C51,Simulation!$E$3:$E$290,"11/02/2026"))</f>
        <v>0.931333290716056</v>
      </c>
      <c r="M51" s="54" t="n">
        <f aca="false">IF($D51=0,"",AVERAGEIFS(Simulation!$BI$3:$BI$290,Simulation!$N$3:$N$290,"V",Simulation!$F$3:$F$290,$C51,Simulation!$E$3:$E$290,"11/02/2026"))</f>
        <v>0.352912264667941</v>
      </c>
      <c r="N51" s="54" t="n">
        <f aca="false">IF($D51=0,"",AVERAGEIFS(Simulation!$BN$3:$BN$290,Simulation!$N$3:$N$290,"V",Simulation!$F$3:$F$290,$C51,Simulation!$E$3:$E$290,"11/02/2026"))</f>
        <v>0.252947711878758</v>
      </c>
      <c r="O51" s="53" t="n">
        <f aca="false">IF($D51=0,"",AVERAGEIFS(Simulation!$BS$3:$BS$290,Simulation!$N$3:$N$290,"V",Simulation!$F$3:$F$290,$C51,Simulation!$E$3:$E$290,"11/02/2026"))</f>
        <v>23.317590715523</v>
      </c>
      <c r="P51" s="55" t="n">
        <f aca="false">IF($D51=0,"",AVERAGEIFS(Simulation!$BX$3:$BX$290,Simulation!$N$3:$N$290,"V",Simulation!$F$3:$F$290,$C51,Simulation!$E$3:$E$290,"11/02/2026"))</f>
        <v>10.6674300010245</v>
      </c>
      <c r="Q51" s="53" t="n">
        <f aca="false">IF($D51=0,"",AVERAGEIFS(Simulation!$CL$3:$CL$290,Simulation!$N$3:$N$290,"V",Simulation!$F$3:$F$290,$C51,Simulation!$E$3:$E$290,"11/02/2026"))</f>
        <v>23.2871232456722</v>
      </c>
      <c r="R51" s="53" t="n">
        <f aca="false">IF($D51=0,"",AVERAGEIFS(Simulation!$CO$3:$CO$290,Simulation!$N$3:$N$290,"V",Simulation!$F$3:$F$290,$C51,Simulation!$E$3:$E$290,"11/02/2026"))</f>
        <v>0.661408959957889</v>
      </c>
      <c r="S51" s="55" t="n">
        <f aca="false">IF($D51=0,"",AVERAGEIFS(Simulation!$CK$3:$CK$290,Simulation!$N$3:$N$290,"V",Simulation!$F$3:$F$290,$C51,Simulation!$E$3:$E$290,"11/02/2026"))</f>
        <v>0.371022922316816</v>
      </c>
    </row>
    <row r="52" customFormat="false" ht="15" hidden="false" customHeight="false" outlineLevel="0" collapsed="false">
      <c r="A52" s="27" t="s">
        <v>454</v>
      </c>
      <c r="B52" s="20" t="s">
        <v>158</v>
      </c>
      <c r="C52" s="20" t="s">
        <v>285</v>
      </c>
      <c r="D52" s="52" t="n">
        <f aca="false">COUNTIFS(Simulation!$N$3:$N$290,"V",Simulation!$F$3:$F$290,$C52,Simulation!$E$3:$E$290,"11/02/2026")</f>
        <v>11</v>
      </c>
      <c r="E52" s="53" t="n">
        <f aca="false">IF($D52=0,"",AVERAGEIFS(Simulation!$U$3:$U$290,Simulation!$N$3:$N$290,"V",Simulation!$F$3:$F$290,$C52,Simulation!$E$3:$E$290,"11/02/2026"))</f>
        <v>74.3473151194989</v>
      </c>
      <c r="F52" s="53" t="n">
        <f aca="false">IF($D52=0,"",AVERAGEIFS(Simulation!$Z$3:$Z$290,Simulation!$N$3:$N$290,"V",Simulation!$F$3:$F$290,$C52,Simulation!$E$3:$E$290,"11/02/2026"))</f>
        <v>47.8914285419471</v>
      </c>
      <c r="G52" s="53" t="n">
        <f aca="false">IF($D52=0,"",AVERAGEIFS(Simulation!$AE$3:$AE$290,Simulation!$N$3:$N$290,"V",Simulation!$F$3:$F$290,$C52,Simulation!$E$3:$E$290,"11/02/2026"))</f>
        <v>8.55588380712009</v>
      </c>
      <c r="H52" s="54" t="n">
        <f aca="false">IF($D52=0,"",AVERAGEIFS(Simulation!$AJ$3:$AJ$290,Simulation!$N$3:$N$290,"V",Simulation!$F$3:$F$290,$C52,Simulation!$E$3:$E$290,"11/02/2026"))</f>
        <v>0.26119607095375</v>
      </c>
      <c r="I52" s="55" t="n">
        <f aca="false">IF($D52=0,"",AVERAGEIFS(Simulation!$AO$3:$AO$290,Simulation!$N$3:$N$290,"V",Simulation!$F$3:$F$290,$C52,Simulation!$E$3:$E$290,"11/02/2026"))</f>
        <v>2.86758826819185</v>
      </c>
      <c r="J52" s="52" t="n">
        <f aca="false">IF($D52=0,"",AVERAGEIFS(Simulation!$AT$3:$AT$290,Simulation!$N$3:$N$290,"V",Simulation!$F$3:$F$290,$C52,Simulation!$E$3:$E$290,"11/02/2026"))</f>
        <v>347.168420209228</v>
      </c>
      <c r="K52" s="55" t="n">
        <f aca="false">IF($D52=0,"",AVERAGEIFS(Simulation!$AY$3:$AY$290,Simulation!$N$3:$N$290,"V",Simulation!$F$3:$F$290,$C52,Simulation!$E$3:$E$290,"11/02/2026"))</f>
        <v>1.15967728651975</v>
      </c>
      <c r="L52" s="54" t="n">
        <f aca="false">IF($D52=0,"",AVERAGEIFS(Simulation!$BD$3:$BD$290,Simulation!$N$3:$N$290,"V",Simulation!$F$3:$F$290,$C52,Simulation!$E$3:$E$290,"11/02/2026"))</f>
        <v>0.865741097418618</v>
      </c>
      <c r="M52" s="54" t="n">
        <f aca="false">IF($D52=0,"",AVERAGEIFS(Simulation!$BI$3:$BI$290,Simulation!$N$3:$N$290,"V",Simulation!$F$3:$F$290,$C52,Simulation!$E$3:$E$290,"11/02/2026"))</f>
        <v>0.332225592598798</v>
      </c>
      <c r="N52" s="54" t="n">
        <f aca="false">IF($D52=0,"",AVERAGEIFS(Simulation!$BN$3:$BN$290,Simulation!$N$3:$N$290,"V",Simulation!$F$3:$F$290,$C52,Simulation!$E$3:$E$290,"11/02/2026"))</f>
        <v>0.240029446593108</v>
      </c>
      <c r="O52" s="53" t="n">
        <f aca="false">IF($D52=0,"",AVERAGEIFS(Simulation!$BS$3:$BS$290,Simulation!$N$3:$N$290,"V",Simulation!$F$3:$F$290,$C52,Simulation!$E$3:$E$290,"11/02/2026"))</f>
        <v>24.3336582725693</v>
      </c>
      <c r="P52" s="55" t="n">
        <f aca="false">IF($D52=0,"",AVERAGEIFS(Simulation!$BX$3:$BX$290,Simulation!$N$3:$N$290,"V",Simulation!$F$3:$F$290,$C52,Simulation!$E$3:$E$290,"11/02/2026"))</f>
        <v>10.5200625273898</v>
      </c>
      <c r="Q52" s="53" t="n">
        <f aca="false">IF($D52=0,"",AVERAGEIFS(Simulation!$CL$3:$CL$290,Simulation!$N$3:$N$290,"V",Simulation!$F$3:$F$290,$C52,Simulation!$E$3:$E$290,"11/02/2026"))</f>
        <v>23.5735255454438</v>
      </c>
      <c r="R52" s="53" t="n">
        <f aca="false">IF($D52=0,"",AVERAGEIFS(Simulation!$CO$3:$CO$290,Simulation!$N$3:$N$290,"V",Simulation!$F$3:$F$290,$C52,Simulation!$E$3:$E$290,"11/02/2026"))</f>
        <v>0.947811259729547</v>
      </c>
      <c r="S52" s="55" t="n">
        <f aca="false">IF($D52=0,"",AVERAGEIFS(Simulation!$CK$3:$CK$290,Simulation!$N$3:$N$290,"V",Simulation!$F$3:$F$290,$C52,Simulation!$E$3:$E$290,"11/02/2026"))</f>
        <v>0.424979959699223</v>
      </c>
    </row>
    <row r="53" customFormat="false" ht="15" hidden="false" customHeight="false" outlineLevel="0" collapsed="false">
      <c r="A53" s="47" t="s">
        <v>454</v>
      </c>
      <c r="B53" s="17" t="s">
        <v>160</v>
      </c>
      <c r="C53" s="17" t="s">
        <v>275</v>
      </c>
      <c r="D53" s="48" t="n">
        <f aca="false">COUNTIFS(Simulation!$N$3:$N$290,"V",Simulation!$F$3:$F$290,$C53,Simulation!$E$3:$E$290,"24/02/2026")</f>
        <v>5</v>
      </c>
      <c r="E53" s="49" t="n">
        <f aca="false">IF($D53=0,"",AVERAGEIFS(Simulation!$U$3:$U$290,Simulation!$N$3:$N$290,"V",Simulation!$F$3:$F$290,$C53,Simulation!$E$3:$E$290,"24/02/2026"))</f>
        <v>85.9001785714286</v>
      </c>
      <c r="F53" s="49" t="n">
        <f aca="false">IF($D53=0,"",AVERAGEIFS(Simulation!$Z$3:$Z$290,Simulation!$N$3:$N$290,"V",Simulation!$F$3:$F$290,$C53,Simulation!$E$3:$E$290,"24/02/2026"))</f>
        <v>71.7994285714286</v>
      </c>
      <c r="G53" s="49" t="n">
        <f aca="false">IF($D53=0,"",AVERAGEIFS(Simulation!$AE$3:$AE$290,Simulation!$N$3:$N$290,"V",Simulation!$F$3:$F$290,$C53,Simulation!$E$3:$E$290,"24/02/2026"))</f>
        <v>19.1744362857143</v>
      </c>
      <c r="H53" s="50" t="n">
        <f aca="false">IF($D53=0,"",AVERAGEIFS(Simulation!$AJ$3:$AJ$290,Simulation!$N$3:$N$290,"V",Simulation!$F$3:$F$290,$C53,Simulation!$E$3:$E$290,"24/02/2026"))</f>
        <v>0.411663164578586</v>
      </c>
      <c r="I53" s="51" t="n">
        <f aca="false">IF($D53=0,"",AVERAGEIFS(Simulation!$AO$3:$AO$290,Simulation!$N$3:$N$290,"V",Simulation!$F$3:$F$290,$C53,Simulation!$E$3:$E$290,"24/02/2026"))</f>
        <v>4.95374641196979</v>
      </c>
      <c r="J53" s="48" t="n">
        <f aca="false">IF($D53=0,"",AVERAGEIFS(Simulation!$AT$3:$AT$290,Simulation!$N$3:$N$290,"V",Simulation!$F$3:$F$290,$C53,Simulation!$E$3:$E$290,"24/02/2026"))</f>
        <v>285</v>
      </c>
      <c r="K53" s="51" t="n">
        <f aca="false">IF($D53=0,"",AVERAGEIFS(Simulation!$AY$3:$AY$290,Simulation!$N$3:$N$290,"V",Simulation!$F$3:$F$290,$C53,Simulation!$E$3:$E$290,"24/02/2026"))</f>
        <v>1.73219049682348</v>
      </c>
      <c r="L53" s="50" t="n">
        <f aca="false">IF($D53=0,"",AVERAGEIFS(Simulation!$BD$3:$BD$290,Simulation!$N$3:$N$290,"V",Simulation!$F$3:$F$290,$C53,Simulation!$E$3:$E$290,"24/02/2026"))</f>
        <v>1.20007613392857</v>
      </c>
      <c r="M53" s="50" t="n">
        <f aca="false">IF($D53=0,"",AVERAGEIFS(Simulation!$BI$3:$BI$290,Simulation!$N$3:$N$290,"V",Simulation!$F$3:$F$290,$C53,Simulation!$E$3:$E$290,"24/02/2026"))</f>
        <v>0.432027408214286</v>
      </c>
      <c r="N53" s="50" t="n">
        <f aca="false">IF($D53=0,"",AVERAGEIFS(Simulation!$BN$3:$BN$290,Simulation!$N$3:$N$290,"V",Simulation!$F$3:$F$290,$C53,Simulation!$E$3:$E$290,"24/02/2026"))</f>
        <v>0.288219136071429</v>
      </c>
      <c r="O53" s="49" t="n">
        <f aca="false">IF($D53=0,"",AVERAGEIFS(Simulation!$BS$3:$BS$290,Simulation!$N$3:$N$290,"V",Simulation!$F$3:$F$290,$C53,Simulation!$E$3:$E$290,"24/02/2026"))</f>
        <v>18.315</v>
      </c>
      <c r="P53" s="51" t="n">
        <f aca="false">IF($D53=0,"",AVERAGEIFS(Simulation!$BX$3:$BX$290,Simulation!$N$3:$N$290,"V",Simulation!$F$3:$F$290,$C53,Simulation!$E$3:$E$290,"24/02/2026"))</f>
        <v>11.2163554285714</v>
      </c>
      <c r="Q53" s="49" t="n">
        <f aca="false">IF($D53=0,"",AVERAGEIFS(Simulation!$CL$3:$CL$290,Simulation!$N$3:$N$290,"V",Simulation!$F$3:$F$290,$C53,Simulation!$E$3:$E$290,"24/02/2026"))</f>
        <v>24.3424040692146</v>
      </c>
      <c r="R53" s="49" t="n">
        <f aca="false">IF($D53=0,"",AVERAGEIFS(Simulation!$CO$3:$CO$290,Simulation!$N$3:$N$290,"V",Simulation!$F$3:$F$290,$C53,Simulation!$E$3:$E$290,"24/02/2026"))</f>
        <v>-1.2361673593568</v>
      </c>
      <c r="S53" s="51" t="n">
        <f aca="false">IF($D53=0,"",AVERAGEIFS(Simulation!$CK$3:$CK$290,Simulation!$N$3:$N$290,"V",Simulation!$F$3:$F$290,$C53,Simulation!$E$3:$E$290,"24/02/2026"))</f>
        <v>0.121160714285714</v>
      </c>
    </row>
    <row r="54" customFormat="false" ht="15" hidden="false" customHeight="false" outlineLevel="0" collapsed="false">
      <c r="A54" s="27" t="s">
        <v>454</v>
      </c>
      <c r="B54" s="20" t="s">
        <v>160</v>
      </c>
      <c r="C54" s="20" t="s">
        <v>277</v>
      </c>
      <c r="D54" s="52" t="n">
        <f aca="false">COUNTIFS(Simulation!$N$3:$N$290,"V",Simulation!$F$3:$F$290,$C54,Simulation!$E$3:$E$290,"24/02/2026")</f>
        <v>5</v>
      </c>
      <c r="E54" s="53" t="n">
        <f aca="false">IF($D54=0,"",AVERAGEIFS(Simulation!$U$3:$U$290,Simulation!$N$3:$N$290,"V",Simulation!$F$3:$F$290,$C54,Simulation!$E$3:$E$290,"24/02/2026"))</f>
        <v>85.5372406940213</v>
      </c>
      <c r="F54" s="53" t="n">
        <f aca="false">IF($D54=0,"",AVERAGEIFS(Simulation!$Z$3:$Z$290,Simulation!$N$3:$N$290,"V",Simulation!$F$3:$F$290,$C54,Simulation!$E$3:$E$290,"24/02/2026"))</f>
        <v>70.8310347953523</v>
      </c>
      <c r="G54" s="53" t="n">
        <f aca="false">IF($D54=0,"",AVERAGEIFS(Simulation!$AE$3:$AE$290,Simulation!$N$3:$N$290,"V",Simulation!$F$3:$F$290,$C54,Simulation!$E$3:$E$290,"24/02/2026"))</f>
        <v>17.4344251600442</v>
      </c>
      <c r="H54" s="54" t="n">
        <f aca="false">IF($D54=0,"",AVERAGEIFS(Simulation!$AJ$3:$AJ$290,Simulation!$N$3:$N$290,"V",Simulation!$F$3:$F$290,$C54,Simulation!$E$3:$E$290,"24/02/2026"))</f>
        <v>0.389093387849139</v>
      </c>
      <c r="I54" s="55" t="n">
        <f aca="false">IF($D54=0,"",AVERAGEIFS(Simulation!$AO$3:$AO$290,Simulation!$N$3:$N$290,"V",Simulation!$F$3:$F$290,$C54,Simulation!$E$3:$E$290,"24/02/2026"))</f>
        <v>4.71726927710815</v>
      </c>
      <c r="J54" s="52" t="n">
        <f aca="false">IF($D54=0,"",AVERAGEIFS(Simulation!$AT$3:$AT$290,Simulation!$N$3:$N$290,"V",Simulation!$F$3:$F$290,$C54,Simulation!$E$3:$E$290,"24/02/2026"))</f>
        <v>294.474936607469</v>
      </c>
      <c r="K54" s="55" t="n">
        <f aca="false">IF($D54=0,"",AVERAGEIFS(Simulation!$AY$3:$AY$290,Simulation!$N$3:$N$290,"V",Simulation!$F$3:$F$290,$C54,Simulation!$E$3:$E$290,"24/02/2026"))</f>
        <v>1.67705810595464</v>
      </c>
      <c r="L54" s="54" t="n">
        <f aca="false">IF($D54=0,"",AVERAGEIFS(Simulation!$BD$3:$BD$290,Simulation!$N$3:$N$290,"V",Simulation!$F$3:$F$290,$C54,Simulation!$E$3:$E$290,"24/02/2026"))</f>
        <v>1.13021165580714</v>
      </c>
      <c r="M54" s="54" t="n">
        <f aca="false">IF($D54=0,"",AVERAGEIFS(Simulation!$BI$3:$BI$290,Simulation!$N$3:$N$290,"V",Simulation!$F$3:$F$290,$C54,Simulation!$E$3:$E$290,"24/02/2026"))</f>
        <v>0.412016710984294</v>
      </c>
      <c r="N54" s="54" t="n">
        <f aca="false">IF($D54=0,"",AVERAGEIFS(Simulation!$BN$3:$BN$290,Simulation!$N$3:$N$290,"V",Simulation!$F$3:$F$290,$C54,Simulation!$E$3:$E$290,"24/02/2026"))</f>
        <v>0.295547193556393</v>
      </c>
      <c r="O54" s="53" t="n">
        <f aca="false">IF($D54=0,"",AVERAGEIFS(Simulation!$BS$3:$BS$290,Simulation!$N$3:$N$290,"V",Simulation!$F$3:$F$290,$C54,Simulation!$E$3:$E$290,"24/02/2026"))</f>
        <v>19.2420644172065</v>
      </c>
      <c r="P54" s="55" t="n">
        <f aca="false">IF($D54=0,"",AVERAGEIFS(Simulation!$BX$3:$BX$290,Simulation!$N$3:$N$290,"V",Simulation!$F$3:$F$290,$C54,Simulation!$E$3:$E$290,"24/02/2026"))</f>
        <v>11.0738878521394</v>
      </c>
      <c r="Q54" s="53" t="n">
        <f aca="false">IF($D54=0,"",AVERAGEIFS(Simulation!$CL$3:$CL$290,Simulation!$N$3:$N$290,"V",Simulation!$F$3:$F$290,$C54,Simulation!$E$3:$E$290,"24/02/2026"))</f>
        <v>24.5923631409597</v>
      </c>
      <c r="R54" s="53" t="n">
        <f aca="false">IF($D54=0,"",AVERAGEIFS(Simulation!$CO$3:$CO$290,Simulation!$N$3:$N$290,"V",Simulation!$F$3:$F$290,$C54,Simulation!$E$3:$E$290,"24/02/2026"))</f>
        <v>-0.986208287611681</v>
      </c>
      <c r="S54" s="55" t="n">
        <f aca="false">IF($D54=0,"",AVERAGEIFS(Simulation!$CK$3:$CK$290,Simulation!$N$3:$N$290,"V",Simulation!$F$3:$F$290,$C54,Simulation!$E$3:$E$290,"24/02/2026"))</f>
        <v>0.163113890529736</v>
      </c>
    </row>
    <row r="55" customFormat="false" ht="15" hidden="false" customHeight="false" outlineLevel="0" collapsed="false">
      <c r="A55" s="27" t="s">
        <v>454</v>
      </c>
      <c r="B55" s="20" t="s">
        <v>160</v>
      </c>
      <c r="C55" s="20" t="s">
        <v>279</v>
      </c>
      <c r="D55" s="52" t="n">
        <f aca="false">COUNTIFS(Simulation!$N$3:$N$290,"V",Simulation!$F$3:$F$290,$C55,Simulation!$E$3:$E$290,"24/02/2026")</f>
        <v>5</v>
      </c>
      <c r="E55" s="53" t="n">
        <f aca="false">IF($D55=0,"",AVERAGEIFS(Simulation!$U$3:$U$290,Simulation!$N$3:$N$290,"V",Simulation!$F$3:$F$290,$C55,Simulation!$E$3:$E$290,"24/02/2026"))</f>
        <v>84.7284784291844</v>
      </c>
      <c r="F55" s="53" t="n">
        <f aca="false">IF($D55=0,"",AVERAGEIFS(Simulation!$Z$3:$Z$290,Simulation!$N$3:$N$290,"V",Simulation!$F$3:$F$290,$C55,Simulation!$E$3:$E$290,"24/02/2026"))</f>
        <v>68.5662905931749</v>
      </c>
      <c r="G55" s="53" t="n">
        <f aca="false">IF($D55=0,"",AVERAGEIFS(Simulation!$AE$3:$AE$290,Simulation!$N$3:$N$290,"V",Simulation!$F$3:$F$290,$C55,Simulation!$E$3:$E$290,"24/02/2026"))</f>
        <v>14.9992782428363</v>
      </c>
      <c r="H55" s="54" t="n">
        <f aca="false">IF($D55=0,"",AVERAGEIFS(Simulation!$AJ$3:$AJ$290,Simulation!$N$3:$N$290,"V",Simulation!$F$3:$F$290,$C55,Simulation!$E$3:$E$290,"24/02/2026"))</f>
        <v>0.355710708962829</v>
      </c>
      <c r="I55" s="55" t="n">
        <f aca="false">IF($D55=0,"",AVERAGEIFS(Simulation!$AO$3:$AO$290,Simulation!$N$3:$N$290,"V",Simulation!$F$3:$F$290,$C55,Simulation!$E$3:$E$290,"24/02/2026"))</f>
        <v>4.36605170401445</v>
      </c>
      <c r="J55" s="52" t="n">
        <f aca="false">IF($D55=0,"",AVERAGEIFS(Simulation!$AT$3:$AT$290,Simulation!$N$3:$N$290,"V",Simulation!$F$3:$F$290,$C55,Simulation!$E$3:$E$290,"24/02/2026"))</f>
        <v>307.945972183595</v>
      </c>
      <c r="K55" s="55" t="n">
        <f aca="false">IF($D55=0,"",AVERAGEIFS(Simulation!$AY$3:$AY$290,Simulation!$N$3:$N$290,"V",Simulation!$F$3:$F$290,$C55,Simulation!$E$3:$E$290,"24/02/2026"))</f>
        <v>1.59388037824722</v>
      </c>
      <c r="L55" s="54" t="n">
        <f aca="false">IF($D55=0,"",AVERAGEIFS(Simulation!$BD$3:$BD$290,Simulation!$N$3:$N$290,"V",Simulation!$F$3:$F$290,$C55,Simulation!$E$3:$E$290,"24/02/2026"))</f>
        <v>1.02769088386443</v>
      </c>
      <c r="M55" s="54" t="n">
        <f aca="false">IF($D55=0,"",AVERAGEIFS(Simulation!$BI$3:$BI$290,Simulation!$N$3:$N$290,"V",Simulation!$F$3:$F$290,$C55,Simulation!$E$3:$E$290,"24/02/2026"))</f>
        <v>0.382419135078795</v>
      </c>
      <c r="N55" s="54" t="n">
        <f aca="false">IF($D55=0,"",AVERAGEIFS(Simulation!$BN$3:$BN$290,Simulation!$N$3:$N$290,"V",Simulation!$F$3:$F$290,$C55,Simulation!$E$3:$E$290,"24/02/2026"))</f>
        <v>0.291705734381497</v>
      </c>
      <c r="O55" s="53" t="n">
        <f aca="false">IF($D55=0,"",AVERAGEIFS(Simulation!$BS$3:$BS$290,Simulation!$N$3:$N$290,"V",Simulation!$F$3:$F$290,$C55,Simulation!$E$3:$E$290,"24/02/2026"))</f>
        <v>20.6132739828799</v>
      </c>
      <c r="P55" s="55" t="n">
        <f aca="false">IF($D55=0,"",AVERAGEIFS(Simulation!$BX$3:$BX$290,Simulation!$N$3:$N$290,"V",Simulation!$F$3:$F$290,$C55,Simulation!$E$3:$E$290,"24/02/2026"))</f>
        <v>10.8631658138688</v>
      </c>
      <c r="Q55" s="53" t="n">
        <f aca="false">IF($D55=0,"",AVERAGEIFS(Simulation!$CL$3:$CL$290,Simulation!$N$3:$N$290,"V",Simulation!$F$3:$F$290,$C55,Simulation!$E$3:$E$290,"24/02/2026"))</f>
        <v>24.9636041854795</v>
      </c>
      <c r="R55" s="53" t="n">
        <f aca="false">IF($D55=0,"",AVERAGEIFS(Simulation!$CO$3:$CO$290,Simulation!$N$3:$N$290,"V",Simulation!$F$3:$F$290,$C55,Simulation!$E$3:$E$290,"24/02/2026"))</f>
        <v>-0.614967243091903</v>
      </c>
      <c r="S55" s="55" t="n">
        <f aca="false">IF($D55=0,"",AVERAGEIFS(Simulation!$CK$3:$CK$290,Simulation!$N$3:$N$290,"V",Simulation!$F$3:$F$290,$C55,Simulation!$E$3:$E$290,"24/02/2026"))</f>
        <v>0.225423055230244</v>
      </c>
    </row>
    <row r="56" customFormat="false" ht="15" hidden="false" customHeight="false" outlineLevel="0" collapsed="false">
      <c r="A56" s="27" t="s">
        <v>454</v>
      </c>
      <c r="B56" s="20" t="s">
        <v>160</v>
      </c>
      <c r="C56" s="20" t="s">
        <v>281</v>
      </c>
      <c r="D56" s="52" t="n">
        <f aca="false">COUNTIFS(Simulation!$N$3:$N$290,"V",Simulation!$F$3:$F$290,$C56,Simulation!$E$3:$E$290,"24/02/2026")</f>
        <v>5</v>
      </c>
      <c r="E56" s="53" t="n">
        <f aca="false">IF($D56=0,"",AVERAGEIFS(Simulation!$U$3:$U$290,Simulation!$N$3:$N$290,"V",Simulation!$F$3:$F$290,$C56,Simulation!$E$3:$E$290,"24/02/2026"))</f>
        <v>82.0707376069592</v>
      </c>
      <c r="F56" s="53" t="n">
        <f aca="false">IF($D56=0,"",AVERAGEIFS(Simulation!$Z$3:$Z$290,Simulation!$N$3:$N$290,"V",Simulation!$F$3:$F$290,$C56,Simulation!$E$3:$E$290,"24/02/2026"))</f>
        <v>60.7425181449734</v>
      </c>
      <c r="G56" s="53" t="n">
        <f aca="false">IF($D56=0,"",AVERAGEIFS(Simulation!$AE$3:$AE$290,Simulation!$N$3:$N$290,"V",Simulation!$F$3:$F$290,$C56,Simulation!$E$3:$E$290,"24/02/2026"))</f>
        <v>11.4767037606064</v>
      </c>
      <c r="H56" s="54" t="n">
        <f aca="false">IF($D56=0,"",AVERAGEIFS(Simulation!$AJ$3:$AJ$290,Simulation!$N$3:$N$290,"V",Simulation!$F$3:$F$290,$C56,Simulation!$E$3:$E$290,"24/02/2026"))</f>
        <v>0.302247474196799</v>
      </c>
      <c r="I56" s="55" t="n">
        <f aca="false">IF($D56=0,"",AVERAGEIFS(Simulation!$AO$3:$AO$290,Simulation!$N$3:$N$290,"V",Simulation!$F$3:$F$290,$C56,Simulation!$E$3:$E$290,"24/02/2026"))</f>
        <v>3.80076250632805</v>
      </c>
      <c r="J56" s="52" t="n">
        <f aca="false">IF($D56=0,"",AVERAGEIFS(Simulation!$AT$3:$AT$290,Simulation!$N$3:$N$290,"V",Simulation!$F$3:$F$290,$C56,Simulation!$E$3:$E$290,"24/02/2026"))</f>
        <v>328.005028473114</v>
      </c>
      <c r="K56" s="55" t="n">
        <f aca="false">IF($D56=0,"",AVERAGEIFS(Simulation!$AY$3:$AY$290,Simulation!$N$3:$N$290,"V",Simulation!$F$3:$F$290,$C56,Simulation!$E$3:$E$290,"24/02/2026"))</f>
        <v>1.45569741170876</v>
      </c>
      <c r="L56" s="54" t="n">
        <f aca="false">IF($D56=0,"",AVERAGEIFS(Simulation!$BD$3:$BD$290,Simulation!$N$3:$N$290,"V",Simulation!$F$3:$F$290,$C56,Simulation!$E$3:$E$290,"24/02/2026"))</f>
        <v>0.865883084987181</v>
      </c>
      <c r="M56" s="54" t="n">
        <f aca="false">IF($D56=0,"",AVERAGEIFS(Simulation!$BI$3:$BI$290,Simulation!$N$3:$N$290,"V",Simulation!$F$3:$F$290,$C56,Simulation!$E$3:$E$290,"24/02/2026"))</f>
        <v>0.335017841895281</v>
      </c>
      <c r="N56" s="54" t="n">
        <f aca="false">IF($D56=0,"",AVERAGEIFS(Simulation!$BN$3:$BN$290,Simulation!$N$3:$N$290,"V",Simulation!$F$3:$F$290,$C56,Simulation!$E$3:$E$290,"24/02/2026"))</f>
        <v>0.263960177116538</v>
      </c>
      <c r="O56" s="53" t="n">
        <f aca="false">IF($D56=0,"",AVERAGEIFS(Simulation!$BS$3:$BS$290,Simulation!$N$3:$N$290,"V",Simulation!$F$3:$F$290,$C56,Simulation!$E$3:$E$290,"24/02/2026"))</f>
        <v>22.8093020240293</v>
      </c>
      <c r="P56" s="55" t="n">
        <f aca="false">IF($D56=0,"",AVERAGEIFS(Simulation!$BX$3:$BX$290,Simulation!$N$3:$N$290,"V",Simulation!$F$3:$F$290,$C56,Simulation!$E$3:$E$290,"24/02/2026"))</f>
        <v>10.5256889492707</v>
      </c>
      <c r="Q56" s="53" t="n">
        <f aca="false">IF($D56=0,"",AVERAGEIFS(Simulation!$CL$3:$CL$290,Simulation!$N$3:$N$290,"V",Simulation!$F$3:$F$290,$C56,Simulation!$E$3:$E$290,"24/02/2026"))</f>
        <v>25.5611214177646</v>
      </c>
      <c r="R56" s="53" t="n">
        <f aca="false">IF($D56=0,"",AVERAGEIFS(Simulation!$CO$3:$CO$290,Simulation!$N$3:$N$290,"V",Simulation!$F$3:$F$290,$C56,Simulation!$E$3:$E$290,"24/02/2026"))</f>
        <v>-0.0174500108067818</v>
      </c>
      <c r="S56" s="55" t="n">
        <f aca="false">IF($D56=0,"",AVERAGEIFS(Simulation!$CK$3:$CK$290,Simulation!$N$3:$N$290,"V",Simulation!$F$3:$F$290,$C56,Simulation!$E$3:$E$290,"24/02/2026"))</f>
        <v>0.325710456603132</v>
      </c>
    </row>
    <row r="57" customFormat="false" ht="15" hidden="false" customHeight="false" outlineLevel="0" collapsed="false">
      <c r="A57" s="27" t="s">
        <v>454</v>
      </c>
      <c r="B57" s="20" t="s">
        <v>160</v>
      </c>
      <c r="C57" s="20" t="s">
        <v>283</v>
      </c>
      <c r="D57" s="52" t="n">
        <f aca="false">COUNTIFS(Simulation!$N$3:$N$290,"V",Simulation!$F$3:$F$290,$C57,Simulation!$E$3:$E$290,"24/02/2026")</f>
        <v>5</v>
      </c>
      <c r="E57" s="53" t="n">
        <f aca="false">IF($D57=0,"",AVERAGEIFS(Simulation!$U$3:$U$290,Simulation!$N$3:$N$290,"V",Simulation!$F$3:$F$290,$C57,Simulation!$E$3:$E$290,"24/02/2026"))</f>
        <v>72.300946657785</v>
      </c>
      <c r="F57" s="53" t="n">
        <f aca="false">IF($D57=0,"",AVERAGEIFS(Simulation!$Z$3:$Z$290,Simulation!$N$3:$N$290,"V",Simulation!$F$3:$F$290,$C57,Simulation!$E$3:$E$290,"24/02/2026"))</f>
        <v>36.5970946329318</v>
      </c>
      <c r="G57" s="53" t="n">
        <f aca="false">IF($D57=0,"",AVERAGEIFS(Simulation!$AE$3:$AE$290,Simulation!$N$3:$N$290,"V",Simulation!$F$3:$F$290,$C57,Simulation!$E$3:$E$290,"24/02/2026"))</f>
        <v>7.74693379771764</v>
      </c>
      <c r="H57" s="54" t="n">
        <f aca="false">IF($D57=0,"",AVERAGEIFS(Simulation!$AJ$3:$AJ$290,Simulation!$N$3:$N$290,"V",Simulation!$F$3:$F$290,$C57,Simulation!$E$3:$E$290,"24/02/2026"))</f>
        <v>0.233299690402717</v>
      </c>
      <c r="I57" s="55" t="n">
        <f aca="false">IF($D57=0,"",AVERAGEIFS(Simulation!$AO$3:$AO$290,Simulation!$N$3:$N$290,"V",Simulation!$F$3:$F$290,$C57,Simulation!$E$3:$E$290,"24/02/2026"))</f>
        <v>3.07411453352882</v>
      </c>
      <c r="J57" s="52" t="n">
        <f aca="false">IF($D57=0,"",AVERAGEIFS(Simulation!$AT$3:$AT$290,Simulation!$N$3:$N$290,"V",Simulation!$F$3:$F$290,$C57,Simulation!$E$3:$E$290,"24/02/2026"))</f>
        <v>350.464130992274</v>
      </c>
      <c r="K57" s="55" t="n">
        <f aca="false">IF($D57=0,"",AVERAGEIFS(Simulation!$AY$3:$AY$290,Simulation!$N$3:$N$290,"V",Simulation!$F$3:$F$290,$C57,Simulation!$E$3:$E$290,"24/02/2026"))</f>
        <v>1.26426820330586</v>
      </c>
      <c r="L57" s="54" t="n">
        <f aca="false">IF($D57=0,"",AVERAGEIFS(Simulation!$BD$3:$BD$290,Simulation!$N$3:$N$290,"V",Simulation!$F$3:$F$290,$C57,Simulation!$E$3:$E$290,"24/02/2026"))</f>
        <v>0.663066481142395</v>
      </c>
      <c r="M57" s="54" t="n">
        <f aca="false">IF($D57=0,"",AVERAGEIFS(Simulation!$BI$3:$BI$290,Simulation!$N$3:$N$290,"V",Simulation!$F$3:$F$290,$C57,Simulation!$E$3:$E$290,"24/02/2026"))</f>
        <v>0.273887718956041</v>
      </c>
      <c r="N57" s="54" t="n">
        <f aca="false">IF($D57=0,"",AVERAGEIFS(Simulation!$BN$3:$BN$290,Simulation!$N$3:$N$290,"V",Simulation!$F$3:$F$290,$C57,Simulation!$E$3:$E$290,"24/02/2026"))</f>
        <v>0.218008523131402</v>
      </c>
      <c r="O57" s="53" t="n">
        <f aca="false">IF($D57=0,"",AVERAGEIFS(Simulation!$BS$3:$BS$290,Simulation!$N$3:$N$290,"V",Simulation!$F$3:$F$290,$C57,Simulation!$E$3:$E$290,"24/02/2026"))</f>
        <v>25.6413653522122</v>
      </c>
      <c r="P57" s="55" t="n">
        <f aca="false">IF($D57=0,"",AVERAGEIFS(Simulation!$BX$3:$BX$290,Simulation!$N$3:$N$290,"V",Simulation!$F$3:$F$290,$C57,Simulation!$E$3:$E$290,"24/02/2026"))</f>
        <v>10.0904687087139</v>
      </c>
      <c r="Q57" s="53" t="n">
        <f aca="false">IF($D57=0,"",AVERAGEIFS(Simulation!$CL$3:$CL$290,Simulation!$N$3:$N$290,"V",Simulation!$F$3:$F$290,$C57,Simulation!$E$3:$E$290,"24/02/2026"))</f>
        <v>26.3291967451008</v>
      </c>
      <c r="R57" s="53" t="n">
        <f aca="false">IF($D57=0,"",AVERAGEIFS(Simulation!$CO$3:$CO$290,Simulation!$N$3:$N$290,"V",Simulation!$F$3:$F$290,$C57,Simulation!$E$3:$E$290,"24/02/2026"))</f>
        <v>0.750625316529391</v>
      </c>
      <c r="S57" s="55" t="n">
        <f aca="false">IF($D57=0,"",AVERAGEIFS(Simulation!$CK$3:$CK$290,Simulation!$N$3:$N$290,"V",Simulation!$F$3:$F$290,$C57,Simulation!$E$3:$E$290,"24/02/2026"))</f>
        <v>0.454624359793157</v>
      </c>
    </row>
    <row r="58" customFormat="false" ht="15" hidden="false" customHeight="false" outlineLevel="0" collapsed="false">
      <c r="A58" s="27" t="s">
        <v>454</v>
      </c>
      <c r="B58" s="20" t="s">
        <v>160</v>
      </c>
      <c r="C58" s="20" t="s">
        <v>285</v>
      </c>
      <c r="D58" s="52" t="n">
        <f aca="false">COUNTIFS(Simulation!$N$3:$N$290,"V",Simulation!$F$3:$F$290,$C58,Simulation!$E$3:$E$290,"24/02/2026")</f>
        <v>5</v>
      </c>
      <c r="E58" s="53" t="n">
        <f aca="false">IF($D58=0,"",AVERAGEIFS(Simulation!$U$3:$U$290,Simulation!$N$3:$N$290,"V",Simulation!$F$3:$F$290,$C58,Simulation!$E$3:$E$290,"24/02/2026"))</f>
        <v>62.6649676839778</v>
      </c>
      <c r="F58" s="53" t="n">
        <f aca="false">IF($D58=0,"",AVERAGEIFS(Simulation!$Z$3:$Z$290,Simulation!$N$3:$N$290,"V",Simulation!$F$3:$F$290,$C58,Simulation!$E$3:$E$290,"24/02/2026"))</f>
        <v>23.8056471053314</v>
      </c>
      <c r="G58" s="53" t="n">
        <f aca="false">IF($D58=0,"",AVERAGEIFS(Simulation!$AE$3:$AE$290,Simulation!$N$3:$N$290,"V",Simulation!$F$3:$F$290,$C58,Simulation!$E$3:$E$290,"24/02/2026"))</f>
        <v>5.90922485442576</v>
      </c>
      <c r="H58" s="54" t="n">
        <f aca="false">IF($D58=0,"",AVERAGEIFS(Simulation!$AJ$3:$AJ$290,Simulation!$N$3:$N$290,"V",Simulation!$F$3:$F$290,$C58,Simulation!$E$3:$E$290,"24/02/2026"))</f>
        <v>0.186742178268329</v>
      </c>
      <c r="I58" s="55" t="n">
        <f aca="false">IF($D58=0,"",AVERAGEIFS(Simulation!$AO$3:$AO$290,Simulation!$N$3:$N$290,"V",Simulation!$F$3:$F$290,$C58,Simulation!$E$3:$E$290,"24/02/2026"))</f>
        <v>2.61232462573995</v>
      </c>
      <c r="J58" s="52" t="n">
        <f aca="false">IF($D58=0,"",AVERAGEIFS(Simulation!$AT$3:$AT$290,Simulation!$N$3:$N$290,"V",Simulation!$F$3:$F$290,$C58,Simulation!$E$3:$E$290,"24/02/2026"))</f>
        <v>362.566616881421</v>
      </c>
      <c r="K58" s="55" t="n">
        <f aca="false">IF($D58=0,"",AVERAGEIFS(Simulation!$AY$3:$AY$290,Simulation!$N$3:$N$290,"V",Simulation!$F$3:$F$290,$C58,Simulation!$E$3:$E$290,"24/02/2026"))</f>
        <v>1.11942664793134</v>
      </c>
      <c r="L58" s="54" t="n">
        <f aca="false">IF($D58=0,"",AVERAGEIFS(Simulation!$BD$3:$BD$290,Simulation!$N$3:$N$290,"V",Simulation!$F$3:$F$290,$C58,Simulation!$E$3:$E$290,"24/02/2026"))</f>
        <v>0.532182575364056</v>
      </c>
      <c r="M58" s="54" t="n">
        <f aca="false">IF($D58=0,"",AVERAGEIFS(Simulation!$BI$3:$BI$290,Simulation!$N$3:$N$290,"V",Simulation!$F$3:$F$290,$C58,Simulation!$E$3:$E$290,"24/02/2026"))</f>
        <v>0.232609141402043</v>
      </c>
      <c r="N58" s="54" t="n">
        <f aca="false">IF($D58=0,"",AVERAGEIFS(Simulation!$BN$3:$BN$290,Simulation!$N$3:$N$290,"V",Simulation!$F$3:$F$290,$C58,Simulation!$E$3:$E$290,"24/02/2026"))</f>
        <v>0.19221319459651</v>
      </c>
      <c r="O58" s="53" t="n">
        <f aca="false">IF($D58=0,"",AVERAGEIFS(Simulation!$BS$3:$BS$290,Simulation!$N$3:$N$290,"V",Simulation!$F$3:$F$290,$C58,Simulation!$E$3:$E$290,"24/02/2026"))</f>
        <v>27.5537375201273</v>
      </c>
      <c r="P58" s="55" t="n">
        <f aca="false">IF($D58=0,"",AVERAGEIFS(Simulation!$BX$3:$BX$290,Simulation!$N$3:$N$290,"V",Simulation!$F$3:$F$290,$C58,Simulation!$E$3:$E$290,"24/02/2026"))</f>
        <v>9.79658295175658</v>
      </c>
      <c r="Q58" s="53" t="n">
        <f aca="false">IF($D58=0,"",AVERAGEIFS(Simulation!$CL$3:$CL$290,Simulation!$N$3:$N$290,"V",Simulation!$F$3:$F$290,$C58,Simulation!$E$3:$E$290,"24/02/2026"))</f>
        <v>26.8173140286585</v>
      </c>
      <c r="R58" s="53" t="n">
        <f aca="false">IF($D58=0,"",AVERAGEIFS(Simulation!$CO$3:$CO$290,Simulation!$N$3:$N$290,"V",Simulation!$F$3:$F$290,$C58,Simulation!$E$3:$E$290,"24/02/2026"))</f>
        <v>1.23874260008711</v>
      </c>
      <c r="S58" s="55" t="n">
        <f aca="false">IF($D58=0,"",AVERAGEIFS(Simulation!$CK$3:$CK$290,Simulation!$N$3:$N$290,"V",Simulation!$F$3:$F$290,$C58,Simulation!$E$3:$E$290,"24/02/2026"))</f>
        <v>0.536550053795297</v>
      </c>
    </row>
    <row r="59" customFormat="false" ht="15" hidden="false" customHeight="false" outlineLevel="0" collapsed="false">
      <c r="A59" s="47" t="s">
        <v>454</v>
      </c>
      <c r="B59" s="17" t="s">
        <v>162</v>
      </c>
      <c r="C59" s="17" t="s">
        <v>275</v>
      </c>
      <c r="D59" s="48" t="n">
        <f aca="false">COUNTIFS(Simulation!$N$3:$N$290,"V",Simulation!$F$3:$F$290,$C59,Simulation!$E$3:$E$290,"03/03/2026")</f>
        <v>0</v>
      </c>
      <c r="E59" s="49" t="str">
        <f aca="false">IF($D59=0,"",AVERAGEIFS(Simulation!$U$3:$U$290,Simulation!$N$3:$N$290,"V",Simulation!$F$3:$F$290,$C59,Simulation!$E$3:$E$290,"03/03/2026"))</f>
        <v/>
      </c>
      <c r="F59" s="49" t="str">
        <f aca="false">IF($D59=0,"",AVERAGEIFS(Simulation!$Z$3:$Z$290,Simulation!$N$3:$N$290,"V",Simulation!$F$3:$F$290,$C59,Simulation!$E$3:$E$290,"03/03/2026"))</f>
        <v/>
      </c>
      <c r="G59" s="49" t="str">
        <f aca="false">IF($D59=0,"",AVERAGEIFS(Simulation!$AE$3:$AE$290,Simulation!$N$3:$N$290,"V",Simulation!$F$3:$F$290,$C59,Simulation!$E$3:$E$290,"03/03/2026"))</f>
        <v/>
      </c>
      <c r="H59" s="50" t="str">
        <f aca="false">IF($D59=0,"",AVERAGEIFS(Simulation!$AJ$3:$AJ$290,Simulation!$N$3:$N$290,"V",Simulation!$F$3:$F$290,$C59,Simulation!$E$3:$E$290,"03/03/2026"))</f>
        <v/>
      </c>
      <c r="I59" s="51" t="str">
        <f aca="false">IF($D59=0,"",AVERAGEIFS(Simulation!$AO$3:$AO$290,Simulation!$N$3:$N$290,"V",Simulation!$F$3:$F$290,$C59,Simulation!$E$3:$E$290,"03/03/2026"))</f>
        <v/>
      </c>
      <c r="J59" s="48" t="str">
        <f aca="false">IF($D59=0,"",AVERAGEIFS(Simulation!$AT$3:$AT$290,Simulation!$N$3:$N$290,"V",Simulation!$F$3:$F$290,$C59,Simulation!$E$3:$E$290,"03/03/2026"))</f>
        <v/>
      </c>
      <c r="K59" s="51" t="str">
        <f aca="false">IF($D59=0,"",AVERAGEIFS(Simulation!$AY$3:$AY$290,Simulation!$N$3:$N$290,"V",Simulation!$F$3:$F$290,$C59,Simulation!$E$3:$E$290,"03/03/2026"))</f>
        <v/>
      </c>
      <c r="L59" s="50" t="str">
        <f aca="false">IF($D59=0,"",AVERAGEIFS(Simulation!$BD$3:$BD$290,Simulation!$N$3:$N$290,"V",Simulation!$F$3:$F$290,$C59,Simulation!$E$3:$E$290,"03/03/2026"))</f>
        <v/>
      </c>
      <c r="M59" s="50" t="str">
        <f aca="false">IF($D59=0,"",AVERAGEIFS(Simulation!$BI$3:$BI$290,Simulation!$N$3:$N$290,"V",Simulation!$F$3:$F$290,$C59,Simulation!$E$3:$E$290,"03/03/2026"))</f>
        <v/>
      </c>
      <c r="N59" s="50" t="str">
        <f aca="false">IF($D59=0,"",AVERAGEIFS(Simulation!$BN$3:$BN$290,Simulation!$N$3:$N$290,"V",Simulation!$F$3:$F$290,$C59,Simulation!$E$3:$E$290,"03/03/2026"))</f>
        <v/>
      </c>
      <c r="O59" s="49" t="str">
        <f aca="false">IF($D59=0,"",AVERAGEIFS(Simulation!$BS$3:$BS$290,Simulation!$N$3:$N$290,"V",Simulation!$F$3:$F$290,$C59,Simulation!$E$3:$E$290,"03/03/2026"))</f>
        <v/>
      </c>
      <c r="P59" s="51" t="str">
        <f aca="false">IF($D59=0,"",AVERAGEIFS(Simulation!$BX$3:$BX$290,Simulation!$N$3:$N$290,"V",Simulation!$F$3:$F$290,$C59,Simulation!$E$3:$E$290,"03/03/2026"))</f>
        <v/>
      </c>
      <c r="Q59" s="49" t="str">
        <f aca="false">IF($D59=0,"",AVERAGEIFS(Simulation!$CL$3:$CL$290,Simulation!$N$3:$N$290,"V",Simulation!$F$3:$F$290,$C59,Simulation!$E$3:$E$290,"03/03/2026"))</f>
        <v/>
      </c>
      <c r="R59" s="49" t="str">
        <f aca="false">IF($D59=0,"",AVERAGEIFS(Simulation!$CO$3:$CO$290,Simulation!$N$3:$N$290,"V",Simulation!$F$3:$F$290,$C59,Simulation!$E$3:$E$290,"03/03/2026"))</f>
        <v/>
      </c>
      <c r="S59" s="51" t="str">
        <f aca="false">IF($D59=0,"",AVERAGEIFS(Simulation!$CK$3:$CK$290,Simulation!$N$3:$N$290,"V",Simulation!$F$3:$F$290,$C59,Simulation!$E$3:$E$290,"03/03/2026"))</f>
        <v/>
      </c>
    </row>
    <row r="60" customFormat="false" ht="15" hidden="false" customHeight="false" outlineLevel="0" collapsed="false">
      <c r="A60" s="27" t="s">
        <v>454</v>
      </c>
      <c r="B60" s="20" t="s">
        <v>162</v>
      </c>
      <c r="C60" s="20" t="s">
        <v>277</v>
      </c>
      <c r="D60" s="52" t="n">
        <f aca="false">COUNTIFS(Simulation!$N$3:$N$290,"V",Simulation!$F$3:$F$290,$C60,Simulation!$E$3:$E$290,"03/03/2026")</f>
        <v>0</v>
      </c>
      <c r="E60" s="53" t="str">
        <f aca="false">IF($D60=0,"",AVERAGEIFS(Simulation!$U$3:$U$290,Simulation!$N$3:$N$290,"V",Simulation!$F$3:$F$290,$C60,Simulation!$E$3:$E$290,"03/03/2026"))</f>
        <v/>
      </c>
      <c r="F60" s="53" t="str">
        <f aca="false">IF($D60=0,"",AVERAGEIFS(Simulation!$Z$3:$Z$290,Simulation!$N$3:$N$290,"V",Simulation!$F$3:$F$290,$C60,Simulation!$E$3:$E$290,"03/03/2026"))</f>
        <v/>
      </c>
      <c r="G60" s="53" t="str">
        <f aca="false">IF($D60=0,"",AVERAGEIFS(Simulation!$AE$3:$AE$290,Simulation!$N$3:$N$290,"V",Simulation!$F$3:$F$290,$C60,Simulation!$E$3:$E$290,"03/03/2026"))</f>
        <v/>
      </c>
      <c r="H60" s="54" t="str">
        <f aca="false">IF($D60=0,"",AVERAGEIFS(Simulation!$AJ$3:$AJ$290,Simulation!$N$3:$N$290,"V",Simulation!$F$3:$F$290,$C60,Simulation!$E$3:$E$290,"03/03/2026"))</f>
        <v/>
      </c>
      <c r="I60" s="55" t="str">
        <f aca="false">IF($D60=0,"",AVERAGEIFS(Simulation!$AO$3:$AO$290,Simulation!$N$3:$N$290,"V",Simulation!$F$3:$F$290,$C60,Simulation!$E$3:$E$290,"03/03/2026"))</f>
        <v/>
      </c>
      <c r="J60" s="52" t="str">
        <f aca="false">IF($D60=0,"",AVERAGEIFS(Simulation!$AT$3:$AT$290,Simulation!$N$3:$N$290,"V",Simulation!$F$3:$F$290,$C60,Simulation!$E$3:$E$290,"03/03/2026"))</f>
        <v/>
      </c>
      <c r="K60" s="55" t="str">
        <f aca="false">IF($D60=0,"",AVERAGEIFS(Simulation!$AY$3:$AY$290,Simulation!$N$3:$N$290,"V",Simulation!$F$3:$F$290,$C60,Simulation!$E$3:$E$290,"03/03/2026"))</f>
        <v/>
      </c>
      <c r="L60" s="54" t="str">
        <f aca="false">IF($D60=0,"",AVERAGEIFS(Simulation!$BD$3:$BD$290,Simulation!$N$3:$N$290,"V",Simulation!$F$3:$F$290,$C60,Simulation!$E$3:$E$290,"03/03/2026"))</f>
        <v/>
      </c>
      <c r="M60" s="54" t="str">
        <f aca="false">IF($D60=0,"",AVERAGEIFS(Simulation!$BI$3:$BI$290,Simulation!$N$3:$N$290,"V",Simulation!$F$3:$F$290,$C60,Simulation!$E$3:$E$290,"03/03/2026"))</f>
        <v/>
      </c>
      <c r="N60" s="54" t="str">
        <f aca="false">IF($D60=0,"",AVERAGEIFS(Simulation!$BN$3:$BN$290,Simulation!$N$3:$N$290,"V",Simulation!$F$3:$F$290,$C60,Simulation!$E$3:$E$290,"03/03/2026"))</f>
        <v/>
      </c>
      <c r="O60" s="53" t="str">
        <f aca="false">IF($D60=0,"",AVERAGEIFS(Simulation!$BS$3:$BS$290,Simulation!$N$3:$N$290,"V",Simulation!$F$3:$F$290,$C60,Simulation!$E$3:$E$290,"03/03/2026"))</f>
        <v/>
      </c>
      <c r="P60" s="55" t="str">
        <f aca="false">IF($D60=0,"",AVERAGEIFS(Simulation!$BX$3:$BX$290,Simulation!$N$3:$N$290,"V",Simulation!$F$3:$F$290,$C60,Simulation!$E$3:$E$290,"03/03/2026"))</f>
        <v/>
      </c>
      <c r="Q60" s="53" t="str">
        <f aca="false">IF($D60=0,"",AVERAGEIFS(Simulation!$CL$3:$CL$290,Simulation!$N$3:$N$290,"V",Simulation!$F$3:$F$290,$C60,Simulation!$E$3:$E$290,"03/03/2026"))</f>
        <v/>
      </c>
      <c r="R60" s="53" t="str">
        <f aca="false">IF($D60=0,"",AVERAGEIFS(Simulation!$CO$3:$CO$290,Simulation!$N$3:$N$290,"V",Simulation!$F$3:$F$290,$C60,Simulation!$E$3:$E$290,"03/03/2026"))</f>
        <v/>
      </c>
      <c r="S60" s="55" t="str">
        <f aca="false">IF($D60=0,"",AVERAGEIFS(Simulation!$CK$3:$CK$290,Simulation!$N$3:$N$290,"V",Simulation!$F$3:$F$290,$C60,Simulation!$E$3:$E$290,"03/03/2026"))</f>
        <v/>
      </c>
    </row>
    <row r="61" customFormat="false" ht="15" hidden="false" customHeight="false" outlineLevel="0" collapsed="false">
      <c r="A61" s="27" t="s">
        <v>454</v>
      </c>
      <c r="B61" s="20" t="s">
        <v>162</v>
      </c>
      <c r="C61" s="20" t="s">
        <v>279</v>
      </c>
      <c r="D61" s="52" t="n">
        <f aca="false">COUNTIFS(Simulation!$N$3:$N$290,"V",Simulation!$F$3:$F$290,$C61,Simulation!$E$3:$E$290,"03/03/2026")</f>
        <v>0</v>
      </c>
      <c r="E61" s="53" t="str">
        <f aca="false">IF($D61=0,"",AVERAGEIFS(Simulation!$U$3:$U$290,Simulation!$N$3:$N$290,"V",Simulation!$F$3:$F$290,$C61,Simulation!$E$3:$E$290,"03/03/2026"))</f>
        <v/>
      </c>
      <c r="F61" s="53" t="str">
        <f aca="false">IF($D61=0,"",AVERAGEIFS(Simulation!$Z$3:$Z$290,Simulation!$N$3:$N$290,"V",Simulation!$F$3:$F$290,$C61,Simulation!$E$3:$E$290,"03/03/2026"))</f>
        <v/>
      </c>
      <c r="G61" s="53" t="str">
        <f aca="false">IF($D61=0,"",AVERAGEIFS(Simulation!$AE$3:$AE$290,Simulation!$N$3:$N$290,"V",Simulation!$F$3:$F$290,$C61,Simulation!$E$3:$E$290,"03/03/2026"))</f>
        <v/>
      </c>
      <c r="H61" s="54" t="str">
        <f aca="false">IF($D61=0,"",AVERAGEIFS(Simulation!$AJ$3:$AJ$290,Simulation!$N$3:$N$290,"V",Simulation!$F$3:$F$290,$C61,Simulation!$E$3:$E$290,"03/03/2026"))</f>
        <v/>
      </c>
      <c r="I61" s="55" t="str">
        <f aca="false">IF($D61=0,"",AVERAGEIFS(Simulation!$AO$3:$AO$290,Simulation!$N$3:$N$290,"V",Simulation!$F$3:$F$290,$C61,Simulation!$E$3:$E$290,"03/03/2026"))</f>
        <v/>
      </c>
      <c r="J61" s="52" t="str">
        <f aca="false">IF($D61=0,"",AVERAGEIFS(Simulation!$AT$3:$AT$290,Simulation!$N$3:$N$290,"V",Simulation!$F$3:$F$290,$C61,Simulation!$E$3:$E$290,"03/03/2026"))</f>
        <v/>
      </c>
      <c r="K61" s="55" t="str">
        <f aca="false">IF($D61=0,"",AVERAGEIFS(Simulation!$AY$3:$AY$290,Simulation!$N$3:$N$290,"V",Simulation!$F$3:$F$290,$C61,Simulation!$E$3:$E$290,"03/03/2026"))</f>
        <v/>
      </c>
      <c r="L61" s="54" t="str">
        <f aca="false">IF($D61=0,"",AVERAGEIFS(Simulation!$BD$3:$BD$290,Simulation!$N$3:$N$290,"V",Simulation!$F$3:$F$290,$C61,Simulation!$E$3:$E$290,"03/03/2026"))</f>
        <v/>
      </c>
      <c r="M61" s="54" t="str">
        <f aca="false">IF($D61=0,"",AVERAGEIFS(Simulation!$BI$3:$BI$290,Simulation!$N$3:$N$290,"V",Simulation!$F$3:$F$290,$C61,Simulation!$E$3:$E$290,"03/03/2026"))</f>
        <v/>
      </c>
      <c r="N61" s="54" t="str">
        <f aca="false">IF($D61=0,"",AVERAGEIFS(Simulation!$BN$3:$BN$290,Simulation!$N$3:$N$290,"V",Simulation!$F$3:$F$290,$C61,Simulation!$E$3:$E$290,"03/03/2026"))</f>
        <v/>
      </c>
      <c r="O61" s="53" t="str">
        <f aca="false">IF($D61=0,"",AVERAGEIFS(Simulation!$BS$3:$BS$290,Simulation!$N$3:$N$290,"V",Simulation!$F$3:$F$290,$C61,Simulation!$E$3:$E$290,"03/03/2026"))</f>
        <v/>
      </c>
      <c r="P61" s="55" t="str">
        <f aca="false">IF($D61=0,"",AVERAGEIFS(Simulation!$BX$3:$BX$290,Simulation!$N$3:$N$290,"V",Simulation!$F$3:$F$290,$C61,Simulation!$E$3:$E$290,"03/03/2026"))</f>
        <v/>
      </c>
      <c r="Q61" s="53" t="str">
        <f aca="false">IF($D61=0,"",AVERAGEIFS(Simulation!$CL$3:$CL$290,Simulation!$N$3:$N$290,"V",Simulation!$F$3:$F$290,$C61,Simulation!$E$3:$E$290,"03/03/2026"))</f>
        <v/>
      </c>
      <c r="R61" s="53" t="str">
        <f aca="false">IF($D61=0,"",AVERAGEIFS(Simulation!$CO$3:$CO$290,Simulation!$N$3:$N$290,"V",Simulation!$F$3:$F$290,$C61,Simulation!$E$3:$E$290,"03/03/2026"))</f>
        <v/>
      </c>
      <c r="S61" s="55" t="str">
        <f aca="false">IF($D61=0,"",AVERAGEIFS(Simulation!$CK$3:$CK$290,Simulation!$N$3:$N$290,"V",Simulation!$F$3:$F$290,$C61,Simulation!$E$3:$E$290,"03/03/2026"))</f>
        <v/>
      </c>
    </row>
    <row r="62" customFormat="false" ht="15" hidden="false" customHeight="false" outlineLevel="0" collapsed="false">
      <c r="A62" s="27" t="s">
        <v>454</v>
      </c>
      <c r="B62" s="20" t="s">
        <v>162</v>
      </c>
      <c r="C62" s="20" t="s">
        <v>281</v>
      </c>
      <c r="D62" s="52" t="n">
        <f aca="false">COUNTIFS(Simulation!$N$3:$N$290,"V",Simulation!$F$3:$F$290,$C62,Simulation!$E$3:$E$290,"03/03/2026")</f>
        <v>0</v>
      </c>
      <c r="E62" s="53" t="str">
        <f aca="false">IF($D62=0,"",AVERAGEIFS(Simulation!$U$3:$U$290,Simulation!$N$3:$N$290,"V",Simulation!$F$3:$F$290,$C62,Simulation!$E$3:$E$290,"03/03/2026"))</f>
        <v/>
      </c>
      <c r="F62" s="53" t="str">
        <f aca="false">IF($D62=0,"",AVERAGEIFS(Simulation!$Z$3:$Z$290,Simulation!$N$3:$N$290,"V",Simulation!$F$3:$F$290,$C62,Simulation!$E$3:$E$290,"03/03/2026"))</f>
        <v/>
      </c>
      <c r="G62" s="53" t="str">
        <f aca="false">IF($D62=0,"",AVERAGEIFS(Simulation!$AE$3:$AE$290,Simulation!$N$3:$N$290,"V",Simulation!$F$3:$F$290,$C62,Simulation!$E$3:$E$290,"03/03/2026"))</f>
        <v/>
      </c>
      <c r="H62" s="54" t="str">
        <f aca="false">IF($D62=0,"",AVERAGEIFS(Simulation!$AJ$3:$AJ$290,Simulation!$N$3:$N$290,"V",Simulation!$F$3:$F$290,$C62,Simulation!$E$3:$E$290,"03/03/2026"))</f>
        <v/>
      </c>
      <c r="I62" s="55" t="str">
        <f aca="false">IF($D62=0,"",AVERAGEIFS(Simulation!$AO$3:$AO$290,Simulation!$N$3:$N$290,"V",Simulation!$F$3:$F$290,$C62,Simulation!$E$3:$E$290,"03/03/2026"))</f>
        <v/>
      </c>
      <c r="J62" s="52" t="str">
        <f aca="false">IF($D62=0,"",AVERAGEIFS(Simulation!$AT$3:$AT$290,Simulation!$N$3:$N$290,"V",Simulation!$F$3:$F$290,$C62,Simulation!$E$3:$E$290,"03/03/2026"))</f>
        <v/>
      </c>
      <c r="K62" s="55" t="str">
        <f aca="false">IF($D62=0,"",AVERAGEIFS(Simulation!$AY$3:$AY$290,Simulation!$N$3:$N$290,"V",Simulation!$F$3:$F$290,$C62,Simulation!$E$3:$E$290,"03/03/2026"))</f>
        <v/>
      </c>
      <c r="L62" s="54" t="str">
        <f aca="false">IF($D62=0,"",AVERAGEIFS(Simulation!$BD$3:$BD$290,Simulation!$N$3:$N$290,"V",Simulation!$F$3:$F$290,$C62,Simulation!$E$3:$E$290,"03/03/2026"))</f>
        <v/>
      </c>
      <c r="M62" s="54" t="str">
        <f aca="false">IF($D62=0,"",AVERAGEIFS(Simulation!$BI$3:$BI$290,Simulation!$N$3:$N$290,"V",Simulation!$F$3:$F$290,$C62,Simulation!$E$3:$E$290,"03/03/2026"))</f>
        <v/>
      </c>
      <c r="N62" s="54" t="str">
        <f aca="false">IF($D62=0,"",AVERAGEIFS(Simulation!$BN$3:$BN$290,Simulation!$N$3:$N$290,"V",Simulation!$F$3:$F$290,$C62,Simulation!$E$3:$E$290,"03/03/2026"))</f>
        <v/>
      </c>
      <c r="O62" s="53" t="str">
        <f aca="false">IF($D62=0,"",AVERAGEIFS(Simulation!$BS$3:$BS$290,Simulation!$N$3:$N$290,"V",Simulation!$F$3:$F$290,$C62,Simulation!$E$3:$E$290,"03/03/2026"))</f>
        <v/>
      </c>
      <c r="P62" s="55" t="str">
        <f aca="false">IF($D62=0,"",AVERAGEIFS(Simulation!$BX$3:$BX$290,Simulation!$N$3:$N$290,"V",Simulation!$F$3:$F$290,$C62,Simulation!$E$3:$E$290,"03/03/2026"))</f>
        <v/>
      </c>
      <c r="Q62" s="53" t="str">
        <f aca="false">IF($D62=0,"",AVERAGEIFS(Simulation!$CL$3:$CL$290,Simulation!$N$3:$N$290,"V",Simulation!$F$3:$F$290,$C62,Simulation!$E$3:$E$290,"03/03/2026"))</f>
        <v/>
      </c>
      <c r="R62" s="53" t="str">
        <f aca="false">IF($D62=0,"",AVERAGEIFS(Simulation!$CO$3:$CO$290,Simulation!$N$3:$N$290,"V",Simulation!$F$3:$F$290,$C62,Simulation!$E$3:$E$290,"03/03/2026"))</f>
        <v/>
      </c>
      <c r="S62" s="55" t="str">
        <f aca="false">IF($D62=0,"",AVERAGEIFS(Simulation!$CK$3:$CK$290,Simulation!$N$3:$N$290,"V",Simulation!$F$3:$F$290,$C62,Simulation!$E$3:$E$290,"03/03/2026"))</f>
        <v/>
      </c>
    </row>
    <row r="63" customFormat="false" ht="15" hidden="false" customHeight="false" outlineLevel="0" collapsed="false">
      <c r="A63" s="27" t="s">
        <v>454</v>
      </c>
      <c r="B63" s="20" t="s">
        <v>162</v>
      </c>
      <c r="C63" s="20" t="s">
        <v>283</v>
      </c>
      <c r="D63" s="52" t="n">
        <f aca="false">COUNTIFS(Simulation!$N$3:$N$290,"V",Simulation!$F$3:$F$290,$C63,Simulation!$E$3:$E$290,"03/03/2026")</f>
        <v>0</v>
      </c>
      <c r="E63" s="53" t="str">
        <f aca="false">IF($D63=0,"",AVERAGEIFS(Simulation!$U$3:$U$290,Simulation!$N$3:$N$290,"V",Simulation!$F$3:$F$290,$C63,Simulation!$E$3:$E$290,"03/03/2026"))</f>
        <v/>
      </c>
      <c r="F63" s="53" t="str">
        <f aca="false">IF($D63=0,"",AVERAGEIFS(Simulation!$Z$3:$Z$290,Simulation!$N$3:$N$290,"V",Simulation!$F$3:$F$290,$C63,Simulation!$E$3:$E$290,"03/03/2026"))</f>
        <v/>
      </c>
      <c r="G63" s="53" t="str">
        <f aca="false">IF($D63=0,"",AVERAGEIFS(Simulation!$AE$3:$AE$290,Simulation!$N$3:$N$290,"V",Simulation!$F$3:$F$290,$C63,Simulation!$E$3:$E$290,"03/03/2026"))</f>
        <v/>
      </c>
      <c r="H63" s="54" t="str">
        <f aca="false">IF($D63=0,"",AVERAGEIFS(Simulation!$AJ$3:$AJ$290,Simulation!$N$3:$N$290,"V",Simulation!$F$3:$F$290,$C63,Simulation!$E$3:$E$290,"03/03/2026"))</f>
        <v/>
      </c>
      <c r="I63" s="55" t="str">
        <f aca="false">IF($D63=0,"",AVERAGEIFS(Simulation!$AO$3:$AO$290,Simulation!$N$3:$N$290,"V",Simulation!$F$3:$F$290,$C63,Simulation!$E$3:$E$290,"03/03/2026"))</f>
        <v/>
      </c>
      <c r="J63" s="52" t="str">
        <f aca="false">IF($D63=0,"",AVERAGEIFS(Simulation!$AT$3:$AT$290,Simulation!$N$3:$N$290,"V",Simulation!$F$3:$F$290,$C63,Simulation!$E$3:$E$290,"03/03/2026"))</f>
        <v/>
      </c>
      <c r="K63" s="55" t="str">
        <f aca="false">IF($D63=0,"",AVERAGEIFS(Simulation!$AY$3:$AY$290,Simulation!$N$3:$N$290,"V",Simulation!$F$3:$F$290,$C63,Simulation!$E$3:$E$290,"03/03/2026"))</f>
        <v/>
      </c>
      <c r="L63" s="54" t="str">
        <f aca="false">IF($D63=0,"",AVERAGEIFS(Simulation!$BD$3:$BD$290,Simulation!$N$3:$N$290,"V",Simulation!$F$3:$F$290,$C63,Simulation!$E$3:$E$290,"03/03/2026"))</f>
        <v/>
      </c>
      <c r="M63" s="54" t="str">
        <f aca="false">IF($D63=0,"",AVERAGEIFS(Simulation!$BI$3:$BI$290,Simulation!$N$3:$N$290,"V",Simulation!$F$3:$F$290,$C63,Simulation!$E$3:$E$290,"03/03/2026"))</f>
        <v/>
      </c>
      <c r="N63" s="54" t="str">
        <f aca="false">IF($D63=0,"",AVERAGEIFS(Simulation!$BN$3:$BN$290,Simulation!$N$3:$N$290,"V",Simulation!$F$3:$F$290,$C63,Simulation!$E$3:$E$290,"03/03/2026"))</f>
        <v/>
      </c>
      <c r="O63" s="53" t="str">
        <f aca="false">IF($D63=0,"",AVERAGEIFS(Simulation!$BS$3:$BS$290,Simulation!$N$3:$N$290,"V",Simulation!$F$3:$F$290,$C63,Simulation!$E$3:$E$290,"03/03/2026"))</f>
        <v/>
      </c>
      <c r="P63" s="55" t="str">
        <f aca="false">IF($D63=0,"",AVERAGEIFS(Simulation!$BX$3:$BX$290,Simulation!$N$3:$N$290,"V",Simulation!$F$3:$F$290,$C63,Simulation!$E$3:$E$290,"03/03/2026"))</f>
        <v/>
      </c>
      <c r="Q63" s="53" t="str">
        <f aca="false">IF($D63=0,"",AVERAGEIFS(Simulation!$CL$3:$CL$290,Simulation!$N$3:$N$290,"V",Simulation!$F$3:$F$290,$C63,Simulation!$E$3:$E$290,"03/03/2026"))</f>
        <v/>
      </c>
      <c r="R63" s="53" t="str">
        <f aca="false">IF($D63=0,"",AVERAGEIFS(Simulation!$CO$3:$CO$290,Simulation!$N$3:$N$290,"V",Simulation!$F$3:$F$290,$C63,Simulation!$E$3:$E$290,"03/03/2026"))</f>
        <v/>
      </c>
      <c r="S63" s="55" t="str">
        <f aca="false">IF($D63=0,"",AVERAGEIFS(Simulation!$CK$3:$CK$290,Simulation!$N$3:$N$290,"V",Simulation!$F$3:$F$290,$C63,Simulation!$E$3:$E$290,"03/03/2026"))</f>
        <v/>
      </c>
    </row>
    <row r="64" customFormat="false" ht="15" hidden="false" customHeight="false" outlineLevel="0" collapsed="false">
      <c r="A64" s="27" t="s">
        <v>454</v>
      </c>
      <c r="B64" s="20" t="s">
        <v>162</v>
      </c>
      <c r="C64" s="20" t="s">
        <v>285</v>
      </c>
      <c r="D64" s="52" t="n">
        <f aca="false">COUNTIFS(Simulation!$N$3:$N$290,"V",Simulation!$F$3:$F$290,$C64,Simulation!$E$3:$E$290,"03/03/2026")</f>
        <v>0</v>
      </c>
      <c r="E64" s="53" t="str">
        <f aca="false">IF($D64=0,"",AVERAGEIFS(Simulation!$U$3:$U$290,Simulation!$N$3:$N$290,"V",Simulation!$F$3:$F$290,$C64,Simulation!$E$3:$E$290,"03/03/2026"))</f>
        <v/>
      </c>
      <c r="F64" s="53" t="str">
        <f aca="false">IF($D64=0,"",AVERAGEIFS(Simulation!$Z$3:$Z$290,Simulation!$N$3:$N$290,"V",Simulation!$F$3:$F$290,$C64,Simulation!$E$3:$E$290,"03/03/2026"))</f>
        <v/>
      </c>
      <c r="G64" s="53" t="str">
        <f aca="false">IF($D64=0,"",AVERAGEIFS(Simulation!$AE$3:$AE$290,Simulation!$N$3:$N$290,"V",Simulation!$F$3:$F$290,$C64,Simulation!$E$3:$E$290,"03/03/2026"))</f>
        <v/>
      </c>
      <c r="H64" s="54" t="str">
        <f aca="false">IF($D64=0,"",AVERAGEIFS(Simulation!$AJ$3:$AJ$290,Simulation!$N$3:$N$290,"V",Simulation!$F$3:$F$290,$C64,Simulation!$E$3:$E$290,"03/03/2026"))</f>
        <v/>
      </c>
      <c r="I64" s="55" t="str">
        <f aca="false">IF($D64=0,"",AVERAGEIFS(Simulation!$AO$3:$AO$290,Simulation!$N$3:$N$290,"V",Simulation!$F$3:$F$290,$C64,Simulation!$E$3:$E$290,"03/03/2026"))</f>
        <v/>
      </c>
      <c r="J64" s="52" t="str">
        <f aca="false">IF($D64=0,"",AVERAGEIFS(Simulation!$AT$3:$AT$290,Simulation!$N$3:$N$290,"V",Simulation!$F$3:$F$290,$C64,Simulation!$E$3:$E$290,"03/03/2026"))</f>
        <v/>
      </c>
      <c r="K64" s="55" t="str">
        <f aca="false">IF($D64=0,"",AVERAGEIFS(Simulation!$AY$3:$AY$290,Simulation!$N$3:$N$290,"V",Simulation!$F$3:$F$290,$C64,Simulation!$E$3:$E$290,"03/03/2026"))</f>
        <v/>
      </c>
      <c r="L64" s="54" t="str">
        <f aca="false">IF($D64=0,"",AVERAGEIFS(Simulation!$BD$3:$BD$290,Simulation!$N$3:$N$290,"V",Simulation!$F$3:$F$290,$C64,Simulation!$E$3:$E$290,"03/03/2026"))</f>
        <v/>
      </c>
      <c r="M64" s="54" t="str">
        <f aca="false">IF($D64=0,"",AVERAGEIFS(Simulation!$BI$3:$BI$290,Simulation!$N$3:$N$290,"V",Simulation!$F$3:$F$290,$C64,Simulation!$E$3:$E$290,"03/03/2026"))</f>
        <v/>
      </c>
      <c r="N64" s="54" t="str">
        <f aca="false">IF($D64=0,"",AVERAGEIFS(Simulation!$BN$3:$BN$290,Simulation!$N$3:$N$290,"V",Simulation!$F$3:$F$290,$C64,Simulation!$E$3:$E$290,"03/03/2026"))</f>
        <v/>
      </c>
      <c r="O64" s="53" t="str">
        <f aca="false">IF($D64=0,"",AVERAGEIFS(Simulation!$BS$3:$BS$290,Simulation!$N$3:$N$290,"V",Simulation!$F$3:$F$290,$C64,Simulation!$E$3:$E$290,"03/03/2026"))</f>
        <v/>
      </c>
      <c r="P64" s="55" t="str">
        <f aca="false">IF($D64=0,"",AVERAGEIFS(Simulation!$BX$3:$BX$290,Simulation!$N$3:$N$290,"V",Simulation!$F$3:$F$290,$C64,Simulation!$E$3:$E$290,"03/03/2026"))</f>
        <v/>
      </c>
      <c r="Q64" s="53" t="str">
        <f aca="false">IF($D64=0,"",AVERAGEIFS(Simulation!$CL$3:$CL$290,Simulation!$N$3:$N$290,"V",Simulation!$F$3:$F$290,$C64,Simulation!$E$3:$E$290,"03/03/2026"))</f>
        <v/>
      </c>
      <c r="R64" s="53" t="str">
        <f aca="false">IF($D64=0,"",AVERAGEIFS(Simulation!$CO$3:$CO$290,Simulation!$N$3:$N$290,"V",Simulation!$F$3:$F$290,$C64,Simulation!$E$3:$E$290,"03/03/2026"))</f>
        <v/>
      </c>
      <c r="S64" s="55" t="str">
        <f aca="false">IF($D64=0,"",AVERAGEIFS(Simulation!$CK$3:$CK$290,Simulation!$N$3:$N$290,"V",Simulation!$F$3:$F$290,$C64,Simulation!$E$3:$E$290,"03/03/2026"))</f>
        <v/>
      </c>
    </row>
    <row r="65" customFormat="false" ht="15" hidden="false" customHeight="false" outlineLevel="0" collapsed="false">
      <c r="A65" s="47" t="s">
        <v>454</v>
      </c>
      <c r="B65" s="17" t="s">
        <v>164</v>
      </c>
      <c r="C65" s="17" t="s">
        <v>275</v>
      </c>
      <c r="D65" s="48" t="n">
        <f aca="false">COUNTIFS(Simulation!$N$3:$N$290,"V",Simulation!$F$3:$F$290,$C65,Simulation!$E$3:$E$290,"13/03/2026")</f>
        <v>0</v>
      </c>
      <c r="E65" s="49" t="str">
        <f aca="false">IF($D65=0,"",AVERAGEIFS(Simulation!$U$3:$U$290,Simulation!$N$3:$N$290,"V",Simulation!$F$3:$F$290,$C65,Simulation!$E$3:$E$290,"13/03/2026"))</f>
        <v/>
      </c>
      <c r="F65" s="49" t="str">
        <f aca="false">IF($D65=0,"",AVERAGEIFS(Simulation!$Z$3:$Z$290,Simulation!$N$3:$N$290,"V",Simulation!$F$3:$F$290,$C65,Simulation!$E$3:$E$290,"13/03/2026"))</f>
        <v/>
      </c>
      <c r="G65" s="49" t="str">
        <f aca="false">IF($D65=0,"",AVERAGEIFS(Simulation!$AE$3:$AE$290,Simulation!$N$3:$N$290,"V",Simulation!$F$3:$F$290,$C65,Simulation!$E$3:$E$290,"13/03/2026"))</f>
        <v/>
      </c>
      <c r="H65" s="50" t="str">
        <f aca="false">IF($D65=0,"",AVERAGEIFS(Simulation!$AJ$3:$AJ$290,Simulation!$N$3:$N$290,"V",Simulation!$F$3:$F$290,$C65,Simulation!$E$3:$E$290,"13/03/2026"))</f>
        <v/>
      </c>
      <c r="I65" s="51" t="str">
        <f aca="false">IF($D65=0,"",AVERAGEIFS(Simulation!$AO$3:$AO$290,Simulation!$N$3:$N$290,"V",Simulation!$F$3:$F$290,$C65,Simulation!$E$3:$E$290,"13/03/2026"))</f>
        <v/>
      </c>
      <c r="J65" s="48" t="str">
        <f aca="false">IF($D65=0,"",AVERAGEIFS(Simulation!$AT$3:$AT$290,Simulation!$N$3:$N$290,"V",Simulation!$F$3:$F$290,$C65,Simulation!$E$3:$E$290,"13/03/2026"))</f>
        <v/>
      </c>
      <c r="K65" s="51" t="str">
        <f aca="false">IF($D65=0,"",AVERAGEIFS(Simulation!$AY$3:$AY$290,Simulation!$N$3:$N$290,"V",Simulation!$F$3:$F$290,$C65,Simulation!$E$3:$E$290,"13/03/2026"))</f>
        <v/>
      </c>
      <c r="L65" s="50" t="str">
        <f aca="false">IF($D65=0,"",AVERAGEIFS(Simulation!$BD$3:$BD$290,Simulation!$N$3:$N$290,"V",Simulation!$F$3:$F$290,$C65,Simulation!$E$3:$E$290,"13/03/2026"))</f>
        <v/>
      </c>
      <c r="M65" s="50" t="str">
        <f aca="false">IF($D65=0,"",AVERAGEIFS(Simulation!$BI$3:$BI$290,Simulation!$N$3:$N$290,"V",Simulation!$F$3:$F$290,$C65,Simulation!$E$3:$E$290,"13/03/2026"))</f>
        <v/>
      </c>
      <c r="N65" s="50" t="str">
        <f aca="false">IF($D65=0,"",AVERAGEIFS(Simulation!$BN$3:$BN$290,Simulation!$N$3:$N$290,"V",Simulation!$F$3:$F$290,$C65,Simulation!$E$3:$E$290,"13/03/2026"))</f>
        <v/>
      </c>
      <c r="O65" s="49" t="str">
        <f aca="false">IF($D65=0,"",AVERAGEIFS(Simulation!$BS$3:$BS$290,Simulation!$N$3:$N$290,"V",Simulation!$F$3:$F$290,$C65,Simulation!$E$3:$E$290,"13/03/2026"))</f>
        <v/>
      </c>
      <c r="P65" s="51" t="str">
        <f aca="false">IF($D65=0,"",AVERAGEIFS(Simulation!$BX$3:$BX$290,Simulation!$N$3:$N$290,"V",Simulation!$F$3:$F$290,$C65,Simulation!$E$3:$E$290,"13/03/2026"))</f>
        <v/>
      </c>
      <c r="Q65" s="49" t="str">
        <f aca="false">IF($D65=0,"",AVERAGEIFS(Simulation!$CL$3:$CL$290,Simulation!$N$3:$N$290,"V",Simulation!$F$3:$F$290,$C65,Simulation!$E$3:$E$290,"13/03/2026"))</f>
        <v/>
      </c>
      <c r="R65" s="49" t="str">
        <f aca="false">IF($D65=0,"",AVERAGEIFS(Simulation!$CO$3:$CO$290,Simulation!$N$3:$N$290,"V",Simulation!$F$3:$F$290,$C65,Simulation!$E$3:$E$290,"13/03/2026"))</f>
        <v/>
      </c>
      <c r="S65" s="51" t="str">
        <f aca="false">IF($D65=0,"",AVERAGEIFS(Simulation!$CK$3:$CK$290,Simulation!$N$3:$N$290,"V",Simulation!$F$3:$F$290,$C65,Simulation!$E$3:$E$290,"13/03/2026"))</f>
        <v/>
      </c>
    </row>
    <row r="66" customFormat="false" ht="15" hidden="false" customHeight="false" outlineLevel="0" collapsed="false">
      <c r="A66" s="27" t="s">
        <v>454</v>
      </c>
      <c r="B66" s="20" t="s">
        <v>164</v>
      </c>
      <c r="C66" s="20" t="s">
        <v>277</v>
      </c>
      <c r="D66" s="52" t="n">
        <f aca="false">COUNTIFS(Simulation!$N$3:$N$290,"V",Simulation!$F$3:$F$290,$C66,Simulation!$E$3:$E$290,"13/03/2026")</f>
        <v>0</v>
      </c>
      <c r="E66" s="53" t="str">
        <f aca="false">IF($D66=0,"",AVERAGEIFS(Simulation!$U$3:$U$290,Simulation!$N$3:$N$290,"V",Simulation!$F$3:$F$290,$C66,Simulation!$E$3:$E$290,"13/03/2026"))</f>
        <v/>
      </c>
      <c r="F66" s="53" t="str">
        <f aca="false">IF($D66=0,"",AVERAGEIFS(Simulation!$Z$3:$Z$290,Simulation!$N$3:$N$290,"V",Simulation!$F$3:$F$290,$C66,Simulation!$E$3:$E$290,"13/03/2026"))</f>
        <v/>
      </c>
      <c r="G66" s="53" t="str">
        <f aca="false">IF($D66=0,"",AVERAGEIFS(Simulation!$AE$3:$AE$290,Simulation!$N$3:$N$290,"V",Simulation!$F$3:$F$290,$C66,Simulation!$E$3:$E$290,"13/03/2026"))</f>
        <v/>
      </c>
      <c r="H66" s="54" t="str">
        <f aca="false">IF($D66=0,"",AVERAGEIFS(Simulation!$AJ$3:$AJ$290,Simulation!$N$3:$N$290,"V",Simulation!$F$3:$F$290,$C66,Simulation!$E$3:$E$290,"13/03/2026"))</f>
        <v/>
      </c>
      <c r="I66" s="55" t="str">
        <f aca="false">IF($D66=0,"",AVERAGEIFS(Simulation!$AO$3:$AO$290,Simulation!$N$3:$N$290,"V",Simulation!$F$3:$F$290,$C66,Simulation!$E$3:$E$290,"13/03/2026"))</f>
        <v/>
      </c>
      <c r="J66" s="52" t="str">
        <f aca="false">IF($D66=0,"",AVERAGEIFS(Simulation!$AT$3:$AT$290,Simulation!$N$3:$N$290,"V",Simulation!$F$3:$F$290,$C66,Simulation!$E$3:$E$290,"13/03/2026"))</f>
        <v/>
      </c>
      <c r="K66" s="55" t="str">
        <f aca="false">IF($D66=0,"",AVERAGEIFS(Simulation!$AY$3:$AY$290,Simulation!$N$3:$N$290,"V",Simulation!$F$3:$F$290,$C66,Simulation!$E$3:$E$290,"13/03/2026"))</f>
        <v/>
      </c>
      <c r="L66" s="54" t="str">
        <f aca="false">IF($D66=0,"",AVERAGEIFS(Simulation!$BD$3:$BD$290,Simulation!$N$3:$N$290,"V",Simulation!$F$3:$F$290,$C66,Simulation!$E$3:$E$290,"13/03/2026"))</f>
        <v/>
      </c>
      <c r="M66" s="54" t="str">
        <f aca="false">IF($D66=0,"",AVERAGEIFS(Simulation!$BI$3:$BI$290,Simulation!$N$3:$N$290,"V",Simulation!$F$3:$F$290,$C66,Simulation!$E$3:$E$290,"13/03/2026"))</f>
        <v/>
      </c>
      <c r="N66" s="54" t="str">
        <f aca="false">IF($D66=0,"",AVERAGEIFS(Simulation!$BN$3:$BN$290,Simulation!$N$3:$N$290,"V",Simulation!$F$3:$F$290,$C66,Simulation!$E$3:$E$290,"13/03/2026"))</f>
        <v/>
      </c>
      <c r="O66" s="53" t="str">
        <f aca="false">IF($D66=0,"",AVERAGEIFS(Simulation!$BS$3:$BS$290,Simulation!$N$3:$N$290,"V",Simulation!$F$3:$F$290,$C66,Simulation!$E$3:$E$290,"13/03/2026"))</f>
        <v/>
      </c>
      <c r="P66" s="55" t="str">
        <f aca="false">IF($D66=0,"",AVERAGEIFS(Simulation!$BX$3:$BX$290,Simulation!$N$3:$N$290,"V",Simulation!$F$3:$F$290,$C66,Simulation!$E$3:$E$290,"13/03/2026"))</f>
        <v/>
      </c>
      <c r="Q66" s="53" t="str">
        <f aca="false">IF($D66=0,"",AVERAGEIFS(Simulation!$CL$3:$CL$290,Simulation!$N$3:$N$290,"V",Simulation!$F$3:$F$290,$C66,Simulation!$E$3:$E$290,"13/03/2026"))</f>
        <v/>
      </c>
      <c r="R66" s="53" t="str">
        <f aca="false">IF($D66=0,"",AVERAGEIFS(Simulation!$CO$3:$CO$290,Simulation!$N$3:$N$290,"V",Simulation!$F$3:$F$290,$C66,Simulation!$E$3:$E$290,"13/03/2026"))</f>
        <v/>
      </c>
      <c r="S66" s="55" t="str">
        <f aca="false">IF($D66=0,"",AVERAGEIFS(Simulation!$CK$3:$CK$290,Simulation!$N$3:$N$290,"V",Simulation!$F$3:$F$290,$C66,Simulation!$E$3:$E$290,"13/03/2026"))</f>
        <v/>
      </c>
    </row>
    <row r="67" customFormat="false" ht="15" hidden="false" customHeight="false" outlineLevel="0" collapsed="false">
      <c r="A67" s="27" t="s">
        <v>454</v>
      </c>
      <c r="B67" s="20" t="s">
        <v>164</v>
      </c>
      <c r="C67" s="20" t="s">
        <v>279</v>
      </c>
      <c r="D67" s="52" t="n">
        <f aca="false">COUNTIFS(Simulation!$N$3:$N$290,"V",Simulation!$F$3:$F$290,$C67,Simulation!$E$3:$E$290,"13/03/2026")</f>
        <v>0</v>
      </c>
      <c r="E67" s="53" t="str">
        <f aca="false">IF($D67=0,"",AVERAGEIFS(Simulation!$U$3:$U$290,Simulation!$N$3:$N$290,"V",Simulation!$F$3:$F$290,$C67,Simulation!$E$3:$E$290,"13/03/2026"))</f>
        <v/>
      </c>
      <c r="F67" s="53" t="str">
        <f aca="false">IF($D67=0,"",AVERAGEIFS(Simulation!$Z$3:$Z$290,Simulation!$N$3:$N$290,"V",Simulation!$F$3:$F$290,$C67,Simulation!$E$3:$E$290,"13/03/2026"))</f>
        <v/>
      </c>
      <c r="G67" s="53" t="str">
        <f aca="false">IF($D67=0,"",AVERAGEIFS(Simulation!$AE$3:$AE$290,Simulation!$N$3:$N$290,"V",Simulation!$F$3:$F$290,$C67,Simulation!$E$3:$E$290,"13/03/2026"))</f>
        <v/>
      </c>
      <c r="H67" s="54" t="str">
        <f aca="false">IF($D67=0,"",AVERAGEIFS(Simulation!$AJ$3:$AJ$290,Simulation!$N$3:$N$290,"V",Simulation!$F$3:$F$290,$C67,Simulation!$E$3:$E$290,"13/03/2026"))</f>
        <v/>
      </c>
      <c r="I67" s="55" t="str">
        <f aca="false">IF($D67=0,"",AVERAGEIFS(Simulation!$AO$3:$AO$290,Simulation!$N$3:$N$290,"V",Simulation!$F$3:$F$290,$C67,Simulation!$E$3:$E$290,"13/03/2026"))</f>
        <v/>
      </c>
      <c r="J67" s="52" t="str">
        <f aca="false">IF($D67=0,"",AVERAGEIFS(Simulation!$AT$3:$AT$290,Simulation!$N$3:$N$290,"V",Simulation!$F$3:$F$290,$C67,Simulation!$E$3:$E$290,"13/03/2026"))</f>
        <v/>
      </c>
      <c r="K67" s="55" t="str">
        <f aca="false">IF($D67=0,"",AVERAGEIFS(Simulation!$AY$3:$AY$290,Simulation!$N$3:$N$290,"V",Simulation!$F$3:$F$290,$C67,Simulation!$E$3:$E$290,"13/03/2026"))</f>
        <v/>
      </c>
      <c r="L67" s="54" t="str">
        <f aca="false">IF($D67=0,"",AVERAGEIFS(Simulation!$BD$3:$BD$290,Simulation!$N$3:$N$290,"V",Simulation!$F$3:$F$290,$C67,Simulation!$E$3:$E$290,"13/03/2026"))</f>
        <v/>
      </c>
      <c r="M67" s="54" t="str">
        <f aca="false">IF($D67=0,"",AVERAGEIFS(Simulation!$BI$3:$BI$290,Simulation!$N$3:$N$290,"V",Simulation!$F$3:$F$290,$C67,Simulation!$E$3:$E$290,"13/03/2026"))</f>
        <v/>
      </c>
      <c r="N67" s="54" t="str">
        <f aca="false">IF($D67=0,"",AVERAGEIFS(Simulation!$BN$3:$BN$290,Simulation!$N$3:$N$290,"V",Simulation!$F$3:$F$290,$C67,Simulation!$E$3:$E$290,"13/03/2026"))</f>
        <v/>
      </c>
      <c r="O67" s="53" t="str">
        <f aca="false">IF($D67=0,"",AVERAGEIFS(Simulation!$BS$3:$BS$290,Simulation!$N$3:$N$290,"V",Simulation!$F$3:$F$290,$C67,Simulation!$E$3:$E$290,"13/03/2026"))</f>
        <v/>
      </c>
      <c r="P67" s="55" t="str">
        <f aca="false">IF($D67=0,"",AVERAGEIFS(Simulation!$BX$3:$BX$290,Simulation!$N$3:$N$290,"V",Simulation!$F$3:$F$290,$C67,Simulation!$E$3:$E$290,"13/03/2026"))</f>
        <v/>
      </c>
      <c r="Q67" s="53" t="str">
        <f aca="false">IF($D67=0,"",AVERAGEIFS(Simulation!$CL$3:$CL$290,Simulation!$N$3:$N$290,"V",Simulation!$F$3:$F$290,$C67,Simulation!$E$3:$E$290,"13/03/2026"))</f>
        <v/>
      </c>
      <c r="R67" s="53" t="str">
        <f aca="false">IF($D67=0,"",AVERAGEIFS(Simulation!$CO$3:$CO$290,Simulation!$N$3:$N$290,"V",Simulation!$F$3:$F$290,$C67,Simulation!$E$3:$E$290,"13/03/2026"))</f>
        <v/>
      </c>
      <c r="S67" s="55" t="str">
        <f aca="false">IF($D67=0,"",AVERAGEIFS(Simulation!$CK$3:$CK$290,Simulation!$N$3:$N$290,"V",Simulation!$F$3:$F$290,$C67,Simulation!$E$3:$E$290,"13/03/2026"))</f>
        <v/>
      </c>
    </row>
    <row r="68" customFormat="false" ht="15" hidden="false" customHeight="false" outlineLevel="0" collapsed="false">
      <c r="A68" s="27" t="s">
        <v>454</v>
      </c>
      <c r="B68" s="20" t="s">
        <v>164</v>
      </c>
      <c r="C68" s="20" t="s">
        <v>281</v>
      </c>
      <c r="D68" s="52" t="n">
        <f aca="false">COUNTIFS(Simulation!$N$3:$N$290,"V",Simulation!$F$3:$F$290,$C68,Simulation!$E$3:$E$290,"13/03/2026")</f>
        <v>0</v>
      </c>
      <c r="E68" s="53" t="str">
        <f aca="false">IF($D68=0,"",AVERAGEIFS(Simulation!$U$3:$U$290,Simulation!$N$3:$N$290,"V",Simulation!$F$3:$F$290,$C68,Simulation!$E$3:$E$290,"13/03/2026"))</f>
        <v/>
      </c>
      <c r="F68" s="53" t="str">
        <f aca="false">IF($D68=0,"",AVERAGEIFS(Simulation!$Z$3:$Z$290,Simulation!$N$3:$N$290,"V",Simulation!$F$3:$F$290,$C68,Simulation!$E$3:$E$290,"13/03/2026"))</f>
        <v/>
      </c>
      <c r="G68" s="53" t="str">
        <f aca="false">IF($D68=0,"",AVERAGEIFS(Simulation!$AE$3:$AE$290,Simulation!$N$3:$N$290,"V",Simulation!$F$3:$F$290,$C68,Simulation!$E$3:$E$290,"13/03/2026"))</f>
        <v/>
      </c>
      <c r="H68" s="54" t="str">
        <f aca="false">IF($D68=0,"",AVERAGEIFS(Simulation!$AJ$3:$AJ$290,Simulation!$N$3:$N$290,"V",Simulation!$F$3:$F$290,$C68,Simulation!$E$3:$E$290,"13/03/2026"))</f>
        <v/>
      </c>
      <c r="I68" s="55" t="str">
        <f aca="false">IF($D68=0,"",AVERAGEIFS(Simulation!$AO$3:$AO$290,Simulation!$N$3:$N$290,"V",Simulation!$F$3:$F$290,$C68,Simulation!$E$3:$E$290,"13/03/2026"))</f>
        <v/>
      </c>
      <c r="J68" s="52" t="str">
        <f aca="false">IF($D68=0,"",AVERAGEIFS(Simulation!$AT$3:$AT$290,Simulation!$N$3:$N$290,"V",Simulation!$F$3:$F$290,$C68,Simulation!$E$3:$E$290,"13/03/2026"))</f>
        <v/>
      </c>
      <c r="K68" s="55" t="str">
        <f aca="false">IF($D68=0,"",AVERAGEIFS(Simulation!$AY$3:$AY$290,Simulation!$N$3:$N$290,"V",Simulation!$F$3:$F$290,$C68,Simulation!$E$3:$E$290,"13/03/2026"))</f>
        <v/>
      </c>
      <c r="L68" s="54" t="str">
        <f aca="false">IF($D68=0,"",AVERAGEIFS(Simulation!$BD$3:$BD$290,Simulation!$N$3:$N$290,"V",Simulation!$F$3:$F$290,$C68,Simulation!$E$3:$E$290,"13/03/2026"))</f>
        <v/>
      </c>
      <c r="M68" s="54" t="str">
        <f aca="false">IF($D68=0,"",AVERAGEIFS(Simulation!$BI$3:$BI$290,Simulation!$N$3:$N$290,"V",Simulation!$F$3:$F$290,$C68,Simulation!$E$3:$E$290,"13/03/2026"))</f>
        <v/>
      </c>
      <c r="N68" s="54" t="str">
        <f aca="false">IF($D68=0,"",AVERAGEIFS(Simulation!$BN$3:$BN$290,Simulation!$N$3:$N$290,"V",Simulation!$F$3:$F$290,$C68,Simulation!$E$3:$E$290,"13/03/2026"))</f>
        <v/>
      </c>
      <c r="O68" s="53" t="str">
        <f aca="false">IF($D68=0,"",AVERAGEIFS(Simulation!$BS$3:$BS$290,Simulation!$N$3:$N$290,"V",Simulation!$F$3:$F$290,$C68,Simulation!$E$3:$E$290,"13/03/2026"))</f>
        <v/>
      </c>
      <c r="P68" s="55" t="str">
        <f aca="false">IF($D68=0,"",AVERAGEIFS(Simulation!$BX$3:$BX$290,Simulation!$N$3:$N$290,"V",Simulation!$F$3:$F$290,$C68,Simulation!$E$3:$E$290,"13/03/2026"))</f>
        <v/>
      </c>
      <c r="Q68" s="53" t="str">
        <f aca="false">IF($D68=0,"",AVERAGEIFS(Simulation!$CL$3:$CL$290,Simulation!$N$3:$N$290,"V",Simulation!$F$3:$F$290,$C68,Simulation!$E$3:$E$290,"13/03/2026"))</f>
        <v/>
      </c>
      <c r="R68" s="53" t="str">
        <f aca="false">IF($D68=0,"",AVERAGEIFS(Simulation!$CO$3:$CO$290,Simulation!$N$3:$N$290,"V",Simulation!$F$3:$F$290,$C68,Simulation!$E$3:$E$290,"13/03/2026"))</f>
        <v/>
      </c>
      <c r="S68" s="55" t="str">
        <f aca="false">IF($D68=0,"",AVERAGEIFS(Simulation!$CK$3:$CK$290,Simulation!$N$3:$N$290,"V",Simulation!$F$3:$F$290,$C68,Simulation!$E$3:$E$290,"13/03/2026"))</f>
        <v/>
      </c>
    </row>
    <row r="69" customFormat="false" ht="15" hidden="false" customHeight="false" outlineLevel="0" collapsed="false">
      <c r="A69" s="27" t="s">
        <v>454</v>
      </c>
      <c r="B69" s="20" t="s">
        <v>164</v>
      </c>
      <c r="C69" s="20" t="s">
        <v>283</v>
      </c>
      <c r="D69" s="52" t="n">
        <f aca="false">COUNTIFS(Simulation!$N$3:$N$290,"V",Simulation!$F$3:$F$290,$C69,Simulation!$E$3:$E$290,"13/03/2026")</f>
        <v>0</v>
      </c>
      <c r="E69" s="53" t="str">
        <f aca="false">IF($D69=0,"",AVERAGEIFS(Simulation!$U$3:$U$290,Simulation!$N$3:$N$290,"V",Simulation!$F$3:$F$290,$C69,Simulation!$E$3:$E$290,"13/03/2026"))</f>
        <v/>
      </c>
      <c r="F69" s="53" t="str">
        <f aca="false">IF($D69=0,"",AVERAGEIFS(Simulation!$Z$3:$Z$290,Simulation!$N$3:$N$290,"V",Simulation!$F$3:$F$290,$C69,Simulation!$E$3:$E$290,"13/03/2026"))</f>
        <v/>
      </c>
      <c r="G69" s="53" t="str">
        <f aca="false">IF($D69=0,"",AVERAGEIFS(Simulation!$AE$3:$AE$290,Simulation!$N$3:$N$290,"V",Simulation!$F$3:$F$290,$C69,Simulation!$E$3:$E$290,"13/03/2026"))</f>
        <v/>
      </c>
      <c r="H69" s="54" t="str">
        <f aca="false">IF($D69=0,"",AVERAGEIFS(Simulation!$AJ$3:$AJ$290,Simulation!$N$3:$N$290,"V",Simulation!$F$3:$F$290,$C69,Simulation!$E$3:$E$290,"13/03/2026"))</f>
        <v/>
      </c>
      <c r="I69" s="55" t="str">
        <f aca="false">IF($D69=0,"",AVERAGEIFS(Simulation!$AO$3:$AO$290,Simulation!$N$3:$N$290,"V",Simulation!$F$3:$F$290,$C69,Simulation!$E$3:$E$290,"13/03/2026"))</f>
        <v/>
      </c>
      <c r="J69" s="52" t="str">
        <f aca="false">IF($D69=0,"",AVERAGEIFS(Simulation!$AT$3:$AT$290,Simulation!$N$3:$N$290,"V",Simulation!$F$3:$F$290,$C69,Simulation!$E$3:$E$290,"13/03/2026"))</f>
        <v/>
      </c>
      <c r="K69" s="55" t="str">
        <f aca="false">IF($D69=0,"",AVERAGEIFS(Simulation!$AY$3:$AY$290,Simulation!$N$3:$N$290,"V",Simulation!$F$3:$F$290,$C69,Simulation!$E$3:$E$290,"13/03/2026"))</f>
        <v/>
      </c>
      <c r="L69" s="54" t="str">
        <f aca="false">IF($D69=0,"",AVERAGEIFS(Simulation!$BD$3:$BD$290,Simulation!$N$3:$N$290,"V",Simulation!$F$3:$F$290,$C69,Simulation!$E$3:$E$290,"13/03/2026"))</f>
        <v/>
      </c>
      <c r="M69" s="54" t="str">
        <f aca="false">IF($D69=0,"",AVERAGEIFS(Simulation!$BI$3:$BI$290,Simulation!$N$3:$N$290,"V",Simulation!$F$3:$F$290,$C69,Simulation!$E$3:$E$290,"13/03/2026"))</f>
        <v/>
      </c>
      <c r="N69" s="54" t="str">
        <f aca="false">IF($D69=0,"",AVERAGEIFS(Simulation!$BN$3:$BN$290,Simulation!$N$3:$N$290,"V",Simulation!$F$3:$F$290,$C69,Simulation!$E$3:$E$290,"13/03/2026"))</f>
        <v/>
      </c>
      <c r="O69" s="53" t="str">
        <f aca="false">IF($D69=0,"",AVERAGEIFS(Simulation!$BS$3:$BS$290,Simulation!$N$3:$N$290,"V",Simulation!$F$3:$F$290,$C69,Simulation!$E$3:$E$290,"13/03/2026"))</f>
        <v/>
      </c>
      <c r="P69" s="55" t="str">
        <f aca="false">IF($D69=0,"",AVERAGEIFS(Simulation!$BX$3:$BX$290,Simulation!$N$3:$N$290,"V",Simulation!$F$3:$F$290,$C69,Simulation!$E$3:$E$290,"13/03/2026"))</f>
        <v/>
      </c>
      <c r="Q69" s="53" t="str">
        <f aca="false">IF($D69=0,"",AVERAGEIFS(Simulation!$CL$3:$CL$290,Simulation!$N$3:$N$290,"V",Simulation!$F$3:$F$290,$C69,Simulation!$E$3:$E$290,"13/03/2026"))</f>
        <v/>
      </c>
      <c r="R69" s="53" t="str">
        <f aca="false">IF($D69=0,"",AVERAGEIFS(Simulation!$CO$3:$CO$290,Simulation!$N$3:$N$290,"V",Simulation!$F$3:$F$290,$C69,Simulation!$E$3:$E$290,"13/03/2026"))</f>
        <v/>
      </c>
      <c r="S69" s="55" t="str">
        <f aca="false">IF($D69=0,"",AVERAGEIFS(Simulation!$CK$3:$CK$290,Simulation!$N$3:$N$290,"V",Simulation!$F$3:$F$290,$C69,Simulation!$E$3:$E$290,"13/03/2026"))</f>
        <v/>
      </c>
    </row>
    <row r="70" customFormat="false" ht="15" hidden="false" customHeight="false" outlineLevel="0" collapsed="false">
      <c r="A70" s="27" t="s">
        <v>454</v>
      </c>
      <c r="B70" s="20" t="s">
        <v>164</v>
      </c>
      <c r="C70" s="20" t="s">
        <v>285</v>
      </c>
      <c r="D70" s="52" t="n">
        <f aca="false">COUNTIFS(Simulation!$N$3:$N$290,"V",Simulation!$F$3:$F$290,$C70,Simulation!$E$3:$E$290,"13/03/2026")</f>
        <v>0</v>
      </c>
      <c r="E70" s="53" t="str">
        <f aca="false">IF($D70=0,"",AVERAGEIFS(Simulation!$U$3:$U$290,Simulation!$N$3:$N$290,"V",Simulation!$F$3:$F$290,$C70,Simulation!$E$3:$E$290,"13/03/2026"))</f>
        <v/>
      </c>
      <c r="F70" s="53" t="str">
        <f aca="false">IF($D70=0,"",AVERAGEIFS(Simulation!$Z$3:$Z$290,Simulation!$N$3:$N$290,"V",Simulation!$F$3:$F$290,$C70,Simulation!$E$3:$E$290,"13/03/2026"))</f>
        <v/>
      </c>
      <c r="G70" s="53" t="str">
        <f aca="false">IF($D70=0,"",AVERAGEIFS(Simulation!$AE$3:$AE$290,Simulation!$N$3:$N$290,"V",Simulation!$F$3:$F$290,$C70,Simulation!$E$3:$E$290,"13/03/2026"))</f>
        <v/>
      </c>
      <c r="H70" s="54" t="str">
        <f aca="false">IF($D70=0,"",AVERAGEIFS(Simulation!$AJ$3:$AJ$290,Simulation!$N$3:$N$290,"V",Simulation!$F$3:$F$290,$C70,Simulation!$E$3:$E$290,"13/03/2026"))</f>
        <v/>
      </c>
      <c r="I70" s="55" t="str">
        <f aca="false">IF($D70=0,"",AVERAGEIFS(Simulation!$AO$3:$AO$290,Simulation!$N$3:$N$290,"V",Simulation!$F$3:$F$290,$C70,Simulation!$E$3:$E$290,"13/03/2026"))</f>
        <v/>
      </c>
      <c r="J70" s="52" t="str">
        <f aca="false">IF($D70=0,"",AVERAGEIFS(Simulation!$AT$3:$AT$290,Simulation!$N$3:$N$290,"V",Simulation!$F$3:$F$290,$C70,Simulation!$E$3:$E$290,"13/03/2026"))</f>
        <v/>
      </c>
      <c r="K70" s="55" t="str">
        <f aca="false">IF($D70=0,"",AVERAGEIFS(Simulation!$AY$3:$AY$290,Simulation!$N$3:$N$290,"V",Simulation!$F$3:$F$290,$C70,Simulation!$E$3:$E$290,"13/03/2026"))</f>
        <v/>
      </c>
      <c r="L70" s="54" t="str">
        <f aca="false">IF($D70=0,"",AVERAGEIFS(Simulation!$BD$3:$BD$290,Simulation!$N$3:$N$290,"V",Simulation!$F$3:$F$290,$C70,Simulation!$E$3:$E$290,"13/03/2026"))</f>
        <v/>
      </c>
      <c r="M70" s="54" t="str">
        <f aca="false">IF($D70=0,"",AVERAGEIFS(Simulation!$BI$3:$BI$290,Simulation!$N$3:$N$290,"V",Simulation!$F$3:$F$290,$C70,Simulation!$E$3:$E$290,"13/03/2026"))</f>
        <v/>
      </c>
      <c r="N70" s="54" t="str">
        <f aca="false">IF($D70=0,"",AVERAGEIFS(Simulation!$BN$3:$BN$290,Simulation!$N$3:$N$290,"V",Simulation!$F$3:$F$290,$C70,Simulation!$E$3:$E$290,"13/03/2026"))</f>
        <v/>
      </c>
      <c r="O70" s="53" t="str">
        <f aca="false">IF($D70=0,"",AVERAGEIFS(Simulation!$BS$3:$BS$290,Simulation!$N$3:$N$290,"V",Simulation!$F$3:$F$290,$C70,Simulation!$E$3:$E$290,"13/03/2026"))</f>
        <v/>
      </c>
      <c r="P70" s="55" t="str">
        <f aca="false">IF($D70=0,"",AVERAGEIFS(Simulation!$BX$3:$BX$290,Simulation!$N$3:$N$290,"V",Simulation!$F$3:$F$290,$C70,Simulation!$E$3:$E$290,"13/03/2026"))</f>
        <v/>
      </c>
      <c r="Q70" s="53" t="str">
        <f aca="false">IF($D70=0,"",AVERAGEIFS(Simulation!$CL$3:$CL$290,Simulation!$N$3:$N$290,"V",Simulation!$F$3:$F$290,$C70,Simulation!$E$3:$E$290,"13/03/2026"))</f>
        <v/>
      </c>
      <c r="R70" s="53" t="str">
        <f aca="false">IF($D70=0,"",AVERAGEIFS(Simulation!$CO$3:$CO$290,Simulation!$N$3:$N$290,"V",Simulation!$F$3:$F$290,$C70,Simulation!$E$3:$E$290,"13/03/2026"))</f>
        <v/>
      </c>
      <c r="S70" s="55" t="str">
        <f aca="false">IF($D70=0,"",AVERAGEIFS(Simulation!$CK$3:$CK$290,Simulation!$N$3:$N$290,"V",Simulation!$F$3:$F$290,$C70,Simulation!$E$3:$E$290,"13/03/2026"))</f>
        <v/>
      </c>
    </row>
    <row r="71" customFormat="false" ht="15" hidden="false" customHeight="false" outlineLevel="0" collapsed="false">
      <c r="A71" s="47" t="s">
        <v>456</v>
      </c>
      <c r="B71" s="17" t="s">
        <v>158</v>
      </c>
      <c r="C71" s="17" t="s">
        <v>275</v>
      </c>
      <c r="D71" s="48" t="n">
        <f aca="false">COUNTIFS(Simulation!$N$3:$N$290,"F",Simulation!$F$3:$F$290,$C71,Simulation!$E$3:$E$290,"11/02/2026")</f>
        <v>1</v>
      </c>
      <c r="E71" s="49" t="n">
        <f aca="false">IF($D71=0,"",AVERAGEIFS(Simulation!$U$3:$U$290,Simulation!$N$3:$N$290,"F",Simulation!$F$3:$F$290,$C71,Simulation!$E$3:$E$290,"11/02/2026"))</f>
        <v>85.14</v>
      </c>
      <c r="F71" s="49" t="n">
        <f aca="false">IF($D71=0,"",AVERAGEIFS(Simulation!$Z$3:$Z$290,Simulation!$N$3:$N$290,"F",Simulation!$F$3:$F$290,$C71,Simulation!$E$3:$E$290,"11/02/2026"))</f>
        <v>70.56</v>
      </c>
      <c r="G71" s="49" t="n">
        <f aca="false">IF($D71=0,"",AVERAGEIFS(Simulation!$AE$3:$AE$290,Simulation!$N$3:$N$290,"F",Simulation!$F$3:$F$290,$C71,Simulation!$E$3:$E$290,"11/02/2026"))</f>
        <v>19</v>
      </c>
      <c r="H71" s="50" t="n">
        <f aca="false">IF($D71=0,"",AVERAGEIFS(Simulation!$AJ$3:$AJ$290,Simulation!$N$3:$N$290,"F",Simulation!$F$3:$F$290,$C71,Simulation!$E$3:$E$290,"11/02/2026"))</f>
        <v>0.464685683730118</v>
      </c>
      <c r="I71" s="51" t="n">
        <f aca="false">IF($D71=0,"",AVERAGEIFS(Simulation!$AO$3:$AO$290,Simulation!$N$3:$N$290,"F",Simulation!$F$3:$F$290,$C71,Simulation!$E$3:$E$290,"11/02/2026"))</f>
        <v>4.38850387664553</v>
      </c>
      <c r="J71" s="48" t="n">
        <f aca="false">IF($D71=0,"",AVERAGEIFS(Simulation!$AT$3:$AT$290,Simulation!$N$3:$N$290,"F",Simulation!$F$3:$F$290,$C71,Simulation!$E$3:$E$290,"11/02/2026"))</f>
        <v>285</v>
      </c>
      <c r="K71" s="51" t="n">
        <f aca="false">IF($D71=0,"",AVERAGEIFS(Simulation!$AY$3:$AY$290,Simulation!$N$3:$N$290,"F",Simulation!$F$3:$F$290,$C71,Simulation!$E$3:$E$290,"11/02/2026"))</f>
        <v>2.55066767693214</v>
      </c>
      <c r="L71" s="50" t="n">
        <f aca="false">IF($D71=0,"",AVERAGEIFS(Simulation!$BD$3:$BD$290,Simulation!$N$3:$N$290,"F",Simulation!$F$3:$F$290,$C71,Simulation!$E$3:$E$290,"11/02/2026"))</f>
        <v>1.25</v>
      </c>
      <c r="M71" s="50" t="n">
        <f aca="false">IF($D71=0,"",AVERAGEIFS(Simulation!$BI$3:$BI$290,Simulation!$N$3:$N$290,"F",Simulation!$F$3:$F$290,$C71,Simulation!$E$3:$E$290,"11/02/2026"))</f>
        <v>0.45</v>
      </c>
      <c r="N71" s="50" t="n">
        <f aca="false">IF($D71=0,"",AVERAGEIFS(Simulation!$BN$3:$BN$290,Simulation!$N$3:$N$290,"F",Simulation!$F$3:$F$290,$C71,Simulation!$E$3:$E$290,"11/02/2026"))</f>
        <v>0.3</v>
      </c>
      <c r="O71" s="49" t="n">
        <f aca="false">IF($D71=0,"",AVERAGEIFS(Simulation!$BS$3:$BS$290,Simulation!$N$3:$N$290,"F",Simulation!$F$3:$F$290,$C71,Simulation!$E$3:$E$290,"11/02/2026"))</f>
        <v>15</v>
      </c>
      <c r="P71" s="51" t="n">
        <f aca="false">IF($D71=0,"",AVERAGEIFS(Simulation!$BX$3:$BX$290,Simulation!$N$3:$N$290,"F",Simulation!$F$3:$F$290,$C71,Simulation!$E$3:$E$290,"11/02/2026"))</f>
        <v>10.4</v>
      </c>
      <c r="Q71" s="49" t="n">
        <f aca="false">IF($D71=0,"",AVERAGEIFS(Simulation!$CL$3:$CL$290,Simulation!$N$3:$N$290,"F",Simulation!$F$3:$F$290,$C71,Simulation!$E$3:$E$290,"11/02/2026"))</f>
        <v>22.3793388186277</v>
      </c>
      <c r="R71" s="49" t="n">
        <f aca="false">IF($D71=0,"",AVERAGEIFS(Simulation!$CO$3:$CO$290,Simulation!$N$3:$N$290,"F",Simulation!$F$3:$F$290,$C71,Simulation!$E$3:$E$290,"11/02/2026"))</f>
        <v>-0.24637546708659</v>
      </c>
      <c r="S71" s="51" t="n">
        <f aca="false">IF($D71=0,"",AVERAGEIFS(Simulation!$CK$3:$CK$290,Simulation!$N$3:$N$290,"F",Simulation!$F$3:$F$290,$C71,Simulation!$E$3:$E$290,"11/02/2026"))</f>
        <v>0.2</v>
      </c>
    </row>
    <row r="72" customFormat="false" ht="15" hidden="false" customHeight="false" outlineLevel="0" collapsed="false">
      <c r="A72" s="27" t="s">
        <v>456</v>
      </c>
      <c r="B72" s="20" t="s">
        <v>158</v>
      </c>
      <c r="C72" s="20" t="s">
        <v>277</v>
      </c>
      <c r="D72" s="52" t="n">
        <f aca="false">COUNTIFS(Simulation!$N$3:$N$290,"F",Simulation!$F$3:$F$290,$C72,Simulation!$E$3:$E$290,"11/02/2026")</f>
        <v>1</v>
      </c>
      <c r="E72" s="53" t="n">
        <f aca="false">IF($D72=0,"",AVERAGEIFS(Simulation!$U$3:$U$290,Simulation!$N$3:$N$290,"F",Simulation!$F$3:$F$290,$C72,Simulation!$E$3:$E$290,"11/02/2026"))</f>
        <v>84.956466307253</v>
      </c>
      <c r="F72" s="53" t="n">
        <f aca="false">IF($D72=0,"",AVERAGEIFS(Simulation!$Z$3:$Z$290,Simulation!$N$3:$N$290,"F",Simulation!$F$3:$F$290,$C72,Simulation!$E$3:$E$290,"11/02/2026"))</f>
        <v>70.0744505098106</v>
      </c>
      <c r="G72" s="53" t="n">
        <f aca="false">IF($D72=0,"",AVERAGEIFS(Simulation!$AE$3:$AE$290,Simulation!$N$3:$N$290,"F",Simulation!$F$3:$F$290,$C72,Simulation!$E$3:$E$290,"11/02/2026"))</f>
        <v>17.5902873439049</v>
      </c>
      <c r="H72" s="54" t="n">
        <f aca="false">IF($D72=0,"",AVERAGEIFS(Simulation!$AJ$3:$AJ$290,Simulation!$N$3:$N$290,"F",Simulation!$F$3:$F$290,$C72,Simulation!$E$3:$E$290,"11/02/2026"))</f>
        <v>0.443888311799676</v>
      </c>
      <c r="I72" s="55" t="n">
        <f aca="false">IF($D72=0,"",AVERAGEIFS(Simulation!$AO$3:$AO$290,Simulation!$N$3:$N$290,"F",Simulation!$F$3:$F$290,$C72,Simulation!$E$3:$E$290,"11/02/2026"))</f>
        <v>4.22353364365504</v>
      </c>
      <c r="J72" s="52" t="n">
        <f aca="false">IF($D72=0,"",AVERAGEIFS(Simulation!$AT$3:$AT$290,Simulation!$N$3:$N$290,"F",Simulation!$F$3:$F$290,$C72,Simulation!$E$3:$E$290,"11/02/2026"))</f>
        <v>292.734642128546</v>
      </c>
      <c r="K72" s="55" t="n">
        <f aca="false">IF($D72=0,"",AVERAGEIFS(Simulation!$AY$3:$AY$290,Simulation!$N$3:$N$290,"F",Simulation!$F$3:$F$290,$C72,Simulation!$E$3:$E$290,"11/02/2026"))</f>
        <v>2.50919964731149</v>
      </c>
      <c r="L72" s="54" t="n">
        <f aca="false">IF($D72=0,"",AVERAGEIFS(Simulation!$BD$3:$BD$290,Simulation!$N$3:$N$290,"F",Simulation!$F$3:$F$290,$C72,Simulation!$E$3:$E$290,"11/02/2026"))</f>
        <v>1.21281350652791</v>
      </c>
      <c r="M72" s="54" t="n">
        <f aca="false">IF($D72=0,"",AVERAGEIFS(Simulation!$BI$3:$BI$290,Simulation!$N$3:$N$290,"F",Simulation!$F$3:$F$290,$C72,Simulation!$E$3:$E$290,"11/02/2026"))</f>
        <v>0.439348984177315</v>
      </c>
      <c r="N72" s="54" t="n">
        <f aca="false">IF($D72=0,"",AVERAGEIFS(Simulation!$BN$3:$BN$290,Simulation!$N$3:$N$290,"F",Simulation!$F$3:$F$290,$C72,Simulation!$E$3:$E$290,"11/02/2026"))</f>
        <v>0.303897758299891</v>
      </c>
      <c r="O72" s="53" t="n">
        <f aca="false">IF($D72=0,"",AVERAGEIFS(Simulation!$BS$3:$BS$290,Simulation!$N$3:$N$290,"F",Simulation!$F$3:$F$290,$C72,Simulation!$E$3:$E$290,"11/02/2026"))</f>
        <v>15.3873096662795</v>
      </c>
      <c r="P72" s="55" t="n">
        <f aca="false">IF($D72=0,"",AVERAGEIFS(Simulation!$BX$3:$BX$290,Simulation!$N$3:$N$290,"F",Simulation!$F$3:$F$290,$C72,Simulation!$E$3:$E$290,"11/02/2026"))</f>
        <v>10.3328663245116</v>
      </c>
      <c r="Q72" s="53" t="n">
        <f aca="false">IF($D72=0,"",AVERAGEIFS(Simulation!$CL$3:$CL$290,Simulation!$N$3:$N$290,"F",Simulation!$F$3:$F$290,$C72,Simulation!$E$3:$E$290,"11/02/2026"))</f>
        <v>22.5389662383272</v>
      </c>
      <c r="R72" s="53" t="n">
        <f aca="false">IF($D72=0,"",AVERAGEIFS(Simulation!$CO$3:$CO$290,Simulation!$N$3:$N$290,"F",Simulation!$F$3:$F$290,$C72,Simulation!$E$3:$E$290,"11/02/2026"))</f>
        <v>-0.0867480473870437</v>
      </c>
      <c r="S72" s="55" t="n">
        <f aca="false">IF($D72=0,"",AVERAGEIFS(Simulation!$CK$3:$CK$290,Simulation!$N$3:$N$290,"F",Simulation!$F$3:$F$290,$C72,Simulation!$E$3:$E$290,"11/02/2026"))</f>
        <v>0.230073161629123</v>
      </c>
    </row>
    <row r="73" customFormat="false" ht="15" hidden="false" customHeight="false" outlineLevel="0" collapsed="false">
      <c r="A73" s="27" t="s">
        <v>456</v>
      </c>
      <c r="B73" s="20" t="s">
        <v>158</v>
      </c>
      <c r="C73" s="20" t="s">
        <v>279</v>
      </c>
      <c r="D73" s="52" t="n">
        <f aca="false">COUNTIFS(Simulation!$N$3:$N$290,"F",Simulation!$F$3:$F$290,$C73,Simulation!$E$3:$E$290,"11/02/2026")</f>
        <v>1</v>
      </c>
      <c r="E73" s="53" t="n">
        <f aca="false">IF($D73=0,"",AVERAGEIFS(Simulation!$U$3:$U$290,Simulation!$N$3:$N$290,"F",Simulation!$F$3:$F$290,$C73,Simulation!$E$3:$E$290,"11/02/2026"))</f>
        <v>84.5474841252874</v>
      </c>
      <c r="F73" s="53" t="n">
        <f aca="false">IF($D73=0,"",AVERAGEIFS(Simulation!$Z$3:$Z$290,Simulation!$N$3:$N$290,"F",Simulation!$F$3:$F$290,$C73,Simulation!$E$3:$E$290,"11/02/2026"))</f>
        <v>68.9389151315969</v>
      </c>
      <c r="G73" s="53" t="n">
        <f aca="false">IF($D73=0,"",AVERAGEIFS(Simulation!$AE$3:$AE$290,Simulation!$N$3:$N$290,"F",Simulation!$F$3:$F$290,$C73,Simulation!$E$3:$E$290,"11/02/2026"))</f>
        <v>15.6173933905303</v>
      </c>
      <c r="H73" s="54" t="n">
        <f aca="false">IF($D73=0,"",AVERAGEIFS(Simulation!$AJ$3:$AJ$290,Simulation!$N$3:$N$290,"F",Simulation!$F$3:$F$290,$C73,Simulation!$E$3:$E$290,"11/02/2026"))</f>
        <v>0.41312717503011</v>
      </c>
      <c r="I73" s="55" t="n">
        <f aca="false">IF($D73=0,"",AVERAGEIFS(Simulation!$AO$3:$AO$290,Simulation!$N$3:$N$290,"F",Simulation!$F$3:$F$290,$C73,Simulation!$E$3:$E$290,"11/02/2026"))</f>
        <v>3.97961563718977</v>
      </c>
      <c r="J73" s="52" t="n">
        <f aca="false">IF($D73=0,"",AVERAGEIFS(Simulation!$AT$3:$AT$290,Simulation!$N$3:$N$290,"F",Simulation!$F$3:$F$290,$C73,Simulation!$E$3:$E$290,"11/02/2026"))</f>
        <v>303.73140586416</v>
      </c>
      <c r="K73" s="55" t="n">
        <f aca="false">IF($D73=0,"",AVERAGEIFS(Simulation!$AY$3:$AY$290,Simulation!$N$3:$N$290,"F",Simulation!$F$3:$F$290,$C73,Simulation!$E$3:$E$290,"11/02/2026"))</f>
        <v>2.44663721491933</v>
      </c>
      <c r="L73" s="54" t="n">
        <f aca="false">IF($D73=0,"",AVERAGEIFS(Simulation!$BD$3:$BD$290,Simulation!$N$3:$N$290,"F",Simulation!$F$3:$F$290,$C73,Simulation!$E$3:$E$290,"11/02/2026"))</f>
        <v>1.15824517482185</v>
      </c>
      <c r="M73" s="54" t="n">
        <f aca="false">IF($D73=0,"",AVERAGEIFS(Simulation!$BI$3:$BI$290,Simulation!$N$3:$N$290,"F",Simulation!$F$3:$F$290,$C73,Simulation!$E$3:$E$290,"11/02/2026"))</f>
        <v>0.423595197806986</v>
      </c>
      <c r="N73" s="54" t="n">
        <f aca="false">IF($D73=0,"",AVERAGEIFS(Simulation!$BN$3:$BN$290,Simulation!$N$3:$N$290,"F",Simulation!$F$3:$F$290,$C73,Simulation!$E$3:$E$290,"11/02/2026"))</f>
        <v>0.301854504761915</v>
      </c>
      <c r="O73" s="53" t="n">
        <f aca="false">IF($D73=0,"",AVERAGEIFS(Simulation!$BS$3:$BS$290,Simulation!$N$3:$N$290,"F",Simulation!$F$3:$F$290,$C73,Simulation!$E$3:$E$290,"11/02/2026"))</f>
        <v>15.9601746252005</v>
      </c>
      <c r="P73" s="55" t="n">
        <f aca="false">IF($D73=0,"",AVERAGEIFS(Simulation!$BX$3:$BX$290,Simulation!$N$3:$N$290,"F",Simulation!$F$3:$F$290,$C73,Simulation!$E$3:$E$290,"11/02/2026"))</f>
        <v>10.2335697316319</v>
      </c>
      <c r="Q73" s="53" t="n">
        <f aca="false">IF($D73=0,"",AVERAGEIFS(Simulation!$CL$3:$CL$290,Simulation!$N$3:$N$290,"F",Simulation!$F$3:$F$290,$C73,Simulation!$E$3:$E$290,"11/02/2026"))</f>
        <v>22.7749845871196</v>
      </c>
      <c r="R73" s="53" t="n">
        <f aca="false">IF($D73=0,"",AVERAGEIFS(Simulation!$CO$3:$CO$290,Simulation!$N$3:$N$290,"F",Simulation!$F$3:$F$290,$C73,Simulation!$E$3:$E$290,"11/02/2026"))</f>
        <v>0.14927030140532</v>
      </c>
      <c r="S73" s="55" t="n">
        <f aca="false">IF($D73=0,"",AVERAGEIFS(Simulation!$CK$3:$CK$290,Simulation!$N$3:$N$290,"F",Simulation!$F$3:$F$290,$C73,Simulation!$E$3:$E$290,"11/02/2026"))</f>
        <v>0.27453806599224</v>
      </c>
    </row>
    <row r="74" customFormat="false" ht="15" hidden="false" customHeight="false" outlineLevel="0" collapsed="false">
      <c r="A74" s="27" t="s">
        <v>456</v>
      </c>
      <c r="B74" s="20" t="s">
        <v>158</v>
      </c>
      <c r="C74" s="20" t="s">
        <v>281</v>
      </c>
      <c r="D74" s="52" t="n">
        <f aca="false">COUNTIFS(Simulation!$N$3:$N$290,"F",Simulation!$F$3:$F$290,$C74,Simulation!$E$3:$E$290,"11/02/2026")</f>
        <v>1</v>
      </c>
      <c r="E74" s="53" t="n">
        <f aca="false">IF($D74=0,"",AVERAGEIFS(Simulation!$U$3:$U$290,Simulation!$N$3:$N$290,"F",Simulation!$F$3:$F$290,$C74,Simulation!$E$3:$E$290,"11/02/2026"))</f>
        <v>83.2034938232772</v>
      </c>
      <c r="F74" s="53" t="n">
        <f aca="false">IF($D74=0,"",AVERAGEIFS(Simulation!$Z$3:$Z$290,Simulation!$N$3:$N$290,"F",Simulation!$F$3:$F$290,$C74,Simulation!$E$3:$E$290,"11/02/2026"))</f>
        <v>65.0161010683199</v>
      </c>
      <c r="G74" s="53" t="n">
        <f aca="false">IF($D74=0,"",AVERAGEIFS(Simulation!$AE$3:$AE$290,Simulation!$N$3:$N$290,"F",Simulation!$F$3:$F$290,$C74,Simulation!$E$3:$E$290,"11/02/2026"))</f>
        <v>12.7634933456528</v>
      </c>
      <c r="H74" s="54" t="n">
        <f aca="false">IF($D74=0,"",AVERAGEIFS(Simulation!$AJ$3:$AJ$290,Simulation!$N$3:$N$290,"F",Simulation!$F$3:$F$290,$C74,Simulation!$E$3:$E$290,"11/02/2026"))</f>
        <v>0.363862408640865</v>
      </c>
      <c r="I74" s="55" t="n">
        <f aca="false">IF($D74=0,"",AVERAGEIFS(Simulation!$AO$3:$AO$290,Simulation!$N$3:$N$290,"F",Simulation!$F$3:$F$290,$C74,Simulation!$E$3:$E$290,"11/02/2026"))</f>
        <v>3.59096088151711</v>
      </c>
      <c r="J74" s="52" t="n">
        <f aca="false">IF($D74=0,"",AVERAGEIFS(Simulation!$AT$3:$AT$290,Simulation!$N$3:$N$290,"F",Simulation!$F$3:$F$290,$C74,Simulation!$E$3:$E$290,"11/02/2026"))</f>
        <v>320.106145692338</v>
      </c>
      <c r="K74" s="55" t="n">
        <f aca="false">IF($D74=0,"",AVERAGEIFS(Simulation!$AY$3:$AY$290,Simulation!$N$3:$N$290,"F",Simulation!$F$3:$F$290,$C74,Simulation!$E$3:$E$290,"11/02/2026"))</f>
        <v>2.34270239077723</v>
      </c>
      <c r="L74" s="54" t="n">
        <f aca="false">IF($D74=0,"",AVERAGEIFS(Simulation!$BD$3:$BD$290,Simulation!$N$3:$N$290,"F",Simulation!$F$3:$F$290,$C74,Simulation!$E$3:$E$290,"11/02/2026"))</f>
        <v>1.07212036836121</v>
      </c>
      <c r="M74" s="54" t="n">
        <f aca="false">IF($D74=0,"",AVERAGEIFS(Simulation!$BI$3:$BI$290,Simulation!$N$3:$N$290,"F",Simulation!$F$3:$F$290,$C74,Simulation!$E$3:$E$290,"11/02/2026"))</f>
        <v>0.398365096231281</v>
      </c>
      <c r="N74" s="54" t="n">
        <f aca="false">IF($D74=0,"",AVERAGEIFS(Simulation!$BN$3:$BN$290,Simulation!$N$3:$N$290,"F",Simulation!$F$3:$F$290,$C74,Simulation!$E$3:$E$290,"11/02/2026"))</f>
        <v>0.287096777173604</v>
      </c>
      <c r="O74" s="53" t="n">
        <f aca="false">IF($D74=0,"",AVERAGEIFS(Simulation!$BS$3:$BS$290,Simulation!$N$3:$N$290,"F",Simulation!$F$3:$F$290,$C74,Simulation!$E$3:$E$290,"11/02/2026"))</f>
        <v>16.877632864317</v>
      </c>
      <c r="P74" s="55" t="n">
        <f aca="false">IF($D74=0,"",AVERAGEIFS(Simulation!$BX$3:$BX$290,Simulation!$N$3:$N$290,"F",Simulation!$F$3:$F$290,$C74,Simulation!$E$3:$E$290,"11/02/2026"))</f>
        <v>10.0745436368517</v>
      </c>
      <c r="Q74" s="53" t="n">
        <f aca="false">IF($D74=0,"",AVERAGEIFS(Simulation!$CL$3:$CL$290,Simulation!$N$3:$N$290,"F",Simulation!$F$3:$F$290,$C74,Simulation!$E$3:$E$290,"11/02/2026"))</f>
        <v>23.1510521641446</v>
      </c>
      <c r="R74" s="53" t="n">
        <f aca="false">IF($D74=0,"",AVERAGEIFS(Simulation!$CO$3:$CO$290,Simulation!$N$3:$N$290,"F",Simulation!$F$3:$F$290,$C74,Simulation!$E$3:$E$290,"11/02/2026"))</f>
        <v>0.525337878430324</v>
      </c>
      <c r="S74" s="55" t="n">
        <f aca="false">IF($D74=0,"",AVERAGEIFS(Simulation!$CK$3:$CK$290,Simulation!$N$3:$N$290,"F",Simulation!$F$3:$F$290,$C74,Simulation!$E$3:$E$290,"11/02/2026"))</f>
        <v>0.345387679727979</v>
      </c>
    </row>
    <row r="75" customFormat="false" ht="15" hidden="false" customHeight="false" outlineLevel="0" collapsed="false">
      <c r="A75" s="27" t="s">
        <v>456</v>
      </c>
      <c r="B75" s="20" t="s">
        <v>158</v>
      </c>
      <c r="C75" s="20" t="s">
        <v>283</v>
      </c>
      <c r="D75" s="52" t="n">
        <f aca="false">COUNTIFS(Simulation!$N$3:$N$290,"F",Simulation!$F$3:$F$290,$C75,Simulation!$E$3:$E$290,"11/02/2026")</f>
        <v>1</v>
      </c>
      <c r="E75" s="53" t="n">
        <f aca="false">IF($D75=0,"",AVERAGEIFS(Simulation!$U$3:$U$290,Simulation!$N$3:$N$290,"F",Simulation!$F$3:$F$290,$C75,Simulation!$E$3:$E$290,"11/02/2026"))</f>
        <v>78.263017995629</v>
      </c>
      <c r="F75" s="53" t="n">
        <f aca="false">IF($D75=0,"",AVERAGEIFS(Simulation!$Z$3:$Z$290,Simulation!$N$3:$N$290,"F",Simulation!$F$3:$F$290,$C75,Simulation!$E$3:$E$290,"11/02/2026"))</f>
        <v>52.9096642382725</v>
      </c>
      <c r="G75" s="53" t="n">
        <f aca="false">IF($D75=0,"",AVERAGEIFS(Simulation!$AE$3:$AE$290,Simulation!$N$3:$N$290,"F",Simulation!$F$3:$F$290,$C75,Simulation!$E$3:$E$290,"11/02/2026"))</f>
        <v>9.74172880435832</v>
      </c>
      <c r="H75" s="54" t="n">
        <f aca="false">IF($D75=0,"",AVERAGEIFS(Simulation!$AJ$3:$AJ$290,Simulation!$N$3:$N$290,"F",Simulation!$F$3:$F$290,$C75,Simulation!$E$3:$E$290,"11/02/2026"))</f>
        <v>0.300329095018212</v>
      </c>
      <c r="I75" s="55" t="n">
        <f aca="false">IF($D75=0,"",AVERAGEIFS(Simulation!$AO$3:$AO$290,Simulation!$N$3:$N$290,"F",Simulation!$F$3:$F$290,$C75,Simulation!$E$3:$E$290,"11/02/2026"))</f>
        <v>3.10576592108217</v>
      </c>
      <c r="J75" s="52" t="n">
        <f aca="false">IF($D75=0,"",AVERAGEIFS(Simulation!$AT$3:$AT$290,Simulation!$N$3:$N$290,"F",Simulation!$F$3:$F$290,$C75,Simulation!$E$3:$E$290,"11/02/2026"))</f>
        <v>338.440106932469</v>
      </c>
      <c r="K75" s="55" t="n">
        <f aca="false">IF($D75=0,"",AVERAGEIFS(Simulation!$AY$3:$AY$290,Simulation!$N$3:$N$290,"F",Simulation!$F$3:$F$290,$C75,Simulation!$E$3:$E$290,"11/02/2026"))</f>
        <v>2.19871821089295</v>
      </c>
      <c r="L75" s="54" t="n">
        <f aca="false">IF($D75=0,"",AVERAGEIFS(Simulation!$BD$3:$BD$290,Simulation!$N$3:$N$290,"F",Simulation!$F$3:$F$290,$C75,Simulation!$E$3:$E$290,"11/02/2026"))</f>
        <v>0.964167965112786</v>
      </c>
      <c r="M75" s="54" t="n">
        <f aca="false">IF($D75=0,"",AVERAGEIFS(Simulation!$BI$3:$BI$290,Simulation!$N$3:$N$290,"F",Simulation!$F$3:$F$290,$C75,Simulation!$E$3:$E$290,"11/02/2026"))</f>
        <v>0.365827603949768</v>
      </c>
      <c r="N75" s="54" t="n">
        <f aca="false">IF($D75=0,"",AVERAGEIFS(Simulation!$BN$3:$BN$290,Simulation!$N$3:$N$290,"F",Simulation!$F$3:$F$290,$C75,Simulation!$E$3:$E$290,"11/02/2026"))</f>
        <v>0.262655314878616</v>
      </c>
      <c r="O75" s="53" t="n">
        <f aca="false">IF($D75=0,"",AVERAGEIFS(Simulation!$BS$3:$BS$290,Simulation!$N$3:$N$290,"F",Simulation!$F$3:$F$290,$C75,Simulation!$E$3:$E$290,"11/02/2026"))</f>
        <v>18.0608144018266</v>
      </c>
      <c r="P75" s="55" t="n">
        <f aca="false">IF($D75=0,"",AVERAGEIFS(Simulation!$BX$3:$BX$290,Simulation!$N$3:$N$290,"F",Simulation!$F$3:$F$290,$C75,Simulation!$E$3:$E$290,"11/02/2026"))</f>
        <v>9.86945883701672</v>
      </c>
      <c r="Q75" s="53" t="n">
        <f aca="false">IF($D75=0,"",AVERAGEIFS(Simulation!$CL$3:$CL$290,Simulation!$N$3:$N$290,"F",Simulation!$F$3:$F$290,$C75,Simulation!$E$3:$E$290,"11/02/2026"))</f>
        <v>23.6205333437579</v>
      </c>
      <c r="R75" s="53" t="n">
        <f aca="false">IF($D75=0,"",AVERAGEIFS(Simulation!$CO$3:$CO$290,Simulation!$N$3:$N$290,"F",Simulation!$F$3:$F$290,$C75,Simulation!$E$3:$E$290,"11/02/2026"))</f>
        <v>0.994819058043596</v>
      </c>
      <c r="S75" s="55" t="n">
        <f aca="false">IF($D75=0,"",AVERAGEIFS(Simulation!$CK$3:$CK$290,Simulation!$N$3:$N$290,"F",Simulation!$F$3:$F$290,$C75,Simulation!$E$3:$E$290,"11/02/2026"))</f>
        <v>0.433836039182237</v>
      </c>
    </row>
    <row r="76" customFormat="false" ht="15" hidden="false" customHeight="false" outlineLevel="0" collapsed="false">
      <c r="A76" s="27" t="s">
        <v>456</v>
      </c>
      <c r="B76" s="20" t="s">
        <v>158</v>
      </c>
      <c r="C76" s="20" t="s">
        <v>285</v>
      </c>
      <c r="D76" s="52" t="n">
        <f aca="false">COUNTIFS(Simulation!$N$3:$N$290,"F",Simulation!$F$3:$F$290,$C76,Simulation!$E$3:$E$290,"11/02/2026")</f>
        <v>1</v>
      </c>
      <c r="E76" s="53" t="n">
        <f aca="false">IF($D76=0,"",AVERAGEIFS(Simulation!$U$3:$U$290,Simulation!$N$3:$N$290,"F",Simulation!$F$3:$F$290,$C76,Simulation!$E$3:$E$290,"11/02/2026"))</f>
        <v>73.3902094121614</v>
      </c>
      <c r="F76" s="53" t="n">
        <f aca="false">IF($D76=0,"",AVERAGEIFS(Simulation!$Z$3:$Z$290,Simulation!$N$3:$N$290,"F",Simulation!$F$3:$F$290,$C76,Simulation!$E$3:$E$290,"11/02/2026"))</f>
        <v>46.4960740446472</v>
      </c>
      <c r="G76" s="53" t="n">
        <f aca="false">IF($D76=0,"",AVERAGEIFS(Simulation!$AE$3:$AE$290,Simulation!$N$3:$N$290,"F",Simulation!$F$3:$F$290,$C76,Simulation!$E$3:$E$290,"11/02/2026"))</f>
        <v>8.25286386702633</v>
      </c>
      <c r="H76" s="54" t="n">
        <f aca="false">IF($D76=0,"",AVERAGEIFS(Simulation!$AJ$3:$AJ$290,Simulation!$N$3:$N$290,"F",Simulation!$F$3:$F$290,$C76,Simulation!$E$3:$E$290,"11/02/2026"))</f>
        <v>0.257427744791225</v>
      </c>
      <c r="I76" s="55" t="n">
        <f aca="false">IF($D76=0,"",AVERAGEIFS(Simulation!$AO$3:$AO$290,Simulation!$N$3:$N$290,"F",Simulation!$F$3:$F$290,$C76,Simulation!$E$3:$E$290,"11/02/2026"))</f>
        <v>2.82621701840651</v>
      </c>
      <c r="J76" s="52" t="n">
        <f aca="false">IF($D76=0,"",AVERAGEIFS(Simulation!$AT$3:$AT$290,Simulation!$N$3:$N$290,"F",Simulation!$F$3:$F$290,$C76,Simulation!$E$3:$E$290,"11/02/2026"))</f>
        <v>348.31968725014</v>
      </c>
      <c r="K76" s="55" t="n">
        <f aca="false">IF($D76=0,"",AVERAGEIFS(Simulation!$AY$3:$AY$290,Simulation!$N$3:$N$290,"F",Simulation!$F$3:$F$290,$C76,Simulation!$E$3:$E$290,"11/02/2026"))</f>
        <v>2.08977510478204</v>
      </c>
      <c r="L76" s="54" t="n">
        <f aca="false">IF($D76=0,"",AVERAGEIFS(Simulation!$BD$3:$BD$290,Simulation!$N$3:$N$290,"F",Simulation!$F$3:$F$290,$C76,Simulation!$E$3:$E$290,"11/02/2026"))</f>
        <v>0.894502898705674</v>
      </c>
      <c r="M76" s="54" t="n">
        <f aca="false">IF($D76=0,"",AVERAGEIFS(Simulation!$BI$3:$BI$290,Simulation!$N$3:$N$290,"F",Simulation!$F$3:$F$290,$C76,Simulation!$E$3:$E$290,"11/02/2026"))</f>
        <v>0.343856416358831</v>
      </c>
      <c r="N76" s="54" t="n">
        <f aca="false">IF($D76=0,"",AVERAGEIFS(Simulation!$BN$3:$BN$290,Simulation!$N$3:$N$290,"F",Simulation!$F$3:$F$290,$C76,Simulation!$E$3:$E$290,"11/02/2026"))</f>
        <v>0.248934904510441</v>
      </c>
      <c r="O76" s="53" t="n">
        <f aca="false">IF($D76=0,"",AVERAGEIFS(Simulation!$BS$3:$BS$290,Simulation!$N$3:$N$290,"F",Simulation!$F$3:$F$290,$C76,Simulation!$E$3:$E$290,"11/02/2026"))</f>
        <v>18.8597666778607</v>
      </c>
      <c r="P76" s="55" t="n">
        <f aca="false">IF($D76=0,"",AVERAGEIFS(Simulation!$BX$3:$BX$290,Simulation!$N$3:$N$290,"F",Simulation!$F$3:$F$290,$C76,Simulation!$E$3:$E$290,"11/02/2026"))</f>
        <v>9.73097377583748</v>
      </c>
      <c r="Q76" s="53" t="n">
        <f aca="false">IF($D76=0,"",AVERAGEIFS(Simulation!$CL$3:$CL$290,Simulation!$N$3:$N$290,"F",Simulation!$F$3:$F$290,$C76,Simulation!$E$3:$E$290,"11/02/2026"))</f>
        <v>23.8910286276951</v>
      </c>
      <c r="R76" s="53" t="n">
        <f aca="false">IF($D76=0,"",AVERAGEIFS(Simulation!$CO$3:$CO$290,Simulation!$N$3:$N$290,"F",Simulation!$F$3:$F$290,$C76,Simulation!$E$3:$E$290,"11/02/2026"))</f>
        <v>1.26531434198084</v>
      </c>
      <c r="S76" s="55" t="n">
        <f aca="false">IF($D76=0,"",AVERAGEIFS(Simulation!$CK$3:$CK$290,Simulation!$N$3:$N$290,"F",Simulation!$F$3:$F$290,$C76,Simulation!$E$3:$E$290,"11/02/2026"))</f>
        <v>0.484796258980762</v>
      </c>
    </row>
    <row r="77" customFormat="false" ht="15" hidden="false" customHeight="false" outlineLevel="0" collapsed="false">
      <c r="A77" s="47" t="s">
        <v>456</v>
      </c>
      <c r="B77" s="17" t="s">
        <v>160</v>
      </c>
      <c r="C77" s="17" t="s">
        <v>275</v>
      </c>
      <c r="D77" s="48" t="n">
        <f aca="false">COUNTIFS(Simulation!$N$3:$N$290,"F",Simulation!$F$3:$F$290,$C77,Simulation!$E$3:$E$290,"24/02/2026")</f>
        <v>7</v>
      </c>
      <c r="E77" s="49" t="n">
        <f aca="false">IF($D77=0,"",AVERAGEIFS(Simulation!$U$3:$U$290,Simulation!$N$3:$N$290,"F",Simulation!$F$3:$F$290,$C77,Simulation!$E$3:$E$290,"24/02/2026"))</f>
        <v>85.0411767857143</v>
      </c>
      <c r="F77" s="49" t="n">
        <f aca="false">IF($D77=0,"",AVERAGEIFS(Simulation!$Z$3:$Z$290,Simulation!$N$3:$N$290,"F",Simulation!$F$3:$F$290,$C77,Simulation!$E$3:$E$290,"24/02/2026"))</f>
        <v>70.36344</v>
      </c>
      <c r="G77" s="49" t="n">
        <f aca="false">IF($D77=0,"",AVERAGEIFS(Simulation!$AE$3:$AE$290,Simulation!$N$3:$N$290,"F",Simulation!$F$3:$F$290,$C77,Simulation!$E$3:$E$290,"24/02/2026"))</f>
        <v>19.1094748979592</v>
      </c>
      <c r="H77" s="50" t="n">
        <f aca="false">IF($D77=0,"",AVERAGEIFS(Simulation!$AJ$3:$AJ$290,Simulation!$N$3:$N$290,"F",Simulation!$F$3:$F$290,$C77,Simulation!$E$3:$E$290,"24/02/2026"))</f>
        <v>0.411663164578586</v>
      </c>
      <c r="I77" s="51" t="n">
        <f aca="false">IF($D77=0,"",AVERAGEIFS(Simulation!$AO$3:$AO$290,Simulation!$N$3:$N$290,"F",Simulation!$F$3:$F$290,$C77,Simulation!$E$3:$E$290,"24/02/2026"))</f>
        <v>4.95374641196978</v>
      </c>
      <c r="J77" s="48" t="n">
        <f aca="false">IF($D77=0,"",AVERAGEIFS(Simulation!$AT$3:$AT$290,Simulation!$N$3:$N$290,"F",Simulation!$F$3:$F$290,$C77,Simulation!$E$3:$E$290,"24/02/2026"))</f>
        <v>285</v>
      </c>
      <c r="K77" s="51" t="n">
        <f aca="false">IF($D77=0,"",AVERAGEIFS(Simulation!$AY$3:$AY$290,Simulation!$N$3:$N$290,"F",Simulation!$F$3:$F$290,$C77,Simulation!$E$3:$E$290,"24/02/2026"))</f>
        <v>2.8773981093281</v>
      </c>
      <c r="L77" s="50" t="n">
        <f aca="false">IF($D77=0,"",AVERAGEIFS(Simulation!$BD$3:$BD$290,Simulation!$N$3:$N$290,"F",Simulation!$F$3:$F$290,$C77,Simulation!$E$3:$E$290,"24/02/2026"))</f>
        <v>1.25895829081633</v>
      </c>
      <c r="M77" s="50" t="n">
        <f aca="false">IF($D77=0,"",AVERAGEIFS(Simulation!$BI$3:$BI$290,Simulation!$N$3:$N$290,"F",Simulation!$F$3:$F$290,$C77,Simulation!$E$3:$E$290,"24/02/2026"))</f>
        <v>0.453224984693878</v>
      </c>
      <c r="N77" s="50" t="n">
        <f aca="false">IF($D77=0,"",AVERAGEIFS(Simulation!$BN$3:$BN$290,Simulation!$N$3:$N$290,"F",Simulation!$F$3:$F$290,$C77,Simulation!$E$3:$E$290,"24/02/2026"))</f>
        <v>0.302360709183673</v>
      </c>
      <c r="O77" s="49" t="n">
        <f aca="false">IF($D77=0,"",AVERAGEIFS(Simulation!$BS$3:$BS$290,Simulation!$N$3:$N$290,"F",Simulation!$F$3:$F$290,$C77,Simulation!$E$3:$E$290,"24/02/2026"))</f>
        <v>15.1071428571429</v>
      </c>
      <c r="P77" s="51" t="n">
        <f aca="false">IF($D77=0,"",AVERAGEIFS(Simulation!$BX$3:$BX$290,Simulation!$N$3:$N$290,"F",Simulation!$F$3:$F$290,$C77,Simulation!$E$3:$E$290,"24/02/2026"))</f>
        <v>10.3855142857143</v>
      </c>
      <c r="Q77" s="49" t="n">
        <f aca="false">IF($D77=0,"",AVERAGEIFS(Simulation!$CL$3:$CL$290,Simulation!$N$3:$N$290,"F",Simulation!$F$3:$F$290,$C77,Simulation!$E$3:$E$290,"24/02/2026"))</f>
        <v>24.8190479739168</v>
      </c>
      <c r="R77" s="49" t="n">
        <f aca="false">IF($D77=0,"",AVERAGEIFS(Simulation!$CO$3:$CO$290,Simulation!$N$3:$N$290,"F",Simulation!$F$3:$F$290,$C77,Simulation!$E$3:$E$290,"24/02/2026"))</f>
        <v>-0.759523454654609</v>
      </c>
      <c r="S77" s="51" t="n">
        <f aca="false">IF($D77=0,"",AVERAGEIFS(Simulation!$CK$3:$CK$290,Simulation!$N$3:$N$290,"F",Simulation!$F$3:$F$290,$C77,Simulation!$E$3:$E$290,"24/02/2026"))</f>
        <v>0.201160714285714</v>
      </c>
    </row>
    <row r="78" customFormat="false" ht="15" hidden="false" customHeight="false" outlineLevel="0" collapsed="false">
      <c r="A78" s="27" t="s">
        <v>456</v>
      </c>
      <c r="B78" s="20" t="s">
        <v>160</v>
      </c>
      <c r="C78" s="20" t="s">
        <v>277</v>
      </c>
      <c r="D78" s="52" t="n">
        <f aca="false">COUNTIFS(Simulation!$N$3:$N$290,"F",Simulation!$F$3:$F$290,$C78,Simulation!$E$3:$E$290,"24/02/2026")</f>
        <v>7</v>
      </c>
      <c r="E78" s="53" t="n">
        <f aca="false">IF($D78=0,"",AVERAGEIFS(Simulation!$U$3:$U$290,Simulation!$N$3:$N$290,"F",Simulation!$F$3:$F$290,$C78,Simulation!$E$3:$E$290,"24/02/2026"))</f>
        <v>84.6797731937947</v>
      </c>
      <c r="F78" s="53" t="n">
        <f aca="false">IF($D78=0,"",AVERAGEIFS(Simulation!$Z$3:$Z$290,Simulation!$N$3:$N$290,"F",Simulation!$F$3:$F$290,$C78,Simulation!$E$3:$E$290,"24/02/2026"))</f>
        <v>69.4088804207248</v>
      </c>
      <c r="G78" s="53" t="n">
        <f aca="false">IF($D78=0,"",AVERAGEIFS(Simulation!$AE$3:$AE$290,Simulation!$N$3:$N$290,"F",Simulation!$F$3:$F$290,$C78,Simulation!$E$3:$E$290,"24/02/2026"))</f>
        <v>17.3645435226911</v>
      </c>
      <c r="H78" s="54" t="n">
        <f aca="false">IF($D78=0,"",AVERAGEIFS(Simulation!$AJ$3:$AJ$290,Simulation!$N$3:$N$290,"F",Simulation!$F$3:$F$290,$C78,Simulation!$E$3:$E$290,"24/02/2026"))</f>
        <v>0.388961785652466</v>
      </c>
      <c r="I78" s="55" t="n">
        <f aca="false">IF($D78=0,"",AVERAGEIFS(Simulation!$AO$3:$AO$290,Simulation!$N$3:$N$290,"F",Simulation!$F$3:$F$290,$C78,Simulation!$E$3:$E$290,"24/02/2026"))</f>
        <v>4.71567376554576</v>
      </c>
      <c r="J78" s="52" t="n">
        <f aca="false">IF($D78=0,"",AVERAGEIFS(Simulation!$AT$3:$AT$290,Simulation!$N$3:$N$290,"F",Simulation!$F$3:$F$290,$C78,Simulation!$E$3:$E$290,"24/02/2026"))</f>
        <v>294.530184051245</v>
      </c>
      <c r="K78" s="55" t="n">
        <f aca="false">IF($D78=0,"",AVERAGEIFS(Simulation!$AY$3:$AY$290,Simulation!$N$3:$N$290,"F",Simulation!$F$3:$F$290,$C78,Simulation!$E$3:$E$290,"24/02/2026"))</f>
        <v>2.78525552621179</v>
      </c>
      <c r="L78" s="54" t="n">
        <f aca="false">IF($D78=0,"",AVERAGEIFS(Simulation!$BD$3:$BD$290,Simulation!$N$3:$N$290,"F",Simulation!$F$3:$F$290,$C78,Simulation!$E$3:$E$290,"24/02/2026"))</f>
        <v>1.18520878059024</v>
      </c>
      <c r="M78" s="54" t="n">
        <f aca="false">IF($D78=0,"",AVERAGEIFS(Simulation!$BI$3:$BI$290,Simulation!$N$3:$N$290,"F",Simulation!$F$3:$F$290,$C78,Simulation!$E$3:$E$290,"24/02/2026"))</f>
        <v>0.43210153026215</v>
      </c>
      <c r="N78" s="54" t="n">
        <f aca="false">IF($D78=0,"",AVERAGEIFS(Simulation!$BN$3:$BN$290,Simulation!$N$3:$N$290,"F",Simulation!$F$3:$F$290,$C78,Simulation!$E$3:$E$290,"24/02/2026"))</f>
        <v>0.310096266149911</v>
      </c>
      <c r="O78" s="53" t="n">
        <f aca="false">IF($D78=0,"",AVERAGEIFS(Simulation!$BS$3:$BS$290,Simulation!$N$3:$N$290,"F",Simulation!$F$3:$F$290,$C78,Simulation!$E$3:$E$290,"24/02/2026"))</f>
        <v>15.8762291944692</v>
      </c>
      <c r="P78" s="55" t="n">
        <f aca="false">IF($D78=0,"",AVERAGEIFS(Simulation!$BX$3:$BX$290,Simulation!$N$3:$N$290,"F",Simulation!$F$3:$F$290,$C78,Simulation!$E$3:$E$290,"24/02/2026"))</f>
        <v>10.2529810307732</v>
      </c>
      <c r="Q78" s="53" t="n">
        <f aca="false">IF($D78=0,"",AVERAGEIFS(Simulation!$CL$3:$CL$290,Simulation!$N$3:$N$290,"F",Simulation!$F$3:$F$290,$C78,Simulation!$E$3:$E$290,"24/02/2026"))</f>
        <v>25.0477864377649</v>
      </c>
      <c r="R78" s="53" t="n">
        <f aca="false">IF($D78=0,"",AVERAGEIFS(Simulation!$CO$3:$CO$290,Simulation!$N$3:$N$290,"F",Simulation!$F$3:$F$290,$C78,Simulation!$E$3:$E$290,"24/02/2026"))</f>
        <v>-0.530784990806537</v>
      </c>
      <c r="S78" s="55" t="n">
        <f aca="false">IF($D78=0,"",AVERAGEIFS(Simulation!$CK$3:$CK$290,Simulation!$N$3:$N$290,"F",Simulation!$F$3:$F$290,$C78,Simulation!$E$3:$E$290,"24/02/2026"))</f>
        <v>0.239552219825429</v>
      </c>
    </row>
    <row r="79" customFormat="false" ht="15" hidden="false" customHeight="false" outlineLevel="0" collapsed="false">
      <c r="A79" s="27" t="s">
        <v>456</v>
      </c>
      <c r="B79" s="20" t="s">
        <v>160</v>
      </c>
      <c r="C79" s="20" t="s">
        <v>279</v>
      </c>
      <c r="D79" s="52" t="n">
        <f aca="false">COUNTIFS(Simulation!$N$3:$N$290,"F",Simulation!$F$3:$F$290,$C79,Simulation!$E$3:$E$290,"24/02/2026")</f>
        <v>7</v>
      </c>
      <c r="E79" s="53" t="n">
        <f aca="false">IF($D79=0,"",AVERAGEIFS(Simulation!$U$3:$U$290,Simulation!$N$3:$N$290,"F",Simulation!$F$3:$F$290,$C79,Simulation!$E$3:$E$290,"24/02/2026"))</f>
        <v>83.8744298948003</v>
      </c>
      <c r="F79" s="53" t="n">
        <f aca="false">IF($D79=0,"",AVERAGEIFS(Simulation!$Z$3:$Z$290,Simulation!$N$3:$N$290,"F",Simulation!$F$3:$F$290,$C79,Simulation!$E$3:$E$290,"24/02/2026"))</f>
        <v>67.17648970715</v>
      </c>
      <c r="G79" s="53" t="n">
        <f aca="false">IF($D79=0,"",AVERAGEIFS(Simulation!$AE$3:$AE$290,Simulation!$N$3:$N$290,"F",Simulation!$F$3:$F$290,$C79,Simulation!$E$3:$E$290,"24/02/2026"))</f>
        <v>14.9225107123625</v>
      </c>
      <c r="H79" s="54" t="n">
        <f aca="false">IF($D79=0,"",AVERAGEIFS(Simulation!$AJ$3:$AJ$290,Simulation!$N$3:$N$290,"F",Simulation!$F$3:$F$290,$C79,Simulation!$E$3:$E$290,"24/02/2026"))</f>
        <v>0.355384455577314</v>
      </c>
      <c r="I79" s="55" t="n">
        <f aca="false">IF($D79=0,"",AVERAGEIFS(Simulation!$AO$3:$AO$290,Simulation!$N$3:$N$290,"F",Simulation!$F$3:$F$290,$C79,Simulation!$E$3:$E$290,"24/02/2026"))</f>
        <v>4.36204721633985</v>
      </c>
      <c r="J79" s="52" t="n">
        <f aca="false">IF($D79=0,"",AVERAGEIFS(Simulation!$AT$3:$AT$290,Simulation!$N$3:$N$290,"F",Simulation!$F$3:$F$290,$C79,Simulation!$E$3:$E$290,"24/02/2026"))</f>
        <v>308.079767939768</v>
      </c>
      <c r="K79" s="55" t="n">
        <f aca="false">IF($D79=0,"",AVERAGEIFS(Simulation!$AY$3:$AY$290,Simulation!$N$3:$N$290,"F",Simulation!$F$3:$F$290,$C79,Simulation!$E$3:$E$290,"24/02/2026"))</f>
        <v>2.64624086408802</v>
      </c>
      <c r="L79" s="54" t="n">
        <f aca="false">IF($D79=0,"",AVERAGEIFS(Simulation!$BD$3:$BD$290,Simulation!$N$3:$N$290,"F",Simulation!$F$3:$F$290,$C79,Simulation!$E$3:$E$290,"24/02/2026"))</f>
        <v>1.07698702152071</v>
      </c>
      <c r="M79" s="54" t="n">
        <f aca="false">IF($D79=0,"",AVERAGEIFS(Simulation!$BI$3:$BI$290,Simulation!$N$3:$N$290,"F",Simulation!$F$3:$F$290,$C79,Simulation!$E$3:$E$290,"24/02/2026"))</f>
        <v>0.400858088879589</v>
      </c>
      <c r="N79" s="54" t="n">
        <f aca="false">IF($D79=0,"",AVERAGEIFS(Simulation!$BN$3:$BN$290,Simulation!$N$3:$N$290,"F",Simulation!$F$3:$F$290,$C79,Simulation!$E$3:$E$290,"24/02/2026"))</f>
        <v>0.306041190662055</v>
      </c>
      <c r="O79" s="53" t="n">
        <f aca="false">IF($D79=0,"",AVERAGEIFS(Simulation!$BS$3:$BS$290,Simulation!$N$3:$N$290,"F",Simulation!$F$3:$F$290,$C79,Simulation!$E$3:$E$290,"24/02/2026"))</f>
        <v>17.0137753271839</v>
      </c>
      <c r="P79" s="55" t="n">
        <f aca="false">IF($D79=0,"",AVERAGEIFS(Simulation!$BX$3:$BX$290,Simulation!$N$3:$N$290,"F",Simulation!$F$3:$F$290,$C79,Simulation!$E$3:$E$290,"24/02/2026"))</f>
        <v>10.0569527251107</v>
      </c>
      <c r="Q79" s="53" t="n">
        <f aca="false">IF($D79=0,"",AVERAGEIFS(Simulation!$CL$3:$CL$290,Simulation!$N$3:$N$290,"F",Simulation!$F$3:$F$290,$C79,Simulation!$E$3:$E$290,"24/02/2026"))</f>
        <v>25.3875482493641</v>
      </c>
      <c r="R79" s="53" t="n">
        <f aca="false">IF($D79=0,"",AVERAGEIFS(Simulation!$CO$3:$CO$290,Simulation!$N$3:$N$290,"F",Simulation!$F$3:$F$290,$C79,Simulation!$E$3:$E$290,"24/02/2026"))</f>
        <v>-0.191023179207295</v>
      </c>
      <c r="S79" s="55" t="n">
        <f aca="false">IF($D79=0,"",AVERAGEIFS(Simulation!$CK$3:$CK$290,Simulation!$N$3:$N$290,"F",Simulation!$F$3:$F$290,$C79,Simulation!$E$3:$E$290,"24/02/2026"))</f>
        <v>0.296577904324473</v>
      </c>
    </row>
    <row r="80" customFormat="false" ht="15" hidden="false" customHeight="false" outlineLevel="0" collapsed="false">
      <c r="A80" s="27" t="s">
        <v>456</v>
      </c>
      <c r="B80" s="20" t="s">
        <v>160</v>
      </c>
      <c r="C80" s="20" t="s">
        <v>281</v>
      </c>
      <c r="D80" s="52" t="n">
        <f aca="false">COUNTIFS(Simulation!$N$3:$N$290,"F",Simulation!$F$3:$F$290,$C80,Simulation!$E$3:$E$290,"24/02/2026")</f>
        <v>7</v>
      </c>
      <c r="E80" s="53" t="n">
        <f aca="false">IF($D80=0,"",AVERAGEIFS(Simulation!$U$3:$U$290,Simulation!$N$3:$N$290,"F",Simulation!$F$3:$F$290,$C80,Simulation!$E$3:$E$290,"24/02/2026"))</f>
        <v>81.2279244200743</v>
      </c>
      <c r="F80" s="53" t="n">
        <f aca="false">IF($D80=0,"",AVERAGEIFS(Simulation!$Z$3:$Z$290,Simulation!$N$3:$N$290,"F",Simulation!$F$3:$F$290,$C80,Simulation!$E$3:$E$290,"24/02/2026"))</f>
        <v>59.4644854367799</v>
      </c>
      <c r="G80" s="53" t="n">
        <f aca="false">IF($D80=0,"",AVERAGEIFS(Simulation!$AE$3:$AE$290,Simulation!$N$3:$N$290,"F",Simulation!$F$3:$F$290,$C80,Simulation!$E$3:$E$290,"24/02/2026"))</f>
        <v>11.3899754055009</v>
      </c>
      <c r="H80" s="54" t="n">
        <f aca="false">IF($D80=0,"",AVERAGEIFS(Simulation!$AJ$3:$AJ$290,Simulation!$N$3:$N$290,"F",Simulation!$F$3:$F$290,$C80,Simulation!$E$3:$E$290,"24/02/2026"))</f>
        <v>0.301609481833057</v>
      </c>
      <c r="I80" s="55" t="n">
        <f aca="false">IF($D80=0,"",AVERAGEIFS(Simulation!$AO$3:$AO$290,Simulation!$N$3:$N$290,"F",Simulation!$F$3:$F$290,$C80,Simulation!$E$3:$E$290,"24/02/2026"))</f>
        <v>3.79273975125994</v>
      </c>
      <c r="J80" s="52" t="n">
        <f aca="false">IF($D80=0,"",AVERAGEIFS(Simulation!$AT$3:$AT$290,Simulation!$N$3:$N$290,"F",Simulation!$F$3:$F$290,$C80,Simulation!$E$3:$E$290,"24/02/2026"))</f>
        <v>328.255786656631</v>
      </c>
      <c r="K80" s="55" t="n">
        <f aca="false">IF($D80=0,"",AVERAGEIFS(Simulation!$AY$3:$AY$290,Simulation!$N$3:$N$290,"F",Simulation!$F$3:$F$290,$C80,Simulation!$E$3:$E$290,"24/02/2026"))</f>
        <v>2.41529612762956</v>
      </c>
      <c r="L80" s="54" t="n">
        <f aca="false">IF($D80=0,"",AVERAGEIFS(Simulation!$BD$3:$BD$290,Simulation!$N$3:$N$290,"F",Simulation!$F$3:$F$290,$C80,Simulation!$E$3:$E$290,"24/02/2026"))</f>
        <v>0.906181395559865</v>
      </c>
      <c r="M80" s="54" t="n">
        <f aca="false">IF($D80=0,"",AVERAGEIFS(Simulation!$BI$3:$BI$290,Simulation!$N$3:$N$290,"F",Simulation!$F$3:$F$290,$C80,Simulation!$E$3:$E$290,"24/02/2026"))</f>
        <v>0.350820899017649</v>
      </c>
      <c r="N80" s="54" t="n">
        <f aca="false">IF($D80=0,"",AVERAGEIFS(Simulation!$BN$3:$BN$290,Simulation!$N$3:$N$290,"F",Simulation!$F$3:$F$290,$C80,Simulation!$E$3:$E$290,"24/02/2026"))</f>
        <v>0.276752755190109</v>
      </c>
      <c r="O80" s="53" t="n">
        <f aca="false">IF($D80=0,"",AVERAGEIFS(Simulation!$BS$3:$BS$290,Simulation!$N$3:$N$290,"F",Simulation!$F$3:$F$290,$C80,Simulation!$E$3:$E$290,"24/02/2026"))</f>
        <v>18.8355852591438</v>
      </c>
      <c r="P80" s="55" t="n">
        <f aca="false">IF($D80=0,"",AVERAGEIFS(Simulation!$BX$3:$BX$290,Simulation!$N$3:$N$290,"F",Simulation!$F$3:$F$290,$C80,Simulation!$E$3:$E$290,"24/02/2026"))</f>
        <v>9.74300825821779</v>
      </c>
      <c r="Q80" s="53" t="n">
        <f aca="false">IF($D80=0,"",AVERAGEIFS(Simulation!$CL$3:$CL$290,Simulation!$N$3:$N$290,"F",Simulation!$F$3:$F$290,$C80,Simulation!$E$3:$E$290,"24/02/2026"))</f>
        <v>25.9345347132676</v>
      </c>
      <c r="R80" s="53" t="n">
        <f aca="false">IF($D80=0,"",AVERAGEIFS(Simulation!$CO$3:$CO$290,Simulation!$N$3:$N$290,"F",Simulation!$F$3:$F$290,$C80,Simulation!$E$3:$E$290,"24/02/2026"))</f>
        <v>0.355963284696158</v>
      </c>
      <c r="S80" s="55" t="n">
        <f aca="false">IF($D80=0,"",AVERAGEIFS(Simulation!$CK$3:$CK$290,Simulation!$N$3:$N$290,"F",Simulation!$F$3:$F$290,$C80,Simulation!$E$3:$E$290,"24/02/2026"))</f>
        <v>0.388384212305305</v>
      </c>
    </row>
    <row r="81" customFormat="false" ht="15" hidden="false" customHeight="false" outlineLevel="0" collapsed="false">
      <c r="A81" s="27" t="s">
        <v>456</v>
      </c>
      <c r="B81" s="20" t="s">
        <v>160</v>
      </c>
      <c r="C81" s="20" t="s">
        <v>283</v>
      </c>
      <c r="D81" s="52" t="n">
        <f aca="false">COUNTIFS(Simulation!$N$3:$N$290,"F",Simulation!$F$3:$F$290,$C81,Simulation!$E$3:$E$290,"24/02/2026")</f>
        <v>7</v>
      </c>
      <c r="E81" s="53" t="n">
        <f aca="false">IF($D81=0,"",AVERAGEIFS(Simulation!$U$3:$U$290,Simulation!$N$3:$N$290,"F",Simulation!$F$3:$F$290,$C81,Simulation!$E$3:$E$290,"24/02/2026"))</f>
        <v>71.4994343364287</v>
      </c>
      <c r="F81" s="53" t="n">
        <f aca="false">IF($D81=0,"",AVERAGEIFS(Simulation!$Z$3:$Z$290,Simulation!$N$3:$N$290,"F",Simulation!$F$3:$F$290,$C81,Simulation!$E$3:$E$290,"24/02/2026"))</f>
        <v>35.6639965463389</v>
      </c>
      <c r="G81" s="53" t="n">
        <f aca="false">IF($D81=0,"",AVERAGEIFS(Simulation!$AE$3:$AE$290,Simulation!$N$3:$N$290,"F",Simulation!$F$3:$F$290,$C81,Simulation!$E$3:$E$290,"24/02/2026"))</f>
        <v>7.64965872892195</v>
      </c>
      <c r="H81" s="54" t="n">
        <f aca="false">IF($D81=0,"",AVERAGEIFS(Simulation!$AJ$3:$AJ$290,Simulation!$N$3:$N$290,"F",Simulation!$F$3:$F$290,$C81,Simulation!$E$3:$E$290,"24/02/2026"))</f>
        <v>0.232259670145131</v>
      </c>
      <c r="I81" s="55" t="n">
        <f aca="false">IF($D81=0,"",AVERAGEIFS(Simulation!$AO$3:$AO$290,Simulation!$N$3:$N$290,"F",Simulation!$F$3:$F$290,$C81,Simulation!$E$3:$E$290,"24/02/2026"))</f>
        <v>3.06041052310563</v>
      </c>
      <c r="J81" s="52" t="n">
        <f aca="false">IF($D81=0,"",AVERAGEIFS(Simulation!$AT$3:$AT$290,Simulation!$N$3:$N$290,"F",Simulation!$F$3:$F$290,$C81,Simulation!$E$3:$E$290,"24/02/2026"))</f>
        <v>350.845846041792</v>
      </c>
      <c r="K81" s="55" t="n">
        <f aca="false">IF($D81=0,"",AVERAGEIFS(Simulation!$AY$3:$AY$290,Simulation!$N$3:$N$290,"F",Simulation!$F$3:$F$290,$C81,Simulation!$E$3:$E$290,"24/02/2026"))</f>
        <v>2.09536112266817</v>
      </c>
      <c r="L81" s="54" t="n">
        <f aca="false">IF($D81=0,"",AVERAGEIFS(Simulation!$BD$3:$BD$290,Simulation!$N$3:$N$290,"F",Simulation!$F$3:$F$290,$C81,Simulation!$E$3:$E$290,"24/02/2026"))</f>
        <v>0.692086542188539</v>
      </c>
      <c r="M81" s="54" t="n">
        <f aca="false">IF($D81=0,"",AVERAGEIFS(Simulation!$BI$3:$BI$290,Simulation!$N$3:$N$290,"F",Simulation!$F$3:$F$290,$C81,Simulation!$E$3:$E$290,"24/02/2026"))</f>
        <v>0.286291445022533</v>
      </c>
      <c r="N81" s="54" t="n">
        <f aca="false">IF($D81=0,"",AVERAGEIFS(Simulation!$BN$3:$BN$290,Simulation!$N$3:$N$290,"F",Simulation!$F$3:$F$290,$C81,Simulation!$E$3:$E$290,"24/02/2026"))</f>
        <v>0.228245816233343</v>
      </c>
      <c r="O81" s="53" t="n">
        <f aca="false">IF($D81=0,"",AVERAGEIFS(Simulation!$BS$3:$BS$290,Simulation!$N$3:$N$290,"F",Simulation!$F$3:$F$290,$C81,Simulation!$E$3:$E$290,"24/02/2026"))</f>
        <v>21.18504574077</v>
      </c>
      <c r="P81" s="55" t="n">
        <f aca="false">IF($D81=0,"",AVERAGEIFS(Simulation!$BX$3:$BX$290,Simulation!$N$3:$N$290,"F",Simulation!$F$3:$F$290,$C81,Simulation!$E$3:$E$290,"24/02/2026"))</f>
        <v>9.3381361003431</v>
      </c>
      <c r="Q81" s="53" t="n">
        <f aca="false">IF($D81=0,"",AVERAGEIFS(Simulation!$CL$3:$CL$290,Simulation!$N$3:$N$290,"F",Simulation!$F$3:$F$290,$C81,Simulation!$E$3:$E$290,"24/02/2026"))</f>
        <v>26.6381512991928</v>
      </c>
      <c r="R81" s="53" t="n">
        <f aca="false">IF($D81=0,"",AVERAGEIFS(Simulation!$CO$3:$CO$290,Simulation!$N$3:$N$290,"F",Simulation!$F$3:$F$290,$C81,Simulation!$E$3:$E$290,"24/02/2026"))</f>
        <v>1.05957987062139</v>
      </c>
      <c r="S81" s="55" t="n">
        <f aca="false">IF($D81=0,"",AVERAGEIFS(Simulation!$CK$3:$CK$290,Simulation!$N$3:$N$290,"F",Simulation!$F$3:$F$290,$C81,Simulation!$E$3:$E$290,"24/02/2026"))</f>
        <v>0.506479348566805</v>
      </c>
    </row>
    <row r="82" customFormat="false" ht="15" hidden="false" customHeight="false" outlineLevel="0" collapsed="false">
      <c r="A82" s="27" t="s">
        <v>456</v>
      </c>
      <c r="B82" s="20" t="s">
        <v>160</v>
      </c>
      <c r="C82" s="20" t="s">
        <v>285</v>
      </c>
      <c r="D82" s="52" t="n">
        <f aca="false">COUNTIFS(Simulation!$N$3:$N$290,"F",Simulation!$F$3:$F$290,$C82,Simulation!$E$3:$E$290,"24/02/2026")</f>
        <v>7</v>
      </c>
      <c r="E82" s="53" t="n">
        <f aca="false">IF($D82=0,"",AVERAGEIFS(Simulation!$U$3:$U$290,Simulation!$N$3:$N$290,"F",Simulation!$F$3:$F$290,$C82,Simulation!$E$3:$E$290,"24/02/2026"))</f>
        <v>61.9041905507032</v>
      </c>
      <c r="F82" s="53" t="n">
        <f aca="false">IF($D82=0,"",AVERAGEIFS(Simulation!$Z$3:$Z$290,Simulation!$N$3:$N$290,"F",Simulation!$F$3:$F$290,$C82,Simulation!$E$3:$E$290,"24/02/2026"))</f>
        <v>23.0552839834185</v>
      </c>
      <c r="G82" s="53" t="n">
        <f aca="false">IF($D82=0,"",AVERAGEIFS(Simulation!$AE$3:$AE$290,Simulation!$N$3:$N$290,"F",Simulation!$F$3:$F$290,$C82,Simulation!$E$3:$E$290,"24/02/2026"))</f>
        <v>5.80675327478255</v>
      </c>
      <c r="H82" s="54" t="n">
        <f aca="false">IF($D82=0,"",AVERAGEIFS(Simulation!$AJ$3:$AJ$290,Simulation!$N$3:$N$290,"F",Simulation!$F$3:$F$290,$C82,Simulation!$E$3:$E$290,"24/02/2026"))</f>
        <v>0.185430685636782</v>
      </c>
      <c r="I82" s="55" t="n">
        <f aca="false">IF($D82=0,"",AVERAGEIFS(Simulation!$AO$3:$AO$290,Simulation!$N$3:$N$290,"F",Simulation!$F$3:$F$290,$C82,Simulation!$E$3:$E$290,"24/02/2026"))</f>
        <v>2.59397823752902</v>
      </c>
      <c r="J82" s="52" t="n">
        <f aca="false">IF($D82=0,"",AVERAGEIFS(Simulation!$AT$3:$AT$290,Simulation!$N$3:$N$290,"F",Simulation!$F$3:$F$290,$C82,Simulation!$E$3:$E$290,"24/02/2026"))</f>
        <v>363.018900361779</v>
      </c>
      <c r="K82" s="55" t="n">
        <f aca="false">IF($D82=0,"",AVERAGEIFS(Simulation!$AY$3:$AY$290,Simulation!$N$3:$N$290,"F",Simulation!$F$3:$F$290,$C82,Simulation!$E$3:$E$290,"24/02/2026"))</f>
        <v>1.8532879086379</v>
      </c>
      <c r="L82" s="54" t="n">
        <f aca="false">IF($D82=0,"",AVERAGEIFS(Simulation!$BD$3:$BD$290,Simulation!$N$3:$N$290,"F",Simulation!$F$3:$F$290,$C82,Simulation!$E$3:$E$290,"24/02/2026"))</f>
        <v>0.553924428805926</v>
      </c>
      <c r="M82" s="54" t="n">
        <f aca="false">IF($D82=0,"",AVERAGEIFS(Simulation!$BI$3:$BI$290,Simulation!$N$3:$N$290,"F",Simulation!$F$3:$F$290,$C82,Simulation!$E$3:$E$290,"24/02/2026"))</f>
        <v>0.242717443479921</v>
      </c>
      <c r="N82" s="54" t="n">
        <f aca="false">IF($D82=0,"",AVERAGEIFS(Simulation!$BN$3:$BN$290,Simulation!$N$3:$N$290,"F",Simulation!$F$3:$F$290,$C82,Simulation!$E$3:$E$290,"24/02/2026"))</f>
        <v>0.201016058039732</v>
      </c>
      <c r="O82" s="53" t="n">
        <f aca="false">IF($D82=0,"",AVERAGEIFS(Simulation!$BS$3:$BS$290,Simulation!$N$3:$N$290,"F",Simulation!$F$3:$F$290,$C82,Simulation!$E$3:$E$290,"24/02/2026"))</f>
        <v>22.7715366888948</v>
      </c>
      <c r="P82" s="55" t="n">
        <f aca="false">IF($D82=0,"",AVERAGEIFS(Simulation!$BX$3:$BX$290,Simulation!$N$3:$N$290,"F",Simulation!$F$3:$F$290,$C82,Simulation!$E$3:$E$290,"24/02/2026"))</f>
        <v>9.06474311559651</v>
      </c>
      <c r="Q82" s="53" t="n">
        <f aca="false">IF($D82=0,"",AVERAGEIFS(Simulation!$CL$3:$CL$290,Simulation!$N$3:$N$290,"F",Simulation!$F$3:$F$290,$C82,Simulation!$E$3:$E$290,"24/02/2026"))</f>
        <v>27.0862960402813</v>
      </c>
      <c r="R82" s="53" t="n">
        <f aca="false">IF($D82=0,"",AVERAGEIFS(Simulation!$CO$3:$CO$290,Simulation!$N$3:$N$290,"F",Simulation!$F$3:$F$290,$C82,Simulation!$E$3:$E$290,"24/02/2026"))</f>
        <v>1.50772461170984</v>
      </c>
      <c r="S82" s="55" t="n">
        <f aca="false">IF($D82=0,"",AVERAGEIFS(Simulation!$CK$3:$CK$290,Simulation!$N$3:$N$290,"F",Simulation!$F$3:$F$290,$C82,Simulation!$E$3:$E$290,"24/02/2026"))</f>
        <v>0.58169604374195</v>
      </c>
    </row>
    <row r="83" customFormat="false" ht="15" hidden="false" customHeight="false" outlineLevel="0" collapsed="false">
      <c r="A83" s="47" t="s">
        <v>456</v>
      </c>
      <c r="B83" s="17" t="s">
        <v>162</v>
      </c>
      <c r="C83" s="17" t="s">
        <v>275</v>
      </c>
      <c r="D83" s="48" t="n">
        <f aca="false">COUNTIFS(Simulation!$N$3:$N$290,"F",Simulation!$F$3:$F$290,$C83,Simulation!$E$3:$E$290,"03/03/2026")</f>
        <v>11</v>
      </c>
      <c r="E83" s="49" t="n">
        <f aca="false">IF($D83=0,"",AVERAGEIFS(Simulation!$U$3:$U$290,Simulation!$N$3:$N$290,"F",Simulation!$F$3:$F$290,$C83,Simulation!$E$3:$E$290,"03/03/2026"))</f>
        <v>83.2927660714286</v>
      </c>
      <c r="F83" s="49" t="n">
        <f aca="false">IF($D83=0,"",AVERAGEIFS(Simulation!$Z$3:$Z$290,Simulation!$N$3:$N$290,"F",Simulation!$F$3:$F$290,$C83,Simulation!$E$3:$E$290,"03/03/2026"))</f>
        <v>66.88584</v>
      </c>
      <c r="G83" s="49" t="n">
        <f aca="false">IF($D83=0,"",AVERAGEIFS(Simulation!$AE$3:$AE$290,Simulation!$N$3:$N$290,"F",Simulation!$F$3:$F$290,$C83,Simulation!$E$3:$E$290,"03/03/2026"))</f>
        <v>18.2071225974026</v>
      </c>
      <c r="H83" s="50" t="n">
        <f aca="false">IF($D83=0,"",AVERAGEIFS(Simulation!$AJ$3:$AJ$290,Simulation!$N$3:$N$290,"F",Simulation!$F$3:$F$290,$C83,Simulation!$E$3:$E$290,"03/03/2026"))</f>
        <v>0.341191629407368</v>
      </c>
      <c r="I83" s="51" t="n">
        <f aca="false">IF($D83=0,"",AVERAGEIFS(Simulation!$AO$3:$AO$290,Simulation!$N$3:$N$290,"F",Simulation!$F$3:$F$290,$C83,Simulation!$E$3:$E$290,"03/03/2026"))</f>
        <v>5.97691956280819</v>
      </c>
      <c r="J83" s="48" t="n">
        <f aca="false">IF($D83=0,"",AVERAGEIFS(Simulation!$AT$3:$AT$290,Simulation!$N$3:$N$290,"F",Simulation!$F$3:$F$290,$C83,Simulation!$E$3:$E$290,"03/03/2026"))</f>
        <v>285</v>
      </c>
      <c r="K83" s="51" t="n">
        <f aca="false">IF($D83=0,"",AVERAGEIFS(Simulation!$AY$3:$AY$290,Simulation!$N$3:$N$290,"F",Simulation!$F$3:$F$290,$C83,Simulation!$E$3:$E$290,"03/03/2026"))</f>
        <v>2.68373827881179</v>
      </c>
      <c r="L83" s="50" t="n">
        <f aca="false">IF($D83=0,"",AVERAGEIFS(Simulation!$BD$3:$BD$290,Simulation!$N$3:$N$290,"F",Simulation!$F$3:$F$290,$C83,Simulation!$E$3:$E$290,"03/03/2026"))</f>
        <v>1.23073668831169</v>
      </c>
      <c r="M83" s="50" t="n">
        <f aca="false">IF($D83=0,"",AVERAGEIFS(Simulation!$BI$3:$BI$290,Simulation!$N$3:$N$290,"F",Simulation!$F$3:$F$290,$C83,Simulation!$E$3:$E$290,"03/03/2026"))</f>
        <v>0.443065207792208</v>
      </c>
      <c r="N83" s="50" t="n">
        <f aca="false">IF($D83=0,"",AVERAGEIFS(Simulation!$BN$3:$BN$290,Simulation!$N$3:$N$290,"F",Simulation!$F$3:$F$290,$C83,Simulation!$E$3:$E$290,"03/03/2026"))</f>
        <v>0.299324766233766</v>
      </c>
      <c r="O83" s="49" t="n">
        <f aca="false">IF($D83=0,"",AVERAGEIFS(Simulation!$BS$3:$BS$290,Simulation!$N$3:$N$290,"F",Simulation!$F$3:$F$290,$C83,Simulation!$E$3:$E$290,"03/03/2026"))</f>
        <v>15</v>
      </c>
      <c r="P83" s="51" t="n">
        <f aca="false">IF($D83=0,"",AVERAGEIFS(Simulation!$BX$3:$BX$290,Simulation!$N$3:$N$290,"F",Simulation!$F$3:$F$290,$C83,Simulation!$E$3:$E$290,"03/03/2026"))</f>
        <v>10.1292285714286</v>
      </c>
      <c r="Q83" s="49" t="n">
        <f aca="false">IF($D83=0,"",AVERAGEIFS(Simulation!$CL$3:$CL$290,Simulation!$N$3:$N$290,"F",Simulation!$F$3:$F$290,$C83,Simulation!$E$3:$E$290,"03/03/2026"))</f>
        <v>26.9274981550603</v>
      </c>
      <c r="R83" s="49" t="n">
        <f aca="false">IF($D83=0,"",AVERAGEIFS(Simulation!$CO$3:$CO$290,Simulation!$N$3:$N$290,"F",Simulation!$F$3:$F$290,$C83,Simulation!$E$3:$E$290,"03/03/2026"))</f>
        <v>-1.69250184493966</v>
      </c>
      <c r="S83" s="51" t="n">
        <f aca="false">IF($D83=0,"",AVERAGEIFS(Simulation!$CK$3:$CK$290,Simulation!$N$3:$N$290,"F",Simulation!$F$3:$F$290,$C83,Simulation!$E$3:$E$290,"03/03/2026"))</f>
        <v>0.221696428571429</v>
      </c>
    </row>
    <row r="84" customFormat="false" ht="15" hidden="false" customHeight="false" outlineLevel="0" collapsed="false">
      <c r="A84" s="27" t="s">
        <v>456</v>
      </c>
      <c r="B84" s="20" t="s">
        <v>162</v>
      </c>
      <c r="C84" s="20" t="s">
        <v>277</v>
      </c>
      <c r="D84" s="52" t="n">
        <f aca="false">COUNTIFS(Simulation!$N$3:$N$290,"F",Simulation!$F$3:$F$290,$C84,Simulation!$E$3:$E$290,"03/03/2026")</f>
        <v>11</v>
      </c>
      <c r="E84" s="53" t="n">
        <f aca="false">IF($D84=0,"",AVERAGEIFS(Simulation!$U$3:$U$290,Simulation!$N$3:$N$290,"F",Simulation!$F$3:$F$290,$C84,Simulation!$E$3:$E$290,"03/03/2026"))</f>
        <v>82.9401918887754</v>
      </c>
      <c r="F84" s="53" t="n">
        <f aca="false">IF($D84=0,"",AVERAGEIFS(Simulation!$Z$3:$Z$290,Simulation!$N$3:$N$290,"F",Simulation!$F$3:$F$290,$C84,Simulation!$E$3:$E$290,"03/03/2026"))</f>
        <v>65.982044484799</v>
      </c>
      <c r="G84" s="53" t="n">
        <f aca="false">IF($D84=0,"",AVERAGEIFS(Simulation!$AE$3:$AE$290,Simulation!$N$3:$N$290,"F",Simulation!$F$3:$F$290,$C84,Simulation!$E$3:$E$290,"03/03/2026"))</f>
        <v>16.5516205667464</v>
      </c>
      <c r="H84" s="54" t="n">
        <f aca="false">IF($D84=0,"",AVERAGEIFS(Simulation!$AJ$3:$AJ$290,Simulation!$N$3:$N$290,"F",Simulation!$F$3:$F$290,$C84,Simulation!$E$3:$E$290,"03/03/2026"))</f>
        <v>0.322450808211726</v>
      </c>
      <c r="I84" s="55" t="n">
        <f aca="false">IF($D84=0,"",AVERAGEIFS(Simulation!$AO$3:$AO$290,Simulation!$N$3:$N$290,"F",Simulation!$F$3:$F$290,$C84,Simulation!$E$3:$E$290,"03/03/2026"))</f>
        <v>5.69098666369385</v>
      </c>
      <c r="J84" s="52" t="n">
        <f aca="false">IF($D84=0,"",AVERAGEIFS(Simulation!$AT$3:$AT$290,Simulation!$N$3:$N$290,"F",Simulation!$F$3:$F$290,$C84,Simulation!$E$3:$E$290,"03/03/2026"))</f>
        <v>294.49251533958</v>
      </c>
      <c r="K84" s="55" t="n">
        <f aca="false">IF($D84=0,"",AVERAGEIFS(Simulation!$AY$3:$AY$290,Simulation!$N$3:$N$290,"F",Simulation!$F$3:$F$290,$C84,Simulation!$E$3:$E$290,"03/03/2026"))</f>
        <v>2.5981138551616</v>
      </c>
      <c r="L84" s="54" t="n">
        <f aca="false">IF($D84=0,"",AVERAGEIFS(Simulation!$BD$3:$BD$290,Simulation!$N$3:$N$290,"F",Simulation!$F$3:$F$290,$C84,Simulation!$E$3:$E$290,"03/03/2026"))</f>
        <v>1.15894539975565</v>
      </c>
      <c r="M84" s="54" t="n">
        <f aca="false">IF($D84=0,"",AVERAGEIFS(Simulation!$BI$3:$BI$290,Simulation!$N$3:$N$290,"F",Simulation!$F$3:$F$290,$C84,Simulation!$E$3:$E$290,"03/03/2026"))</f>
        <v>0.42250263038987</v>
      </c>
      <c r="N84" s="54" t="n">
        <f aca="false">IF($D84=0,"",AVERAGEIFS(Simulation!$BN$3:$BN$290,Simulation!$N$3:$N$290,"F",Simulation!$F$3:$F$290,$C84,Simulation!$E$3:$E$290,"03/03/2026"))</f>
        <v>0.306950255048781</v>
      </c>
      <c r="O84" s="53" t="n">
        <f aca="false">IF($D84=0,"",AVERAGEIFS(Simulation!$BS$3:$BS$290,Simulation!$N$3:$N$290,"F",Simulation!$F$3:$F$290,$C84,Simulation!$E$3:$E$290,"03/03/2026"))</f>
        <v>15.7605353446942</v>
      </c>
      <c r="P84" s="55" t="n">
        <f aca="false">IF($D84=0,"",AVERAGEIFS(Simulation!$BX$3:$BX$290,Simulation!$N$3:$N$290,"F",Simulation!$F$3:$F$290,$C84,Simulation!$E$3:$E$290,"03/03/2026"))</f>
        <v>10.0003773890049</v>
      </c>
      <c r="Q84" s="53" t="n">
        <f aca="false">IF($D84=0,"",AVERAGEIFS(Simulation!$CL$3:$CL$290,Simulation!$N$3:$N$290,"F",Simulation!$F$3:$F$290,$C84,Simulation!$E$3:$E$290,"03/03/2026"))</f>
        <v>27.1998246501107</v>
      </c>
      <c r="R84" s="53" t="n">
        <f aca="false">IF($D84=0,"",AVERAGEIFS(Simulation!$CO$3:$CO$290,Simulation!$N$3:$N$290,"F",Simulation!$F$3:$F$290,$C84,Simulation!$E$3:$E$290,"03/03/2026"))</f>
        <v>-1.42017534988933</v>
      </c>
      <c r="S84" s="55" t="n">
        <f aca="false">IF($D84=0,"",AVERAGEIFS(Simulation!$CK$3:$CK$290,Simulation!$N$3:$N$290,"F",Simulation!$F$3:$F$290,$C84,Simulation!$E$3:$E$290,"03/03/2026"))</f>
        <v>0.258930089528555</v>
      </c>
    </row>
    <row r="85" customFormat="false" ht="15" hidden="false" customHeight="false" outlineLevel="0" collapsed="false">
      <c r="A85" s="27" t="s">
        <v>456</v>
      </c>
      <c r="B85" s="20" t="s">
        <v>162</v>
      </c>
      <c r="C85" s="20" t="s">
        <v>279</v>
      </c>
      <c r="D85" s="52" t="n">
        <f aca="false">COUNTIFS(Simulation!$N$3:$N$290,"F",Simulation!$F$3:$F$290,$C85,Simulation!$E$3:$E$290,"03/03/2026")</f>
        <v>11</v>
      </c>
      <c r="E85" s="53" t="n">
        <f aca="false">IF($D85=0,"",AVERAGEIFS(Simulation!$U$3:$U$290,Simulation!$N$3:$N$290,"F",Simulation!$F$3:$F$290,$C85,Simulation!$E$3:$E$290,"03/03/2026"))</f>
        <v>82.1545238385773</v>
      </c>
      <c r="F85" s="53" t="n">
        <f aca="false">IF($D85=0,"",AVERAGEIFS(Simulation!$Z$3:$Z$290,Simulation!$N$3:$N$290,"F",Simulation!$F$3:$F$290,$C85,Simulation!$E$3:$E$290,"03/03/2026"))</f>
        <v>63.8683736790047</v>
      </c>
      <c r="G85" s="53" t="n">
        <f aca="false">IF($D85=0,"",AVERAGEIFS(Simulation!$AE$3:$AE$290,Simulation!$N$3:$N$290,"F",Simulation!$F$3:$F$290,$C85,Simulation!$E$3:$E$290,"03/03/2026"))</f>
        <v>14.2347441934237</v>
      </c>
      <c r="H85" s="54" t="n">
        <f aca="false">IF($D85=0,"",AVERAGEIFS(Simulation!$AJ$3:$AJ$290,Simulation!$N$3:$N$290,"F",Simulation!$F$3:$F$290,$C85,Simulation!$E$3:$E$290,"03/03/2026"))</f>
        <v>0.294731490314193</v>
      </c>
      <c r="I85" s="55" t="n">
        <f aca="false">IF($D85=0,"",AVERAGEIFS(Simulation!$AO$3:$AO$290,Simulation!$N$3:$N$290,"F",Simulation!$F$3:$F$290,$C85,Simulation!$E$3:$E$290,"03/03/2026"))</f>
        <v>5.26630193583642</v>
      </c>
      <c r="J85" s="52" t="n">
        <f aca="false">IF($D85=0,"",AVERAGEIFS(Simulation!$AT$3:$AT$290,Simulation!$N$3:$N$290,"F",Simulation!$F$3:$F$290,$C85,Simulation!$E$3:$E$290,"03/03/2026"))</f>
        <v>307.988543560559</v>
      </c>
      <c r="K85" s="55" t="n">
        <f aca="false">IF($D85=0,"",AVERAGEIFS(Simulation!$AY$3:$AY$290,Simulation!$N$3:$N$290,"F",Simulation!$F$3:$F$290,$C85,Simulation!$E$3:$E$290,"03/03/2026"))</f>
        <v>2.46893307988152</v>
      </c>
      <c r="L85" s="54" t="n">
        <f aca="false">IF($D85=0,"",AVERAGEIFS(Simulation!$BD$3:$BD$290,Simulation!$N$3:$N$290,"F",Simulation!$F$3:$F$290,$C85,Simulation!$E$3:$E$290,"03/03/2026"))</f>
        <v>1.05359718104092</v>
      </c>
      <c r="M85" s="54" t="n">
        <f aca="false">IF($D85=0,"",AVERAGEIFS(Simulation!$BI$3:$BI$290,Simulation!$N$3:$N$290,"F",Simulation!$F$3:$F$290,$C85,Simulation!$E$3:$E$290,"03/03/2026"))</f>
        <v>0.392088775316083</v>
      </c>
      <c r="N85" s="54" t="n">
        <f aca="false">IF($D85=0,"",AVERAGEIFS(Simulation!$BN$3:$BN$290,Simulation!$N$3:$N$290,"F",Simulation!$F$3:$F$290,$C85,Simulation!$E$3:$E$290,"03/03/2026"))</f>
        <v>0.302952878659253</v>
      </c>
      <c r="O85" s="53" t="n">
        <f aca="false">IF($D85=0,"",AVERAGEIFS(Simulation!$BS$3:$BS$290,Simulation!$N$3:$N$290,"F",Simulation!$F$3:$F$290,$C85,Simulation!$E$3:$E$290,"03/03/2026"))</f>
        <v>16.8854338094846</v>
      </c>
      <c r="P85" s="55" t="n">
        <f aca="false">IF($D85=0,"",AVERAGEIFS(Simulation!$BX$3:$BX$290,Simulation!$N$3:$N$290,"F",Simulation!$F$3:$F$290,$C85,Simulation!$E$3:$E$290,"03/03/2026"))</f>
        <v>9.80979519147</v>
      </c>
      <c r="Q85" s="53" t="n">
        <f aca="false">IF($D85=0,"",AVERAGEIFS(Simulation!$CL$3:$CL$290,Simulation!$N$3:$N$290,"F",Simulation!$F$3:$F$290,$C85,Simulation!$E$3:$E$290,"03/03/2026"))</f>
        <v>27.6043003288348</v>
      </c>
      <c r="R85" s="53" t="n">
        <f aca="false">IF($D85=0,"",AVERAGEIFS(Simulation!$CO$3:$CO$290,Simulation!$N$3:$N$290,"F",Simulation!$F$3:$F$290,$C85,Simulation!$E$3:$E$290,"03/03/2026"))</f>
        <v>-1.01569967116524</v>
      </c>
      <c r="S85" s="55" t="n">
        <f aca="false">IF($D85=0,"",AVERAGEIFS(Simulation!$CK$3:$CK$290,Simulation!$N$3:$N$290,"F",Simulation!$F$3:$F$290,$C85,Simulation!$E$3:$E$290,"03/03/2026"))</f>
        <v>0.31423176072376</v>
      </c>
    </row>
    <row r="86" customFormat="false" ht="15" hidden="false" customHeight="false" outlineLevel="0" collapsed="false">
      <c r="A86" s="27" t="s">
        <v>456</v>
      </c>
      <c r="B86" s="20" t="s">
        <v>162</v>
      </c>
      <c r="C86" s="20" t="s">
        <v>281</v>
      </c>
      <c r="D86" s="52" t="n">
        <f aca="false">COUNTIFS(Simulation!$N$3:$N$290,"F",Simulation!$F$3:$F$290,$C86,Simulation!$E$3:$E$290,"03/03/2026")</f>
        <v>11</v>
      </c>
      <c r="E86" s="53" t="n">
        <f aca="false">IF($D86=0,"",AVERAGEIFS(Simulation!$U$3:$U$290,Simulation!$N$3:$N$290,"F",Simulation!$F$3:$F$290,$C86,Simulation!$E$3:$E$290,"03/03/2026"))</f>
        <v>79.5726748323669</v>
      </c>
      <c r="F86" s="53" t="n">
        <f aca="false">IF($D86=0,"",AVERAGEIFS(Simulation!$Z$3:$Z$290,Simulation!$N$3:$N$290,"F",Simulation!$F$3:$F$290,$C86,Simulation!$E$3:$E$290,"03/03/2026"))</f>
        <v>56.5664985272581</v>
      </c>
      <c r="G86" s="53" t="n">
        <f aca="false">IF($D86=0,"",AVERAGEIFS(Simulation!$AE$3:$AE$290,Simulation!$N$3:$N$290,"F",Simulation!$F$3:$F$290,$C86,Simulation!$E$3:$E$290,"03/03/2026"))</f>
        <v>10.8832545837102</v>
      </c>
      <c r="H86" s="54" t="n">
        <f aca="false">IF($D86=0,"",AVERAGEIFS(Simulation!$AJ$3:$AJ$290,Simulation!$N$3:$N$290,"F",Simulation!$F$3:$F$290,$C86,Simulation!$E$3:$E$290,"03/03/2026"))</f>
        <v>0.250338276535364</v>
      </c>
      <c r="I86" s="55" t="n">
        <f aca="false">IF($D86=0,"",AVERAGEIFS(Simulation!$AO$3:$AO$290,Simulation!$N$3:$N$290,"F",Simulation!$F$3:$F$290,$C86,Simulation!$E$3:$E$290,"03/03/2026"))</f>
        <v>4.58271228243565</v>
      </c>
      <c r="J86" s="52" t="n">
        <f aca="false">IF($D86=0,"",AVERAGEIFS(Simulation!$AT$3:$AT$290,Simulation!$N$3:$N$290,"F",Simulation!$F$3:$F$290,$C86,Simulation!$E$3:$E$290,"03/03/2026"))</f>
        <v>328.084815167869</v>
      </c>
      <c r="K86" s="55" t="n">
        <f aca="false">IF($D86=0,"",AVERAGEIFS(Simulation!$AY$3:$AY$290,Simulation!$N$3:$N$290,"F",Simulation!$F$3:$F$290,$C86,Simulation!$E$3:$E$290,"03/03/2026"))</f>
        <v>2.25432535687749</v>
      </c>
      <c r="L86" s="54" t="n">
        <f aca="false">IF($D86=0,"",AVERAGEIFS(Simulation!$BD$3:$BD$290,Simulation!$N$3:$N$290,"F",Simulation!$F$3:$F$290,$C86,Simulation!$E$3:$E$290,"03/03/2026"))</f>
        <v>0.887326843207384</v>
      </c>
      <c r="M86" s="54" t="n">
        <f aca="false">IF($D86=0,"",AVERAGEIFS(Simulation!$BI$3:$BI$290,Simulation!$N$3:$N$290,"F",Simulation!$F$3:$F$290,$C86,Simulation!$E$3:$E$290,"03/03/2026"))</f>
        <v>0.343380189660404</v>
      </c>
      <c r="N86" s="54" t="n">
        <f aca="false">IF($D86=0,"",AVERAGEIFS(Simulation!$BN$3:$BN$290,Simulation!$N$3:$N$290,"F",Simulation!$F$3:$F$290,$C86,Simulation!$E$3:$E$290,"03/03/2026"))</f>
        <v>0.274081184213024</v>
      </c>
      <c r="O86" s="53" t="n">
        <f aca="false">IF($D86=0,"",AVERAGEIFS(Simulation!$BS$3:$BS$290,Simulation!$N$3:$N$290,"F",Simulation!$F$3:$F$290,$C86,Simulation!$E$3:$E$290,"03/03/2026"))</f>
        <v>18.6869881699317</v>
      </c>
      <c r="P86" s="55" t="n">
        <f aca="false">IF($D86=0,"",AVERAGEIFS(Simulation!$BX$3:$BX$290,Simulation!$N$3:$N$290,"F",Simulation!$F$3:$F$290,$C86,Simulation!$E$3:$E$290,"03/03/2026"))</f>
        <v>9.50457280941566</v>
      </c>
      <c r="Q86" s="53" t="n">
        <f aca="false">IF($D86=0,"",AVERAGEIFS(Simulation!$CL$3:$CL$290,Simulation!$N$3:$N$290,"F",Simulation!$F$3:$F$290,$C86,Simulation!$E$3:$E$290,"03/03/2026"))</f>
        <v>28.255360682295</v>
      </c>
      <c r="R86" s="53" t="n">
        <f aca="false">IF($D86=0,"",AVERAGEIFS(Simulation!$CO$3:$CO$290,Simulation!$N$3:$N$290,"F",Simulation!$F$3:$F$290,$C86,Simulation!$E$3:$E$290,"03/03/2026"))</f>
        <v>-0.364639317704965</v>
      </c>
      <c r="S86" s="55" t="n">
        <f aca="false">IF($D86=0,"",AVERAGEIFS(Simulation!$CK$3:$CK$290,Simulation!$N$3:$N$290,"F",Simulation!$F$3:$F$290,$C86,Simulation!$E$3:$E$290,"03/03/2026"))</f>
        <v>0.403247559421152</v>
      </c>
    </row>
    <row r="87" customFormat="false" ht="15" hidden="false" customHeight="false" outlineLevel="0" collapsed="false">
      <c r="A87" s="27" t="s">
        <v>456</v>
      </c>
      <c r="B87" s="20" t="s">
        <v>162</v>
      </c>
      <c r="C87" s="20" t="s">
        <v>283</v>
      </c>
      <c r="D87" s="52" t="n">
        <f aca="false">COUNTIFS(Simulation!$N$3:$N$290,"F",Simulation!$F$3:$F$290,$C87,Simulation!$E$3:$E$290,"03/03/2026")</f>
        <v>11</v>
      </c>
      <c r="E87" s="53" t="n">
        <f aca="false">IF($D87=0,"",AVERAGEIFS(Simulation!$U$3:$U$290,Simulation!$N$3:$N$290,"F",Simulation!$F$3:$F$290,$C87,Simulation!$E$3:$E$290,"03/03/2026"))</f>
        <v>70.0818603623955</v>
      </c>
      <c r="F87" s="53" t="n">
        <f aca="false">IF($D87=0,"",AVERAGEIFS(Simulation!$Z$3:$Z$290,Simulation!$N$3:$N$290,"F",Simulation!$F$3:$F$290,$C87,Simulation!$E$3:$E$290,"03/03/2026"))</f>
        <v>34.0317342382602</v>
      </c>
      <c r="G87" s="53" t="n">
        <f aca="false">IF($D87=0,"",AVERAGEIFS(Simulation!$AE$3:$AE$290,Simulation!$N$3:$N$290,"F",Simulation!$F$3:$F$290,$C87,Simulation!$E$3:$E$290,"03/03/2026"))</f>
        <v>7.3346325913855</v>
      </c>
      <c r="H87" s="54" t="n">
        <f aca="false">IF($D87=0,"",AVERAGEIFS(Simulation!$AJ$3:$AJ$290,Simulation!$N$3:$N$290,"F",Simulation!$F$3:$F$290,$C87,Simulation!$E$3:$E$290,"03/03/2026"))</f>
        <v>0.193087462607957</v>
      </c>
      <c r="I87" s="55" t="n">
        <f aca="false">IF($D87=0,"",AVERAGEIFS(Simulation!$AO$3:$AO$290,Simulation!$N$3:$N$290,"F",Simulation!$F$3:$F$290,$C87,Simulation!$E$3:$E$290,"03/03/2026"))</f>
        <v>3.70379753127579</v>
      </c>
      <c r="J87" s="52" t="n">
        <f aca="false">IF($D87=0,"",AVERAGEIFS(Simulation!$AT$3:$AT$290,Simulation!$N$3:$N$290,"F",Simulation!$F$3:$F$290,$C87,Simulation!$E$3:$E$290,"03/03/2026"))</f>
        <v>350.585585780757</v>
      </c>
      <c r="K87" s="55" t="n">
        <f aca="false">IF($D87=0,"",AVERAGEIFS(Simulation!$AY$3:$AY$290,Simulation!$N$3:$N$290,"F",Simulation!$F$3:$F$290,$C87,Simulation!$E$3:$E$290,"03/03/2026"))</f>
        <v>1.95702253033572</v>
      </c>
      <c r="L87" s="54" t="n">
        <f aca="false">IF($D87=0,"",AVERAGEIFS(Simulation!$BD$3:$BD$290,Simulation!$N$3:$N$290,"F",Simulation!$F$3:$F$290,$C87,Simulation!$E$3:$E$290,"03/03/2026"))</f>
        <v>0.67891670801294</v>
      </c>
      <c r="M87" s="54" t="n">
        <f aca="false">IF($D87=0,"",AVERAGEIFS(Simulation!$BI$3:$BI$290,Simulation!$N$3:$N$290,"F",Simulation!$F$3:$F$290,$C87,Simulation!$E$3:$E$290,"03/03/2026"))</f>
        <v>0.280564143317522</v>
      </c>
      <c r="N87" s="54" t="n">
        <f aca="false">IF($D87=0,"",AVERAGEIFS(Simulation!$BN$3:$BN$290,Simulation!$N$3:$N$290,"F",Simulation!$F$3:$F$290,$C87,Simulation!$E$3:$E$290,"03/03/2026"))</f>
        <v>0.226264443662881</v>
      </c>
      <c r="O87" s="53" t="n">
        <f aca="false">IF($D87=0,"",AVERAGEIFS(Simulation!$BS$3:$BS$290,Simulation!$N$3:$N$290,"F",Simulation!$F$3:$F$290,$C87,Simulation!$E$3:$E$290,"03/03/2026"))</f>
        <v>21.0103264617687</v>
      </c>
      <c r="P87" s="55" t="n">
        <f aca="false">IF($D87=0,"",AVERAGEIFS(Simulation!$BX$3:$BX$290,Simulation!$N$3:$N$290,"F",Simulation!$F$3:$F$290,$C87,Simulation!$E$3:$E$290,"03/03/2026"))</f>
        <v>9.11094891256217</v>
      </c>
      <c r="Q87" s="53" t="n">
        <f aca="false">IF($D87=0,"",AVERAGEIFS(Simulation!$CL$3:$CL$290,Simulation!$N$3:$N$290,"F",Simulation!$F$3:$F$290,$C87,Simulation!$E$3:$E$290,"03/03/2026"))</f>
        <v>29.0924513926427</v>
      </c>
      <c r="R87" s="53" t="n">
        <f aca="false">IF($D87=0,"",AVERAGEIFS(Simulation!$CO$3:$CO$290,Simulation!$N$3:$N$290,"F",Simulation!$F$3:$F$290,$C87,Simulation!$E$3:$E$290,"03/03/2026"))</f>
        <v>0.472451392642744</v>
      </c>
      <c r="S87" s="55" t="n">
        <f aca="false">IF($D87=0,"",AVERAGEIFS(Simulation!$CK$3:$CK$290,Simulation!$N$3:$N$290,"F",Simulation!$F$3:$F$290,$C87,Simulation!$E$3:$E$290,"03/03/2026"))</f>
        <v>0.517698236332651</v>
      </c>
    </row>
    <row r="88" customFormat="false" ht="15" hidden="false" customHeight="false" outlineLevel="0" collapsed="false">
      <c r="A88" s="27" t="s">
        <v>456</v>
      </c>
      <c r="B88" s="20" t="s">
        <v>162</v>
      </c>
      <c r="C88" s="20" t="s">
        <v>285</v>
      </c>
      <c r="D88" s="52" t="n">
        <f aca="false">COUNTIFS(Simulation!$N$3:$N$290,"F",Simulation!$F$3:$F$290,$C88,Simulation!$E$3:$E$290,"03/03/2026")</f>
        <v>11</v>
      </c>
      <c r="E88" s="53" t="n">
        <f aca="false">IF($D88=0,"",AVERAGEIFS(Simulation!$U$3:$U$290,Simulation!$N$3:$N$290,"F",Simulation!$F$3:$F$290,$C88,Simulation!$E$3:$E$290,"03/03/2026"))</f>
        <v>60.7210368654833</v>
      </c>
      <c r="F88" s="53" t="n">
        <f aca="false">IF($D88=0,"",AVERAGEIFS(Simulation!$Z$3:$Z$290,Simulation!$N$3:$N$290,"F",Simulation!$F$3:$F$290,$C88,Simulation!$E$3:$E$290,"03/03/2026"))</f>
        <v>22.0935607452252</v>
      </c>
      <c r="G88" s="53" t="n">
        <f aca="false">IF($D88=0,"",AVERAGEIFS(Simulation!$AE$3:$AE$290,Simulation!$N$3:$N$290,"F",Simulation!$F$3:$F$290,$C88,Simulation!$E$3:$E$290,"03/03/2026"))</f>
        <v>5.5861777438896</v>
      </c>
      <c r="H88" s="54" t="n">
        <f aca="false">IF($D88=0,"",AVERAGEIFS(Simulation!$AJ$3:$AJ$290,Simulation!$N$3:$N$290,"F",Simulation!$F$3:$F$290,$C88,Simulation!$E$3:$E$290,"03/03/2026"))</f>
        <v>0.154428417785148</v>
      </c>
      <c r="I88" s="55" t="n">
        <f aca="false">IF($D88=0,"",AVERAGEIFS(Simulation!$AO$3:$AO$290,Simulation!$N$3:$N$290,"F",Simulation!$F$3:$F$290,$C88,Simulation!$E$3:$E$290,"03/03/2026"))</f>
        <v>3.14484486552544</v>
      </c>
      <c r="J88" s="52" t="n">
        <f aca="false">IF($D88=0,"",AVERAGEIFS(Simulation!$AT$3:$AT$290,Simulation!$N$3:$N$290,"F",Simulation!$F$3:$F$290,$C88,Simulation!$E$3:$E$290,"03/03/2026"))</f>
        <v>362.710525261535</v>
      </c>
      <c r="K88" s="55" t="n">
        <f aca="false">IF($D88=0,"",AVERAGEIFS(Simulation!$AY$3:$AY$290,Simulation!$N$3:$N$290,"F",Simulation!$F$3:$F$290,$C88,Simulation!$E$3:$E$290,"03/03/2026"))</f>
        <v>1.73207355743436</v>
      </c>
      <c r="L88" s="54" t="n">
        <f aca="false">IF($D88=0,"",AVERAGEIFS(Simulation!$BD$3:$BD$290,Simulation!$N$3:$N$290,"F",Simulation!$F$3:$F$290,$C88,Simulation!$E$3:$E$290,"03/03/2026"))</f>
        <v>0.544423121290051</v>
      </c>
      <c r="M88" s="54" t="n">
        <f aca="false">IF($D88=0,"",AVERAGEIFS(Simulation!$BI$3:$BI$290,Simulation!$N$3:$N$290,"F",Simulation!$F$3:$F$290,$C88,Simulation!$E$3:$E$290,"03/03/2026"))</f>
        <v>0.238147133242515</v>
      </c>
      <c r="N88" s="54" t="n">
        <f aca="false">IF($D88=0,"",AVERAGEIFS(Simulation!$BN$3:$BN$290,Simulation!$N$3:$N$290,"F",Simulation!$F$3:$F$290,$C88,Simulation!$E$3:$E$290,"03/03/2026"))</f>
        <v>0.19942213386577</v>
      </c>
      <c r="O88" s="53" t="n">
        <f aca="false">IF($D88=0,"",AVERAGEIFS(Simulation!$BS$3:$BS$290,Simulation!$N$3:$N$290,"F",Simulation!$F$3:$F$290,$C88,Simulation!$E$3:$E$290,"03/03/2026"))</f>
        <v>22.5791782037992</v>
      </c>
      <c r="P88" s="55" t="n">
        <f aca="false">IF($D88=0,"",AVERAGEIFS(Simulation!$BX$3:$BX$290,Simulation!$N$3:$N$290,"F",Simulation!$F$3:$F$290,$C88,Simulation!$E$3:$E$290,"03/03/2026"))</f>
        <v>8.84515140108778</v>
      </c>
      <c r="Q88" s="53" t="n">
        <f aca="false">IF($D88=0,"",AVERAGEIFS(Simulation!$CL$3:$CL$290,Simulation!$N$3:$N$290,"F",Simulation!$F$3:$F$290,$C88,Simulation!$E$3:$E$290,"03/03/2026"))</f>
        <v>29.6248057346381</v>
      </c>
      <c r="R88" s="53" t="n">
        <f aca="false">IF($D88=0,"",AVERAGEIFS(Simulation!$CO$3:$CO$290,Simulation!$N$3:$N$290,"F",Simulation!$F$3:$F$290,$C88,Simulation!$E$3:$E$290,"03/03/2026"))</f>
        <v>1.00480573463807</v>
      </c>
      <c r="S88" s="55" t="n">
        <f aca="false">IF($D88=0,"",AVERAGEIFS(Simulation!$CK$3:$CK$290,Simulation!$N$3:$N$290,"F",Simulation!$F$3:$F$290,$C88,Simulation!$E$3:$E$290,"03/03/2026"))</f>
        <v>0.590484033672145</v>
      </c>
    </row>
    <row r="89" customFormat="false" ht="15" hidden="false" customHeight="false" outlineLevel="0" collapsed="false">
      <c r="A89" s="47" t="s">
        <v>456</v>
      </c>
      <c r="B89" s="17" t="s">
        <v>164</v>
      </c>
      <c r="C89" s="17" t="s">
        <v>275</v>
      </c>
      <c r="D89" s="48" t="n">
        <f aca="false">COUNTIFS(Simulation!$N$3:$N$290,"F",Simulation!$F$3:$F$290,$C89,Simulation!$E$3:$E$290,"13/03/2026")</f>
        <v>3</v>
      </c>
      <c r="E89" s="49" t="n">
        <f aca="false">IF($D89=0,"",AVERAGEIFS(Simulation!$U$3:$U$290,Simulation!$N$3:$N$290,"F",Simulation!$F$3:$F$290,$C89,Simulation!$E$3:$E$290,"13/03/2026"))</f>
        <v>81.0806464285714</v>
      </c>
      <c r="F89" s="49" t="n">
        <f aca="false">IF($D89=0,"",AVERAGEIFS(Simulation!$Z$3:$Z$290,Simulation!$N$3:$N$290,"F",Simulation!$F$3:$F$290,$C89,Simulation!$E$3:$E$290,"13/03/2026"))</f>
        <v>62.48592</v>
      </c>
      <c r="G89" s="49" t="n">
        <f aca="false">IF($D89=0,"",AVERAGEIFS(Simulation!$AE$3:$AE$290,Simulation!$N$3:$N$290,"F",Simulation!$F$3:$F$290,$C89,Simulation!$E$3:$E$290,"13/03/2026"))</f>
        <v>16.9941157142857</v>
      </c>
      <c r="H89" s="50" t="n">
        <f aca="false">IF($D89=0,"",AVERAGEIFS(Simulation!$AJ$3:$AJ$290,Simulation!$N$3:$N$290,"F",Simulation!$F$3:$F$290,$C89,Simulation!$E$3:$E$290,"13/03/2026"))</f>
        <v>0.304119499618928</v>
      </c>
      <c r="I89" s="51" t="n">
        <f aca="false">IF($D89=0,"",AVERAGEIFS(Simulation!$AO$3:$AO$290,Simulation!$N$3:$N$290,"F",Simulation!$F$3:$F$290,$C89,Simulation!$E$3:$E$290,"13/03/2026"))</f>
        <v>6.70550532611877</v>
      </c>
      <c r="J89" s="48" t="n">
        <f aca="false">IF($D89=0,"",AVERAGEIFS(Simulation!$AT$3:$AT$290,Simulation!$N$3:$N$290,"F",Simulation!$F$3:$F$290,$C89,Simulation!$E$3:$E$290,"13/03/2026"))</f>
        <v>285</v>
      </c>
      <c r="K89" s="51" t="n">
        <f aca="false">IF($D89=0,"",AVERAGEIFS(Simulation!$AY$3:$AY$290,Simulation!$N$3:$N$290,"F",Simulation!$F$3:$F$290,$C89,Simulation!$E$3:$E$290,"13/03/2026"))</f>
        <v>2.37660282410296</v>
      </c>
      <c r="L89" s="50" t="n">
        <f aca="false">IF($D89=0,"",AVERAGEIFS(Simulation!$BD$3:$BD$290,Simulation!$N$3:$N$290,"F",Simulation!$F$3:$F$290,$C89,Simulation!$E$3:$E$290,"13/03/2026"))</f>
        <v>1.19026696428571</v>
      </c>
      <c r="M89" s="50" t="n">
        <f aca="false">IF($D89=0,"",AVERAGEIFS(Simulation!$BI$3:$BI$290,Simulation!$N$3:$N$290,"F",Simulation!$F$3:$F$290,$C89,Simulation!$E$3:$E$290,"13/03/2026"))</f>
        <v>0.428496107142857</v>
      </c>
      <c r="N89" s="50" t="n">
        <f aca="false">IF($D89=0,"",AVERAGEIFS(Simulation!$BN$3:$BN$290,Simulation!$N$3:$N$290,"F",Simulation!$F$3:$F$290,$C89,Simulation!$E$3:$E$290,"13/03/2026"))</f>
        <v>0.294332035714286</v>
      </c>
      <c r="O89" s="49" t="n">
        <f aca="false">IF($D89=0,"",AVERAGEIFS(Simulation!$BS$3:$BS$290,Simulation!$N$3:$N$290,"F",Simulation!$F$3:$F$290,$C89,Simulation!$E$3:$E$290,"13/03/2026"))</f>
        <v>15</v>
      </c>
      <c r="P89" s="51" t="n">
        <f aca="false">IF($D89=0,"",AVERAGEIFS(Simulation!$BX$3:$BX$290,Simulation!$N$3:$N$290,"F",Simulation!$F$3:$F$290,$C89,Simulation!$E$3:$E$290,"13/03/2026"))</f>
        <v>9.80497142857143</v>
      </c>
      <c r="Q89" s="49" t="n">
        <f aca="false">IF($D89=0,"",AVERAGEIFS(Simulation!$CL$3:$CL$290,Simulation!$N$3:$N$290,"F",Simulation!$F$3:$F$290,$C89,Simulation!$E$3:$E$290,"13/03/2026"))</f>
        <v>30.454085456935</v>
      </c>
      <c r="R89" s="49" t="n">
        <f aca="false">IF($D89=0,"",AVERAGEIFS(Simulation!$CO$3:$CO$290,Simulation!$N$3:$N$290,"F",Simulation!$F$3:$F$290,$C89,Simulation!$E$3:$E$290,"13/03/2026"))</f>
        <v>-2.33305740020784</v>
      </c>
      <c r="S89" s="51" t="n">
        <f aca="false">IF($D89=0,"",AVERAGEIFS(Simulation!$CK$3:$CK$290,Simulation!$N$3:$N$290,"F",Simulation!$F$3:$F$290,$C89,Simulation!$E$3:$E$290,"13/03/2026"))</f>
        <v>0.247678571428572</v>
      </c>
    </row>
    <row r="90" customFormat="false" ht="15" hidden="false" customHeight="false" outlineLevel="0" collapsed="false">
      <c r="A90" s="27" t="s">
        <v>456</v>
      </c>
      <c r="B90" s="20" t="s">
        <v>164</v>
      </c>
      <c r="C90" s="20" t="s">
        <v>277</v>
      </c>
      <c r="D90" s="52" t="n">
        <f aca="false">COUNTIFS(Simulation!$N$3:$N$290,"F",Simulation!$F$3:$F$290,$C90,Simulation!$E$3:$E$290,"13/03/2026")</f>
        <v>3</v>
      </c>
      <c r="E90" s="53" t="n">
        <f aca="false">IF($D90=0,"",AVERAGEIFS(Simulation!$U$3:$U$290,Simulation!$N$3:$N$290,"F",Simulation!$F$3:$F$290,$C90,Simulation!$E$3:$E$290,"13/03/2026"))</f>
        <v>80.736906393918</v>
      </c>
      <c r="F90" s="53" t="n">
        <f aca="false">IF($D90=0,"",AVERAGEIFS(Simulation!$Z$3:$Z$290,Simulation!$N$3:$N$290,"F",Simulation!$F$3:$F$290,$C90,Simulation!$E$3:$E$290,"13/03/2026"))</f>
        <v>61.640275447184</v>
      </c>
      <c r="G90" s="53" t="n">
        <f aca="false">IF($D90=0,"",AVERAGEIFS(Simulation!$AE$3:$AE$290,Simulation!$N$3:$N$290,"F",Simulation!$F$3:$F$290,$C90,Simulation!$E$3:$E$290,"13/03/2026"))</f>
        <v>15.4463582469702</v>
      </c>
      <c r="H90" s="54" t="n">
        <f aca="false">IF($D90=0,"",AVERAGEIFS(Simulation!$AJ$3:$AJ$290,Simulation!$N$3:$N$290,"F",Simulation!$F$3:$F$290,$C90,Simulation!$E$3:$E$290,"13/03/2026"))</f>
        <v>0.287389181174062</v>
      </c>
      <c r="I90" s="55" t="n">
        <f aca="false">IF($D90=0,"",AVERAGEIFS(Simulation!$AO$3:$AO$290,Simulation!$N$3:$N$290,"F",Simulation!$F$3:$F$290,$C90,Simulation!$E$3:$E$290,"13/03/2026"))</f>
        <v>6.38414458823634</v>
      </c>
      <c r="J90" s="52" t="n">
        <f aca="false">IF($D90=0,"",AVERAGEIFS(Simulation!$AT$3:$AT$290,Simulation!$N$3:$N$290,"F",Simulation!$F$3:$F$290,$C90,Simulation!$E$3:$E$290,"13/03/2026"))</f>
        <v>294.507164283005</v>
      </c>
      <c r="K90" s="55" t="n">
        <f aca="false">IF($D90=0,"",AVERAGEIFS(Simulation!$AY$3:$AY$290,Simulation!$N$3:$N$290,"F",Simulation!$F$3:$F$290,$C90,Simulation!$E$3:$E$290,"13/03/2026"))</f>
        <v>2.30063632581175</v>
      </c>
      <c r="L90" s="54" t="n">
        <f aca="false">IF($D90=0,"",AVERAGEIFS(Simulation!$BD$3:$BD$290,Simulation!$N$3:$N$290,"F",Simulation!$F$3:$F$290,$C90,Simulation!$E$3:$E$290,"13/03/2026"))</f>
        <v>1.12072180328121</v>
      </c>
      <c r="M90" s="54" t="n">
        <f aca="false">IF($D90=0,"",AVERAGEIFS(Simulation!$BI$3:$BI$290,Simulation!$N$3:$N$290,"F",Simulation!$F$3:$F$290,$C90,Simulation!$E$3:$E$290,"13/03/2026"))</f>
        <v>0.408576869239823</v>
      </c>
      <c r="N90" s="54" t="n">
        <f aca="false">IF($D90=0,"",AVERAGEIFS(Simulation!$BN$3:$BN$290,Simulation!$N$3:$N$290,"F",Simulation!$F$3:$F$290,$C90,Simulation!$E$3:$E$290,"13/03/2026"))</f>
        <v>0.301842702699053</v>
      </c>
      <c r="O90" s="53" t="n">
        <f aca="false">IF($D90=0,"",AVERAGEIFS(Simulation!$BS$3:$BS$290,Simulation!$N$3:$N$290,"F",Simulation!$F$3:$F$290,$C90,Simulation!$E$3:$E$290,"13/03/2026"))</f>
        <v>15.7617090103496</v>
      </c>
      <c r="P90" s="55" t="n">
        <f aca="false">IF($D90=0,"",AVERAGEIFS(Simulation!$BX$3:$BX$290,Simulation!$N$3:$N$290,"F",Simulation!$F$3:$F$290,$C90,Simulation!$E$3:$E$290,"13/03/2026"))</f>
        <v>9.68009012160384</v>
      </c>
      <c r="Q90" s="53" t="n">
        <f aca="false">IF($D90=0,"",AVERAGEIFS(Simulation!$CL$3:$CL$290,Simulation!$N$3:$N$290,"F",Simulation!$F$3:$F$290,$C90,Simulation!$E$3:$E$290,"13/03/2026"))</f>
        <v>30.7575966615649</v>
      </c>
      <c r="R90" s="53" t="n">
        <f aca="false">IF($D90=0,"",AVERAGEIFS(Simulation!$CO$3:$CO$290,Simulation!$N$3:$N$290,"F",Simulation!$F$3:$F$290,$C90,Simulation!$E$3:$E$290,"13/03/2026"))</f>
        <v>-2.02954619557793</v>
      </c>
      <c r="S90" s="55" t="n">
        <f aca="false">IF($D90=0,"",AVERAGEIFS(Simulation!$CK$3:$CK$290,Simulation!$N$3:$N$290,"F",Simulation!$F$3:$F$290,$C90,Simulation!$E$3:$E$290,"13/03/2026"))</f>
        <v>0.283733508029512</v>
      </c>
    </row>
    <row r="91" customFormat="false" ht="15" hidden="false" customHeight="false" outlineLevel="0" collapsed="false">
      <c r="A91" s="27" t="s">
        <v>456</v>
      </c>
      <c r="B91" s="20" t="s">
        <v>164</v>
      </c>
      <c r="C91" s="20" t="s">
        <v>279</v>
      </c>
      <c r="D91" s="52" t="n">
        <f aca="false">COUNTIFS(Simulation!$N$3:$N$290,"F",Simulation!$F$3:$F$290,$C91,Simulation!$E$3:$E$290,"13/03/2026")</f>
        <v>3</v>
      </c>
      <c r="E91" s="53" t="n">
        <f aca="false">IF($D91=0,"",AVERAGEIFS(Simulation!$U$3:$U$290,Simulation!$N$3:$N$290,"F",Simulation!$F$3:$F$290,$C91,Simulation!$E$3:$E$290,"13/03/2026"))</f>
        <v>79.9709241521982</v>
      </c>
      <c r="F91" s="53" t="n">
        <f aca="false">IF($D91=0,"",AVERAGEIFS(Simulation!$Z$3:$Z$290,Simulation!$N$3:$N$290,"F",Simulation!$F$3:$F$290,$C91,Simulation!$E$3:$E$290,"13/03/2026"))</f>
        <v>59.6625999959304</v>
      </c>
      <c r="G91" s="53" t="n">
        <f aca="false">IF($D91=0,"",AVERAGEIFS(Simulation!$AE$3:$AE$290,Simulation!$N$3:$N$290,"F",Simulation!$F$3:$F$290,$C91,Simulation!$E$3:$E$290,"13/03/2026"))</f>
        <v>13.280270473441</v>
      </c>
      <c r="H91" s="54" t="n">
        <f aca="false">IF($D91=0,"",AVERAGEIFS(Simulation!$AJ$3:$AJ$290,Simulation!$N$3:$N$290,"F",Simulation!$F$3:$F$290,$C91,Simulation!$E$3:$E$290,"13/03/2026"))</f>
        <v>0.262643573142327</v>
      </c>
      <c r="I91" s="55" t="n">
        <f aca="false">IF($D91=0,"",AVERAGEIFS(Simulation!$AO$3:$AO$290,Simulation!$N$3:$N$290,"F",Simulation!$F$3:$F$290,$C91,Simulation!$E$3:$E$290,"13/03/2026"))</f>
        <v>5.90682622587239</v>
      </c>
      <c r="J91" s="52" t="n">
        <f aca="false">IF($D91=0,"",AVERAGEIFS(Simulation!$AT$3:$AT$290,Simulation!$N$3:$N$290,"F",Simulation!$F$3:$F$290,$C91,Simulation!$E$3:$E$290,"13/03/2026"))</f>
        <v>308.024019708029</v>
      </c>
      <c r="K91" s="55" t="n">
        <f aca="false">IF($D91=0,"",AVERAGEIFS(Simulation!$AY$3:$AY$290,Simulation!$N$3:$N$290,"F",Simulation!$F$3:$F$290,$C91,Simulation!$E$3:$E$290,"13/03/2026"))</f>
        <v>2.18602637311108</v>
      </c>
      <c r="L91" s="54" t="n">
        <f aca="false">IF($D91=0,"",AVERAGEIFS(Simulation!$BD$3:$BD$290,Simulation!$N$3:$N$290,"F",Simulation!$F$3:$F$290,$C91,Simulation!$E$3:$E$290,"13/03/2026"))</f>
        <v>1.01866960475668</v>
      </c>
      <c r="M91" s="54" t="n">
        <f aca="false">IF($D91=0,"",AVERAGEIFS(Simulation!$BI$3:$BI$290,Simulation!$N$3:$N$290,"F",Simulation!$F$3:$F$290,$C91,Simulation!$E$3:$E$290,"13/03/2026"))</f>
        <v>0.3791145696988</v>
      </c>
      <c r="N91" s="54" t="n">
        <f aca="false">IF($D91=0,"",AVERAGEIFS(Simulation!$BN$3:$BN$290,Simulation!$N$3:$N$290,"F",Simulation!$F$3:$F$290,$C91,Simulation!$E$3:$E$290,"13/03/2026"))</f>
        <v>0.297905517345715</v>
      </c>
      <c r="O91" s="53" t="n">
        <f aca="false">IF($D91=0,"",AVERAGEIFS(Simulation!$BS$3:$BS$290,Simulation!$N$3:$N$290,"F",Simulation!$F$3:$F$290,$C91,Simulation!$E$3:$E$290,"13/03/2026"))</f>
        <v>16.888343429561</v>
      </c>
      <c r="P91" s="55" t="n">
        <f aca="false">IF($D91=0,"",AVERAGEIFS(Simulation!$BX$3:$BX$290,Simulation!$N$3:$N$290,"F",Simulation!$F$3:$F$290,$C91,Simulation!$E$3:$E$290,"13/03/2026"))</f>
        <v>9.49537971797976</v>
      </c>
      <c r="Q91" s="53" t="n">
        <f aca="false">IF($D91=0,"",AVERAGEIFS(Simulation!$CL$3:$CL$290,Simulation!$N$3:$N$290,"F",Simulation!$F$3:$F$290,$C91,Simulation!$E$3:$E$290,"13/03/2026"))</f>
        <v>31.2084030422935</v>
      </c>
      <c r="R91" s="53" t="n">
        <f aca="false">IF($D91=0,"",AVERAGEIFS(Simulation!$CO$3:$CO$290,Simulation!$N$3:$N$290,"F",Simulation!$F$3:$F$290,$C91,Simulation!$E$3:$E$290,"13/03/2026"))</f>
        <v>-1.57873981484932</v>
      </c>
      <c r="S91" s="55" t="n">
        <f aca="false">IF($D91=0,"",AVERAGEIFS(Simulation!$CK$3:$CK$290,Simulation!$N$3:$N$290,"F",Simulation!$F$3:$F$290,$C91,Simulation!$E$3:$E$290,"13/03/2026"))</f>
        <v>0.337286046547122</v>
      </c>
    </row>
    <row r="92" customFormat="false" ht="15" hidden="false" customHeight="false" outlineLevel="0" collapsed="false">
      <c r="A92" s="27" t="s">
        <v>456</v>
      </c>
      <c r="B92" s="20" t="s">
        <v>164</v>
      </c>
      <c r="C92" s="20" t="s">
        <v>281</v>
      </c>
      <c r="D92" s="52" t="n">
        <f aca="false">COUNTIFS(Simulation!$N$3:$N$290,"F",Simulation!$F$3:$F$290,$C92,Simulation!$E$3:$E$290,"13/03/2026")</f>
        <v>3</v>
      </c>
      <c r="E92" s="53" t="n">
        <f aca="false">IF($D92=0,"",AVERAGEIFS(Simulation!$U$3:$U$290,Simulation!$N$3:$N$290,"F",Simulation!$F$3:$F$290,$C92,Simulation!$E$3:$E$290,"13/03/2026"))</f>
        <v>77.4537663155518</v>
      </c>
      <c r="F92" s="53" t="n">
        <f aca="false">IF($D92=0,"",AVERAGEIFS(Simulation!$Z$3:$Z$290,Simulation!$N$3:$N$290,"F",Simulation!$F$3:$F$290,$C92,Simulation!$E$3:$E$290,"13/03/2026"))</f>
        <v>52.8305336229923</v>
      </c>
      <c r="G92" s="53" t="n">
        <f aca="false">IF($D92=0,"",AVERAGEIFS(Simulation!$AE$3:$AE$290,Simulation!$N$3:$N$290,"F",Simulation!$F$3:$F$290,$C92,Simulation!$E$3:$E$290,"13/03/2026"))</f>
        <v>10.1469048997313</v>
      </c>
      <c r="H92" s="54" t="n">
        <f aca="false">IF($D92=0,"",AVERAGEIFS(Simulation!$AJ$3:$AJ$290,Simulation!$N$3:$N$290,"F",Simulation!$F$3:$F$290,$C92,Simulation!$E$3:$E$290,"13/03/2026"))</f>
        <v>0.223012833616168</v>
      </c>
      <c r="I92" s="55" t="n">
        <f aca="false">IF($D92=0,"",AVERAGEIFS(Simulation!$AO$3:$AO$290,Simulation!$N$3:$N$290,"F",Simulation!$F$3:$F$290,$C92,Simulation!$E$3:$E$290,"13/03/2026"))</f>
        <v>5.13846486011731</v>
      </c>
      <c r="J92" s="52" t="n">
        <f aca="false">IF($D92=0,"",AVERAGEIFS(Simulation!$AT$3:$AT$290,Simulation!$N$3:$N$290,"F",Simulation!$F$3:$F$290,$C92,Simulation!$E$3:$E$290,"13/03/2026"))</f>
        <v>328.151304080165</v>
      </c>
      <c r="K92" s="55" t="n">
        <f aca="false">IF($D92=0,"",AVERAGEIFS(Simulation!$AY$3:$AY$290,Simulation!$N$3:$N$290,"F",Simulation!$F$3:$F$290,$C92,Simulation!$E$3:$E$290,"13/03/2026"))</f>
        <v>1.99562512393632</v>
      </c>
      <c r="L92" s="54" t="n">
        <f aca="false">IF($D92=0,"",AVERAGEIFS(Simulation!$BD$3:$BD$290,Simulation!$N$3:$N$290,"F",Simulation!$F$3:$F$290,$C92,Simulation!$E$3:$E$290,"13/03/2026"))</f>
        <v>0.857601351943801</v>
      </c>
      <c r="M92" s="54" t="n">
        <f aca="false">IF($D92=0,"",AVERAGEIFS(Simulation!$BI$3:$BI$290,Simulation!$N$3:$N$290,"F",Simulation!$F$3:$F$290,$C92,Simulation!$E$3:$E$290,"13/03/2026"))</f>
        <v>0.331929925156843</v>
      </c>
      <c r="N92" s="54" t="n">
        <f aca="false">IF($D92=0,"",AVERAGEIFS(Simulation!$BN$3:$BN$290,Simulation!$N$3:$N$290,"F",Simulation!$F$3:$F$290,$C92,Simulation!$E$3:$E$290,"13/03/2026"))</f>
        <v>0.269468562347551</v>
      </c>
      <c r="O92" s="53" t="n">
        <f aca="false">IF($D92=0,"",AVERAGEIFS(Simulation!$BS$3:$BS$290,Simulation!$N$3:$N$290,"F",Simulation!$F$3:$F$290,$C92,Simulation!$E$3:$E$290,"13/03/2026"))</f>
        <v>18.6926779664902</v>
      </c>
      <c r="P92" s="55" t="n">
        <f aca="false">IF($D92=0,"",AVERAGEIFS(Simulation!$BX$3:$BX$290,Simulation!$N$3:$N$290,"F",Simulation!$F$3:$F$290,$C92,Simulation!$E$3:$E$290,"13/03/2026"))</f>
        <v>9.19956116769762</v>
      </c>
      <c r="Q92" s="53" t="n">
        <f aca="false">IF($D92=0,"",AVERAGEIFS(Simulation!$CL$3:$CL$290,Simulation!$N$3:$N$290,"F",Simulation!$F$3:$F$290,$C92,Simulation!$E$3:$E$290,"13/03/2026"))</f>
        <v>31.9340868493699</v>
      </c>
      <c r="R92" s="53" t="n">
        <f aca="false">IF($D92=0,"",AVERAGEIFS(Simulation!$CO$3:$CO$290,Simulation!$N$3:$N$290,"F",Simulation!$F$3:$F$290,$C92,Simulation!$E$3:$E$290,"13/03/2026"))</f>
        <v>-0.853056007772904</v>
      </c>
      <c r="S92" s="55" t="n">
        <f aca="false">IF($D92=0,"",AVERAGEIFS(Simulation!$CK$3:$CK$290,Simulation!$N$3:$N$290,"F",Simulation!$F$3:$F$290,$C92,Simulation!$E$3:$E$290,"13/03/2026"))</f>
        <v>0.423492035839586</v>
      </c>
    </row>
    <row r="93" customFormat="false" ht="15" hidden="false" customHeight="false" outlineLevel="0" collapsed="false">
      <c r="A93" s="27" t="s">
        <v>456</v>
      </c>
      <c r="B93" s="20" t="s">
        <v>164</v>
      </c>
      <c r="C93" s="20" t="s">
        <v>283</v>
      </c>
      <c r="D93" s="52" t="n">
        <f aca="false">COUNTIFS(Simulation!$N$3:$N$290,"F",Simulation!$F$3:$F$290,$C93,Simulation!$E$3:$E$290,"13/03/2026")</f>
        <v>3</v>
      </c>
      <c r="E93" s="53" t="n">
        <f aca="false">IF($D93=0,"",AVERAGEIFS(Simulation!$U$3:$U$290,Simulation!$N$3:$N$290,"F",Simulation!$F$3:$F$290,$C93,Simulation!$E$3:$E$290,"13/03/2026"))</f>
        <v>68.2007550194684</v>
      </c>
      <c r="F93" s="53" t="n">
        <f aca="false">IF($D93=0,"",AVERAGEIFS(Simulation!$Z$3:$Z$290,Simulation!$N$3:$N$290,"F",Simulation!$F$3:$F$290,$C93,Simulation!$E$3:$E$290,"13/03/2026"))</f>
        <v>31.7456749912858</v>
      </c>
      <c r="G93" s="53" t="n">
        <f aca="false">IF($D93=0,"",AVERAGEIFS(Simulation!$AE$3:$AE$290,Simulation!$N$3:$N$290,"F",Simulation!$F$3:$F$290,$C93,Simulation!$E$3:$E$290,"13/03/2026"))</f>
        <v>6.82923685366818</v>
      </c>
      <c r="H93" s="54" t="n">
        <f aca="false">IF($D93=0,"",AVERAGEIFS(Simulation!$AJ$3:$AJ$290,Simulation!$N$3:$N$290,"F",Simulation!$F$3:$F$290,$C93,Simulation!$E$3:$E$290,"13/03/2026"))</f>
        <v>0.17190384867713</v>
      </c>
      <c r="I93" s="55" t="n">
        <f aca="false">IF($D93=0,"",AVERAGEIFS(Simulation!$AO$3:$AO$290,Simulation!$N$3:$N$290,"F",Simulation!$F$3:$F$290,$C93,Simulation!$E$3:$E$290,"13/03/2026"))</f>
        <v>4.15037141942708</v>
      </c>
      <c r="J93" s="52" t="n">
        <f aca="false">IF($D93=0,"",AVERAGEIFS(Simulation!$AT$3:$AT$290,Simulation!$N$3:$N$290,"F",Simulation!$F$3:$F$290,$C93,Simulation!$E$3:$E$290,"13/03/2026"))</f>
        <v>350.686798104493</v>
      </c>
      <c r="K93" s="55" t="n">
        <f aca="false">IF($D93=0,"",AVERAGEIFS(Simulation!$AY$3:$AY$290,Simulation!$N$3:$N$290,"F",Simulation!$F$3:$F$290,$C93,Simulation!$E$3:$E$290,"13/03/2026"))</f>
        <v>1.73185628670916</v>
      </c>
      <c r="L93" s="54" t="n">
        <f aca="false">IF($D93=0,"",AVERAGEIFS(Simulation!$BD$3:$BD$290,Simulation!$N$3:$N$290,"F",Simulation!$F$3:$F$290,$C93,Simulation!$E$3:$E$290,"13/03/2026"))</f>
        <v>0.655711725798507</v>
      </c>
      <c r="M93" s="54" t="n">
        <f aca="false">IF($D93=0,"",AVERAGEIFS(Simulation!$BI$3:$BI$290,Simulation!$N$3:$N$290,"F",Simulation!$F$3:$F$290,$C93,Simulation!$E$3:$E$290,"13/03/2026"))</f>
        <v>0.271079198774185</v>
      </c>
      <c r="N93" s="54" t="n">
        <f aca="false">IF($D93=0,"",AVERAGEIFS(Simulation!$BN$3:$BN$290,Simulation!$N$3:$N$290,"F",Simulation!$F$3:$F$290,$C93,Simulation!$E$3:$E$290,"13/03/2026"))</f>
        <v>0.222371828842155</v>
      </c>
      <c r="O93" s="53" t="n">
        <f aca="false">IF($D93=0,"",AVERAGEIFS(Simulation!$BS$3:$BS$290,Simulation!$N$3:$N$290,"F",Simulation!$F$3:$F$290,$C93,Simulation!$E$3:$E$290,"13/03/2026"))</f>
        <v>21.0196016569257</v>
      </c>
      <c r="P93" s="55" t="n">
        <f aca="false">IF($D93=0,"",AVERAGEIFS(Simulation!$BX$3:$BX$290,Simulation!$N$3:$N$290,"F",Simulation!$F$3:$F$290,$C93,Simulation!$E$3:$E$290,"13/03/2026"))</f>
        <v>8.81806473306566</v>
      </c>
      <c r="Q93" s="53" t="n">
        <f aca="false">IF($D93=0,"",AVERAGEIFS(Simulation!$CL$3:$CL$290,Simulation!$N$3:$N$290,"F",Simulation!$F$3:$F$290,$C93,Simulation!$E$3:$E$290,"13/03/2026"))</f>
        <v>32.8672980202396</v>
      </c>
      <c r="R93" s="53" t="n">
        <f aca="false">IF($D93=0,"",AVERAGEIFS(Simulation!$CO$3:$CO$290,Simulation!$N$3:$N$290,"F",Simulation!$F$3:$F$290,$C93,Simulation!$E$3:$E$290,"13/03/2026"))</f>
        <v>0.080155163096767</v>
      </c>
      <c r="S93" s="55" t="n">
        <f aca="false">IF($D93=0,"",AVERAGEIFS(Simulation!$CK$3:$CK$290,Simulation!$N$3:$N$290,"F",Simulation!$F$3:$F$290,$C93,Simulation!$E$3:$E$290,"13/03/2026"))</f>
        <v>0.53435077544369</v>
      </c>
    </row>
    <row r="94" customFormat="false" ht="15" hidden="false" customHeight="false" outlineLevel="0" collapsed="false">
      <c r="A94" s="27" t="s">
        <v>456</v>
      </c>
      <c r="B94" s="20" t="s">
        <v>164</v>
      </c>
      <c r="C94" s="20" t="s">
        <v>285</v>
      </c>
      <c r="D94" s="52" t="n">
        <f aca="false">COUNTIFS(Simulation!$N$3:$N$290,"F",Simulation!$F$3:$F$290,$C94,Simulation!$E$3:$E$290,"13/03/2026")</f>
        <v>3</v>
      </c>
      <c r="E94" s="53" t="n">
        <f aca="false">IF($D94=0,"",AVERAGEIFS(Simulation!$U$3:$U$290,Simulation!$N$3:$N$290,"F",Simulation!$F$3:$F$290,$C94,Simulation!$E$3:$E$290,"13/03/2026"))</f>
        <v>59.0744776244545</v>
      </c>
      <c r="F94" s="53" t="n">
        <f aca="false">IF($D94=0,"",AVERAGEIFS(Simulation!$Z$3:$Z$290,Simulation!$N$3:$N$290,"F",Simulation!$F$3:$F$290,$C94,Simulation!$E$3:$E$290,"13/03/2026"))</f>
        <v>20.5756136055396</v>
      </c>
      <c r="G94" s="53" t="n">
        <f aca="false">IF($D94=0,"",AVERAGEIFS(Simulation!$AE$3:$AE$290,Simulation!$N$3:$N$290,"F",Simulation!$F$3:$F$290,$C94,Simulation!$E$3:$E$290,"13/03/2026"))</f>
        <v>5.1945761910031</v>
      </c>
      <c r="H94" s="54" t="n">
        <f aca="false">IF($D94=0,"",AVERAGEIFS(Simulation!$AJ$3:$AJ$290,Simulation!$N$3:$N$290,"F",Simulation!$F$3:$F$290,$C94,Simulation!$E$3:$E$290,"13/03/2026"))</f>
        <v>0.137392120300449</v>
      </c>
      <c r="I94" s="55" t="n">
        <f aca="false">IF($D94=0,"",AVERAGEIFS(Simulation!$AO$3:$AO$290,Simulation!$N$3:$N$290,"F",Simulation!$F$3:$F$290,$C94,Simulation!$E$3:$E$290,"13/03/2026"))</f>
        <v>3.52161627215659</v>
      </c>
      <c r="J94" s="52" t="n">
        <f aca="false">IF($D94=0,"",AVERAGEIFS(Simulation!$AT$3:$AT$290,Simulation!$N$3:$N$290,"F",Simulation!$F$3:$F$290,$C94,Simulation!$E$3:$E$290,"13/03/2026"))</f>
        <v>362.83044891163</v>
      </c>
      <c r="K94" s="55" t="n">
        <f aca="false">IF($D94=0,"",AVERAGEIFS(Simulation!$AY$3:$AY$290,Simulation!$N$3:$N$290,"F",Simulation!$F$3:$F$290,$C94,Simulation!$E$3:$E$290,"13/03/2026"))</f>
        <v>1.53228021907532</v>
      </c>
      <c r="L94" s="54" t="n">
        <f aca="false">IF($D94=0,"",AVERAGEIFS(Simulation!$BD$3:$BD$290,Simulation!$N$3:$N$290,"F",Simulation!$F$3:$F$290,$C94,Simulation!$E$3:$E$290,"13/03/2026"))</f>
        <v>0.525426027758485</v>
      </c>
      <c r="M94" s="54" t="n">
        <f aca="false">IF($D94=0,"",AVERAGEIFS(Simulation!$BI$3:$BI$290,Simulation!$N$3:$N$290,"F",Simulation!$F$3:$F$290,$C94,Simulation!$E$3:$E$290,"13/03/2026"))</f>
        <v>0.22998928585678</v>
      </c>
      <c r="N94" s="54" t="n">
        <f aca="false">IF($D94=0,"",AVERAGEIFS(Simulation!$BN$3:$BN$290,Simulation!$N$3:$N$290,"F",Simulation!$F$3:$F$290,$C94,Simulation!$E$3:$E$290,"13/03/2026"))</f>
        <v>0.195933700758997</v>
      </c>
      <c r="O94" s="53" t="n">
        <f aca="false">IF($D94=0,"",AVERAGEIFS(Simulation!$BS$3:$BS$290,Simulation!$N$3:$N$290,"F",Simulation!$F$3:$F$290,$C94,Simulation!$E$3:$E$290,"13/03/2026"))</f>
        <v>22.5908744664594</v>
      </c>
      <c r="P94" s="55" t="n">
        <f aca="false">IF($D94=0,"",AVERAGEIFS(Simulation!$BX$3:$BX$290,Simulation!$N$3:$N$290,"F",Simulation!$F$3:$F$290,$C94,Simulation!$E$3:$E$290,"13/03/2026"))</f>
        <v>8.56045638211925</v>
      </c>
      <c r="Q94" s="53" t="n">
        <f aca="false">IF($D94=0,"",AVERAGEIFS(Simulation!$CL$3:$CL$290,Simulation!$N$3:$N$290,"F",Simulation!$F$3:$F$290,$C94,Simulation!$E$3:$E$290,"13/03/2026"))</f>
        <v>33.4611298412107</v>
      </c>
      <c r="R94" s="53" t="n">
        <f aca="false">IF($D94=0,"",AVERAGEIFS(Simulation!$CO$3:$CO$290,Simulation!$N$3:$N$290,"F",Simulation!$F$3:$F$290,$C94,Simulation!$E$3:$E$290,"13/03/2026"))</f>
        <v>0.67398698406781</v>
      </c>
      <c r="S94" s="55" t="n">
        <f aca="false">IF($D94=0,"",AVERAGEIFS(Simulation!$CK$3:$CK$290,Simulation!$N$3:$N$290,"F",Simulation!$F$3:$F$290,$C94,Simulation!$E$3:$E$290,"13/03/2026"))</f>
        <v>0.604893702130167</v>
      </c>
    </row>
    <row r="95" customFormat="false" ht="15" hidden="false" customHeight="false" outlineLevel="0" collapsed="false">
      <c r="A95" s="47" t="s">
        <v>457</v>
      </c>
      <c r="B95" s="17" t="s">
        <v>158</v>
      </c>
      <c r="C95" s="17" t="s">
        <v>275</v>
      </c>
      <c r="D95" s="48" t="n">
        <f aca="false">COUNTIFS(Simulation!$N$3:$N$290,"P",Simulation!$F$3:$F$290,$C95,Simulation!$E$3:$E$290,"11/02/2026")</f>
        <v>0</v>
      </c>
      <c r="E95" s="49" t="str">
        <f aca="false">IF($D95=0,"",AVERAGEIFS(Simulation!$U$3:$U$290,Simulation!$N$3:$N$290,"P",Simulation!$F$3:$F$290,$C95,Simulation!$E$3:$E$290,"11/02/2026"))</f>
        <v/>
      </c>
      <c r="F95" s="49" t="str">
        <f aca="false">IF($D95=0,"",AVERAGEIFS(Simulation!$Z$3:$Z$290,Simulation!$N$3:$N$290,"P",Simulation!$F$3:$F$290,$C95,Simulation!$E$3:$E$290,"11/02/2026"))</f>
        <v/>
      </c>
      <c r="G95" s="49" t="str">
        <f aca="false">IF($D95=0,"",AVERAGEIFS(Simulation!$AE$3:$AE$290,Simulation!$N$3:$N$290,"P",Simulation!$F$3:$F$290,$C95,Simulation!$E$3:$E$290,"11/02/2026"))</f>
        <v/>
      </c>
      <c r="H95" s="50" t="str">
        <f aca="false">IF($D95=0,"",AVERAGEIFS(Simulation!$AJ$3:$AJ$290,Simulation!$N$3:$N$290,"P",Simulation!$F$3:$F$290,$C95,Simulation!$E$3:$E$290,"11/02/2026"))</f>
        <v/>
      </c>
      <c r="I95" s="51" t="str">
        <f aca="false">IF($D95=0,"",AVERAGEIFS(Simulation!$AO$3:$AO$290,Simulation!$N$3:$N$290,"P",Simulation!$F$3:$F$290,$C95,Simulation!$E$3:$E$290,"11/02/2026"))</f>
        <v/>
      </c>
      <c r="J95" s="48" t="str">
        <f aca="false">IF($D95=0,"",AVERAGEIFS(Simulation!$AT$3:$AT$290,Simulation!$N$3:$N$290,"P",Simulation!$F$3:$F$290,$C95,Simulation!$E$3:$E$290,"11/02/2026"))</f>
        <v/>
      </c>
      <c r="K95" s="51" t="str">
        <f aca="false">IF($D95=0,"",AVERAGEIFS(Simulation!$AY$3:$AY$290,Simulation!$N$3:$N$290,"P",Simulation!$F$3:$F$290,$C95,Simulation!$E$3:$E$290,"11/02/2026"))</f>
        <v/>
      </c>
      <c r="L95" s="50" t="str">
        <f aca="false">IF($D95=0,"",AVERAGEIFS(Simulation!$BD$3:$BD$290,Simulation!$N$3:$N$290,"P",Simulation!$F$3:$F$290,$C95,Simulation!$E$3:$E$290,"11/02/2026"))</f>
        <v/>
      </c>
      <c r="M95" s="50" t="str">
        <f aca="false">IF($D95=0,"",AVERAGEIFS(Simulation!$BI$3:$BI$290,Simulation!$N$3:$N$290,"P",Simulation!$F$3:$F$290,$C95,Simulation!$E$3:$E$290,"11/02/2026"))</f>
        <v/>
      </c>
      <c r="N95" s="50" t="str">
        <f aca="false">IF($D95=0,"",AVERAGEIFS(Simulation!$BN$3:$BN$290,Simulation!$N$3:$N$290,"P",Simulation!$F$3:$F$290,$C95,Simulation!$E$3:$E$290,"11/02/2026"))</f>
        <v/>
      </c>
      <c r="O95" s="49" t="str">
        <f aca="false">IF($D95=0,"",AVERAGEIFS(Simulation!$BS$3:$BS$290,Simulation!$N$3:$N$290,"P",Simulation!$F$3:$F$290,$C95,Simulation!$E$3:$E$290,"11/02/2026"))</f>
        <v/>
      </c>
      <c r="P95" s="51" t="str">
        <f aca="false">IF($D95=0,"",AVERAGEIFS(Simulation!$BX$3:$BX$290,Simulation!$N$3:$N$290,"P",Simulation!$F$3:$F$290,$C95,Simulation!$E$3:$E$290,"11/02/2026"))</f>
        <v/>
      </c>
      <c r="Q95" s="49" t="str">
        <f aca="false">IF($D95=0,"",AVERAGEIFS(Simulation!$CL$3:$CL$290,Simulation!$N$3:$N$290,"P",Simulation!$F$3:$F$290,$C95,Simulation!$E$3:$E$290,"11/02/2026"))</f>
        <v/>
      </c>
      <c r="R95" s="49" t="str">
        <f aca="false">IF($D95=0,"",AVERAGEIFS(Simulation!$CO$3:$CO$290,Simulation!$N$3:$N$290,"P",Simulation!$F$3:$F$290,$C95,Simulation!$E$3:$E$290,"11/02/2026"))</f>
        <v/>
      </c>
      <c r="S95" s="51" t="str">
        <f aca="false">IF($D95=0,"",AVERAGEIFS(Simulation!$CK$3:$CK$290,Simulation!$N$3:$N$290,"P",Simulation!$F$3:$F$290,$C95,Simulation!$E$3:$E$290,"11/02/2026"))</f>
        <v/>
      </c>
    </row>
    <row r="96" customFormat="false" ht="15" hidden="false" customHeight="false" outlineLevel="0" collapsed="false">
      <c r="A96" s="27" t="s">
        <v>457</v>
      </c>
      <c r="B96" s="20" t="s">
        <v>158</v>
      </c>
      <c r="C96" s="20" t="s">
        <v>277</v>
      </c>
      <c r="D96" s="52" t="n">
        <f aca="false">COUNTIFS(Simulation!$N$3:$N$290,"P",Simulation!$F$3:$F$290,$C96,Simulation!$E$3:$E$290,"11/02/2026")</f>
        <v>0</v>
      </c>
      <c r="E96" s="53" t="str">
        <f aca="false">IF($D96=0,"",AVERAGEIFS(Simulation!$U$3:$U$290,Simulation!$N$3:$N$290,"P",Simulation!$F$3:$F$290,$C96,Simulation!$E$3:$E$290,"11/02/2026"))</f>
        <v/>
      </c>
      <c r="F96" s="53" t="str">
        <f aca="false">IF($D96=0,"",AVERAGEIFS(Simulation!$Z$3:$Z$290,Simulation!$N$3:$N$290,"P",Simulation!$F$3:$F$290,$C96,Simulation!$E$3:$E$290,"11/02/2026"))</f>
        <v/>
      </c>
      <c r="G96" s="53" t="str">
        <f aca="false">IF($D96=0,"",AVERAGEIFS(Simulation!$AE$3:$AE$290,Simulation!$N$3:$N$290,"P",Simulation!$F$3:$F$290,$C96,Simulation!$E$3:$E$290,"11/02/2026"))</f>
        <v/>
      </c>
      <c r="H96" s="54" t="str">
        <f aca="false">IF($D96=0,"",AVERAGEIFS(Simulation!$AJ$3:$AJ$290,Simulation!$N$3:$N$290,"P",Simulation!$F$3:$F$290,$C96,Simulation!$E$3:$E$290,"11/02/2026"))</f>
        <v/>
      </c>
      <c r="I96" s="55" t="str">
        <f aca="false">IF($D96=0,"",AVERAGEIFS(Simulation!$AO$3:$AO$290,Simulation!$N$3:$N$290,"P",Simulation!$F$3:$F$290,$C96,Simulation!$E$3:$E$290,"11/02/2026"))</f>
        <v/>
      </c>
      <c r="J96" s="52" t="str">
        <f aca="false">IF($D96=0,"",AVERAGEIFS(Simulation!$AT$3:$AT$290,Simulation!$N$3:$N$290,"P",Simulation!$F$3:$F$290,$C96,Simulation!$E$3:$E$290,"11/02/2026"))</f>
        <v/>
      </c>
      <c r="K96" s="55" t="str">
        <f aca="false">IF($D96=0,"",AVERAGEIFS(Simulation!$AY$3:$AY$290,Simulation!$N$3:$N$290,"P",Simulation!$F$3:$F$290,$C96,Simulation!$E$3:$E$290,"11/02/2026"))</f>
        <v/>
      </c>
      <c r="L96" s="54" t="str">
        <f aca="false">IF($D96=0,"",AVERAGEIFS(Simulation!$BD$3:$BD$290,Simulation!$N$3:$N$290,"P",Simulation!$F$3:$F$290,$C96,Simulation!$E$3:$E$290,"11/02/2026"))</f>
        <v/>
      </c>
      <c r="M96" s="54" t="str">
        <f aca="false">IF($D96=0,"",AVERAGEIFS(Simulation!$BI$3:$BI$290,Simulation!$N$3:$N$290,"P",Simulation!$F$3:$F$290,$C96,Simulation!$E$3:$E$290,"11/02/2026"))</f>
        <v/>
      </c>
      <c r="N96" s="54" t="str">
        <f aca="false">IF($D96=0,"",AVERAGEIFS(Simulation!$BN$3:$BN$290,Simulation!$N$3:$N$290,"P",Simulation!$F$3:$F$290,$C96,Simulation!$E$3:$E$290,"11/02/2026"))</f>
        <v/>
      </c>
      <c r="O96" s="53" t="str">
        <f aca="false">IF($D96=0,"",AVERAGEIFS(Simulation!$BS$3:$BS$290,Simulation!$N$3:$N$290,"P",Simulation!$F$3:$F$290,$C96,Simulation!$E$3:$E$290,"11/02/2026"))</f>
        <v/>
      </c>
      <c r="P96" s="55" t="str">
        <f aca="false">IF($D96=0,"",AVERAGEIFS(Simulation!$BX$3:$BX$290,Simulation!$N$3:$N$290,"P",Simulation!$F$3:$F$290,$C96,Simulation!$E$3:$E$290,"11/02/2026"))</f>
        <v/>
      </c>
      <c r="Q96" s="53" t="str">
        <f aca="false">IF($D96=0,"",AVERAGEIFS(Simulation!$CL$3:$CL$290,Simulation!$N$3:$N$290,"P",Simulation!$F$3:$F$290,$C96,Simulation!$E$3:$E$290,"11/02/2026"))</f>
        <v/>
      </c>
      <c r="R96" s="53" t="str">
        <f aca="false">IF($D96=0,"",AVERAGEIFS(Simulation!$CO$3:$CO$290,Simulation!$N$3:$N$290,"P",Simulation!$F$3:$F$290,$C96,Simulation!$E$3:$E$290,"11/02/2026"))</f>
        <v/>
      </c>
      <c r="S96" s="55" t="str">
        <f aca="false">IF($D96=0,"",AVERAGEIFS(Simulation!$CK$3:$CK$290,Simulation!$N$3:$N$290,"P",Simulation!$F$3:$F$290,$C96,Simulation!$E$3:$E$290,"11/02/2026"))</f>
        <v/>
      </c>
    </row>
    <row r="97" customFormat="false" ht="15" hidden="false" customHeight="false" outlineLevel="0" collapsed="false">
      <c r="A97" s="27" t="s">
        <v>457</v>
      </c>
      <c r="B97" s="20" t="s">
        <v>158</v>
      </c>
      <c r="C97" s="20" t="s">
        <v>279</v>
      </c>
      <c r="D97" s="52" t="n">
        <f aca="false">COUNTIFS(Simulation!$N$3:$N$290,"P",Simulation!$F$3:$F$290,$C97,Simulation!$E$3:$E$290,"11/02/2026")</f>
        <v>0</v>
      </c>
      <c r="E97" s="53" t="str">
        <f aca="false">IF($D97=0,"",AVERAGEIFS(Simulation!$U$3:$U$290,Simulation!$N$3:$N$290,"P",Simulation!$F$3:$F$290,$C97,Simulation!$E$3:$E$290,"11/02/2026"))</f>
        <v/>
      </c>
      <c r="F97" s="53" t="str">
        <f aca="false">IF($D97=0,"",AVERAGEIFS(Simulation!$Z$3:$Z$290,Simulation!$N$3:$N$290,"P",Simulation!$F$3:$F$290,$C97,Simulation!$E$3:$E$290,"11/02/2026"))</f>
        <v/>
      </c>
      <c r="G97" s="53" t="str">
        <f aca="false">IF($D97=0,"",AVERAGEIFS(Simulation!$AE$3:$AE$290,Simulation!$N$3:$N$290,"P",Simulation!$F$3:$F$290,$C97,Simulation!$E$3:$E$290,"11/02/2026"))</f>
        <v/>
      </c>
      <c r="H97" s="54" t="str">
        <f aca="false">IF($D97=0,"",AVERAGEIFS(Simulation!$AJ$3:$AJ$290,Simulation!$N$3:$N$290,"P",Simulation!$F$3:$F$290,$C97,Simulation!$E$3:$E$290,"11/02/2026"))</f>
        <v/>
      </c>
      <c r="I97" s="55" t="str">
        <f aca="false">IF($D97=0,"",AVERAGEIFS(Simulation!$AO$3:$AO$290,Simulation!$N$3:$N$290,"P",Simulation!$F$3:$F$290,$C97,Simulation!$E$3:$E$290,"11/02/2026"))</f>
        <v/>
      </c>
      <c r="J97" s="52" t="str">
        <f aca="false">IF($D97=0,"",AVERAGEIFS(Simulation!$AT$3:$AT$290,Simulation!$N$3:$N$290,"P",Simulation!$F$3:$F$290,$C97,Simulation!$E$3:$E$290,"11/02/2026"))</f>
        <v/>
      </c>
      <c r="K97" s="55" t="str">
        <f aca="false">IF($D97=0,"",AVERAGEIFS(Simulation!$AY$3:$AY$290,Simulation!$N$3:$N$290,"P",Simulation!$F$3:$F$290,$C97,Simulation!$E$3:$E$290,"11/02/2026"))</f>
        <v/>
      </c>
      <c r="L97" s="54" t="str">
        <f aca="false">IF($D97=0,"",AVERAGEIFS(Simulation!$BD$3:$BD$290,Simulation!$N$3:$N$290,"P",Simulation!$F$3:$F$290,$C97,Simulation!$E$3:$E$290,"11/02/2026"))</f>
        <v/>
      </c>
      <c r="M97" s="54" t="str">
        <f aca="false">IF($D97=0,"",AVERAGEIFS(Simulation!$BI$3:$BI$290,Simulation!$N$3:$N$290,"P",Simulation!$F$3:$F$290,$C97,Simulation!$E$3:$E$290,"11/02/2026"))</f>
        <v/>
      </c>
      <c r="N97" s="54" t="str">
        <f aca="false">IF($D97=0,"",AVERAGEIFS(Simulation!$BN$3:$BN$290,Simulation!$N$3:$N$290,"P",Simulation!$F$3:$F$290,$C97,Simulation!$E$3:$E$290,"11/02/2026"))</f>
        <v/>
      </c>
      <c r="O97" s="53" t="str">
        <f aca="false">IF($D97=0,"",AVERAGEIFS(Simulation!$BS$3:$BS$290,Simulation!$N$3:$N$290,"P",Simulation!$F$3:$F$290,$C97,Simulation!$E$3:$E$290,"11/02/2026"))</f>
        <v/>
      </c>
      <c r="P97" s="55" t="str">
        <f aca="false">IF($D97=0,"",AVERAGEIFS(Simulation!$BX$3:$BX$290,Simulation!$N$3:$N$290,"P",Simulation!$F$3:$F$290,$C97,Simulation!$E$3:$E$290,"11/02/2026"))</f>
        <v/>
      </c>
      <c r="Q97" s="53" t="str">
        <f aca="false">IF($D97=0,"",AVERAGEIFS(Simulation!$CL$3:$CL$290,Simulation!$N$3:$N$290,"P",Simulation!$F$3:$F$290,$C97,Simulation!$E$3:$E$290,"11/02/2026"))</f>
        <v/>
      </c>
      <c r="R97" s="53" t="str">
        <f aca="false">IF($D97=0,"",AVERAGEIFS(Simulation!$CO$3:$CO$290,Simulation!$N$3:$N$290,"P",Simulation!$F$3:$F$290,$C97,Simulation!$E$3:$E$290,"11/02/2026"))</f>
        <v/>
      </c>
      <c r="S97" s="55" t="str">
        <f aca="false">IF($D97=0,"",AVERAGEIFS(Simulation!$CK$3:$CK$290,Simulation!$N$3:$N$290,"P",Simulation!$F$3:$F$290,$C97,Simulation!$E$3:$E$290,"11/02/2026"))</f>
        <v/>
      </c>
    </row>
    <row r="98" customFormat="false" ht="15" hidden="false" customHeight="false" outlineLevel="0" collapsed="false">
      <c r="A98" s="27" t="s">
        <v>457</v>
      </c>
      <c r="B98" s="20" t="s">
        <v>158</v>
      </c>
      <c r="C98" s="20" t="s">
        <v>281</v>
      </c>
      <c r="D98" s="52" t="n">
        <f aca="false">COUNTIFS(Simulation!$N$3:$N$290,"P",Simulation!$F$3:$F$290,$C98,Simulation!$E$3:$E$290,"11/02/2026")</f>
        <v>0</v>
      </c>
      <c r="E98" s="53" t="str">
        <f aca="false">IF($D98=0,"",AVERAGEIFS(Simulation!$U$3:$U$290,Simulation!$N$3:$N$290,"P",Simulation!$F$3:$F$290,$C98,Simulation!$E$3:$E$290,"11/02/2026"))</f>
        <v/>
      </c>
      <c r="F98" s="53" t="str">
        <f aca="false">IF($D98=0,"",AVERAGEIFS(Simulation!$Z$3:$Z$290,Simulation!$N$3:$N$290,"P",Simulation!$F$3:$F$290,$C98,Simulation!$E$3:$E$290,"11/02/2026"))</f>
        <v/>
      </c>
      <c r="G98" s="53" t="str">
        <f aca="false">IF($D98=0,"",AVERAGEIFS(Simulation!$AE$3:$AE$290,Simulation!$N$3:$N$290,"P",Simulation!$F$3:$F$290,$C98,Simulation!$E$3:$E$290,"11/02/2026"))</f>
        <v/>
      </c>
      <c r="H98" s="54" t="str">
        <f aca="false">IF($D98=0,"",AVERAGEIFS(Simulation!$AJ$3:$AJ$290,Simulation!$N$3:$N$290,"P",Simulation!$F$3:$F$290,$C98,Simulation!$E$3:$E$290,"11/02/2026"))</f>
        <v/>
      </c>
      <c r="I98" s="55" t="str">
        <f aca="false">IF($D98=0,"",AVERAGEIFS(Simulation!$AO$3:$AO$290,Simulation!$N$3:$N$290,"P",Simulation!$F$3:$F$290,$C98,Simulation!$E$3:$E$290,"11/02/2026"))</f>
        <v/>
      </c>
      <c r="J98" s="52" t="str">
        <f aca="false">IF($D98=0,"",AVERAGEIFS(Simulation!$AT$3:$AT$290,Simulation!$N$3:$N$290,"P",Simulation!$F$3:$F$290,$C98,Simulation!$E$3:$E$290,"11/02/2026"))</f>
        <v/>
      </c>
      <c r="K98" s="55" t="str">
        <f aca="false">IF($D98=0,"",AVERAGEIFS(Simulation!$AY$3:$AY$290,Simulation!$N$3:$N$290,"P",Simulation!$F$3:$F$290,$C98,Simulation!$E$3:$E$290,"11/02/2026"))</f>
        <v/>
      </c>
      <c r="L98" s="54" t="str">
        <f aca="false">IF($D98=0,"",AVERAGEIFS(Simulation!$BD$3:$BD$290,Simulation!$N$3:$N$290,"P",Simulation!$F$3:$F$290,$C98,Simulation!$E$3:$E$290,"11/02/2026"))</f>
        <v/>
      </c>
      <c r="M98" s="54" t="str">
        <f aca="false">IF($D98=0,"",AVERAGEIFS(Simulation!$BI$3:$BI$290,Simulation!$N$3:$N$290,"P",Simulation!$F$3:$F$290,$C98,Simulation!$E$3:$E$290,"11/02/2026"))</f>
        <v/>
      </c>
      <c r="N98" s="54" t="str">
        <f aca="false">IF($D98=0,"",AVERAGEIFS(Simulation!$BN$3:$BN$290,Simulation!$N$3:$N$290,"P",Simulation!$F$3:$F$290,$C98,Simulation!$E$3:$E$290,"11/02/2026"))</f>
        <v/>
      </c>
      <c r="O98" s="53" t="str">
        <f aca="false">IF($D98=0,"",AVERAGEIFS(Simulation!$BS$3:$BS$290,Simulation!$N$3:$N$290,"P",Simulation!$F$3:$F$290,$C98,Simulation!$E$3:$E$290,"11/02/2026"))</f>
        <v/>
      </c>
      <c r="P98" s="55" t="str">
        <f aca="false">IF($D98=0,"",AVERAGEIFS(Simulation!$BX$3:$BX$290,Simulation!$N$3:$N$290,"P",Simulation!$F$3:$F$290,$C98,Simulation!$E$3:$E$290,"11/02/2026"))</f>
        <v/>
      </c>
      <c r="Q98" s="53" t="str">
        <f aca="false">IF($D98=0,"",AVERAGEIFS(Simulation!$CL$3:$CL$290,Simulation!$N$3:$N$290,"P",Simulation!$F$3:$F$290,$C98,Simulation!$E$3:$E$290,"11/02/2026"))</f>
        <v/>
      </c>
      <c r="R98" s="53" t="str">
        <f aca="false">IF($D98=0,"",AVERAGEIFS(Simulation!$CO$3:$CO$290,Simulation!$N$3:$N$290,"P",Simulation!$F$3:$F$290,$C98,Simulation!$E$3:$E$290,"11/02/2026"))</f>
        <v/>
      </c>
      <c r="S98" s="55" t="str">
        <f aca="false">IF($D98=0,"",AVERAGEIFS(Simulation!$CK$3:$CK$290,Simulation!$N$3:$N$290,"P",Simulation!$F$3:$F$290,$C98,Simulation!$E$3:$E$290,"11/02/2026"))</f>
        <v/>
      </c>
    </row>
    <row r="99" customFormat="false" ht="15" hidden="false" customHeight="false" outlineLevel="0" collapsed="false">
      <c r="A99" s="27" t="s">
        <v>457</v>
      </c>
      <c r="B99" s="20" t="s">
        <v>158</v>
      </c>
      <c r="C99" s="20" t="s">
        <v>283</v>
      </c>
      <c r="D99" s="52" t="n">
        <f aca="false">COUNTIFS(Simulation!$N$3:$N$290,"P",Simulation!$F$3:$F$290,$C99,Simulation!$E$3:$E$290,"11/02/2026")</f>
        <v>0</v>
      </c>
      <c r="E99" s="53" t="str">
        <f aca="false">IF($D99=0,"",AVERAGEIFS(Simulation!$U$3:$U$290,Simulation!$N$3:$N$290,"P",Simulation!$F$3:$F$290,$C99,Simulation!$E$3:$E$290,"11/02/2026"))</f>
        <v/>
      </c>
      <c r="F99" s="53" t="str">
        <f aca="false">IF($D99=0,"",AVERAGEIFS(Simulation!$Z$3:$Z$290,Simulation!$N$3:$N$290,"P",Simulation!$F$3:$F$290,$C99,Simulation!$E$3:$E$290,"11/02/2026"))</f>
        <v/>
      </c>
      <c r="G99" s="53" t="str">
        <f aca="false">IF($D99=0,"",AVERAGEIFS(Simulation!$AE$3:$AE$290,Simulation!$N$3:$N$290,"P",Simulation!$F$3:$F$290,$C99,Simulation!$E$3:$E$290,"11/02/2026"))</f>
        <v/>
      </c>
      <c r="H99" s="54" t="str">
        <f aca="false">IF($D99=0,"",AVERAGEIFS(Simulation!$AJ$3:$AJ$290,Simulation!$N$3:$N$290,"P",Simulation!$F$3:$F$290,$C99,Simulation!$E$3:$E$290,"11/02/2026"))</f>
        <v/>
      </c>
      <c r="I99" s="55" t="str">
        <f aca="false">IF($D99=0,"",AVERAGEIFS(Simulation!$AO$3:$AO$290,Simulation!$N$3:$N$290,"P",Simulation!$F$3:$F$290,$C99,Simulation!$E$3:$E$290,"11/02/2026"))</f>
        <v/>
      </c>
      <c r="J99" s="52" t="str">
        <f aca="false">IF($D99=0,"",AVERAGEIFS(Simulation!$AT$3:$AT$290,Simulation!$N$3:$N$290,"P",Simulation!$F$3:$F$290,$C99,Simulation!$E$3:$E$290,"11/02/2026"))</f>
        <v/>
      </c>
      <c r="K99" s="55" t="str">
        <f aca="false">IF($D99=0,"",AVERAGEIFS(Simulation!$AY$3:$AY$290,Simulation!$N$3:$N$290,"P",Simulation!$F$3:$F$290,$C99,Simulation!$E$3:$E$290,"11/02/2026"))</f>
        <v/>
      </c>
      <c r="L99" s="54" t="str">
        <f aca="false">IF($D99=0,"",AVERAGEIFS(Simulation!$BD$3:$BD$290,Simulation!$N$3:$N$290,"P",Simulation!$F$3:$F$290,$C99,Simulation!$E$3:$E$290,"11/02/2026"))</f>
        <v/>
      </c>
      <c r="M99" s="54" t="str">
        <f aca="false">IF($D99=0,"",AVERAGEIFS(Simulation!$BI$3:$BI$290,Simulation!$N$3:$N$290,"P",Simulation!$F$3:$F$290,$C99,Simulation!$E$3:$E$290,"11/02/2026"))</f>
        <v/>
      </c>
      <c r="N99" s="54" t="str">
        <f aca="false">IF($D99=0,"",AVERAGEIFS(Simulation!$BN$3:$BN$290,Simulation!$N$3:$N$290,"P",Simulation!$F$3:$F$290,$C99,Simulation!$E$3:$E$290,"11/02/2026"))</f>
        <v/>
      </c>
      <c r="O99" s="53" t="str">
        <f aca="false">IF($D99=0,"",AVERAGEIFS(Simulation!$BS$3:$BS$290,Simulation!$N$3:$N$290,"P",Simulation!$F$3:$F$290,$C99,Simulation!$E$3:$E$290,"11/02/2026"))</f>
        <v/>
      </c>
      <c r="P99" s="55" t="str">
        <f aca="false">IF($D99=0,"",AVERAGEIFS(Simulation!$BX$3:$BX$290,Simulation!$N$3:$N$290,"P",Simulation!$F$3:$F$290,$C99,Simulation!$E$3:$E$290,"11/02/2026"))</f>
        <v/>
      </c>
      <c r="Q99" s="53" t="str">
        <f aca="false">IF($D99=0,"",AVERAGEIFS(Simulation!$CL$3:$CL$290,Simulation!$N$3:$N$290,"P",Simulation!$F$3:$F$290,$C99,Simulation!$E$3:$E$290,"11/02/2026"))</f>
        <v/>
      </c>
      <c r="R99" s="53" t="str">
        <f aca="false">IF($D99=0,"",AVERAGEIFS(Simulation!$CO$3:$CO$290,Simulation!$N$3:$N$290,"P",Simulation!$F$3:$F$290,$C99,Simulation!$E$3:$E$290,"11/02/2026"))</f>
        <v/>
      </c>
      <c r="S99" s="55" t="str">
        <f aca="false">IF($D99=0,"",AVERAGEIFS(Simulation!$CK$3:$CK$290,Simulation!$N$3:$N$290,"P",Simulation!$F$3:$F$290,$C99,Simulation!$E$3:$E$290,"11/02/2026"))</f>
        <v/>
      </c>
    </row>
    <row r="100" customFormat="false" ht="15" hidden="false" customHeight="false" outlineLevel="0" collapsed="false">
      <c r="A100" s="27" t="s">
        <v>457</v>
      </c>
      <c r="B100" s="20" t="s">
        <v>158</v>
      </c>
      <c r="C100" s="20" t="s">
        <v>285</v>
      </c>
      <c r="D100" s="52" t="n">
        <f aca="false">COUNTIFS(Simulation!$N$3:$N$290,"P",Simulation!$F$3:$F$290,$C100,Simulation!$E$3:$E$290,"11/02/2026")</f>
        <v>0</v>
      </c>
      <c r="E100" s="53" t="str">
        <f aca="false">IF($D100=0,"",AVERAGEIFS(Simulation!$U$3:$U$290,Simulation!$N$3:$N$290,"P",Simulation!$F$3:$F$290,$C100,Simulation!$E$3:$E$290,"11/02/2026"))</f>
        <v/>
      </c>
      <c r="F100" s="53" t="str">
        <f aca="false">IF($D100=0,"",AVERAGEIFS(Simulation!$Z$3:$Z$290,Simulation!$N$3:$N$290,"P",Simulation!$F$3:$F$290,$C100,Simulation!$E$3:$E$290,"11/02/2026"))</f>
        <v/>
      </c>
      <c r="G100" s="53" t="str">
        <f aca="false">IF($D100=0,"",AVERAGEIFS(Simulation!$AE$3:$AE$290,Simulation!$N$3:$N$290,"P",Simulation!$F$3:$F$290,$C100,Simulation!$E$3:$E$290,"11/02/2026"))</f>
        <v/>
      </c>
      <c r="H100" s="54" t="str">
        <f aca="false">IF($D100=0,"",AVERAGEIFS(Simulation!$AJ$3:$AJ$290,Simulation!$N$3:$N$290,"P",Simulation!$F$3:$F$290,$C100,Simulation!$E$3:$E$290,"11/02/2026"))</f>
        <v/>
      </c>
      <c r="I100" s="55" t="str">
        <f aca="false">IF($D100=0,"",AVERAGEIFS(Simulation!$AO$3:$AO$290,Simulation!$N$3:$N$290,"P",Simulation!$F$3:$F$290,$C100,Simulation!$E$3:$E$290,"11/02/2026"))</f>
        <v/>
      </c>
      <c r="J100" s="52" t="str">
        <f aca="false">IF($D100=0,"",AVERAGEIFS(Simulation!$AT$3:$AT$290,Simulation!$N$3:$N$290,"P",Simulation!$F$3:$F$290,$C100,Simulation!$E$3:$E$290,"11/02/2026"))</f>
        <v/>
      </c>
      <c r="K100" s="55" t="str">
        <f aca="false">IF($D100=0,"",AVERAGEIFS(Simulation!$AY$3:$AY$290,Simulation!$N$3:$N$290,"P",Simulation!$F$3:$F$290,$C100,Simulation!$E$3:$E$290,"11/02/2026"))</f>
        <v/>
      </c>
      <c r="L100" s="54" t="str">
        <f aca="false">IF($D100=0,"",AVERAGEIFS(Simulation!$BD$3:$BD$290,Simulation!$N$3:$N$290,"P",Simulation!$F$3:$F$290,$C100,Simulation!$E$3:$E$290,"11/02/2026"))</f>
        <v/>
      </c>
      <c r="M100" s="54" t="str">
        <f aca="false">IF($D100=0,"",AVERAGEIFS(Simulation!$BI$3:$BI$290,Simulation!$N$3:$N$290,"P",Simulation!$F$3:$F$290,$C100,Simulation!$E$3:$E$290,"11/02/2026"))</f>
        <v/>
      </c>
      <c r="N100" s="54" t="str">
        <f aca="false">IF($D100=0,"",AVERAGEIFS(Simulation!$BN$3:$BN$290,Simulation!$N$3:$N$290,"P",Simulation!$F$3:$F$290,$C100,Simulation!$E$3:$E$290,"11/02/2026"))</f>
        <v/>
      </c>
      <c r="O100" s="53" t="str">
        <f aca="false">IF($D100=0,"",AVERAGEIFS(Simulation!$BS$3:$BS$290,Simulation!$N$3:$N$290,"P",Simulation!$F$3:$F$290,$C100,Simulation!$E$3:$E$290,"11/02/2026"))</f>
        <v/>
      </c>
      <c r="P100" s="55" t="str">
        <f aca="false">IF($D100=0,"",AVERAGEIFS(Simulation!$BX$3:$BX$290,Simulation!$N$3:$N$290,"P",Simulation!$F$3:$F$290,$C100,Simulation!$E$3:$E$290,"11/02/2026"))</f>
        <v/>
      </c>
      <c r="Q100" s="53" t="str">
        <f aca="false">IF($D100=0,"",AVERAGEIFS(Simulation!$CL$3:$CL$290,Simulation!$N$3:$N$290,"P",Simulation!$F$3:$F$290,$C100,Simulation!$E$3:$E$290,"11/02/2026"))</f>
        <v/>
      </c>
      <c r="R100" s="53" t="str">
        <f aca="false">IF($D100=0,"",AVERAGEIFS(Simulation!$CO$3:$CO$290,Simulation!$N$3:$N$290,"P",Simulation!$F$3:$F$290,$C100,Simulation!$E$3:$E$290,"11/02/2026"))</f>
        <v/>
      </c>
      <c r="S100" s="55" t="str">
        <f aca="false">IF($D100=0,"",AVERAGEIFS(Simulation!$CK$3:$CK$290,Simulation!$N$3:$N$290,"P",Simulation!$F$3:$F$290,$C100,Simulation!$E$3:$E$290,"11/02/2026"))</f>
        <v/>
      </c>
    </row>
    <row r="101" customFormat="false" ht="15" hidden="false" customHeight="false" outlineLevel="0" collapsed="false">
      <c r="A101" s="47" t="s">
        <v>457</v>
      </c>
      <c r="B101" s="17" t="s">
        <v>160</v>
      </c>
      <c r="C101" s="17" t="s">
        <v>275</v>
      </c>
      <c r="D101" s="48" t="n">
        <f aca="false">COUNTIFS(Simulation!$N$3:$N$290,"P",Simulation!$F$3:$F$290,$C101,Simulation!$E$3:$E$290,"24/02/2026")</f>
        <v>0</v>
      </c>
      <c r="E101" s="49" t="str">
        <f aca="false">IF($D101=0,"",AVERAGEIFS(Simulation!$U$3:$U$290,Simulation!$N$3:$N$290,"P",Simulation!$F$3:$F$290,$C101,Simulation!$E$3:$E$290,"24/02/2026"))</f>
        <v/>
      </c>
      <c r="F101" s="49" t="str">
        <f aca="false">IF($D101=0,"",AVERAGEIFS(Simulation!$Z$3:$Z$290,Simulation!$N$3:$N$290,"P",Simulation!$F$3:$F$290,$C101,Simulation!$E$3:$E$290,"24/02/2026"))</f>
        <v/>
      </c>
      <c r="G101" s="49" t="str">
        <f aca="false">IF($D101=0,"",AVERAGEIFS(Simulation!$AE$3:$AE$290,Simulation!$N$3:$N$290,"P",Simulation!$F$3:$F$290,$C101,Simulation!$E$3:$E$290,"24/02/2026"))</f>
        <v/>
      </c>
      <c r="H101" s="50" t="str">
        <f aca="false">IF($D101=0,"",AVERAGEIFS(Simulation!$AJ$3:$AJ$290,Simulation!$N$3:$N$290,"P",Simulation!$F$3:$F$290,$C101,Simulation!$E$3:$E$290,"24/02/2026"))</f>
        <v/>
      </c>
      <c r="I101" s="51" t="str">
        <f aca="false">IF($D101=0,"",AVERAGEIFS(Simulation!$AO$3:$AO$290,Simulation!$N$3:$N$290,"P",Simulation!$F$3:$F$290,$C101,Simulation!$E$3:$E$290,"24/02/2026"))</f>
        <v/>
      </c>
      <c r="J101" s="48" t="str">
        <f aca="false">IF($D101=0,"",AVERAGEIFS(Simulation!$AT$3:$AT$290,Simulation!$N$3:$N$290,"P",Simulation!$F$3:$F$290,$C101,Simulation!$E$3:$E$290,"24/02/2026"))</f>
        <v/>
      </c>
      <c r="K101" s="51" t="str">
        <f aca="false">IF($D101=0,"",AVERAGEIFS(Simulation!$AY$3:$AY$290,Simulation!$N$3:$N$290,"P",Simulation!$F$3:$F$290,$C101,Simulation!$E$3:$E$290,"24/02/2026"))</f>
        <v/>
      </c>
      <c r="L101" s="50" t="str">
        <f aca="false">IF($D101=0,"",AVERAGEIFS(Simulation!$BD$3:$BD$290,Simulation!$N$3:$N$290,"P",Simulation!$F$3:$F$290,$C101,Simulation!$E$3:$E$290,"24/02/2026"))</f>
        <v/>
      </c>
      <c r="M101" s="50" t="str">
        <f aca="false">IF($D101=0,"",AVERAGEIFS(Simulation!$BI$3:$BI$290,Simulation!$N$3:$N$290,"P",Simulation!$F$3:$F$290,$C101,Simulation!$E$3:$E$290,"24/02/2026"))</f>
        <v/>
      </c>
      <c r="N101" s="50" t="str">
        <f aca="false">IF($D101=0,"",AVERAGEIFS(Simulation!$BN$3:$BN$290,Simulation!$N$3:$N$290,"P",Simulation!$F$3:$F$290,$C101,Simulation!$E$3:$E$290,"24/02/2026"))</f>
        <v/>
      </c>
      <c r="O101" s="49" t="str">
        <f aca="false">IF($D101=0,"",AVERAGEIFS(Simulation!$BS$3:$BS$290,Simulation!$N$3:$N$290,"P",Simulation!$F$3:$F$290,$C101,Simulation!$E$3:$E$290,"24/02/2026"))</f>
        <v/>
      </c>
      <c r="P101" s="51" t="str">
        <f aca="false">IF($D101=0,"",AVERAGEIFS(Simulation!$BX$3:$BX$290,Simulation!$N$3:$N$290,"P",Simulation!$F$3:$F$290,$C101,Simulation!$E$3:$E$290,"24/02/2026"))</f>
        <v/>
      </c>
      <c r="Q101" s="49" t="str">
        <f aca="false">IF($D101=0,"",AVERAGEIFS(Simulation!$CL$3:$CL$290,Simulation!$N$3:$N$290,"P",Simulation!$F$3:$F$290,$C101,Simulation!$E$3:$E$290,"24/02/2026"))</f>
        <v/>
      </c>
      <c r="R101" s="49" t="str">
        <f aca="false">IF($D101=0,"",AVERAGEIFS(Simulation!$CO$3:$CO$290,Simulation!$N$3:$N$290,"P",Simulation!$F$3:$F$290,$C101,Simulation!$E$3:$E$290,"24/02/2026"))</f>
        <v/>
      </c>
      <c r="S101" s="51" t="str">
        <f aca="false">IF($D101=0,"",AVERAGEIFS(Simulation!$CK$3:$CK$290,Simulation!$N$3:$N$290,"P",Simulation!$F$3:$F$290,$C101,Simulation!$E$3:$E$290,"24/02/2026"))</f>
        <v/>
      </c>
    </row>
    <row r="102" customFormat="false" ht="15" hidden="false" customHeight="false" outlineLevel="0" collapsed="false">
      <c r="A102" s="27" t="s">
        <v>457</v>
      </c>
      <c r="B102" s="20" t="s">
        <v>160</v>
      </c>
      <c r="C102" s="20" t="s">
        <v>277</v>
      </c>
      <c r="D102" s="52" t="n">
        <f aca="false">COUNTIFS(Simulation!$N$3:$N$290,"P",Simulation!$F$3:$F$290,$C102,Simulation!$E$3:$E$290,"24/02/2026")</f>
        <v>0</v>
      </c>
      <c r="E102" s="53" t="str">
        <f aca="false">IF($D102=0,"",AVERAGEIFS(Simulation!$U$3:$U$290,Simulation!$N$3:$N$290,"P",Simulation!$F$3:$F$290,$C102,Simulation!$E$3:$E$290,"24/02/2026"))</f>
        <v/>
      </c>
      <c r="F102" s="53" t="str">
        <f aca="false">IF($D102=0,"",AVERAGEIFS(Simulation!$Z$3:$Z$290,Simulation!$N$3:$N$290,"P",Simulation!$F$3:$F$290,$C102,Simulation!$E$3:$E$290,"24/02/2026"))</f>
        <v/>
      </c>
      <c r="G102" s="53" t="str">
        <f aca="false">IF($D102=0,"",AVERAGEIFS(Simulation!$AE$3:$AE$290,Simulation!$N$3:$N$290,"P",Simulation!$F$3:$F$290,$C102,Simulation!$E$3:$E$290,"24/02/2026"))</f>
        <v/>
      </c>
      <c r="H102" s="54" t="str">
        <f aca="false">IF($D102=0,"",AVERAGEIFS(Simulation!$AJ$3:$AJ$290,Simulation!$N$3:$N$290,"P",Simulation!$F$3:$F$290,$C102,Simulation!$E$3:$E$290,"24/02/2026"))</f>
        <v/>
      </c>
      <c r="I102" s="55" t="str">
        <f aca="false">IF($D102=0,"",AVERAGEIFS(Simulation!$AO$3:$AO$290,Simulation!$N$3:$N$290,"P",Simulation!$F$3:$F$290,$C102,Simulation!$E$3:$E$290,"24/02/2026"))</f>
        <v/>
      </c>
      <c r="J102" s="52" t="str">
        <f aca="false">IF($D102=0,"",AVERAGEIFS(Simulation!$AT$3:$AT$290,Simulation!$N$3:$N$290,"P",Simulation!$F$3:$F$290,$C102,Simulation!$E$3:$E$290,"24/02/2026"))</f>
        <v/>
      </c>
      <c r="K102" s="55" t="str">
        <f aca="false">IF($D102=0,"",AVERAGEIFS(Simulation!$AY$3:$AY$290,Simulation!$N$3:$N$290,"P",Simulation!$F$3:$F$290,$C102,Simulation!$E$3:$E$290,"24/02/2026"))</f>
        <v/>
      </c>
      <c r="L102" s="54" t="str">
        <f aca="false">IF($D102=0,"",AVERAGEIFS(Simulation!$BD$3:$BD$290,Simulation!$N$3:$N$290,"P",Simulation!$F$3:$F$290,$C102,Simulation!$E$3:$E$290,"24/02/2026"))</f>
        <v/>
      </c>
      <c r="M102" s="54" t="str">
        <f aca="false">IF($D102=0,"",AVERAGEIFS(Simulation!$BI$3:$BI$290,Simulation!$N$3:$N$290,"P",Simulation!$F$3:$F$290,$C102,Simulation!$E$3:$E$290,"24/02/2026"))</f>
        <v/>
      </c>
      <c r="N102" s="54" t="str">
        <f aca="false">IF($D102=0,"",AVERAGEIFS(Simulation!$BN$3:$BN$290,Simulation!$N$3:$N$290,"P",Simulation!$F$3:$F$290,$C102,Simulation!$E$3:$E$290,"24/02/2026"))</f>
        <v/>
      </c>
      <c r="O102" s="53" t="str">
        <f aca="false">IF($D102=0,"",AVERAGEIFS(Simulation!$BS$3:$BS$290,Simulation!$N$3:$N$290,"P",Simulation!$F$3:$F$290,$C102,Simulation!$E$3:$E$290,"24/02/2026"))</f>
        <v/>
      </c>
      <c r="P102" s="55" t="str">
        <f aca="false">IF($D102=0,"",AVERAGEIFS(Simulation!$BX$3:$BX$290,Simulation!$N$3:$N$290,"P",Simulation!$F$3:$F$290,$C102,Simulation!$E$3:$E$290,"24/02/2026"))</f>
        <v/>
      </c>
      <c r="Q102" s="53" t="str">
        <f aca="false">IF($D102=0,"",AVERAGEIFS(Simulation!$CL$3:$CL$290,Simulation!$N$3:$N$290,"P",Simulation!$F$3:$F$290,$C102,Simulation!$E$3:$E$290,"24/02/2026"))</f>
        <v/>
      </c>
      <c r="R102" s="53" t="str">
        <f aca="false">IF($D102=0,"",AVERAGEIFS(Simulation!$CO$3:$CO$290,Simulation!$N$3:$N$290,"P",Simulation!$F$3:$F$290,$C102,Simulation!$E$3:$E$290,"24/02/2026"))</f>
        <v/>
      </c>
      <c r="S102" s="55" t="str">
        <f aca="false">IF($D102=0,"",AVERAGEIFS(Simulation!$CK$3:$CK$290,Simulation!$N$3:$N$290,"P",Simulation!$F$3:$F$290,$C102,Simulation!$E$3:$E$290,"24/02/2026"))</f>
        <v/>
      </c>
    </row>
    <row r="103" customFormat="false" ht="15" hidden="false" customHeight="false" outlineLevel="0" collapsed="false">
      <c r="A103" s="27" t="s">
        <v>457</v>
      </c>
      <c r="B103" s="20" t="s">
        <v>160</v>
      </c>
      <c r="C103" s="20" t="s">
        <v>279</v>
      </c>
      <c r="D103" s="52" t="n">
        <f aca="false">COUNTIFS(Simulation!$N$3:$N$290,"P",Simulation!$F$3:$F$290,$C103,Simulation!$E$3:$E$290,"24/02/2026")</f>
        <v>0</v>
      </c>
      <c r="E103" s="53" t="str">
        <f aca="false">IF($D103=0,"",AVERAGEIFS(Simulation!$U$3:$U$290,Simulation!$N$3:$N$290,"P",Simulation!$F$3:$F$290,$C103,Simulation!$E$3:$E$290,"24/02/2026"))</f>
        <v/>
      </c>
      <c r="F103" s="53" t="str">
        <f aca="false">IF($D103=0,"",AVERAGEIFS(Simulation!$Z$3:$Z$290,Simulation!$N$3:$N$290,"P",Simulation!$F$3:$F$290,$C103,Simulation!$E$3:$E$290,"24/02/2026"))</f>
        <v/>
      </c>
      <c r="G103" s="53" t="str">
        <f aca="false">IF($D103=0,"",AVERAGEIFS(Simulation!$AE$3:$AE$290,Simulation!$N$3:$N$290,"P",Simulation!$F$3:$F$290,$C103,Simulation!$E$3:$E$290,"24/02/2026"))</f>
        <v/>
      </c>
      <c r="H103" s="54" t="str">
        <f aca="false">IF($D103=0,"",AVERAGEIFS(Simulation!$AJ$3:$AJ$290,Simulation!$N$3:$N$290,"P",Simulation!$F$3:$F$290,$C103,Simulation!$E$3:$E$290,"24/02/2026"))</f>
        <v/>
      </c>
      <c r="I103" s="55" t="str">
        <f aca="false">IF($D103=0,"",AVERAGEIFS(Simulation!$AO$3:$AO$290,Simulation!$N$3:$N$290,"P",Simulation!$F$3:$F$290,$C103,Simulation!$E$3:$E$290,"24/02/2026"))</f>
        <v/>
      </c>
      <c r="J103" s="52" t="str">
        <f aca="false">IF($D103=0,"",AVERAGEIFS(Simulation!$AT$3:$AT$290,Simulation!$N$3:$N$290,"P",Simulation!$F$3:$F$290,$C103,Simulation!$E$3:$E$290,"24/02/2026"))</f>
        <v/>
      </c>
      <c r="K103" s="55" t="str">
        <f aca="false">IF($D103=0,"",AVERAGEIFS(Simulation!$AY$3:$AY$290,Simulation!$N$3:$N$290,"P",Simulation!$F$3:$F$290,$C103,Simulation!$E$3:$E$290,"24/02/2026"))</f>
        <v/>
      </c>
      <c r="L103" s="54" t="str">
        <f aca="false">IF($D103=0,"",AVERAGEIFS(Simulation!$BD$3:$BD$290,Simulation!$N$3:$N$290,"P",Simulation!$F$3:$F$290,$C103,Simulation!$E$3:$E$290,"24/02/2026"))</f>
        <v/>
      </c>
      <c r="M103" s="54" t="str">
        <f aca="false">IF($D103=0,"",AVERAGEIFS(Simulation!$BI$3:$BI$290,Simulation!$N$3:$N$290,"P",Simulation!$F$3:$F$290,$C103,Simulation!$E$3:$E$290,"24/02/2026"))</f>
        <v/>
      </c>
      <c r="N103" s="54" t="str">
        <f aca="false">IF($D103=0,"",AVERAGEIFS(Simulation!$BN$3:$BN$290,Simulation!$N$3:$N$290,"P",Simulation!$F$3:$F$290,$C103,Simulation!$E$3:$E$290,"24/02/2026"))</f>
        <v/>
      </c>
      <c r="O103" s="53" t="str">
        <f aca="false">IF($D103=0,"",AVERAGEIFS(Simulation!$BS$3:$BS$290,Simulation!$N$3:$N$290,"P",Simulation!$F$3:$F$290,$C103,Simulation!$E$3:$E$290,"24/02/2026"))</f>
        <v/>
      </c>
      <c r="P103" s="55" t="str">
        <f aca="false">IF($D103=0,"",AVERAGEIFS(Simulation!$BX$3:$BX$290,Simulation!$N$3:$N$290,"P",Simulation!$F$3:$F$290,$C103,Simulation!$E$3:$E$290,"24/02/2026"))</f>
        <v/>
      </c>
      <c r="Q103" s="53" t="str">
        <f aca="false">IF($D103=0,"",AVERAGEIFS(Simulation!$CL$3:$CL$290,Simulation!$N$3:$N$290,"P",Simulation!$F$3:$F$290,$C103,Simulation!$E$3:$E$290,"24/02/2026"))</f>
        <v/>
      </c>
      <c r="R103" s="53" t="str">
        <f aca="false">IF($D103=0,"",AVERAGEIFS(Simulation!$CO$3:$CO$290,Simulation!$N$3:$N$290,"P",Simulation!$F$3:$F$290,$C103,Simulation!$E$3:$E$290,"24/02/2026"))</f>
        <v/>
      </c>
      <c r="S103" s="55" t="str">
        <f aca="false">IF($D103=0,"",AVERAGEIFS(Simulation!$CK$3:$CK$290,Simulation!$N$3:$N$290,"P",Simulation!$F$3:$F$290,$C103,Simulation!$E$3:$E$290,"24/02/2026"))</f>
        <v/>
      </c>
    </row>
    <row r="104" customFormat="false" ht="15" hidden="false" customHeight="false" outlineLevel="0" collapsed="false">
      <c r="A104" s="27" t="s">
        <v>457</v>
      </c>
      <c r="B104" s="20" t="s">
        <v>160</v>
      </c>
      <c r="C104" s="20" t="s">
        <v>281</v>
      </c>
      <c r="D104" s="52" t="n">
        <f aca="false">COUNTIFS(Simulation!$N$3:$N$290,"P",Simulation!$F$3:$F$290,$C104,Simulation!$E$3:$E$290,"24/02/2026")</f>
        <v>0</v>
      </c>
      <c r="E104" s="53" t="str">
        <f aca="false">IF($D104=0,"",AVERAGEIFS(Simulation!$U$3:$U$290,Simulation!$N$3:$N$290,"P",Simulation!$F$3:$F$290,$C104,Simulation!$E$3:$E$290,"24/02/2026"))</f>
        <v/>
      </c>
      <c r="F104" s="53" t="str">
        <f aca="false">IF($D104=0,"",AVERAGEIFS(Simulation!$Z$3:$Z$290,Simulation!$N$3:$N$290,"P",Simulation!$F$3:$F$290,$C104,Simulation!$E$3:$E$290,"24/02/2026"))</f>
        <v/>
      </c>
      <c r="G104" s="53" t="str">
        <f aca="false">IF($D104=0,"",AVERAGEIFS(Simulation!$AE$3:$AE$290,Simulation!$N$3:$N$290,"P",Simulation!$F$3:$F$290,$C104,Simulation!$E$3:$E$290,"24/02/2026"))</f>
        <v/>
      </c>
      <c r="H104" s="54" t="str">
        <f aca="false">IF($D104=0,"",AVERAGEIFS(Simulation!$AJ$3:$AJ$290,Simulation!$N$3:$N$290,"P",Simulation!$F$3:$F$290,$C104,Simulation!$E$3:$E$290,"24/02/2026"))</f>
        <v/>
      </c>
      <c r="I104" s="55" t="str">
        <f aca="false">IF($D104=0,"",AVERAGEIFS(Simulation!$AO$3:$AO$290,Simulation!$N$3:$N$290,"P",Simulation!$F$3:$F$290,$C104,Simulation!$E$3:$E$290,"24/02/2026"))</f>
        <v/>
      </c>
      <c r="J104" s="52" t="str">
        <f aca="false">IF($D104=0,"",AVERAGEIFS(Simulation!$AT$3:$AT$290,Simulation!$N$3:$N$290,"P",Simulation!$F$3:$F$290,$C104,Simulation!$E$3:$E$290,"24/02/2026"))</f>
        <v/>
      </c>
      <c r="K104" s="55" t="str">
        <f aca="false">IF($D104=0,"",AVERAGEIFS(Simulation!$AY$3:$AY$290,Simulation!$N$3:$N$290,"P",Simulation!$F$3:$F$290,$C104,Simulation!$E$3:$E$290,"24/02/2026"))</f>
        <v/>
      </c>
      <c r="L104" s="54" t="str">
        <f aca="false">IF($D104=0,"",AVERAGEIFS(Simulation!$BD$3:$BD$290,Simulation!$N$3:$N$290,"P",Simulation!$F$3:$F$290,$C104,Simulation!$E$3:$E$290,"24/02/2026"))</f>
        <v/>
      </c>
      <c r="M104" s="54" t="str">
        <f aca="false">IF($D104=0,"",AVERAGEIFS(Simulation!$BI$3:$BI$290,Simulation!$N$3:$N$290,"P",Simulation!$F$3:$F$290,$C104,Simulation!$E$3:$E$290,"24/02/2026"))</f>
        <v/>
      </c>
      <c r="N104" s="54" t="str">
        <f aca="false">IF($D104=0,"",AVERAGEIFS(Simulation!$BN$3:$BN$290,Simulation!$N$3:$N$290,"P",Simulation!$F$3:$F$290,$C104,Simulation!$E$3:$E$290,"24/02/2026"))</f>
        <v/>
      </c>
      <c r="O104" s="53" t="str">
        <f aca="false">IF($D104=0,"",AVERAGEIFS(Simulation!$BS$3:$BS$290,Simulation!$N$3:$N$290,"P",Simulation!$F$3:$F$290,$C104,Simulation!$E$3:$E$290,"24/02/2026"))</f>
        <v/>
      </c>
      <c r="P104" s="55" t="str">
        <f aca="false">IF($D104=0,"",AVERAGEIFS(Simulation!$BX$3:$BX$290,Simulation!$N$3:$N$290,"P",Simulation!$F$3:$F$290,$C104,Simulation!$E$3:$E$290,"24/02/2026"))</f>
        <v/>
      </c>
      <c r="Q104" s="53" t="str">
        <f aca="false">IF($D104=0,"",AVERAGEIFS(Simulation!$CL$3:$CL$290,Simulation!$N$3:$N$290,"P",Simulation!$F$3:$F$290,$C104,Simulation!$E$3:$E$290,"24/02/2026"))</f>
        <v/>
      </c>
      <c r="R104" s="53" t="str">
        <f aca="false">IF($D104=0,"",AVERAGEIFS(Simulation!$CO$3:$CO$290,Simulation!$N$3:$N$290,"P",Simulation!$F$3:$F$290,$C104,Simulation!$E$3:$E$290,"24/02/2026"))</f>
        <v/>
      </c>
      <c r="S104" s="55" t="str">
        <f aca="false">IF($D104=0,"",AVERAGEIFS(Simulation!$CK$3:$CK$290,Simulation!$N$3:$N$290,"P",Simulation!$F$3:$F$290,$C104,Simulation!$E$3:$E$290,"24/02/2026"))</f>
        <v/>
      </c>
    </row>
    <row r="105" customFormat="false" ht="15" hidden="false" customHeight="false" outlineLevel="0" collapsed="false">
      <c r="A105" s="27" t="s">
        <v>457</v>
      </c>
      <c r="B105" s="20" t="s">
        <v>160</v>
      </c>
      <c r="C105" s="20" t="s">
        <v>283</v>
      </c>
      <c r="D105" s="52" t="n">
        <f aca="false">COUNTIFS(Simulation!$N$3:$N$290,"P",Simulation!$F$3:$F$290,$C105,Simulation!$E$3:$E$290,"24/02/2026")</f>
        <v>0</v>
      </c>
      <c r="E105" s="53" t="str">
        <f aca="false">IF($D105=0,"",AVERAGEIFS(Simulation!$U$3:$U$290,Simulation!$N$3:$N$290,"P",Simulation!$F$3:$F$290,$C105,Simulation!$E$3:$E$290,"24/02/2026"))</f>
        <v/>
      </c>
      <c r="F105" s="53" t="str">
        <f aca="false">IF($D105=0,"",AVERAGEIFS(Simulation!$Z$3:$Z$290,Simulation!$N$3:$N$290,"P",Simulation!$F$3:$F$290,$C105,Simulation!$E$3:$E$290,"24/02/2026"))</f>
        <v/>
      </c>
      <c r="G105" s="53" t="str">
        <f aca="false">IF($D105=0,"",AVERAGEIFS(Simulation!$AE$3:$AE$290,Simulation!$N$3:$N$290,"P",Simulation!$F$3:$F$290,$C105,Simulation!$E$3:$E$290,"24/02/2026"))</f>
        <v/>
      </c>
      <c r="H105" s="54" t="str">
        <f aca="false">IF($D105=0,"",AVERAGEIFS(Simulation!$AJ$3:$AJ$290,Simulation!$N$3:$N$290,"P",Simulation!$F$3:$F$290,$C105,Simulation!$E$3:$E$290,"24/02/2026"))</f>
        <v/>
      </c>
      <c r="I105" s="55" t="str">
        <f aca="false">IF($D105=0,"",AVERAGEIFS(Simulation!$AO$3:$AO$290,Simulation!$N$3:$N$290,"P",Simulation!$F$3:$F$290,$C105,Simulation!$E$3:$E$290,"24/02/2026"))</f>
        <v/>
      </c>
      <c r="J105" s="52" t="str">
        <f aca="false">IF($D105=0,"",AVERAGEIFS(Simulation!$AT$3:$AT$290,Simulation!$N$3:$N$290,"P",Simulation!$F$3:$F$290,$C105,Simulation!$E$3:$E$290,"24/02/2026"))</f>
        <v/>
      </c>
      <c r="K105" s="55" t="str">
        <f aca="false">IF($D105=0,"",AVERAGEIFS(Simulation!$AY$3:$AY$290,Simulation!$N$3:$N$290,"P",Simulation!$F$3:$F$290,$C105,Simulation!$E$3:$E$290,"24/02/2026"))</f>
        <v/>
      </c>
      <c r="L105" s="54" t="str">
        <f aca="false">IF($D105=0,"",AVERAGEIFS(Simulation!$BD$3:$BD$290,Simulation!$N$3:$N$290,"P",Simulation!$F$3:$F$290,$C105,Simulation!$E$3:$E$290,"24/02/2026"))</f>
        <v/>
      </c>
      <c r="M105" s="54" t="str">
        <f aca="false">IF($D105=0,"",AVERAGEIFS(Simulation!$BI$3:$BI$290,Simulation!$N$3:$N$290,"P",Simulation!$F$3:$F$290,$C105,Simulation!$E$3:$E$290,"24/02/2026"))</f>
        <v/>
      </c>
      <c r="N105" s="54" t="str">
        <f aca="false">IF($D105=0,"",AVERAGEIFS(Simulation!$BN$3:$BN$290,Simulation!$N$3:$N$290,"P",Simulation!$F$3:$F$290,$C105,Simulation!$E$3:$E$290,"24/02/2026"))</f>
        <v/>
      </c>
      <c r="O105" s="53" t="str">
        <f aca="false">IF($D105=0,"",AVERAGEIFS(Simulation!$BS$3:$BS$290,Simulation!$N$3:$N$290,"P",Simulation!$F$3:$F$290,$C105,Simulation!$E$3:$E$290,"24/02/2026"))</f>
        <v/>
      </c>
      <c r="P105" s="55" t="str">
        <f aca="false">IF($D105=0,"",AVERAGEIFS(Simulation!$BX$3:$BX$290,Simulation!$N$3:$N$290,"P",Simulation!$F$3:$F$290,$C105,Simulation!$E$3:$E$290,"24/02/2026"))</f>
        <v/>
      </c>
      <c r="Q105" s="53" t="str">
        <f aca="false">IF($D105=0,"",AVERAGEIFS(Simulation!$CL$3:$CL$290,Simulation!$N$3:$N$290,"P",Simulation!$F$3:$F$290,$C105,Simulation!$E$3:$E$290,"24/02/2026"))</f>
        <v/>
      </c>
      <c r="R105" s="53" t="str">
        <f aca="false">IF($D105=0,"",AVERAGEIFS(Simulation!$CO$3:$CO$290,Simulation!$N$3:$N$290,"P",Simulation!$F$3:$F$290,$C105,Simulation!$E$3:$E$290,"24/02/2026"))</f>
        <v/>
      </c>
      <c r="S105" s="55" t="str">
        <f aca="false">IF($D105=0,"",AVERAGEIFS(Simulation!$CK$3:$CK$290,Simulation!$N$3:$N$290,"P",Simulation!$F$3:$F$290,$C105,Simulation!$E$3:$E$290,"24/02/2026"))</f>
        <v/>
      </c>
    </row>
    <row r="106" customFormat="false" ht="15" hidden="false" customHeight="false" outlineLevel="0" collapsed="false">
      <c r="A106" s="27" t="s">
        <v>457</v>
      </c>
      <c r="B106" s="20" t="s">
        <v>160</v>
      </c>
      <c r="C106" s="20" t="s">
        <v>285</v>
      </c>
      <c r="D106" s="52" t="n">
        <f aca="false">COUNTIFS(Simulation!$N$3:$N$290,"P",Simulation!$F$3:$F$290,$C106,Simulation!$E$3:$E$290,"24/02/2026")</f>
        <v>0</v>
      </c>
      <c r="E106" s="53" t="str">
        <f aca="false">IF($D106=0,"",AVERAGEIFS(Simulation!$U$3:$U$290,Simulation!$N$3:$N$290,"P",Simulation!$F$3:$F$290,$C106,Simulation!$E$3:$E$290,"24/02/2026"))</f>
        <v/>
      </c>
      <c r="F106" s="53" t="str">
        <f aca="false">IF($D106=0,"",AVERAGEIFS(Simulation!$Z$3:$Z$290,Simulation!$N$3:$N$290,"P",Simulation!$F$3:$F$290,$C106,Simulation!$E$3:$E$290,"24/02/2026"))</f>
        <v/>
      </c>
      <c r="G106" s="53" t="str">
        <f aca="false">IF($D106=0,"",AVERAGEIFS(Simulation!$AE$3:$AE$290,Simulation!$N$3:$N$290,"P",Simulation!$F$3:$F$290,$C106,Simulation!$E$3:$E$290,"24/02/2026"))</f>
        <v/>
      </c>
      <c r="H106" s="54" t="str">
        <f aca="false">IF($D106=0,"",AVERAGEIFS(Simulation!$AJ$3:$AJ$290,Simulation!$N$3:$N$290,"P",Simulation!$F$3:$F$290,$C106,Simulation!$E$3:$E$290,"24/02/2026"))</f>
        <v/>
      </c>
      <c r="I106" s="55" t="str">
        <f aca="false">IF($D106=0,"",AVERAGEIFS(Simulation!$AO$3:$AO$290,Simulation!$N$3:$N$290,"P",Simulation!$F$3:$F$290,$C106,Simulation!$E$3:$E$290,"24/02/2026"))</f>
        <v/>
      </c>
      <c r="J106" s="52" t="str">
        <f aca="false">IF($D106=0,"",AVERAGEIFS(Simulation!$AT$3:$AT$290,Simulation!$N$3:$N$290,"P",Simulation!$F$3:$F$290,$C106,Simulation!$E$3:$E$290,"24/02/2026"))</f>
        <v/>
      </c>
      <c r="K106" s="55" t="str">
        <f aca="false">IF($D106=0,"",AVERAGEIFS(Simulation!$AY$3:$AY$290,Simulation!$N$3:$N$290,"P",Simulation!$F$3:$F$290,$C106,Simulation!$E$3:$E$290,"24/02/2026"))</f>
        <v/>
      </c>
      <c r="L106" s="54" t="str">
        <f aca="false">IF($D106=0,"",AVERAGEIFS(Simulation!$BD$3:$BD$290,Simulation!$N$3:$N$290,"P",Simulation!$F$3:$F$290,$C106,Simulation!$E$3:$E$290,"24/02/2026"))</f>
        <v/>
      </c>
      <c r="M106" s="54" t="str">
        <f aca="false">IF($D106=0,"",AVERAGEIFS(Simulation!$BI$3:$BI$290,Simulation!$N$3:$N$290,"P",Simulation!$F$3:$F$290,$C106,Simulation!$E$3:$E$290,"24/02/2026"))</f>
        <v/>
      </c>
      <c r="N106" s="54" t="str">
        <f aca="false">IF($D106=0,"",AVERAGEIFS(Simulation!$BN$3:$BN$290,Simulation!$N$3:$N$290,"P",Simulation!$F$3:$F$290,$C106,Simulation!$E$3:$E$290,"24/02/2026"))</f>
        <v/>
      </c>
      <c r="O106" s="53" t="str">
        <f aca="false">IF($D106=0,"",AVERAGEIFS(Simulation!$BS$3:$BS$290,Simulation!$N$3:$N$290,"P",Simulation!$F$3:$F$290,$C106,Simulation!$E$3:$E$290,"24/02/2026"))</f>
        <v/>
      </c>
      <c r="P106" s="55" t="str">
        <f aca="false">IF($D106=0,"",AVERAGEIFS(Simulation!$BX$3:$BX$290,Simulation!$N$3:$N$290,"P",Simulation!$F$3:$F$290,$C106,Simulation!$E$3:$E$290,"24/02/2026"))</f>
        <v/>
      </c>
      <c r="Q106" s="53" t="str">
        <f aca="false">IF($D106=0,"",AVERAGEIFS(Simulation!$CL$3:$CL$290,Simulation!$N$3:$N$290,"P",Simulation!$F$3:$F$290,$C106,Simulation!$E$3:$E$290,"24/02/2026"))</f>
        <v/>
      </c>
      <c r="R106" s="53" t="str">
        <f aca="false">IF($D106=0,"",AVERAGEIFS(Simulation!$CO$3:$CO$290,Simulation!$N$3:$N$290,"P",Simulation!$F$3:$F$290,$C106,Simulation!$E$3:$E$290,"24/02/2026"))</f>
        <v/>
      </c>
      <c r="S106" s="55" t="str">
        <f aca="false">IF($D106=0,"",AVERAGEIFS(Simulation!$CK$3:$CK$290,Simulation!$N$3:$N$290,"P",Simulation!$F$3:$F$290,$C106,Simulation!$E$3:$E$290,"24/02/2026"))</f>
        <v/>
      </c>
    </row>
    <row r="107" customFormat="false" ht="15" hidden="false" customHeight="false" outlineLevel="0" collapsed="false">
      <c r="A107" s="47" t="s">
        <v>457</v>
      </c>
      <c r="B107" s="17" t="s">
        <v>162</v>
      </c>
      <c r="C107" s="17" t="s">
        <v>275</v>
      </c>
      <c r="D107" s="48" t="n">
        <f aca="false">COUNTIFS(Simulation!$N$3:$N$290,"P",Simulation!$F$3:$F$290,$C107,Simulation!$E$3:$E$290,"03/03/2026")</f>
        <v>1</v>
      </c>
      <c r="E107" s="49" t="n">
        <f aca="false">IF($D107=0,"",AVERAGEIFS(Simulation!$U$3:$U$290,Simulation!$N$3:$N$290,"P",Simulation!$F$3:$F$290,$C107,Simulation!$E$3:$E$290,"03/03/2026"))</f>
        <v>79.9274017857143</v>
      </c>
      <c r="F107" s="49" t="n">
        <f aca="false">IF($D107=0,"",AVERAGEIFS(Simulation!$Z$3:$Z$290,Simulation!$N$3:$N$290,"P",Simulation!$F$3:$F$290,$C107,Simulation!$E$3:$E$290,"03/03/2026"))</f>
        <v>62.7907885714286</v>
      </c>
      <c r="G107" s="49" t="n">
        <f aca="false">IF($D107=0,"",AVERAGEIFS(Simulation!$AE$3:$AE$290,Simulation!$N$3:$N$290,"P",Simulation!$F$3:$F$290,$C107,Simulation!$E$3:$E$290,"03/03/2026"))</f>
        <v>15.3090464285714</v>
      </c>
      <c r="H107" s="50" t="n">
        <f aca="false">IF($D107=0,"",AVERAGEIFS(Simulation!$AJ$3:$AJ$290,Simulation!$N$3:$N$290,"P",Simulation!$F$3:$F$290,$C107,Simulation!$E$3:$E$290,"03/03/2026"))</f>
        <v>0.290012884996263</v>
      </c>
      <c r="I107" s="51" t="n">
        <f aca="false">IF($D107=0,"",AVERAGEIFS(Simulation!$AO$3:$AO$290,Simulation!$N$3:$N$290,"P",Simulation!$F$3:$F$290,$C107,Simulation!$E$3:$E$290,"03/03/2026"))</f>
        <v>5.08038162838696</v>
      </c>
      <c r="J107" s="48" t="n">
        <f aca="false">IF($D107=0,"",AVERAGEIFS(Simulation!$AT$3:$AT$290,Simulation!$N$3:$N$290,"P",Simulation!$F$3:$F$290,$C107,Simulation!$E$3:$E$290,"03/03/2026"))</f>
        <v>293.55</v>
      </c>
      <c r="K107" s="51" t="n">
        <f aca="false">IF($D107=0,"",AVERAGEIFS(Simulation!$AY$3:$AY$290,Simulation!$N$3:$N$290,"P",Simulation!$F$3:$F$290,$C107,Simulation!$E$3:$E$290,"03/03/2026"))</f>
        <v>3.1826078679718</v>
      </c>
      <c r="L107" s="50" t="n">
        <f aca="false">IF($D107=0,"",AVERAGEIFS(Simulation!$BD$3:$BD$290,Simulation!$N$3:$N$290,"P",Simulation!$F$3:$F$290,$C107,Simulation!$E$3:$E$290,"03/03/2026"))</f>
        <v>1.03483705357143</v>
      </c>
      <c r="M107" s="50" t="n">
        <f aca="false">IF($D107=0,"",AVERAGEIFS(Simulation!$BI$3:$BI$290,Simulation!$N$3:$N$290,"P",Simulation!$F$3:$F$290,$C107,Simulation!$E$3:$E$290,"03/03/2026"))</f>
        <v>0.385689857142857</v>
      </c>
      <c r="N107" s="50" t="n">
        <f aca="false">IF($D107=0,"",AVERAGEIFS(Simulation!$BN$3:$BN$290,Simulation!$N$3:$N$290,"P",Simulation!$F$3:$F$290,$C107,Simulation!$E$3:$E$290,"03/03/2026"))</f>
        <v>0.266485178571429</v>
      </c>
      <c r="O107" s="49" t="n">
        <f aca="false">IF($D107=0,"",AVERAGEIFS(Simulation!$BS$3:$BS$290,Simulation!$N$3:$N$290,"P",Simulation!$F$3:$F$290,$C107,Simulation!$E$3:$E$290,"03/03/2026"))</f>
        <v>17.25</v>
      </c>
      <c r="P107" s="51" t="n">
        <f aca="false">IF($D107=0,"",AVERAGEIFS(Simulation!$BX$3:$BX$290,Simulation!$N$3:$N$290,"P",Simulation!$F$3:$F$290,$C107,Simulation!$E$3:$E$290,"03/03/2026"))</f>
        <v>8.30596742857143</v>
      </c>
      <c r="Q107" s="49" t="n">
        <f aca="false">IF($D107=0,"",AVERAGEIFS(Simulation!$CL$3:$CL$290,Simulation!$N$3:$N$290,"P",Simulation!$F$3:$F$290,$C107,Simulation!$E$3:$E$290,"03/03/2026"))</f>
        <v>27.6588968089932</v>
      </c>
      <c r="R107" s="49" t="n">
        <f aca="false">IF($D107=0,"",AVERAGEIFS(Simulation!$CO$3:$CO$290,Simulation!$N$3:$N$290,"P",Simulation!$F$3:$F$290,$C107,Simulation!$E$3:$E$290,"03/03/2026"))</f>
        <v>-0.961103191006838</v>
      </c>
      <c r="S107" s="51" t="n">
        <f aca="false">IF($D107=0,"",AVERAGEIFS(Simulation!$CK$3:$CK$290,Simulation!$N$3:$N$290,"P",Simulation!$F$3:$F$290,$C107,Simulation!$E$3:$E$290,"03/03/2026"))</f>
        <v>0.321696428571429</v>
      </c>
    </row>
    <row r="108" customFormat="false" ht="15" hidden="false" customHeight="false" outlineLevel="0" collapsed="false">
      <c r="A108" s="27" t="s">
        <v>457</v>
      </c>
      <c r="B108" s="20" t="s">
        <v>162</v>
      </c>
      <c r="C108" s="20" t="s">
        <v>277</v>
      </c>
      <c r="D108" s="52" t="n">
        <f aca="false">COUNTIFS(Simulation!$N$3:$N$290,"P",Simulation!$F$3:$F$290,$C108,Simulation!$E$3:$E$290,"03/03/2026")</f>
        <v>1</v>
      </c>
      <c r="E108" s="53" t="n">
        <f aca="false">IF($D108=0,"",AVERAGEIFS(Simulation!$U$3:$U$290,Simulation!$N$3:$N$290,"P",Simulation!$F$3:$F$290,$C108,Simulation!$E$3:$E$290,"03/03/2026"))</f>
        <v>79.5828076771541</v>
      </c>
      <c r="F108" s="53" t="n">
        <f aca="false">IF($D108=0,"",AVERAGEIFS(Simulation!$Z$3:$Z$290,Simulation!$N$3:$N$290,"P",Simulation!$F$3:$F$290,$C108,Simulation!$E$3:$E$290,"03/03/2026"))</f>
        <v>61.9266152330089</v>
      </c>
      <c r="G108" s="53" t="n">
        <f aca="false">IF($D108=0,"",AVERAGEIFS(Simulation!$AE$3:$AE$290,Simulation!$N$3:$N$290,"P",Simulation!$F$3:$F$290,$C108,Simulation!$E$3:$E$290,"03/03/2026"))</f>
        <v>13.8892203428408</v>
      </c>
      <c r="H108" s="54" t="n">
        <f aca="false">IF($D108=0,"",AVERAGEIFS(Simulation!$AJ$3:$AJ$290,Simulation!$N$3:$N$290,"P",Simulation!$F$3:$F$290,$C108,Simulation!$E$3:$E$290,"03/03/2026"))</f>
        <v>0.273788192572258</v>
      </c>
      <c r="I108" s="55" t="n">
        <f aca="false">IF($D108=0,"",AVERAGEIFS(Simulation!$AO$3:$AO$290,Simulation!$N$3:$N$290,"P",Simulation!$F$3:$F$290,$C108,Simulation!$E$3:$E$290,"03/03/2026"))</f>
        <v>4.83213225994607</v>
      </c>
      <c r="J108" s="52" t="n">
        <f aca="false">IF($D108=0,"",AVERAGEIFS(Simulation!$AT$3:$AT$290,Simulation!$N$3:$N$290,"P",Simulation!$F$3:$F$290,$C108,Simulation!$E$3:$E$290,"03/03/2026"))</f>
        <v>303.508351740504</v>
      </c>
      <c r="K108" s="55" t="n">
        <f aca="false">IF($D108=0,"",AVERAGEIFS(Simulation!$AY$3:$AY$290,Simulation!$N$3:$N$290,"P",Simulation!$F$3:$F$290,$C108,Simulation!$E$3:$E$290,"03/03/2026"))</f>
        <v>3.07912400095647</v>
      </c>
      <c r="L108" s="54" t="n">
        <f aca="false">IF($D108=0,"",AVERAGEIFS(Simulation!$BD$3:$BD$290,Simulation!$N$3:$N$290,"P",Simulation!$F$3:$F$290,$C108,Simulation!$E$3:$E$290,"03/03/2026"))</f>
        <v>0.973265915431735</v>
      </c>
      <c r="M108" s="54" t="n">
        <f aca="false">IF($D108=0,"",AVERAGEIFS(Simulation!$BI$3:$BI$290,Simulation!$N$3:$N$290,"P",Simulation!$F$3:$F$290,$C108,Simulation!$E$3:$E$290,"03/03/2026"))</f>
        <v>0.3674321292714</v>
      </c>
      <c r="N108" s="54" t="n">
        <f aca="false">IF($D108=0,"",AVERAGEIFS(Simulation!$BN$3:$BN$290,Simulation!$N$3:$N$290,"P",Simulation!$F$3:$F$290,$C108,Simulation!$E$3:$E$290,"03/03/2026"))</f>
        <v>0.273409810681926</v>
      </c>
      <c r="O108" s="53" t="n">
        <f aca="false">IF($D108=0,"",AVERAGEIFS(Simulation!$BS$3:$BS$290,Simulation!$N$3:$N$290,"P",Simulation!$F$3:$F$290,$C108,Simulation!$E$3:$E$290,"03/03/2026"))</f>
        <v>18.1408122324428</v>
      </c>
      <c r="P108" s="55" t="n">
        <f aca="false">IF($D108=0,"",AVERAGEIFS(Simulation!$BX$3:$BX$290,Simulation!$N$3:$N$290,"P",Simulation!$F$3:$F$290,$C108,Simulation!$E$3:$E$290,"03/03/2026"))</f>
        <v>8.19873471280849</v>
      </c>
      <c r="Q108" s="53" t="n">
        <f aca="false">IF($D108=0,"",AVERAGEIFS(Simulation!$CL$3:$CL$290,Simulation!$N$3:$N$290,"P",Simulation!$F$3:$F$290,$C108,Simulation!$E$3:$E$290,"03/03/2026"))</f>
        <v>27.9013177182918</v>
      </c>
      <c r="R108" s="53" t="n">
        <f aca="false">IF($D108=0,"",AVERAGEIFS(Simulation!$CO$3:$CO$290,Simulation!$N$3:$N$290,"P",Simulation!$F$3:$F$290,$C108,Simulation!$E$3:$E$290,"03/03/2026"))</f>
        <v>-0.718682281708222</v>
      </c>
      <c r="S108" s="55" t="n">
        <f aca="false">IF($D108=0,"",AVERAGEIFS(Simulation!$CK$3:$CK$290,Simulation!$N$3:$N$290,"P",Simulation!$F$3:$F$290,$C108,Simulation!$E$3:$E$290,"03/03/2026"))</f>
        <v>0.354841267982205</v>
      </c>
    </row>
    <row r="109" customFormat="false" ht="15" hidden="false" customHeight="false" outlineLevel="0" collapsed="false">
      <c r="A109" s="27" t="s">
        <v>457</v>
      </c>
      <c r="B109" s="20" t="s">
        <v>162</v>
      </c>
      <c r="C109" s="20" t="s">
        <v>279</v>
      </c>
      <c r="D109" s="52" t="n">
        <f aca="false">COUNTIFS(Simulation!$N$3:$N$290,"P",Simulation!$F$3:$F$290,$C109,Simulation!$E$3:$E$290,"03/03/2026")</f>
        <v>1</v>
      </c>
      <c r="E109" s="53" t="n">
        <f aca="false">IF($D109=0,"",AVERAGEIFS(Simulation!$U$3:$U$290,Simulation!$N$3:$N$290,"P",Simulation!$F$3:$F$290,$C109,Simulation!$E$3:$E$290,"03/03/2026"))</f>
        <v>78.8149222371456</v>
      </c>
      <c r="F109" s="53" t="n">
        <f aca="false">IF($D109=0,"",AVERAGEIFS(Simulation!$Z$3:$Z$290,Simulation!$N$3:$N$290,"P",Simulation!$F$3:$F$290,$C109,Simulation!$E$3:$E$290,"03/03/2026"))</f>
        <v>59.9056072440975</v>
      </c>
      <c r="G109" s="53" t="n">
        <f aca="false">IF($D109=0,"",AVERAGEIFS(Simulation!$AE$3:$AE$290,Simulation!$N$3:$N$290,"P",Simulation!$F$3:$F$290,$C109,Simulation!$E$3:$E$290,"03/03/2026"))</f>
        <v>11.9021726368632</v>
      </c>
      <c r="H109" s="54" t="n">
        <f aca="false">IF($D109=0,"",AVERAGEIFS(Simulation!$AJ$3:$AJ$290,Simulation!$N$3:$N$290,"P",Simulation!$F$3:$F$290,$C109,Simulation!$E$3:$E$290,"03/03/2026"))</f>
        <v>0.24979044976282</v>
      </c>
      <c r="I109" s="55" t="n">
        <f aca="false">IF($D109=0,"",AVERAGEIFS(Simulation!$AO$3:$AO$290,Simulation!$N$3:$N$290,"P",Simulation!$F$3:$F$290,$C109,Simulation!$E$3:$E$290,"03/03/2026"))</f>
        <v>4.46328937480366</v>
      </c>
      <c r="J109" s="52" t="n">
        <f aca="false">IF($D109=0,"",AVERAGEIFS(Simulation!$AT$3:$AT$290,Simulation!$N$3:$N$290,"P",Simulation!$F$3:$F$290,$C109,Simulation!$E$3:$E$290,"03/03/2026"))</f>
        <v>317.666685050105</v>
      </c>
      <c r="K109" s="55" t="n">
        <f aca="false">IF($D109=0,"",AVERAGEIFS(Simulation!$AY$3:$AY$290,Simulation!$N$3:$N$290,"P",Simulation!$F$3:$F$290,$C109,Simulation!$E$3:$E$290,"03/03/2026"))</f>
        <v>2.9229988488079</v>
      </c>
      <c r="L109" s="54" t="n">
        <f aca="false">IF($D109=0,"",AVERAGEIFS(Simulation!$BD$3:$BD$290,Simulation!$N$3:$N$290,"P",Simulation!$F$3:$F$290,$C109,Simulation!$E$3:$E$290,"03/03/2026"))</f>
        <v>0.882914984870121</v>
      </c>
      <c r="M109" s="54" t="n">
        <f aca="false">IF($D109=0,"",AVERAGEIFS(Simulation!$BI$3:$BI$290,Simulation!$N$3:$N$290,"P",Simulation!$F$3:$F$290,$C109,Simulation!$E$3:$E$290,"03/03/2026"))</f>
        <v>0.340427348761928</v>
      </c>
      <c r="N109" s="54" t="n">
        <f aca="false">IF($D109=0,"",AVERAGEIFS(Simulation!$BN$3:$BN$290,Simulation!$N$3:$N$290,"P",Simulation!$F$3:$F$290,$C109,Simulation!$E$3:$E$290,"03/03/2026"))</f>
        <v>0.269779832122366</v>
      </c>
      <c r="O109" s="53" t="n">
        <f aca="false">IF($D109=0,"",AVERAGEIFS(Simulation!$BS$3:$BS$290,Simulation!$N$3:$N$290,"P",Simulation!$F$3:$F$290,$C109,Simulation!$E$3:$E$290,"03/03/2026"))</f>
        <v>19.4584016379612</v>
      </c>
      <c r="P109" s="55" t="n">
        <f aca="false">IF($D109=0,"",AVERAGEIFS(Simulation!$BX$3:$BX$290,Simulation!$N$3:$N$290,"P",Simulation!$F$3:$F$290,$C109,Simulation!$E$3:$E$290,"03/03/2026"))</f>
        <v>8.04012812314955</v>
      </c>
      <c r="Q109" s="53" t="n">
        <f aca="false">IF($D109=0,"",AVERAGEIFS(Simulation!$CL$3:$CL$290,Simulation!$N$3:$N$290,"P",Simulation!$F$3:$F$290,$C109,Simulation!$E$3:$E$290,"03/03/2026"))</f>
        <v>28.2615008203319</v>
      </c>
      <c r="R109" s="53" t="n">
        <f aca="false">IF($D109=0,"",AVERAGEIFS(Simulation!$CO$3:$CO$290,Simulation!$N$3:$N$290,"P",Simulation!$F$3:$F$290,$C109,Simulation!$E$3:$E$290,"03/03/2026"))</f>
        <v>-0.358499179668083</v>
      </c>
      <c r="S109" s="55" t="n">
        <f aca="false">IF($D109=0,"",AVERAGEIFS(Simulation!$CK$3:$CK$290,Simulation!$N$3:$N$290,"P",Simulation!$F$3:$F$290,$C109,Simulation!$E$3:$E$290,"03/03/2026"))</f>
        <v>0.404087065756564</v>
      </c>
    </row>
    <row r="110" customFormat="false" ht="15" hidden="false" customHeight="false" outlineLevel="0" collapsed="false">
      <c r="A110" s="27" t="s">
        <v>457</v>
      </c>
      <c r="B110" s="20" t="s">
        <v>162</v>
      </c>
      <c r="C110" s="20" t="s">
        <v>281</v>
      </c>
      <c r="D110" s="52" t="n">
        <f aca="false">COUNTIFS(Simulation!$N$3:$N$290,"P",Simulation!$F$3:$F$290,$C110,Simulation!$E$3:$E$290,"03/03/2026")</f>
        <v>1</v>
      </c>
      <c r="E110" s="53" t="n">
        <f aca="false">IF($D110=0,"",AVERAGEIFS(Simulation!$U$3:$U$290,Simulation!$N$3:$N$290,"P",Simulation!$F$3:$F$290,$C110,Simulation!$E$3:$E$290,"03/03/2026"))</f>
        <v>76.2915101425984</v>
      </c>
      <c r="F110" s="53" t="n">
        <f aca="false">IF($D110=0,"",AVERAGEIFS(Simulation!$Z$3:$Z$290,Simulation!$N$3:$N$290,"P",Simulation!$F$3:$F$290,$C110,Simulation!$E$3:$E$290,"03/03/2026"))</f>
        <v>52.9238445328658</v>
      </c>
      <c r="G110" s="53" t="n">
        <f aca="false">IF($D110=0,"",AVERAGEIFS(Simulation!$AE$3:$AE$290,Simulation!$N$3:$N$290,"P",Simulation!$F$3:$F$290,$C110,Simulation!$E$3:$E$290,"03/03/2026"))</f>
        <v>9.02779840728876</v>
      </c>
      <c r="H110" s="54" t="n">
        <f aca="false">IF($D110=0,"",AVERAGEIFS(Simulation!$AJ$3:$AJ$290,Simulation!$N$3:$N$290,"P",Simulation!$F$3:$F$290,$C110,Simulation!$E$3:$E$290,"03/03/2026"))</f>
        <v>0.211357435982074</v>
      </c>
      <c r="I110" s="55" t="n">
        <f aca="false">IF($D110=0,"",AVERAGEIFS(Simulation!$AO$3:$AO$290,Simulation!$N$3:$N$290,"P",Simulation!$F$3:$F$290,$C110,Simulation!$E$3:$E$290,"03/03/2026"))</f>
        <v>3.86912593337412</v>
      </c>
      <c r="J110" s="52" t="n">
        <f aca="false">IF($D110=0,"",AVERAGEIFS(Simulation!$AT$3:$AT$290,Simulation!$N$3:$N$290,"P",Simulation!$F$3:$F$290,$C110,Simulation!$E$3:$E$290,"03/03/2026"))</f>
        <v>338.749162578885</v>
      </c>
      <c r="K110" s="55" t="n">
        <f aca="false">IF($D110=0,"",AVERAGEIFS(Simulation!$AY$3:$AY$290,Simulation!$N$3:$N$290,"P",Simulation!$F$3:$F$290,$C110,Simulation!$E$3:$E$290,"03/03/2026"))</f>
        <v>2.66362849487079</v>
      </c>
      <c r="L110" s="54" t="n">
        <f aca="false">IF($D110=0,"",AVERAGEIFS(Simulation!$BD$3:$BD$290,Simulation!$N$3:$N$290,"P",Simulation!$F$3:$F$290,$C110,Simulation!$E$3:$E$290,"03/03/2026"))</f>
        <v>0.740314759338697</v>
      </c>
      <c r="M110" s="54" t="n">
        <f aca="false">IF($D110=0,"",AVERAGEIFS(Simulation!$BI$3:$BI$290,Simulation!$N$3:$N$290,"P",Simulation!$F$3:$F$290,$C110,Simulation!$E$3:$E$290,"03/03/2026"))</f>
        <v>0.297178485328891</v>
      </c>
      <c r="N110" s="54" t="n">
        <f aca="false">IF($D110=0,"",AVERAGEIFS(Simulation!$BN$3:$BN$290,Simulation!$N$3:$N$290,"P",Simulation!$F$3:$F$290,$C110,Simulation!$E$3:$E$290,"03/03/2026"))</f>
        <v>0.243561727644502</v>
      </c>
      <c r="O110" s="53" t="n">
        <f aca="false">IF($D110=0,"",AVERAGEIFS(Simulation!$BS$3:$BS$290,Simulation!$N$3:$N$290,"P",Simulation!$F$3:$F$290,$C110,Simulation!$E$3:$E$290,"03/03/2026"))</f>
        <v>21.5685555879292</v>
      </c>
      <c r="P110" s="55" t="n">
        <f aca="false">IF($D110=0,"",AVERAGEIFS(Simulation!$BX$3:$BX$290,Simulation!$N$3:$N$290,"P",Simulation!$F$3:$F$290,$C110,Simulation!$E$3:$E$290,"03/03/2026"))</f>
        <v>7.78611551477701</v>
      </c>
      <c r="Q110" s="53" t="n">
        <f aca="false">IF($D110=0,"",AVERAGEIFS(Simulation!$CL$3:$CL$290,Simulation!$N$3:$N$290,"P",Simulation!$F$3:$F$290,$C110,Simulation!$E$3:$E$290,"03/03/2026"))</f>
        <v>28.8417143477538</v>
      </c>
      <c r="R110" s="53" t="n">
        <f aca="false">IF($D110=0,"",AVERAGEIFS(Simulation!$CO$3:$CO$290,Simulation!$N$3:$N$290,"P",Simulation!$F$3:$F$290,$C110,Simulation!$E$3:$E$290,"03/03/2026"))</f>
        <v>0.221714347753796</v>
      </c>
      <c r="S110" s="55" t="n">
        <f aca="false">IF($D110=0,"",AVERAGEIFS(Simulation!$CK$3:$CK$290,Simulation!$N$3:$N$290,"P",Simulation!$F$3:$F$290,$C110,Simulation!$E$3:$E$290,"03/03/2026"))</f>
        <v>0.483416378751878</v>
      </c>
    </row>
    <row r="111" customFormat="false" ht="15" hidden="false" customHeight="false" outlineLevel="0" collapsed="false">
      <c r="A111" s="27" t="s">
        <v>457</v>
      </c>
      <c r="B111" s="20" t="s">
        <v>162</v>
      </c>
      <c r="C111" s="20" t="s">
        <v>283</v>
      </c>
      <c r="D111" s="52" t="n">
        <f aca="false">COUNTIFS(Simulation!$N$3:$N$290,"P",Simulation!$F$3:$F$290,$C111,Simulation!$E$3:$E$290,"03/03/2026")</f>
        <v>1</v>
      </c>
      <c r="E111" s="53" t="n">
        <f aca="false">IF($D111=0,"",AVERAGEIFS(Simulation!$U$3:$U$290,Simulation!$N$3:$N$290,"P",Simulation!$F$3:$F$290,$C111,Simulation!$E$3:$E$290,"03/03/2026"))</f>
        <v>67.0155083458157</v>
      </c>
      <c r="F111" s="53" t="n">
        <f aca="false">IF($D111=0,"",AVERAGEIFS(Simulation!$Z$3:$Z$290,Simulation!$N$3:$N$290,"P",Simulation!$F$3:$F$290,$C111,Simulation!$E$3:$E$290,"03/03/2026"))</f>
        <v>31.3769988597121</v>
      </c>
      <c r="G111" s="53" t="n">
        <f aca="false">IF($D111=0,"",AVERAGEIFS(Simulation!$AE$3:$AE$290,Simulation!$N$3:$N$290,"P",Simulation!$F$3:$F$290,$C111,Simulation!$E$3:$E$290,"03/03/2026"))</f>
        <v>5.98435540341459</v>
      </c>
      <c r="H111" s="54" t="n">
        <f aca="false">IF($D111=0,"",AVERAGEIFS(Simulation!$AJ$3:$AJ$290,Simulation!$N$3:$N$290,"P",Simulation!$F$3:$F$290,$C111,Simulation!$E$3:$E$290,"03/03/2026"))</f>
        <v>0.161793073924551</v>
      </c>
      <c r="I111" s="55" t="n">
        <f aca="false">IF($D111=0,"",AVERAGEIFS(Simulation!$AO$3:$AO$290,Simulation!$N$3:$N$290,"P",Simulation!$F$3:$F$290,$C111,Simulation!$E$3:$E$290,"03/03/2026"))</f>
        <v>3.10350956859369</v>
      </c>
      <c r="J111" s="52" t="n">
        <f aca="false">IF($D111=0,"",AVERAGEIFS(Simulation!$AT$3:$AT$290,Simulation!$N$3:$N$290,"P",Simulation!$F$3:$F$290,$C111,Simulation!$E$3:$E$290,"03/03/2026"))</f>
        <v>362.354137675553</v>
      </c>
      <c r="K111" s="55" t="n">
        <f aca="false">IF($D111=0,"",AVERAGEIFS(Simulation!$AY$3:$AY$290,Simulation!$N$3:$N$290,"P",Simulation!$F$3:$F$290,$C111,Simulation!$E$3:$E$290,"03/03/2026"))</f>
        <v>2.30431458823568</v>
      </c>
      <c r="L111" s="54" t="n">
        <f aca="false">IF($D111=0,"",AVERAGEIFS(Simulation!$BD$3:$BD$290,Simulation!$N$3:$N$290,"P",Simulation!$F$3:$F$290,$C111,Simulation!$E$3:$E$290,"03/03/2026"))</f>
        <v>0.561573724293012</v>
      </c>
      <c r="M111" s="54" t="n">
        <f aca="false">IF($D111=0,"",AVERAGEIFS(Simulation!$BI$3:$BI$290,Simulation!$N$3:$N$290,"P",Simulation!$F$3:$F$290,$C111,Simulation!$E$3:$E$290,"03/03/2026"))</f>
        <v>0.24140345977403</v>
      </c>
      <c r="N111" s="54" t="n">
        <f aca="false">IF($D111=0,"",AVERAGEIFS(Simulation!$BN$3:$BN$290,Simulation!$N$3:$N$290,"P",Simulation!$F$3:$F$290,$C111,Simulation!$E$3:$E$290,"03/03/2026"))</f>
        <v>0.200139811349656</v>
      </c>
      <c r="O111" s="53" t="n">
        <f aca="false">IF($D111=0,"",AVERAGEIFS(Simulation!$BS$3:$BS$290,Simulation!$N$3:$N$290,"P",Simulation!$F$3:$F$290,$C111,Simulation!$E$3:$E$290,"03/03/2026"))</f>
        <v>24.2898731242013</v>
      </c>
      <c r="P111" s="55" t="n">
        <f aca="false">IF($D111=0,"",AVERAGEIFS(Simulation!$BX$3:$BX$290,Simulation!$N$3:$N$290,"P",Simulation!$F$3:$F$290,$C111,Simulation!$E$3:$E$290,"03/03/2026"))</f>
        <v>7.45853327102228</v>
      </c>
      <c r="Q111" s="53" t="n">
        <f aca="false">IF($D111=0,"",AVERAGEIFS(Simulation!$CL$3:$CL$290,Simulation!$N$3:$N$290,"P",Simulation!$F$3:$F$290,$C111,Simulation!$E$3:$E$290,"03/03/2026"))</f>
        <v>29.5893553850286</v>
      </c>
      <c r="R111" s="53" t="n">
        <f aca="false">IF($D111=0,"",AVERAGEIFS(Simulation!$CO$3:$CO$290,Simulation!$N$3:$N$290,"P",Simulation!$F$3:$F$290,$C111,Simulation!$E$3:$E$290,"03/03/2026"))</f>
        <v>0.969355385028635</v>
      </c>
      <c r="S111" s="55" t="n">
        <f aca="false">IF($D111=0,"",AVERAGEIFS(Simulation!$CK$3:$CK$290,Simulation!$N$3:$N$290,"P",Simulation!$F$3:$F$290,$C111,Simulation!$E$3:$E$290,"03/03/2026"))</f>
        <v>0.585637107933518</v>
      </c>
    </row>
    <row r="112" customFormat="false" ht="15" hidden="false" customHeight="false" outlineLevel="0" collapsed="false">
      <c r="A112" s="27" t="s">
        <v>457</v>
      </c>
      <c r="B112" s="20" t="s">
        <v>162</v>
      </c>
      <c r="C112" s="20" t="s">
        <v>285</v>
      </c>
      <c r="D112" s="52" t="n">
        <f aca="false">COUNTIFS(Simulation!$N$3:$N$290,"P",Simulation!$F$3:$F$290,$C112,Simulation!$E$3:$E$290,"03/03/2026")</f>
        <v>1</v>
      </c>
      <c r="E112" s="53" t="n">
        <f aca="false">IF($D112=0,"",AVERAGEIFS(Simulation!$U$3:$U$290,Simulation!$N$3:$N$290,"P",Simulation!$F$3:$F$290,$C112,Simulation!$E$3:$E$290,"03/03/2026"))</f>
        <v>57.8665553395744</v>
      </c>
      <c r="F112" s="53" t="n">
        <f aca="false">IF($D112=0,"",AVERAGEIFS(Simulation!$Z$3:$Z$290,Simulation!$N$3:$N$290,"P",Simulation!$F$3:$F$290,$C112,Simulation!$E$3:$E$290,"03/03/2026"))</f>
        <v>19.9621920050718</v>
      </c>
      <c r="G112" s="53" t="n">
        <f aca="false">IF($D112=0,"",AVERAGEIFS(Simulation!$AE$3:$AE$290,Simulation!$N$3:$N$290,"P",Simulation!$F$3:$F$290,$C112,Simulation!$E$3:$E$290,"03/03/2026"))</f>
        <v>4.48480918950093</v>
      </c>
      <c r="H112" s="54" t="n">
        <f aca="false">IF($D112=0,"",AVERAGEIFS(Simulation!$AJ$3:$AJ$290,Simulation!$N$3:$N$290,"P",Simulation!$F$3:$F$290,$C112,Simulation!$E$3:$E$290,"03/03/2026"))</f>
        <v>0.128324363823322</v>
      </c>
      <c r="I112" s="55" t="n">
        <f aca="false">IF($D112=0,"",AVERAGEIFS(Simulation!$AO$3:$AO$290,Simulation!$N$3:$N$290,"P",Simulation!$F$3:$F$290,$C112,Simulation!$E$3:$E$290,"03/03/2026"))</f>
        <v>2.61325099667249</v>
      </c>
      <c r="J112" s="52" t="n">
        <f aca="false">IF($D112=0,"",AVERAGEIFS(Simulation!$AT$3:$AT$290,Simulation!$N$3:$N$290,"P",Simulation!$F$3:$F$290,$C112,Simulation!$E$3:$E$290,"03/03/2026"))</f>
        <v>375.074097334555</v>
      </c>
      <c r="K112" s="55" t="n">
        <f aca="false">IF($D112=0,"",AVERAGEIFS(Simulation!$AY$3:$AY$290,Simulation!$N$3:$N$290,"P",Simulation!$F$3:$F$290,$C112,Simulation!$E$3:$E$290,"03/03/2026"))</f>
        <v>2.03244601844466</v>
      </c>
      <c r="L112" s="54" t="n">
        <f aca="false">IF($D112=0,"",AVERAGEIFS(Simulation!$BD$3:$BD$290,Simulation!$N$3:$N$290,"P",Simulation!$F$3:$F$290,$C112,Simulation!$E$3:$E$290,"03/03/2026"))</f>
        <v>0.446226537000862</v>
      </c>
      <c r="M112" s="54" t="n">
        <f aca="false">IF($D112=0,"",AVERAGEIFS(Simulation!$BI$3:$BI$290,Simulation!$N$3:$N$290,"P",Simulation!$F$3:$F$290,$C112,Simulation!$E$3:$E$290,"03/03/2026"))</f>
        <v>0.20374095220422</v>
      </c>
      <c r="N112" s="54" t="n">
        <f aca="false">IF($D112=0,"",AVERAGEIFS(Simulation!$BN$3:$BN$290,Simulation!$N$3:$N$290,"P",Simulation!$F$3:$F$290,$C112,Simulation!$E$3:$E$290,"03/03/2026"))</f>
        <v>0.175764571302747</v>
      </c>
      <c r="O112" s="53" t="n">
        <f aca="false">IF($D112=0,"",AVERAGEIFS(Simulation!$BS$3:$BS$290,Simulation!$N$3:$N$290,"P",Simulation!$F$3:$F$290,$C112,Simulation!$E$3:$E$290,"03/03/2026"))</f>
        <v>26.1274633590796</v>
      </c>
      <c r="P112" s="55" t="n">
        <f aca="false">IF($D112=0,"",AVERAGEIFS(Simulation!$BX$3:$BX$290,Simulation!$N$3:$N$290,"P",Simulation!$F$3:$F$290,$C112,Simulation!$E$3:$E$290,"03/03/2026"))</f>
        <v>7.23733088496489</v>
      </c>
      <c r="Q112" s="53" t="n">
        <f aca="false">IF($D112=0,"",AVERAGEIFS(Simulation!$CL$3:$CL$290,Simulation!$N$3:$N$290,"P",Simulation!$F$3:$F$290,$C112,Simulation!$E$3:$E$290,"03/03/2026"))</f>
        <v>30.0681035467782</v>
      </c>
      <c r="R112" s="53" t="n">
        <f aca="false">IF($D112=0,"",AVERAGEIFS(Simulation!$CO$3:$CO$290,Simulation!$N$3:$N$290,"P",Simulation!$F$3:$F$290,$C112,Simulation!$E$3:$E$290,"03/03/2026"))</f>
        <v>1.44810354677823</v>
      </c>
      <c r="S112" s="55" t="n">
        <f aca="false">IF($D112=0,"",AVERAGEIFS(Simulation!$CK$3:$CK$290,Simulation!$N$3:$N$290,"P",Simulation!$F$3:$F$290,$C112,Simulation!$E$3:$E$290,"03/03/2026"))</f>
        <v>0.651093635529695</v>
      </c>
    </row>
    <row r="113" customFormat="false" ht="15" hidden="false" customHeight="false" outlineLevel="0" collapsed="false">
      <c r="A113" s="47" t="s">
        <v>457</v>
      </c>
      <c r="B113" s="17" t="s">
        <v>164</v>
      </c>
      <c r="C113" s="17" t="s">
        <v>275</v>
      </c>
      <c r="D113" s="48" t="n">
        <f aca="false">COUNTIFS(Simulation!$N$3:$N$290,"P",Simulation!$F$3:$F$290,$C113,Simulation!$E$3:$E$290,"13/03/2026")</f>
        <v>9</v>
      </c>
      <c r="E113" s="49" t="n">
        <f aca="false">IF($D113=0,"",AVERAGEIFS(Simulation!$U$3:$U$290,Simulation!$N$3:$N$290,"P",Simulation!$F$3:$F$290,$C113,Simulation!$E$3:$E$290,"13/03/2026"))</f>
        <v>77.8046607142857</v>
      </c>
      <c r="F113" s="49" t="n">
        <f aca="false">IF($D113=0,"",AVERAGEIFS(Simulation!$Z$3:$Z$290,Simulation!$N$3:$N$290,"P",Simulation!$F$3:$F$290,$C113,Simulation!$E$3:$E$290,"13/03/2026"))</f>
        <v>58.6602514285714</v>
      </c>
      <c r="G113" s="49" t="n">
        <f aca="false">IF($D113=0,"",AVERAGEIFS(Simulation!$AE$3:$AE$290,Simulation!$N$3:$N$290,"P",Simulation!$F$3:$F$290,$C113,Simulation!$E$3:$E$290,"13/03/2026"))</f>
        <v>14.4449983571429</v>
      </c>
      <c r="H113" s="50" t="n">
        <f aca="false">IF($D113=0,"",AVERAGEIFS(Simulation!$AJ$3:$AJ$290,Simulation!$N$3:$N$290,"P",Simulation!$F$3:$F$290,$C113,Simulation!$E$3:$E$290,"13/03/2026"))</f>
        <v>0.258501574676089</v>
      </c>
      <c r="I113" s="51" t="n">
        <f aca="false">IF($D113=0,"",AVERAGEIFS(Simulation!$AO$3:$AO$290,Simulation!$N$3:$N$290,"P",Simulation!$F$3:$F$290,$C113,Simulation!$E$3:$E$290,"13/03/2026"))</f>
        <v>5.69967952720096</v>
      </c>
      <c r="J113" s="48" t="n">
        <f aca="false">IF($D113=0,"",AVERAGEIFS(Simulation!$AT$3:$AT$290,Simulation!$N$3:$N$290,"P",Simulation!$F$3:$F$290,$C113,Simulation!$E$3:$E$290,"13/03/2026"))</f>
        <v>293.55</v>
      </c>
      <c r="K113" s="51" t="n">
        <f aca="false">IF($D113=0,"",AVERAGEIFS(Simulation!$AY$3:$AY$290,Simulation!$N$3:$N$290,"P",Simulation!$F$3:$F$290,$C113,Simulation!$E$3:$E$290,"13/03/2026"))</f>
        <v>2.82074478236675</v>
      </c>
      <c r="L113" s="50" t="n">
        <f aca="false">IF($D113=0,"",AVERAGEIFS(Simulation!$BD$3:$BD$290,Simulation!$N$3:$N$290,"P",Simulation!$F$3:$F$290,$C113,Simulation!$E$3:$E$290,"13/03/2026"))</f>
        <v>1.01172691964286</v>
      </c>
      <c r="M113" s="50" t="n">
        <f aca="false">IF($D113=0,"",AVERAGEIFS(Simulation!$BI$3:$BI$290,Simulation!$N$3:$N$290,"P",Simulation!$F$3:$F$290,$C113,Simulation!$E$3:$E$290,"13/03/2026"))</f>
        <v>0.377076574285714</v>
      </c>
      <c r="N113" s="50" t="n">
        <f aca="false">IF($D113=0,"",AVERAGEIFS(Simulation!$BN$3:$BN$290,Simulation!$N$3:$N$290,"P",Simulation!$F$3:$F$290,$C113,Simulation!$E$3:$E$290,"13/03/2026"))</f>
        <v>0.264898832142857</v>
      </c>
      <c r="O113" s="49" t="n">
        <f aca="false">IF($D113=0,"",AVERAGEIFS(Simulation!$BS$3:$BS$290,Simulation!$N$3:$N$290,"P",Simulation!$F$3:$F$290,$C113,Simulation!$E$3:$E$290,"13/03/2026"))</f>
        <v>17.25</v>
      </c>
      <c r="P113" s="51" t="n">
        <f aca="false">IF($D113=0,"",AVERAGEIFS(Simulation!$BX$3:$BX$290,Simulation!$N$3:$N$290,"P",Simulation!$F$3:$F$290,$C113,Simulation!$E$3:$E$290,"13/03/2026"))</f>
        <v>8.04007657142857</v>
      </c>
      <c r="Q113" s="49" t="n">
        <f aca="false">IF($D113=0,"",AVERAGEIFS(Simulation!$CL$3:$CL$290,Simulation!$N$3:$N$290,"P",Simulation!$F$3:$F$290,$C113,Simulation!$E$3:$E$290,"13/03/2026"))</f>
        <v>31.2958875324433</v>
      </c>
      <c r="R113" s="49" t="n">
        <f aca="false">IF($D113=0,"",AVERAGEIFS(Simulation!$CO$3:$CO$290,Simulation!$N$3:$N$290,"P",Simulation!$F$3:$F$290,$C113,Simulation!$E$3:$E$290,"13/03/2026"))</f>
        <v>-1.49125532469956</v>
      </c>
      <c r="S113" s="51" t="n">
        <f aca="false">IF($D113=0,"",AVERAGEIFS(Simulation!$CK$3:$CK$290,Simulation!$N$3:$N$290,"P",Simulation!$F$3:$F$290,$C113,Simulation!$E$3:$E$290,"13/03/2026"))</f>
        <v>0.347678571428571</v>
      </c>
    </row>
    <row r="114" customFormat="false" ht="15" hidden="false" customHeight="false" outlineLevel="0" collapsed="false">
      <c r="A114" s="27" t="s">
        <v>457</v>
      </c>
      <c r="B114" s="20" t="s">
        <v>164</v>
      </c>
      <c r="C114" s="20" t="s">
        <v>277</v>
      </c>
      <c r="D114" s="52" t="n">
        <f aca="false">COUNTIFS(Simulation!$N$3:$N$290,"P",Simulation!$F$3:$F$290,$C114,Simulation!$E$3:$E$290,"13/03/2026")</f>
        <v>9</v>
      </c>
      <c r="E114" s="53" t="n">
        <f aca="false">IF($D114=0,"",AVERAGEIFS(Simulation!$U$3:$U$290,Simulation!$N$3:$N$290,"P",Simulation!$F$3:$F$290,$C114,Simulation!$E$3:$E$290,"13/03/2026"))</f>
        <v>77.4748091658809</v>
      </c>
      <c r="F114" s="53" t="n">
        <f aca="false">IF($D114=0,"",AVERAGEIFS(Simulation!$Z$3:$Z$290,Simulation!$N$3:$N$290,"P",Simulation!$F$3:$F$290,$C114,Simulation!$E$3:$E$290,"13/03/2026"))</f>
        <v>57.8663810320503</v>
      </c>
      <c r="G114" s="53" t="n">
        <f aca="false">IF($D114=0,"",AVERAGEIFS(Simulation!$AE$3:$AE$290,Simulation!$N$3:$N$290,"P",Simulation!$F$3:$F$290,$C114,Simulation!$E$3:$E$290,"13/03/2026"))</f>
        <v>13.1294045099247</v>
      </c>
      <c r="H114" s="54" t="n">
        <f aca="false">IF($D114=0,"",AVERAGEIFS(Simulation!$AJ$3:$AJ$290,Simulation!$N$3:$N$290,"P",Simulation!$F$3:$F$290,$C114,Simulation!$E$3:$E$290,"13/03/2026"))</f>
        <v>0.244280803997953</v>
      </c>
      <c r="I114" s="55" t="n">
        <f aca="false">IF($D114=0,"",AVERAGEIFS(Simulation!$AO$3:$AO$290,Simulation!$N$3:$N$290,"P",Simulation!$F$3:$F$290,$C114,Simulation!$E$3:$E$290,"13/03/2026"))</f>
        <v>5.42652290000089</v>
      </c>
      <c r="J114" s="52" t="n">
        <f aca="false">IF($D114=0,"",AVERAGEIFS(Simulation!$AT$3:$AT$290,Simulation!$N$3:$N$290,"P",Simulation!$F$3:$F$290,$C114,Simulation!$E$3:$E$290,"13/03/2026"))</f>
        <v>303.342379211495</v>
      </c>
      <c r="K114" s="55" t="n">
        <f aca="false">IF($D114=0,"",AVERAGEIFS(Simulation!$AY$3:$AY$290,Simulation!$N$3:$N$290,"P",Simulation!$F$3:$F$290,$C114,Simulation!$E$3:$E$290,"13/03/2026"))</f>
        <v>2.73058158744145</v>
      </c>
      <c r="L114" s="54" t="n">
        <f aca="false">IF($D114=0,"",AVERAGEIFS(Simulation!$BD$3:$BD$290,Simulation!$N$3:$N$290,"P",Simulation!$F$3:$F$290,$C114,Simulation!$E$3:$E$290,"13/03/2026"))</f>
        <v>0.952613532789033</v>
      </c>
      <c r="M114" s="54" t="n">
        <f aca="false">IF($D114=0,"",AVERAGEIFS(Simulation!$BI$3:$BI$290,Simulation!$N$3:$N$290,"P",Simulation!$F$3:$F$290,$C114,Simulation!$E$3:$E$290,"13/03/2026"))</f>
        <v>0.359547644931045</v>
      </c>
      <c r="N114" s="54" t="n">
        <f aca="false">IF($D114=0,"",AVERAGEIFS(Simulation!$BN$3:$BN$290,Simulation!$N$3:$N$290,"P",Simulation!$F$3:$F$290,$C114,Simulation!$E$3:$E$290,"13/03/2026"))</f>
        <v>0.271658432429148</v>
      </c>
      <c r="O114" s="53" t="n">
        <f aca="false">IF($D114=0,"",AVERAGEIFS(Simulation!$BS$3:$BS$290,Simulation!$N$3:$N$290,"P",Simulation!$F$3:$F$290,$C114,Simulation!$E$3:$E$290,"13/03/2026"))</f>
        <v>18.1259653619021</v>
      </c>
      <c r="P114" s="55" t="n">
        <f aca="false">IF($D114=0,"",AVERAGEIFS(Simulation!$BX$3:$BX$290,Simulation!$N$3:$N$290,"P",Simulation!$F$3:$F$290,$C114,Simulation!$E$3:$E$290,"13/03/2026"))</f>
        <v>7.93767389971515</v>
      </c>
      <c r="Q114" s="53" t="n">
        <f aca="false">IF($D114=0,"",AVERAGEIFS(Simulation!$CL$3:$CL$290,Simulation!$N$3:$N$290,"P",Simulation!$F$3:$F$290,$C114,Simulation!$E$3:$E$290,"13/03/2026"))</f>
        <v>31.5590554485394</v>
      </c>
      <c r="R114" s="53" t="n">
        <f aca="false">IF($D114=0,"",AVERAGEIFS(Simulation!$CO$3:$CO$290,Simulation!$N$3:$N$290,"P",Simulation!$F$3:$F$290,$C114,Simulation!$E$3:$E$290,"13/03/2026"))</f>
        <v>-1.22808740860341</v>
      </c>
      <c r="S114" s="55" t="n">
        <f aca="false">IF($D114=0,"",AVERAGEIFS(Simulation!$CK$3:$CK$290,Simulation!$N$3:$N$290,"P",Simulation!$F$3:$F$290,$C114,Simulation!$E$3:$E$290,"13/03/2026"))</f>
        <v>0.378941017050037</v>
      </c>
    </row>
    <row r="115" customFormat="false" ht="15" hidden="false" customHeight="false" outlineLevel="0" collapsed="false">
      <c r="A115" s="27" t="s">
        <v>457</v>
      </c>
      <c r="B115" s="20" t="s">
        <v>164</v>
      </c>
      <c r="C115" s="20" t="s">
        <v>279</v>
      </c>
      <c r="D115" s="52" t="n">
        <f aca="false">COUNTIFS(Simulation!$N$3:$N$290,"P",Simulation!$F$3:$F$290,$C115,Simulation!$E$3:$E$290,"13/03/2026")</f>
        <v>9</v>
      </c>
      <c r="E115" s="53" t="n">
        <f aca="false">IF($D115=0,"",AVERAGEIFS(Simulation!$U$3:$U$290,Simulation!$N$3:$N$290,"P",Simulation!$F$3:$F$290,$C115,Simulation!$E$3:$E$290,"13/03/2026"))</f>
        <v>76.7397757016044</v>
      </c>
      <c r="F115" s="53" t="n">
        <f aca="false">IF($D115=0,"",AVERAGEIFS(Simulation!$Z$3:$Z$290,Simulation!$N$3:$N$290,"P",Simulation!$F$3:$F$290,$C115,Simulation!$E$3:$E$290,"13/03/2026"))</f>
        <v>56.0097877512816</v>
      </c>
      <c r="G115" s="53" t="n">
        <f aca="false">IF($D115=0,"",AVERAGEIFS(Simulation!$AE$3:$AE$290,Simulation!$N$3:$N$290,"P",Simulation!$F$3:$F$290,$C115,Simulation!$E$3:$E$290,"13/03/2026"))</f>
        <v>11.2882299024248</v>
      </c>
      <c r="H115" s="54" t="n">
        <f aca="false">IF($D115=0,"",AVERAGEIFS(Simulation!$AJ$3:$AJ$290,Simulation!$N$3:$N$290,"P",Simulation!$F$3:$F$290,$C115,Simulation!$E$3:$E$290,"13/03/2026"))</f>
        <v>0.223247037170978</v>
      </c>
      <c r="I115" s="55" t="n">
        <f aca="false">IF($D115=0,"",AVERAGEIFS(Simulation!$AO$3:$AO$290,Simulation!$N$3:$N$290,"P",Simulation!$F$3:$F$290,$C115,Simulation!$E$3:$E$290,"13/03/2026"))</f>
        <v>5.02080229199154</v>
      </c>
      <c r="J115" s="52" t="n">
        <f aca="false">IF($D115=0,"",AVERAGEIFS(Simulation!$AT$3:$AT$290,Simulation!$N$3:$N$290,"P",Simulation!$F$3:$F$290,$C115,Simulation!$E$3:$E$290,"13/03/2026"))</f>
        <v>317.26474029927</v>
      </c>
      <c r="K115" s="55" t="n">
        <f aca="false">IF($D115=0,"",AVERAGEIFS(Simulation!$AY$3:$AY$290,Simulation!$N$3:$N$290,"P",Simulation!$F$3:$F$290,$C115,Simulation!$E$3:$E$290,"13/03/2026"))</f>
        <v>2.594553209957</v>
      </c>
      <c r="L115" s="54" t="n">
        <f aca="false">IF($D115=0,"",AVERAGEIFS(Simulation!$BD$3:$BD$290,Simulation!$N$3:$N$290,"P",Simulation!$F$3:$F$290,$C115,Simulation!$E$3:$E$290,"13/03/2026"))</f>
        <v>0.865869164043176</v>
      </c>
      <c r="M115" s="54" t="n">
        <f aca="false">IF($D115=0,"",AVERAGEIFS(Simulation!$BI$3:$BI$290,Simulation!$N$3:$N$290,"P",Simulation!$F$3:$F$290,$C115,Simulation!$E$3:$E$290,"13/03/2026"))</f>
        <v>0.333620821334944</v>
      </c>
      <c r="N115" s="54" t="n">
        <f aca="false">IF($D115=0,"",AVERAGEIFS(Simulation!$BN$3:$BN$290,Simulation!$N$3:$N$290,"P",Simulation!$F$3:$F$290,$C115,Simulation!$E$3:$E$290,"13/03/2026"))</f>
        <v>0.268114965611143</v>
      </c>
      <c r="O115" s="53" t="n">
        <f aca="false">IF($D115=0,"",AVERAGEIFS(Simulation!$BS$3:$BS$290,Simulation!$N$3:$N$290,"P",Simulation!$F$3:$F$290,$C115,Simulation!$E$3:$E$290,"13/03/2026"))</f>
        <v>19.4215949439952</v>
      </c>
      <c r="P115" s="55" t="n">
        <f aca="false">IF($D115=0,"",AVERAGEIFS(Simulation!$BX$3:$BX$290,Simulation!$N$3:$N$290,"P",Simulation!$F$3:$F$290,$C115,Simulation!$E$3:$E$290,"13/03/2026"))</f>
        <v>7.7862113687434</v>
      </c>
      <c r="Q115" s="53" t="n">
        <f aca="false">IF($D115=0,"",AVERAGEIFS(Simulation!$CL$3:$CL$290,Simulation!$N$3:$N$290,"P",Simulation!$F$3:$F$290,$C115,Simulation!$E$3:$E$290,"13/03/2026"))</f>
        <v>31.9499397848323</v>
      </c>
      <c r="R115" s="53" t="n">
        <f aca="false">IF($D115=0,"",AVERAGEIFS(Simulation!$CO$3:$CO$290,Simulation!$N$3:$N$290,"P",Simulation!$F$3:$F$290,$C115,Simulation!$E$3:$E$290,"13/03/2026"))</f>
        <v>-0.837203072310598</v>
      </c>
      <c r="S115" s="55" t="n">
        <f aca="false">IF($D115=0,"",AVERAGEIFS(Simulation!$CK$3:$CK$290,Simulation!$N$3:$N$290,"P",Simulation!$F$3:$F$290,$C115,Simulation!$E$3:$E$290,"13/03/2026"))</f>
        <v>0.425375249949356</v>
      </c>
    </row>
    <row r="116" customFormat="false" ht="15" hidden="false" customHeight="false" outlineLevel="0" collapsed="false">
      <c r="A116" s="27" t="s">
        <v>457</v>
      </c>
      <c r="B116" s="20" t="s">
        <v>164</v>
      </c>
      <c r="C116" s="20" t="s">
        <v>281</v>
      </c>
      <c r="D116" s="52" t="n">
        <f aca="false">COUNTIFS(Simulation!$N$3:$N$290,"P",Simulation!$F$3:$F$290,$C116,Simulation!$E$3:$E$290,"13/03/2026")</f>
        <v>9</v>
      </c>
      <c r="E116" s="53" t="n">
        <f aca="false">IF($D116=0,"",AVERAGEIFS(Simulation!$U$3:$U$290,Simulation!$N$3:$N$290,"P",Simulation!$F$3:$F$290,$C116,Simulation!$E$3:$E$290,"13/03/2026"))</f>
        <v>74.3243212118931</v>
      </c>
      <c r="F116" s="53" t="n">
        <f aca="false">IF($D116=0,"",AVERAGEIFS(Simulation!$Z$3:$Z$290,Simulation!$N$3:$N$290,"P",Simulation!$F$3:$F$290,$C116,Simulation!$E$3:$E$290,"13/03/2026"))</f>
        <v>49.5960111562785</v>
      </c>
      <c r="G116" s="53" t="n">
        <f aca="false">IF($D116=0,"",AVERAGEIFS(Simulation!$AE$3:$AE$290,Simulation!$N$3:$N$290,"P",Simulation!$F$3:$F$290,$C116,Simulation!$E$3:$E$290,"13/03/2026"))</f>
        <v>8.62486916477165</v>
      </c>
      <c r="H116" s="54" t="n">
        <f aca="false">IF($D116=0,"",AVERAGEIFS(Simulation!$AJ$3:$AJ$290,Simulation!$N$3:$N$290,"P",Simulation!$F$3:$F$290,$C116,Simulation!$E$3:$E$290,"13/03/2026"))</f>
        <v>0.189560908573743</v>
      </c>
      <c r="I116" s="55" t="n">
        <f aca="false">IF($D116=0,"",AVERAGEIFS(Simulation!$AO$3:$AO$290,Simulation!$N$3:$N$290,"P",Simulation!$F$3:$F$290,$C116,Simulation!$E$3:$E$290,"13/03/2026"))</f>
        <v>4.36769513109972</v>
      </c>
      <c r="J116" s="52" t="n">
        <f aca="false">IF($D116=0,"",AVERAGEIFS(Simulation!$AT$3:$AT$290,Simulation!$N$3:$N$290,"P",Simulation!$F$3:$F$290,$C116,Simulation!$E$3:$E$290,"13/03/2026"))</f>
        <v>337.99584320257</v>
      </c>
      <c r="K116" s="55" t="n">
        <f aca="false">IF($D116=0,"",AVERAGEIFS(Simulation!$AY$3:$AY$290,Simulation!$N$3:$N$290,"P",Simulation!$F$3:$F$290,$C116,Simulation!$E$3:$E$290,"13/03/2026"))</f>
        <v>2.36856958125852</v>
      </c>
      <c r="L116" s="54" t="n">
        <f aca="false">IF($D116=0,"",AVERAGEIFS(Simulation!$BD$3:$BD$290,Simulation!$N$3:$N$290,"P",Simulation!$F$3:$F$290,$C116,Simulation!$E$3:$E$290,"13/03/2026"))</f>
        <v>0.72896114915223</v>
      </c>
      <c r="M116" s="54" t="n">
        <f aca="false">IF($D116=0,"",AVERAGEIFS(Simulation!$BI$3:$BI$290,Simulation!$N$3:$N$290,"P",Simulation!$F$3:$F$290,$C116,Simulation!$E$3:$E$290,"13/03/2026"))</f>
        <v>0.292098334138022</v>
      </c>
      <c r="N116" s="54" t="n">
        <f aca="false">IF($D116=0,"",AVERAGEIFS(Simulation!$BN$3:$BN$290,Simulation!$N$3:$N$290,"P",Simulation!$F$3:$F$290,$C116,Simulation!$E$3:$E$290,"13/03/2026"))</f>
        <v>0.242521706112796</v>
      </c>
      <c r="O116" s="53" t="n">
        <f aca="false">IF($D116=0,"",AVERAGEIFS(Simulation!$BS$3:$BS$290,Simulation!$N$3:$N$290,"P",Simulation!$F$3:$F$290,$C116,Simulation!$E$3:$E$290,"13/03/2026"))</f>
        <v>21.4965796614637</v>
      </c>
      <c r="P116" s="55" t="n">
        <f aca="false">IF($D116=0,"",AVERAGEIFS(Simulation!$BX$3:$BX$290,Simulation!$N$3:$N$290,"P",Simulation!$F$3:$F$290,$C116,Simulation!$E$3:$E$290,"13/03/2026"))</f>
        <v>7.54364015751205</v>
      </c>
      <c r="Q116" s="53" t="n">
        <f aca="false">IF($D116=0,"",AVERAGEIFS(Simulation!$CL$3:$CL$290,Simulation!$N$3:$N$290,"P",Simulation!$F$3:$F$290,$C116,Simulation!$E$3:$E$290,"13/03/2026"))</f>
        <v>32.5791643153925</v>
      </c>
      <c r="R116" s="53" t="n">
        <f aca="false">IF($D116=0,"",AVERAGEIFS(Simulation!$CO$3:$CO$290,Simulation!$N$3:$N$290,"P",Simulation!$F$3:$F$290,$C116,Simulation!$E$3:$E$290,"13/03/2026"))</f>
        <v>-0.207978541750398</v>
      </c>
      <c r="S116" s="55" t="n">
        <f aca="false">IF($D116=0,"",AVERAGEIFS(Simulation!$CK$3:$CK$290,Simulation!$N$3:$N$290,"P",Simulation!$F$3:$F$290,$C116,Simulation!$E$3:$E$290,"13/03/2026"))</f>
        <v>0.500122574631381</v>
      </c>
    </row>
    <row r="117" customFormat="false" ht="15" hidden="false" customHeight="false" outlineLevel="0" collapsed="false">
      <c r="A117" s="27" t="s">
        <v>457</v>
      </c>
      <c r="B117" s="20" t="s">
        <v>164</v>
      </c>
      <c r="C117" s="20" t="s">
        <v>283</v>
      </c>
      <c r="D117" s="52" t="n">
        <f aca="false">COUNTIFS(Simulation!$N$3:$N$290,"P",Simulation!$F$3:$F$290,$C117,Simulation!$E$3:$E$290,"13/03/2026")</f>
        <v>9</v>
      </c>
      <c r="E117" s="53" t="n">
        <f aca="false">IF($D117=0,"",AVERAGEIFS(Simulation!$U$3:$U$290,Simulation!$N$3:$N$290,"P",Simulation!$F$3:$F$290,$C117,Simulation!$E$3:$E$290,"13/03/2026"))</f>
        <v>65.4451689580757</v>
      </c>
      <c r="F117" s="53" t="n">
        <f aca="false">IF($D117=0,"",AVERAGEIFS(Simulation!$Z$3:$Z$290,Simulation!$N$3:$N$290,"P",Simulation!$F$3:$F$290,$C117,Simulation!$E$3:$E$290,"13/03/2026"))</f>
        <v>29.8020622367173</v>
      </c>
      <c r="G117" s="53" t="n">
        <f aca="false">IF($D117=0,"",AVERAGEIFS(Simulation!$AE$3:$AE$290,Simulation!$N$3:$N$290,"P",Simulation!$F$3:$F$290,$C117,Simulation!$E$3:$E$290,"13/03/2026"))</f>
        <v>5.80485132561795</v>
      </c>
      <c r="H117" s="54" t="n">
        <f aca="false">IF($D117=0,"",AVERAGEIFS(Simulation!$AJ$3:$AJ$290,Simulation!$N$3:$N$290,"P",Simulation!$F$3:$F$290,$C117,Simulation!$E$3:$E$290,"13/03/2026"))</f>
        <v>0.14611827137556</v>
      </c>
      <c r="I117" s="55" t="n">
        <f aca="false">IF($D117=0,"",AVERAGEIFS(Simulation!$AO$3:$AO$290,Simulation!$N$3:$N$290,"P",Simulation!$F$3:$F$290,$C117,Simulation!$E$3:$E$290,"13/03/2026"))</f>
        <v>3.52781570651302</v>
      </c>
      <c r="J117" s="52" t="n">
        <f aca="false">IF($D117=0,"",AVERAGEIFS(Simulation!$AT$3:$AT$290,Simulation!$N$3:$N$290,"P",Simulation!$F$3:$F$290,$C117,Simulation!$E$3:$E$290,"13/03/2026"))</f>
        <v>361.207402047627</v>
      </c>
      <c r="K117" s="55" t="n">
        <f aca="false">IF($D117=0,"",AVERAGEIFS(Simulation!$AY$3:$AY$290,Simulation!$N$3:$N$290,"P",Simulation!$F$3:$F$290,$C117,Simulation!$E$3:$E$290,"13/03/2026"))</f>
        <v>2.0555073548681</v>
      </c>
      <c r="L117" s="54" t="n">
        <f aca="false">IF($D117=0,"",AVERAGEIFS(Simulation!$BD$3:$BD$290,Simulation!$N$3:$N$290,"P",Simulation!$F$3:$F$290,$C117,Simulation!$E$3:$E$290,"13/03/2026"))</f>
        <v>0.557354966928731</v>
      </c>
      <c r="M117" s="54" t="n">
        <f aca="false">IF($D117=0,"",AVERAGEIFS(Simulation!$BI$3:$BI$290,Simulation!$N$3:$N$290,"P",Simulation!$F$3:$F$290,$C117,Simulation!$E$3:$E$290,"13/03/2026"))</f>
        <v>0.238549694921283</v>
      </c>
      <c r="N117" s="54" t="n">
        <f aca="false">IF($D117=0,"",AVERAGEIFS(Simulation!$BN$3:$BN$290,Simulation!$N$3:$N$290,"P",Simulation!$F$3:$F$290,$C117,Simulation!$E$3:$E$290,"13/03/2026"))</f>
        <v>0.200134645957939</v>
      </c>
      <c r="O117" s="53" t="n">
        <f aca="false">IF($D117=0,"",AVERAGEIFS(Simulation!$BS$3:$BS$290,Simulation!$N$3:$N$290,"P",Simulation!$F$3:$F$290,$C117,Simulation!$E$3:$E$290,"13/03/2026"))</f>
        <v>24.1725419054646</v>
      </c>
      <c r="P117" s="55" t="n">
        <f aca="false">IF($D117=0,"",AVERAGEIFS(Simulation!$BX$3:$BX$290,Simulation!$N$3:$N$290,"P",Simulation!$F$3:$F$290,$C117,Simulation!$E$3:$E$290,"13/03/2026"))</f>
        <v>7.23081308111384</v>
      </c>
      <c r="Q117" s="53" t="n">
        <f aca="false">IF($D117=0,"",AVERAGEIFS(Simulation!$CL$3:$CL$290,Simulation!$N$3:$N$290,"P",Simulation!$F$3:$F$290,$C117,Simulation!$E$3:$E$290,"13/03/2026"))</f>
        <v>33.3883312765097</v>
      </c>
      <c r="R117" s="53" t="n">
        <f aca="false">IF($D117=0,"",AVERAGEIFS(Simulation!$CO$3:$CO$290,Simulation!$N$3:$N$290,"P",Simulation!$F$3:$F$290,$C117,Simulation!$E$3:$E$290,"13/03/2026"))</f>
        <v>0.601188419366837</v>
      </c>
      <c r="S117" s="55" t="n">
        <f aca="false">IF($D117=0,"",AVERAGEIFS(Simulation!$CK$3:$CK$290,Simulation!$N$3:$N$290,"P",Simulation!$F$3:$F$290,$C117,Simulation!$E$3:$E$290,"13/03/2026"))</f>
        <v>0.596245759006836</v>
      </c>
    </row>
    <row r="118" customFormat="false" ht="15" hidden="false" customHeight="false" outlineLevel="0" collapsed="false">
      <c r="A118" s="27" t="s">
        <v>457</v>
      </c>
      <c r="B118" s="20" t="s">
        <v>164</v>
      </c>
      <c r="C118" s="20" t="s">
        <v>285</v>
      </c>
      <c r="D118" s="52" t="n">
        <f aca="false">COUNTIFS(Simulation!$N$3:$N$290,"P",Simulation!$F$3:$F$290,$C118,Simulation!$E$3:$E$290,"13/03/2026")</f>
        <v>9</v>
      </c>
      <c r="E118" s="53" t="n">
        <f aca="false">IF($D118=0,"",AVERAGEIFS(Simulation!$U$3:$U$290,Simulation!$N$3:$N$290,"P",Simulation!$F$3:$F$290,$C118,Simulation!$E$3:$E$290,"13/03/2026"))</f>
        <v>56.6876300436685</v>
      </c>
      <c r="F118" s="53" t="n">
        <f aca="false">IF($D118=0,"",AVERAGEIFS(Simulation!$Z$3:$Z$290,Simulation!$N$3:$N$290,"P",Simulation!$F$3:$F$290,$C118,Simulation!$E$3:$E$290,"13/03/2026"))</f>
        <v>19.3158821603025</v>
      </c>
      <c r="G118" s="53" t="n">
        <f aca="false">IF($D118=0,"",AVERAGEIFS(Simulation!$AE$3:$AE$290,Simulation!$N$3:$N$290,"P",Simulation!$F$3:$F$290,$C118,Simulation!$E$3:$E$290,"13/03/2026"))</f>
        <v>4.41538976235264</v>
      </c>
      <c r="H118" s="54" t="n">
        <f aca="false">IF($D118=0,"",AVERAGEIFS(Simulation!$AJ$3:$AJ$290,Simulation!$N$3:$N$290,"P",Simulation!$F$3:$F$290,$C118,Simulation!$E$3:$E$290,"13/03/2026"))</f>
        <v>0.116783302255381</v>
      </c>
      <c r="I118" s="55" t="n">
        <f aca="false">IF($D118=0,"",AVERAGEIFS(Simulation!$AO$3:$AO$290,Simulation!$N$3:$N$290,"P",Simulation!$F$3:$F$290,$C118,Simulation!$E$3:$E$290,"13/03/2026"))</f>
        <v>2.9933738313331</v>
      </c>
      <c r="J118" s="52" t="n">
        <f aca="false">IF($D118=0,"",AVERAGEIFS(Simulation!$AT$3:$AT$290,Simulation!$N$3:$N$290,"P",Simulation!$F$3:$F$290,$C118,Simulation!$E$3:$E$290,"13/03/2026"))</f>
        <v>373.715362378979</v>
      </c>
      <c r="K118" s="55" t="n">
        <f aca="false">IF($D118=0,"",AVERAGEIFS(Simulation!$AY$3:$AY$290,Simulation!$N$3:$N$290,"P",Simulation!$F$3:$F$290,$C118,Simulation!$E$3:$E$290,"13/03/2026"))</f>
        <v>1.81863430828492</v>
      </c>
      <c r="L118" s="54" t="n">
        <f aca="false">IF($D118=0,"",AVERAGEIFS(Simulation!$BD$3:$BD$290,Simulation!$N$3:$N$290,"P",Simulation!$F$3:$F$290,$C118,Simulation!$E$3:$E$290,"13/03/2026"))</f>
        <v>0.446612123594712</v>
      </c>
      <c r="M118" s="54" t="n">
        <f aca="false">IF($D118=0,"",AVERAGEIFS(Simulation!$BI$3:$BI$290,Simulation!$N$3:$N$290,"P",Simulation!$F$3:$F$290,$C118,Simulation!$E$3:$E$290,"13/03/2026"))</f>
        <v>0.202390571553967</v>
      </c>
      <c r="N118" s="54" t="n">
        <f aca="false">IF($D118=0,"",AVERAGEIFS(Simulation!$BN$3:$BN$290,Simulation!$N$3:$N$290,"P",Simulation!$F$3:$F$290,$C118,Simulation!$E$3:$E$290,"13/03/2026"))</f>
        <v>0.176340330683097</v>
      </c>
      <c r="O118" s="53" t="n">
        <f aca="false">IF($D118=0,"",AVERAGEIFS(Simulation!$BS$3:$BS$290,Simulation!$N$3:$N$290,"P",Simulation!$F$3:$F$290,$C118,Simulation!$E$3:$E$290,"13/03/2026"))</f>
        <v>25.9795056364283</v>
      </c>
      <c r="P118" s="55" t="n">
        <f aca="false">IF($D118=0,"",AVERAGEIFS(Simulation!$BX$3:$BX$290,Simulation!$N$3:$N$290,"P",Simulation!$F$3:$F$290,$C118,Simulation!$E$3:$E$290,"13/03/2026"))</f>
        <v>7.01957423333779</v>
      </c>
      <c r="Q118" s="53" t="n">
        <f aca="false">IF($D118=0,"",AVERAGEIFS(Simulation!$CL$3:$CL$290,Simulation!$N$3:$N$290,"P",Simulation!$F$3:$F$290,$C118,Simulation!$E$3:$E$290,"13/03/2026"))</f>
        <v>33.9032298385812</v>
      </c>
      <c r="R118" s="53" t="n">
        <f aca="false">IF($D118=0,"",AVERAGEIFS(Simulation!$CO$3:$CO$290,Simulation!$N$3:$N$290,"P",Simulation!$F$3:$F$290,$C118,Simulation!$E$3:$E$290,"13/03/2026"))</f>
        <v>1.11608698143834</v>
      </c>
      <c r="S118" s="55" t="n">
        <f aca="false">IF($D118=0,"",AVERAGEIFS(Simulation!$CK$3:$CK$290,Simulation!$N$3:$N$290,"P",Simulation!$F$3:$F$290,$C118,Simulation!$E$3:$E$290,"13/03/2026"))</f>
        <v>0.657411985255519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41" min="3" style="0" width="12"/>
  </cols>
  <sheetData>
    <row r="1" customFormat="false" ht="17.35" hidden="false" customHeight="false" outlineLevel="0" collapsed="false">
      <c r="A1" s="5" t="s">
        <v>460</v>
      </c>
    </row>
    <row r="3" customFormat="false" ht="15" hidden="false" customHeight="false" outlineLevel="0" collapsed="false">
      <c r="A3" s="7" t="s">
        <v>306</v>
      </c>
      <c r="B3" s="58" t="s">
        <v>347</v>
      </c>
      <c r="D3" s="7" t="s">
        <v>358</v>
      </c>
      <c r="E3" s="9" t="str">
        <f aca="false">INDEX(Simulation!$N$3:$N$290,MATCH($B$3&amp;"|"&amp;$B$4&amp;"|Healthy",Simulation!$A$3:$A$290,0))</f>
        <v>F</v>
      </c>
      <c r="G3" s="7" t="s">
        <v>461</v>
      </c>
      <c r="H3" s="9" t="str">
        <f aca="false">INDEX(Simulation!$L$3:$L$290,MATCH($B$3&amp;"|"&amp;$B$4&amp;"|Healthy",Simulation!$A$3:$A$290,0))&amp;" / "&amp;INDEX(Simulation!$M$3:$M$290,MATCH($B$3&amp;"|"&amp;$B$4&amp;"|Healthy",Simulation!$A$3:$A$290,0))</f>
        <v>68 / 19</v>
      </c>
    </row>
    <row r="4" customFormat="false" ht="15" hidden="false" customHeight="false" outlineLevel="0" collapsed="false">
      <c r="A4" s="7" t="s">
        <v>155</v>
      </c>
      <c r="B4" s="58" t="s">
        <v>160</v>
      </c>
      <c r="D4" s="7" t="s">
        <v>462</v>
      </c>
      <c r="E4" s="9" t="str">
        <f aca="false">INDEX(Simulation!$O$3:$O$290,MATCH($B$3&amp;"|"&amp;$B$4&amp;"|Healthy",Simulation!$A$3:$A$290,0))</f>
        <v>5th fully expanded leaf from top</v>
      </c>
    </row>
    <row r="6" customFormat="false" ht="15" hidden="false" customHeight="false" outlineLevel="0" collapsed="false">
      <c r="A6" s="7" t="s">
        <v>463</v>
      </c>
    </row>
    <row r="8" customFormat="false" ht="35.05" hidden="false" customHeight="false" outlineLevel="0" collapsed="false">
      <c r="A8" s="6" t="s">
        <v>356</v>
      </c>
      <c r="B8" s="6" t="s">
        <v>464</v>
      </c>
      <c r="C8" s="6" t="s">
        <v>465</v>
      </c>
      <c r="D8" s="6" t="s">
        <v>466</v>
      </c>
      <c r="E8" s="6" t="s">
        <v>467</v>
      </c>
      <c r="F8" s="6" t="s">
        <v>468</v>
      </c>
      <c r="G8" s="6" t="s">
        <v>466</v>
      </c>
      <c r="H8" s="6" t="s">
        <v>467</v>
      </c>
      <c r="I8" s="6" t="s">
        <v>469</v>
      </c>
      <c r="J8" s="6" t="s">
        <v>466</v>
      </c>
      <c r="K8" s="6" t="s">
        <v>467</v>
      </c>
      <c r="L8" s="6" t="s">
        <v>470</v>
      </c>
      <c r="M8" s="6" t="s">
        <v>466</v>
      </c>
      <c r="N8" s="6" t="s">
        <v>467</v>
      </c>
      <c r="O8" s="6" t="s">
        <v>471</v>
      </c>
      <c r="P8" s="6" t="s">
        <v>466</v>
      </c>
      <c r="Q8" s="6" t="s">
        <v>467</v>
      </c>
      <c r="R8" s="6" t="s">
        <v>472</v>
      </c>
      <c r="S8" s="6" t="s">
        <v>466</v>
      </c>
      <c r="T8" s="6" t="s">
        <v>467</v>
      </c>
      <c r="U8" s="6" t="s">
        <v>392</v>
      </c>
      <c r="V8" s="6" t="s">
        <v>466</v>
      </c>
      <c r="W8" s="6" t="s">
        <v>467</v>
      </c>
      <c r="X8" s="6" t="s">
        <v>473</v>
      </c>
      <c r="Y8" s="6" t="s">
        <v>466</v>
      </c>
      <c r="Z8" s="6" t="s">
        <v>467</v>
      </c>
      <c r="AA8" s="6" t="s">
        <v>474</v>
      </c>
      <c r="AB8" s="6" t="s">
        <v>466</v>
      </c>
      <c r="AC8" s="6" t="s">
        <v>467</v>
      </c>
      <c r="AD8" s="6" t="s">
        <v>475</v>
      </c>
      <c r="AE8" s="6" t="s">
        <v>466</v>
      </c>
      <c r="AF8" s="6" t="s">
        <v>467</v>
      </c>
      <c r="AG8" s="6" t="s">
        <v>476</v>
      </c>
      <c r="AH8" s="6" t="s">
        <v>466</v>
      </c>
      <c r="AI8" s="6" t="s">
        <v>467</v>
      </c>
      <c r="AJ8" s="6" t="s">
        <v>477</v>
      </c>
      <c r="AK8" s="6" t="s">
        <v>466</v>
      </c>
      <c r="AL8" s="6" t="s">
        <v>467</v>
      </c>
      <c r="AM8" s="6" t="s">
        <v>429</v>
      </c>
      <c r="AN8" s="6" t="s">
        <v>433</v>
      </c>
      <c r="AO8" s="6" t="s">
        <v>428</v>
      </c>
    </row>
    <row r="9" customFormat="false" ht="15" hidden="false" customHeight="false" outlineLevel="0" collapsed="false">
      <c r="A9" s="47" t="s">
        <v>275</v>
      </c>
      <c r="B9" s="17" t="str">
        <f aca="false">INDEX(Simulation!$S$3:$S$290,MATCH($B$3&amp;"|"&amp;$B$4&amp;"|"&amp;$A9,Simulation!$A$3:$A$290,0))</f>
        <v>Reference: healthy (uninoculated) control plot</v>
      </c>
      <c r="C9" s="49" t="n">
        <f aca="false">INDEX(Simulation!$U$3:$U$290,MATCH($B$3&amp;"|"&amp;$B$4&amp;"|"&amp;$A9,Simulation!$A$3:$A$290,0))</f>
        <v>85.0411767857143</v>
      </c>
      <c r="D9" s="17" t="str">
        <f aca="false">TEXT(INDEX(Simulation!$V$3:$V$290,MATCH($B$3&amp;"|"&amp;$B$4&amp;"|"&amp;$A9,Simulation!$A$3:$A$290,0)),"0.0")&amp;" - "&amp;TEXT(INDEX(Simulation!$W$3:$W$290,MATCH($B$3&amp;"|"&amp;$B$4&amp;"|"&amp;$A9,Simulation!$A$3:$A$290,0)),"0.0")</f>
        <v>79.4 - 90.6</v>
      </c>
      <c r="E9" s="19" t="n">
        <f aca="false">INDEX(Simulation!$X$3:$X$290,MATCH($B$3&amp;"|"&amp;$B$4&amp;"|"&amp;$A9,Simulation!$A$3:$A$290,0))</f>
        <v>0</v>
      </c>
      <c r="F9" s="49" t="n">
        <f aca="false">INDEX(Simulation!$Z$3:$Z$290,MATCH($B$3&amp;"|"&amp;$B$4&amp;"|"&amp;$A9,Simulation!$A$3:$A$290,0))</f>
        <v>70.36344</v>
      </c>
      <c r="G9" s="17" t="str">
        <f aca="false">TEXT(INDEX(Simulation!$AA$3:$AA$290,MATCH($B$3&amp;"|"&amp;$B$4&amp;"|"&amp;$A9,Simulation!$A$3:$A$290,0)),"0.0")&amp;" - "&amp;TEXT(INDEX(Simulation!$AB$3:$AB$290,MATCH($B$3&amp;"|"&amp;$B$4&amp;"|"&amp;$A9,Simulation!$A$3:$A$290,0)),"0.0")</f>
        <v>62.3 - 78.5</v>
      </c>
      <c r="H9" s="19" t="n">
        <f aca="false">INDEX(Simulation!$AC$3:$AC$290,MATCH($B$3&amp;"|"&amp;$B$4&amp;"|"&amp;$A9,Simulation!$A$3:$A$290,0))</f>
        <v>0</v>
      </c>
      <c r="I9" s="49" t="n">
        <f aca="false">INDEX(Simulation!$AE$3:$AE$290,MATCH($B$3&amp;"|"&amp;$B$4&amp;"|"&amp;$A9,Simulation!$A$3:$A$290,0))</f>
        <v>18.9470714285714</v>
      </c>
      <c r="J9" s="17" t="str">
        <f aca="false">TEXT(INDEX(Simulation!$AF$3:$AF$290,MATCH($B$3&amp;"|"&amp;$B$4&amp;"|"&amp;$A9,Simulation!$A$3:$A$290,0)),"0.0")&amp;" - "&amp;TEXT(INDEX(Simulation!$AG$3:$AG$290,MATCH($B$3&amp;"|"&amp;$B$4&amp;"|"&amp;$A9,Simulation!$A$3:$A$290,0)),"0.0")</f>
        <v>15.2 - 22.7</v>
      </c>
      <c r="K9" s="19" t="n">
        <f aca="false">INDEX(Simulation!$AH$3:$AH$290,MATCH($B$3&amp;"|"&amp;$B$4&amp;"|"&amp;$A9,Simulation!$A$3:$A$290,0))</f>
        <v>0</v>
      </c>
      <c r="L9" s="50" t="n">
        <f aca="false">INDEX(Simulation!$AJ$3:$AJ$290,MATCH($B$3&amp;"|"&amp;$B$4&amp;"|"&amp;$A9,Simulation!$A$3:$A$290,0))</f>
        <v>0.411663164578586</v>
      </c>
      <c r="M9" s="17" t="str">
        <f aca="false">TEXT(INDEX(Simulation!$AK$3:$AK$290,MATCH($B$3&amp;"|"&amp;$B$4&amp;"|"&amp;$A9,Simulation!$A$3:$A$290,0)),"0.000")&amp;" - "&amp;TEXT(INDEX(Simulation!$AL$3:$AL$290,MATCH($B$3&amp;"|"&amp;$B$4&amp;"|"&amp;$A9,Simulation!$A$3:$A$290,0)),"0.000")</f>
        <v>0.290 - 0.534</v>
      </c>
      <c r="N9" s="19" t="n">
        <f aca="false">INDEX(Simulation!$AM$3:$AM$290,MATCH($B$3&amp;"|"&amp;$B$4&amp;"|"&amp;$A9,Simulation!$A$3:$A$290,0))</f>
        <v>0</v>
      </c>
      <c r="O9" s="51" t="n">
        <f aca="false">INDEX(Simulation!$AO$3:$AO$290,MATCH($B$3&amp;"|"&amp;$B$4&amp;"|"&amp;$A9,Simulation!$A$3:$A$290,0))</f>
        <v>4.95374641196979</v>
      </c>
      <c r="P9" s="17" t="str">
        <f aca="false">TEXT(INDEX(Simulation!$AP$3:$AP$290,MATCH($B$3&amp;"|"&amp;$B$4&amp;"|"&amp;$A9,Simulation!$A$3:$A$290,0)),"0.00")&amp;" - "&amp;TEXT(INDEX(Simulation!$AQ$3:$AQ$290,MATCH($B$3&amp;"|"&amp;$B$4&amp;"|"&amp;$A9,Simulation!$A$3:$A$290,0)),"0.00")</f>
        <v>3.49 - 6.42</v>
      </c>
      <c r="Q9" s="19" t="n">
        <f aca="false">INDEX(Simulation!$AR$3:$AR$290,MATCH($B$3&amp;"|"&amp;$B$4&amp;"|"&amp;$A9,Simulation!$A$3:$A$290,0))</f>
        <v>0</v>
      </c>
      <c r="R9" s="48" t="n">
        <f aca="false">INDEX(Simulation!$AT$3:$AT$290,MATCH($B$3&amp;"|"&amp;$B$4&amp;"|"&amp;$A9,Simulation!$A$3:$A$290,0))</f>
        <v>285</v>
      </c>
      <c r="S9" s="17" t="str">
        <f aca="false">TEXT(INDEX(Simulation!$AU$3:$AU$290,MATCH($B$3&amp;"|"&amp;$B$4&amp;"|"&amp;$A9,Simulation!$A$3:$A$290,0)),"0")&amp;" - "&amp;TEXT(INDEX(Simulation!$AV$3:$AV$290,MATCH($B$3&amp;"|"&amp;$B$4&amp;"|"&amp;$A9,Simulation!$A$3:$A$290,0)),"0")</f>
        <v>257 - 313</v>
      </c>
      <c r="T9" s="19" t="n">
        <f aca="false">INDEX(Simulation!$AW$3:$AW$290,MATCH($B$3&amp;"|"&amp;$B$4&amp;"|"&amp;$A9,Simulation!$A$3:$A$290,0))</f>
        <v>0</v>
      </c>
      <c r="U9" s="51" t="n">
        <f aca="false">INDEX(Simulation!$AY$3:$AY$290,MATCH($B$3&amp;"|"&amp;$B$4&amp;"|"&amp;$A9,Simulation!$A$3:$A$290,0))</f>
        <v>2.85275193829914</v>
      </c>
      <c r="V9" s="17" t="str">
        <f aca="false">TEXT(INDEX(Simulation!$AZ$3:$AZ$290,MATCH($B$3&amp;"|"&amp;$B$4&amp;"|"&amp;$A9,Simulation!$A$3:$A$290,0)),"0.00")&amp;" - "&amp;TEXT(INDEX(Simulation!$BA$3:$BA$290,MATCH($B$3&amp;"|"&amp;$B$4&amp;"|"&amp;$A9,Simulation!$A$3:$A$290,0)),"0.00")</f>
        <v>2.29 - 3.42</v>
      </c>
      <c r="W9" s="19" t="n">
        <f aca="false">INDEX(Simulation!$BB$3:$BB$290,MATCH($B$3&amp;"|"&amp;$B$4&amp;"|"&amp;$A9,Simulation!$A$3:$A$290,0))</f>
        <v>0</v>
      </c>
      <c r="X9" s="50" t="n">
        <f aca="false">INDEX(Simulation!$BD$3:$BD$290,MATCH($B$3&amp;"|"&amp;$B$4&amp;"|"&amp;$A9,Simulation!$A$3:$A$290,0))</f>
        <v>1.24825892857143</v>
      </c>
      <c r="Y9" s="17" t="str">
        <f aca="false">TEXT(INDEX(Simulation!$BE$3:$BE$290,MATCH($B$3&amp;"|"&amp;$B$4&amp;"|"&amp;$A9,Simulation!$A$3:$A$290,0)),"0.000")&amp;" - "&amp;TEXT(INDEX(Simulation!$BF$3:$BF$290,MATCH($B$3&amp;"|"&amp;$B$4&amp;"|"&amp;$A9,Simulation!$A$3:$A$290,0)),"0.000")</f>
        <v>1.043 - 1.454</v>
      </c>
      <c r="Z9" s="19" t="n">
        <f aca="false">INDEX(Simulation!$BG$3:$BG$290,MATCH($B$3&amp;"|"&amp;$B$4&amp;"|"&amp;$A9,Simulation!$A$3:$A$290,0))</f>
        <v>0</v>
      </c>
      <c r="AA9" s="50" t="n">
        <f aca="false">INDEX(Simulation!$BI$3:$BI$290,MATCH($B$3&amp;"|"&amp;$B$4&amp;"|"&amp;$A9,Simulation!$A$3:$A$290,0))</f>
        <v>0.449373214285714</v>
      </c>
      <c r="AB9" s="17" t="str">
        <f aca="false">TEXT(INDEX(Simulation!$BJ$3:$BJ$290,MATCH($B$3&amp;"|"&amp;$B$4&amp;"|"&amp;$A9,Simulation!$A$3:$A$290,0)),"0.000")&amp;" - "&amp;TEXT(INDEX(Simulation!$BK$3:$BK$290,MATCH($B$3&amp;"|"&amp;$B$4&amp;"|"&amp;$A9,Simulation!$A$3:$A$290,0)),"0.000")</f>
        <v>0.361 - 0.538</v>
      </c>
      <c r="AC9" s="19" t="n">
        <f aca="false">INDEX(Simulation!$BL$3:$BL$290,MATCH($B$3&amp;"|"&amp;$B$4&amp;"|"&amp;$A9,Simulation!$A$3:$A$290,0))</f>
        <v>0</v>
      </c>
      <c r="AD9" s="50" t="n">
        <f aca="false">INDEX(Simulation!$BN$3:$BN$290,MATCH($B$3&amp;"|"&amp;$B$4&amp;"|"&amp;$A9,Simulation!$A$3:$A$290,0))</f>
        <v>0.299791071428571</v>
      </c>
      <c r="AE9" s="17" t="str">
        <f aca="false">TEXT(INDEX(Simulation!$BO$3:$BO$290,MATCH($B$3&amp;"|"&amp;$B$4&amp;"|"&amp;$A9,Simulation!$A$3:$A$290,0)),"0.000")&amp;" - "&amp;TEXT(INDEX(Simulation!$BP$3:$BP$290,MATCH($B$3&amp;"|"&amp;$B$4&amp;"|"&amp;$A9,Simulation!$A$3:$A$290,0)),"0.000")</f>
        <v>0.241 - 0.359</v>
      </c>
      <c r="AF9" s="19" t="n">
        <f aca="false">INDEX(Simulation!$BQ$3:$BQ$290,MATCH($B$3&amp;"|"&amp;$B$4&amp;"|"&amp;$A9,Simulation!$A$3:$A$290,0))</f>
        <v>0</v>
      </c>
      <c r="AG9" s="49" t="n">
        <f aca="false">INDEX(Simulation!$BS$3:$BS$290,MATCH($B$3&amp;"|"&amp;$B$4&amp;"|"&amp;$A9,Simulation!$A$3:$A$290,0))</f>
        <v>15</v>
      </c>
      <c r="AH9" s="17" t="str">
        <f aca="false">TEXT(INDEX(Simulation!$BT$3:$BT$290,MATCH($B$3&amp;"|"&amp;$B$4&amp;"|"&amp;$A9,Simulation!$A$3:$A$290,0)),"0.0")&amp;" - "&amp;TEXT(INDEX(Simulation!$BU$3:$BU$290,MATCH($B$3&amp;"|"&amp;$B$4&amp;"|"&amp;$A9,Simulation!$A$3:$A$290,0)),"0.0")</f>
        <v>7.6 - 22.4</v>
      </c>
      <c r="AI9" s="19" t="n">
        <f aca="false">INDEX(Simulation!$BV$3:$BV$290,MATCH($B$3&amp;"|"&amp;$B$4&amp;"|"&amp;$A9,Simulation!$A$3:$A$290,0))</f>
        <v>0</v>
      </c>
      <c r="AJ9" s="51" t="n">
        <f aca="false">INDEX(Simulation!$BX$3:$BX$290,MATCH($B$3&amp;"|"&amp;$B$4&amp;"|"&amp;$A9,Simulation!$A$3:$A$290,0))</f>
        <v>10.7849571428571</v>
      </c>
      <c r="AK9" s="17" t="str">
        <f aca="false">TEXT(INDEX(Simulation!$BY$3:$BY$290,MATCH($B$3&amp;"|"&amp;$B$4&amp;"|"&amp;$A9,Simulation!$A$3:$A$290,0)),"0.00")&amp;" - "&amp;TEXT(INDEX(Simulation!$BZ$3:$BZ$290,MATCH($B$3&amp;"|"&amp;$B$4&amp;"|"&amp;$A9,Simulation!$A$3:$A$290,0)),"0.00")</f>
        <v>8.66 - 12.91</v>
      </c>
      <c r="AL9" s="19" t="n">
        <f aca="false">INDEX(Simulation!$CA$3:$CA$290,MATCH($B$3&amp;"|"&amp;$B$4&amp;"|"&amp;$A9,Simulation!$A$3:$A$290,0))</f>
        <v>0</v>
      </c>
      <c r="AM9" s="49" t="n">
        <f aca="false">INDEX(Simulation!$CL$3:$CL$290,MATCH($B$3&amp;"|"&amp;$B$4&amp;"|"&amp;$A9,Simulation!$A$3:$A$290,0))</f>
        <v>24.8190479739168</v>
      </c>
      <c r="AN9" s="56" t="n">
        <f aca="false">INDEX(Simulation!$CP$3:$CP$290,MATCH($B$3&amp;"|"&amp;$B$4&amp;"|"&amp;$A9,Simulation!$A$3:$A$290,0))</f>
        <v>0</v>
      </c>
      <c r="AO9" s="51" t="n">
        <f aca="false">INDEX(Simulation!$CK$3:$CK$290,MATCH($B$3&amp;"|"&amp;$B$4&amp;"|"&amp;$A9,Simulation!$A$3:$A$290,0))</f>
        <v>0.201160714285714</v>
      </c>
    </row>
    <row r="10" customFormat="false" ht="15" hidden="false" customHeight="false" outlineLevel="0" collapsed="false">
      <c r="A10" s="27" t="s">
        <v>277</v>
      </c>
      <c r="B10" s="20" t="str">
        <f aca="false">INDEX(Simulation!$S$3:$S$290,MATCH($B$3&amp;"|"&amp;$B$4&amp;"|"&amp;$A10,Simulation!$A$3:$A$290,0))</f>
        <v>Possible</v>
      </c>
      <c r="C10" s="53" t="n">
        <f aca="false">INDEX(Simulation!$U$3:$U$290,MATCH($B$3&amp;"|"&amp;$B$4&amp;"|"&amp;$A10,Simulation!$A$3:$A$290,0))</f>
        <v>84.6378713280648</v>
      </c>
      <c r="D10" s="20" t="str">
        <f aca="false">TEXT(INDEX(Simulation!$V$3:$V$290,MATCH($B$3&amp;"|"&amp;$B$4&amp;"|"&amp;$A10,Simulation!$A$3:$A$290,0)),"0.0")&amp;" - "&amp;TEXT(INDEX(Simulation!$W$3:$W$290,MATCH($B$3&amp;"|"&amp;$B$4&amp;"|"&amp;$A10,Simulation!$A$3:$A$290,0)),"0.0")</f>
        <v>78.8 - 90.5</v>
      </c>
      <c r="E10" s="22" t="n">
        <f aca="false">INDEX(Simulation!$X$3:$X$290,MATCH($B$3&amp;"|"&amp;$B$4&amp;"|"&amp;$A10,Simulation!$A$3:$A$290,0))</f>
        <v>-0.00474247268080141</v>
      </c>
      <c r="F10" s="53" t="n">
        <f aca="false">INDEX(Simulation!$Z$3:$Z$290,MATCH($B$3&amp;"|"&amp;$B$4&amp;"|"&amp;$A10,Simulation!$A$3:$A$290,0))</f>
        <v>69.2982068463161</v>
      </c>
      <c r="G10" s="20" t="str">
        <f aca="false">TEXT(INDEX(Simulation!$AA$3:$AA$290,MATCH($B$3&amp;"|"&amp;$B$4&amp;"|"&amp;$A10,Simulation!$A$3:$A$290,0)),"0.0")&amp;" - "&amp;TEXT(INDEX(Simulation!$AB$3:$AB$290,MATCH($B$3&amp;"|"&amp;$B$4&amp;"|"&amp;$A10,Simulation!$A$3:$A$290,0)),"0.0")</f>
        <v>60.5 - 78.1</v>
      </c>
      <c r="H10" s="22" t="n">
        <f aca="false">INDEX(Simulation!$AC$3:$AC$290,MATCH($B$3&amp;"|"&amp;$B$4&amp;"|"&amp;$A10,Simulation!$A$3:$A$290,0))</f>
        <v>-0.0151390147167892</v>
      </c>
      <c r="I10" s="53" t="n">
        <f aca="false">INDEX(Simulation!$AE$3:$AE$290,MATCH($B$3&amp;"|"&amp;$B$4&amp;"|"&amp;$A10,Simulation!$A$3:$A$290,0))</f>
        <v>17.0141162293823</v>
      </c>
      <c r="J10" s="20" t="str">
        <f aca="false">TEXT(INDEX(Simulation!$AF$3:$AF$290,MATCH($B$3&amp;"|"&amp;$B$4&amp;"|"&amp;$A10,Simulation!$A$3:$A$290,0)),"0.0")&amp;" - "&amp;TEXT(INDEX(Simulation!$AG$3:$AG$290,MATCH($B$3&amp;"|"&amp;$B$4&amp;"|"&amp;$A10,Simulation!$A$3:$A$290,0)),"0.0")</f>
        <v>12.7 - 21.9</v>
      </c>
      <c r="K10" s="22" t="n">
        <f aca="false">INDEX(Simulation!$AH$3:$AH$290,MATCH($B$3&amp;"|"&amp;$B$4&amp;"|"&amp;$A10,Simulation!$A$3:$A$290,0))</f>
        <v>-0.102018679059517</v>
      </c>
      <c r="L10" s="54" t="n">
        <f aca="false">INDEX(Simulation!$AJ$3:$AJ$290,MATCH($B$3&amp;"|"&amp;$B$4&amp;"|"&amp;$A10,Simulation!$A$3:$A$290,0))</f>
        <v>0.386329741719003</v>
      </c>
      <c r="M10" s="20" t="str">
        <f aca="false">TEXT(INDEX(Simulation!$AK$3:$AK$290,MATCH($B$3&amp;"|"&amp;$B$4&amp;"|"&amp;$A10,Simulation!$A$3:$A$290,0)),"0.000")&amp;" - "&amp;TEXT(INDEX(Simulation!$AL$3:$AL$290,MATCH($B$3&amp;"|"&amp;$B$4&amp;"|"&amp;$A10,Simulation!$A$3:$A$290,0)),"0.000")</f>
        <v>0.261 - 0.522</v>
      </c>
      <c r="N10" s="22" t="n">
        <f aca="false">INDEX(Simulation!$AM$3:$AM$290,MATCH($B$3&amp;"|"&amp;$B$4&amp;"|"&amp;$A10,Simulation!$A$3:$A$290,0))</f>
        <v>-0.0615392025310718</v>
      </c>
      <c r="O10" s="55" t="n">
        <f aca="false">INDEX(Simulation!$AO$3:$AO$290,MATCH($B$3&amp;"|"&amp;$B$4&amp;"|"&amp;$A10,Simulation!$A$3:$A$290,0))</f>
        <v>4.68376353429778</v>
      </c>
      <c r="P10" s="20" t="str">
        <f aca="false">TEXT(INDEX(Simulation!$AP$3:$AP$290,MATCH($B$3&amp;"|"&amp;$B$4&amp;"|"&amp;$A10,Simulation!$A$3:$A$290,0)),"0.00")&amp;" - "&amp;TEXT(INDEX(Simulation!$AQ$3:$AQ$290,MATCH($B$3&amp;"|"&amp;$B$4&amp;"|"&amp;$A10,Simulation!$A$3:$A$290,0)),"0.00")</f>
        <v>3.15 - 6.36</v>
      </c>
      <c r="Q10" s="22" t="n">
        <f aca="false">INDEX(Simulation!$AR$3:$AR$290,MATCH($B$3&amp;"|"&amp;$B$4&amp;"|"&amp;$A10,Simulation!$A$3:$A$290,0))</f>
        <v>-0.0545007465500547</v>
      </c>
      <c r="R10" s="52" t="n">
        <f aca="false">INDEX(Simulation!$AT$3:$AT$290,MATCH($B$3&amp;"|"&amp;$B$4&amp;"|"&amp;$A10,Simulation!$A$3:$A$290,0))</f>
        <v>295.635132926751</v>
      </c>
      <c r="S10" s="20" t="str">
        <f aca="false">TEXT(INDEX(Simulation!$AU$3:$AU$290,MATCH($B$3&amp;"|"&amp;$B$4&amp;"|"&amp;$A10,Simulation!$A$3:$A$290,0)),"0")&amp;" - "&amp;TEXT(INDEX(Simulation!$AV$3:$AV$290,MATCH($B$3&amp;"|"&amp;$B$4&amp;"|"&amp;$A10,Simulation!$A$3:$A$290,0)),"0")</f>
        <v>260 - 332</v>
      </c>
      <c r="T10" s="22" t="n">
        <f aca="false">INDEX(Simulation!$AW$3:$AW$290,MATCH($B$3&amp;"|"&amp;$B$4&amp;"|"&amp;$A10,Simulation!$A$3:$A$290,0))</f>
        <v>0.037316255883338</v>
      </c>
      <c r="U10" s="55" t="n">
        <f aca="false">INDEX(Simulation!$AY$3:$AY$290,MATCH($B$3&amp;"|"&amp;$B$4&amp;"|"&amp;$A10,Simulation!$A$3:$A$290,0))</f>
        <v>2.75071763313081</v>
      </c>
      <c r="V10" s="20" t="str">
        <f aca="false">TEXT(INDEX(Simulation!$AZ$3:$AZ$290,MATCH($B$3&amp;"|"&amp;$B$4&amp;"|"&amp;$A10,Simulation!$A$3:$A$290,0)),"0.00")&amp;" - "&amp;TEXT(INDEX(Simulation!$BA$3:$BA$290,MATCH($B$3&amp;"|"&amp;$B$4&amp;"|"&amp;$A10,Simulation!$A$3:$A$290,0)),"0.00")</f>
        <v>2.16 - 3.37</v>
      </c>
      <c r="W10" s="22" t="n">
        <f aca="false">INDEX(Simulation!$BB$3:$BB$290,MATCH($B$3&amp;"|"&amp;$B$4&amp;"|"&amp;$A10,Simulation!$A$3:$A$290,0))</f>
        <v>-0.0357669742673663</v>
      </c>
      <c r="X10" s="54" t="n">
        <f aca="false">INDEX(Simulation!$BD$3:$BD$290,MATCH($B$3&amp;"|"&amp;$B$4&amp;"|"&amp;$A10,Simulation!$A$3:$A$290,0))</f>
        <v>1.16656259297355</v>
      </c>
      <c r="Y10" s="20" t="str">
        <f aca="false">TEXT(INDEX(Simulation!$BE$3:$BE$290,MATCH($B$3&amp;"|"&amp;$B$4&amp;"|"&amp;$A10,Simulation!$A$3:$A$290,0)),"0.000")&amp;" - "&amp;TEXT(INDEX(Simulation!$BF$3:$BF$290,MATCH($B$3&amp;"|"&amp;$B$4&amp;"|"&amp;$A10,Simulation!$A$3:$A$290,0)),"0.000")</f>
        <v>0.933 - 1.421</v>
      </c>
      <c r="Z10" s="22" t="n">
        <f aca="false">INDEX(Simulation!$BG$3:$BG$290,MATCH($B$3&amp;"|"&amp;$B$4&amp;"|"&amp;$A10,Simulation!$A$3:$A$290,0))</f>
        <v>-0.0654482285108752</v>
      </c>
      <c r="AA10" s="54" t="n">
        <f aca="false">INDEX(Simulation!$BI$3:$BI$290,MATCH($B$3&amp;"|"&amp;$B$4&amp;"|"&amp;$A10,Simulation!$A$3:$A$290,0))</f>
        <v>0.425973617231434</v>
      </c>
      <c r="AB10" s="20" t="str">
        <f aca="false">TEXT(INDEX(Simulation!$BJ$3:$BJ$290,MATCH($B$3&amp;"|"&amp;$B$4&amp;"|"&amp;$A10,Simulation!$A$3:$A$290,0)),"0.000")&amp;" - "&amp;TEXT(INDEX(Simulation!$BK$3:$BK$290,MATCH($B$3&amp;"|"&amp;$B$4&amp;"|"&amp;$A10,Simulation!$A$3:$A$290,0)),"0.000")</f>
        <v>0.330 - 0.528</v>
      </c>
      <c r="AC10" s="22" t="n">
        <f aca="false">INDEX(Simulation!$BL$3:$BL$290,MATCH($B$3&amp;"|"&amp;$B$4&amp;"|"&amp;$A10,Simulation!$A$3:$A$290,0))</f>
        <v>-0.052071632910907</v>
      </c>
      <c r="AD10" s="54" t="n">
        <f aca="false">INDEX(Simulation!$BN$3:$BN$290,MATCH($B$3&amp;"|"&amp;$B$4&amp;"|"&amp;$A10,Simulation!$A$3:$A$290,0))</f>
        <v>0.308360167765793</v>
      </c>
      <c r="AE10" s="20" t="str">
        <f aca="false">TEXT(INDEX(Simulation!$BO$3:$BO$290,MATCH($B$3&amp;"|"&amp;$B$4&amp;"|"&amp;$A10,Simulation!$A$3:$A$290,0)),"0.000")&amp;" - "&amp;TEXT(INDEX(Simulation!$BP$3:$BP$290,MATCH($B$3&amp;"|"&amp;$B$4&amp;"|"&amp;$A10,Simulation!$A$3:$A$290,0)),"0.000")</f>
        <v>0.244 - 0.370</v>
      </c>
      <c r="AF10" s="22" t="n">
        <f aca="false">INDEX(Simulation!$BQ$3:$BQ$290,MATCH($B$3&amp;"|"&amp;$B$4&amp;"|"&amp;$A10,Simulation!$A$3:$A$290,0))</f>
        <v>0.0285835608658662</v>
      </c>
      <c r="AG10" s="53" t="n">
        <f aca="false">INDEX(Simulation!$BS$3:$BS$290,MATCH($B$3&amp;"|"&amp;$B$4&amp;"|"&amp;$A10,Simulation!$A$3:$A$290,0))</f>
        <v>15.8520812658148</v>
      </c>
      <c r="AH10" s="20" t="str">
        <f aca="false">TEXT(INDEX(Simulation!$BT$3:$BT$290,MATCH($B$3&amp;"|"&amp;$B$4&amp;"|"&amp;$A10,Simulation!$A$3:$A$290,0)),"0.0")&amp;" - "&amp;TEXT(INDEX(Simulation!$BU$3:$BU$290,MATCH($B$3&amp;"|"&amp;$B$4&amp;"|"&amp;$A10,Simulation!$A$3:$A$290,0)),"0.0")</f>
        <v>7.7 - 24.5</v>
      </c>
      <c r="AI10" s="22" t="n">
        <f aca="false">INDEX(Simulation!$BV$3:$BV$290,MATCH($B$3&amp;"|"&amp;$B$4&amp;"|"&amp;$A10,Simulation!$A$3:$A$290,0))</f>
        <v>0.0568054177209894</v>
      </c>
      <c r="AJ10" s="55" t="n">
        <f aca="false">INDEX(Simulation!$BX$3:$BX$290,MATCH($B$3&amp;"|"&amp;$B$4&amp;"|"&amp;$A10,Simulation!$A$3:$A$290,0))</f>
        <v>10.6317961439564</v>
      </c>
      <c r="AK10" s="20" t="str">
        <f aca="false">TEXT(INDEX(Simulation!$BY$3:$BY$290,MATCH($B$3&amp;"|"&amp;$B$4&amp;"|"&amp;$A10,Simulation!$A$3:$A$290,0)),"0.00")&amp;" - "&amp;TEXT(INDEX(Simulation!$BZ$3:$BZ$290,MATCH($B$3&amp;"|"&amp;$B$4&amp;"|"&amp;$A10,Simulation!$A$3:$A$290,0)),"0.00")</f>
        <v>8.46 - 12.85</v>
      </c>
      <c r="AL10" s="22" t="n">
        <f aca="false">INDEX(Simulation!$CA$3:$CA$290,MATCH($B$3&amp;"|"&amp;$B$4&amp;"|"&amp;$A10,Simulation!$A$3:$A$290,0))</f>
        <v>-0.0142013544302475</v>
      </c>
      <c r="AM10" s="53" t="n">
        <f aca="false">INDEX(Simulation!$CL$3:$CL$290,MATCH($B$3&amp;"|"&amp;$B$4&amp;"|"&amp;$A10,Simulation!$A$3:$A$290,0))</f>
        <v>25.078445555418</v>
      </c>
      <c r="AN10" s="57" t="n">
        <f aca="false">INDEX(Simulation!$CP$3:$CP$290,MATCH($B$3&amp;"|"&amp;$B$4&amp;"|"&amp;$A10,Simulation!$A$3:$A$290,0))</f>
        <v>0.259397581501172</v>
      </c>
      <c r="AO10" s="55" t="n">
        <f aca="false">INDEX(Simulation!$CK$3:$CK$290,MATCH($B$3&amp;"|"&amp;$B$4&amp;"|"&amp;$A10,Simulation!$A$3:$A$290,0))</f>
        <v>0.244698051730655</v>
      </c>
    </row>
    <row r="11" customFormat="false" ht="15" hidden="false" customHeight="false" outlineLevel="0" collapsed="false">
      <c r="A11" s="27" t="s">
        <v>279</v>
      </c>
      <c r="B11" s="20" t="str">
        <f aca="false">INDEX(Simulation!$S$3:$S$290,MATCH($B$3&amp;"|"&amp;$B$4&amp;"|"&amp;$A11,Simulation!$A$3:$A$290,0))</f>
        <v>Likely</v>
      </c>
      <c r="C11" s="53" t="n">
        <f aca="false">INDEX(Simulation!$U$3:$U$290,MATCH($B$3&amp;"|"&amp;$B$4&amp;"|"&amp;$A11,Simulation!$A$3:$A$290,0))</f>
        <v>83.7391548929552</v>
      </c>
      <c r="D11" s="20" t="str">
        <f aca="false">TEXT(INDEX(Simulation!$V$3:$V$290,MATCH($B$3&amp;"|"&amp;$B$4&amp;"|"&amp;$A11,Simulation!$A$3:$A$290,0)),"0.0")&amp;" - "&amp;TEXT(INDEX(Simulation!$W$3:$W$290,MATCH($B$3&amp;"|"&amp;$B$4&amp;"|"&amp;$A11,Simulation!$A$3:$A$290,0)),"0.0")</f>
        <v>77.8 - 89.7</v>
      </c>
      <c r="E11" s="22" t="n">
        <f aca="false">INDEX(Simulation!$X$3:$X$290,MATCH($B$3&amp;"|"&amp;$B$4&amp;"|"&amp;$A11,Simulation!$A$3:$A$290,0))</f>
        <v>-0.0153104877186721</v>
      </c>
      <c r="F11" s="53" t="n">
        <f aca="false">INDEX(Simulation!$Z$3:$Z$290,MATCH($B$3&amp;"|"&amp;$B$4&amp;"|"&amp;$A11,Simulation!$A$3:$A$290,0))</f>
        <v>66.806988223921</v>
      </c>
      <c r="G11" s="20" t="str">
        <f aca="false">TEXT(INDEX(Simulation!$AA$3:$AA$290,MATCH($B$3&amp;"|"&amp;$B$4&amp;"|"&amp;$A11,Simulation!$A$3:$A$290,0)),"0.0")&amp;" - "&amp;TEXT(INDEX(Simulation!$AB$3:$AB$290,MATCH($B$3&amp;"|"&amp;$B$4&amp;"|"&amp;$A11,Simulation!$A$3:$A$290,0)),"0.0")</f>
        <v>58.0 - 75.7</v>
      </c>
      <c r="H11" s="22" t="n">
        <f aca="false">INDEX(Simulation!$AC$3:$AC$290,MATCH($B$3&amp;"|"&amp;$B$4&amp;"|"&amp;$A11,Simulation!$A$3:$A$290,0))</f>
        <v>-0.0505440293436336</v>
      </c>
      <c r="I11" s="53" t="n">
        <f aca="false">INDEX(Simulation!$AE$3:$AE$290,MATCH($B$3&amp;"|"&amp;$B$4&amp;"|"&amp;$A11,Simulation!$A$3:$A$290,0))</f>
        <v>14.3089439319386</v>
      </c>
      <c r="J11" s="20" t="str">
        <f aca="false">TEXT(INDEX(Simulation!$AF$3:$AF$290,MATCH($B$3&amp;"|"&amp;$B$4&amp;"|"&amp;$A11,Simulation!$A$3:$A$290,0)),"0.0")&amp;" - "&amp;TEXT(INDEX(Simulation!$AG$3:$AG$290,MATCH($B$3&amp;"|"&amp;$B$4&amp;"|"&amp;$A11,Simulation!$A$3:$A$290,0)),"0.0")</f>
        <v>10.7 - 18.3</v>
      </c>
      <c r="K11" s="22" t="n">
        <f aca="false">INDEX(Simulation!$AH$3:$AH$290,MATCH($B$3&amp;"|"&amp;$B$4&amp;"|"&amp;$A11,Simulation!$A$3:$A$290,0))</f>
        <v>-0.244793899369519</v>
      </c>
      <c r="L11" s="54" t="n">
        <f aca="false">INDEX(Simulation!$AJ$3:$AJ$290,MATCH($B$3&amp;"|"&amp;$B$4&amp;"|"&amp;$A11,Simulation!$A$3:$A$290,0))</f>
        <v>0.348859387867022</v>
      </c>
      <c r="M11" s="20" t="str">
        <f aca="false">TEXT(INDEX(Simulation!$AK$3:$AK$290,MATCH($B$3&amp;"|"&amp;$B$4&amp;"|"&amp;$A11,Simulation!$A$3:$A$290,0)),"0.000")&amp;" - "&amp;TEXT(INDEX(Simulation!$AL$3:$AL$290,MATCH($B$3&amp;"|"&amp;$B$4&amp;"|"&amp;$A11,Simulation!$A$3:$A$290,0)),"0.000")</f>
        <v>0.236 - 0.471</v>
      </c>
      <c r="N11" s="22" t="n">
        <f aca="false">INDEX(Simulation!$AM$3:$AM$290,MATCH($B$3&amp;"|"&amp;$B$4&amp;"|"&amp;$A11,Simulation!$A$3:$A$290,0))</f>
        <v>-0.152561079337414</v>
      </c>
      <c r="O11" s="55" t="n">
        <f aca="false">INDEX(Simulation!$AO$3:$AO$290,MATCH($B$3&amp;"|"&amp;$B$4&amp;"|"&amp;$A11,Simulation!$A$3:$A$290,0))</f>
        <v>4.28195746284775</v>
      </c>
      <c r="P11" s="20" t="str">
        <f aca="false">TEXT(INDEX(Simulation!$AP$3:$AP$290,MATCH($B$3&amp;"|"&amp;$B$4&amp;"|"&amp;$A11,Simulation!$A$3:$A$290,0)),"0.00")&amp;" - "&amp;TEXT(INDEX(Simulation!$AQ$3:$AQ$290,MATCH($B$3&amp;"|"&amp;$B$4&amp;"|"&amp;$A11,Simulation!$A$3:$A$290,0)),"0.00")</f>
        <v>2.88 - 5.81</v>
      </c>
      <c r="Q11" s="22" t="n">
        <f aca="false">INDEX(Simulation!$AR$3:$AR$290,MATCH($B$3&amp;"|"&amp;$B$4&amp;"|"&amp;$A11,Simulation!$A$3:$A$290,0))</f>
        <v>-0.135612300924163</v>
      </c>
      <c r="R11" s="52" t="n">
        <f aca="false">INDEX(Simulation!$AT$3:$AT$290,MATCH($B$3&amp;"|"&amp;$B$4&amp;"|"&amp;$A11,Simulation!$A$3:$A$290,0))</f>
        <v>310.755683063219</v>
      </c>
      <c r="S11" s="20" t="str">
        <f aca="false">TEXT(INDEX(Simulation!$AU$3:$AU$290,MATCH($B$3&amp;"|"&amp;$B$4&amp;"|"&amp;$A11,Simulation!$A$3:$A$290,0)),"0")&amp;" - "&amp;TEXT(INDEX(Simulation!$AV$3:$AV$290,MATCH($B$3&amp;"|"&amp;$B$4&amp;"|"&amp;$A11,Simulation!$A$3:$A$290,0)),"0")</f>
        <v>275 - 347</v>
      </c>
      <c r="T11" s="22" t="n">
        <f aca="false">INDEX(Simulation!$AW$3:$AW$290,MATCH($B$3&amp;"|"&amp;$B$4&amp;"|"&amp;$A11,Simulation!$A$3:$A$290,0))</f>
        <v>0.0903708177656819</v>
      </c>
      <c r="U11" s="55" t="n">
        <f aca="false">INDEX(Simulation!$AY$3:$AY$290,MATCH($B$3&amp;"|"&amp;$B$4&amp;"|"&amp;$A11,Simulation!$A$3:$A$290,0))</f>
        <v>2.59677942152129</v>
      </c>
      <c r="V11" s="20" t="str">
        <f aca="false">TEXT(INDEX(Simulation!$AZ$3:$AZ$290,MATCH($B$3&amp;"|"&amp;$B$4&amp;"|"&amp;$A11,Simulation!$A$3:$A$290,0)),"0.00")&amp;" - "&amp;TEXT(INDEX(Simulation!$BA$3:$BA$290,MATCH($B$3&amp;"|"&amp;$B$4&amp;"|"&amp;$A11,Simulation!$A$3:$A$290,0)),"0.00")</f>
        <v>2.04 - 3.18</v>
      </c>
      <c r="W11" s="22" t="n">
        <f aca="false">INDEX(Simulation!$BB$3:$BB$290,MATCH($B$3&amp;"|"&amp;$B$4&amp;"|"&amp;$A11,Simulation!$A$3:$A$290,0))</f>
        <v>-0.089728277226399</v>
      </c>
      <c r="X11" s="54" t="n">
        <f aca="false">INDEX(Simulation!$BD$3:$BD$290,MATCH($B$3&amp;"|"&amp;$B$4&amp;"|"&amp;$A11,Simulation!$A$3:$A$290,0))</f>
        <v>1.04667947617951</v>
      </c>
      <c r="Y11" s="20" t="str">
        <f aca="false">TEXT(INDEX(Simulation!$BE$3:$BE$290,MATCH($B$3&amp;"|"&amp;$B$4&amp;"|"&amp;$A11,Simulation!$A$3:$A$290,0)),"0.000")&amp;" - "&amp;TEXT(INDEX(Simulation!$BF$3:$BF$290,MATCH($B$3&amp;"|"&amp;$B$4&amp;"|"&amp;$A11,Simulation!$A$3:$A$290,0)),"0.000")</f>
        <v>0.839 - 1.272</v>
      </c>
      <c r="Z11" s="22" t="n">
        <f aca="false">INDEX(Simulation!$BG$3:$BG$290,MATCH($B$3&amp;"|"&amp;$B$4&amp;"|"&amp;$A11,Simulation!$A$3:$A$290,0))</f>
        <v>-0.161488492313542</v>
      </c>
      <c r="AA11" s="54" t="n">
        <f aca="false">INDEX(Simulation!$BI$3:$BI$290,MATCH($B$3&amp;"|"&amp;$B$4&amp;"|"&amp;$A11,Simulation!$A$3:$A$290,0))</f>
        <v>0.391363561319232</v>
      </c>
      <c r="AB11" s="20" t="str">
        <f aca="false">TEXT(INDEX(Simulation!$BJ$3:$BJ$290,MATCH($B$3&amp;"|"&amp;$B$4&amp;"|"&amp;$A11,Simulation!$A$3:$A$290,0)),"0.000")&amp;" - "&amp;TEXT(INDEX(Simulation!$BK$3:$BK$290,MATCH($B$3&amp;"|"&amp;$B$4&amp;"|"&amp;$A11,Simulation!$A$3:$A$290,0)),"0.000")</f>
        <v>0.304 - 0.484</v>
      </c>
      <c r="AC11" s="22" t="n">
        <f aca="false">INDEX(Simulation!$BL$3:$BL$290,MATCH($B$3&amp;"|"&amp;$B$4&amp;"|"&amp;$A11,Simulation!$A$3:$A$290,0))</f>
        <v>-0.129090144054735</v>
      </c>
      <c r="AD11" s="54" t="n">
        <f aca="false">INDEX(Simulation!$BN$3:$BN$290,MATCH($B$3&amp;"|"&amp;$B$4&amp;"|"&amp;$A11,Simulation!$A$3:$A$290,0))</f>
        <v>0.303868140538561</v>
      </c>
      <c r="AE11" s="20" t="str">
        <f aca="false">TEXT(INDEX(Simulation!$BO$3:$BO$290,MATCH($B$3&amp;"|"&amp;$B$4&amp;"|"&amp;$A11,Simulation!$A$3:$A$290,0)),"0.000")&amp;" - "&amp;TEXT(INDEX(Simulation!$BP$3:$BP$290,MATCH($B$3&amp;"|"&amp;$B$4&amp;"|"&amp;$A11,Simulation!$A$3:$A$290,0)),"0.000")</f>
        <v>0.240 - 0.368</v>
      </c>
      <c r="AF11" s="22" t="n">
        <f aca="false">INDEX(Simulation!$BQ$3:$BQ$290,MATCH($B$3&amp;"|"&amp;$B$4&amp;"|"&amp;$A11,Simulation!$A$3:$A$290,0))</f>
        <v>0.0135997015873786</v>
      </c>
      <c r="AG11" s="53" t="n">
        <f aca="false">INDEX(Simulation!$BS$3:$BS$290,MATCH($B$3&amp;"|"&amp;$B$4&amp;"|"&amp;$A11,Simulation!$A$3:$A$290,0))</f>
        <v>17.1123841754411</v>
      </c>
      <c r="AH11" s="20" t="str">
        <f aca="false">TEXT(INDEX(Simulation!$BT$3:$BT$290,MATCH($B$3&amp;"|"&amp;$B$4&amp;"|"&amp;$A11,Simulation!$A$3:$A$290,0)),"0.0")&amp;" - "&amp;TEXT(INDEX(Simulation!$BU$3:$BU$290,MATCH($B$3&amp;"|"&amp;$B$4&amp;"|"&amp;$A11,Simulation!$A$3:$A$290,0)),"0.0")</f>
        <v>8.4 - 26.2</v>
      </c>
      <c r="AI11" s="22" t="n">
        <f aca="false">INDEX(Simulation!$BV$3:$BV$290,MATCH($B$3&amp;"|"&amp;$B$4&amp;"|"&amp;$A11,Simulation!$A$3:$A$290,0))</f>
        <v>0.140825611696075</v>
      </c>
      <c r="AJ11" s="55" t="n">
        <f aca="false">INDEX(Simulation!$BX$3:$BX$290,MATCH($B$3&amp;"|"&amp;$B$4&amp;"|"&amp;$A11,Simulation!$A$3:$A$290,0))</f>
        <v>10.4052575961674</v>
      </c>
      <c r="AK11" s="20" t="str">
        <f aca="false">TEXT(INDEX(Simulation!$BY$3:$BY$290,MATCH($B$3&amp;"|"&amp;$B$4&amp;"|"&amp;$A11,Simulation!$A$3:$A$290,0)),"0.00")&amp;" - "&amp;TEXT(INDEX(Simulation!$BZ$3:$BZ$290,MATCH($B$3&amp;"|"&amp;$B$4&amp;"|"&amp;$A11,Simulation!$A$3:$A$290,0)),"0.00")</f>
        <v>8.29 - 12.56</v>
      </c>
      <c r="AL11" s="22" t="n">
        <f aca="false">INDEX(Simulation!$CA$3:$CA$290,MATCH($B$3&amp;"|"&amp;$B$4&amp;"|"&amp;$A11,Simulation!$A$3:$A$290,0))</f>
        <v>-0.0352064029240187</v>
      </c>
      <c r="AM11" s="53" t="n">
        <f aca="false">INDEX(Simulation!$CL$3:$CL$290,MATCH($B$3&amp;"|"&amp;$B$4&amp;"|"&amp;$A11,Simulation!$A$3:$A$290,0))</f>
        <v>25.4644979009051</v>
      </c>
      <c r="AN11" s="57" t="n">
        <f aca="false">INDEX(Simulation!$CP$3:$CP$290,MATCH($B$3&amp;"|"&amp;$B$4&amp;"|"&amp;$A11,Simulation!$A$3:$A$290,0))</f>
        <v>0.645449926988231</v>
      </c>
      <c r="AO11" s="55" t="n">
        <f aca="false">INDEX(Simulation!$CK$3:$CK$290,MATCH($B$3&amp;"|"&amp;$B$4&amp;"|"&amp;$A11,Simulation!$A$3:$A$290,0))</f>
        <v>0.309493147890043</v>
      </c>
    </row>
    <row r="12" customFormat="false" ht="15" hidden="false" customHeight="false" outlineLevel="0" collapsed="false">
      <c r="A12" s="27" t="s">
        <v>281</v>
      </c>
      <c r="B12" s="20" t="str">
        <f aca="false">INDEX(Simulation!$S$3:$S$290,MATCH($B$3&amp;"|"&amp;$B$4&amp;"|"&amp;$A12,Simulation!$A$3:$A$290,0))</f>
        <v>Likely</v>
      </c>
      <c r="C12" s="53" t="n">
        <f aca="false">INDEX(Simulation!$U$3:$U$290,MATCH($B$3&amp;"|"&amp;$B$4&amp;"|"&amp;$A12,Simulation!$A$3:$A$290,0))</f>
        <v>80.7858082037682</v>
      </c>
      <c r="D12" s="20" t="str">
        <f aca="false">TEXT(INDEX(Simulation!$V$3:$V$290,MATCH($B$3&amp;"|"&amp;$B$4&amp;"|"&amp;$A12,Simulation!$A$3:$A$290,0)),"0.0")&amp;" - "&amp;TEXT(INDEX(Simulation!$W$3:$W$290,MATCH($B$3&amp;"|"&amp;$B$4&amp;"|"&amp;$A12,Simulation!$A$3:$A$290,0)),"0.0")</f>
        <v>72.5 - 88.5</v>
      </c>
      <c r="E12" s="22" t="n">
        <f aca="false">INDEX(Simulation!$X$3:$X$290,MATCH($B$3&amp;"|"&amp;$B$4&amp;"|"&amp;$A12,Simulation!$A$3:$A$290,0))</f>
        <v>-0.0500389192951635</v>
      </c>
      <c r="F12" s="53" t="n">
        <f aca="false">INDEX(Simulation!$Z$3:$Z$290,MATCH($B$3&amp;"|"&amp;$B$4&amp;"|"&amp;$A12,Simulation!$A$3:$A$290,0))</f>
        <v>58.2008385308993</v>
      </c>
      <c r="G12" s="20" t="str">
        <f aca="false">TEXT(INDEX(Simulation!$AA$3:$AA$290,MATCH($B$3&amp;"|"&amp;$B$4&amp;"|"&amp;$A12,Simulation!$A$3:$A$290,0)),"0.0")&amp;" - "&amp;TEXT(INDEX(Simulation!$AB$3:$AB$290,MATCH($B$3&amp;"|"&amp;$B$4&amp;"|"&amp;$A12,Simulation!$A$3:$A$290,0)),"0.0")</f>
        <v>43.5 - 72.2</v>
      </c>
      <c r="H12" s="22" t="n">
        <f aca="false">INDEX(Simulation!$AC$3:$AC$290,MATCH($B$3&amp;"|"&amp;$B$4&amp;"|"&amp;$A12,Simulation!$A$3:$A$290,0))</f>
        <v>-0.172853991634017</v>
      </c>
      <c r="I12" s="53" t="n">
        <f aca="false">INDEX(Simulation!$AE$3:$AE$290,MATCH($B$3&amp;"|"&amp;$B$4&amp;"|"&amp;$A12,Simulation!$A$3:$A$290,0))</f>
        <v>10.3957628266539</v>
      </c>
      <c r="J12" s="20" t="str">
        <f aca="false">TEXT(INDEX(Simulation!$AF$3:$AF$290,MATCH($B$3&amp;"|"&amp;$B$4&amp;"|"&amp;$A12,Simulation!$A$3:$A$290,0)),"0.0")&amp;" - "&amp;TEXT(INDEX(Simulation!$AG$3:$AG$290,MATCH($B$3&amp;"|"&amp;$B$4&amp;"|"&amp;$A12,Simulation!$A$3:$A$290,0)),"0.0")</f>
        <v>6.8 - 15.5</v>
      </c>
      <c r="K12" s="22" t="n">
        <f aca="false">INDEX(Simulation!$AH$3:$AH$290,MATCH($B$3&amp;"|"&amp;$B$4&amp;"|"&amp;$A12,Simulation!$A$3:$A$290,0))</f>
        <v>-0.45132613945934</v>
      </c>
      <c r="L12" s="54" t="n">
        <f aca="false">INDEX(Simulation!$AJ$3:$AJ$290,MATCH($B$3&amp;"|"&amp;$B$4&amp;"|"&amp;$A12,Simulation!$A$3:$A$290,0))</f>
        <v>0.288849634558213</v>
      </c>
      <c r="M12" s="20" t="str">
        <f aca="false">TEXT(INDEX(Simulation!$AK$3:$AK$290,MATCH($B$3&amp;"|"&amp;$B$4&amp;"|"&amp;$A12,Simulation!$A$3:$A$290,0)),"0.000")&amp;" - "&amp;TEXT(INDEX(Simulation!$AL$3:$AL$290,MATCH($B$3&amp;"|"&amp;$B$4&amp;"|"&amp;$A12,Simulation!$A$3:$A$290,0)),"0.000")</f>
        <v>0.180 - 0.426</v>
      </c>
      <c r="N12" s="22" t="n">
        <f aca="false">INDEX(Simulation!$AM$3:$AM$290,MATCH($B$3&amp;"|"&amp;$B$4&amp;"|"&amp;$A12,Simulation!$A$3:$A$290,0))</f>
        <v>-0.298334999552597</v>
      </c>
      <c r="O12" s="55" t="n">
        <f aca="false">INDEX(Simulation!$AO$3:$AO$290,MATCH($B$3&amp;"|"&amp;$B$4&amp;"|"&amp;$A12,Simulation!$A$3:$A$290,0))</f>
        <v>3.6322846498978</v>
      </c>
      <c r="P12" s="20" t="str">
        <f aca="false">TEXT(INDEX(Simulation!$AP$3:$AP$290,MATCH($B$3&amp;"|"&amp;$B$4&amp;"|"&amp;$A12,Simulation!$A$3:$A$290,0)),"0.00")&amp;" - "&amp;TEXT(INDEX(Simulation!$AQ$3:$AQ$290,MATCH($B$3&amp;"|"&amp;$B$4&amp;"|"&amp;$A12,Simulation!$A$3:$A$290,0)),"0.00")</f>
        <v>2.23 - 5.45</v>
      </c>
      <c r="Q12" s="22" t="n">
        <f aca="false">INDEX(Simulation!$AR$3:$AR$290,MATCH($B$3&amp;"|"&amp;$B$4&amp;"|"&amp;$A12,Simulation!$A$3:$A$290,0))</f>
        <v>-0.266760074532464</v>
      </c>
      <c r="R12" s="52" t="n">
        <f aca="false">INDEX(Simulation!$AT$3:$AT$290,MATCH($B$3&amp;"|"&amp;$B$4&amp;"|"&amp;$A12,Simulation!$A$3:$A$290,0))</f>
        <v>333.270950326965</v>
      </c>
      <c r="S12" s="20" t="str">
        <f aca="false">TEXT(INDEX(Simulation!$AU$3:$AU$290,MATCH($B$3&amp;"|"&amp;$B$4&amp;"|"&amp;$A12,Simulation!$A$3:$A$290,0)),"0")&amp;" - "&amp;TEXT(INDEX(Simulation!$AV$3:$AV$290,MATCH($B$3&amp;"|"&amp;$B$4&amp;"|"&amp;$A12,Simulation!$A$3:$A$290,0)),"0")</f>
        <v>287 - 378</v>
      </c>
      <c r="T12" s="22" t="n">
        <f aca="false">INDEX(Simulation!$AW$3:$AW$290,MATCH($B$3&amp;"|"&amp;$B$4&amp;"|"&amp;$A12,Simulation!$A$3:$A$290,0))</f>
        <v>0.169371755533209</v>
      </c>
      <c r="U12" s="55" t="n">
        <f aca="false">INDEX(Simulation!$AY$3:$AY$290,MATCH($B$3&amp;"|"&amp;$B$4&amp;"|"&amp;$A12,Simulation!$A$3:$A$290,0))</f>
        <v>2.34104222684035</v>
      </c>
      <c r="V12" s="20" t="str">
        <f aca="false">TEXT(INDEX(Simulation!$AZ$3:$AZ$290,MATCH($B$3&amp;"|"&amp;$B$4&amp;"|"&amp;$A12,Simulation!$A$3:$A$290,0)),"0.00")&amp;" - "&amp;TEXT(INDEX(Simulation!$BA$3:$BA$290,MATCH($B$3&amp;"|"&amp;$B$4&amp;"|"&amp;$A12,Simulation!$A$3:$A$290,0)),"0.00")</f>
        <v>1.76 - 3.01</v>
      </c>
      <c r="W12" s="22" t="n">
        <f aca="false">INDEX(Simulation!$BB$3:$BB$290,MATCH($B$3&amp;"|"&amp;$B$4&amp;"|"&amp;$A12,Simulation!$A$3:$A$290,0))</f>
        <v>-0.179374064947222</v>
      </c>
      <c r="X12" s="54" t="n">
        <f aca="false">INDEX(Simulation!$BD$3:$BD$290,MATCH($B$3&amp;"|"&amp;$B$4&amp;"|"&amp;$A12,Simulation!$A$3:$A$290,0))</f>
        <v>0.857468812980182</v>
      </c>
      <c r="Y12" s="20" t="str">
        <f aca="false">TEXT(INDEX(Simulation!$BE$3:$BE$290,MATCH($B$3&amp;"|"&amp;$B$4&amp;"|"&amp;$A12,Simulation!$A$3:$A$290,0)),"0.000")&amp;" - "&amp;TEXT(INDEX(Simulation!$BF$3:$BF$290,MATCH($B$3&amp;"|"&amp;$B$4&amp;"|"&amp;$A12,Simulation!$A$3:$A$290,0)),"0.000")</f>
        <v>0.632 - 1.145</v>
      </c>
      <c r="Z12" s="22" t="n">
        <f aca="false">INDEX(Simulation!$BG$3:$BG$290,MATCH($B$3&amp;"|"&amp;$B$4&amp;"|"&amp;$A12,Simulation!$A$3:$A$290,0))</f>
        <v>-0.313068151684272</v>
      </c>
      <c r="AA12" s="54" t="n">
        <f aca="false">INDEX(Simulation!$BI$3:$BI$290,MATCH($B$3&amp;"|"&amp;$B$4&amp;"|"&amp;$A12,Simulation!$A$3:$A$290,0))</f>
        <v>0.33593465009251</v>
      </c>
      <c r="AB12" s="20" t="str">
        <f aca="false">TEXT(INDEX(Simulation!$BJ$3:$BJ$290,MATCH($B$3&amp;"|"&amp;$B$4&amp;"|"&amp;$A12,Simulation!$A$3:$A$290,0)),"0.000")&amp;" - "&amp;TEXT(INDEX(Simulation!$BK$3:$BK$290,MATCH($B$3&amp;"|"&amp;$B$4&amp;"|"&amp;$A12,Simulation!$A$3:$A$290,0)),"0.000")</f>
        <v>0.246 - 0.447</v>
      </c>
      <c r="AC12" s="22" t="n">
        <f aca="false">INDEX(Simulation!$BL$3:$BL$290,MATCH($B$3&amp;"|"&amp;$B$4&amp;"|"&amp;$A12,Simulation!$A$3:$A$290,0))</f>
        <v>-0.252437307313736</v>
      </c>
      <c r="AD12" s="54" t="n">
        <f aca="false">INDEX(Simulation!$BN$3:$BN$290,MATCH($B$3&amp;"|"&amp;$B$4&amp;"|"&amp;$A12,Simulation!$A$3:$A$290,0))</f>
        <v>0.271423750791189</v>
      </c>
      <c r="AE12" s="20" t="str">
        <f aca="false">TEXT(INDEX(Simulation!$BO$3:$BO$290,MATCH($B$3&amp;"|"&amp;$B$4&amp;"|"&amp;$A12,Simulation!$A$3:$A$290,0)),"0.000")&amp;" - "&amp;TEXT(INDEX(Simulation!$BP$3:$BP$290,MATCH($B$3&amp;"|"&amp;$B$4&amp;"|"&amp;$A12,Simulation!$A$3:$A$290,0)),"0.000")</f>
        <v>0.200 - 0.354</v>
      </c>
      <c r="AF12" s="22" t="n">
        <f aca="false">INDEX(Simulation!$BQ$3:$BQ$290,MATCH($B$3&amp;"|"&amp;$B$4&amp;"|"&amp;$A12,Simulation!$A$3:$A$290,0))</f>
        <v>-0.0946236340602346</v>
      </c>
      <c r="AG12" s="53" t="n">
        <f aca="false">INDEX(Simulation!$BS$3:$BS$290,MATCH($B$3&amp;"|"&amp;$B$4&amp;"|"&amp;$A12,Simulation!$A$3:$A$290,0))</f>
        <v>19.1307923014975</v>
      </c>
      <c r="AH12" s="20" t="str">
        <f aca="false">TEXT(INDEX(Simulation!$BT$3:$BT$290,MATCH($B$3&amp;"|"&amp;$B$4&amp;"|"&amp;$A12,Simulation!$A$3:$A$290,0)),"0.0")&amp;" - "&amp;TEXT(INDEX(Simulation!$BU$3:$BU$290,MATCH($B$3&amp;"|"&amp;$B$4&amp;"|"&amp;$A12,Simulation!$A$3:$A$290,0)),"0.0")</f>
        <v>9.0 - 30.2</v>
      </c>
      <c r="AI12" s="22" t="n">
        <f aca="false">INDEX(Simulation!$BV$3:$BV$290,MATCH($B$3&amp;"|"&amp;$B$4&amp;"|"&amp;$A12,Simulation!$A$3:$A$290,0))</f>
        <v>0.275386153433167</v>
      </c>
      <c r="AJ12" s="55" t="n">
        <f aca="false">INDEX(Simulation!$BX$3:$BX$290,MATCH($B$3&amp;"|"&amp;$B$4&amp;"|"&amp;$A12,Simulation!$A$3:$A$290,0))</f>
        <v>10.0424501772289</v>
      </c>
      <c r="AK12" s="20" t="str">
        <f aca="false">TEXT(INDEX(Simulation!$BY$3:$BY$290,MATCH($B$3&amp;"|"&amp;$B$4&amp;"|"&amp;$A12,Simulation!$A$3:$A$290,0)),"0.00")&amp;" - "&amp;TEXT(INDEX(Simulation!$BZ$3:$BZ$290,MATCH($B$3&amp;"|"&amp;$B$4&amp;"|"&amp;$A12,Simulation!$A$3:$A$290,0)),"0.00")</f>
        <v>7.90 - 12.31</v>
      </c>
      <c r="AL12" s="22" t="n">
        <f aca="false">INDEX(Simulation!$CA$3:$CA$290,MATCH($B$3&amp;"|"&amp;$B$4&amp;"|"&amp;$A12,Simulation!$A$3:$A$290,0))</f>
        <v>-0.0688465383582917</v>
      </c>
      <c r="AM12" s="53" t="n">
        <f aca="false">INDEX(Simulation!$CL$3:$CL$290,MATCH($B$3&amp;"|"&amp;$B$4&amp;"|"&amp;$A12,Simulation!$A$3:$A$290,0))</f>
        <v>26.0886988054195</v>
      </c>
      <c r="AN12" s="57" t="n">
        <f aca="false">INDEX(Simulation!$CP$3:$CP$290,MATCH($B$3&amp;"|"&amp;$B$4&amp;"|"&amp;$A12,Simulation!$A$3:$A$290,0))</f>
        <v>1.26965083150268</v>
      </c>
      <c r="AO12" s="55" t="n">
        <f aca="false">INDEX(Simulation!$CK$3:$CK$290,MATCH($B$3&amp;"|"&amp;$B$4&amp;"|"&amp;$A12,Simulation!$A$3:$A$290,0))</f>
        <v>0.414259141682318</v>
      </c>
    </row>
    <row r="13" customFormat="false" ht="15" hidden="false" customHeight="false" outlineLevel="0" collapsed="false">
      <c r="A13" s="27" t="s">
        <v>283</v>
      </c>
      <c r="B13" s="20" t="str">
        <f aca="false">INDEX(Simulation!$S$3:$S$290,MATCH($B$3&amp;"|"&amp;$B$4&amp;"|"&amp;$A13,Simulation!$A$3:$A$290,0))</f>
        <v>Likely</v>
      </c>
      <c r="C13" s="53" t="n">
        <f aca="false">INDEX(Simulation!$U$3:$U$290,MATCH($B$3&amp;"|"&amp;$B$4&amp;"|"&amp;$A13,Simulation!$A$3:$A$290,0))</f>
        <v>69.9293772408593</v>
      </c>
      <c r="D13" s="20" t="str">
        <f aca="false">TEXT(INDEX(Simulation!$V$3:$V$290,MATCH($B$3&amp;"|"&amp;$B$4&amp;"|"&amp;$A13,Simulation!$A$3:$A$290,0)),"0.0")&amp;" - "&amp;TEXT(INDEX(Simulation!$W$3:$W$290,MATCH($B$3&amp;"|"&amp;$B$4&amp;"|"&amp;$A13,Simulation!$A$3:$A$290,0)),"0.0")</f>
        <v>59.4 - 82.1</v>
      </c>
      <c r="E13" s="22" t="n">
        <f aca="false">INDEX(Simulation!$X$3:$X$290,MATCH($B$3&amp;"|"&amp;$B$4&amp;"|"&amp;$A13,Simulation!$A$3:$A$290,0))</f>
        <v>-0.177699793394599</v>
      </c>
      <c r="F13" s="53" t="n">
        <f aca="false">INDEX(Simulation!$Z$3:$Z$290,MATCH($B$3&amp;"|"&amp;$B$4&amp;"|"&amp;$A13,Simulation!$A$3:$A$290,0))</f>
        <v>31.6408726676535</v>
      </c>
      <c r="G13" s="20" t="str">
        <f aca="false">TEXT(INDEX(Simulation!$AA$3:$AA$290,MATCH($B$3&amp;"|"&amp;$B$4&amp;"|"&amp;$A13,Simulation!$A$3:$A$290,0)),"0.0")&amp;" - "&amp;TEXT(INDEX(Simulation!$AB$3:$AB$290,MATCH($B$3&amp;"|"&amp;$B$4&amp;"|"&amp;$A13,Simulation!$A$3:$A$290,0)),"0.0")</f>
        <v>19.4 - 53.3</v>
      </c>
      <c r="H13" s="22" t="n">
        <f aca="false">INDEX(Simulation!$AC$3:$AC$290,MATCH($B$3&amp;"|"&amp;$B$4&amp;"|"&amp;$A13,Simulation!$A$3:$A$290,0))</f>
        <v>-0.550322260144565</v>
      </c>
      <c r="I13" s="53" t="n">
        <f aca="false">INDEX(Simulation!$AE$3:$AE$290,MATCH($B$3&amp;"|"&amp;$B$4&amp;"|"&amp;$A13,Simulation!$A$3:$A$290,0))</f>
        <v>6.25241101976886</v>
      </c>
      <c r="J13" s="20" t="str">
        <f aca="false">TEXT(INDEX(Simulation!$AF$3:$AF$290,MATCH($B$3&amp;"|"&amp;$B$4&amp;"|"&amp;$A13,Simulation!$A$3:$A$290,0)),"0.0")&amp;" - "&amp;TEXT(INDEX(Simulation!$AG$3:$AG$290,MATCH($B$3&amp;"|"&amp;$B$4&amp;"|"&amp;$A13,Simulation!$A$3:$A$290,0)),"0.0")</f>
        <v>4.1 - 9.9</v>
      </c>
      <c r="K13" s="22" t="n">
        <f aca="false">INDEX(Simulation!$AH$3:$AH$290,MATCH($B$3&amp;"|"&amp;$B$4&amp;"|"&amp;$A13,Simulation!$A$3:$A$290,0))</f>
        <v>-0.670006468105648</v>
      </c>
      <c r="L13" s="54" t="n">
        <f aca="false">INDEX(Simulation!$AJ$3:$AJ$290,MATCH($B$3&amp;"|"&amp;$B$4&amp;"|"&amp;$A13,Simulation!$A$3:$A$290,0))</f>
        <v>0.211459264993426</v>
      </c>
      <c r="M13" s="20" t="str">
        <f aca="false">TEXT(INDEX(Simulation!$AK$3:$AK$290,MATCH($B$3&amp;"|"&amp;$B$4&amp;"|"&amp;$A13,Simulation!$A$3:$A$290,0)),"0.000")&amp;" - "&amp;TEXT(INDEX(Simulation!$AL$3:$AL$290,MATCH($B$3&amp;"|"&amp;$B$4&amp;"|"&amp;$A13,Simulation!$A$3:$A$290,0)),"0.000")</f>
        <v>0.129 - 0.327</v>
      </c>
      <c r="N13" s="22" t="n">
        <f aca="false">INDEX(Simulation!$AM$3:$AM$290,MATCH($B$3&amp;"|"&amp;$B$4&amp;"|"&amp;$A13,Simulation!$A$3:$A$290,0))</f>
        <v>-0.486329399401343</v>
      </c>
      <c r="O13" s="55" t="n">
        <f aca="false">INDEX(Simulation!$AO$3:$AO$290,MATCH($B$3&amp;"|"&amp;$B$4&amp;"|"&amp;$A13,Simulation!$A$3:$A$290,0))</f>
        <v>2.78633031464171</v>
      </c>
      <c r="P13" s="20" t="str">
        <f aca="false">TEXT(INDEX(Simulation!$AP$3:$AP$290,MATCH($B$3&amp;"|"&amp;$B$4&amp;"|"&amp;$A13,Simulation!$A$3:$A$290,0)),"0.00")&amp;" - "&amp;TEXT(INDEX(Simulation!$AQ$3:$AQ$290,MATCH($B$3&amp;"|"&amp;$B$4&amp;"|"&amp;$A13,Simulation!$A$3:$A$290,0)),"0.00")</f>
        <v>1.65 - 4.43</v>
      </c>
      <c r="Q13" s="22" t="n">
        <f aca="false">INDEX(Simulation!$AR$3:$AR$290,MATCH($B$3&amp;"|"&amp;$B$4&amp;"|"&amp;$A13,Simulation!$A$3:$A$290,0))</f>
        <v>-0.437530692344471</v>
      </c>
      <c r="R13" s="52" t="n">
        <f aca="false">INDEX(Simulation!$AT$3:$AT$290,MATCH($B$3&amp;"|"&amp;$B$4&amp;"|"&amp;$A13,Simulation!$A$3:$A$290,0))</f>
        <v>358.480147032144</v>
      </c>
      <c r="S13" s="20" t="str">
        <f aca="false">TEXT(INDEX(Simulation!$AU$3:$AU$290,MATCH($B$3&amp;"|"&amp;$B$4&amp;"|"&amp;$A13,Simulation!$A$3:$A$290,0)),"0")&amp;" - "&amp;TEXT(INDEX(Simulation!$AV$3:$AV$290,MATCH($B$3&amp;"|"&amp;$B$4&amp;"|"&amp;$A13,Simulation!$A$3:$A$290,0)),"0")</f>
        <v>312 - 402</v>
      </c>
      <c r="T13" s="22" t="n">
        <f aca="false">INDEX(Simulation!$AW$3:$AW$290,MATCH($B$3&amp;"|"&amp;$B$4&amp;"|"&amp;$A13,Simulation!$A$3:$A$290,0))</f>
        <v>0.257825077305769</v>
      </c>
      <c r="U13" s="55" t="n">
        <f aca="false">INDEX(Simulation!$AY$3:$AY$290,MATCH($B$3&amp;"|"&amp;$B$4&amp;"|"&amp;$A13,Simulation!$A$3:$A$290,0))</f>
        <v>1.98676144995948</v>
      </c>
      <c r="V13" s="20" t="str">
        <f aca="false">TEXT(INDEX(Simulation!$AZ$3:$AZ$290,MATCH($B$3&amp;"|"&amp;$B$4&amp;"|"&amp;$A13,Simulation!$A$3:$A$290,0)),"0.00")&amp;" - "&amp;TEXT(INDEX(Simulation!$BA$3:$BA$290,MATCH($B$3&amp;"|"&amp;$B$4&amp;"|"&amp;$A13,Simulation!$A$3:$A$290,0)),"0.00")</f>
        <v>1.48 - 2.61</v>
      </c>
      <c r="W13" s="22" t="n">
        <f aca="false">INDEX(Simulation!$BB$3:$BB$290,MATCH($B$3&amp;"|"&amp;$B$4&amp;"|"&amp;$A13,Simulation!$A$3:$A$290,0))</f>
        <v>-0.303563193390022</v>
      </c>
      <c r="X13" s="54" t="n">
        <f aca="false">INDEX(Simulation!$BD$3:$BD$290,MATCH($B$3&amp;"|"&amp;$B$4&amp;"|"&amp;$A13,Simulation!$A$3:$A$290,0))</f>
        <v>0.620304322840747</v>
      </c>
      <c r="Y13" s="20" t="str">
        <f aca="false">TEXT(INDEX(Simulation!$BE$3:$BE$290,MATCH($B$3&amp;"|"&amp;$B$4&amp;"|"&amp;$A13,Simulation!$A$3:$A$290,0)),"0.000")&amp;" - "&amp;TEXT(INDEX(Simulation!$BF$3:$BF$290,MATCH($B$3&amp;"|"&amp;$B$4&amp;"|"&amp;$A13,Simulation!$A$3:$A$290,0)),"0.000")</f>
        <v>0.448 - 0.867</v>
      </c>
      <c r="Z13" s="22" t="n">
        <f aca="false">INDEX(Simulation!$BG$3:$BG$290,MATCH($B$3&amp;"|"&amp;$B$4&amp;"|"&amp;$A13,Simulation!$A$3:$A$290,0))</f>
        <v>-0.503064381401497</v>
      </c>
      <c r="AA13" s="54" t="n">
        <f aca="false">INDEX(Simulation!$BI$3:$BI$290,MATCH($B$3&amp;"|"&amp;$B$4&amp;"|"&amp;$A13,Simulation!$A$3:$A$290,0))</f>
        <v>0.264451871245957</v>
      </c>
      <c r="AB13" s="20" t="str">
        <f aca="false">TEXT(INDEX(Simulation!$BJ$3:$BJ$290,MATCH($B$3&amp;"|"&amp;$B$4&amp;"|"&amp;$A13,Simulation!$A$3:$A$290,0)),"0.000")&amp;" - "&amp;TEXT(INDEX(Simulation!$BK$3:$BK$290,MATCH($B$3&amp;"|"&amp;$B$4&amp;"|"&amp;$A13,Simulation!$A$3:$A$290,0)),"0.000")</f>
        <v>0.191 - 0.362</v>
      </c>
      <c r="AC13" s="22" t="n">
        <f aca="false">INDEX(Simulation!$BL$3:$BL$290,MATCH($B$3&amp;"|"&amp;$B$4&amp;"|"&amp;$A13,Simulation!$A$3:$A$290,0))</f>
        <v>-0.411509491801136</v>
      </c>
      <c r="AD13" s="54" t="n">
        <f aca="false">INDEX(Simulation!$BN$3:$BN$290,MATCH($B$3&amp;"|"&amp;$B$4&amp;"|"&amp;$A13,Simulation!$A$3:$A$290,0))</f>
        <v>0.217689981554087</v>
      </c>
      <c r="AE13" s="20" t="str">
        <f aca="false">TEXT(INDEX(Simulation!$BO$3:$BO$290,MATCH($B$3&amp;"|"&amp;$B$4&amp;"|"&amp;$A13,Simulation!$A$3:$A$290,0)),"0.000")&amp;" - "&amp;TEXT(INDEX(Simulation!$BP$3:$BP$290,MATCH($B$3&amp;"|"&amp;$B$4&amp;"|"&amp;$A13,Simulation!$A$3:$A$290,0)),"0.000")</f>
        <v>0.161 - 0.294</v>
      </c>
      <c r="AF13" s="22" t="n">
        <f aca="false">INDEX(Simulation!$BQ$3:$BQ$290,MATCH($B$3&amp;"|"&amp;$B$4&amp;"|"&amp;$A13,Simulation!$A$3:$A$290,0))</f>
        <v>-0.273861024223485</v>
      </c>
      <c r="AG13" s="53" t="n">
        <f aca="false">INDEX(Simulation!$BS$3:$BS$290,MATCH($B$3&amp;"|"&amp;$B$4&amp;"|"&amp;$A13,Simulation!$A$3:$A$290,0))</f>
        <v>21.7337916840186</v>
      </c>
      <c r="AH13" s="20" t="str">
        <f aca="false">TEXT(INDEX(Simulation!$BT$3:$BT$290,MATCH($B$3&amp;"|"&amp;$B$4&amp;"|"&amp;$A13,Simulation!$A$3:$A$290,0)),"0.0")&amp;" - "&amp;TEXT(INDEX(Simulation!$BU$3:$BU$290,MATCH($B$3&amp;"|"&amp;$B$4&amp;"|"&amp;$A13,Simulation!$A$3:$A$290,0)),"0.0")</f>
        <v>10.3 - 33.9</v>
      </c>
      <c r="AI13" s="22" t="n">
        <f aca="false">INDEX(Simulation!$BV$3:$BV$290,MATCH($B$3&amp;"|"&amp;$B$4&amp;"|"&amp;$A13,Simulation!$A$3:$A$290,0))</f>
        <v>0.448919445601239</v>
      </c>
      <c r="AJ13" s="55" t="n">
        <f aca="false">INDEX(Simulation!$BX$3:$BX$290,MATCH($B$3&amp;"|"&amp;$B$4&amp;"|"&amp;$A13,Simulation!$A$3:$A$290,0))</f>
        <v>9.574562897506</v>
      </c>
      <c r="AK13" s="20" t="str">
        <f aca="false">TEXT(INDEX(Simulation!$BY$3:$BY$290,MATCH($B$3&amp;"|"&amp;$B$4&amp;"|"&amp;$A13,Simulation!$A$3:$A$290,0)),"0.00")&amp;" - "&amp;TEXT(INDEX(Simulation!$BZ$3:$BZ$290,MATCH($B$3&amp;"|"&amp;$B$4&amp;"|"&amp;$A13,Simulation!$A$3:$A$290,0)),"0.00")</f>
        <v>7.55 - 11.76</v>
      </c>
      <c r="AL13" s="22" t="n">
        <f aca="false">INDEX(Simulation!$CA$3:$CA$290,MATCH($B$3&amp;"|"&amp;$B$4&amp;"|"&amp;$A13,Simulation!$A$3:$A$290,0))</f>
        <v>-0.11222986140031</v>
      </c>
      <c r="AM13" s="53" t="n">
        <f aca="false">INDEX(Simulation!$CL$3:$CL$290,MATCH($B$3&amp;"|"&amp;$B$4&amp;"|"&amp;$A13,Simulation!$A$3:$A$290,0))</f>
        <v>26.9014855662616</v>
      </c>
      <c r="AN13" s="57" t="n">
        <f aca="false">INDEX(Simulation!$CP$3:$CP$290,MATCH($B$3&amp;"|"&amp;$B$4&amp;"|"&amp;$A13,Simulation!$A$3:$A$290,0))</f>
        <v>2.08243759234478</v>
      </c>
      <c r="AO13" s="55" t="n">
        <f aca="false">INDEX(Simulation!$CK$3:$CK$290,MATCH($B$3&amp;"|"&amp;$B$4&amp;"|"&amp;$A13,Simulation!$A$3:$A$290,0))</f>
        <v>0.550677420036248</v>
      </c>
    </row>
    <row r="14" customFormat="false" ht="15" hidden="false" customHeight="false" outlineLevel="0" collapsed="false">
      <c r="A14" s="27" t="s">
        <v>285</v>
      </c>
      <c r="B14" s="20" t="str">
        <f aca="false">INDEX(Simulation!$S$3:$S$290,MATCH($B$3&amp;"|"&amp;$B$4&amp;"|"&amp;$A14,Simulation!$A$3:$A$290,0))</f>
        <v>Possible</v>
      </c>
      <c r="C14" s="53" t="n">
        <f aca="false">INDEX(Simulation!$U$3:$U$290,MATCH($B$3&amp;"|"&amp;$B$4&amp;"|"&amp;$A14,Simulation!$A$3:$A$290,0))</f>
        <v>59.2216414220062</v>
      </c>
      <c r="D14" s="20" t="str">
        <f aca="false">TEXT(INDEX(Simulation!$V$3:$V$290,MATCH($B$3&amp;"|"&amp;$B$4&amp;"|"&amp;$A14,Simulation!$A$3:$A$290,0)),"0.0")&amp;" - "&amp;TEXT(INDEX(Simulation!$W$3:$W$290,MATCH($B$3&amp;"|"&amp;$B$4&amp;"|"&amp;$A14,Simulation!$A$3:$A$290,0)),"0.0")</f>
        <v>53.7 - 67.3</v>
      </c>
      <c r="E14" s="22" t="n">
        <f aca="false">INDEX(Simulation!$X$3:$X$290,MATCH($B$3&amp;"|"&amp;$B$4&amp;"|"&amp;$A14,Simulation!$A$3:$A$290,0))</f>
        <v>-0.30361215989247</v>
      </c>
      <c r="F14" s="53" t="n">
        <f aca="false">INDEX(Simulation!$Z$3:$Z$290,MATCH($B$3&amp;"|"&amp;$B$4&amp;"|"&amp;$A14,Simulation!$A$3:$A$290,0))</f>
        <v>17.5702803872931</v>
      </c>
      <c r="G14" s="20" t="str">
        <f aca="false">TEXT(INDEX(Simulation!$AA$3:$AA$290,MATCH($B$3&amp;"|"&amp;$B$4&amp;"|"&amp;$A14,Simulation!$A$3:$A$290,0)),"0.0")&amp;" - "&amp;TEXT(INDEX(Simulation!$AB$3:$AB$290,MATCH($B$3&amp;"|"&amp;$B$4&amp;"|"&amp;$A14,Simulation!$A$3:$A$290,0)),"0.0")</f>
        <v>14.5 - 23.9</v>
      </c>
      <c r="H14" s="22" t="n">
        <f aca="false">INDEX(Simulation!$AC$3:$AC$290,MATCH($B$3&amp;"|"&amp;$B$4&amp;"|"&amp;$A14,Simulation!$A$3:$A$290,0))</f>
        <v>-0.750292475932201</v>
      </c>
      <c r="I14" s="53" t="n">
        <f aca="false">INDEX(Simulation!$AE$3:$AE$290,MATCH($B$3&amp;"|"&amp;$B$4&amp;"|"&amp;$A14,Simulation!$A$3:$A$290,0))</f>
        <v>4.21092461538482</v>
      </c>
      <c r="J14" s="20" t="str">
        <f aca="false">TEXT(INDEX(Simulation!$AF$3:$AF$290,MATCH($B$3&amp;"|"&amp;$B$4&amp;"|"&amp;$A14,Simulation!$A$3:$A$290,0)),"0.0")&amp;" - "&amp;TEXT(INDEX(Simulation!$AG$3:$AG$290,MATCH($B$3&amp;"|"&amp;$B$4&amp;"|"&amp;$A14,Simulation!$A$3:$A$290,0)),"0.0")</f>
        <v>3.0 - 6.0</v>
      </c>
      <c r="K14" s="22" t="n">
        <f aca="false">INDEX(Simulation!$AH$3:$AH$290,MATCH($B$3&amp;"|"&amp;$B$4&amp;"|"&amp;$A14,Simulation!$A$3:$A$290,0))</f>
        <v>-0.77775327278099</v>
      </c>
      <c r="L14" s="54" t="n">
        <f aca="false">INDEX(Simulation!$AJ$3:$AJ$290,MATCH($B$3&amp;"|"&amp;$B$4&amp;"|"&amp;$A14,Simulation!$A$3:$A$290,0))</f>
        <v>0.159200833005848</v>
      </c>
      <c r="M14" s="20" t="str">
        <f aca="false">TEXT(INDEX(Simulation!$AK$3:$AK$290,MATCH($B$3&amp;"|"&amp;$B$4&amp;"|"&amp;$A14,Simulation!$A$3:$A$290,0)),"0.000")&amp;" - "&amp;TEXT(INDEX(Simulation!$AL$3:$AL$290,MATCH($B$3&amp;"|"&amp;$B$4&amp;"|"&amp;$A14,Simulation!$A$3:$A$290,0)),"0.000")</f>
        <v>0.099 - 0.235</v>
      </c>
      <c r="N14" s="22" t="n">
        <f aca="false">INDEX(Simulation!$AM$3:$AM$290,MATCH($B$3&amp;"|"&amp;$B$4&amp;"|"&amp;$A14,Simulation!$A$3:$A$290,0))</f>
        <v>-0.613274038815643</v>
      </c>
      <c r="O14" s="55" t="n">
        <f aca="false">INDEX(Simulation!$AO$3:$AO$290,MATCH($B$3&amp;"|"&amp;$B$4&amp;"|"&amp;$A14,Simulation!$A$3:$A$290,0))</f>
        <v>2.22705047331037</v>
      </c>
      <c r="P14" s="20" t="str">
        <f aca="false">TEXT(INDEX(Simulation!$AP$3:$AP$290,MATCH($B$3&amp;"|"&amp;$B$4&amp;"|"&amp;$A14,Simulation!$A$3:$A$290,0)),"0.00")&amp;" - "&amp;TEXT(INDEX(Simulation!$AQ$3:$AQ$290,MATCH($B$3&amp;"|"&amp;$B$4&amp;"|"&amp;$A14,Simulation!$A$3:$A$290,0)),"0.00")</f>
        <v>1.34 - 3.42</v>
      </c>
      <c r="Q14" s="22" t="n">
        <f aca="false">INDEX(Simulation!$AR$3:$AR$290,MATCH($B$3&amp;"|"&amp;$B$4&amp;"|"&amp;$A14,Simulation!$A$3:$A$290,0))</f>
        <v>-0.550431070123185</v>
      </c>
      <c r="R14" s="52" t="n">
        <f aca="false">INDEX(Simulation!$AT$3:$AT$290,MATCH($B$3&amp;"|"&amp;$B$4&amp;"|"&amp;$A14,Simulation!$A$3:$A$290,0))</f>
        <v>372.064569968942</v>
      </c>
      <c r="S14" s="20" t="str">
        <f aca="false">TEXT(INDEX(Simulation!$AU$3:$AU$290,MATCH($B$3&amp;"|"&amp;$B$4&amp;"|"&amp;$A14,Simulation!$A$3:$A$290,0)),"0")&amp;" - "&amp;TEXT(INDEX(Simulation!$AV$3:$AV$290,MATCH($B$3&amp;"|"&amp;$B$4&amp;"|"&amp;$A14,Simulation!$A$3:$A$290,0)),"0")</f>
        <v>331 - 413</v>
      </c>
      <c r="T14" s="22" t="n">
        <f aca="false">INDEX(Simulation!$AW$3:$AW$290,MATCH($B$3&amp;"|"&amp;$B$4&amp;"|"&amp;$A14,Simulation!$A$3:$A$290,0))</f>
        <v>0.30548971918927</v>
      </c>
      <c r="U14" s="55" t="n">
        <f aca="false">INDEX(Simulation!$AY$3:$AY$290,MATCH($B$3&amp;"|"&amp;$B$4&amp;"|"&amp;$A14,Simulation!$A$3:$A$290,0))</f>
        <v>1.71870110958175</v>
      </c>
      <c r="V14" s="20" t="str">
        <f aca="false">TEXT(INDEX(Simulation!$AZ$3:$AZ$290,MATCH($B$3&amp;"|"&amp;$B$4&amp;"|"&amp;$A14,Simulation!$A$3:$A$290,0)),"0.00")&amp;" - "&amp;TEXT(INDEX(Simulation!$BA$3:$BA$290,MATCH($B$3&amp;"|"&amp;$B$4&amp;"|"&amp;$A14,Simulation!$A$3:$A$290,0)),"0.00")</f>
        <v>1.29 - 2.20</v>
      </c>
      <c r="W14" s="22" t="n">
        <f aca="false">INDEX(Simulation!$BB$3:$BB$290,MATCH($B$3&amp;"|"&amp;$B$4&amp;"|"&amp;$A14,Simulation!$A$3:$A$290,0))</f>
        <v>-0.397528720773924</v>
      </c>
      <c r="X14" s="54" t="n">
        <f aca="false">INDEX(Simulation!$BD$3:$BD$290,MATCH($B$3&amp;"|"&amp;$B$4&amp;"|"&amp;$A14,Simulation!$A$3:$A$290,0))</f>
        <v>0.467254650412878</v>
      </c>
      <c r="Y14" s="20" t="str">
        <f aca="false">TEXT(INDEX(Simulation!$BE$3:$BE$290,MATCH($B$3&amp;"|"&amp;$B$4&amp;"|"&amp;$A14,Simulation!$A$3:$A$290,0)),"0.000")&amp;" - "&amp;TEXT(INDEX(Simulation!$BF$3:$BF$290,MATCH($B$3&amp;"|"&amp;$B$4&amp;"|"&amp;$A14,Simulation!$A$3:$A$290,0)),"0.000")</f>
        <v>0.346 - 0.618</v>
      </c>
      <c r="Z14" s="22" t="n">
        <f aca="false">INDEX(Simulation!$BG$3:$BG$290,MATCH($B$3&amp;"|"&amp;$B$4&amp;"|"&amp;$A14,Simulation!$A$3:$A$290,0))</f>
        <v>-0.625674898278014</v>
      </c>
      <c r="AA14" s="54" t="n">
        <f aca="false">INDEX(Simulation!$BI$3:$BI$290,MATCH($B$3&amp;"|"&amp;$B$4&amp;"|"&amp;$A14,Simulation!$A$3:$A$290,0))</f>
        <v>0.216182584542157</v>
      </c>
      <c r="AB14" s="20" t="str">
        <f aca="false">TEXT(INDEX(Simulation!$BJ$3:$BJ$290,MATCH($B$3&amp;"|"&amp;$B$4&amp;"|"&amp;$A14,Simulation!$A$3:$A$290,0)),"0.000")&amp;" - "&amp;TEXT(INDEX(Simulation!$BK$3:$BK$290,MATCH($B$3&amp;"|"&amp;$B$4&amp;"|"&amp;$A14,Simulation!$A$3:$A$290,0)),"0.000")</f>
        <v>0.160 - 0.283</v>
      </c>
      <c r="AC14" s="22" t="n">
        <f aca="false">INDEX(Simulation!$BL$3:$BL$290,MATCH($B$3&amp;"|"&amp;$B$4&amp;"|"&amp;$A14,Simulation!$A$3:$A$290,0))</f>
        <v>-0.518924186690159</v>
      </c>
      <c r="AD14" s="54" t="n">
        <f aca="false">INDEX(Simulation!$BN$3:$BN$290,MATCH($B$3&amp;"|"&amp;$B$4&amp;"|"&amp;$A14,Simulation!$A$3:$A$290,0))</f>
        <v>0.187526100372845</v>
      </c>
      <c r="AE14" s="20" t="str">
        <f aca="false">TEXT(INDEX(Simulation!$BO$3:$BO$290,MATCH($B$3&amp;"|"&amp;$B$4&amp;"|"&amp;$A14,Simulation!$A$3:$A$290,0)),"0.000")&amp;" - "&amp;TEXT(INDEX(Simulation!$BP$3:$BP$290,MATCH($B$3&amp;"|"&amp;$B$4&amp;"|"&amp;$A14,Simulation!$A$3:$A$290,0)),"0.000")</f>
        <v>0.143 - 0.239</v>
      </c>
      <c r="AF14" s="22" t="n">
        <f aca="false">INDEX(Simulation!$BQ$3:$BQ$290,MATCH($B$3&amp;"|"&amp;$B$4&amp;"|"&amp;$A14,Simulation!$A$3:$A$290,0))</f>
        <v>-0.374477366923432</v>
      </c>
      <c r="AG14" s="53" t="n">
        <f aca="false">INDEX(Simulation!$BS$3:$BS$290,MATCH($B$3&amp;"|"&amp;$B$4&amp;"|"&amp;$A14,Simulation!$A$3:$A$290,0))</f>
        <v>23.4914866912935</v>
      </c>
      <c r="AH14" s="20" t="str">
        <f aca="false">TEXT(INDEX(Simulation!$BT$3:$BT$290,MATCH($B$3&amp;"|"&amp;$B$4&amp;"|"&amp;$A14,Simulation!$A$3:$A$290,0)),"0.0")&amp;" - "&amp;TEXT(INDEX(Simulation!$BU$3:$BU$290,MATCH($B$3&amp;"|"&amp;$B$4&amp;"|"&amp;$A14,Simulation!$A$3:$A$290,0)),"0.0")</f>
        <v>11.5 - 36.0</v>
      </c>
      <c r="AI14" s="22" t="n">
        <f aca="false">INDEX(Simulation!$BV$3:$BV$290,MATCH($B$3&amp;"|"&amp;$B$4&amp;"|"&amp;$A14,Simulation!$A$3:$A$290,0))</f>
        <v>0.566099112752901</v>
      </c>
      <c r="AJ14" s="55" t="n">
        <f aca="false">INDEX(Simulation!$BX$3:$BX$290,MATCH($B$3&amp;"|"&amp;$B$4&amp;"|"&amp;$A14,Simulation!$A$3:$A$290,0))</f>
        <v>9.25861847544477</v>
      </c>
      <c r="AK14" s="20" t="str">
        <f aca="false">TEXT(INDEX(Simulation!$BY$3:$BY$290,MATCH($B$3&amp;"|"&amp;$B$4&amp;"|"&amp;$A14,Simulation!$A$3:$A$290,0)),"0.00")&amp;" - "&amp;TEXT(INDEX(Simulation!$BZ$3:$BZ$290,MATCH($B$3&amp;"|"&amp;$B$4&amp;"|"&amp;$A14,Simulation!$A$3:$A$290,0)),"0.00")</f>
        <v>7.34 - 11.24</v>
      </c>
      <c r="AL14" s="22" t="n">
        <f aca="false">INDEX(Simulation!$CA$3:$CA$290,MATCH($B$3&amp;"|"&amp;$B$4&amp;"|"&amp;$A14,Simulation!$A$3:$A$290,0))</f>
        <v>-0.141524778188225</v>
      </c>
      <c r="AM14" s="53" t="n">
        <f aca="false">INDEX(Simulation!$CL$3:$CL$290,MATCH($B$3&amp;"|"&amp;$B$4&amp;"|"&amp;$A14,Simulation!$A$3:$A$290,0))</f>
        <v>27.4388375623388</v>
      </c>
      <c r="AN14" s="57" t="n">
        <f aca="false">INDEX(Simulation!$CP$3:$CP$290,MATCH($B$3&amp;"|"&amp;$B$4&amp;"|"&amp;$A14,Simulation!$A$3:$A$290,0))</f>
        <v>2.61978958842193</v>
      </c>
      <c r="AO14" s="55" t="n">
        <f aca="false">INDEX(Simulation!$CK$3:$CK$290,MATCH($B$3&amp;"|"&amp;$B$4&amp;"|"&amp;$A14,Simulation!$A$3:$A$290,0))</f>
        <v>0.640866677177869</v>
      </c>
    </row>
  </sheetData>
  <dataValidations count="2">
    <dataValidation allowBlank="false" errorStyle="stop" operator="between" showDropDown="false" showErrorMessage="false" showInputMessage="false" sqref="B3" type="list">
      <formula1>"D1V1,D1V2,D1V3,D2V1,D2V2,D2V3,D3V1,D3V2,D3V3,D4V1,D4V2,D4V3"</formula1>
      <formula2>0</formula2>
    </dataValidation>
    <dataValidation allowBlank="false" errorStyle="stop" operator="between" showDropDown="false" showErrorMessage="false" showInputMessage="false" sqref="B4" type="list">
      <formula1>"11/02/2026,24/02/2026,03/03/2026,13/03/2026"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5" t="s">
        <v>478</v>
      </c>
    </row>
    <row r="3" customFormat="false" ht="15" hidden="false" customHeight="false" outlineLevel="0" collapsed="false">
      <c r="A3" s="6" t="s">
        <v>172</v>
      </c>
      <c r="B3" s="6" t="s">
        <v>479</v>
      </c>
      <c r="C3" s="6" t="s">
        <v>33</v>
      </c>
      <c r="D3" s="6" t="s">
        <v>480</v>
      </c>
      <c r="E3" s="6" t="s">
        <v>481</v>
      </c>
    </row>
    <row r="4" customFormat="false" ht="26.85" hidden="false" customHeight="false" outlineLevel="0" collapsed="false">
      <c r="A4" s="59" t="s">
        <v>482</v>
      </c>
      <c r="B4" s="59" t="s">
        <v>483</v>
      </c>
      <c r="C4" s="59" t="s">
        <v>484</v>
      </c>
      <c r="D4" s="59" t="s">
        <v>485</v>
      </c>
      <c r="E4" s="59" t="s">
        <v>486</v>
      </c>
    </row>
    <row r="5" customFormat="false" ht="26.85" hidden="false" customHeight="false" outlineLevel="0" collapsed="false">
      <c r="A5" s="59" t="s">
        <v>487</v>
      </c>
      <c r="B5" s="59" t="s">
        <v>488</v>
      </c>
      <c r="C5" s="59" t="s">
        <v>484</v>
      </c>
      <c r="D5" s="59" t="s">
        <v>489</v>
      </c>
      <c r="E5" s="59" t="s">
        <v>490</v>
      </c>
    </row>
    <row r="6" customFormat="false" ht="15" hidden="false" customHeight="false" outlineLevel="0" collapsed="false">
      <c r="A6" s="59" t="s">
        <v>491</v>
      </c>
      <c r="B6" s="59" t="s">
        <v>492</v>
      </c>
      <c r="C6" s="59" t="s">
        <v>55</v>
      </c>
      <c r="D6" s="59" t="s">
        <v>493</v>
      </c>
      <c r="E6" s="59" t="s">
        <v>494</v>
      </c>
    </row>
    <row r="7" customFormat="false" ht="26.85" hidden="false" customHeight="false" outlineLevel="0" collapsed="false">
      <c r="A7" s="59" t="s">
        <v>495</v>
      </c>
      <c r="B7" s="59" t="s">
        <v>496</v>
      </c>
      <c r="C7" s="59" t="s">
        <v>497</v>
      </c>
      <c r="D7" s="59" t="s">
        <v>493</v>
      </c>
      <c r="E7" s="59" t="s">
        <v>498</v>
      </c>
    </row>
    <row r="8" customFormat="false" ht="26.85" hidden="false" customHeight="false" outlineLevel="0" collapsed="false">
      <c r="A8" s="59" t="s">
        <v>499</v>
      </c>
      <c r="B8" s="59" t="s">
        <v>500</v>
      </c>
      <c r="C8" s="59" t="s">
        <v>497</v>
      </c>
      <c r="D8" s="59" t="s">
        <v>493</v>
      </c>
      <c r="E8" s="59" t="s">
        <v>501</v>
      </c>
    </row>
    <row r="9" customFormat="false" ht="15" hidden="false" customHeight="false" outlineLevel="0" collapsed="false">
      <c r="A9" s="59" t="s">
        <v>502</v>
      </c>
      <c r="B9" s="59" t="s">
        <v>503</v>
      </c>
      <c r="C9" s="59" t="s">
        <v>55</v>
      </c>
      <c r="D9" s="59" t="s">
        <v>504</v>
      </c>
      <c r="E9" s="59" t="s">
        <v>505</v>
      </c>
    </row>
    <row r="10" customFormat="false" ht="15" hidden="false" customHeight="false" outlineLevel="0" collapsed="false">
      <c r="A10" s="59" t="s">
        <v>506</v>
      </c>
      <c r="B10" s="59" t="s">
        <v>507</v>
      </c>
      <c r="C10" s="59" t="s">
        <v>55</v>
      </c>
      <c r="D10" s="59" t="s">
        <v>508</v>
      </c>
      <c r="E10" s="59"/>
    </row>
    <row r="11" customFormat="false" ht="15" hidden="false" customHeight="false" outlineLevel="0" collapsed="false">
      <c r="A11" s="59" t="s">
        <v>509</v>
      </c>
      <c r="B11" s="59" t="s">
        <v>510</v>
      </c>
      <c r="C11" s="59" t="s">
        <v>484</v>
      </c>
      <c r="D11" s="59" t="s">
        <v>511</v>
      </c>
      <c r="E11" s="59" t="s">
        <v>512</v>
      </c>
    </row>
    <row r="12" customFormat="false" ht="26.85" hidden="false" customHeight="false" outlineLevel="0" collapsed="false">
      <c r="A12" s="59" t="s">
        <v>513</v>
      </c>
      <c r="B12" s="59" t="s">
        <v>514</v>
      </c>
      <c r="C12" s="59" t="s">
        <v>484</v>
      </c>
      <c r="D12" s="59" t="s">
        <v>493</v>
      </c>
      <c r="E12" s="59"/>
    </row>
    <row r="13" customFormat="false" ht="15" hidden="false" customHeight="false" outlineLevel="0" collapsed="false">
      <c r="A13" s="59" t="s">
        <v>515</v>
      </c>
      <c r="B13" s="59" t="s">
        <v>516</v>
      </c>
      <c r="C13" s="59" t="s">
        <v>484</v>
      </c>
      <c r="D13" s="59" t="s">
        <v>517</v>
      </c>
      <c r="E13" s="59" t="s">
        <v>518</v>
      </c>
    </row>
    <row r="14" customFormat="false" ht="26.85" hidden="false" customHeight="false" outlineLevel="0" collapsed="false">
      <c r="A14" s="59" t="s">
        <v>519</v>
      </c>
      <c r="B14" s="59" t="s">
        <v>520</v>
      </c>
      <c r="C14" s="59" t="s">
        <v>55</v>
      </c>
      <c r="D14" s="59" t="s">
        <v>521</v>
      </c>
      <c r="E14" s="59" t="s">
        <v>522</v>
      </c>
    </row>
    <row r="17" customFormat="false" ht="15" hidden="false" customHeight="false" outlineLevel="0" collapsed="false">
      <c r="A17" s="7" t="s">
        <v>523</v>
      </c>
    </row>
    <row r="18" customFormat="false" ht="30" hidden="false" customHeight="true" outlineLevel="0" collapsed="false">
      <c r="A18" s="16" t="s">
        <v>524</v>
      </c>
      <c r="B18" s="16"/>
      <c r="C18" s="16"/>
      <c r="D18" s="16"/>
      <c r="E18" s="16"/>
    </row>
    <row r="19" customFormat="false" ht="30" hidden="false" customHeight="true" outlineLevel="0" collapsed="false">
      <c r="A19" s="16" t="s">
        <v>525</v>
      </c>
      <c r="B19" s="16"/>
      <c r="C19" s="16"/>
      <c r="D19" s="16"/>
      <c r="E19" s="16"/>
    </row>
    <row r="20" customFormat="false" ht="30" hidden="false" customHeight="true" outlineLevel="0" collapsed="false">
      <c r="A20" s="16" t="s">
        <v>526</v>
      </c>
      <c r="B20" s="16"/>
      <c r="C20" s="16"/>
      <c r="D20" s="16"/>
      <c r="E20" s="16"/>
    </row>
    <row r="21" customFormat="false" ht="30" hidden="false" customHeight="true" outlineLevel="0" collapsed="false">
      <c r="A21" s="16" t="s">
        <v>527</v>
      </c>
      <c r="B21" s="16"/>
      <c r="C21" s="16"/>
      <c r="D21" s="16"/>
      <c r="E21" s="16"/>
    </row>
    <row r="22" customFormat="false" ht="30" hidden="false" customHeight="true" outlineLevel="0" collapsed="false">
      <c r="A22" s="16" t="s">
        <v>528</v>
      </c>
      <c r="B22" s="16"/>
      <c r="C22" s="16"/>
      <c r="D22" s="16"/>
      <c r="E22" s="16"/>
    </row>
  </sheetData>
  <mergeCells count="5"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7" min="4" style="0" width="13"/>
    <col collapsed="false" customWidth="true" hidden="false" outlineLevel="0" max="8" min="8" style="0" width="50"/>
    <col collapsed="false" customWidth="true" hidden="false" outlineLevel="0" max="15" min="9" style="0" width="13"/>
  </cols>
  <sheetData>
    <row r="1" customFormat="false" ht="17.35" hidden="false" customHeight="false" outlineLevel="0" collapsed="false">
      <c r="A1" s="5" t="s">
        <v>529</v>
      </c>
    </row>
    <row r="2" customFormat="false" ht="15" hidden="false" customHeight="false" outlineLevel="0" collapsed="false">
      <c r="A2" s="7" t="s">
        <v>530</v>
      </c>
    </row>
    <row r="4" customFormat="false" ht="23.85" hidden="false" customHeight="false" outlineLevel="0" collapsed="false">
      <c r="A4" s="6" t="s">
        <v>531</v>
      </c>
      <c r="B4" s="6" t="s">
        <v>532</v>
      </c>
      <c r="C4" s="6" t="s">
        <v>533</v>
      </c>
      <c r="D4" s="6" t="s">
        <v>186</v>
      </c>
      <c r="E4" s="6" t="s">
        <v>534</v>
      </c>
      <c r="F4" s="6" t="s">
        <v>535</v>
      </c>
      <c r="G4" s="6" t="s">
        <v>188</v>
      </c>
      <c r="H4" s="6" t="s">
        <v>536</v>
      </c>
    </row>
    <row r="5" customFormat="false" ht="26.85" hidden="false" customHeight="false" outlineLevel="0" collapsed="false">
      <c r="A5" s="20" t="s">
        <v>537</v>
      </c>
      <c r="B5" s="20" t="s">
        <v>538</v>
      </c>
      <c r="C5" s="59" t="s">
        <v>539</v>
      </c>
      <c r="D5" s="15" t="n">
        <v>1</v>
      </c>
      <c r="E5" s="15" t="n">
        <v>0.35</v>
      </c>
      <c r="F5" s="15" t="n">
        <v>0.08</v>
      </c>
      <c r="G5" s="15" t="n">
        <v>3</v>
      </c>
      <c r="H5" s="59" t="s">
        <v>540</v>
      </c>
    </row>
    <row r="6" customFormat="false" ht="15" hidden="false" customHeight="false" outlineLevel="0" collapsed="false">
      <c r="A6" s="20" t="s">
        <v>541</v>
      </c>
      <c r="B6" s="20" t="s">
        <v>538</v>
      </c>
      <c r="C6" s="59" t="s">
        <v>542</v>
      </c>
      <c r="D6" s="15" t="n">
        <v>1</v>
      </c>
      <c r="E6" s="15" t="n">
        <v>1.2</v>
      </c>
      <c r="F6" s="15" t="n">
        <v>0.25</v>
      </c>
      <c r="G6" s="15" t="n">
        <v>3</v>
      </c>
      <c r="H6" s="59" t="s">
        <v>543</v>
      </c>
    </row>
    <row r="7" customFormat="false" ht="15" hidden="false" customHeight="false" outlineLevel="0" collapsed="false">
      <c r="A7" s="20" t="s">
        <v>544</v>
      </c>
      <c r="B7" s="20" t="s">
        <v>538</v>
      </c>
      <c r="C7" s="59" t="s">
        <v>545</v>
      </c>
      <c r="D7" s="15" t="n">
        <v>1</v>
      </c>
      <c r="E7" s="15" t="n">
        <v>2.5</v>
      </c>
      <c r="F7" s="15" t="n">
        <v>0.3</v>
      </c>
      <c r="G7" s="15" t="n">
        <v>3</v>
      </c>
      <c r="H7" s="59" t="s">
        <v>546</v>
      </c>
    </row>
    <row r="8" customFormat="false" ht="15" hidden="false" customHeight="false" outlineLevel="0" collapsed="false">
      <c r="A8" s="20" t="s">
        <v>547</v>
      </c>
      <c r="B8" s="20" t="s">
        <v>538</v>
      </c>
      <c r="C8" s="59" t="s">
        <v>548</v>
      </c>
      <c r="D8" s="15" t="n">
        <v>1</v>
      </c>
      <c r="E8" s="15" t="n">
        <v>1.2</v>
      </c>
      <c r="F8" s="15" t="n">
        <v>0.18</v>
      </c>
      <c r="G8" s="15" t="n">
        <v>3</v>
      </c>
      <c r="H8" s="59" t="s">
        <v>549</v>
      </c>
    </row>
    <row r="9" customFormat="false" ht="15" hidden="false" customHeight="false" outlineLevel="0" collapsed="false">
      <c r="A9" s="20" t="s">
        <v>550</v>
      </c>
      <c r="B9" s="20" t="s">
        <v>538</v>
      </c>
      <c r="C9" s="59" t="s">
        <v>551</v>
      </c>
      <c r="D9" s="15" t="n">
        <v>-1</v>
      </c>
      <c r="E9" s="15" t="n">
        <v>0.3</v>
      </c>
      <c r="F9" s="15" t="n">
        <v>0.08</v>
      </c>
      <c r="G9" s="15" t="n">
        <v>3</v>
      </c>
      <c r="H9" s="59" t="s">
        <v>552</v>
      </c>
    </row>
    <row r="10" customFormat="false" ht="15" hidden="false" customHeight="false" outlineLevel="0" collapsed="false">
      <c r="A10" s="20" t="s">
        <v>553</v>
      </c>
      <c r="B10" s="20" t="s">
        <v>538</v>
      </c>
      <c r="C10" s="59" t="s">
        <v>554</v>
      </c>
      <c r="D10" s="15" t="n">
        <v>1</v>
      </c>
      <c r="E10" s="15" t="n">
        <v>0.22</v>
      </c>
      <c r="F10" s="15" t="n">
        <v>0.06</v>
      </c>
      <c r="G10" s="15" t="n">
        <v>3</v>
      </c>
      <c r="H10" s="59" t="s">
        <v>555</v>
      </c>
    </row>
    <row r="11" customFormat="false" ht="15" hidden="false" customHeight="false" outlineLevel="0" collapsed="false">
      <c r="A11" s="20" t="s">
        <v>556</v>
      </c>
      <c r="B11" s="20" t="s">
        <v>538</v>
      </c>
      <c r="C11" s="59" t="s">
        <v>557</v>
      </c>
      <c r="D11" s="15" t="n">
        <v>-1</v>
      </c>
      <c r="E11" s="15" t="n">
        <v>0.55</v>
      </c>
      <c r="F11" s="15" t="n">
        <v>0.15</v>
      </c>
      <c r="G11" s="15" t="n">
        <v>3</v>
      </c>
      <c r="H11" s="59" t="s">
        <v>558</v>
      </c>
    </row>
    <row r="12" customFormat="false" ht="26.85" hidden="false" customHeight="false" outlineLevel="0" collapsed="false">
      <c r="A12" s="20" t="s">
        <v>559</v>
      </c>
      <c r="B12" s="20" t="s">
        <v>538</v>
      </c>
      <c r="C12" s="59" t="s">
        <v>560</v>
      </c>
      <c r="D12" s="15" t="n">
        <v>-1</v>
      </c>
      <c r="E12" s="15" t="n">
        <v>0.2</v>
      </c>
      <c r="F12" s="15" t="n">
        <v>0.05</v>
      </c>
      <c r="G12" s="15" t="n">
        <v>3</v>
      </c>
      <c r="H12" s="59" t="s">
        <v>561</v>
      </c>
    </row>
    <row r="13" customFormat="false" ht="15" hidden="false" customHeight="false" outlineLevel="0" collapsed="false">
      <c r="A13" s="20" t="s">
        <v>562</v>
      </c>
      <c r="B13" s="20" t="s">
        <v>563</v>
      </c>
      <c r="C13" s="59" t="s">
        <v>564</v>
      </c>
      <c r="D13" s="15" t="n">
        <v>-1</v>
      </c>
      <c r="E13" s="15" t="n">
        <v>0.6</v>
      </c>
      <c r="F13" s="15" t="n">
        <v>0.45</v>
      </c>
      <c r="G13" s="15" t="n">
        <v>3</v>
      </c>
      <c r="H13" s="59" t="s">
        <v>565</v>
      </c>
    </row>
    <row r="14" customFormat="false" ht="26.85" hidden="false" customHeight="false" outlineLevel="0" collapsed="false">
      <c r="A14" s="20" t="s">
        <v>566</v>
      </c>
      <c r="B14" s="20" t="s">
        <v>563</v>
      </c>
      <c r="C14" s="59" t="s">
        <v>567</v>
      </c>
      <c r="D14" s="15" t="n">
        <v>-1</v>
      </c>
      <c r="E14" s="15" t="n">
        <v>0.5</v>
      </c>
      <c r="F14" s="15" t="n">
        <v>0.4</v>
      </c>
      <c r="G14" s="15" t="n">
        <v>3</v>
      </c>
      <c r="H14" s="59" t="s">
        <v>568</v>
      </c>
    </row>
    <row r="15" customFormat="false" ht="15" hidden="false" customHeight="false" outlineLevel="0" collapsed="false">
      <c r="A15" s="20" t="s">
        <v>569</v>
      </c>
      <c r="B15" s="20" t="s">
        <v>563</v>
      </c>
      <c r="C15" s="59" t="s">
        <v>570</v>
      </c>
      <c r="D15" s="15" t="n">
        <v>-1</v>
      </c>
      <c r="E15" s="15" t="n">
        <v>0.6</v>
      </c>
      <c r="F15" s="15" t="n">
        <v>0.5</v>
      </c>
      <c r="G15" s="15" t="n">
        <v>3</v>
      </c>
      <c r="H15" s="59" t="s">
        <v>568</v>
      </c>
    </row>
    <row r="16" customFormat="false" ht="15" hidden="false" customHeight="false" outlineLevel="0" collapsed="false">
      <c r="A16" s="20" t="s">
        <v>571</v>
      </c>
      <c r="B16" s="20" t="s">
        <v>563</v>
      </c>
      <c r="C16" s="59" t="s">
        <v>572</v>
      </c>
      <c r="D16" s="15" t="n">
        <v>-1</v>
      </c>
      <c r="E16" s="15" t="n">
        <v>0.5</v>
      </c>
      <c r="F16" s="15" t="n">
        <v>0.4</v>
      </c>
      <c r="G16" s="15" t="n">
        <v>3</v>
      </c>
      <c r="H16" s="59" t="s">
        <v>568</v>
      </c>
    </row>
    <row r="17" customFormat="false" ht="15" hidden="false" customHeight="false" outlineLevel="0" collapsed="false">
      <c r="A17" s="20" t="s">
        <v>573</v>
      </c>
      <c r="B17" s="20" t="s">
        <v>563</v>
      </c>
      <c r="C17" s="59" t="s">
        <v>574</v>
      </c>
      <c r="D17" s="15" t="n">
        <v>1</v>
      </c>
      <c r="E17" s="15" t="n">
        <v>0.4</v>
      </c>
      <c r="F17" s="15" t="n">
        <v>0.25</v>
      </c>
      <c r="G17" s="15" t="n">
        <v>3</v>
      </c>
      <c r="H17" s="59" t="s">
        <v>575</v>
      </c>
    </row>
    <row r="18" customFormat="false" ht="15" hidden="false" customHeight="false" outlineLevel="0" collapsed="false">
      <c r="A18" s="20" t="s">
        <v>576</v>
      </c>
      <c r="B18" s="20" t="s">
        <v>563</v>
      </c>
      <c r="C18" s="59" t="s">
        <v>577</v>
      </c>
      <c r="D18" s="15" t="n">
        <v>1</v>
      </c>
      <c r="E18" s="15" t="n">
        <v>0.4</v>
      </c>
      <c r="F18" s="15" t="n">
        <v>0.05</v>
      </c>
      <c r="G18" s="15" t="n">
        <v>3</v>
      </c>
      <c r="H18" s="59" t="s">
        <v>578</v>
      </c>
    </row>
    <row r="20" customFormat="false" ht="15" hidden="false" customHeight="false" outlineLevel="0" collapsed="false">
      <c r="A20" s="7" t="s">
        <v>579</v>
      </c>
    </row>
    <row r="21" customFormat="false" ht="15" hidden="false" customHeight="false" outlineLevel="0" collapsed="false">
      <c r="A21" s="9" t="s">
        <v>344</v>
      </c>
      <c r="B21" s="11" t="n">
        <v>1</v>
      </c>
    </row>
    <row r="22" customFormat="false" ht="15" hidden="false" customHeight="false" outlineLevel="0" collapsed="false">
      <c r="A22" s="9" t="s">
        <v>341</v>
      </c>
      <c r="B22" s="11" t="n">
        <v>0.6</v>
      </c>
    </row>
    <row r="23" customFormat="false" ht="15" hidden="false" customHeight="false" outlineLevel="0" collapsed="false">
      <c r="A23" s="9" t="s">
        <v>342</v>
      </c>
      <c r="B23" s="11" t="n">
        <v>0.8</v>
      </c>
    </row>
    <row r="26" customFormat="false" ht="15" hidden="false" customHeight="false" outlineLevel="0" collapsed="false">
      <c r="A26" s="7" t="s">
        <v>580</v>
      </c>
    </row>
    <row r="27" customFormat="false" ht="35.05" hidden="false" customHeight="false" outlineLevel="0" collapsed="false">
      <c r="A27" s="6" t="s">
        <v>356</v>
      </c>
      <c r="B27" s="6" t="s">
        <v>537</v>
      </c>
      <c r="C27" s="6" t="s">
        <v>541</v>
      </c>
      <c r="D27" s="6" t="s">
        <v>544</v>
      </c>
      <c r="E27" s="6" t="s">
        <v>547</v>
      </c>
      <c r="F27" s="6" t="s">
        <v>550</v>
      </c>
      <c r="G27" s="6" t="s">
        <v>553</v>
      </c>
      <c r="H27" s="6" t="s">
        <v>556</v>
      </c>
      <c r="I27" s="6" t="s">
        <v>559</v>
      </c>
      <c r="J27" s="6" t="s">
        <v>562</v>
      </c>
      <c r="K27" s="6" t="s">
        <v>566</v>
      </c>
      <c r="L27" s="6" t="s">
        <v>569</v>
      </c>
      <c r="M27" s="6" t="s">
        <v>571</v>
      </c>
      <c r="N27" s="6" t="s">
        <v>573</v>
      </c>
      <c r="O27" s="6" t="s">
        <v>576</v>
      </c>
    </row>
    <row r="28" customFormat="false" ht="15" hidden="false" customHeight="false" outlineLevel="0" collapsed="false">
      <c r="A28" s="7" t="s">
        <v>275</v>
      </c>
      <c r="B28" s="19" t="n">
        <f aca="false">$D$5*$E$5*(1-EXP(-$G$5*INDEX(Severity_Classes!$D$4:$D$9,MATCH($A28,Severity_Classes!$A$4:$A$9,0))))</f>
        <v>0</v>
      </c>
      <c r="C28" s="19" t="n">
        <f aca="false">$D$6*$E$6*(1-EXP(-$G$6*INDEX(Severity_Classes!$D$4:$D$9,MATCH($A28,Severity_Classes!$A$4:$A$9,0))))</f>
        <v>0</v>
      </c>
      <c r="D28" s="19" t="n">
        <f aca="false">$D$7*$E$7*(1-EXP(-$G$7*INDEX(Severity_Classes!$D$4:$D$9,MATCH($A28,Severity_Classes!$A$4:$A$9,0))))</f>
        <v>0</v>
      </c>
      <c r="E28" s="19" t="n">
        <f aca="false">$D$8*$E$8*(1-EXP(-$G$8*INDEX(Severity_Classes!$D$4:$D$9,MATCH($A28,Severity_Classes!$A$4:$A$9,0))))</f>
        <v>0</v>
      </c>
      <c r="F28" s="19" t="n">
        <f aca="false">$D$9*$E$9*(1-EXP(-$G$9*INDEX(Severity_Classes!$D$4:$D$9,MATCH($A28,Severity_Classes!$A$4:$A$9,0))))</f>
        <v>-0</v>
      </c>
      <c r="G28" s="19" t="n">
        <f aca="false">$D$10*$E$10*(1-EXP(-$G$10*INDEX(Severity_Classes!$D$4:$D$9,MATCH($A28,Severity_Classes!$A$4:$A$9,0))))</f>
        <v>0</v>
      </c>
      <c r="H28" s="19" t="n">
        <f aca="false">$D$11*$E$11*(1-EXP(-$G$11*INDEX(Severity_Classes!$D$4:$D$9,MATCH($A28,Severity_Classes!$A$4:$A$9,0))))</f>
        <v>-0</v>
      </c>
      <c r="I28" s="19" t="n">
        <f aca="false">$D$12*$E$12*(1-EXP(-$G$12*INDEX(Severity_Classes!$D$4:$D$9,MATCH($A28,Severity_Classes!$A$4:$A$9,0))))</f>
        <v>-0</v>
      </c>
      <c r="J28" s="19" t="n">
        <f aca="false">$D$13*$E$13*(1-EXP(-$G$13*INDEX(Severity_Classes!$D$4:$D$9,MATCH($A28,Severity_Classes!$A$4:$A$9,0))))</f>
        <v>-0</v>
      </c>
      <c r="K28" s="19" t="n">
        <f aca="false">$D$14*$E$14*(1-EXP(-$G$14*INDEX(Severity_Classes!$D$4:$D$9,MATCH($A28,Severity_Classes!$A$4:$A$9,0))))</f>
        <v>-0</v>
      </c>
      <c r="L28" s="19" t="n">
        <f aca="false">$D$15*$E$15*(1-EXP(-$G$15*INDEX(Severity_Classes!$D$4:$D$9,MATCH($A28,Severity_Classes!$A$4:$A$9,0))))</f>
        <v>-0</v>
      </c>
      <c r="M28" s="19" t="n">
        <f aca="false">$D$16*$E$16*(1-EXP(-$G$16*INDEX(Severity_Classes!$D$4:$D$9,MATCH($A28,Severity_Classes!$A$4:$A$9,0))))</f>
        <v>-0</v>
      </c>
      <c r="N28" s="19" t="n">
        <f aca="false">$D$17*$E$17*(1-EXP(-$G$17*INDEX(Severity_Classes!$D$4:$D$9,MATCH($A28,Severity_Classes!$A$4:$A$9,0))))</f>
        <v>0</v>
      </c>
      <c r="O28" s="19" t="n">
        <f aca="false">$D$18*$E$18*(1-EXP(-$G$18*INDEX(Severity_Classes!$D$4:$D$9,MATCH($A28,Severity_Classes!$A$4:$A$9,0))))</f>
        <v>0</v>
      </c>
    </row>
    <row r="29" customFormat="false" ht="15" hidden="false" customHeight="false" outlineLevel="0" collapsed="false">
      <c r="A29" s="7" t="s">
        <v>277</v>
      </c>
      <c r="B29" s="22" t="n">
        <f aca="false">$D$5*$E$5*(1-EXP(-$G$5*INDEX(Severity_Classes!$D$4:$D$9,MATCH($A29,Severity_Classes!$A$4:$A$9,0))))</f>
        <v>0.0301240851550701</v>
      </c>
      <c r="C29" s="22" t="n">
        <f aca="false">$D$6*$E$6*(1-EXP(-$G$6*INDEX(Severity_Classes!$D$4:$D$9,MATCH($A29,Severity_Classes!$A$4:$A$9,0))))</f>
        <v>0.103282577674526</v>
      </c>
      <c r="D29" s="22" t="n">
        <f aca="false">$D$7*$E$7*(1-EXP(-$G$7*INDEX(Severity_Classes!$D$4:$D$9,MATCH($A29,Severity_Classes!$A$4:$A$9,0))))</f>
        <v>0.21517203682193</v>
      </c>
      <c r="E29" s="22" t="n">
        <f aca="false">$D$8*$E$8*(1-EXP(-$G$8*INDEX(Severity_Classes!$D$4:$D$9,MATCH($A29,Severity_Classes!$A$4:$A$9,0))))</f>
        <v>0.103282577674526</v>
      </c>
      <c r="F29" s="22" t="n">
        <f aca="false">$D$9*$E$9*(1-EXP(-$G$9*INDEX(Severity_Classes!$D$4:$D$9,MATCH($A29,Severity_Classes!$A$4:$A$9,0))))</f>
        <v>-0.0258206444186315</v>
      </c>
      <c r="G29" s="22" t="n">
        <f aca="false">$D$10*$E$10*(1-EXP(-$G$10*INDEX(Severity_Classes!$D$4:$D$9,MATCH($A29,Severity_Classes!$A$4:$A$9,0))))</f>
        <v>0.0189351392403298</v>
      </c>
      <c r="H29" s="22" t="n">
        <f aca="false">$D$11*$E$11*(1-EXP(-$G$11*INDEX(Severity_Classes!$D$4:$D$9,MATCH($A29,Severity_Classes!$A$4:$A$9,0))))</f>
        <v>-0.0473378481008245</v>
      </c>
      <c r="I29" s="22" t="n">
        <f aca="false">$D$12*$E$12*(1-EXP(-$G$12*INDEX(Severity_Classes!$D$4:$D$9,MATCH($A29,Severity_Classes!$A$4:$A$9,0))))</f>
        <v>-0.0172137629457544</v>
      </c>
      <c r="J29" s="22" t="n">
        <f aca="false">$D$13*$E$13*(1-EXP(-$G$13*INDEX(Severity_Classes!$D$4:$D$9,MATCH($A29,Severity_Classes!$A$4:$A$9,0))))</f>
        <v>-0.0516412888372631</v>
      </c>
      <c r="K29" s="22" t="n">
        <f aca="false">$D$14*$E$14*(1-EXP(-$G$14*INDEX(Severity_Classes!$D$4:$D$9,MATCH($A29,Severity_Classes!$A$4:$A$9,0))))</f>
        <v>-0.0430344073643859</v>
      </c>
      <c r="L29" s="22" t="n">
        <f aca="false">$D$15*$E$15*(1-EXP(-$G$15*INDEX(Severity_Classes!$D$4:$D$9,MATCH($A29,Severity_Classes!$A$4:$A$9,0))))</f>
        <v>-0.0516412888372631</v>
      </c>
      <c r="M29" s="22" t="n">
        <f aca="false">$D$16*$E$16*(1-EXP(-$G$16*INDEX(Severity_Classes!$D$4:$D$9,MATCH($A29,Severity_Classes!$A$4:$A$9,0))))</f>
        <v>-0.0430344073643859</v>
      </c>
      <c r="N29" s="22" t="n">
        <f aca="false">$D$17*$E$17*(1-EXP(-$G$17*INDEX(Severity_Classes!$D$4:$D$9,MATCH($A29,Severity_Classes!$A$4:$A$9,0))))</f>
        <v>0.0344275258915087</v>
      </c>
      <c r="O29" s="22" t="n">
        <f aca="false">$D$18*$E$18*(1-EXP(-$G$18*INDEX(Severity_Classes!$D$4:$D$9,MATCH($A29,Severity_Classes!$A$4:$A$9,0))))</f>
        <v>0.0344275258915087</v>
      </c>
    </row>
    <row r="30" customFormat="false" ht="15" hidden="false" customHeight="false" outlineLevel="0" collapsed="false">
      <c r="A30" s="7" t="s">
        <v>279</v>
      </c>
      <c r="B30" s="22" t="n">
        <f aca="false">$D$5*$E$5*(1-EXP(-$G$5*INDEX(Severity_Classes!$D$4:$D$9,MATCH($A30,Severity_Classes!$A$4:$A$9,0))))</f>
        <v>0.0746802486267063</v>
      </c>
      <c r="C30" s="22" t="n">
        <f aca="false">$D$6*$E$6*(1-EXP(-$G$6*INDEX(Severity_Classes!$D$4:$D$9,MATCH($A30,Severity_Classes!$A$4:$A$9,0))))</f>
        <v>0.256046566720136</v>
      </c>
      <c r="D30" s="22" t="n">
        <f aca="false">$D$7*$E$7*(1-EXP(-$G$7*INDEX(Severity_Classes!$D$4:$D$9,MATCH($A30,Severity_Classes!$A$4:$A$9,0))))</f>
        <v>0.533430347333616</v>
      </c>
      <c r="E30" s="22" t="n">
        <f aca="false">$D$8*$E$8*(1-EXP(-$G$8*INDEX(Severity_Classes!$D$4:$D$9,MATCH($A30,Severity_Classes!$A$4:$A$9,0))))</f>
        <v>0.256046566720136</v>
      </c>
      <c r="F30" s="22" t="n">
        <f aca="false">$D$9*$E$9*(1-EXP(-$G$9*INDEX(Severity_Classes!$D$4:$D$9,MATCH($A30,Severity_Classes!$A$4:$A$9,0))))</f>
        <v>-0.064011641680034</v>
      </c>
      <c r="G30" s="22" t="n">
        <f aca="false">$D$10*$E$10*(1-EXP(-$G$10*INDEX(Severity_Classes!$D$4:$D$9,MATCH($A30,Severity_Classes!$A$4:$A$9,0))))</f>
        <v>0.0469418705653582</v>
      </c>
      <c r="H30" s="22" t="n">
        <f aca="false">$D$11*$E$11*(1-EXP(-$G$11*INDEX(Severity_Classes!$D$4:$D$9,MATCH($A30,Severity_Classes!$A$4:$A$9,0))))</f>
        <v>-0.117354676413396</v>
      </c>
      <c r="I30" s="22" t="n">
        <f aca="false">$D$12*$E$12*(1-EXP(-$G$12*INDEX(Severity_Classes!$D$4:$D$9,MATCH($A30,Severity_Classes!$A$4:$A$9,0))))</f>
        <v>-0.0426744277866893</v>
      </c>
      <c r="J30" s="22" t="n">
        <f aca="false">$D$13*$E$13*(1-EXP(-$G$13*INDEX(Severity_Classes!$D$4:$D$9,MATCH($A30,Severity_Classes!$A$4:$A$9,0))))</f>
        <v>-0.128023283360068</v>
      </c>
      <c r="K30" s="22" t="n">
        <f aca="false">$D$14*$E$14*(1-EXP(-$G$14*INDEX(Severity_Classes!$D$4:$D$9,MATCH($A30,Severity_Classes!$A$4:$A$9,0))))</f>
        <v>-0.106686069466723</v>
      </c>
      <c r="L30" s="22" t="n">
        <f aca="false">$D$15*$E$15*(1-EXP(-$G$15*INDEX(Severity_Classes!$D$4:$D$9,MATCH($A30,Severity_Classes!$A$4:$A$9,0))))</f>
        <v>-0.128023283360068</v>
      </c>
      <c r="M30" s="22" t="n">
        <f aca="false">$D$16*$E$16*(1-EXP(-$G$16*INDEX(Severity_Classes!$D$4:$D$9,MATCH($A30,Severity_Classes!$A$4:$A$9,0))))</f>
        <v>-0.106686069466723</v>
      </c>
      <c r="N30" s="22" t="n">
        <f aca="false">$D$17*$E$17*(1-EXP(-$G$17*INDEX(Severity_Classes!$D$4:$D$9,MATCH($A30,Severity_Classes!$A$4:$A$9,0))))</f>
        <v>0.0853488555733786</v>
      </c>
      <c r="O30" s="22" t="n">
        <f aca="false">$D$18*$E$18*(1-EXP(-$G$18*INDEX(Severity_Classes!$D$4:$D$9,MATCH($A30,Severity_Classes!$A$4:$A$9,0))))</f>
        <v>0.0853488555733786</v>
      </c>
    </row>
    <row r="31" customFormat="false" ht="15" hidden="false" customHeight="false" outlineLevel="0" collapsed="false">
      <c r="A31" s="7" t="s">
        <v>281</v>
      </c>
      <c r="B31" s="22" t="n">
        <f aca="false">$D$5*$E$5*(1-EXP(-$G$5*INDEX(Severity_Classes!$D$4:$D$9,MATCH($A31,Severity_Classes!$A$4:$A$9,0))))</f>
        <v>0.146038111669104</v>
      </c>
      <c r="C31" s="22" t="n">
        <f aca="false">$D$6*$E$6*(1-EXP(-$G$6*INDEX(Severity_Classes!$D$4:$D$9,MATCH($A31,Severity_Classes!$A$4:$A$9,0))))</f>
        <v>0.500702097151212</v>
      </c>
      <c r="D31" s="22" t="n">
        <f aca="false">$D$7*$E$7*(1-EXP(-$G$7*INDEX(Severity_Classes!$D$4:$D$9,MATCH($A31,Severity_Classes!$A$4:$A$9,0))))</f>
        <v>1.04312936906503</v>
      </c>
      <c r="E31" s="22" t="n">
        <f aca="false">$D$8*$E$8*(1-EXP(-$G$8*INDEX(Severity_Classes!$D$4:$D$9,MATCH($A31,Severity_Classes!$A$4:$A$9,0))))</f>
        <v>0.500702097151212</v>
      </c>
      <c r="F31" s="22" t="n">
        <f aca="false">$D$9*$E$9*(1-EXP(-$G$9*INDEX(Severity_Classes!$D$4:$D$9,MATCH($A31,Severity_Classes!$A$4:$A$9,0))))</f>
        <v>-0.125175524287803</v>
      </c>
      <c r="G31" s="22" t="n">
        <f aca="false">$D$10*$E$10*(1-EXP(-$G$10*INDEX(Severity_Classes!$D$4:$D$9,MATCH($A31,Severity_Classes!$A$4:$A$9,0))))</f>
        <v>0.0917953844777223</v>
      </c>
      <c r="H31" s="22" t="n">
        <f aca="false">$D$11*$E$11*(1-EXP(-$G$11*INDEX(Severity_Classes!$D$4:$D$9,MATCH($A31,Severity_Classes!$A$4:$A$9,0))))</f>
        <v>-0.229488461194306</v>
      </c>
      <c r="I31" s="22" t="n">
        <f aca="false">$D$12*$E$12*(1-EXP(-$G$12*INDEX(Severity_Classes!$D$4:$D$9,MATCH($A31,Severity_Classes!$A$4:$A$9,0))))</f>
        <v>-0.0834503495252021</v>
      </c>
      <c r="J31" s="22" t="n">
        <f aca="false">$D$13*$E$13*(1-EXP(-$G$13*INDEX(Severity_Classes!$D$4:$D$9,MATCH($A31,Severity_Classes!$A$4:$A$9,0))))</f>
        <v>-0.250351048575606</v>
      </c>
      <c r="K31" s="22" t="n">
        <f aca="false">$D$14*$E$14*(1-EXP(-$G$14*INDEX(Severity_Classes!$D$4:$D$9,MATCH($A31,Severity_Classes!$A$4:$A$9,0))))</f>
        <v>-0.208625873813005</v>
      </c>
      <c r="L31" s="22" t="n">
        <f aca="false">$D$15*$E$15*(1-EXP(-$G$15*INDEX(Severity_Classes!$D$4:$D$9,MATCH($A31,Severity_Classes!$A$4:$A$9,0))))</f>
        <v>-0.250351048575606</v>
      </c>
      <c r="M31" s="22" t="n">
        <f aca="false">$D$16*$E$16*(1-EXP(-$G$16*INDEX(Severity_Classes!$D$4:$D$9,MATCH($A31,Severity_Classes!$A$4:$A$9,0))))</f>
        <v>-0.208625873813005</v>
      </c>
      <c r="N31" s="22" t="n">
        <f aca="false">$D$17*$E$17*(1-EXP(-$G$17*INDEX(Severity_Classes!$D$4:$D$9,MATCH($A31,Severity_Classes!$A$4:$A$9,0))))</f>
        <v>0.166900699050404</v>
      </c>
      <c r="O31" s="22" t="n">
        <f aca="false">$D$18*$E$18*(1-EXP(-$G$18*INDEX(Severity_Classes!$D$4:$D$9,MATCH($A31,Severity_Classes!$A$4:$A$9,0))))</f>
        <v>0.166900699050404</v>
      </c>
    </row>
    <row r="32" customFormat="false" ht="15" hidden="false" customHeight="false" outlineLevel="0" collapsed="false">
      <c r="A32" s="7" t="s">
        <v>283</v>
      </c>
      <c r="B32" s="22" t="n">
        <f aca="false">$D$5*$E$5*(1-EXP(-$G$5*INDEX(Severity_Classes!$D$4:$D$9,MATCH($A32,Severity_Classes!$A$4:$A$9,0))))</f>
        <v>0.238063342364294</v>
      </c>
      <c r="C32" s="22" t="n">
        <f aca="false">$D$6*$E$6*(1-EXP(-$G$6*INDEX(Severity_Classes!$D$4:$D$9,MATCH($A32,Severity_Classes!$A$4:$A$9,0))))</f>
        <v>0.816217173820435</v>
      </c>
      <c r="D32" s="22" t="n">
        <f aca="false">$D$7*$E$7*(1-EXP(-$G$7*INDEX(Severity_Classes!$D$4:$D$9,MATCH($A32,Severity_Classes!$A$4:$A$9,0))))</f>
        <v>1.70045244545924</v>
      </c>
      <c r="E32" s="22" t="n">
        <f aca="false">$D$8*$E$8*(1-EXP(-$G$8*INDEX(Severity_Classes!$D$4:$D$9,MATCH($A32,Severity_Classes!$A$4:$A$9,0))))</f>
        <v>0.816217173820435</v>
      </c>
      <c r="F32" s="22" t="n">
        <f aca="false">$D$9*$E$9*(1-EXP(-$G$9*INDEX(Severity_Classes!$D$4:$D$9,MATCH($A32,Severity_Classes!$A$4:$A$9,0))))</f>
        <v>-0.204054293455109</v>
      </c>
      <c r="G32" s="22" t="n">
        <f aca="false">$D$10*$E$10*(1-EXP(-$G$10*INDEX(Severity_Classes!$D$4:$D$9,MATCH($A32,Severity_Classes!$A$4:$A$9,0))))</f>
        <v>0.149639815200413</v>
      </c>
      <c r="H32" s="22" t="n">
        <f aca="false">$D$11*$E$11*(1-EXP(-$G$11*INDEX(Severity_Classes!$D$4:$D$9,MATCH($A32,Severity_Classes!$A$4:$A$9,0))))</f>
        <v>-0.374099538001033</v>
      </c>
      <c r="I32" s="22" t="n">
        <f aca="false">$D$12*$E$12*(1-EXP(-$G$12*INDEX(Severity_Classes!$D$4:$D$9,MATCH($A32,Severity_Classes!$A$4:$A$9,0))))</f>
        <v>-0.136036195636739</v>
      </c>
      <c r="J32" s="22" t="n">
        <f aca="false">$D$13*$E$13*(1-EXP(-$G$13*INDEX(Severity_Classes!$D$4:$D$9,MATCH($A32,Severity_Classes!$A$4:$A$9,0))))</f>
        <v>-0.408108586910218</v>
      </c>
      <c r="K32" s="22" t="n">
        <f aca="false">$D$14*$E$14*(1-EXP(-$G$14*INDEX(Severity_Classes!$D$4:$D$9,MATCH($A32,Severity_Classes!$A$4:$A$9,0))))</f>
        <v>-0.340090489091848</v>
      </c>
      <c r="L32" s="22" t="n">
        <f aca="false">$D$15*$E$15*(1-EXP(-$G$15*INDEX(Severity_Classes!$D$4:$D$9,MATCH($A32,Severity_Classes!$A$4:$A$9,0))))</f>
        <v>-0.408108586910218</v>
      </c>
      <c r="M32" s="22" t="n">
        <f aca="false">$D$16*$E$16*(1-EXP(-$G$16*INDEX(Severity_Classes!$D$4:$D$9,MATCH($A32,Severity_Classes!$A$4:$A$9,0))))</f>
        <v>-0.340090489091848</v>
      </c>
      <c r="N32" s="22" t="n">
        <f aca="false">$D$17*$E$17*(1-EXP(-$G$17*INDEX(Severity_Classes!$D$4:$D$9,MATCH($A32,Severity_Classes!$A$4:$A$9,0))))</f>
        <v>0.272072391273479</v>
      </c>
      <c r="O32" s="22" t="n">
        <f aca="false">$D$18*$E$18*(1-EXP(-$G$18*INDEX(Severity_Classes!$D$4:$D$9,MATCH($A32,Severity_Classes!$A$4:$A$9,0))))</f>
        <v>0.272072391273479</v>
      </c>
    </row>
    <row r="33" customFormat="false" ht="15" hidden="false" customHeight="false" outlineLevel="0" collapsed="false">
      <c r="A33" s="7" t="s">
        <v>285</v>
      </c>
      <c r="B33" s="22" t="n">
        <f aca="false">$D$5*$E$5*(1-EXP(-$G$5*INDEX(Severity_Classes!$D$4:$D$9,MATCH($A33,Severity_Classes!$A$4:$A$9,0))))</f>
        <v>0.30020407494472</v>
      </c>
      <c r="C33" s="22" t="n">
        <f aca="false">$D$6*$E$6*(1-EXP(-$G$6*INDEX(Severity_Classes!$D$4:$D$9,MATCH($A33,Severity_Classes!$A$4:$A$9,0))))</f>
        <v>1.02927111409618</v>
      </c>
      <c r="D33" s="22" t="n">
        <f aca="false">$D$7*$E$7*(1-EXP(-$G$7*INDEX(Severity_Classes!$D$4:$D$9,MATCH($A33,Severity_Classes!$A$4:$A$9,0))))</f>
        <v>2.14431482103372</v>
      </c>
      <c r="E33" s="22" t="n">
        <f aca="false">$D$8*$E$8*(1-EXP(-$G$8*INDEX(Severity_Classes!$D$4:$D$9,MATCH($A33,Severity_Classes!$A$4:$A$9,0))))</f>
        <v>1.02927111409618</v>
      </c>
      <c r="F33" s="22" t="n">
        <f aca="false">$D$9*$E$9*(1-EXP(-$G$9*INDEX(Severity_Classes!$D$4:$D$9,MATCH($A33,Severity_Classes!$A$4:$A$9,0))))</f>
        <v>-0.257317778524046</v>
      </c>
      <c r="G33" s="22" t="n">
        <f aca="false">$D$10*$E$10*(1-EXP(-$G$10*INDEX(Severity_Classes!$D$4:$D$9,MATCH($A33,Severity_Classes!$A$4:$A$9,0))))</f>
        <v>0.188699704250967</v>
      </c>
      <c r="H33" s="22" t="n">
        <f aca="false">$D$11*$E$11*(1-EXP(-$G$11*INDEX(Severity_Classes!$D$4:$D$9,MATCH($A33,Severity_Classes!$A$4:$A$9,0))))</f>
        <v>-0.471749260627418</v>
      </c>
      <c r="I33" s="22" t="n">
        <f aca="false">$D$12*$E$12*(1-EXP(-$G$12*INDEX(Severity_Classes!$D$4:$D$9,MATCH($A33,Severity_Classes!$A$4:$A$9,0))))</f>
        <v>-0.171545185682697</v>
      </c>
      <c r="J33" s="22" t="n">
        <f aca="false">$D$13*$E$13*(1-EXP(-$G$13*INDEX(Severity_Classes!$D$4:$D$9,MATCH($A33,Severity_Classes!$A$4:$A$9,0))))</f>
        <v>-0.514635557048092</v>
      </c>
      <c r="K33" s="22" t="n">
        <f aca="false">$D$14*$E$14*(1-EXP(-$G$14*INDEX(Severity_Classes!$D$4:$D$9,MATCH($A33,Severity_Classes!$A$4:$A$9,0))))</f>
        <v>-0.428862964206743</v>
      </c>
      <c r="L33" s="22" t="n">
        <f aca="false">$D$15*$E$15*(1-EXP(-$G$15*INDEX(Severity_Classes!$D$4:$D$9,MATCH($A33,Severity_Classes!$A$4:$A$9,0))))</f>
        <v>-0.514635557048092</v>
      </c>
      <c r="M33" s="22" t="n">
        <f aca="false">$D$16*$E$16*(1-EXP(-$G$16*INDEX(Severity_Classes!$D$4:$D$9,MATCH($A33,Severity_Classes!$A$4:$A$9,0))))</f>
        <v>-0.428862964206743</v>
      </c>
      <c r="N33" s="22" t="n">
        <f aca="false">$D$17*$E$17*(1-EXP(-$G$17*INDEX(Severity_Classes!$D$4:$D$9,MATCH($A33,Severity_Classes!$A$4:$A$9,0))))</f>
        <v>0.343090371365395</v>
      </c>
      <c r="O33" s="22" t="n">
        <f aca="false">$D$18*$E$18*(1-EXP(-$G$18*INDEX(Severity_Classes!$D$4:$D$9,MATCH($A33,Severity_Classes!$A$4:$A$9,0))))</f>
        <v>0.343090371365395</v>
      </c>
    </row>
    <row r="36" customFormat="false" ht="15" hidden="false" customHeight="false" outlineLevel="0" collapsed="false">
      <c r="A36" s="7" t="s">
        <v>581</v>
      </c>
    </row>
    <row r="37" customFormat="false" ht="35.05" hidden="false" customHeight="false" outlineLevel="0" collapsed="false">
      <c r="A37" s="6" t="s">
        <v>356</v>
      </c>
      <c r="B37" s="6" t="s">
        <v>537</v>
      </c>
      <c r="C37" s="6" t="s">
        <v>541</v>
      </c>
      <c r="D37" s="6" t="s">
        <v>544</v>
      </c>
      <c r="E37" s="6" t="s">
        <v>547</v>
      </c>
      <c r="F37" s="6" t="s">
        <v>550</v>
      </c>
      <c r="G37" s="6" t="s">
        <v>553</v>
      </c>
      <c r="H37" s="6" t="s">
        <v>556</v>
      </c>
      <c r="I37" s="6" t="s">
        <v>559</v>
      </c>
      <c r="J37" s="6" t="s">
        <v>562</v>
      </c>
      <c r="K37" s="6" t="s">
        <v>566</v>
      </c>
      <c r="L37" s="6" t="s">
        <v>569</v>
      </c>
      <c r="M37" s="6" t="s">
        <v>571</v>
      </c>
      <c r="N37" s="6" t="s">
        <v>573</v>
      </c>
      <c r="O37" s="6" t="s">
        <v>576</v>
      </c>
    </row>
    <row r="38" customFormat="false" ht="15" hidden="false" customHeight="false" outlineLevel="0" collapsed="false">
      <c r="A38" s="7" t="s">
        <v>275</v>
      </c>
      <c r="B38" s="19" t="n">
        <f aca="false">$D$5*$F$5*(1-EXP(-$G$5*INDEX(Severity_Classes!$D$4:$D$9,MATCH($A38,Severity_Classes!$A$4:$A$9,0))))*$B$21</f>
        <v>0</v>
      </c>
      <c r="C38" s="19" t="n">
        <f aca="false">$D$6*$F$6*(1-EXP(-$G$6*INDEX(Severity_Classes!$D$4:$D$9,MATCH($A38,Severity_Classes!$A$4:$A$9,0))))*$B$21</f>
        <v>0</v>
      </c>
      <c r="D38" s="19" t="n">
        <f aca="false">$D$7*$F$7*(1-EXP(-$G$7*INDEX(Severity_Classes!$D$4:$D$9,MATCH($A38,Severity_Classes!$A$4:$A$9,0))))*$B$21</f>
        <v>0</v>
      </c>
      <c r="E38" s="19" t="n">
        <f aca="false">$D$8*$F$8*(1-EXP(-$G$8*INDEX(Severity_Classes!$D$4:$D$9,MATCH($A38,Severity_Classes!$A$4:$A$9,0))))*$B$21</f>
        <v>0</v>
      </c>
      <c r="F38" s="19" t="n">
        <f aca="false">$D$9*$F$9*(1-EXP(-$G$9*INDEX(Severity_Classes!$D$4:$D$9,MATCH($A38,Severity_Classes!$A$4:$A$9,0))))*$B$21</f>
        <v>-0</v>
      </c>
      <c r="G38" s="19" t="n">
        <f aca="false">$D$10*$F$10*(1-EXP(-$G$10*INDEX(Severity_Classes!$D$4:$D$9,MATCH($A38,Severity_Classes!$A$4:$A$9,0))))*$B$21</f>
        <v>0</v>
      </c>
      <c r="H38" s="19" t="n">
        <f aca="false">$D$11*$F$11*(1-EXP(-$G$11*INDEX(Severity_Classes!$D$4:$D$9,MATCH($A38,Severity_Classes!$A$4:$A$9,0))))*$B$21</f>
        <v>-0</v>
      </c>
      <c r="I38" s="19" t="n">
        <f aca="false">$D$12*$F$12*(1-EXP(-$G$12*INDEX(Severity_Classes!$D$4:$D$9,MATCH($A38,Severity_Classes!$A$4:$A$9,0))))*$B$21</f>
        <v>-0</v>
      </c>
      <c r="J38" s="19" t="n">
        <f aca="false">$D$13*$F$13*(1-EXP(-$G$13*INDEX(Severity_Classes!$D$4:$D$9,MATCH($A38,Severity_Classes!$A$4:$A$9,0))))*$B$21</f>
        <v>-0</v>
      </c>
      <c r="K38" s="19" t="n">
        <f aca="false">$D$14*$F$14*(1-EXP(-$G$14*INDEX(Severity_Classes!$D$4:$D$9,MATCH($A38,Severity_Classes!$A$4:$A$9,0))))*$B$21</f>
        <v>-0</v>
      </c>
      <c r="L38" s="19" t="n">
        <f aca="false">$D$15*$F$15*(1-EXP(-$G$15*INDEX(Severity_Classes!$D$4:$D$9,MATCH($A38,Severity_Classes!$A$4:$A$9,0))))*$B$21</f>
        <v>-0</v>
      </c>
      <c r="M38" s="19" t="n">
        <f aca="false">$D$16*$F$16*(1-EXP(-$G$16*INDEX(Severity_Classes!$D$4:$D$9,MATCH($A38,Severity_Classes!$A$4:$A$9,0))))*$B$21</f>
        <v>-0</v>
      </c>
      <c r="N38" s="19" t="n">
        <f aca="false">$D$17*$F$17*(1-EXP(-$G$17*INDEX(Severity_Classes!$D$4:$D$9,MATCH($A38,Severity_Classes!$A$4:$A$9,0))))*$B$21</f>
        <v>0</v>
      </c>
      <c r="O38" s="19" t="n">
        <f aca="false">$D$18*$F$18*(1-EXP(-$G$18*INDEX(Severity_Classes!$D$4:$D$9,MATCH($A38,Severity_Classes!$A$4:$A$9,0))))*$B$21</f>
        <v>0</v>
      </c>
    </row>
    <row r="39" customFormat="false" ht="15" hidden="false" customHeight="false" outlineLevel="0" collapsed="false">
      <c r="A39" s="7" t="s">
        <v>277</v>
      </c>
      <c r="B39" s="22" t="n">
        <f aca="false">$D$5*$F$5*(1-EXP(-$G$5*INDEX(Severity_Classes!$D$4:$D$9,MATCH($A39,Severity_Classes!$A$4:$A$9,0))))*$B$21</f>
        <v>0.00688550517830175</v>
      </c>
      <c r="C39" s="22" t="n">
        <f aca="false">$D$6*$F$6*(1-EXP(-$G$6*INDEX(Severity_Classes!$D$4:$D$9,MATCH($A39,Severity_Classes!$A$4:$A$9,0))))*$B$21</f>
        <v>0.021517203682193</v>
      </c>
      <c r="D39" s="22" t="n">
        <f aca="false">$D$7*$F$7*(1-EXP(-$G$7*INDEX(Severity_Classes!$D$4:$D$9,MATCH($A39,Severity_Classes!$A$4:$A$9,0))))*$B$21</f>
        <v>0.0258206444186315</v>
      </c>
      <c r="E39" s="22" t="n">
        <f aca="false">$D$8*$F$8*(1-EXP(-$G$8*INDEX(Severity_Classes!$D$4:$D$9,MATCH($A39,Severity_Classes!$A$4:$A$9,0))))*$B$21</f>
        <v>0.0154923866511789</v>
      </c>
      <c r="F39" s="22" t="n">
        <f aca="false">$D$9*$F$9*(1-EXP(-$G$9*INDEX(Severity_Classes!$D$4:$D$9,MATCH($A39,Severity_Classes!$A$4:$A$9,0))))*$B$21</f>
        <v>-0.00688550517830175</v>
      </c>
      <c r="G39" s="22" t="n">
        <f aca="false">$D$10*$F$10*(1-EXP(-$G$10*INDEX(Severity_Classes!$D$4:$D$9,MATCH($A39,Severity_Classes!$A$4:$A$9,0))))*$B$21</f>
        <v>0.00516412888372631</v>
      </c>
      <c r="H39" s="22" t="n">
        <f aca="false">$D$11*$F$11*(1-EXP(-$G$11*INDEX(Severity_Classes!$D$4:$D$9,MATCH($A39,Severity_Classes!$A$4:$A$9,0))))*$B$21</f>
        <v>-0.0129103222093158</v>
      </c>
      <c r="I39" s="22" t="n">
        <f aca="false">$D$12*$F$12*(1-EXP(-$G$12*INDEX(Severity_Classes!$D$4:$D$9,MATCH($A39,Severity_Classes!$A$4:$A$9,0))))*$B$21</f>
        <v>-0.00430344073643859</v>
      </c>
      <c r="J39" s="22" t="n">
        <f aca="false">$D$13*$F$13*(1-EXP(-$G$13*INDEX(Severity_Classes!$D$4:$D$9,MATCH($A39,Severity_Classes!$A$4:$A$9,0))))*$B$21</f>
        <v>-0.0387309666279473</v>
      </c>
      <c r="K39" s="22" t="n">
        <f aca="false">$D$14*$F$14*(1-EXP(-$G$14*INDEX(Severity_Classes!$D$4:$D$9,MATCH($A39,Severity_Classes!$A$4:$A$9,0))))*$B$21</f>
        <v>-0.0344275258915087</v>
      </c>
      <c r="L39" s="22" t="n">
        <f aca="false">$D$15*$F$15*(1-EXP(-$G$15*INDEX(Severity_Classes!$D$4:$D$9,MATCH($A39,Severity_Classes!$A$4:$A$9,0))))*$B$21</f>
        <v>-0.0430344073643859</v>
      </c>
      <c r="M39" s="22" t="n">
        <f aca="false">$D$16*$F$16*(1-EXP(-$G$16*INDEX(Severity_Classes!$D$4:$D$9,MATCH($A39,Severity_Classes!$A$4:$A$9,0))))*$B$21</f>
        <v>-0.0344275258915087</v>
      </c>
      <c r="N39" s="22" t="n">
        <f aca="false">$D$17*$F$17*(1-EXP(-$G$17*INDEX(Severity_Classes!$D$4:$D$9,MATCH($A39,Severity_Classes!$A$4:$A$9,0))))*$B$21</f>
        <v>0.021517203682193</v>
      </c>
      <c r="O39" s="22" t="n">
        <f aca="false">$D$18*$F$18*(1-EXP(-$G$18*INDEX(Severity_Classes!$D$4:$D$9,MATCH($A39,Severity_Classes!$A$4:$A$9,0))))*$B$21</f>
        <v>0.00430344073643859</v>
      </c>
    </row>
    <row r="40" customFormat="false" ht="15" hidden="false" customHeight="false" outlineLevel="0" collapsed="false">
      <c r="A40" s="7" t="s">
        <v>279</v>
      </c>
      <c r="B40" s="22" t="n">
        <f aca="false">$D$5*$F$5*(1-EXP(-$G$5*INDEX(Severity_Classes!$D$4:$D$9,MATCH($A40,Severity_Classes!$A$4:$A$9,0))))*$B$21</f>
        <v>0.0170697711146757</v>
      </c>
      <c r="C40" s="22" t="n">
        <f aca="false">$D$6*$F$6*(1-EXP(-$G$6*INDEX(Severity_Classes!$D$4:$D$9,MATCH($A40,Severity_Classes!$A$4:$A$9,0))))*$B$21</f>
        <v>0.0533430347333616</v>
      </c>
      <c r="D40" s="22" t="n">
        <f aca="false">$D$7*$F$7*(1-EXP(-$G$7*INDEX(Severity_Classes!$D$4:$D$9,MATCH($A40,Severity_Classes!$A$4:$A$9,0))))*$B$21</f>
        <v>0.064011641680034</v>
      </c>
      <c r="E40" s="22" t="n">
        <f aca="false">$D$8*$F$8*(1-EXP(-$G$8*INDEX(Severity_Classes!$D$4:$D$9,MATCH($A40,Severity_Classes!$A$4:$A$9,0))))*$B$21</f>
        <v>0.0384069850080204</v>
      </c>
      <c r="F40" s="22" t="n">
        <f aca="false">$D$9*$F$9*(1-EXP(-$G$9*INDEX(Severity_Classes!$D$4:$D$9,MATCH($A40,Severity_Classes!$A$4:$A$9,0))))*$B$21</f>
        <v>-0.0170697711146757</v>
      </c>
      <c r="G40" s="22" t="n">
        <f aca="false">$D$10*$F$10*(1-EXP(-$G$10*INDEX(Severity_Classes!$D$4:$D$9,MATCH($A40,Severity_Classes!$A$4:$A$9,0))))*$B$21</f>
        <v>0.0128023283360068</v>
      </c>
      <c r="H40" s="22" t="n">
        <f aca="false">$D$11*$F$11*(1-EXP(-$G$11*INDEX(Severity_Classes!$D$4:$D$9,MATCH($A40,Severity_Classes!$A$4:$A$9,0))))*$B$21</f>
        <v>-0.032005820840017</v>
      </c>
      <c r="I40" s="22" t="n">
        <f aca="false">$D$12*$F$12*(1-EXP(-$G$12*INDEX(Severity_Classes!$D$4:$D$9,MATCH($A40,Severity_Classes!$A$4:$A$9,0))))*$B$21</f>
        <v>-0.0106686069466723</v>
      </c>
      <c r="J40" s="22" t="n">
        <f aca="false">$D$13*$F$13*(1-EXP(-$G$13*INDEX(Severity_Classes!$D$4:$D$9,MATCH($A40,Severity_Classes!$A$4:$A$9,0))))*$B$21</f>
        <v>-0.0960174625200509</v>
      </c>
      <c r="K40" s="22" t="n">
        <f aca="false">$D$14*$F$14*(1-EXP(-$G$14*INDEX(Severity_Classes!$D$4:$D$9,MATCH($A40,Severity_Classes!$A$4:$A$9,0))))*$B$21</f>
        <v>-0.0853488555733786</v>
      </c>
      <c r="L40" s="22" t="n">
        <f aca="false">$D$15*$F$15*(1-EXP(-$G$15*INDEX(Severity_Classes!$D$4:$D$9,MATCH($A40,Severity_Classes!$A$4:$A$9,0))))*$B$21</f>
        <v>-0.106686069466723</v>
      </c>
      <c r="M40" s="22" t="n">
        <f aca="false">$D$16*$F$16*(1-EXP(-$G$16*INDEX(Severity_Classes!$D$4:$D$9,MATCH($A40,Severity_Classes!$A$4:$A$9,0))))*$B$21</f>
        <v>-0.0853488555733786</v>
      </c>
      <c r="N40" s="22" t="n">
        <f aca="false">$D$17*$F$17*(1-EXP(-$G$17*INDEX(Severity_Classes!$D$4:$D$9,MATCH($A40,Severity_Classes!$A$4:$A$9,0))))*$B$21</f>
        <v>0.0533430347333616</v>
      </c>
      <c r="O40" s="22" t="n">
        <f aca="false">$D$18*$F$18*(1-EXP(-$G$18*INDEX(Severity_Classes!$D$4:$D$9,MATCH($A40,Severity_Classes!$A$4:$A$9,0))))*$B$21</f>
        <v>0.0106686069466723</v>
      </c>
    </row>
    <row r="41" customFormat="false" ht="15" hidden="false" customHeight="false" outlineLevel="0" collapsed="false">
      <c r="A41" s="7" t="s">
        <v>281</v>
      </c>
      <c r="B41" s="22" t="n">
        <f aca="false">$D$5*$F$5*(1-EXP(-$G$5*INDEX(Severity_Classes!$D$4:$D$9,MATCH($A41,Severity_Classes!$A$4:$A$9,0))))*$B$21</f>
        <v>0.0333801398100808</v>
      </c>
      <c r="C41" s="22" t="n">
        <f aca="false">$D$6*$F$6*(1-EXP(-$G$6*INDEX(Severity_Classes!$D$4:$D$9,MATCH($A41,Severity_Classes!$A$4:$A$9,0))))*$B$21</f>
        <v>0.104312936906503</v>
      </c>
      <c r="D41" s="22" t="n">
        <f aca="false">$D$7*$F$7*(1-EXP(-$G$7*INDEX(Severity_Classes!$D$4:$D$9,MATCH($A41,Severity_Classes!$A$4:$A$9,0))))*$B$21</f>
        <v>0.125175524287803</v>
      </c>
      <c r="E41" s="22" t="n">
        <f aca="false">$D$8*$F$8*(1-EXP(-$G$8*INDEX(Severity_Classes!$D$4:$D$9,MATCH($A41,Severity_Classes!$A$4:$A$9,0))))*$B$21</f>
        <v>0.0751053145726819</v>
      </c>
      <c r="F41" s="22" t="n">
        <f aca="false">$D$9*$F$9*(1-EXP(-$G$9*INDEX(Severity_Classes!$D$4:$D$9,MATCH($A41,Severity_Classes!$A$4:$A$9,0))))*$B$21</f>
        <v>-0.0333801398100808</v>
      </c>
      <c r="G41" s="22" t="n">
        <f aca="false">$D$10*$F$10*(1-EXP(-$G$10*INDEX(Severity_Classes!$D$4:$D$9,MATCH($A41,Severity_Classes!$A$4:$A$9,0))))*$B$21</f>
        <v>0.0250351048575606</v>
      </c>
      <c r="H41" s="22" t="n">
        <f aca="false">$D$11*$F$11*(1-EXP(-$G$11*INDEX(Severity_Classes!$D$4:$D$9,MATCH($A41,Severity_Classes!$A$4:$A$9,0))))*$B$21</f>
        <v>-0.0625877621439016</v>
      </c>
      <c r="I41" s="22" t="n">
        <f aca="false">$D$12*$F$12*(1-EXP(-$G$12*INDEX(Severity_Classes!$D$4:$D$9,MATCH($A41,Severity_Classes!$A$4:$A$9,0))))*$B$21</f>
        <v>-0.0208625873813005</v>
      </c>
      <c r="J41" s="22" t="n">
        <f aca="false">$D$13*$F$13*(1-EXP(-$G$13*INDEX(Severity_Classes!$D$4:$D$9,MATCH($A41,Severity_Classes!$A$4:$A$9,0))))*$B$21</f>
        <v>-0.187763286431705</v>
      </c>
      <c r="K41" s="22" t="n">
        <f aca="false">$D$14*$F$14*(1-EXP(-$G$14*INDEX(Severity_Classes!$D$4:$D$9,MATCH($A41,Severity_Classes!$A$4:$A$9,0))))*$B$21</f>
        <v>-0.166900699050404</v>
      </c>
      <c r="L41" s="22" t="n">
        <f aca="false">$D$15*$F$15*(1-EXP(-$G$15*INDEX(Severity_Classes!$D$4:$D$9,MATCH($A41,Severity_Classes!$A$4:$A$9,0))))*$B$21</f>
        <v>-0.208625873813005</v>
      </c>
      <c r="M41" s="22" t="n">
        <f aca="false">$D$16*$F$16*(1-EXP(-$G$16*INDEX(Severity_Classes!$D$4:$D$9,MATCH($A41,Severity_Classes!$A$4:$A$9,0))))*$B$21</f>
        <v>-0.166900699050404</v>
      </c>
      <c r="N41" s="22" t="n">
        <f aca="false">$D$17*$F$17*(1-EXP(-$G$17*INDEX(Severity_Classes!$D$4:$D$9,MATCH($A41,Severity_Classes!$A$4:$A$9,0))))*$B$21</f>
        <v>0.104312936906503</v>
      </c>
      <c r="O41" s="22" t="n">
        <f aca="false">$D$18*$F$18*(1-EXP(-$G$18*INDEX(Severity_Classes!$D$4:$D$9,MATCH($A41,Severity_Classes!$A$4:$A$9,0))))*$B$21</f>
        <v>0.0208625873813005</v>
      </c>
    </row>
    <row r="42" customFormat="false" ht="15" hidden="false" customHeight="false" outlineLevel="0" collapsed="false">
      <c r="A42" s="7" t="s">
        <v>283</v>
      </c>
      <c r="B42" s="22" t="n">
        <f aca="false">$D$5*$F$5*(1-EXP(-$G$5*INDEX(Severity_Classes!$D$4:$D$9,MATCH($A42,Severity_Classes!$A$4:$A$9,0))))*$B$21</f>
        <v>0.0544144782546957</v>
      </c>
      <c r="C42" s="22" t="n">
        <f aca="false">$D$6*$F$6*(1-EXP(-$G$6*INDEX(Severity_Classes!$D$4:$D$9,MATCH($A42,Severity_Classes!$A$4:$A$9,0))))*$B$21</f>
        <v>0.170045244545924</v>
      </c>
      <c r="D42" s="22" t="n">
        <f aca="false">$D$7*$F$7*(1-EXP(-$G$7*INDEX(Severity_Classes!$D$4:$D$9,MATCH($A42,Severity_Classes!$A$4:$A$9,0))))*$B$21</f>
        <v>0.204054293455109</v>
      </c>
      <c r="E42" s="22" t="n">
        <f aca="false">$D$8*$F$8*(1-EXP(-$G$8*INDEX(Severity_Classes!$D$4:$D$9,MATCH($A42,Severity_Classes!$A$4:$A$9,0))))*$B$21</f>
        <v>0.122432576073065</v>
      </c>
      <c r="F42" s="22" t="n">
        <f aca="false">$D$9*$F$9*(1-EXP(-$G$9*INDEX(Severity_Classes!$D$4:$D$9,MATCH($A42,Severity_Classes!$A$4:$A$9,0))))*$B$21</f>
        <v>-0.0544144782546957</v>
      </c>
      <c r="G42" s="22" t="n">
        <f aca="false">$D$10*$F$10*(1-EXP(-$G$10*INDEX(Severity_Classes!$D$4:$D$9,MATCH($A42,Severity_Classes!$A$4:$A$9,0))))*$B$21</f>
        <v>0.0408108586910218</v>
      </c>
      <c r="H42" s="22" t="n">
        <f aca="false">$D$11*$F$11*(1-EXP(-$G$11*INDEX(Severity_Classes!$D$4:$D$9,MATCH($A42,Severity_Classes!$A$4:$A$9,0))))*$B$21</f>
        <v>-0.102027146727554</v>
      </c>
      <c r="I42" s="22" t="n">
        <f aca="false">$D$12*$F$12*(1-EXP(-$G$12*INDEX(Severity_Classes!$D$4:$D$9,MATCH($A42,Severity_Classes!$A$4:$A$9,0))))*$B$21</f>
        <v>-0.0340090489091848</v>
      </c>
      <c r="J42" s="22" t="n">
        <f aca="false">$D$13*$F$13*(1-EXP(-$G$13*INDEX(Severity_Classes!$D$4:$D$9,MATCH($A42,Severity_Classes!$A$4:$A$9,0))))*$B$21</f>
        <v>-0.306081440182663</v>
      </c>
      <c r="K42" s="22" t="n">
        <f aca="false">$D$14*$F$14*(1-EXP(-$G$14*INDEX(Severity_Classes!$D$4:$D$9,MATCH($A42,Severity_Classes!$A$4:$A$9,0))))*$B$21</f>
        <v>-0.272072391273479</v>
      </c>
      <c r="L42" s="22" t="n">
        <f aca="false">$D$15*$F$15*(1-EXP(-$G$15*INDEX(Severity_Classes!$D$4:$D$9,MATCH($A42,Severity_Classes!$A$4:$A$9,0))))*$B$21</f>
        <v>-0.340090489091848</v>
      </c>
      <c r="M42" s="22" t="n">
        <f aca="false">$D$16*$F$16*(1-EXP(-$G$16*INDEX(Severity_Classes!$D$4:$D$9,MATCH($A42,Severity_Classes!$A$4:$A$9,0))))*$B$21</f>
        <v>-0.272072391273479</v>
      </c>
      <c r="N42" s="22" t="n">
        <f aca="false">$D$17*$F$17*(1-EXP(-$G$17*INDEX(Severity_Classes!$D$4:$D$9,MATCH($A42,Severity_Classes!$A$4:$A$9,0))))*$B$21</f>
        <v>0.170045244545924</v>
      </c>
      <c r="O42" s="22" t="n">
        <f aca="false">$D$18*$F$18*(1-EXP(-$G$18*INDEX(Severity_Classes!$D$4:$D$9,MATCH($A42,Severity_Classes!$A$4:$A$9,0))))*$B$21</f>
        <v>0.0340090489091848</v>
      </c>
    </row>
    <row r="43" customFormat="false" ht="15" hidden="false" customHeight="false" outlineLevel="0" collapsed="false">
      <c r="A43" s="7" t="s">
        <v>285</v>
      </c>
      <c r="B43" s="22" t="n">
        <f aca="false">$D$5*$F$5*(1-EXP(-$G$5*INDEX(Severity_Classes!$D$4:$D$9,MATCH($A43,Severity_Classes!$A$4:$A$9,0))))*$B$21</f>
        <v>0.0686180742730789</v>
      </c>
      <c r="C43" s="22" t="n">
        <f aca="false">$D$6*$F$6*(1-EXP(-$G$6*INDEX(Severity_Classes!$D$4:$D$9,MATCH($A43,Severity_Classes!$A$4:$A$9,0))))*$B$21</f>
        <v>0.214431482103372</v>
      </c>
      <c r="D43" s="22" t="n">
        <f aca="false">$D$7*$F$7*(1-EXP(-$G$7*INDEX(Severity_Classes!$D$4:$D$9,MATCH($A43,Severity_Classes!$A$4:$A$9,0))))*$B$21</f>
        <v>0.257317778524046</v>
      </c>
      <c r="E43" s="22" t="n">
        <f aca="false">$D$8*$F$8*(1-EXP(-$G$8*INDEX(Severity_Classes!$D$4:$D$9,MATCH($A43,Severity_Classes!$A$4:$A$9,0))))*$B$21</f>
        <v>0.154390667114428</v>
      </c>
      <c r="F43" s="22" t="n">
        <f aca="false">$D$9*$F$9*(1-EXP(-$G$9*INDEX(Severity_Classes!$D$4:$D$9,MATCH($A43,Severity_Classes!$A$4:$A$9,0))))*$B$21</f>
        <v>-0.0686180742730789</v>
      </c>
      <c r="G43" s="22" t="n">
        <f aca="false">$D$10*$F$10*(1-EXP(-$G$10*INDEX(Severity_Classes!$D$4:$D$9,MATCH($A43,Severity_Classes!$A$4:$A$9,0))))*$B$21</f>
        <v>0.0514635557048092</v>
      </c>
      <c r="H43" s="22" t="n">
        <f aca="false">$D$11*$F$11*(1-EXP(-$G$11*INDEX(Severity_Classes!$D$4:$D$9,MATCH($A43,Severity_Classes!$A$4:$A$9,0))))*$B$21</f>
        <v>-0.128658889262023</v>
      </c>
      <c r="I43" s="22" t="n">
        <f aca="false">$D$12*$F$12*(1-EXP(-$G$12*INDEX(Severity_Classes!$D$4:$D$9,MATCH($A43,Severity_Classes!$A$4:$A$9,0))))*$B$21</f>
        <v>-0.0428862964206743</v>
      </c>
      <c r="J43" s="22" t="n">
        <f aca="false">$D$13*$F$13*(1-EXP(-$G$13*INDEX(Severity_Classes!$D$4:$D$9,MATCH($A43,Severity_Classes!$A$4:$A$9,0))))*$B$21</f>
        <v>-0.385976667786069</v>
      </c>
      <c r="K43" s="22" t="n">
        <f aca="false">$D$14*$F$14*(1-EXP(-$G$14*INDEX(Severity_Classes!$D$4:$D$9,MATCH($A43,Severity_Classes!$A$4:$A$9,0))))*$B$21</f>
        <v>-0.343090371365395</v>
      </c>
      <c r="L43" s="22" t="n">
        <f aca="false">$D$15*$F$15*(1-EXP(-$G$15*INDEX(Severity_Classes!$D$4:$D$9,MATCH($A43,Severity_Classes!$A$4:$A$9,0))))*$B$21</f>
        <v>-0.428862964206743</v>
      </c>
      <c r="M43" s="22" t="n">
        <f aca="false">$D$16*$F$16*(1-EXP(-$G$16*INDEX(Severity_Classes!$D$4:$D$9,MATCH($A43,Severity_Classes!$A$4:$A$9,0))))*$B$21</f>
        <v>-0.343090371365395</v>
      </c>
      <c r="N43" s="22" t="n">
        <f aca="false">$D$17*$F$17*(1-EXP(-$G$17*INDEX(Severity_Classes!$D$4:$D$9,MATCH($A43,Severity_Classes!$A$4:$A$9,0))))*$B$21</f>
        <v>0.214431482103372</v>
      </c>
      <c r="O43" s="22" t="n">
        <f aca="false">$D$18*$F$18*(1-EXP(-$G$18*INDEX(Severity_Classes!$D$4:$D$9,MATCH($A43,Severity_Classes!$A$4:$A$9,0))))*$B$21</f>
        <v>0.0428862964206743</v>
      </c>
    </row>
    <row r="46" customFormat="false" ht="15" hidden="false" customHeight="false" outlineLevel="0" collapsed="false">
      <c r="A46" s="7" t="s">
        <v>582</v>
      </c>
    </row>
    <row r="47" customFormat="false" ht="35.05" hidden="false" customHeight="false" outlineLevel="0" collapsed="false">
      <c r="A47" s="6" t="s">
        <v>356</v>
      </c>
      <c r="B47" s="6" t="s">
        <v>537</v>
      </c>
      <c r="C47" s="6" t="s">
        <v>541</v>
      </c>
      <c r="D47" s="6" t="s">
        <v>544</v>
      </c>
      <c r="E47" s="6" t="s">
        <v>547</v>
      </c>
      <c r="F47" s="6" t="s">
        <v>550</v>
      </c>
      <c r="G47" s="6" t="s">
        <v>553</v>
      </c>
      <c r="H47" s="6" t="s">
        <v>556</v>
      </c>
      <c r="I47" s="6" t="s">
        <v>559</v>
      </c>
      <c r="J47" s="6" t="s">
        <v>562</v>
      </c>
      <c r="K47" s="6" t="s">
        <v>566</v>
      </c>
      <c r="L47" s="6" t="s">
        <v>569</v>
      </c>
      <c r="M47" s="6" t="s">
        <v>571</v>
      </c>
      <c r="N47" s="6" t="s">
        <v>573</v>
      </c>
      <c r="O47" s="6" t="s">
        <v>576</v>
      </c>
    </row>
    <row r="48" customFormat="false" ht="15" hidden="false" customHeight="false" outlineLevel="0" collapsed="false">
      <c r="A48" s="7" t="s">
        <v>275</v>
      </c>
      <c r="B48" s="19" t="n">
        <f aca="false">$D$5*$F$5*(1-EXP(-$G$5*INDEX(Severity_Classes!$D$4:$D$9,MATCH($A48,Severity_Classes!$A$4:$A$9,0))))*$B$22</f>
        <v>0</v>
      </c>
      <c r="C48" s="19" t="n">
        <f aca="false">$D$6*$F$6*(1-EXP(-$G$6*INDEX(Severity_Classes!$D$4:$D$9,MATCH($A48,Severity_Classes!$A$4:$A$9,0))))*$B$22</f>
        <v>0</v>
      </c>
      <c r="D48" s="19" t="n">
        <f aca="false">$D$7*$F$7*(1-EXP(-$G$7*INDEX(Severity_Classes!$D$4:$D$9,MATCH($A48,Severity_Classes!$A$4:$A$9,0))))*$B$22</f>
        <v>0</v>
      </c>
      <c r="E48" s="19" t="n">
        <f aca="false">$D$8*$F$8*(1-EXP(-$G$8*INDEX(Severity_Classes!$D$4:$D$9,MATCH($A48,Severity_Classes!$A$4:$A$9,0))))*$B$22</f>
        <v>0</v>
      </c>
      <c r="F48" s="19" t="n">
        <f aca="false">$D$9*$F$9*(1-EXP(-$G$9*INDEX(Severity_Classes!$D$4:$D$9,MATCH($A48,Severity_Classes!$A$4:$A$9,0))))*$B$22</f>
        <v>-0</v>
      </c>
      <c r="G48" s="19" t="n">
        <f aca="false">$D$10*$F$10*(1-EXP(-$G$10*INDEX(Severity_Classes!$D$4:$D$9,MATCH($A48,Severity_Classes!$A$4:$A$9,0))))*$B$22</f>
        <v>0</v>
      </c>
      <c r="H48" s="19" t="n">
        <f aca="false">$D$11*$F$11*(1-EXP(-$G$11*INDEX(Severity_Classes!$D$4:$D$9,MATCH($A48,Severity_Classes!$A$4:$A$9,0))))*$B$22</f>
        <v>-0</v>
      </c>
      <c r="I48" s="19" t="n">
        <f aca="false">$D$12*$F$12*(1-EXP(-$G$12*INDEX(Severity_Classes!$D$4:$D$9,MATCH($A48,Severity_Classes!$A$4:$A$9,0))))*$B$22</f>
        <v>-0</v>
      </c>
      <c r="J48" s="19" t="n">
        <f aca="false">$D$13*$F$13*(1-EXP(-$G$13*INDEX(Severity_Classes!$D$4:$D$9,MATCH($A48,Severity_Classes!$A$4:$A$9,0))))*$B$22</f>
        <v>-0</v>
      </c>
      <c r="K48" s="19" t="n">
        <f aca="false">$D$14*$F$14*(1-EXP(-$G$14*INDEX(Severity_Classes!$D$4:$D$9,MATCH($A48,Severity_Classes!$A$4:$A$9,0))))*$B$22</f>
        <v>-0</v>
      </c>
      <c r="L48" s="19" t="n">
        <f aca="false">$D$15*$F$15*(1-EXP(-$G$15*INDEX(Severity_Classes!$D$4:$D$9,MATCH($A48,Severity_Classes!$A$4:$A$9,0))))*$B$22</f>
        <v>-0</v>
      </c>
      <c r="M48" s="19" t="n">
        <f aca="false">$D$16*$F$16*(1-EXP(-$G$16*INDEX(Severity_Classes!$D$4:$D$9,MATCH($A48,Severity_Classes!$A$4:$A$9,0))))*$B$22</f>
        <v>-0</v>
      </c>
      <c r="N48" s="19" t="n">
        <f aca="false">$D$17*$F$17*(1-EXP(-$G$17*INDEX(Severity_Classes!$D$4:$D$9,MATCH($A48,Severity_Classes!$A$4:$A$9,0))))*$B$22</f>
        <v>0</v>
      </c>
      <c r="O48" s="19" t="n">
        <f aca="false">$D$18*$F$18*(1-EXP(-$G$18*INDEX(Severity_Classes!$D$4:$D$9,MATCH($A48,Severity_Classes!$A$4:$A$9,0))))*$B$22</f>
        <v>0</v>
      </c>
    </row>
    <row r="49" customFormat="false" ht="15" hidden="false" customHeight="false" outlineLevel="0" collapsed="false">
      <c r="A49" s="7" t="s">
        <v>277</v>
      </c>
      <c r="B49" s="22" t="n">
        <f aca="false">$D$5*$F$5*(1-EXP(-$G$5*INDEX(Severity_Classes!$D$4:$D$9,MATCH($A49,Severity_Classes!$A$4:$A$9,0))))*$B$22</f>
        <v>0.00413130310698105</v>
      </c>
      <c r="C49" s="22" t="n">
        <f aca="false">$D$6*$F$6*(1-EXP(-$G$6*INDEX(Severity_Classes!$D$4:$D$9,MATCH($A49,Severity_Classes!$A$4:$A$9,0))))*$B$22</f>
        <v>0.0129103222093158</v>
      </c>
      <c r="D49" s="22" t="n">
        <f aca="false">$D$7*$F$7*(1-EXP(-$G$7*INDEX(Severity_Classes!$D$4:$D$9,MATCH($A49,Severity_Classes!$A$4:$A$9,0))))*$B$22</f>
        <v>0.0154923866511789</v>
      </c>
      <c r="E49" s="22" t="n">
        <f aca="false">$D$8*$F$8*(1-EXP(-$G$8*INDEX(Severity_Classes!$D$4:$D$9,MATCH($A49,Severity_Classes!$A$4:$A$9,0))))*$B$22</f>
        <v>0.00929543199070736</v>
      </c>
      <c r="F49" s="22" t="n">
        <f aca="false">$D$9*$F$9*(1-EXP(-$G$9*INDEX(Severity_Classes!$D$4:$D$9,MATCH($A49,Severity_Classes!$A$4:$A$9,0))))*$B$22</f>
        <v>-0.00413130310698105</v>
      </c>
      <c r="G49" s="22" t="n">
        <f aca="false">$D$10*$F$10*(1-EXP(-$G$10*INDEX(Severity_Classes!$D$4:$D$9,MATCH($A49,Severity_Classes!$A$4:$A$9,0))))*$B$22</f>
        <v>0.00309847733023579</v>
      </c>
      <c r="H49" s="22" t="n">
        <f aca="false">$D$11*$F$11*(1-EXP(-$G$11*INDEX(Severity_Classes!$D$4:$D$9,MATCH($A49,Severity_Classes!$A$4:$A$9,0))))*$B$22</f>
        <v>-0.00774619332558946</v>
      </c>
      <c r="I49" s="22" t="n">
        <f aca="false">$D$12*$F$12*(1-EXP(-$G$12*INDEX(Severity_Classes!$D$4:$D$9,MATCH($A49,Severity_Classes!$A$4:$A$9,0))))*$B$22</f>
        <v>-0.00258206444186315</v>
      </c>
      <c r="J49" s="22" t="n">
        <f aca="false">$D$13*$F$13*(1-EXP(-$G$13*INDEX(Severity_Classes!$D$4:$D$9,MATCH($A49,Severity_Classes!$A$4:$A$9,0))))*$B$22</f>
        <v>-0.0232385799767684</v>
      </c>
      <c r="K49" s="22" t="n">
        <f aca="false">$D$14*$F$14*(1-EXP(-$G$14*INDEX(Severity_Classes!$D$4:$D$9,MATCH($A49,Severity_Classes!$A$4:$A$9,0))))*$B$22</f>
        <v>-0.0206565155349052</v>
      </c>
      <c r="L49" s="22" t="n">
        <f aca="false">$D$15*$F$15*(1-EXP(-$G$15*INDEX(Severity_Classes!$D$4:$D$9,MATCH($A49,Severity_Classes!$A$4:$A$9,0))))*$B$22</f>
        <v>-0.0258206444186315</v>
      </c>
      <c r="M49" s="22" t="n">
        <f aca="false">$D$16*$F$16*(1-EXP(-$G$16*INDEX(Severity_Classes!$D$4:$D$9,MATCH($A49,Severity_Classes!$A$4:$A$9,0))))*$B$22</f>
        <v>-0.0206565155349052</v>
      </c>
      <c r="N49" s="22" t="n">
        <f aca="false">$D$17*$F$17*(1-EXP(-$G$17*INDEX(Severity_Classes!$D$4:$D$9,MATCH($A49,Severity_Classes!$A$4:$A$9,0))))*$B$22</f>
        <v>0.0129103222093158</v>
      </c>
      <c r="O49" s="22" t="n">
        <f aca="false">$D$18*$F$18*(1-EXP(-$G$18*INDEX(Severity_Classes!$D$4:$D$9,MATCH($A49,Severity_Classes!$A$4:$A$9,0))))*$B$22</f>
        <v>0.00258206444186315</v>
      </c>
    </row>
    <row r="50" customFormat="false" ht="15" hidden="false" customHeight="false" outlineLevel="0" collapsed="false">
      <c r="A50" s="7" t="s">
        <v>279</v>
      </c>
      <c r="B50" s="22" t="n">
        <f aca="false">$D$5*$F$5*(1-EXP(-$G$5*INDEX(Severity_Classes!$D$4:$D$9,MATCH($A50,Severity_Classes!$A$4:$A$9,0))))*$B$22</f>
        <v>0.0102418626688054</v>
      </c>
      <c r="C50" s="22" t="n">
        <f aca="false">$D$6*$F$6*(1-EXP(-$G$6*INDEX(Severity_Classes!$D$4:$D$9,MATCH($A50,Severity_Classes!$A$4:$A$9,0))))*$B$22</f>
        <v>0.032005820840017</v>
      </c>
      <c r="D50" s="22" t="n">
        <f aca="false">$D$7*$F$7*(1-EXP(-$G$7*INDEX(Severity_Classes!$D$4:$D$9,MATCH($A50,Severity_Classes!$A$4:$A$9,0))))*$B$22</f>
        <v>0.0384069850080204</v>
      </c>
      <c r="E50" s="22" t="n">
        <f aca="false">$D$8*$F$8*(1-EXP(-$G$8*INDEX(Severity_Classes!$D$4:$D$9,MATCH($A50,Severity_Classes!$A$4:$A$9,0))))*$B$22</f>
        <v>0.0230441910048122</v>
      </c>
      <c r="F50" s="22" t="n">
        <f aca="false">$D$9*$F$9*(1-EXP(-$G$9*INDEX(Severity_Classes!$D$4:$D$9,MATCH($A50,Severity_Classes!$A$4:$A$9,0))))*$B$22</f>
        <v>-0.0102418626688054</v>
      </c>
      <c r="G50" s="22" t="n">
        <f aca="false">$D$10*$F$10*(1-EXP(-$G$10*INDEX(Severity_Classes!$D$4:$D$9,MATCH($A50,Severity_Classes!$A$4:$A$9,0))))*$B$22</f>
        <v>0.00768139700160408</v>
      </c>
      <c r="H50" s="22" t="n">
        <f aca="false">$D$11*$F$11*(1-EXP(-$G$11*INDEX(Severity_Classes!$D$4:$D$9,MATCH($A50,Severity_Classes!$A$4:$A$9,0))))*$B$22</f>
        <v>-0.0192034925040102</v>
      </c>
      <c r="I50" s="22" t="n">
        <f aca="false">$D$12*$F$12*(1-EXP(-$G$12*INDEX(Severity_Classes!$D$4:$D$9,MATCH($A50,Severity_Classes!$A$4:$A$9,0))))*$B$22</f>
        <v>-0.0064011641680034</v>
      </c>
      <c r="J50" s="22" t="n">
        <f aca="false">$D$13*$F$13*(1-EXP(-$G$13*INDEX(Severity_Classes!$D$4:$D$9,MATCH($A50,Severity_Classes!$A$4:$A$9,0))))*$B$22</f>
        <v>-0.0576104775120306</v>
      </c>
      <c r="K50" s="22" t="n">
        <f aca="false">$D$14*$F$14*(1-EXP(-$G$14*INDEX(Severity_Classes!$D$4:$D$9,MATCH($A50,Severity_Classes!$A$4:$A$9,0))))*$B$22</f>
        <v>-0.0512093133440272</v>
      </c>
      <c r="L50" s="22" t="n">
        <f aca="false">$D$15*$F$15*(1-EXP(-$G$15*INDEX(Severity_Classes!$D$4:$D$9,MATCH($A50,Severity_Classes!$A$4:$A$9,0))))*$B$22</f>
        <v>-0.064011641680034</v>
      </c>
      <c r="M50" s="22" t="n">
        <f aca="false">$D$16*$F$16*(1-EXP(-$G$16*INDEX(Severity_Classes!$D$4:$D$9,MATCH($A50,Severity_Classes!$A$4:$A$9,0))))*$B$22</f>
        <v>-0.0512093133440272</v>
      </c>
      <c r="N50" s="22" t="n">
        <f aca="false">$D$17*$F$17*(1-EXP(-$G$17*INDEX(Severity_Classes!$D$4:$D$9,MATCH($A50,Severity_Classes!$A$4:$A$9,0))))*$B$22</f>
        <v>0.032005820840017</v>
      </c>
      <c r="O50" s="22" t="n">
        <f aca="false">$D$18*$F$18*(1-EXP(-$G$18*INDEX(Severity_Classes!$D$4:$D$9,MATCH($A50,Severity_Classes!$A$4:$A$9,0))))*$B$22</f>
        <v>0.0064011641680034</v>
      </c>
    </row>
    <row r="51" customFormat="false" ht="15" hidden="false" customHeight="false" outlineLevel="0" collapsed="false">
      <c r="A51" s="7" t="s">
        <v>281</v>
      </c>
      <c r="B51" s="22" t="n">
        <f aca="false">$D$5*$F$5*(1-EXP(-$G$5*INDEX(Severity_Classes!$D$4:$D$9,MATCH($A51,Severity_Classes!$A$4:$A$9,0))))*$B$22</f>
        <v>0.0200280838860485</v>
      </c>
      <c r="C51" s="22" t="n">
        <f aca="false">$D$6*$F$6*(1-EXP(-$G$6*INDEX(Severity_Classes!$D$4:$D$9,MATCH($A51,Severity_Classes!$A$4:$A$9,0))))*$B$22</f>
        <v>0.0625877621439016</v>
      </c>
      <c r="D51" s="22" t="n">
        <f aca="false">$D$7*$F$7*(1-EXP(-$G$7*INDEX(Severity_Classes!$D$4:$D$9,MATCH($A51,Severity_Classes!$A$4:$A$9,0))))*$B$22</f>
        <v>0.0751053145726819</v>
      </c>
      <c r="E51" s="22" t="n">
        <f aca="false">$D$8*$F$8*(1-EXP(-$G$8*INDEX(Severity_Classes!$D$4:$D$9,MATCH($A51,Severity_Classes!$A$4:$A$9,0))))*$B$22</f>
        <v>0.0450631887436091</v>
      </c>
      <c r="F51" s="22" t="n">
        <f aca="false">$D$9*$F$9*(1-EXP(-$G$9*INDEX(Severity_Classes!$D$4:$D$9,MATCH($A51,Severity_Classes!$A$4:$A$9,0))))*$B$22</f>
        <v>-0.0200280838860485</v>
      </c>
      <c r="G51" s="22" t="n">
        <f aca="false">$D$10*$F$10*(1-EXP(-$G$10*INDEX(Severity_Classes!$D$4:$D$9,MATCH($A51,Severity_Classes!$A$4:$A$9,0))))*$B$22</f>
        <v>0.0150210629145364</v>
      </c>
      <c r="H51" s="22" t="n">
        <f aca="false">$D$11*$F$11*(1-EXP(-$G$11*INDEX(Severity_Classes!$D$4:$D$9,MATCH($A51,Severity_Classes!$A$4:$A$9,0))))*$B$22</f>
        <v>-0.0375526572863409</v>
      </c>
      <c r="I51" s="22" t="n">
        <f aca="false">$D$12*$F$12*(1-EXP(-$G$12*INDEX(Severity_Classes!$D$4:$D$9,MATCH($A51,Severity_Classes!$A$4:$A$9,0))))*$B$22</f>
        <v>-0.0125175524287803</v>
      </c>
      <c r="J51" s="22" t="n">
        <f aca="false">$D$13*$F$13*(1-EXP(-$G$13*INDEX(Severity_Classes!$D$4:$D$9,MATCH($A51,Severity_Classes!$A$4:$A$9,0))))*$B$22</f>
        <v>-0.112657971859023</v>
      </c>
      <c r="K51" s="22" t="n">
        <f aca="false">$D$14*$F$14*(1-EXP(-$G$14*INDEX(Severity_Classes!$D$4:$D$9,MATCH($A51,Severity_Classes!$A$4:$A$9,0))))*$B$22</f>
        <v>-0.100140419430243</v>
      </c>
      <c r="L51" s="22" t="n">
        <f aca="false">$D$15*$F$15*(1-EXP(-$G$15*INDEX(Severity_Classes!$D$4:$D$9,MATCH($A51,Severity_Classes!$A$4:$A$9,0))))*$B$22</f>
        <v>-0.125175524287803</v>
      </c>
      <c r="M51" s="22" t="n">
        <f aca="false">$D$16*$F$16*(1-EXP(-$G$16*INDEX(Severity_Classes!$D$4:$D$9,MATCH($A51,Severity_Classes!$A$4:$A$9,0))))*$B$22</f>
        <v>-0.100140419430243</v>
      </c>
      <c r="N51" s="22" t="n">
        <f aca="false">$D$17*$F$17*(1-EXP(-$G$17*INDEX(Severity_Classes!$D$4:$D$9,MATCH($A51,Severity_Classes!$A$4:$A$9,0))))*$B$22</f>
        <v>0.0625877621439016</v>
      </c>
      <c r="O51" s="22" t="n">
        <f aca="false">$D$18*$F$18*(1-EXP(-$G$18*INDEX(Severity_Classes!$D$4:$D$9,MATCH($A51,Severity_Classes!$A$4:$A$9,0))))*$B$22</f>
        <v>0.0125175524287803</v>
      </c>
    </row>
    <row r="52" customFormat="false" ht="15" hidden="false" customHeight="false" outlineLevel="0" collapsed="false">
      <c r="A52" s="7" t="s">
        <v>283</v>
      </c>
      <c r="B52" s="22" t="n">
        <f aca="false">$D$5*$F$5*(1-EXP(-$G$5*INDEX(Severity_Classes!$D$4:$D$9,MATCH($A52,Severity_Classes!$A$4:$A$9,0))))*$B$22</f>
        <v>0.0326486869528174</v>
      </c>
      <c r="C52" s="22" t="n">
        <f aca="false">$D$6*$F$6*(1-EXP(-$G$6*INDEX(Severity_Classes!$D$4:$D$9,MATCH($A52,Severity_Classes!$A$4:$A$9,0))))*$B$22</f>
        <v>0.102027146727554</v>
      </c>
      <c r="D52" s="22" t="n">
        <f aca="false">$D$7*$F$7*(1-EXP(-$G$7*INDEX(Severity_Classes!$D$4:$D$9,MATCH($A52,Severity_Classes!$A$4:$A$9,0))))*$B$22</f>
        <v>0.122432576073065</v>
      </c>
      <c r="E52" s="22" t="n">
        <f aca="false">$D$8*$F$8*(1-EXP(-$G$8*INDEX(Severity_Classes!$D$4:$D$9,MATCH($A52,Severity_Classes!$A$4:$A$9,0))))*$B$22</f>
        <v>0.0734595456438392</v>
      </c>
      <c r="F52" s="22" t="n">
        <f aca="false">$D$9*$F$9*(1-EXP(-$G$9*INDEX(Severity_Classes!$D$4:$D$9,MATCH($A52,Severity_Classes!$A$4:$A$9,0))))*$B$22</f>
        <v>-0.0326486869528174</v>
      </c>
      <c r="G52" s="22" t="n">
        <f aca="false">$D$10*$F$10*(1-EXP(-$G$10*INDEX(Severity_Classes!$D$4:$D$9,MATCH($A52,Severity_Classes!$A$4:$A$9,0))))*$B$22</f>
        <v>0.0244865152146131</v>
      </c>
      <c r="H52" s="22" t="n">
        <f aca="false">$D$11*$F$11*(1-EXP(-$G$11*INDEX(Severity_Classes!$D$4:$D$9,MATCH($A52,Severity_Classes!$A$4:$A$9,0))))*$B$22</f>
        <v>-0.0612162880365326</v>
      </c>
      <c r="I52" s="22" t="n">
        <f aca="false">$D$12*$F$12*(1-EXP(-$G$12*INDEX(Severity_Classes!$D$4:$D$9,MATCH($A52,Severity_Classes!$A$4:$A$9,0))))*$B$22</f>
        <v>-0.0204054293455109</v>
      </c>
      <c r="J52" s="22" t="n">
        <f aca="false">$D$13*$F$13*(1-EXP(-$G$13*INDEX(Severity_Classes!$D$4:$D$9,MATCH($A52,Severity_Classes!$A$4:$A$9,0))))*$B$22</f>
        <v>-0.183648864109598</v>
      </c>
      <c r="K52" s="22" t="n">
        <f aca="false">$D$14*$F$14*(1-EXP(-$G$14*INDEX(Severity_Classes!$D$4:$D$9,MATCH($A52,Severity_Classes!$A$4:$A$9,0))))*$B$22</f>
        <v>-0.163243434764087</v>
      </c>
      <c r="L52" s="22" t="n">
        <f aca="false">$D$15*$F$15*(1-EXP(-$G$15*INDEX(Severity_Classes!$D$4:$D$9,MATCH($A52,Severity_Classes!$A$4:$A$9,0))))*$B$22</f>
        <v>-0.204054293455109</v>
      </c>
      <c r="M52" s="22" t="n">
        <f aca="false">$D$16*$F$16*(1-EXP(-$G$16*INDEX(Severity_Classes!$D$4:$D$9,MATCH($A52,Severity_Classes!$A$4:$A$9,0))))*$B$22</f>
        <v>-0.163243434764087</v>
      </c>
      <c r="N52" s="22" t="n">
        <f aca="false">$D$17*$F$17*(1-EXP(-$G$17*INDEX(Severity_Classes!$D$4:$D$9,MATCH($A52,Severity_Classes!$A$4:$A$9,0))))*$B$22</f>
        <v>0.102027146727554</v>
      </c>
      <c r="O52" s="22" t="n">
        <f aca="false">$D$18*$F$18*(1-EXP(-$G$18*INDEX(Severity_Classes!$D$4:$D$9,MATCH($A52,Severity_Classes!$A$4:$A$9,0))))*$B$22</f>
        <v>0.0204054293455109</v>
      </c>
    </row>
    <row r="53" customFormat="false" ht="15" hidden="false" customHeight="false" outlineLevel="0" collapsed="false">
      <c r="A53" s="7" t="s">
        <v>285</v>
      </c>
      <c r="B53" s="22" t="n">
        <f aca="false">$D$5*$F$5*(1-EXP(-$G$5*INDEX(Severity_Classes!$D$4:$D$9,MATCH($A53,Severity_Classes!$A$4:$A$9,0))))*$B$22</f>
        <v>0.0411708445638474</v>
      </c>
      <c r="C53" s="22" t="n">
        <f aca="false">$D$6*$F$6*(1-EXP(-$G$6*INDEX(Severity_Classes!$D$4:$D$9,MATCH($A53,Severity_Classes!$A$4:$A$9,0))))*$B$22</f>
        <v>0.128658889262023</v>
      </c>
      <c r="D53" s="22" t="n">
        <f aca="false">$D$7*$F$7*(1-EXP(-$G$7*INDEX(Severity_Classes!$D$4:$D$9,MATCH($A53,Severity_Classes!$A$4:$A$9,0))))*$B$22</f>
        <v>0.154390667114428</v>
      </c>
      <c r="E53" s="22" t="n">
        <f aca="false">$D$8*$F$8*(1-EXP(-$G$8*INDEX(Severity_Classes!$D$4:$D$9,MATCH($A53,Severity_Classes!$A$4:$A$9,0))))*$B$22</f>
        <v>0.0926344002686565</v>
      </c>
      <c r="F53" s="22" t="n">
        <f aca="false">$D$9*$F$9*(1-EXP(-$G$9*INDEX(Severity_Classes!$D$4:$D$9,MATCH($A53,Severity_Classes!$A$4:$A$9,0))))*$B$22</f>
        <v>-0.0411708445638474</v>
      </c>
      <c r="G53" s="22" t="n">
        <f aca="false">$D$10*$F$10*(1-EXP(-$G$10*INDEX(Severity_Classes!$D$4:$D$9,MATCH($A53,Severity_Classes!$A$4:$A$9,0))))*$B$22</f>
        <v>0.0308781334228855</v>
      </c>
      <c r="H53" s="22" t="n">
        <f aca="false">$D$11*$F$11*(1-EXP(-$G$11*INDEX(Severity_Classes!$D$4:$D$9,MATCH($A53,Severity_Classes!$A$4:$A$9,0))))*$B$22</f>
        <v>-0.0771953335572138</v>
      </c>
      <c r="I53" s="22" t="n">
        <f aca="false">$D$12*$F$12*(1-EXP(-$G$12*INDEX(Severity_Classes!$D$4:$D$9,MATCH($A53,Severity_Classes!$A$4:$A$9,0))))*$B$22</f>
        <v>-0.0257317778524046</v>
      </c>
      <c r="J53" s="22" t="n">
        <f aca="false">$D$13*$F$13*(1-EXP(-$G$13*INDEX(Severity_Classes!$D$4:$D$9,MATCH($A53,Severity_Classes!$A$4:$A$9,0))))*$B$22</f>
        <v>-0.231586000671641</v>
      </c>
      <c r="K53" s="22" t="n">
        <f aca="false">$D$14*$F$14*(1-EXP(-$G$14*INDEX(Severity_Classes!$D$4:$D$9,MATCH($A53,Severity_Classes!$A$4:$A$9,0))))*$B$22</f>
        <v>-0.205854222819237</v>
      </c>
      <c r="L53" s="22" t="n">
        <f aca="false">$D$15*$F$15*(1-EXP(-$G$15*INDEX(Severity_Classes!$D$4:$D$9,MATCH($A53,Severity_Classes!$A$4:$A$9,0))))*$B$22</f>
        <v>-0.257317778524046</v>
      </c>
      <c r="M53" s="22" t="n">
        <f aca="false">$D$16*$F$16*(1-EXP(-$G$16*INDEX(Severity_Classes!$D$4:$D$9,MATCH($A53,Severity_Classes!$A$4:$A$9,0))))*$B$22</f>
        <v>-0.205854222819237</v>
      </c>
      <c r="N53" s="22" t="n">
        <f aca="false">$D$17*$F$17*(1-EXP(-$G$17*INDEX(Severity_Classes!$D$4:$D$9,MATCH($A53,Severity_Classes!$A$4:$A$9,0))))*$B$22</f>
        <v>0.128658889262023</v>
      </c>
      <c r="O53" s="22" t="n">
        <f aca="false">$D$18*$F$18*(1-EXP(-$G$18*INDEX(Severity_Classes!$D$4:$D$9,MATCH($A53,Severity_Classes!$A$4:$A$9,0))))*$B$22</f>
        <v>0.0257317778524046</v>
      </c>
    </row>
    <row r="56" customFormat="false" ht="15" hidden="false" customHeight="false" outlineLevel="0" collapsed="false">
      <c r="A56" s="7" t="s">
        <v>583</v>
      </c>
    </row>
    <row r="57" customFormat="false" ht="35.05" hidden="false" customHeight="false" outlineLevel="0" collapsed="false">
      <c r="A57" s="6" t="s">
        <v>356</v>
      </c>
      <c r="B57" s="6" t="s">
        <v>537</v>
      </c>
      <c r="C57" s="6" t="s">
        <v>541</v>
      </c>
      <c r="D57" s="6" t="s">
        <v>544</v>
      </c>
      <c r="E57" s="6" t="s">
        <v>547</v>
      </c>
      <c r="F57" s="6" t="s">
        <v>550</v>
      </c>
      <c r="G57" s="6" t="s">
        <v>553</v>
      </c>
      <c r="H57" s="6" t="s">
        <v>556</v>
      </c>
      <c r="I57" s="6" t="s">
        <v>559</v>
      </c>
      <c r="J57" s="6" t="s">
        <v>562</v>
      </c>
      <c r="K57" s="6" t="s">
        <v>566</v>
      </c>
      <c r="L57" s="6" t="s">
        <v>569</v>
      </c>
      <c r="M57" s="6" t="s">
        <v>571</v>
      </c>
      <c r="N57" s="6" t="s">
        <v>573</v>
      </c>
      <c r="O57" s="6" t="s">
        <v>576</v>
      </c>
    </row>
    <row r="58" customFormat="false" ht="15" hidden="false" customHeight="false" outlineLevel="0" collapsed="false">
      <c r="A58" s="7" t="s">
        <v>275</v>
      </c>
      <c r="B58" s="19" t="n">
        <f aca="false">$D$5*$F$5*(1-EXP(-$G$5*INDEX(Severity_Classes!$D$4:$D$9,MATCH($A58,Severity_Classes!$A$4:$A$9,0))))*$B$23</f>
        <v>0</v>
      </c>
      <c r="C58" s="19" t="n">
        <f aca="false">$D$6*$F$6*(1-EXP(-$G$6*INDEX(Severity_Classes!$D$4:$D$9,MATCH($A58,Severity_Classes!$A$4:$A$9,0))))*$B$23</f>
        <v>0</v>
      </c>
      <c r="D58" s="19" t="n">
        <f aca="false">$D$7*$F$7*(1-EXP(-$G$7*INDEX(Severity_Classes!$D$4:$D$9,MATCH($A58,Severity_Classes!$A$4:$A$9,0))))*$B$23</f>
        <v>0</v>
      </c>
      <c r="E58" s="19" t="n">
        <f aca="false">$D$8*$F$8*(1-EXP(-$G$8*INDEX(Severity_Classes!$D$4:$D$9,MATCH($A58,Severity_Classes!$A$4:$A$9,0))))*$B$23</f>
        <v>0</v>
      </c>
      <c r="F58" s="19" t="n">
        <f aca="false">$D$9*$F$9*(1-EXP(-$G$9*INDEX(Severity_Classes!$D$4:$D$9,MATCH($A58,Severity_Classes!$A$4:$A$9,0))))*$B$23</f>
        <v>-0</v>
      </c>
      <c r="G58" s="19" t="n">
        <f aca="false">$D$10*$F$10*(1-EXP(-$G$10*INDEX(Severity_Classes!$D$4:$D$9,MATCH($A58,Severity_Classes!$A$4:$A$9,0))))*$B$23</f>
        <v>0</v>
      </c>
      <c r="H58" s="19" t="n">
        <f aca="false">$D$11*$F$11*(1-EXP(-$G$11*INDEX(Severity_Classes!$D$4:$D$9,MATCH($A58,Severity_Classes!$A$4:$A$9,0))))*$B$23</f>
        <v>-0</v>
      </c>
      <c r="I58" s="19" t="n">
        <f aca="false">$D$12*$F$12*(1-EXP(-$G$12*INDEX(Severity_Classes!$D$4:$D$9,MATCH($A58,Severity_Classes!$A$4:$A$9,0))))*$B$23</f>
        <v>-0</v>
      </c>
      <c r="J58" s="19" t="n">
        <f aca="false">$D$13*$F$13*(1-EXP(-$G$13*INDEX(Severity_Classes!$D$4:$D$9,MATCH($A58,Severity_Classes!$A$4:$A$9,0))))*$B$23</f>
        <v>-0</v>
      </c>
      <c r="K58" s="19" t="n">
        <f aca="false">$D$14*$F$14*(1-EXP(-$G$14*INDEX(Severity_Classes!$D$4:$D$9,MATCH($A58,Severity_Classes!$A$4:$A$9,0))))*$B$23</f>
        <v>-0</v>
      </c>
      <c r="L58" s="19" t="n">
        <f aca="false">$D$15*$F$15*(1-EXP(-$G$15*INDEX(Severity_Classes!$D$4:$D$9,MATCH($A58,Severity_Classes!$A$4:$A$9,0))))*$B$23</f>
        <v>-0</v>
      </c>
      <c r="M58" s="19" t="n">
        <f aca="false">$D$16*$F$16*(1-EXP(-$G$16*INDEX(Severity_Classes!$D$4:$D$9,MATCH($A58,Severity_Classes!$A$4:$A$9,0))))*$B$23</f>
        <v>-0</v>
      </c>
      <c r="N58" s="19" t="n">
        <f aca="false">$D$17*$F$17*(1-EXP(-$G$17*INDEX(Severity_Classes!$D$4:$D$9,MATCH($A58,Severity_Classes!$A$4:$A$9,0))))*$B$23</f>
        <v>0</v>
      </c>
      <c r="O58" s="19" t="n">
        <f aca="false">$D$18*$F$18*(1-EXP(-$G$18*INDEX(Severity_Classes!$D$4:$D$9,MATCH($A58,Severity_Classes!$A$4:$A$9,0))))*$B$23</f>
        <v>0</v>
      </c>
    </row>
    <row r="59" customFormat="false" ht="15" hidden="false" customHeight="false" outlineLevel="0" collapsed="false">
      <c r="A59" s="7" t="s">
        <v>277</v>
      </c>
      <c r="B59" s="22" t="n">
        <f aca="false">$D$5*$F$5*(1-EXP(-$G$5*INDEX(Severity_Classes!$D$4:$D$9,MATCH($A59,Severity_Classes!$A$4:$A$9,0))))*$B$23</f>
        <v>0.0055084041426414</v>
      </c>
      <c r="C59" s="22" t="n">
        <f aca="false">$D$6*$F$6*(1-EXP(-$G$6*INDEX(Severity_Classes!$D$4:$D$9,MATCH($A59,Severity_Classes!$A$4:$A$9,0))))*$B$23</f>
        <v>0.0172137629457544</v>
      </c>
      <c r="D59" s="22" t="n">
        <f aca="false">$D$7*$F$7*(1-EXP(-$G$7*INDEX(Severity_Classes!$D$4:$D$9,MATCH($A59,Severity_Classes!$A$4:$A$9,0))))*$B$23</f>
        <v>0.0206565155349052</v>
      </c>
      <c r="E59" s="22" t="n">
        <f aca="false">$D$8*$F$8*(1-EXP(-$G$8*INDEX(Severity_Classes!$D$4:$D$9,MATCH($A59,Severity_Classes!$A$4:$A$9,0))))*$B$23</f>
        <v>0.0123939093209431</v>
      </c>
      <c r="F59" s="22" t="n">
        <f aca="false">$D$9*$F$9*(1-EXP(-$G$9*INDEX(Severity_Classes!$D$4:$D$9,MATCH($A59,Severity_Classes!$A$4:$A$9,0))))*$B$23</f>
        <v>-0.0055084041426414</v>
      </c>
      <c r="G59" s="22" t="n">
        <f aca="false">$D$10*$F$10*(1-EXP(-$G$10*INDEX(Severity_Classes!$D$4:$D$9,MATCH($A59,Severity_Classes!$A$4:$A$9,0))))*$B$23</f>
        <v>0.00413130310698105</v>
      </c>
      <c r="H59" s="22" t="n">
        <f aca="false">$D$11*$F$11*(1-EXP(-$G$11*INDEX(Severity_Classes!$D$4:$D$9,MATCH($A59,Severity_Classes!$A$4:$A$9,0))))*$B$23</f>
        <v>-0.0103282577674526</v>
      </c>
      <c r="I59" s="22" t="n">
        <f aca="false">$D$12*$F$12*(1-EXP(-$G$12*INDEX(Severity_Classes!$D$4:$D$9,MATCH($A59,Severity_Classes!$A$4:$A$9,0))))*$B$23</f>
        <v>-0.00344275258915087</v>
      </c>
      <c r="J59" s="22" t="n">
        <f aca="false">$D$13*$F$13*(1-EXP(-$G$13*INDEX(Severity_Classes!$D$4:$D$9,MATCH($A59,Severity_Classes!$A$4:$A$9,0))))*$B$23</f>
        <v>-0.0309847733023579</v>
      </c>
      <c r="K59" s="22" t="n">
        <f aca="false">$D$14*$F$14*(1-EXP(-$G$14*INDEX(Severity_Classes!$D$4:$D$9,MATCH($A59,Severity_Classes!$A$4:$A$9,0))))*$B$23</f>
        <v>-0.027542020713207</v>
      </c>
      <c r="L59" s="22" t="n">
        <f aca="false">$D$15*$F$15*(1-EXP(-$G$15*INDEX(Severity_Classes!$D$4:$D$9,MATCH($A59,Severity_Classes!$A$4:$A$9,0))))*$B$23</f>
        <v>-0.0344275258915087</v>
      </c>
      <c r="M59" s="22" t="n">
        <f aca="false">$D$16*$F$16*(1-EXP(-$G$16*INDEX(Severity_Classes!$D$4:$D$9,MATCH($A59,Severity_Classes!$A$4:$A$9,0))))*$B$23</f>
        <v>-0.027542020713207</v>
      </c>
      <c r="N59" s="22" t="n">
        <f aca="false">$D$17*$F$17*(1-EXP(-$G$17*INDEX(Severity_Classes!$D$4:$D$9,MATCH($A59,Severity_Classes!$A$4:$A$9,0))))*$B$23</f>
        <v>0.0172137629457544</v>
      </c>
      <c r="O59" s="22" t="n">
        <f aca="false">$D$18*$F$18*(1-EXP(-$G$18*INDEX(Severity_Classes!$D$4:$D$9,MATCH($A59,Severity_Classes!$A$4:$A$9,0))))*$B$23</f>
        <v>0.00344275258915087</v>
      </c>
    </row>
    <row r="60" customFormat="false" ht="15" hidden="false" customHeight="false" outlineLevel="0" collapsed="false">
      <c r="A60" s="7" t="s">
        <v>279</v>
      </c>
      <c r="B60" s="22" t="n">
        <f aca="false">$D$5*$F$5*(1-EXP(-$G$5*INDEX(Severity_Classes!$D$4:$D$9,MATCH($A60,Severity_Classes!$A$4:$A$9,0))))*$B$23</f>
        <v>0.0136558168917406</v>
      </c>
      <c r="C60" s="22" t="n">
        <f aca="false">$D$6*$F$6*(1-EXP(-$G$6*INDEX(Severity_Classes!$D$4:$D$9,MATCH($A60,Severity_Classes!$A$4:$A$9,0))))*$B$23</f>
        <v>0.0426744277866893</v>
      </c>
      <c r="D60" s="22" t="n">
        <f aca="false">$D$7*$F$7*(1-EXP(-$G$7*INDEX(Severity_Classes!$D$4:$D$9,MATCH($A60,Severity_Classes!$A$4:$A$9,0))))*$B$23</f>
        <v>0.0512093133440272</v>
      </c>
      <c r="E60" s="22" t="n">
        <f aca="false">$D$8*$F$8*(1-EXP(-$G$8*INDEX(Severity_Classes!$D$4:$D$9,MATCH($A60,Severity_Classes!$A$4:$A$9,0))))*$B$23</f>
        <v>0.0307255880064163</v>
      </c>
      <c r="F60" s="22" t="n">
        <f aca="false">$D$9*$F$9*(1-EXP(-$G$9*INDEX(Severity_Classes!$D$4:$D$9,MATCH($A60,Severity_Classes!$A$4:$A$9,0))))*$B$23</f>
        <v>-0.0136558168917406</v>
      </c>
      <c r="G60" s="22" t="n">
        <f aca="false">$D$10*$F$10*(1-EXP(-$G$10*INDEX(Severity_Classes!$D$4:$D$9,MATCH($A60,Severity_Classes!$A$4:$A$9,0))))*$B$23</f>
        <v>0.0102418626688054</v>
      </c>
      <c r="H60" s="22" t="n">
        <f aca="false">$D$11*$F$11*(1-EXP(-$G$11*INDEX(Severity_Classes!$D$4:$D$9,MATCH($A60,Severity_Classes!$A$4:$A$9,0))))*$B$23</f>
        <v>-0.0256046566720136</v>
      </c>
      <c r="I60" s="22" t="n">
        <f aca="false">$D$12*$F$12*(1-EXP(-$G$12*INDEX(Severity_Classes!$D$4:$D$9,MATCH($A60,Severity_Classes!$A$4:$A$9,0))))*$B$23</f>
        <v>-0.00853488555733786</v>
      </c>
      <c r="J60" s="22" t="n">
        <f aca="false">$D$13*$F$13*(1-EXP(-$G$13*INDEX(Severity_Classes!$D$4:$D$9,MATCH($A60,Severity_Classes!$A$4:$A$9,0))))*$B$23</f>
        <v>-0.0768139700160408</v>
      </c>
      <c r="K60" s="22" t="n">
        <f aca="false">$D$14*$F$14*(1-EXP(-$G$14*INDEX(Severity_Classes!$D$4:$D$9,MATCH($A60,Severity_Classes!$A$4:$A$9,0))))*$B$23</f>
        <v>-0.0682790844587029</v>
      </c>
      <c r="L60" s="22" t="n">
        <f aca="false">$D$15*$F$15*(1-EXP(-$G$15*INDEX(Severity_Classes!$D$4:$D$9,MATCH($A60,Severity_Classes!$A$4:$A$9,0))))*$B$23</f>
        <v>-0.0853488555733786</v>
      </c>
      <c r="M60" s="22" t="n">
        <f aca="false">$D$16*$F$16*(1-EXP(-$G$16*INDEX(Severity_Classes!$D$4:$D$9,MATCH($A60,Severity_Classes!$A$4:$A$9,0))))*$B$23</f>
        <v>-0.0682790844587029</v>
      </c>
      <c r="N60" s="22" t="n">
        <f aca="false">$D$17*$F$17*(1-EXP(-$G$17*INDEX(Severity_Classes!$D$4:$D$9,MATCH($A60,Severity_Classes!$A$4:$A$9,0))))*$B$23</f>
        <v>0.0426744277866893</v>
      </c>
      <c r="O60" s="22" t="n">
        <f aca="false">$D$18*$F$18*(1-EXP(-$G$18*INDEX(Severity_Classes!$D$4:$D$9,MATCH($A60,Severity_Classes!$A$4:$A$9,0))))*$B$23</f>
        <v>0.00853488555733786</v>
      </c>
    </row>
    <row r="61" customFormat="false" ht="15" hidden="false" customHeight="false" outlineLevel="0" collapsed="false">
      <c r="A61" s="7" t="s">
        <v>281</v>
      </c>
      <c r="B61" s="22" t="n">
        <f aca="false">$D$5*$F$5*(1-EXP(-$G$5*INDEX(Severity_Classes!$D$4:$D$9,MATCH($A61,Severity_Classes!$A$4:$A$9,0))))*$B$23</f>
        <v>0.0267041118480647</v>
      </c>
      <c r="C61" s="22" t="n">
        <f aca="false">$D$6*$F$6*(1-EXP(-$G$6*INDEX(Severity_Classes!$D$4:$D$9,MATCH($A61,Severity_Classes!$A$4:$A$9,0))))*$B$23</f>
        <v>0.0834503495252021</v>
      </c>
      <c r="D61" s="22" t="n">
        <f aca="false">$D$7*$F$7*(1-EXP(-$G$7*INDEX(Severity_Classes!$D$4:$D$9,MATCH($A61,Severity_Classes!$A$4:$A$9,0))))*$B$23</f>
        <v>0.100140419430242</v>
      </c>
      <c r="E61" s="22" t="n">
        <f aca="false">$D$8*$F$8*(1-EXP(-$G$8*INDEX(Severity_Classes!$D$4:$D$9,MATCH($A61,Severity_Classes!$A$4:$A$9,0))))*$B$23</f>
        <v>0.0600842516581455</v>
      </c>
      <c r="F61" s="22" t="n">
        <f aca="false">$D$9*$F$9*(1-EXP(-$G$9*INDEX(Severity_Classes!$D$4:$D$9,MATCH($A61,Severity_Classes!$A$4:$A$9,0))))*$B$23</f>
        <v>-0.0267041118480647</v>
      </c>
      <c r="G61" s="22" t="n">
        <f aca="false">$D$10*$F$10*(1-EXP(-$G$10*INDEX(Severity_Classes!$D$4:$D$9,MATCH($A61,Severity_Classes!$A$4:$A$9,0))))*$B$23</f>
        <v>0.0200280838860485</v>
      </c>
      <c r="H61" s="22" t="n">
        <f aca="false">$D$11*$F$11*(1-EXP(-$G$11*INDEX(Severity_Classes!$D$4:$D$9,MATCH($A61,Severity_Classes!$A$4:$A$9,0))))*$B$23</f>
        <v>-0.0500702097151212</v>
      </c>
      <c r="I61" s="22" t="n">
        <f aca="false">$D$12*$F$12*(1-EXP(-$G$12*INDEX(Severity_Classes!$D$4:$D$9,MATCH($A61,Severity_Classes!$A$4:$A$9,0))))*$B$23</f>
        <v>-0.0166900699050404</v>
      </c>
      <c r="J61" s="22" t="n">
        <f aca="false">$D$13*$F$13*(1-EXP(-$G$13*INDEX(Severity_Classes!$D$4:$D$9,MATCH($A61,Severity_Classes!$A$4:$A$9,0))))*$B$23</f>
        <v>-0.150210629145364</v>
      </c>
      <c r="K61" s="22" t="n">
        <f aca="false">$D$14*$F$14*(1-EXP(-$G$14*INDEX(Severity_Classes!$D$4:$D$9,MATCH($A61,Severity_Classes!$A$4:$A$9,0))))*$B$23</f>
        <v>-0.133520559240323</v>
      </c>
      <c r="L61" s="22" t="n">
        <f aca="false">$D$15*$F$15*(1-EXP(-$G$15*INDEX(Severity_Classes!$D$4:$D$9,MATCH($A61,Severity_Classes!$A$4:$A$9,0))))*$B$23</f>
        <v>-0.166900699050404</v>
      </c>
      <c r="M61" s="22" t="n">
        <f aca="false">$D$16*$F$16*(1-EXP(-$G$16*INDEX(Severity_Classes!$D$4:$D$9,MATCH($A61,Severity_Classes!$A$4:$A$9,0))))*$B$23</f>
        <v>-0.133520559240323</v>
      </c>
      <c r="N61" s="22" t="n">
        <f aca="false">$D$17*$F$17*(1-EXP(-$G$17*INDEX(Severity_Classes!$D$4:$D$9,MATCH($A61,Severity_Classes!$A$4:$A$9,0))))*$B$23</f>
        <v>0.0834503495252021</v>
      </c>
      <c r="O61" s="22" t="n">
        <f aca="false">$D$18*$F$18*(1-EXP(-$G$18*INDEX(Severity_Classes!$D$4:$D$9,MATCH($A61,Severity_Classes!$A$4:$A$9,0))))*$B$23</f>
        <v>0.0166900699050404</v>
      </c>
    </row>
    <row r="62" customFormat="false" ht="15" hidden="false" customHeight="false" outlineLevel="0" collapsed="false">
      <c r="A62" s="7" t="s">
        <v>283</v>
      </c>
      <c r="B62" s="22" t="n">
        <f aca="false">$D$5*$F$5*(1-EXP(-$G$5*INDEX(Severity_Classes!$D$4:$D$9,MATCH($A62,Severity_Classes!$A$4:$A$9,0))))*$B$23</f>
        <v>0.0435315826037566</v>
      </c>
      <c r="C62" s="22" t="n">
        <f aca="false">$D$6*$F$6*(1-EXP(-$G$6*INDEX(Severity_Classes!$D$4:$D$9,MATCH($A62,Severity_Classes!$A$4:$A$9,0))))*$B$23</f>
        <v>0.136036195636739</v>
      </c>
      <c r="D62" s="22" t="n">
        <f aca="false">$D$7*$F$7*(1-EXP(-$G$7*INDEX(Severity_Classes!$D$4:$D$9,MATCH($A62,Severity_Classes!$A$4:$A$9,0))))*$B$23</f>
        <v>0.163243434764087</v>
      </c>
      <c r="E62" s="22" t="n">
        <f aca="false">$D$8*$F$8*(1-EXP(-$G$8*INDEX(Severity_Classes!$D$4:$D$9,MATCH($A62,Severity_Classes!$A$4:$A$9,0))))*$B$23</f>
        <v>0.0979460608584523</v>
      </c>
      <c r="F62" s="22" t="n">
        <f aca="false">$D$9*$F$9*(1-EXP(-$G$9*INDEX(Severity_Classes!$D$4:$D$9,MATCH($A62,Severity_Classes!$A$4:$A$9,0))))*$B$23</f>
        <v>-0.0435315826037566</v>
      </c>
      <c r="G62" s="22" t="n">
        <f aca="false">$D$10*$F$10*(1-EXP(-$G$10*INDEX(Severity_Classes!$D$4:$D$9,MATCH($A62,Severity_Classes!$A$4:$A$9,0))))*$B$23</f>
        <v>0.0326486869528174</v>
      </c>
      <c r="H62" s="22" t="n">
        <f aca="false">$D$11*$F$11*(1-EXP(-$G$11*INDEX(Severity_Classes!$D$4:$D$9,MATCH($A62,Severity_Classes!$A$4:$A$9,0))))*$B$23</f>
        <v>-0.0816217173820436</v>
      </c>
      <c r="I62" s="22" t="n">
        <f aca="false">$D$12*$F$12*(1-EXP(-$G$12*INDEX(Severity_Classes!$D$4:$D$9,MATCH($A62,Severity_Classes!$A$4:$A$9,0))))*$B$23</f>
        <v>-0.0272072391273479</v>
      </c>
      <c r="J62" s="22" t="n">
        <f aca="false">$D$13*$F$13*(1-EXP(-$G$13*INDEX(Severity_Classes!$D$4:$D$9,MATCH($A62,Severity_Classes!$A$4:$A$9,0))))*$B$23</f>
        <v>-0.244865152146131</v>
      </c>
      <c r="K62" s="22" t="n">
        <f aca="false">$D$14*$F$14*(1-EXP(-$G$14*INDEX(Severity_Classes!$D$4:$D$9,MATCH($A62,Severity_Classes!$A$4:$A$9,0))))*$B$23</f>
        <v>-0.217657913018783</v>
      </c>
      <c r="L62" s="22" t="n">
        <f aca="false">$D$15*$F$15*(1-EXP(-$G$15*INDEX(Severity_Classes!$D$4:$D$9,MATCH($A62,Severity_Classes!$A$4:$A$9,0))))*$B$23</f>
        <v>-0.272072391273479</v>
      </c>
      <c r="M62" s="22" t="n">
        <f aca="false">$D$16*$F$16*(1-EXP(-$G$16*INDEX(Severity_Classes!$D$4:$D$9,MATCH($A62,Severity_Classes!$A$4:$A$9,0))))*$B$23</f>
        <v>-0.217657913018783</v>
      </c>
      <c r="N62" s="22" t="n">
        <f aca="false">$D$17*$F$17*(1-EXP(-$G$17*INDEX(Severity_Classes!$D$4:$D$9,MATCH($A62,Severity_Classes!$A$4:$A$9,0))))*$B$23</f>
        <v>0.136036195636739</v>
      </c>
      <c r="O62" s="22" t="n">
        <f aca="false">$D$18*$F$18*(1-EXP(-$G$18*INDEX(Severity_Classes!$D$4:$D$9,MATCH($A62,Severity_Classes!$A$4:$A$9,0))))*$B$23</f>
        <v>0.0272072391273479</v>
      </c>
    </row>
    <row r="63" customFormat="false" ht="15" hidden="false" customHeight="false" outlineLevel="0" collapsed="false">
      <c r="A63" s="7" t="s">
        <v>285</v>
      </c>
      <c r="B63" s="22" t="n">
        <f aca="false">$D$5*$F$5*(1-EXP(-$G$5*INDEX(Severity_Classes!$D$4:$D$9,MATCH($A63,Severity_Classes!$A$4:$A$9,0))))*$B$23</f>
        <v>0.0548944594184631</v>
      </c>
      <c r="C63" s="22" t="n">
        <f aca="false">$D$6*$F$6*(1-EXP(-$G$6*INDEX(Severity_Classes!$D$4:$D$9,MATCH($A63,Severity_Classes!$A$4:$A$9,0))))*$B$23</f>
        <v>0.171545185682697</v>
      </c>
      <c r="D63" s="22" t="n">
        <f aca="false">$D$7*$F$7*(1-EXP(-$G$7*INDEX(Severity_Classes!$D$4:$D$9,MATCH($A63,Severity_Classes!$A$4:$A$9,0))))*$B$23</f>
        <v>0.205854222819237</v>
      </c>
      <c r="E63" s="22" t="n">
        <f aca="false">$D$8*$F$8*(1-EXP(-$G$8*INDEX(Severity_Classes!$D$4:$D$9,MATCH($A63,Severity_Classes!$A$4:$A$9,0))))*$B$23</f>
        <v>0.123512533691542</v>
      </c>
      <c r="F63" s="22" t="n">
        <f aca="false">$D$9*$F$9*(1-EXP(-$G$9*INDEX(Severity_Classes!$D$4:$D$9,MATCH($A63,Severity_Classes!$A$4:$A$9,0))))*$B$23</f>
        <v>-0.0548944594184631</v>
      </c>
      <c r="G63" s="22" t="n">
        <f aca="false">$D$10*$F$10*(1-EXP(-$G$10*INDEX(Severity_Classes!$D$4:$D$9,MATCH($A63,Severity_Classes!$A$4:$A$9,0))))*$B$23</f>
        <v>0.0411708445638474</v>
      </c>
      <c r="H63" s="22" t="n">
        <f aca="false">$D$11*$F$11*(1-EXP(-$G$11*INDEX(Severity_Classes!$D$4:$D$9,MATCH($A63,Severity_Classes!$A$4:$A$9,0))))*$B$23</f>
        <v>-0.102927111409618</v>
      </c>
      <c r="I63" s="22" t="n">
        <f aca="false">$D$12*$F$12*(1-EXP(-$G$12*INDEX(Severity_Classes!$D$4:$D$9,MATCH($A63,Severity_Classes!$A$4:$A$9,0))))*$B$23</f>
        <v>-0.0343090371365395</v>
      </c>
      <c r="J63" s="22" t="n">
        <f aca="false">$D$13*$F$13*(1-EXP(-$G$13*INDEX(Severity_Classes!$D$4:$D$9,MATCH($A63,Severity_Classes!$A$4:$A$9,0))))*$B$23</f>
        <v>-0.308781334228855</v>
      </c>
      <c r="K63" s="22" t="n">
        <f aca="false">$D$14*$F$14*(1-EXP(-$G$14*INDEX(Severity_Classes!$D$4:$D$9,MATCH($A63,Severity_Classes!$A$4:$A$9,0))))*$B$23</f>
        <v>-0.274472297092316</v>
      </c>
      <c r="L63" s="22" t="n">
        <f aca="false">$D$15*$F$15*(1-EXP(-$G$15*INDEX(Severity_Classes!$D$4:$D$9,MATCH($A63,Severity_Classes!$A$4:$A$9,0))))*$B$23</f>
        <v>-0.343090371365395</v>
      </c>
      <c r="M63" s="22" t="n">
        <f aca="false">$D$16*$F$16*(1-EXP(-$G$16*INDEX(Severity_Classes!$D$4:$D$9,MATCH($A63,Severity_Classes!$A$4:$A$9,0))))*$B$23</f>
        <v>-0.274472297092316</v>
      </c>
      <c r="N63" s="22" t="n">
        <f aca="false">$D$17*$F$17*(1-EXP(-$G$17*INDEX(Severity_Classes!$D$4:$D$9,MATCH($A63,Severity_Classes!$A$4:$A$9,0))))*$B$23</f>
        <v>0.171545185682697</v>
      </c>
      <c r="O63" s="22" t="n">
        <f aca="false">$D$18*$F$18*(1-EXP(-$G$18*INDEX(Severity_Classes!$D$4:$D$9,MATCH($A63,Severity_Classes!$A$4:$A$9,0))))*$B$23</f>
        <v>0.0343090371365395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5" t="s">
        <v>584</v>
      </c>
    </row>
    <row r="3" customFormat="false" ht="15" hidden="false" customHeight="false" outlineLevel="0" collapsed="false">
      <c r="A3" s="6" t="s">
        <v>585</v>
      </c>
      <c r="B3" s="6" t="s">
        <v>586</v>
      </c>
      <c r="C3" s="6" t="s">
        <v>587</v>
      </c>
      <c r="D3" s="6" t="s">
        <v>588</v>
      </c>
    </row>
    <row r="4" customFormat="false" ht="39.55" hidden="false" customHeight="false" outlineLevel="0" collapsed="false">
      <c r="A4" s="59" t="n">
        <v>1</v>
      </c>
      <c r="B4" s="59" t="s">
        <v>589</v>
      </c>
      <c r="C4" s="59" t="s">
        <v>590</v>
      </c>
      <c r="D4" s="59" t="s">
        <v>591</v>
      </c>
    </row>
    <row r="5" customFormat="false" ht="39.55" hidden="false" customHeight="false" outlineLevel="0" collapsed="false">
      <c r="A5" s="59" t="n">
        <v>2</v>
      </c>
      <c r="B5" s="59" t="s">
        <v>592</v>
      </c>
      <c r="C5" s="59" t="s">
        <v>593</v>
      </c>
      <c r="D5" s="59" t="s">
        <v>594</v>
      </c>
    </row>
    <row r="6" customFormat="false" ht="26.85" hidden="false" customHeight="false" outlineLevel="0" collapsed="false">
      <c r="A6" s="59" t="n">
        <v>3</v>
      </c>
      <c r="B6" s="59" t="s">
        <v>595</v>
      </c>
      <c r="C6" s="59" t="s">
        <v>596</v>
      </c>
      <c r="D6" s="59" t="s">
        <v>597</v>
      </c>
    </row>
    <row r="7" customFormat="false" ht="39.55" hidden="false" customHeight="false" outlineLevel="0" collapsed="false">
      <c r="A7" s="59" t="n">
        <v>4</v>
      </c>
      <c r="B7" s="59" t="s">
        <v>598</v>
      </c>
      <c r="C7" s="59" t="s">
        <v>599</v>
      </c>
      <c r="D7" s="59" t="s">
        <v>600</v>
      </c>
    </row>
    <row r="8" customFormat="false" ht="39.55" hidden="false" customHeight="false" outlineLevel="0" collapsed="false">
      <c r="A8" s="59" t="n">
        <v>5</v>
      </c>
      <c r="B8" s="59" t="s">
        <v>601</v>
      </c>
      <c r="C8" s="59" t="s">
        <v>602</v>
      </c>
      <c r="D8" s="59" t="s">
        <v>603</v>
      </c>
    </row>
    <row r="9" customFormat="false" ht="26.85" hidden="false" customHeight="false" outlineLevel="0" collapsed="false">
      <c r="A9" s="59" t="n">
        <v>6</v>
      </c>
      <c r="B9" s="59" t="s">
        <v>604</v>
      </c>
      <c r="C9" s="59" t="s">
        <v>605</v>
      </c>
      <c r="D9" s="59" t="s">
        <v>600</v>
      </c>
    </row>
    <row r="10" customFormat="false" ht="26.85" hidden="false" customHeight="false" outlineLevel="0" collapsed="false">
      <c r="A10" s="59" t="n">
        <v>7</v>
      </c>
      <c r="B10" s="59" t="s">
        <v>606</v>
      </c>
      <c r="C10" s="59" t="s">
        <v>607</v>
      </c>
      <c r="D10" s="59" t="s">
        <v>608</v>
      </c>
    </row>
    <row r="11" customFormat="false" ht="26.85" hidden="false" customHeight="false" outlineLevel="0" collapsed="false">
      <c r="A11" s="59" t="n">
        <v>8</v>
      </c>
      <c r="B11" s="59" t="s">
        <v>609</v>
      </c>
      <c r="C11" s="59" t="s">
        <v>610</v>
      </c>
      <c r="D11" s="59" t="s">
        <v>600</v>
      </c>
    </row>
    <row r="12" customFormat="false" ht="26.85" hidden="false" customHeight="false" outlineLevel="0" collapsed="false">
      <c r="A12" s="59" t="n">
        <v>9</v>
      </c>
      <c r="B12" s="59" t="s">
        <v>611</v>
      </c>
      <c r="C12" s="59" t="s">
        <v>612</v>
      </c>
      <c r="D12" s="59" t="s">
        <v>613</v>
      </c>
    </row>
    <row r="13" customFormat="false" ht="26.85" hidden="false" customHeight="false" outlineLevel="0" collapsed="false">
      <c r="A13" s="59" t="n">
        <v>10</v>
      </c>
      <c r="B13" s="59" t="s">
        <v>614</v>
      </c>
      <c r="C13" s="59" t="s">
        <v>615</v>
      </c>
      <c r="D13" s="59" t="s">
        <v>616</v>
      </c>
    </row>
    <row r="14" customFormat="false" ht="26.85" hidden="false" customHeight="false" outlineLevel="0" collapsed="false">
      <c r="A14" s="59" t="n">
        <v>11</v>
      </c>
      <c r="B14" s="59" t="s">
        <v>617</v>
      </c>
      <c r="C14" s="59" t="s">
        <v>618</v>
      </c>
      <c r="D14" s="59" t="s">
        <v>619</v>
      </c>
    </row>
    <row r="15" customFormat="false" ht="52.2" hidden="false" customHeight="false" outlineLevel="0" collapsed="false">
      <c r="A15" s="59" t="n">
        <v>12</v>
      </c>
      <c r="B15" s="59" t="s">
        <v>620</v>
      </c>
      <c r="C15" s="59" t="s">
        <v>621</v>
      </c>
      <c r="D15" s="59" t="s">
        <v>622</v>
      </c>
    </row>
    <row r="16" customFormat="false" ht="26.85" hidden="false" customHeight="false" outlineLevel="0" collapsed="false">
      <c r="A16" s="59" t="n">
        <v>13</v>
      </c>
      <c r="B16" s="59" t="s">
        <v>623</v>
      </c>
      <c r="C16" s="59" t="s">
        <v>624</v>
      </c>
      <c r="D16" s="59" t="s">
        <v>625</v>
      </c>
    </row>
    <row r="17" customFormat="false" ht="26.85" hidden="false" customHeight="false" outlineLevel="0" collapsed="false">
      <c r="A17" s="59" t="n">
        <v>14</v>
      </c>
      <c r="B17" s="59" t="s">
        <v>626</v>
      </c>
      <c r="C17" s="59" t="s">
        <v>627</v>
      </c>
      <c r="D17" s="59" t="s">
        <v>628</v>
      </c>
    </row>
    <row r="18" customFormat="false" ht="26.85" hidden="false" customHeight="false" outlineLevel="0" collapsed="false">
      <c r="A18" s="59" t="n">
        <v>15</v>
      </c>
      <c r="B18" s="59" t="s">
        <v>629</v>
      </c>
      <c r="C18" s="59" t="s">
        <v>630</v>
      </c>
      <c r="D18" s="59" t="s">
        <v>631</v>
      </c>
    </row>
    <row r="19" customFormat="false" ht="26.85" hidden="false" customHeight="false" outlineLevel="0" collapsed="false">
      <c r="A19" s="59" t="n">
        <v>16</v>
      </c>
      <c r="B19" s="59" t="s">
        <v>632</v>
      </c>
      <c r="C19" s="59" t="s">
        <v>633</v>
      </c>
      <c r="D19" s="59" t="s">
        <v>634</v>
      </c>
    </row>
    <row r="20" customFormat="false" ht="26.85" hidden="false" customHeight="false" outlineLevel="0" collapsed="false">
      <c r="A20" s="59" t="n">
        <v>17</v>
      </c>
      <c r="B20" s="59" t="s">
        <v>635</v>
      </c>
      <c r="C20" s="59" t="s">
        <v>636</v>
      </c>
      <c r="D20" s="59" t="s">
        <v>637</v>
      </c>
    </row>
    <row r="21" customFormat="false" ht="26.85" hidden="false" customHeight="false" outlineLevel="0" collapsed="false">
      <c r="A21" s="59" t="n">
        <v>18</v>
      </c>
      <c r="B21" s="59" t="s">
        <v>638</v>
      </c>
      <c r="C21" s="59" t="s">
        <v>639</v>
      </c>
      <c r="D21" s="59" t="s">
        <v>640</v>
      </c>
    </row>
    <row r="22" customFormat="false" ht="26.85" hidden="false" customHeight="false" outlineLevel="0" collapsed="false">
      <c r="A22" s="59" t="n">
        <v>19</v>
      </c>
      <c r="B22" s="59" t="s">
        <v>641</v>
      </c>
      <c r="C22" s="59" t="s">
        <v>642</v>
      </c>
      <c r="D22" s="59" t="s">
        <v>643</v>
      </c>
    </row>
    <row r="23" customFormat="false" ht="52.2" hidden="false" customHeight="false" outlineLevel="0" collapsed="false">
      <c r="A23" s="59" t="n">
        <v>20</v>
      </c>
      <c r="B23" s="59" t="s">
        <v>644</v>
      </c>
      <c r="C23" s="59" t="s">
        <v>645</v>
      </c>
      <c r="D23" s="59" t="s">
        <v>646</v>
      </c>
    </row>
    <row r="24" customFormat="false" ht="26.85" hidden="false" customHeight="false" outlineLevel="0" collapsed="false">
      <c r="A24" s="59" t="n">
        <v>21</v>
      </c>
      <c r="B24" s="59" t="s">
        <v>647</v>
      </c>
      <c r="C24" s="59" t="s">
        <v>648</v>
      </c>
      <c r="D24" s="59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2026-10-17T23:44:33Z</dcterms:created>
  <dc:creator>openpyxl</dc:creator>
  <dc:description/>
  <dc:language>en-US</dc:language>
  <cp:lastModifiedBy/>
  <dcterms:modified xsi:type="dcterms:W3CDTF">2026-10-17T23:44:34Z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